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ublications" r:id="rId3" sheetId="1"/>
  </sheets>
</workbook>
</file>

<file path=xl/sharedStrings.xml><?xml version="1.0" encoding="utf-8"?>
<sst xmlns="http://schemas.openxmlformats.org/spreadsheetml/2006/main" count="4714" uniqueCount="1638">
  <si>
    <t>Times Cited, CSCD</t>
  </si>
  <si>
    <t>Times Cited, ARCI</t>
  </si>
  <si>
    <t>Times Cited, BCI</t>
  </si>
  <si>
    <t>Times Cited, SCIELO</t>
  </si>
  <si>
    <t>Authors</t>
  </si>
  <si>
    <t>Abstract</t>
  </si>
  <si>
    <t>Author Full Names</t>
  </si>
  <si>
    <t>Book Author Full Names</t>
  </si>
  <si>
    <t>Web of Science Index</t>
  </si>
  <si>
    <t>Reprint Addresses</t>
  </si>
  <si>
    <t>Email Addresses</t>
  </si>
  <si>
    <t>Funding Orgs</t>
  </si>
  <si>
    <t>Funding Name Preferred</t>
  </si>
  <si>
    <t>Funding Text</t>
  </si>
  <si>
    <t>Addresses</t>
  </si>
  <si>
    <t>Affiliations</t>
  </si>
  <si>
    <t>Publication Type</t>
  </si>
  <si>
    <t>Book Authors</t>
  </si>
  <si>
    <t>Group Authors</t>
  </si>
  <si>
    <t>Book Group Authors</t>
  </si>
  <si>
    <t>Book Editors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</si>
  <si>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</si>
  <si>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</si>
  <si>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</si>
  <si>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</si>
  <si>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</si>
  <si>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</si>
  <si>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</si>
  <si>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</si>
  <si>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</si>
  <si>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</si>
  <si>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</si>
  <si>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</si>
  <si>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</si>
  <si>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Researcher Ids</t>
  </si>
  <si>
    <t>ORCIDs</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</si>
  <si>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</si>
  <si>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</si>
  <si>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</si>
  <si>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</si>
  <si>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</si>
  <si>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</si>
  <si>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</si>
  <si>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</si>
  <si>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</si>
  <si>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</si>
  <si>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</si>
  <si>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</si>
  <si>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</si>
  <si>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</si>
  <si>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</si>
  <si>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</si>
  <si>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</si>
  <si>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</si>
  <si>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Special Issue</t>
  </si>
  <si>
    <t>Part Number</t>
  </si>
  <si>
    <t>Supplement</t>
  </si>
  <si>
    <t>Meeting Abstract</t>
  </si>
  <si>
    <t>Start Page</t>
  </si>
  <si>
    <t>End Page</t>
  </si>
  <si>
    <t>Article Number</t>
  </si>
  <si>
    <t>DOI</t>
  </si>
  <si>
    <t>DOI Link</t>
  </si>
  <si>
    <t>Book DOI</t>
  </si>
  <si>
    <t>Early Access Date</t>
  </si>
  <si>
    <t>Number of Pages</t>
  </si>
  <si>
    <t>WoS Categories</t>
  </si>
  <si>
    <t>Research Areas</t>
  </si>
  <si>
    <t>IDS Number</t>
  </si>
  <si>
    <t>Pubmed Id</t>
  </si>
  <si>
    <t>UT (Unique WOS ID)</t>
  </si>
  <si>
    <t>Web of Science Record</t>
  </si>
  <si>
    <t>Open Access Designations</t>
  </si>
  <si>
    <t>Hot Paper Status</t>
  </si>
  <si>
    <t>Highly Cited Status</t>
  </si>
  <si>
    <t>Date of Export</t>
  </si>
  <si>
    <t xml:space="preserve">  </t>
  </si>
  <si>
    <t>0</t>
  </si>
  <si>
    <t>Zhang, YL; Peng, DL; Zhang, AL</t>
  </si>
  <si>
    <t>Artificial intelligence (AI) is rapidly reshaping cancer diagnostics by enhancing accuracy, speed, and clinical decision support. However, its adoption in low- and middle-income countries (LMICs) raises critical governance challenges related to data protection, regulatory oversight, equity, and infrastructural readiness. This quantitative scoping review synthesizes evidence from 19 studies published between 2015 and 2024 to map the governance landscape surrounding AI-driven cancer diagnostics in LMICs. Following the PRISMA-ScR approach, the review identified key governance domains including data sovereignty, regulatory gaps, algorithmic transparency, infrastructural constraints, and risks of inequitable access. Results indicate that data governance challenges were the most frequently reported (n=14), followed by regulatory limitations (n=12) and workforce and infrastructural barriers (n=11). The findings highlight that while AI holds transformative potential for improving timely and accurate cancer diagnosis, its benefits cannot be realized without context-sensitive governance frameworks that ensure safety, transparency, accountability, and equity. The review proposes actionable policy pathways to support responsible AI integration across LMIC health systems. (Afr J Reprod Health 2025; 29 [12s]: 93-103)</t>
  </si>
  <si>
    <t>Zhang, Yili; Peng, Dongli; Zhang, Aili</t>
  </si>
  <si>
    <t/>
  </si>
  <si>
    <t>Social Science Citation Index (SSCI)</t>
  </si>
  <si>
    <t>Peng, DL (corresponding author), Wuxi Taihu Univ, Sch Business, Wuxi 214000, Jiangsu, Peoples R China.</t>
  </si>
  <si>
    <t>pengjacob947@gmail.com</t>
  </si>
  <si>
    <t>[Zhang, Yili] Nanfang Coll, Sch Business, Guangzhou 510970, Peoples R China; [Peng, Dongli] Wuxi Taihu Univ, Sch Business, Wuxi 214000, Jiangsu, Peoples R China; [Zhang, Aili] Lyceum Philippines Univ, Manila 0900, Philippines</t>
  </si>
  <si>
    <t>Nanfang College Guangzhou; Lyceum of the Philippines University</t>
  </si>
  <si>
    <t>J</t>
  </si>
  <si>
    <t>Artificial intelligence in cancer diagnostics: Governance for equity in low- and middle-income countries</t>
  </si>
  <si>
    <t>AFRICAN JOURNAL OF REPRODUCTIVE HEALTH</t>
  </si>
  <si>
    <t>English</t>
  </si>
  <si>
    <t>Article</t>
  </si>
  <si>
    <t>Artificial Intelligence; Cancer Diagnostics; Governance; Data Sovereignty; Digital Pathology; Algorithmic Transparency; Health Equity; Low-and Middle-Income Countries</t>
  </si>
  <si>
    <t>HEALTH-CARE</t>
  </si>
  <si>
    <t>20</t>
  </si>
  <si>
    <t>1</t>
  </si>
  <si>
    <t>3</t>
  </si>
  <si>
    <t>WOMENS HEALTH &amp; ACTION RESEARCH CENTRE</t>
  </si>
  <si>
    <t>BENIN CITY</t>
  </si>
  <si>
    <t>IGUE-IHEYA VILLAGE, BENIN-LAGOS EXPRESS RD, PO BOX 10231, UGBOWO, BENIN CITY, EDO STATE 00000, NIGERIA</t>
  </si>
  <si>
    <t>1118-4841</t>
  </si>
  <si>
    <t>2141-3606</t>
  </si>
  <si>
    <t>AFR J REPROD HEALTH</t>
  </si>
  <si>
    <t>Afr. J. Reprod. Health</t>
  </si>
  <si>
    <t>DEC 2025</t>
  </si>
  <si>
    <t>2025</t>
  </si>
  <si>
    <t>29</t>
  </si>
  <si>
    <t>12</t>
  </si>
  <si>
    <t>93</t>
  </si>
  <si>
    <t>103</t>
  </si>
  <si>
    <t>10.29063/ajrh2025/v29i12s.10</t>
  </si>
  <si>
    <t>http://dx.doi.org/10.29063/ajrh2025/v29i12s.10</t>
  </si>
  <si>
    <t>11</t>
  </si>
  <si>
    <t>Public, Environmental &amp; Occupational Health</t>
  </si>
  <si>
    <t>CJ3TS</t>
  </si>
  <si>
    <t>41489265</t>
  </si>
  <si>
    <t>WOS:001667179800013</t>
  </si>
  <si>
    <t>View Record in Web of Science</t>
  </si>
  <si>
    <t>gold</t>
  </si>
  <si>
    <t>2026-08-26</t>
  </si>
  <si>
    <t>Guesmi, A; Hanif, MA; Ouni, B; Shafique, M</t>
  </si>
  <si>
    <t>Deep Neural Networks (DNNs) have shown impressive performance in computer vision tasks; however, their vulnerability to adversarial attacks raises concerns regarding their security and reliability. Extensive research has shown that DNNs can be compromised by carefully crafted perturbations, leading to significant performance degradation in both digital and physical domains. Therefore, ensuring the security of DNN-based systems is crucial, particularly in safety-critical domains such as autonomous driving, robotics, smart homes/cities, smart industries, video surveillance, and healthcare. In this paper, we present a comprehensive survey of the current trends focusing specifically on physical adversarial attacks. We aim to provide a thorough understanding of the concept of physical adversarial attacks, analyzing their key characteristics and distinguishing features. Furthermore, we explore the specific requirements and challenges associated with executing attacks in the physical world. Our article delves into various physical adversarial attack methods, categorized according to their target tasks in different applications, including classification, detection, face recognition, semantic segmentation and depth estimation. We assess the performance of these attack methods in terms of their effectiveness, stealthiness, and robustness. We examine how each technique strives to ensure the successful manipulation of DNNs while mitigating the risk of detection and withstanding real-world distortions. Lastly, we discuss the current challenges and outline potential future research directions in the field of physical adversarial attacks. We highlight the need for enhanced defense mechanisms, the exploration of novel attack strategies, the evaluation of attacks in different application domains, and the establishment of standardized benchmarks and evaluation criteria for physical adversarial attacks. Through this comprehensive survey, we aim to provide a valuable resource for researchers, practitioners, and policymakers to gain a holistic understanding of physical adversarial attacks in computer vision and facilitate the development of robust and secure DNN-based systems.</t>
  </si>
  <si>
    <t>Guesmi, Amira; Hanif, Muhammad Abdullah; Ouni, Bassem; Shafique, Muhammad</t>
  </si>
  <si>
    <t>Science Citation Index Expanded (SCI-EXPANDED)</t>
  </si>
  <si>
    <t>Guesmi, A (corresponding author), New York Univ NYU, Div Engn, eBrain Lab, Abu Dhabi, U Arab Emirates.</t>
  </si>
  <si>
    <t>ag9321@nyu.edu</t>
  </si>
  <si>
    <t>Technology Innovation Institute (TII) under the "CASTLE: Cross-Layer Security for Machine Learning Systems Internet of Things (IoT)" Project</t>
  </si>
  <si>
    <t>No Statement Available</t>
  </si>
  <si>
    <t>[Guesmi, Amira; Hanif, Muhammad Abdullah; Shafique, Muhammad] New York Univ NYU, Div Engn, eBrain Lab, Abu Dhabi, U Arab Emirates; [Ouni, Bassem] Technol Innovat Inst TII, AI &amp; Digital Sci Res Ctr, Abu Dhabi, U Arab Emirates</t>
  </si>
  <si>
    <t>New York University; New York University Abu Dhabi; Technology Innovation Institute</t>
  </si>
  <si>
    <t>Physical Adversarial Attacks for Camera-Based Smart Systems: Current Trends, Categorization, Applications, Research Challenges, and Future Outlook</t>
  </si>
  <si>
    <t>IEEE ACCESS</t>
  </si>
  <si>
    <t>Machine learning security; physical adversarial attacks; smart systems; camera-based vision system robustness; security; trustworthy AI; computer vision; image classification; object detection; person detection; vehicle detection; semantic segmentation; monocular depth estimation; face recognition; person re-identification; optical flow; stealthy physical attacks; patch-based attacks; sticker-based attacks; camouflage techniques; light manipulation-based attacks; physical adversarial prints; imaging device manipulation; expectation over transformation; adversarial t-shirts; adversarial makeup; adversarial eyeglasses; adversarial masks</t>
  </si>
  <si>
    <t>NEURAL-NETWORK; DEEP; ATTENTION</t>
  </si>
  <si>
    <t>Shafique, Muhammad/HGU-7318-2022; Guesmi, Amira/NRA-9721-2025; OUNI, Bassem/HKE-5193-2023; Hanif, Muhammad Shehzad/I-1768-2017</t>
  </si>
  <si>
    <t>Shafique, Muhammad/0000-0002-2607-8135; Guesmi, Amira/0000-0002-8992-7958; OUNI, Bassem/0000-0001-6534-9295</t>
  </si>
  <si>
    <t>185</t>
  </si>
  <si>
    <t>30</t>
  </si>
  <si>
    <t>39</t>
  </si>
  <si>
    <t>38</t>
  </si>
  <si>
    <t>IEEE-INST ELECTRICAL ELECTRONICS ENGINEERS INC</t>
  </si>
  <si>
    <t>PISCATAWAY</t>
  </si>
  <si>
    <t>445 HOES LANE, PISCATAWAY, NJ 08855-4141 USA</t>
  </si>
  <si>
    <t>2169-3536</t>
  </si>
  <si>
    <t>IEEE Access</t>
  </si>
  <si>
    <t>2023</t>
  </si>
  <si>
    <t>109617</t>
  </si>
  <si>
    <t>109668</t>
  </si>
  <si>
    <t>10.1109/ACCESS.2023.3321118</t>
  </si>
  <si>
    <t>http://dx.doi.org/10.1109/ACCESS.2023.3321118</t>
  </si>
  <si>
    <t>52</t>
  </si>
  <si>
    <t>Computer Science, Information Systems; Engineering, Electrical &amp; Electronic; Telecommunications</t>
  </si>
  <si>
    <t>Computer Science; Engineering; Telecommunications</t>
  </si>
  <si>
    <t>AX5Y9</t>
  </si>
  <si>
    <t>WOS:001121773300001</t>
  </si>
  <si>
    <t>gold; Green Submitted</t>
  </si>
  <si>
    <t>Vujko, A; Karabasevic, D; Panic, A; Arsic, M; Mircetic, V</t>
  </si>
  <si>
    <t>Tourism is a key spatial process linking human mobility, resource consumption, and environmental change. Despite growing awareness of climate risks, sustainable travel behavior often remains inconsistent with pro-environmental attitudes, reflecting the persistent attitude-behavior gap. This study examines how psychological factors-sustainability motives, ecological identity, and climate attitudes-interact with artificial intelligence (AI) transparency to shape travel decisions with spatial and environmental consequences. Using survey data from 1795 leisure travelers and a discrete-choice experiment simulating hotel booking scenarios, the study shows that ecological identity and climate attitudes reinforce sustainability motives and intentions, while transparent AI recommendations enhance perceived clarity, data visibility, and reliability. These transparency effects amplify the influence of eco-scores on revealed spatial preferences, with trust mediating the relationship between transparency and sustainable choices. Conceptually, the study integrates psychological and technological perspectives within a geographical framework of human-environment interaction and extends this lens to rural destinations, where travel decisions directly affect cultural landscapes and climate-sensitive ecosystems. Practically, the findings demonstrate that transparent AI systems can guide spatial redistribution of tourist flows, mitigate destination-level climate pressures, and support equitable resource management in sustainable tourism planning. These mechanisms are particularly relevant for rural areas and traditional cultural landscapes facing heightened vulnerability to climate stress, depopulation, and uneven visitation patterns. Transparent and trustworthy AI can thus convert environmental awareness into spatially sustainable behavior, contributing to more resilient and balanced tourism geographies.</t>
  </si>
  <si>
    <t>Vujko, Aleksandra; Karabasevic, Darjan; Panic, Aleksa; Arsic, Martina; Mircetic, Vuk</t>
  </si>
  <si>
    <t>Science Citation Index Expanded (SCI-EXPANDED); Social Science Citation Index (SSCI)</t>
  </si>
  <si>
    <t>Vujko, A (corresponding author), Singidunum Univ, Fac Tourism &amp; Hospitality Management, Belgrade 11000, Serbia.; Karabasevic, D (corresponding author), Korea Univ, Coll Global Business, Sejong 30019, South Korea.; Karabasevic, D (corresponding author), Univ Business Acad Novi Sad, Fac Appl Management Econ &amp; Finance Belgrade, Jevrejska 24, Belgrade 11000, Serbia.</t>
  </si>
  <si>
    <t>darjankarabasevic@korea.ac.kr; martina.arsic.23@singimail.rs; vuk.mircetic@mef.edu.rs; apanic@singidunum.ac.rs; avujko@singidunum.ac.rs</t>
  </si>
  <si>
    <t>[Vujko, Aleksandra; Panic, Aleksa; Arsic, Martina] Singidunum Univ, Fac Tourism &amp; Hospitality Management, Belgrade 11000, Serbia; [Karabasevic, Darjan] Korea Univ, Coll Global Business, Sejong 30019, South Korea; [Karabasevic, Darjan; Mircetic, Vuk] Univ Business Acad Novi Sad, Fac Appl Management Econ &amp; Finance Belgrade, Jevrejska 24, Belgrade 11000, Serbia</t>
  </si>
  <si>
    <t>Korea University</t>
  </si>
  <si>
    <t>AI Transparency and Sustainable Travel Under Climate Risk: A Geographical Perspective on Trust, Spatial Decision-Making, and Rural Destination Resilience</t>
  </si>
  <si>
    <t>SUSTAINABILITY</t>
  </si>
  <si>
    <t>sustainable travel; AI transparency; trust; spatial decision-making; ecological identity; climate attitudes; tourism geography; resource management; rural destinations; cultural landscapes</t>
  </si>
  <si>
    <t>BEHAVIOR; TOURISM; HOSPITALITY; POLLUTION</t>
  </si>
  <si>
    <t>Karabasevic, Darjan/J-4913-2019; Vujko, Aleksandra/H-9686-2017; Mirčetić, Vuk/AAC-1454-2020</t>
  </si>
  <si>
    <t>Panić, Aleksa/0000-0003-3149-2311; Karabasevic, Darjan/0000-0001-5308-2503; Arsic, Martina/0009-0004-5709-1561; Vujko, Aleksandra/0000-0001-8684-4228; Mirčetić, Vuk/0000-0001-6675-5025</t>
  </si>
  <si>
    <t>81</t>
  </si>
  <si>
    <t>6</t>
  </si>
  <si>
    <t>27</t>
  </si>
  <si>
    <t>34</t>
  </si>
  <si>
    <t>MDPI</t>
  </si>
  <si>
    <t>BASEL</t>
  </si>
  <si>
    <t>MDPI AG, Grosspeteranlage 5, CH-4052 BASEL, SWITZERLAND</t>
  </si>
  <si>
    <t>2071-1050</t>
  </si>
  <si>
    <t>SUSTAINABILITY-BASEL</t>
  </si>
  <si>
    <t>Sustainability</t>
  </si>
  <si>
    <t>DEC 14 2025</t>
  </si>
  <si>
    <t>17</t>
  </si>
  <si>
    <t>24</t>
  </si>
  <si>
    <t>11200</t>
  </si>
  <si>
    <t>10.3390/su172411200</t>
  </si>
  <si>
    <t>http://dx.doi.org/10.3390/su172411200</t>
  </si>
  <si>
    <t>32</t>
  </si>
  <si>
    <t>Green &amp; Sustainable Science &amp; Technology; Environmental Sciences; Environmental Studies</t>
  </si>
  <si>
    <t>Science &amp; Technology - Other Topics; Environmental Sciences &amp; Ecology</t>
  </si>
  <si>
    <t>AG0PJ</t>
  </si>
  <si>
    <t>WOS:001647274300001</t>
  </si>
  <si>
    <t>Iqbal, Z; Rahman, MM; Zia, Q; Popov, P; Fu, ZN; Calhoun, VD; Plis, S</t>
  </si>
  <si>
    <t>Objective: This study aims to develop and validate an interpretable deep learning framework that leverages self-supervised time reversal (TR) pretraining to identify consistent, biologically plausible functional network biomarkers across multiple neurological and psychiatric disorders. Methods: We pretrained a hierarchical LSTM model using a TR pretext task on the Human Connectome Project (HCP) dataset. The pretrained weights were transferred to downstream classification tasks on five clinical datasets (FBIRN, BSNIP, ADNI, OASIS, and ABIDE) spanning schizophrenia, Alzheimer's disease, and autism spectrum disorder. After fine-tuning, we extracted latent features and employed a logistic regression probing analysis to decode class-specific functional network contributions. Models trained from scratch without pretraining served as a baseline. Statistical tests (one-sample and two-sample t-tests) were performed on the latent features to assess their discriminative power and consistency. Results: TR pretraining consistently improved classification performance in four out of five datasets, with AUC gains of up to 5.3%, particularly in data-scarce settings. Probing analyses revealed biologically meaningful and consistent patterns: schizophrenia was associated with reduced auditory network activity, Alzheimer's with disrupted default mode and cerebellar networks, and autism with sensorimotor anomalies. TR-pretrained models produced more statistically significant latent features and demonstrated higher consistency across datasets (e.g., Pearson correlation = 0.9003 for schizophrenia probing vs. -0.67 for non-pretrained). In contrast, non-pretrained models showed unstable performance and inconsistent feature importance. Conclusions: Time Reversal pretraining enhances both the performance and interpretability of deep learning models for fMRI classification. By enabling more stable and biologically plausible representations, TR pretraining supports clinically relevant insights into disorder-specific network disruptions. This study demonstrates the utility of interpretable self-supervised models in neuroimaging, offering a promising step toward transparent and trustworthy AI applications in psychiatry.</t>
  </si>
  <si>
    <t>Iqbal, Zafar; Rahman, Md. Mahfuzur; Zia, Qasim; Popov, Pavel; Fu, Zening; Calhoun, Vince D.; Plis, Sergey</t>
  </si>
  <si>
    <t>Plis, S (corresponding author), Georgia State Univ, Dept Comp Sci, Atlanta, GA 30302 USA.; Plis, S (corresponding author), Ctr Translat Res Neuroimaging &amp; Data Sci TReNDS, Atlanta, GA 30303 USA.</t>
  </si>
  <si>
    <t>s.m.plis@gmail.com</t>
  </si>
  <si>
    <t>NIH; NSF [2112455, 2R01EB006841]</t>
  </si>
  <si>
    <t>NIH (United States Department of Health &amp; Human Services, National Institutes of Health (NIH) - USA, Office of the Administrator (NIH)); NSF</t>
  </si>
  <si>
    <t>This work was supported by NIH R01DA040487 and in part by NSF 2112455, and NIH 2R01EB006841.</t>
  </si>
  <si>
    <t>[Iqbal, Zafar; Rahman, Md. Mahfuzur; Zia, Qasim; Popov, Pavel; Fu, Zening; Calhoun, Vince D.; Plis, Sergey] Georgia State Univ, Dept Comp Sci, Atlanta, GA 30302 USA; [Iqbal, Zafar; Popov, Pavel; Fu, Zening; Calhoun, Vince D.; Plis, Sergey] Ctr Translat Res Neuroimaging &amp; Data Sci TReNDS, Atlanta, GA 30303 USA</t>
  </si>
  <si>
    <t>University System of Georgia; Georgia State University</t>
  </si>
  <si>
    <t>Interpretable Disorder Signatures: Probing Neural Latent Spaces for Schizophrenia, Alzheimer's, and Autism Stratification</t>
  </si>
  <si>
    <t>BRAIN SCIENCES</t>
  </si>
  <si>
    <t>interpretability; explainability; schizophrenia; Alzheimer's disease; autism spectrum disorder; fMRI; pretraining; latent features; self-supervised; time reversal</t>
  </si>
  <si>
    <t>NETWORK; CONNECTIVITY; BIPOLAR; DISEASE</t>
  </si>
  <si>
    <t>Calhoun, Vince/ACN-9399-2022; Plis, Sergey/AAA-9928-2022</t>
  </si>
  <si>
    <t>Zia, Qasim/0009-0004-2028-5960; Plis, Sergey/0000-0003-0040-0365; Iqbal, Zafar/0009-0005-6139-0019; Popov, Pavel/0000-0002-6407-4098</t>
  </si>
  <si>
    <t>44</t>
  </si>
  <si>
    <t>2076-3425</t>
  </si>
  <si>
    <t>BRAIN SCI</t>
  </si>
  <si>
    <t>Brain Sci.</t>
  </si>
  <si>
    <t>SEP 1 2025</t>
  </si>
  <si>
    <t>15</t>
  </si>
  <si>
    <t>9</t>
  </si>
  <si>
    <t>954</t>
  </si>
  <si>
    <t>10.3390/brainsci15090954</t>
  </si>
  <si>
    <t>http://dx.doi.org/10.3390/brainsci15090954</t>
  </si>
  <si>
    <t>Clinical Neurology; Neurosciences</t>
  </si>
  <si>
    <t>Neurosciences &amp; Neurology</t>
  </si>
  <si>
    <t>7VA6R</t>
  </si>
  <si>
    <t>41008314</t>
  </si>
  <si>
    <t>WOS:001580329100001</t>
  </si>
  <si>
    <t>Korucuk, N; Kümür, AI; Ibze, S; Karaman, C; Gündüz, ES; Karaman, O</t>
  </si>
  <si>
    <t>Cardiovascular diseases remain the leading cause of global morbidity and mortality, underscoring the urgent need guarantees for earlier detection, continuous monitoring, and personalized disease management. Recent advances in biosensor technologies have expanded the analytical landscape for cardiovascular diagnostics. However, many reported platforms remain confined to laboratory settings and lack clear pathways toward clinical translation. In this context, printed electrochemical biosensors have emerged as a particularly promising class of sensing systems, offering a unique combination of analytical performance, manufacturing scalability, cost efficiency, and compatibility with PoC systems. This review provides a critical and forward-looking analysis of artificial intelligence (AI)-enabled printed electrochemical biosensors for cardiovascular disease detection and monitoring. Rather than cataloging individual sensing strategies, the review examines how electrochemical transduction, printing technologies, and AI can be co-developed as integrated systems. Key sensing modalities, electrode architectures, surface functionalization strategies, and printed fabrication approaches are evaluated with respect to their translational relevance, including robustness, reproducibility, long-term stability, and clinical usability. AI is discussed not as a standalone diagnostic solution, but as an enabling analytical layer that enhances signal quality, personalization, multimodal data integration, and longitudinal interpretation. By synthesizing recent advances across electrochemistry, materials science, and data-driven analytics, this review highlights emerging design principles and unmet challenges that define the next generation of cardiovascular biosensing platforms. The analysis emphasizes a paradigm shift from episodic, single-analyte diagnostics toward continuous, system-level monitoring frameworks. Ultimately, this work positions printed electrochemical biosensors, augmented by responsible AI, as foundational technologies for scalable, interpretable, and clinically meaningful cardiovascular diagnostics.</t>
  </si>
  <si>
    <t>Korucuk, Necmettin; Kumur, Ali Ihsan; Ibze, Suleyman; Karaman, Ceren; Gunduz, Emine Selda; Karaman, Onur</t>
  </si>
  <si>
    <t>Karaman, O (corresponding author), Akdeniz Univ, Vocat Sch Hlth Serv, Dept Med Imaging Tech, TR-07070 Antalya, Turkiye.</t>
  </si>
  <si>
    <t>onurkaraman@akdeniz.edu.tr</t>
  </si>
  <si>
    <t>[Korucuk, Necmettin] Antalya City Hosp, Dept Cardiol, TR- 07080 Antalya, Turkiye; [Kumur, Ali Ihsan; Karaman, Ceren] Akdeniz Univ, Renewable Energy Resources &amp; Technol, TR-07070 Antalya, Turkiye; [Ibze, Suleyman] Akdeniz Univ, Fac Med, Dept Emergency Med, TR-07070 Antalya, Turkiye; [Karaman, Ceren] Akdeniz Univ, Vocat Sch Tech Sci, Dept Elect &amp; Energy, TR-07070 Antalya, Turkiye; [Gunduz, Emine Selda] Akdeniz Univ, Vocat Sch Hlth Serv, Emergence Aid Program 1, TR-07070 Antalya, Turkiye; [Karaman, Onur] Akdeniz Univ, Vocat Sch Hlth Serv, Dept Med Imaging Tech, TR-07070 Antalya, Turkiye</t>
  </si>
  <si>
    <t>Akdeniz University; Akdeniz University; Akdeniz University; Akdeniz University; Akdeniz University</t>
  </si>
  <si>
    <t>Artificial intelligence-enabled printed electrochemical biosensors for detection of cardiovascular disease</t>
  </si>
  <si>
    <t>ELECTROCHIMICA ACTA</t>
  </si>
  <si>
    <t>Printed electrochemical biosensors; Cardiovascular disease diagnostics; Artificial intelligence; Point-of-care monitoring; Clinical translation</t>
  </si>
  <si>
    <t>CARDIAC TROPONIN-I; ACUTE MYOCARDIAL-INFARCTION; LABEL-FREE DETECTION; C-REACTIVE PROTEIN; BLOOD-PRESSURE; NATRIURETIC PEPTIDE; ATRIAL-FIBRILLATION; CHEMICAL SENSORS; NT-PROBNP; MYOGLOBIN</t>
  </si>
  <si>
    <t>İBZE, Süleyman/GVS-4183-2022; Karaman, Ceren/ABF-8187-2020; Karaman, Onur/I-8073-2017</t>
  </si>
  <si>
    <t>İBZE, Süleyman/0000-0002-0927-0029</t>
  </si>
  <si>
    <t>311</t>
  </si>
  <si>
    <t>PERGAMON-ELSEVIER SCIENCE LTD</t>
  </si>
  <si>
    <t>OXFORD</t>
  </si>
  <si>
    <t>THE BOULEVARD, LANGFORD LANE, KIDLINGTON, OXFORD OX5 1GB, ENGLAND</t>
  </si>
  <si>
    <t>0013-4686</t>
  </si>
  <si>
    <t>1873-3859</t>
  </si>
  <si>
    <t>ELECTROCHIM ACTA</t>
  </si>
  <si>
    <t>Electrochim. Acta</t>
  </si>
  <si>
    <t>MAY 20 2026</t>
  </si>
  <si>
    <t>2026</t>
  </si>
  <si>
    <t>559</t>
  </si>
  <si>
    <t>148581</t>
  </si>
  <si>
    <t>10.1016/j.electacta.2026.148581</t>
  </si>
  <si>
    <t>http://dx.doi.org/10.1016/j.electacta.2026.148581</t>
  </si>
  <si>
    <t>31</t>
  </si>
  <si>
    <t>Electrochemistry</t>
  </si>
  <si>
    <t>EY5UD</t>
  </si>
  <si>
    <t>WOS:001712811300001</t>
  </si>
  <si>
    <t>Sweeney, P; Yuro, MR; Berberian, WS</t>
  </si>
  <si>
    <t>Background: Large language models are increasingly being used in scientific writing, but their use in orthopaedic literature remains unclear. Methods: We analyzed 196 articles published in March 2025 in 10 leading orthopaedic journals. GPTZero quantified artificial intelligence (AI)-generated text by article section. Composite AI scores were calculated and tested for associations with the h5-index, study design, level of evidence, authorship characteristics, and geographic region with use of nonparametric and both Pearson and Spearman correlation analyses. Results: AI-generated content was detected in 89.8% of articles. The mean AI score was 18.1% (median, 14.9%). Scores differed by section (p &lt; 0.001) and were the highest in the Results. AI use correlated with the proportion of non-MD authors (rho = 0.22) and with the total author count (rho = 0.19), but not with the h5-index. No association with study design or level of evidence was found. Differences by geographic region were modest and not significant after correction. Conclusions: AI-generated content appears to be widespread, particularly in Results sections. Its use varies by authorship characteristics and geography but not by study design or journal prestige. Clear disclosure standards are essential to guide responsible AI use in scientific writing. Clinical Relevance: This study is clinically relevant because transparency in scientific writing supports accurate interpretation of the evidence used in patient care. Identifying the prevalence of AI-generated text helps to protect the integrity of the orthopaedic literature.</t>
  </si>
  <si>
    <t>Sweeney, Paxton; Yuro, Matthew R.; Berberian, Wayne S.</t>
  </si>
  <si>
    <t>Sweeney, P (corresponding author), Hackensack Univ, Med Ctr, Hackensack, NJ 07601 USA.</t>
  </si>
  <si>
    <t>wayne.berberian@hmhn.org; paxton.sweeney@hmhn.org; matthewryuro@gmail.com</t>
  </si>
  <si>
    <t>[Sweeney, Paxton; Yuro, Matthew R.; Berberian, Wayne S.] Hackensack Univ, Med Ctr, Hackensack, NJ 07601 USA; [Sweeney, Paxton; Yuro, Matthew R.] Hackensack Meridian Sch Med, Nutley, NJ USA</t>
  </si>
  <si>
    <t>Hackensack University Medical Center</t>
  </si>
  <si>
    <t>AI-Generated Text in Orthopaedic Articles A Cross-Sectional Analysis</t>
  </si>
  <si>
    <t>JOURNAL OF BONE AND JOINT SURGERY-AMERICAN VOLUME</t>
  </si>
  <si>
    <t>ARTIFICIAL-INTELLIGENCE; CHATGPT</t>
  </si>
  <si>
    <t>Berberian, Wayne/0009-0008-1867-4245; , Paxton Sweeney/0009-0002-7504-0253</t>
  </si>
  <si>
    <t>LIPPINCOTT WILLIAMS &amp; WILKINS</t>
  </si>
  <si>
    <t>PHILADELPHIA</t>
  </si>
  <si>
    <t>TWO COMMERCE SQ, 2001 MARKET ST, PHILADELPHIA, PA 19103 USA</t>
  </si>
  <si>
    <t>0021-9355</t>
  </si>
  <si>
    <t>1535-1386</t>
  </si>
  <si>
    <t>J BONE JOINT SURG AM</t>
  </si>
  <si>
    <t>J. Bone Joint Surg.-Am. Vol.</t>
  </si>
  <si>
    <t>FEB 18 2026</t>
  </si>
  <si>
    <t>108</t>
  </si>
  <si>
    <t>4</t>
  </si>
  <si>
    <t>320</t>
  </si>
  <si>
    <t>325</t>
  </si>
  <si>
    <t>10.2106/JBJS.25.00971</t>
  </si>
  <si>
    <t>http://dx.doi.org/10.2106/JBJS.25.00971</t>
  </si>
  <si>
    <t>Orthopedics; Surgery</t>
  </si>
  <si>
    <t>DX1SG</t>
  </si>
  <si>
    <t>41417927</t>
  </si>
  <si>
    <t>WOS:001694185400001</t>
  </si>
  <si>
    <t>Mehmood, S; Zhou, ZM; Noor, I; Khan, S</t>
  </si>
  <si>
    <t>The rapid integration of AI-driven robots into hospitality and tourism services raises critical questions about how communication styles shape consumer behavior. This study investigates how conversational styles (emotional vs. rational) influence consumers' purchase intentions, examining the mediating role of engagement and the moderating role of robot persona realism. Grounded in the Social Presence Theory and Stimulus-Organism-Response framework, evidence from one field study and three online experiments reveals that emotional styles enhance engagement and purchase intentions, especially when paired with more persona realism. Conversely, rational styles are more effective for less persona realism. These findings advance theories of by demonstrating the importance of aligning communication styles with robot design. For practitioners, the study offers actionable guidance on deploying conversational AI agents that foster engagement, comfort, and conversion, ultimately enriching hospitality and tourism experiences while supporting responsible AI adoption.</t>
  </si>
  <si>
    <t>Mehmood, Shafaqat; Zhou, Zhimin; Noor, Ifra; Khan, Salman</t>
  </si>
  <si>
    <t>Zhou, ZM (corresponding author), Shenzhen Univ, Shenzhen, Peoples R China.</t>
  </si>
  <si>
    <t>shafaqatphd@gmail.com; ifranoor209@gmail.com; salman_pide@outlook.com; mnizzm@szu.edu.cn</t>
  </si>
  <si>
    <t>National Natural Science Foundation of China [72572109]</t>
  </si>
  <si>
    <t>National Natural Science Foundation of China (National Natural Science Foundation of China (NSFC))</t>
  </si>
  <si>
    <t>This research was supported by the National Natural Science Foundation of China (72572109).</t>
  </si>
  <si>
    <t>[Mehmood, Shafaqat; Zhou, Zhimin; Khan, Salman] Shenzhen Univ, Shenzhen, Peoples R China; [Noor, Ifra] Univ Punjab, Lahore, Pakistan</t>
  </si>
  <si>
    <t>Shenzhen University; University of Punjab</t>
  </si>
  <si>
    <t>When robots speak: exploring conversational styles, robot persona realism, and engagement in hospitality and tourism services</t>
  </si>
  <si>
    <t>INFORMATION TECHNOLOGY &amp; TOURISM</t>
  </si>
  <si>
    <t>AI robots; Conversational style; Engagement; Anthropomorphism; Hospitality services</t>
  </si>
  <si>
    <t>Mehmood, Shafaqat/E-3232-2015</t>
  </si>
  <si>
    <t>Mehmood, Shafaqat/0000-0003-1194-6603</t>
  </si>
  <si>
    <t>50</t>
  </si>
  <si>
    <t>SPRINGER HEIDELBERG</t>
  </si>
  <si>
    <t>HEIDELBERG</t>
  </si>
  <si>
    <t>TIERGARTENSTRASSE 17, D-69121 HEIDELBERG, GERMANY</t>
  </si>
  <si>
    <t>1098-3058</t>
  </si>
  <si>
    <t>1943-4294</t>
  </si>
  <si>
    <t>INF TECHNOL TOUR</t>
  </si>
  <si>
    <t>Inf. Technol. Tour.</t>
  </si>
  <si>
    <t>JUN 6 2026</t>
  </si>
  <si>
    <t>28</t>
  </si>
  <si>
    <t>42</t>
  </si>
  <si>
    <t>10.1007/s40558-026-00378-y</t>
  </si>
  <si>
    <t>http://dx.doi.org/10.1007/s40558-026-00378-y</t>
  </si>
  <si>
    <t>JUN 2026</t>
  </si>
  <si>
    <t>Hospitality, Leisure, Sport &amp; Tourism</t>
  </si>
  <si>
    <t>Social Sciences - Other Topics</t>
  </si>
  <si>
    <t>JB9WE</t>
  </si>
  <si>
    <t>WOS:001785706600001</t>
  </si>
  <si>
    <t>Seheult, JN; Otteson, GE; Weybright, MJ; Timm, MM; Han, WC; Jevremovic, D; Horna, P; Olteanu, H; Shi, M</t>
  </si>
  <si>
    <t>Background: Flow cytometric detection of minimal residual disease (MRD) in chronic lymphocytic leukemia (CLL) is complex, time-consuming, and subject to inter-operator variability. Deep neural networks (DNNs) offer potential for standardization and efficiency improvement, but require rigorous validation and monitoring for safe clinical implementation. Methods: We evaluated a DNN-assisted human-in-the-loop approach for CLL MRD detection. Initial validation included method comparison against manual analysis (n = 240), precision studies, and analytical sensitivity verification. Post-implementation monitoring comprised four components: daily electronic quality control, input data drift detection, error analysis, and attribute acceptance sampling. Laboratory efficiency was assessed through a timing study of 161 cases analyzed by five technologists. Results: Method comparison demonstrated 97.5% concordance with manual analysis for qualitative classification (sensitivity 100%, specificity 95%) and excellent correlation for quantitative assessment (r = 0.99, Deming slope = 0.99). Precision studies confirmed high repeatability and within-laboratory precision across multiple operators. Analytical sensitivity was verified at 0.002% MRD. Post-implementation monitoring identified 2.97% of cases (26/874) with input data drift, primarily high-burden CLL and non-CLL neoplasms. Error analysis showed the DNN alone achieved 97% sensitivity compared to human-in-the-loop-reviewed results, with 13 missed cases (1.5%) showing atypical immunophenotypes. Attribute acceptance sampling confirmed 98.8% of reported negative cases were true negatives. The DNN-assisted workflow reduced average analysis time by 60.3% compared to manual analysis (4.2 +/- 2.3 vs. 10.5 +/- 5.8 min). Conclusions: The implementation of a DNN-assisted approach for CLL MRD detection in a clinical laboratory provides diagnostic performance equivalent to expert manual analysis while substantially reducing analysis time. Comprehensive performance monitoring ensures ongoing safety and effectiveness in routine clinical practice. This approach provides a model for responsible AI integration in clinical laboratories, balancing automation benefits with expert oversight.</t>
  </si>
  <si>
    <t>Seheult, Jansen N.; Otteson, Gregory E.; Weybright, Matthew J.; Timm, Michael M.; Han, Wenchao; Jevremovic, Dragan; Horna, Pedro; Olteanu, Horatiu; Shi, Min</t>
  </si>
  <si>
    <t>Seheult, JN (corresponding author), Mayo Clin, DLMP, Cell Kinet Lab, Rochester, MN 55905 USA.; Seheult, JN (corresponding author), Mayo Clin, Div Computat Pathol &amp; Informat, DLMP, Rochester, MN 55905 USA.</t>
  </si>
  <si>
    <t>seheult.jansen@mayo.edu; weybright.matthew@mayo.edu; han.wenchao@mayo.edu; jevremovic.dragan@mayo.edu; otteson.gregory@mayo.edu; timm.michael@mayo.edu; olteanu.horatiu@mayo.edu; shi.min@mayo.edu; horna.pedro@mayo.edu</t>
  </si>
  <si>
    <t>[Seheult, Jansen N.; Otteson, Gregory E.; Weybright, Matthew J.; Timm, Michael M.; Jevremovic, Dragan; Horna, Pedro; Olteanu, Horatiu; Shi, Min] Mayo Clin, DLMP, Cell Kinet Lab, Rochester, MN 55905 USA; [Seheult, Jansen N.; Han, Wenchao] Mayo Clin, Div Computat Pathol &amp; Informat, DLMP, Rochester, MN 55905 USA</t>
  </si>
  <si>
    <t>Mayo Clinic; Mayo Clinic</t>
  </si>
  <si>
    <t>Clinical Validation and Post-Implementation Performance Monitoring of a Neural Network-Assisted Approach for Detecting Chronic Lymphocytic Leukemia Minimal Residual Disease by Flow Cytometry</t>
  </si>
  <si>
    <t>CANCERS</t>
  </si>
  <si>
    <t>artificial intelligence; deep neural network; flow cytometry; chronic lymphocytic leukemia; minimal residual disease; clinical validation; performance monitoring</t>
  </si>
  <si>
    <t>DIAGNOSIS; MODEL</t>
  </si>
  <si>
    <t>Seheult, Jansen/AAB-6713-2020</t>
  </si>
  <si>
    <t>, Matthew Weybright/0009-0007-5658-936X; Seheult, Jansen/0000-0002-6850-7495; Olteanu, Horatiu/0000-0001-5783-4485; Horna, Pedro/0000-0003-4909-6157; Shi, Min/0000-0002-5741-4293</t>
  </si>
  <si>
    <t>35</t>
  </si>
  <si>
    <t>5</t>
  </si>
  <si>
    <t>2072-6694</t>
  </si>
  <si>
    <t>Cancers</t>
  </si>
  <si>
    <t>MAY 17 2025</t>
  </si>
  <si>
    <t>10</t>
  </si>
  <si>
    <t>1688</t>
  </si>
  <si>
    <t>10.3390/cancers17101688</t>
  </si>
  <si>
    <t>http://dx.doi.org/10.3390/cancers17101688</t>
  </si>
  <si>
    <t>Oncology</t>
  </si>
  <si>
    <t>3AF5R</t>
  </si>
  <si>
    <t>40427185</t>
  </si>
  <si>
    <t>WOS:001495518700001</t>
  </si>
  <si>
    <t>Rajabzadeh, M; Krenicky, T; Pitel, B</t>
  </si>
  <si>
    <t>This study adopts a foresight approach to examine the transformations brought about by Artificial Intelligence (AI) and their social, cultural, and institutional implications in Iran. The primary aim is to address three key questions: the opportunities AI presents for enhancing quality of life and social development; the threats and harms arising from the unregulated expansion of this technology; and the strategic outlook and governance scenarios for AI in Iran. The research methodology is qualitative, descriptive-analytical, and based on content analysis of 33 reputable domestic and international articles. Findings indicate that AI can play a significant role in sustainable national development by creating opportunities across sectors such as education, healthcare, industry, culture, security, media, ethics, and identity. Conversely, thematic analysis reveals that unregulated AI development may lead to consequences including job displacement due to automation, deepening digital divides, power concentration within large corporations, weakening of national sovereignty in cyberspace, and disruption of decision-making systems. At the cultural and identity level, threats such as the erosion of human relationships, promotion of non-indigenous values, loss of identity among younger generations, weakening of the Persian language, and reduction of human ethics to algorithmic logic have been identified, making responsible AI development an urgent necessity. Based on analysis of global trends and patterns, five strategic scenarios are proposed: responsible development, technology localization, strengthening university-industry-government collaboration, digital literacy enhancement, and participatory governance. Ultimately, the study emphasizes the need for developing indigenous and ethics-centered policies, improving digital literacy, and establishing participatory, multi-level governance structures to ensure AI becomes an effective, human-centric, and forward-looking tool aligned with Iran's cultural and social objectives.</t>
  </si>
  <si>
    <t>Rajabzadeh, Morteza; Krenicky, Tibor; Pitel, Branislav</t>
  </si>
  <si>
    <t>Emerging Sources Citation Index (ESCI)</t>
  </si>
  <si>
    <t>Krenicky, T (corresponding author), Tech Univ Kosice, Fac Mfg Technol Seat Presov, Kosice, Slovakia.</t>
  </si>
  <si>
    <t>tibor.krenicky@tuke.sk</t>
  </si>
  <si>
    <t>Ministry of Education, Science, Research, and Sport of the Slovak Republic within projects [VEGA 1/0509/23, KEGA 012TUKE-4/2025]; EU NextGenerationEU through the Recovery and Resilience Plan for Slovakia [09I05-03-V02-00042]</t>
  </si>
  <si>
    <t>Ministry of Education, Science, Research, and Sport of the Slovak Republic within projects; EU NextGenerationEU through the Recovery and Resilience Plan for Slovakia</t>
  </si>
  <si>
    <t>This work was supported by the Ministry of Education, Science, Research, and Sport of the Slovak Republic within projects VEGA 1/0509/23 and KEGA 012TUKE-4/2025. The research was funded by the EU NextGenerationEU through the Recovery and Resilience Plan for Slovakia under the project No. 09I05-03-V02-00042.</t>
  </si>
  <si>
    <t>[Rajabzadeh, Morteza] Mahallat Inst Higher Educ, Fac Engn, Mahallat, Iran; [Krenicky, Tibor; Pitel, Branislav] Tech Univ Kosice, Fac Mfg Technol Seat Presov, Kosice, Slovakia</t>
  </si>
  <si>
    <t>Technical University Kosice</t>
  </si>
  <si>
    <t>THE TRANSFORMATIVE LANDSCAPE OF ARTIFICIAL INTELLIGENCE AND THE IMPERATIVES OF GOVERNANCE: A FORESIGHT APPROACH TO EMERGING OPPORTUNITIES AND THREATS</t>
  </si>
  <si>
    <t>MM SCIENCE JOURNAL</t>
  </si>
  <si>
    <t>Artificial Intelligence; Foresight; Participatory Governance; Policy-making; Sustainable Development; Digital Justice; Opportunities and Threats</t>
  </si>
  <si>
    <t>AI</t>
  </si>
  <si>
    <t>Pitel, Branislav/OJV-4817-2025; Krenicky, Tibor/AAB-3459-2020</t>
  </si>
  <si>
    <t>33</t>
  </si>
  <si>
    <t>MM SCIENCE</t>
  </si>
  <si>
    <t>PRAGUE 10</t>
  </si>
  <si>
    <t>PRIPOCNI 1519-10A, PRAGUE 10, 10100, CZECH REPUBLIC</t>
  </si>
  <si>
    <t>1803-1269</t>
  </si>
  <si>
    <t>1805-0476</t>
  </si>
  <si>
    <t>MM SCI J</t>
  </si>
  <si>
    <t>MM Sci. J.</t>
  </si>
  <si>
    <t>OCT 2025</t>
  </si>
  <si>
    <t>10.17973/MMSJ.2025_10_2025074</t>
  </si>
  <si>
    <t>http://dx.doi.org/10.17973/MMSJ.2025_10_2025074</t>
  </si>
  <si>
    <t>Engineering, Mechanical</t>
  </si>
  <si>
    <t>Engineering</t>
  </si>
  <si>
    <t>8DF0U</t>
  </si>
  <si>
    <t>WOS:001585877700001</t>
  </si>
  <si>
    <t>Hillis, C; Bhattacharjee, M; AlMousawi, B; Eltanahy, T; Ono, S; Hui, M; Pham, B; Swab, M; Cormack, GV; Grossman, MR; Bagheri, E; Marshall, Z</t>
  </si>
  <si>
    <t>The field of AI carries inherent risks such as algorithmic biases, security vulnerabilities, and ethical concerns related to privacy and data protection. Despite these risks, AI holds significant promise for social good, with applications ranging from improved healthcare diagnostics to enhanced education strategies. Teaching AI ethics in postsecondary settings has emerged as one of the strategies to mitigate AI-related harms. The objectives of this review are to (1) synthesize existing research related to teaching postsecondary students about the principles and practice of ethics and AI, and (2) identify how educators are evaluating changes in student knowledge, skills, attitudes, and behaviors. This scoping review will follow the first five steps articulated by Arksey and O'Malley. A structured search strategy developed by an academic librarian incorporates three primary concept groups related to education, AI, and ethics. Database search strategies emphasize sensitivity rather than precision, given that a supervised machine learning tool will be used to assist in the identification of relevant abstracts. Searches will be conducted in the following academic databases: PubMed, Embase, Scopus, ERIC, LISTA, IEEE Xplore, APA PsycInfo, and ProQuest Dissertations and Theses. Results will include an up-to-date synthesis of the current state of AI ethics education in postsecondary curricula, evaluated teaching strategies, and potential outcomes associated with AI ethics education. Search results will be reported according to the PRISMA-ScR checklist. Data charting will focus on AI ethics pedagogy. This review will inform future research, policy development, and teaching practices, offering valuable insights for educators, policymakers, and researchers working towards responsible AI integration. Findings will contribute to enhanced understandings of the complexities of AI ethics education and have the potential to shape the ways trainees in multiple disciplines learn about the ethical dimensions of AI in practice.</t>
  </si>
  <si>
    <t>Hillis, Calvin; Bhattacharjee, Maushumi; AlMousawi, Batool; Eltanahy, Tarik; Ono, Sara; Hui, Marcus; Pham, Ba'; Swab, Michelle; Cormack, Gordon V.; Grossman, Maura R.; Bagheri, Ebrahim; Marshall, Zack</t>
  </si>
  <si>
    <t>Bagheri, E (corresponding author), Univ Toronto, Fac Informat, Toronto, ON, Canada.</t>
  </si>
  <si>
    <t>ebrahim.bagheri@utoronto.ca</t>
  </si>
  <si>
    <t>Natural Sciences and Engineering Research Council of Canada (NSERC) [554764-2021]</t>
  </si>
  <si>
    <t>Natural Sciences and Engineering Research Council of Canada (NSERC) (Natural Sciences and Engineering Research Council of Canada (NSERC))</t>
  </si>
  <si>
    <t>The Natural Sciences and Engineering Research Council of Canada (NSERC) provided student scholarship funding through Grant ID 554764-2021 (EB, MG, ZM). The funders had no role in the study design, data collection and analysis, decision to publish, or preparation of the manuscript. https://www.nserc-crsng.gc.ca/ase-oro/Details-Detailles_eng.asp?id=722656. We would like to clarify that funding was not granted for this specific project and it has not been peer reviewed. NSERC-CREATE funding was solely for student fellowships. For these reasons, no funding letter is attached.</t>
  </si>
  <si>
    <t>[Hillis, Calvin; Eltanahy, Tarik; Ono, Sara] Toronto Metropolitan Univ, Creat Sch, Toronto, ON, Canada; [Bhattacharjee, Maushumi] McGill Univ, Fac Law, Montreal, PQ, Canada; [AlMousawi, Batool] Univ Toronto, Dalla Lana Sch Publ Hlth, Toronto, ON, Canada; [Hui, Marcus] Queens Univ, Dept Biol, Kingston, ON, Canada; [Pham, Ba'] Univ Toronto, Toronto Hlth Econ &amp; Technol Assessment Collaborat, Toronto, ON, Canada; [Swab, Michelle] Mem Univ Newfoundland, Hlth Sci Lib, St John, NF, Canada; [Cormack, Gordon V.; Grossman, Maura R.] Univ Waterloo, David R Cheriton Sch Comp Sci, Waterloo, ON, Canada; [Bagheri, Ebrahim] Univ Toronto, Fac Informat, Toronto, ON, Canada; [Marshall, Zack] Univ Calgary, Dept Community Hlth Sci, Calgary, AB, Canada; [Marshall, Zack] McGill Univ, Sch Social Work, Montreal, PQ, Canada</t>
  </si>
  <si>
    <t>Toronto Metropolitan University; McGill University; University of Toronto; Queens University - Canada; University of Toronto; Memorial University Newfoundland; University of Waterloo; University of Toronto; University of Calgary; McGill University</t>
  </si>
  <si>
    <t>Teaching postsecondary students about the ethics of artificial intelligence: A scoping review protocol</t>
  </si>
  <si>
    <t>PLOS ONE</t>
  </si>
  <si>
    <t>EDUCATION</t>
  </si>
  <si>
    <t>AlMousawi, Batool/OZE-9848-2025; Marshall, Zack/AAB-2866-2020; Swab, Michelle/L-3247-2018</t>
  </si>
  <si>
    <t>Bhattacharjee, Maushumi/0000-0003-1702-7640; Marshall, Zack/0000-0003-2315-3512; Swab, Michelle/0000-0001-6504-4299</t>
  </si>
  <si>
    <t>PUBLIC LIBRARY SCIENCE</t>
  </si>
  <si>
    <t>SAN FRANCISCO</t>
  </si>
  <si>
    <t>1160 BATTERY STREET, STE 100, SAN FRANCISCO, CA 94111 USA</t>
  </si>
  <si>
    <t>1932-6203</t>
  </si>
  <si>
    <t>PLoS One</t>
  </si>
  <si>
    <t>JUL 28 2025</t>
  </si>
  <si>
    <t>7</t>
  </si>
  <si>
    <t>e0329020</t>
  </si>
  <si>
    <t>10.1371/journal.pone.0329020</t>
  </si>
  <si>
    <t>http://dx.doi.org/10.1371/journal.pone.0329020</t>
  </si>
  <si>
    <t>Multidisciplinary Sciences</t>
  </si>
  <si>
    <t>Science &amp; Technology - Other Topics</t>
  </si>
  <si>
    <t>5LM4A</t>
  </si>
  <si>
    <t>40720419</t>
  </si>
  <si>
    <t>WOS:001538515200017</t>
  </si>
  <si>
    <t>Hammerschmidt, T</t>
  </si>
  <si>
    <t>This study examines how ethical standards established by stakeholders such as developers and policymakers provide top-down guidance aligned with deontological ethics or utilitarian goals. It also highlights a complementary bottom-up approach, rooted in virtue ethics, in which individuals engage in ethical deliberations shaped by their moral values. Both approaches have limitations, and, at times, ethical standards can clash with moral values, thus blurring lines of responsibilities. Deontological principles may offer a structured framework, but often lack adaptability to diverse cultural contexts; bottom-up approaches foster intrinsic moral intentions, but universal applicability may be challenging, thus raising moral dilemmas. Through a theoretical literature review, this study explains how different ontological and normative ethical perceptions lead to moral dilemmas in various AI application scenarios (e.g., algorithmically managed platforms, crime detection systems, medical AI assistants). It addresses top-down and bottom-up approaches that may help account for moral dilemmas ethically. The study discusses the balance between top-down regulatory frameworks and bottom-up community-driven ethics to navigate the complex ethical landscape of AI applications, whose increasing capabilities alter expectations of AI's agency and morality. This study calls for holistic and multi-objective ethical frameworks that incorporate diverse normative ethical perspectives and recognizes context-specific ontologies throughout the AI lifecycle. It emphasizes a nuanced and context-specific combination of top-down standards (e.g., regulatory oversight, clear guidelines) and bottom-up fostering of moral values (e.g., by improving ethical knowledge). This tailored and ongoing reflection of ethical standards and moral values accounts for an ethical development, deployment, and utilization of AI technologies.</t>
  </si>
  <si>
    <t>Hammerschmidt, Teresa</t>
  </si>
  <si>
    <t>Social Science Citation Index (SSCI); Arts &amp; Humanities Citation Index (A&amp;HCI)</t>
  </si>
  <si>
    <t>Hammerschmidt, T (corresponding author), Univ Bamberg, Informat Syst &amp; Social Networks, Weberei 5, D-96047 Bamberg, Germany.</t>
  </si>
  <si>
    <t>teresa.heyder@uni-bamberg.de</t>
  </si>
  <si>
    <t>Projekt DEAL</t>
  </si>
  <si>
    <t>Projekt DEAL (Projekt DEAL)</t>
  </si>
  <si>
    <t>Open Access funding enabled and organized by Projekt DEAL.</t>
  </si>
  <si>
    <t>[Hammerschmidt, Teresa] Univ Bamberg, Informat Syst &amp; Social Networks, Weberei 5, D-96047 Bamberg, Germany</t>
  </si>
  <si>
    <t>Otto Friedrich University Bamberg</t>
  </si>
  <si>
    <t>Navigating the Nexus of ethical standards and moral values</t>
  </si>
  <si>
    <t>ETHICS AND INFORMATION TECHNOLOGY</t>
  </si>
  <si>
    <t>Literature review; AI ethics; AI governance; Normative ethics</t>
  </si>
  <si>
    <t>ARTIFICIAL-INTELLIGENCE; AI; SYSTEMS; SOCIOMATERIALITY; RESPONSIBILITY; TECHNOLOGY; MANAGEMENT; DESIGN</t>
  </si>
  <si>
    <t>Heyder, Teresa/0000-0003-2164-3825</t>
  </si>
  <si>
    <t>95</t>
  </si>
  <si>
    <t>2</t>
  </si>
  <si>
    <t>19</t>
  </si>
  <si>
    <t>SPRINGER</t>
  </si>
  <si>
    <t>DORDRECHT</t>
  </si>
  <si>
    <t>VAN GODEWIJCKSTRAAT 30, 3311 GZ DORDRECHT, NETHERLANDS</t>
  </si>
  <si>
    <t>1388-1957</t>
  </si>
  <si>
    <t>1572-8439</t>
  </si>
  <si>
    <t>ETHICS INF TECHNOL</t>
  </si>
  <si>
    <t>Ethics Inf. Technol.</t>
  </si>
  <si>
    <t>MAR 24 2025</t>
  </si>
  <si>
    <t>10.1007/s10676-025-09826-5</t>
  </si>
  <si>
    <t>http://dx.doi.org/10.1007/s10676-025-09826-5</t>
  </si>
  <si>
    <t>Ethics; Information Science &amp; Library Science; Philosophy</t>
  </si>
  <si>
    <t>Social Sciences - Other Topics; Information Science &amp; Library Science; Philosophy</t>
  </si>
  <si>
    <t>1FD3Q</t>
  </si>
  <si>
    <t>WOS:001463551900001</t>
  </si>
  <si>
    <t>hybrid</t>
  </si>
  <si>
    <t>Agbemabiese, WT</t>
  </si>
  <si>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continuous embedding space, enabling gradient-based learning while maintaining interpretability without rule-based brittleness. Key contributions include mathematical formalization of constitutional reasoning, architectural integration, runtime validation, principled conflict resolution, Pareto-optimal trade-offs, and scalable implementation (O(k/n) overhead). Validation through theoretical analysis, worked examples, and proof-of-concept implementation (approximately 250 lines of Python code) demonstrates feasibility across medical AI, financial automation, food safety and traceability, energy systems, mobility and transportation, public-sector governance, cybersecurity operations, critical-infrastructure monitoring, environmental sustainability, legal-tech applications, national identity systems, defense and emergency response, and educational systems, providing a pathway toward production deployment for autonomous AI with verifiable alignment guarantees. Unlike existing Constitutional AI approaches that apply principles only during training, this framework provides continuous runtime enforcement through architectural modifications to the attention mechanism itself, enabling alignment that persists through deployment and adapts to novel contexts.</t>
  </si>
  <si>
    <t>Agbemabiese, William Torgbi</t>
  </si>
  <si>
    <t>Agbemabiese, WT (corresponding author), GodKing Agile Syst GAS Res &amp; Innovat, Accra 00233, Ghana.</t>
  </si>
  <si>
    <t>torgbi@gmail.com</t>
  </si>
  <si>
    <t>[Agbemabiese, William Torgbi] GodKing Agile Syst GAS Res &amp; Innovat, Accra 00233, Ghana</t>
  </si>
  <si>
    <t>Toward Constitutional Autonomy in AI Systems: A Theoretical Framework for Aligned Agentic Intelligence</t>
  </si>
  <si>
    <t>Artificial intelligence; Runtime; Training; Ethics; Cognition; Scalability; Reinforcement learning; Optimization; Artificial general intelligence; Vectors; Agentic systems; AI alignment; AI governance; artificial general intelligence; constitutional AI; long-horizon autonomy; runtime validation; sociotechnical validation; theoretical framework</t>
  </si>
  <si>
    <t>14</t>
  </si>
  <si>
    <t>11385</t>
  </si>
  <si>
    <t>11402</t>
  </si>
  <si>
    <t>10.1109/ACCESS.2026.3654907</t>
  </si>
  <si>
    <t>http://dx.doi.org/10.1109/ACCESS.2026.3654907</t>
  </si>
  <si>
    <t>18</t>
  </si>
  <si>
    <t>CT1IC</t>
  </si>
  <si>
    <t>WOS:001673800400026</t>
  </si>
  <si>
    <t>Shvetsova, O; Katalshov, D; Lee, SK</t>
  </si>
  <si>
    <t>Featured Application The proposed intelligent filtering system can be seamlessly integrated into platforms utilizing large language models (LLMs), including customer service chatbots, educational tutors, healthcare assistants, and code-generation tools. By dynamically identifying and mitigating harmful, biased, or unethical outputs in real time, the system significantly enhances the safety and reliability of LLM-powered applications. This approach supports the responsible deployment of generative artificial intelligence (AI) technologies by ensuring adherence to ethical standards and regulatory frameworks while simultaneously preserving a high-quality user experience.Abstract This paper proposes a technological framework designed to mitigate the inherent risks associated with the deployment of artificial intelligence (AI) in decision-making and task execution within the management processes. The Agreement Validation Interface (AVI) functions as a modular Application Programming Interface (API) Gateway positioned between user applications and LLMs. This gateway architecture is designed to be LLM-agnostic, meaning it can operate with various underlying LLMs without requiring specific modifications for each model. This universality is achieved by standardizing the interface for requests and responses and applying a consistent set of validation and enhancement processes irrespective of the chosen LLM provider, thus offering a consistent governance layer across a diverse LLM ecosystem. AVI facilitates the orchestration of multiple AI subcomponents for input-output validation, response evaluation, and contextual reasoning, thereby enabling real-time, bidirectional filtering of user interactions. A proof-of-concept (PoC) implementation of AVI was developed and rigorously evaluated using industry-standard benchmarks. The system was tested for its effectiveness in mitigating adversarial prompts, reducing toxic outputs, detecting personally identifiable information (PII), and enhancing factual consistency. The results demonstrated that AVI reduced successful fast injection attacks by 82%, decreased toxic content generation by 75%, and achieved high PII detection performance (F1-score approximate to 0.95). Furthermore, the contextual reasoning module significantly improved the neutrality and factual validity of model outputs. Although the integration of AVI introduced a moderate increase in latency, the overall framework effectively enhanced the reliability, safety, and interpretability of LLM-driven applications. AVI provides a scalable and adaptable architectural template for the responsible deployment of generative AI in high-stakes domains such as finance, healthcare, and education, promoting safer and more ethical use of AI technologies.</t>
  </si>
  <si>
    <t>Shvetsova, Olga; Katalshov, Danila; Lee, Sang-Kon</t>
  </si>
  <si>
    <t>Lee, SK (corresponding author), Korea Univ Technol &amp; Educ KOREATECH, Sch Ind Management, Cheonan Si 31254, South Korea.</t>
  </si>
  <si>
    <t>shvetsova@koreatech.ac.kr; sklee@koreatech.ac.kr; katalshovd@gmail.com</t>
  </si>
  <si>
    <t>Korea government (MSIT) [IITP-2025-RS-2024-00436765, 202302470001/202403380001, 2024/2024-2025]; Institute of Information &amp; Communications Technology Planning &amp; Evaluation (IITP) - Korea government (MSIT)</t>
  </si>
  <si>
    <t>Korea government (MSIT) (Korean Government); Institute of Information &amp; Communications Technology Planning &amp; Evaluation (IITP) - Korea government (MSIT)</t>
  </si>
  <si>
    <t>(a) This work was supported by the Institute of Information &amp; Communications Technology Planning &amp; Evaluation (IITP)-Innovative Human Resource Development for Local Intellectualization program grant funded by the Korea government (MSIT) (IITP-2025-RS-2024-00436765). (b) This research is supported by internal research funds for Professors of Korea University of Technology and Education # (202302470001/202403380001) (Educational Research Promotion Project "AI for Innovative Ecosystem"/"The Role of AI in Global Business" (period of 2023-2024/2024-2025).</t>
  </si>
  <si>
    <t>[Shvetsova, Olga; Katalshov, Danila; Lee, Sang-Kon] Korea Univ Technol &amp; Educ KOREATECH, Sch Ind Management, Cheonan Si 31254, South Korea</t>
  </si>
  <si>
    <t>Korea University of Technology &amp; Education</t>
  </si>
  <si>
    <t>Innovative Guardrails for Generative AI: Designing an Intelligent Filter for Safe and Responsible LLM Deployment</t>
  </si>
  <si>
    <t>APPLIED SCIENCES-BASEL</t>
  </si>
  <si>
    <t>generative AI; large language models (LLMs); AI safety; content filtering; AI ethics; responsible AI; Compound AI; prompt injection; API gateway; information security</t>
  </si>
  <si>
    <t>Shvetsova, Olga/E-1626-2018</t>
  </si>
  <si>
    <t>Katalshov, Danila/0009-0009-9119-4384; Shvetsova, Olga/0000-0002-9489-0942</t>
  </si>
  <si>
    <t>68</t>
  </si>
  <si>
    <t>8</t>
  </si>
  <si>
    <t>48</t>
  </si>
  <si>
    <t>2076-3417</t>
  </si>
  <si>
    <t>APPL SCI-BASEL</t>
  </si>
  <si>
    <t>Appl. Sci.-Basel</t>
  </si>
  <si>
    <t>JUN 28 2025</t>
  </si>
  <si>
    <t>13</t>
  </si>
  <si>
    <t>7298</t>
  </si>
  <si>
    <t>10.3390/app15137298</t>
  </si>
  <si>
    <t>http://dx.doi.org/10.3390/app15137298</t>
  </si>
  <si>
    <t>Chemistry, Multidisciplinary; Engineering, Multidisciplinary; Materials Science, Multidisciplinary; Physics, Applied</t>
  </si>
  <si>
    <t>Chemistry; Engineering; Materials Science; Physics</t>
  </si>
  <si>
    <t>4TI9I</t>
  </si>
  <si>
    <t>WOS:001526198800001</t>
  </si>
  <si>
    <t>Brauner, P; Glawe, F; Liehner, GL; Vervier, L; Ziefle, M</t>
  </si>
  <si>
    <t>Artificial intelligence (AI) is reshaping society, raising questions about trust, risks, and the asymmetries between public and academic perspectives. We examine how the German public (N = 1,110), comprising individuals who interact with or are affected by AI, and academic AI experts (N = 119, mainly from Germany), who contribute to research, educate practitioners, and inform policymaking, construct mental models of AI's capabilities and impacts across 71 scenarios. These scenarios span diverse domains (including sustainability, healthcare, employment, inequality, art, and warfare) and were evaluated across four dimensions using the psychometric model: likelihood, perceived risk, perceived benefit, and overall value. Across scenarios, academic experts generally anticipated higher probabilities of occurrence, perceived lower risks, and reported greater benefits than the public, while also expressing more positive overall evaluations of AI. Beyond differences in absolute assessments, the two groups exhibited systematically different evaluative patterns: experts' value judgments were driven primarily by perceived benefits (beta=0.623\documentclass[12pt]{minimal} \usepackage{amsmath} \usepackage{wasysym} \usepackage{amsfonts} \usepackage{amssymb} \usepackage{amsbsy} \usepackage{mathrsfs} \usepackage{upgreek} \setlength{\oddsidemargin}{-69pt} \begin{document}$$\beta = 0.623$$\end{document} vs. beta=0.623\documentclass[12pt]{minimal} \usepackage{amsmath} \usepackage{wasysym} \usepackage{amsfonts} \usepackage{amssymb} \usepackage{amsbsy} \usepackage{mathrsfs} \usepackage{upgreek} \setlength{\oddsidemargin}{-69pt} \begin{document}$$\beta = 0.623$$\end{document}), whereas public evaluations placed more weight on perceived risks (beta=0.703\documentclass[12pt]{minimal} \usepackage{amsmath} \usepackage{wasysym} \usepackage{amsfonts} \usepackage{amssymb} \usepackage{amsbsy} \usepackage{mathrsfs} \usepackage{upgreek} \setlength{\oddsidemargin}{-69pt} \begin{document}$$\beta = 0.703$$\end{document} vs. beta=0.361\documentclass[12pt]{minimal} \usepackage{amsmath} \usepackage{wasysym} \usepackage{amsfonts} \usepackage{amssymb} \usepackage{amsbsy} \usepackage{mathrsfs} \usepackage{upgreek} \setlength{\oddsidemargin}{-69pt} \begin{document}$$\beta = 0.361$$\end{document}), reflecting distinct risk-benefit trade-offs. Visual mappings indicate convergent domains (e.g., medical diagnoses and criminal use) and tension points (e.g., justice and political decision-making) that may warrant targeted communication or policy attention. While this study does not assess AI systems or design practices directly, the observed divergence in mental models suggests that the research, implementation, and use of AI may inadvertently neglect the risk-related priorities of the public. Such biases in research and implementation may yield "procrustean AI"-systems insufficiently aligned with the needs of the affected public (akin to the Bed of Procrustes). We address the socio-technical challenge of expert-centric governance and advocate for participatory practices.</t>
  </si>
  <si>
    <t>Brauner, Philipp; Glawe, Felix; Liehner, Gian Luca; Vervier, Luisa; Ziefle, Martina</t>
  </si>
  <si>
    <t>Brauner, P (corresponding author), Rhein Westfal TH Aachen, Commun Sci, Aachen, Germany.</t>
  </si>
  <si>
    <t>brauner@comm.rwth-aachen.de</t>
  </si>
  <si>
    <t>Deutsche Forschungsgemeinschaft, Germany [390621612]; RWTH Aachen University (3131)</t>
  </si>
  <si>
    <t>Deutsche Forschungsgemeinschaft, Germany (German Research Foundation (DFG)); RWTH Aachen University (3131)</t>
  </si>
  <si>
    <t>[Brauner, Philipp; Glawe, Felix; Liehner, Gian Luca; Vervier, Luisa; Ziefle, Martina] Rhein Westfal TH Aachen, Commun Sci, Aachen, Germany</t>
  </si>
  <si>
    <t>RWTH Aachen University</t>
  </si>
  <si>
    <t>Charting the AI perception gap: divergent views on risk, benefit, and value between experts and the public challenge the societal acceptance of AI</t>
  </si>
  <si>
    <t>AI &amp; SOCIETY</t>
  </si>
  <si>
    <t>Article; Early Access</t>
  </si>
  <si>
    <t>Public perception; AI governance; Societal integration of technology; AI alignment; Expert-layperson comparison; Science and technology studies</t>
  </si>
  <si>
    <t>ARTIFICIAL-INTELLIGENCE; SYSTEMS; TECHNOLOGY; INTERNET; MEDIA</t>
  </si>
  <si>
    <t>Brauner, Philipp/H-5038-2017</t>
  </si>
  <si>
    <t>Brauner, Philipp/0000-0003-2837-5181</t>
  </si>
  <si>
    <t>118</t>
  </si>
  <si>
    <t>NEW YORK</t>
  </si>
  <si>
    <t>ONE NEW YORK PLAZA, SUITE 4600, NEW YORK, NY, UNITED STATES</t>
  </si>
  <si>
    <t>0951-5666</t>
  </si>
  <si>
    <t>1435-5655</t>
  </si>
  <si>
    <t>AI SOC</t>
  </si>
  <si>
    <t>AI Soc.</t>
  </si>
  <si>
    <t>10.1007/s00146-026-03023-8</t>
  </si>
  <si>
    <t>http://dx.doi.org/10.1007/s00146-026-03023-8</t>
  </si>
  <si>
    <t>APR 2026</t>
  </si>
  <si>
    <t>Computer Science, Artificial Intelligence</t>
  </si>
  <si>
    <t>Computer Science</t>
  </si>
  <si>
    <t>HF6VU</t>
  </si>
  <si>
    <t>WOS:001752934800001</t>
  </si>
  <si>
    <t>hybrid; Green Submitted</t>
  </si>
  <si>
    <t>Kunze, KN; Barad, A</t>
  </si>
  <si>
    <t>Establishing an artificial intelligence (AI) infrastructure is contingent upon processes being conducted within structured regulatory frameworks that adhere to existing best practices. Institutional policies should include the development of an AI governance body with the goals of proactively monitoring deployed AI solutions for deviations in performance, responsibly scaling them, mitigating potential biases, and ensuring the fundamental principles of transparency and accountability are followed. Specific regulatory considerations include ensuring compliance with Food and Drug Administration regulations as well as ensuring data privacy and Health Insurance Portability and Accountability Act compliance. Implementation challenges that must be considered include workflow integration of AI solutions, user acceptance and trust, initiating a change in hospital culture toward embracing new technology, and building a sustainable technical foundation for maintenance and continuous learning. Emphasizing these considerations is essential to fostering compliant and responsible use of AI that maximizes value and quality of care delivered across a health care system. Likewise, a top-down focus on ethics surrounding responsible use of AI, measures toward the reduction in bias, and emphasizing explainability of AI decision-making will be critical for sustainable and trustworthy integration of systems-wide AI solutions.</t>
  </si>
  <si>
    <t>Kunze, Kyle N.; Barad, Ashis</t>
  </si>
  <si>
    <t>Kunze, KN (corresponding author), Hosp Special Surg, 535 E 70th St, New York, NY 10021 USA.</t>
  </si>
  <si>
    <t>kylekunze7@gmail.com</t>
  </si>
  <si>
    <t>[Kunze, Kyle N.; Barad, Ashis] Hosp Special Surg, Dept Orthopaed Surg, New York, NY 10021 USA</t>
  </si>
  <si>
    <t>Establishing a Sustainable Artificial Intelligence Infrastructure for Health Care Systems Part II: Consideration of Key Regulatory and Bioethical Barriers to Implementation</t>
  </si>
  <si>
    <t>ARTHROSCOPY-THE JOURNAL OF ARTHROSCOPIC AND RELATED SURGERY</t>
  </si>
  <si>
    <t>AI; ALGORITHMS</t>
  </si>
  <si>
    <t>WILEY</t>
  </si>
  <si>
    <t>HOBOKEN</t>
  </si>
  <si>
    <t>111 RIVER ST, HOBOKEN 07030-5774, NJ USA</t>
  </si>
  <si>
    <t>0749-8063</t>
  </si>
  <si>
    <t>1526-3231</t>
  </si>
  <si>
    <t>ARTHROSCOPY</t>
  </si>
  <si>
    <t>Arthroscopy</t>
  </si>
  <si>
    <t>10.1002/arj.70231</t>
  </si>
  <si>
    <t>http://dx.doi.org/10.1002/arj.70231</t>
  </si>
  <si>
    <t>MAY 2026</t>
  </si>
  <si>
    <t>Orthopedics; Sport Sciences; Surgery</t>
  </si>
  <si>
    <t>HQ4NE</t>
  </si>
  <si>
    <t>42101050</t>
  </si>
  <si>
    <t>WOS:001760243800001</t>
  </si>
  <si>
    <t>Bandara, E; Gore, R; Shetty, S; Mukkamala, R; Rhea, CK; Samulski, BS; Hass, A; Yarlagadda, A; Kaushik, S; De Silva, M; Maznychenko, A; Sokolowska, I; De Zoysa, K</t>
  </si>
  <si>
    <t>Background/Objectives: Accurate assessment of neuromuscular reflexes, such as the Hoffmann reflex (H-reflex), plays a critical role in sports science, rehabilitation, and clinical neurology. Conventional interpretation of H-reflex electromyography (EMG) waveforms is subject to inter-rater variability and interpretive bias, limiting reliability and standardization. This study aims to develop an automated, interpretable, and robust agentic AI-driven framework for H-reflex waveform analysis. Methods: We propose a fine-tuned Vision-Language Model (VLM) consortium combined with a reasoning Large Language Model (LLM)-enabled decision support system for automated H-reflex interpretation. Multiple VLMs were fine-tuned on curated datasets of H-reflex EMG waveform images annotated with expert clinical observations, recovery timelines, and athlete metadata. The VLM outputs were aggregated using a consensus-based strategy and further refined by a specialized reasoning LLM to ensure coherent, transparent, and explainable diagnostic assessments. Model fine-tuning employed Low-Rank Adaptation (LoRA) and 4-bit quantization to enable efficient deployment on consumer-grade hardware. Results: Experimental evaluation demonstrated that the proposed hybrid system delivers accurate, consistent, and clinically interpretable assessments of neuromuscular states, including fatigue, injury, and recovery, directly from EMG waveform images and contextual metadata. Compared with baseline models, the fine-tuned VLM consortium exhibited substantially improved precision, consistency, and contextual awareness, while the reasoning LLM enhanced diagnostic coherence through cross-model consensus and structured reasoning, thereby supporting responsible and explainable AI-driven decision making. Conclusions: This work presents, to the authors' knowledge, the first integration of a responsible and explainable AI-driven decision support system for H-reflex analysis. The proposed framework advances the automation and standardization of neuromuscular diagnostics and establishes a foundation for next-generation AI-assisted decision support systems in sports performance monitoring, rehabilitation, and clinical neurophysiology.</t>
  </si>
  <si>
    <t>Bandara, Eranga; Gore, Ross; Shetty, Sachin; Mukkamala, Ravi; Rhea, Christopher K.; Samulski, Brittany S.; Hass, Amin; Yarlagadda, Atmaram; Kaushik, Shaifali; De Silva, Malith; Maznychenko, Andriy; Sokolowska, Inna; De Zoysa, Kasun</t>
  </si>
  <si>
    <t>Bandara, E (corresponding author), Old Dominion Univ, Virginia Modeling Anal &amp; Simulat Ctr, Suffolk, VA 23435 USA.</t>
  </si>
  <si>
    <t>cmedawer@odu.edu</t>
  </si>
  <si>
    <t>[Bandara, Eranga; Gore, Ross; Shetty, Sachin; Mukkamala, Ravi] Old Dominion Univ, Virginia Modeling Anal &amp; Simulat Ctr, Suffolk, VA 23435 USA; [Rhea, Christopher K.; Samulski, Brittany S.] Old Dominion Univ, Ellmer Coll Hlth Sci, Norfolk, VA 23508 USA; [Hass, Amin] AnaletIQ, Washington, DC 21206 USA; [Yarlagadda, Atmaram; Kaushik, Shaifali] McDonald Army Hlth Ctr, Newport News, VA 23604 USA; [De Silva, Malith; Maznychenko, Andriy; Sokolowska, Inna] Gdansk Univ Phys Educ &amp; Sport, Dept Sports Theory &amp; Human Motor Skills, PL-80336 Gdansk, Poland; [Maznychenko, Andriy] Natl Acad Sci Ukraine, Bogomolets Inst Physiol, UA-01024 Kyiv, Ukraine; [De Zoysa, Kasun] Univ Colombo, Sch Comp, Colombo 00700, Sri Lanka</t>
  </si>
  <si>
    <t>Old Dominion University; Old Dominion University; Gdansk University of Physical Education &amp; Sport; National Academy of Sciences Ukraine; University of Colombo</t>
  </si>
  <si>
    <t>Standardization of Neuromuscular Reflex Analysis-Role of Fine-Tuned Vision-Language Model Consortium and OpenAI gpt-oss Reasoning LLM-Enabled Decision Support System</t>
  </si>
  <si>
    <t>BIOMECHANICS</t>
  </si>
  <si>
    <t>H-reflex analysis; neuromuscular diagnostics; sports performance monitoring; vision-language model; responsible AI; explainable AI</t>
  </si>
  <si>
    <t>Maznychenko, Andriy/O-6776-2017; Gore, Ross/AIE-5744-2022; Bandara, Eranga/JTV-7114-2023</t>
  </si>
  <si>
    <t>Gore, Ross/0000-0003-4065-6146</t>
  </si>
  <si>
    <t>51</t>
  </si>
  <si>
    <t>2673-7078</t>
  </si>
  <si>
    <t>BIOMECHANICS-BASEL</t>
  </si>
  <si>
    <t>Biomechanics</t>
  </si>
  <si>
    <t>FEB 27 2026</t>
  </si>
  <si>
    <t>23</t>
  </si>
  <si>
    <t>10.3390/biomechanics6010023</t>
  </si>
  <si>
    <t>http://dx.doi.org/10.3390/biomechanics6010023</t>
  </si>
  <si>
    <t>Biophysics; Engineering, Biomedical; Sport Sciences</t>
  </si>
  <si>
    <t>Biophysics; Engineering; Sport Sciences</t>
  </si>
  <si>
    <t>FR5XB</t>
  </si>
  <si>
    <t>WOS:001725724200001</t>
  </si>
  <si>
    <t>Gross, SA; Shaukat, A; Afzali, A; Ahn, JC; Bajaj, JS; Barkin, JA; Bilal, M; Chawla, S; Coelho-Prabhu, N; Enslin, SM; Feld, AD; Gagneja, HK; Hass, DJ; Hernandez-Barco, YG; Horst, SN; Jacobson, BC; Jones, PD; Kaul, V; Kushnir, VM; Leggett, CL; Leung, G; Mascarenhas, M; Parasa, S; Parsa, N; Schairer, JN; Shah, ED; Simonetto, DA; Spiegel, B; Stidham, RW; Suthrum, P; Thomas, S; Phillips, ME</t>
  </si>
  <si>
    <t>INTRODUCTION:The American College of Gastroenterology assembled a multidisciplinary task force to evaluate the current state and future direction of artificial intelligence (AI) in gastroenterology, hepatology, and endoscopy leading to the development of consensus-based recommendations for responsible AI integration in clinical practice.METHODS:A total of 32 subject-matter experts and 12 industry partners, representing diverse practice settings and expertise, conducted subgroup literature reviews across 5 key areas (endoscopy, practice management clinical applications, training and education, inflammatory bowel disease and liver disease, ethics and equity). Draft statements were developed and rated on a 5-point Likert scale using a modified Delphi process. A consensus was set at &gt;= 70% combined agreement. Nonconsensus items were revised and revoted electronically.RESULTS:A total of 43 statements, 40 (93%) reached consensus in round 1 and the remaining 3 achieved consensus after round 2. Evidence supports computer-aided detection improving adenoma detection rate and miss rate in controlled studies, with mixed real-world impact and insufficient long-term outcomes (e.g., interval colon cancer rate). Recommendations emphasize thorough validation and reduction of bias by heterogeneous Data sets. Outside endoscopy, ambient AI scribes, natural language processing (NLP)-enabled coding, workflow optimization, and previous authorization support show potential. Training recommendations endorse a structured AI curriculum while preserving independent procedural competence to avoid deskilling. In inflammatory bowel disease and hepatology, AI could help improve diagnostic accuracy, help predict risk of disease progression, and help guide therapy. Equity, governance, and reimbursement statements call for chain-of-custody data protections, specialty-society oversight, and payment models that reward quality and cost reduction.DISCUSSION:This consensus outlines how AI can augment rather than replace clinical expertise while promoting safety, transparency, interoperability, and equity. Priorities include pragmatic and prospective trials, multi-institutional data-sharing consortia, bias mitigation, and workforce training to enable trustworthy and clinically impactful AI adoption in gastroenterology, liver, and endoscopy care.</t>
  </si>
  <si>
    <t>Gross, Seth A.; Shaukat, Aasma; Afzali, Anita; Ahn, Joseph C.; Bajaj, Jasmohan S.; Barkin, Jodie A.; Bilal, Mohammad; Chawla, Saurabh; Coelho-Prabhu, Nayantara; Enslin, Sarah M.; Feld, Andrew D.; Gagneja, Harish K.; Hass, David J.; Hernandez-Barco, Yasmin G.; Horst, Sara N.; Jacobson, Brian C.; Jones, Patricia D.; Kaul, Vivek; Kushnir, Vladimir M.; Leggett, Cadman L.; Leung, Galen; Mascarenhas, Miguel; Parasa, Sravanthi; Parsa, Nasim; Schairer, Jason N.; Shah, Eric D.; Simonetto, Douglas A.; Spiegel, Brennan; Stidham, Ryan W.; Suthrum, Praveen; Thomas, Sapna; Phillips, Meridith E.</t>
  </si>
  <si>
    <t>Shaukat, A (corresponding author), NYU Langone Hlth, Div Gastroenterol &amp; Hepatol, New York, NY 10016 USA.</t>
  </si>
  <si>
    <t>Aasma.shaukat@nyulangone.org; afeld@uw.edu; jabarkin@med.miami.edu; vkushnir@wustl.edu; miguelmascarenhassaraiva@gmail.com; jasmohan@hotmail.com; billa17@hotmail.com; bcjacobson@mgh.harvard.edu; Stidham.Ryan@mayo.edu; afzaliaa@ucmail.uc.edu; vivek_kaul@urmc.rochester.edu; simonetto.douglas@mayo.edu; mphillips@gi.org; jschair2@hfhs.org; ershah@med.umich.edu; brennan.spiegel@cshs.org; dhass@gastrocenter.org; vaidhya209@gmail.com; Seth.Gross@nyulangone.org; hgagneja@yahoo.com; praveen.suthrum@gmail.com; schawla2@gmail.com; YHERNANDEZ-BARCO@mgh.harvard.edu; sara.n.horst@vumc.org; pdjones@med.miami.edu; leggett.cadman@mayo.edu; leung.galen@gmail.com; ahn.joseph@mayo.edu; svthomas26@yahoo.com; sarah_enslin@urmc.rochester.edu; CoelhoPrabhu.Nayantara@mayo.edu; nasimprs@gmail.com</t>
  </si>
  <si>
    <t>Medtronic; Castle Biosciences; Eli Lilly; Exact Sciences; Fujifilm; Iterative Health; Olympus Corporation of the Americas; Provation</t>
  </si>
  <si>
    <t>Medtronic (Medtronic); Castle Biosciences; Eli Lilly (Eli Lilly); Exact Sciences; Fujifilm; Iterative Health; Olympus Corporation of the Americas; Provation</t>
  </si>
  <si>
    <t>The ACG Artificial Intelligence Summit for Responsible, Sustainable, Science Grounded and Transparent Uses of AI is supported by Medtronic. Additional support has been provided by Castle Biosciences, Eli Lilly, Exact Sciences, Fujifilm, Iterative Health, Olympus Corporation of the Americas, and Provation.</t>
  </si>
  <si>
    <t>[Gross, Seth A.; Shaukat, Aasma; Leung, Galen] NYU Langone Hlth, Div Gastroenterol &amp; Hepatol, New York, NY 10016 USA; [Afzali, Anita] Univ Cincinnati, Coll Med, Dept Internal Med, Cincinnati, OH USA; [Ahn, Joseph C.; Coelho-Prabhu, Nayantara; Leggett, Cadman L.; Simonetto, Douglas A.] Mayo Clin, Div Gastroenterol &amp; Hepatol, Rochester, MN USA; [Bajaj, Jasmohan S.] Virginia Commonwealth Univ, Dept Med, Richmond, VA USA; [Bajaj, Jasmohan S.] Richmond VA Med Ctr, Richmond, VA USA; [Barkin, Jodie A.; Jones, Patricia D.] Univ Miami, Miller Sch Med, Div Digest Hlth &amp; Liver Dis, Miami, FL USA; [Bilal, Mohammad] Univ Colorado, Div Gastroenterol &amp; Hepatol, Anschutz Med Campus, Aurora, CO USA; [Chawla, Saurabh] Emory Univ, Sch Med, Dept Med, Div Digest Dis, Atlanta, GA USA; [Enslin, Sarah M.; Kaul, Vivek] Univ Rochester, Med Ctr, Div Gastroenterol &amp; Hepatol, Rochester, NY USA; [Feld, Andrew D.] Kaiser Permanente Washington State, Div Gastroenterol, Seattle, WA USA; [Gagneja, Harish K.] Austin Gastroenterol PA, Austin, TX USA; [Hass, David J.] Yale New Haven Hlth &amp; PACT Gastroenterol Ctr, Div Digest Dis, New Haven, CT USA; [Hass, David J.] PACT Gastroenterol Ctr, New Haven, CT USA; [Hernandez-Barco, Yasmin G.; Jacobson, Brian C.] Massachusetts Gen Hosp, Div Gastroenterol, Boston, MA USA; [Horst, Sara N.] Vanderbilt Univ, Med Ctr, Div Gastroenterol, Nashville, TN USA; [Kushnir, Vladimir M.] Washington Univ St Louis, Div Gastroenterol, St Louis, MO USA; [Mascarenhas, Miguel] Hosp Sao Joao, Gastroenterol Dept, Porto, Portugal; [Parasa, Sravanthi] Swedish Med Ctr, Dept Gastroenterol, Seattle, WA USA; [Parsa, Nasim] Univ Minnesota, Div Gastroenterol &amp; Hepatol, Satisfai Hlth, Minneapolis, MN USA; [Schairer, Jason N.] Henry Ford Hlth, Dept Gastroenterol, Detroit, MI USA; [Shah, Eric D.; Stidham, Ryan W.] Univ Michigan, Div Gastroenterol &amp; Hepatol, Ann Arbor, MI USA; [Spiegel, Brennan] Cedars Sinai Med Ctr, Dept Med, Karsh Div Gastroenterol &amp; Hepatol, Los Angeles, CA USA; [Spiegel, Brennan] Cedars Sinai, Dept Med, Div Hlth Serv Res, Los Angeles, CA USA; [Suthrum, Praveen] NextServices, Ann Arbor, MI USA; [Thomas, Sapna] Case Western Reserve Univ, Dept Med, Div Gastroenterol &amp; Hepatol, Sch Med, Cleveland, OH USA; [Thomas, Sapna] Univ Hosp Cleveland Med Ctr, Dept Med, Cleveland, OH USA; [Phillips, Meridith E.] Amer Coll Gastroenterol, North Bethesda, MD USA</t>
  </si>
  <si>
    <t>NYU Langone Medical Center; University System of Ohio; University of Cincinnati; Mayo Clinic; Virginia Commonwealth University; Hunter Holmes McGuire Veterinary Affairs Medical Center; University of Miami; University of Colorado System; University of Colorado Anschutz; Emory University; University of Rochester; Harvard University; Harvard University Medical Affiliates; Massachusetts General Hospital; Vanderbilt University; Washington University (WUSTL); Sao Joao Hospital; Swedish Health Services; University of Minnesota System; University of Minnesota Twin Cities; Henry Ford Health System; University of Michigan System; University of Michigan; Cedars Sinai Medical Center; Cedars Sinai Medical Center; University System of Ohio; Case Western Reserve University; University Hospitals of Cleveland</t>
  </si>
  <si>
    <t>Artificial Intelligence for Gastroenterology Practice: A Modified Delphi Consensus</t>
  </si>
  <si>
    <t>AMERICAN JOURNAL OF GASTROENTEROLOGY</t>
  </si>
  <si>
    <t>artificial intelligence; consensus; adoption</t>
  </si>
  <si>
    <t>Ahn, Joseph/AAD-6523-2020; Hernandez-Barco, Yasmin/JTS-6924-2023; Horst, Sara/AFN-4513-2022; Jacobson, Brian/MTA-4570-2025; Chawla, Saurabh/J-1918-2012</t>
  </si>
  <si>
    <t>Enslin, Sarah/0000-0003-1836-9984; Leggett, Cadman/0000-0002-0495-3795</t>
  </si>
  <si>
    <t>25</t>
  </si>
  <si>
    <t>0002-9270</t>
  </si>
  <si>
    <t>1572-0241</t>
  </si>
  <si>
    <t>AM J GASTROENTEROL</t>
  </si>
  <si>
    <t>Am. J. Gastroenterol.</t>
  </si>
  <si>
    <t>121</t>
  </si>
  <si>
    <t>1017</t>
  </si>
  <si>
    <t>1024</t>
  </si>
  <si>
    <t>10.14309/ajg.0000000000003944</t>
  </si>
  <si>
    <t>http://dx.doi.org/10.14309/ajg.0000000000003944</t>
  </si>
  <si>
    <t>Gastroenterology &amp; Hepatology</t>
  </si>
  <si>
    <t>GF3RI</t>
  </si>
  <si>
    <t>41665234</t>
  </si>
  <si>
    <t>WOS:001735069500037</t>
  </si>
  <si>
    <t>Alshraideh, JA; Alfraheed, S; Al Nawafleh, H; Abu-Snieneh, H; Dammra, A; Alamsidin, A; Naga, BB; Omar, N</t>
  </si>
  <si>
    <t>Background: In 2025, the International Council of Nurses renewed the definitions of "nursing" and "a nurse" and articulated core concepts that emphasize social justice, human connection, scientific knowledge, and professional accountability. Aim: To analyze the International Council of Nurses' 2025 definitions and discuss practical implications and implementation recommendations for nursing practice, education, and policy in Jordan. Sources of evidence: An interpretive policy analysis of the International Council of Nurses' final project report, complemented by global and Jordan-focused evidence on nursing workforce priorities, practice environments, and digital health transformation. Discussion: The definitions offer coherent professional language aligned with global health and workforce agendas that emphasize leadership, advocacy, autonomy, and accountability. In Jordan, operationalization requires policy and regulatory alignment (including advanced practice pathways), workforce retention and wellbeing strategies, curriculum crosswalks, and minimum informatics and AI governance standards. Implications for nursing practice: Nurses should strengthen autonomous clinical judgment, culturally safe and people-centered care, advocacy, quality improvement, and digital competence, while working in partnership with multidisciplinary teams and communities. Implications for policy and education: The Jordanian Nursing Council and stakeholders should translate the definitions into updated scope-of-practice and licensure expectations, competency-based curricula, advanced practice education pathways, and continuing professional development linked to service needs and equity. Conclusion: A phased, nationally coordinated implementation plan with monitoring and evaluation is needed to convert definitional aspirations into measurable improvements in care quality, workforce sustainability, curricula updates, and health equity in Jordan.</t>
  </si>
  <si>
    <t>Alshraideh, Jafar A.; Alfraheed, Shefa'a; Al Nawafleh, Hani; Abu-snieneh, Hana; Dammra, Aisha; Alamsidin, Ashraf; Naga, Bilal Badr; Omar, Nesreen</t>
  </si>
  <si>
    <t>Alshraideh, JA (corresponding author), Univ Jordan, Sch Nursing, Amman, Jordan.</t>
  </si>
  <si>
    <t>jalasad@ju.edu.jo</t>
  </si>
  <si>
    <t>[Alshraideh, Jafar A.] Univ Jordan, Sch Nursing, Amman, Jordan; [Alfraheed, Shefa'a] Al Ahliyya Amman Univ, Fac Nursing, Dept Primary Hlth, Amman, Jordan; [Al Nawafleh, Hani] Jordanian Nursing Council, Secretary Gen, Amman, Jordan; [Abu-snieneh, Hana] Jordanian Nursing Council, Examinat Dept, Amman, Jordan; [Dammra, Aisha] Jordanian Nursing Council, Tech Directorate, Amman, Jordan; [Alamsidin, Ashraf] Jordanian Nursing Council, Specializat &amp; Profess Classificat Sect, Amman, Jordan; [Naga, Bilal Badr] Jordanian Nursing Council, Profess Dev &amp; Simulat Dept, Amman, Jordan; [Omar, Nesreen] Jordanian Nursing Council, Accreditat Unit, Amman, Jordan</t>
  </si>
  <si>
    <t>University of Jordan; Al-Ahliyya Amman University</t>
  </si>
  <si>
    <t>Steering the Future of Nursing in Jordan: Translating the International Council of Nurses 2025 Definitions Into Practice, Education, and Policy</t>
  </si>
  <si>
    <t>INTERNATIONAL NURSING REVIEW</t>
  </si>
  <si>
    <t>advanced practice nursing; artificial intelligence; international council of nurses; jordan; jordanian nursing council; nursing definition; nursing education; regulation; SDGs</t>
  </si>
  <si>
    <t>Alfraheed, Shefa'a/PUE-8145-2026; Alshraideh, Jafar/I-7385-2015</t>
  </si>
  <si>
    <t>Alfraheed, Shefa'a/0009-0005-5877-9904; Abu-Snieneh, Hana/0000-0003-0682-2964</t>
  </si>
  <si>
    <t>0020-8132</t>
  </si>
  <si>
    <t>1466-7657</t>
  </si>
  <si>
    <t>INT NURS REV</t>
  </si>
  <si>
    <t>Int. Nurs. Rev.</t>
  </si>
  <si>
    <t>MAR 2026</t>
  </si>
  <si>
    <t>73</t>
  </si>
  <si>
    <t>e70174</t>
  </si>
  <si>
    <t>10.1111/inr.70174</t>
  </si>
  <si>
    <t>http://dx.doi.org/10.1111/inr.70174</t>
  </si>
  <si>
    <t>Nursing</t>
  </si>
  <si>
    <t>FO6YG</t>
  </si>
  <si>
    <t>41852314</t>
  </si>
  <si>
    <t>WOS:001723761100010</t>
  </si>
  <si>
    <t>Butt, TA; Iqbal, M; Arshad, N</t>
  </si>
  <si>
    <t>Artificial intelligence systems increasingly operate in high-risk domains where regulatory frameworks such as the EU AI Act, NIST AI RMF, and ISO/IEC 42001 impose explicit evidence and accountability requirements. However, existing engineering practice remains largely manual, retrospective, and decoupled from operational pipelines, resulting in inconsistent provenance, limited reproducibility, and inadequate clause-level traceability. This paper introduces Governance as Evidence for AI Pipelines (GEAP), a pipeline-native governance framework that expresses regulatory and organizational policies as machine-interpretable Governance as Code rules. GEAP integrates governance directly into a unified SDLC-MLOps execution spine by enforcing promotion decisions at five gates-Data, Training, Validation, Release, and Operations-each of which emits signed, content-addressed artifacts into a tamper-evident Evidence Backbone. These artifacts are assembled into a per-run Conformity Bundle, from which the proposed Clause-to-Artifact Traceability mechanism deterministically renders clause coverage across multiple regulatory regimes without manual crosswalks or duplicated documentation. The framework further introduces quantitative governance metrics that measure adequacy, completeness, stability, and evidence hygiene. A detailed synthetic case study of an intensive-care sepsis early-warning system demonstrates GEAP's ability to standardize promotion control, detect policy violations, and produce replayable, audit-ready compliance manifests in a high-risk clinical context. The results show that governance can operate as a deterministic, reproducible, and verifiable pipeline property rather than an external documentation exercise, enabling more disciplined, transparent, and accountable AI deployment practices.</t>
  </si>
  <si>
    <t>Butt, Talal Ashraf; Iqbal, Muhammad; Arshad, Noor</t>
  </si>
  <si>
    <t>Butt, TA (corresponding author), Higher Coll Technol, Abu Dhabi, U Arab Emirates.</t>
  </si>
  <si>
    <t>tbutt@hct.ac.ae</t>
  </si>
  <si>
    <t>[Butt, Talal Ashraf; Iqbal, Muhammad] Higher Coll Technol, Abu Dhabi, U Arab Emirates; [Arshad, Noor] Punjab Land Records Author, Lahore, Pakistan</t>
  </si>
  <si>
    <t>Higher Colleges of Technology - United Arab Emirates</t>
  </si>
  <si>
    <t>From Policy to Pipeline: A Governance Framework for AI Development and Operations Pipelines</t>
  </si>
  <si>
    <t>Artificial intelligence; Pipelines; Logic gates; Documentation; Codes; Monitoring; ISO Standards; IEC Standards; Supply chains; Software; AI governance; GEAP; MLOps; compliance automation; evidence management; EU AI Act; ISO/IEC 42001</t>
  </si>
  <si>
    <t>butt, talal ashraf/J-8285-2013</t>
  </si>
  <si>
    <t>butt, talal ashraf/0000-0002-5566-0992</t>
  </si>
  <si>
    <t>45</t>
  </si>
  <si>
    <t>1373</t>
  </si>
  <si>
    <t>1397</t>
  </si>
  <si>
    <t>10.1109/ACCESS.2025.3647479</t>
  </si>
  <si>
    <t>http://dx.doi.org/10.1109/ACCESS.2025.3647479</t>
  </si>
  <si>
    <t>AS5EO</t>
  </si>
  <si>
    <t>WOS:001655714700001</t>
  </si>
  <si>
    <t>Alruwaili, MF; Paul-Chima, UO</t>
  </si>
  <si>
    <t>Substantial yet preventable maternal and neonatal mortality persists across low- and middle-income countries (LMICs), where shortages of skilled maternal and child health (MCH) nurses, inadequate infrastructure and socioeconomic inequalities continue to limit access to quality care. Artificial intelligence (AI), particularly machine-learning-driven decision-support and predictive systems, is increasingly proposed to strengthen MCH services through risk stratification, early diagnosis and clinical decision-making. However, evidence supporting its equitable, contextually appropriate and sustainable implementation in resource-constrained settings remains limited. Existing literature has inadequately addressed the structural, ethical and relational dimensions of AI adoption from a nursing perspective, and there is a lack of frameworks integrating equity, nurse-led governance and contextual adaptation for LMICs. Drawing on a purposive narrative review, this Perspective proposes an equity-centred, nurse-led framework for AI-assisted MCH nursing in low-resource settings. The framework comprises six interdependent domains: contextual algorithm validation, humanised and relational nursing care, community co-design and engagement, digital equity and inclusion, transparent data governance, and longitudinal monitoring and evaluation. Its novelty lies in positioning equity as a prerequisite for deployment, identifying the nurse-patient relationship as the principal mechanism through which AI influences outcomes, and assigning governance authority to nurses and communities. A phased implementation pathway is proposed to guide responsible deployment. The framework remains conceptual and requires prospective empirical validation. Responsible AI integration in MCH nursing demands equity-centred governance, investment in nursing capacity, community participation and locally grounded validation strategies.</t>
  </si>
  <si>
    <t>Alruwaili, Manar Fayez; Paul-Chima, Ugwu Okechukwu</t>
  </si>
  <si>
    <t>Paul-Chima, UO (corresponding author), Kampala Int Univ, Dept Res &amp; Publicat, Kampala, Uganda.</t>
  </si>
  <si>
    <t>drugwuopc@gmail.com</t>
  </si>
  <si>
    <t>[Alruwaili, Manar Fayez] Jouf Univ, Coll Nursing, Dept Maternal &amp; Child Hlth Nursing, Sakaka, Saudi Arabia; [Paul-Chima, Ugwu Okechukwu] Kampala Int Univ, Dept Res &amp; Publicat, Kampala, Uganda</t>
  </si>
  <si>
    <t>Al Jouf University</t>
  </si>
  <si>
    <t>Equity-centred, nurse-led implementation of artificial intelligence in community maternal and child health nursing: a conceptual framework for low-resource settings</t>
  </si>
  <si>
    <t>FRONTIERS IN PUBLIC HEALTH</t>
  </si>
  <si>
    <t>algorithmic bias; artificial intelligence; digital health; health equity; humanised care; implementation science; low-resource settings; maternal and child health nursing</t>
  </si>
  <si>
    <t>Paul Chima, Ugwu/AFL-2350-2022</t>
  </si>
  <si>
    <t>FRONTIERS MEDIA SA</t>
  </si>
  <si>
    <t>LAUSANNE</t>
  </si>
  <si>
    <t>AVENUE DU TRIBUNAL FEDERAL 34, LAUSANNE, CH-1015, SWITZERLAND</t>
  </si>
  <si>
    <t>2296-2565</t>
  </si>
  <si>
    <t>FRONT PUBLIC HEALTH</t>
  </si>
  <si>
    <t>Front. Public Health</t>
  </si>
  <si>
    <t>JUL 15 2026</t>
  </si>
  <si>
    <t>1879677</t>
  </si>
  <si>
    <t>10.3389/fpubh.2026.1879677</t>
  </si>
  <si>
    <t>http://dx.doi.org/10.3389/fpubh.2026.1879677</t>
  </si>
  <si>
    <t>LV5DW</t>
  </si>
  <si>
    <t>42529134</t>
  </si>
  <si>
    <t>WOS:001834216900001</t>
  </si>
  <si>
    <t>Berdida, DJE; Alhudaib, N; Grande, RAN; Alsharafi, SA; Agunod, CD; Santos, AM; Alanazi, HH; Al-Moteri, M; Alqarawi, N; Alasqah, I</t>
  </si>
  <si>
    <t>Aims and ObjectivesTo investigate the mediating role of nursing students' artificial intelligence (AI) ethics awareness between the association of attitudes toward AI technology and perceived AI utilization.BackgroundA paucity of studies exists about the role of AI ethics awareness between attitudes toward AI technology and perceived AI utilization, particularly among nursing students.MethodsA multisite cross-sectional, correlational research participated by nursing students (n = 765) that were consecutively recruited from four nursing colleges (two private and two public owned) in Saudi Arabia. Three standardized self-report scales were utilized to collect data, and covariance-based structural equation modeling, using maximum likelihood estimation and bias-corrected bootstrap method, and mediation analyses were employed for data analyses.ResultsThe mean age of participants was 23.98 years old (SD = 4.40), and majority were females (78.90%), were second year students (33.85%), and had a mean grade point average of 4.16 (SD = 0.65). AI technology attitudes were positively associated with AI ethics awareness (beta = 0.84, p = 0.001, and 95% CI = 0.76-0.94) and AI utilization (beta = 0.55, p = 0.010, and 95% CI = 0.13-0.97). AI ethics awareness was positively associated with AI utilization (beta = 0.41, p = 0.043, and95% CI = 0.01-0.84). Mediation analysis showed that AI technology attitudes were indirectly associated with AI utilization (beta = 0.36, p = 0.013, and 95% CI = 0.05-0.68) via the mediation of AI ethics awareness. AI technology attitudes measured 72.05% of the R2 of AI ethics awareness, while both AI ethics awareness and AI technology attitudes measured 87.94% of the R2 of AI utilization.ConclusionNursing students' AI technology attitudes and AI ethics awareness were positively associated with AI utilization, whereas AI ethics mediated between AI technology attitudes and AI utilization. Policymakers, nursing educational institutions, and educators could integrate AI ethics into nursing curricula to cultivate positive AI attitudes and responsible AI usage, preparing future nurses for an AI-integrated healthcare environment.Implications for Nursing ManagementNurse administrators in the nursing educational institutions and nurse managers in affiliated clinical training centers should provide a conducive learning environment (i.e., adequate resources, teaching/learning materials, and AI-trained staff) where students can learn AI-integrated technologies through practical or simulated activities.</t>
  </si>
  <si>
    <t>Berdida, Daniel Joseph E.; Alhudaib, Noura; Grande, Rizal Angelo N.; Alsharafi, Salah A.; Agunod, Cyrelle D.; Santos, Adelina M.; Alanazi, Hanay Huwaydi; Al-Moteri, Modi; Alqarawi, Nada; Alasqah, Ibrahim</t>
  </si>
  <si>
    <t>Alqarawi, N; Alasqah, I (corresponding author), Qassim Univ, Coll Nursing, Dept Community Psychiat &amp; Mental Hlth Nursing, Qasim 52571, Saudi Arabia.; Alqarawi, N; Alasqah, I (corresponding author), Qassim Univ Med City, Nursing Serv Dept, Buraydah 52571, Saudi Arabia.; Alasqah, I (corresponding author), Univ New England, Sch Hlth, Armidale, NSW 2351, Australia.</t>
  </si>
  <si>
    <t>i.alasqah@qu.edu.sa; n.alqarawi@qu.edu.sa</t>
  </si>
  <si>
    <t>Qassim University [QU-APC-2026]</t>
  </si>
  <si>
    <t>Qassim University (Qassim University)</t>
  </si>
  <si>
    <t>We are indebted to the voluntary participation of nursing students from the study settings.</t>
  </si>
  <si>
    <t>[Berdida, Daniel Joseph E.; Agunod, Cyrelle D.; Santos, Adelina M.; Alanazi, Hanay Huwaydi] North Private Coll Nursing, Nursing Dept, Ar Ar, Northern Border, Saudi Arabia; [Alhudaib, Noura] North Private Coll Nursing, Ar Ar, Northern Border, Saudi Arabia; [Grande, Rizal Angelo N.] Fakeeh Coll Med Sci, Nursing Dept, Jeddah, Makkah, Saudi Arabia; [Alsharafi, Salah A.] North Private Coll Nursing, Med Sci &amp; Preparatory Year Dept, Ar Ar, Northern Border, Saudi Arabia; [Al-Moteri, Modi] Taif Univ, Coll Nursing, Med Surg Nursing Dept, Taif 21944, Saudi Arabia; [Alqarawi, Nada; Alasqah, Ibrahim] Qassim Univ, Coll Nursing, Dept Community Psychiat &amp; Mental Hlth Nursing, Qasim 52571, Saudi Arabia; [Alqarawi, Nada; Alasqah, Ibrahim] Qassim Univ Med City, Nursing Serv Dept, Buraydah 52571, Saudi Arabia; [Alasqah, Ibrahim] Univ New England, Sch Hlth, Armidale, NSW 2351, Australia</t>
  </si>
  <si>
    <t>Fakeeh College for Medical Sciences; Taif University; Qassim University; University of New England</t>
  </si>
  <si>
    <t>The Mediating Role of AI Ethics Awareness Between AI Attitudes and AI Utilization: A Multisite Cross-Sectional Study of Saudi Nursing Students</t>
  </si>
  <si>
    <t>JOURNAL OF NURSING MANAGEMENT</t>
  </si>
  <si>
    <t>artificial intelligence; attitude; awareness; ethics; nursing; students; technology</t>
  </si>
  <si>
    <t>Berdida, Daniel Joseph/AAM-9383-2021; Alqarawi, Nada/JOK-9231-2023; Agunod, Cyrelle/AFJ-9069-2022; grande, rizal angelo/D-4042-2017; Alasqah, Ibrahim/GVR-8098-2022; Al-Moteri, Modi/GQY-7862-2022</t>
  </si>
  <si>
    <t>Agunod, Cyrelle/0000-0002-0094-2685</t>
  </si>
  <si>
    <t>46</t>
  </si>
  <si>
    <t>0966-0429</t>
  </si>
  <si>
    <t>1365-2834</t>
  </si>
  <si>
    <t>J NURS MANAGE</t>
  </si>
  <si>
    <t>J. Nurs. Manag.</t>
  </si>
  <si>
    <t>5338801</t>
  </si>
  <si>
    <t>10.1155/jonm/5338801</t>
  </si>
  <si>
    <t>http://dx.doi.org/10.1155/jonm/5338801</t>
  </si>
  <si>
    <t>Management; Nursing</t>
  </si>
  <si>
    <t>Business &amp; Economics; Nursing</t>
  </si>
  <si>
    <t>LM1GE</t>
  </si>
  <si>
    <t>42487419</t>
  </si>
  <si>
    <t>WOS:001827843100001</t>
  </si>
  <si>
    <t>Mahmoudi-Dehaki, M; Nasr-Esfahani, N</t>
  </si>
  <si>
    <t>This study addresses the scarcity of personalized, culturally relevant English for Tourism (EFT) materials for niche tourism sectors. It evaluates the pedagogical effectiveness of AI-generated EFT materials, explores how generative AI mitigates linguistic and cultural challenges in these sectors, and proposes guidelines for ethical AI use in tourism education. Using a sequential explanatory design, 142 undergraduate tourism students were assigned to an experimental group using 40 ChatGPT-4o-generated units with AI-supported oral feedback and a control group following a conventional EFT textbook. Materials were developed through a human-in-the-loop (HITL) approach to ensure accuracy. Quantitative results showed significant improvements in English proficiency and intercultural competence in the experimental group. Qualitative data from focus groups and observations highlighted increased learner engagement, the role of instructor mediation, and the materials' effectiveness in bridging communication gaps. These findings demonstrate that responsibly integrated AI, combined with skilled human facilitation, can enhance tourism language education.</t>
  </si>
  <si>
    <t>Mahmoudi-Dehaki, Mohsen; Nasr-Esfahani, Nasim</t>
  </si>
  <si>
    <t>Mahmoudi-Dehaki, M (corresponding author), Islamic Azad Univ, Na C, Dept English, Najafabad, Iran.</t>
  </si>
  <si>
    <t>mohsen.mahmoudi.d@gmail.com</t>
  </si>
  <si>
    <t>privacy considerations</t>
  </si>
  <si>
    <t>The data supporting the findings of this study are not publicly available due to privacy considerations. However, they can be provided upon reasonable request to the authors, with all sensitive information appropriately anonymized to protect participants' confidentiality.</t>
  </si>
  <si>
    <t>[Mahmoudi-Dehaki, Mohsen] Islamic Azad Univ, Na C, Dept English, Najafabad, Iran; [Nasr-Esfahani, Nasim] Islamic Azad Univ, Dept English, Isf C, Esfahan, Iran</t>
  </si>
  <si>
    <t>Islamic Azad University; Islamic Azad University</t>
  </si>
  <si>
    <t>Responsible AI-Personalized English for tourism (EFT) learning in niche tourism sectors: addressing linguistic and cultural challenges</t>
  </si>
  <si>
    <t>JOURNAL OF TEACHING IN TRAVEL &amp; TOURISM</t>
  </si>
  <si>
    <t>Curriculum development; English for hospitality; English for specific purposes; tourism curriculum; tourism English</t>
  </si>
  <si>
    <t>CLASSROOM</t>
  </si>
  <si>
    <t>Nasr-Esfahani, Nasim/AEY-0027-2022; Mahmoudi-Dehaki, Mohsen/O-4749-2018</t>
  </si>
  <si>
    <t>ROUTLEDGE JOURNALS, TAYLOR &amp; FRANCIS LTD</t>
  </si>
  <si>
    <t>ABINGDON</t>
  </si>
  <si>
    <t>2-4 PARK SQUARE, MILTON PARK, ABINGDON OX14 4RN, OXON, ENGLAND</t>
  </si>
  <si>
    <t>1531-3220</t>
  </si>
  <si>
    <t>1531-3239</t>
  </si>
  <si>
    <t>J TEACH TRAVEL TOUR</t>
  </si>
  <si>
    <t>J. Teach. Travel Tour.</t>
  </si>
  <si>
    <t>10.1080/15313220.2026.2640913</t>
  </si>
  <si>
    <t>http://dx.doi.org/10.1080/15313220.2026.2640913</t>
  </si>
  <si>
    <t>Education &amp; Educational Research</t>
  </si>
  <si>
    <t>II1MY</t>
  </si>
  <si>
    <t>WOS:001772246100001</t>
  </si>
  <si>
    <t>Saleh, MI</t>
  </si>
  <si>
    <t>The conversational AI emergence technologies like ChatGPT, Claude AI, and Gemini AI are transforming the hospitality and tourism industries. While existing research explores theoretical applications, a critical gap exists in understanding real-world implementation challenges, prompting strategies, and operational impacts of ChatGPT and other AI applications. This study investigates AI integration patterns, prompt optimization techniques (e.g. Input-Output, Chain-of-Thought, and Tree-of-Thought approach), and implementation strategies through a mixed-methods approach. We conducted a bibliometric analysis of 80 studies using R-Biblioshiny, followed by surveys and interviews with stakeholders, including guests/travelers, managers, and academics. Our empirical analysis measures personalization, user satisfaction, operational efficiency, and research productivity. The results demonstrate that while generative AI can enhance customer experiences and operational efficiency, success depends on selecting appropriate prompting methodologies, ethical considerations, workforce development, and community impact. This research provides an integrated framework for responsible AI adoption while identifying critical areas for future research.</t>
  </si>
  <si>
    <t>Saleh, Mahmoud Ibraheam</t>
  </si>
  <si>
    <t>Saleh, MI (corresponding author), Helwan Univ, Fac Tourism &amp; Hotel Management, Tourism Studies Dept, Cairo, Egypt.</t>
  </si>
  <si>
    <t>mahmoud.ibrahim@fth.helwan.edu.eg</t>
  </si>
  <si>
    <t>[Saleh, Mahmoud Ibraheam] Helwan Univ, Fac Tourism &amp; Hotel Management, Tourism Studies Dept, Cairo, Egypt</t>
  </si>
  <si>
    <t>Egyptian Knowledge Bank (EKB); Capital University - Egypt</t>
  </si>
  <si>
    <t>Generative artificial intelligence in hospitality and tourism: future capabilities, AI prompts and real-world applications</t>
  </si>
  <si>
    <t>JOURNAL OF HOSPITALITY MARKETING &amp; MANAGEMENT</t>
  </si>
  <si>
    <t>ChatGPT; Generative AI; Claude AI; Gemini AI; Artificial Intelligence; AI prompts; DeepSeek</t>
  </si>
  <si>
    <t>KNOWLEDGE</t>
  </si>
  <si>
    <t>Saleh, Mahmoud/AGZ-9637-2022</t>
  </si>
  <si>
    <t>56</t>
  </si>
  <si>
    <t>85</t>
  </si>
  <si>
    <t>350</t>
  </si>
  <si>
    <t>1936-8623</t>
  </si>
  <si>
    <t>1936-8631</t>
  </si>
  <si>
    <t>J HOSP MARKET MANAG</t>
  </si>
  <si>
    <t>J. Hosp. Market. Manag.</t>
  </si>
  <si>
    <t>MAY 19 2025</t>
  </si>
  <si>
    <t>467</t>
  </si>
  <si>
    <t>498</t>
  </si>
  <si>
    <t>10.1080/19368623.2025.2458603</t>
  </si>
  <si>
    <t>http://dx.doi.org/10.1080/19368623.2025.2458603</t>
  </si>
  <si>
    <t>FEB 2025</t>
  </si>
  <si>
    <t>Business; Hospitality, Leisure, Sport &amp; Tourism; Management</t>
  </si>
  <si>
    <t>Business &amp; Economics; Social Sciences - Other Topics</t>
  </si>
  <si>
    <t>1TO7D</t>
  </si>
  <si>
    <t>WOS:001409569100001</t>
  </si>
  <si>
    <t>N</t>
  </si>
  <si>
    <t>Y</t>
  </si>
  <si>
    <t>Aquino, YS; Rohrbach, T; Shih, PT</t>
  </si>
  <si>
    <t>The rise of beauty apps with artificial intelligence (AI) capabilities has transformed how users perceive, evaluate, and engage with their and others' appearance. While such apps offer entertainment, concerns persist about their ethical implications and psychological effects. In this study, we focus on the concept of algorithmic invasiveness - defined as the tendency of AI algorithms to increasingly influence and integrate into our daily lives. Using a conjoint survey experiment, we empirically assess public attitudes and social acceptability of beauty app functionalities with varying degrees of invasiveness, from removing blemishes to collecting medical data. Results show that functionalities with high degree of algorithmic invasiveness, such as AI-generated attractiveness rankings, are viewed as significantly less socially acceptable than less invasive functionalities. However, acceptability depends on context: functionalities tied to commercial applications, like personalised product recommendations, are often deemed less problematic despite similar data-use practices. User demographics and attitudes further shape perceptions. Older adults display greater acceptance of highly invasive functionalities compared to younger users. Participants with higher self-objectification or positive views of AI show increased tolerance of invasive functionalities. These findings highlight how both technological design and user predisposition influence both ethical attitudes and preferences in beauty-related technologies. This study showcases how we can elicit moral intuitions about new technologies by exploring how the public form preferences around specific functionalities. Moreover, it provides novel insight about how individuals make normative distinction between degrees of invasiveness, contributing to broader discourse about responsible AI design and digital well-being.</t>
  </si>
  <si>
    <t>Aquino, Yves Saint James; Rohrbach, Tobias; Shih, Patti</t>
  </si>
  <si>
    <t>Aquino, YS (corresponding author), Univ Wollongong, Australian Ctr Hlth Engagement Evidence &amp; Values, Bldg 29,Northfield Ave, Wollongong, NSW 2522, Australia.</t>
  </si>
  <si>
    <t>yaquino@uow.edu.au</t>
  </si>
  <si>
    <t>[Aquino, Yves Saint James; Shih, Patti] Univ Wollongong, Australian Ctr Hlth Engagement Evidence &amp; Values, Bldg 29,Northfield Ave, Wollongong, NSW 2522, Australia; [Rohrbach, Tobias] Univ Fribourg, Dept Commun &amp; Media Res, Fribourg, Switzerland</t>
  </si>
  <si>
    <t>University of Fribourg</t>
  </si>
  <si>
    <t>Ethics of algorithmic invasiveness in beauty apps: an online experimental survey of public perspectives</t>
  </si>
  <si>
    <t>INFORMATION COMMUNICATION &amp; SOCIETY</t>
  </si>
  <si>
    <t>Artificial intelligence; ethics; beauty surveillance; automated decision-making; mobile apps; Algorithms; app studies; big Data; mobile technology; quantitative research methods/surveys</t>
  </si>
  <si>
    <t>SELF-OBJECTIFICATION; ACCEPTANCE; PRIVACY</t>
  </si>
  <si>
    <t>Shih, Patti/I-4598-2019; Aquino, Yves Saint James/AAJ-1757-2020; Rohrbach, Tobias/CAJ-1473-2022</t>
  </si>
  <si>
    <t>Shih, Patti/0000-0002-9628-7987; Aquino, Yves Saint James/0000-0003-0981-0029</t>
  </si>
  <si>
    <t>60</t>
  </si>
  <si>
    <t>1369-118X</t>
  </si>
  <si>
    <t>1468-4462</t>
  </si>
  <si>
    <t>INFORM COMMUN SOC</t>
  </si>
  <si>
    <t>Info. Commun. Soc.</t>
  </si>
  <si>
    <t>JUL 4 2026</t>
  </si>
  <si>
    <t>2697</t>
  </si>
  <si>
    <t>2715</t>
  </si>
  <si>
    <t>10.1080/1369118X.2025.2590550</t>
  </si>
  <si>
    <t>http://dx.doi.org/10.1080/1369118X.2025.2590550</t>
  </si>
  <si>
    <t>NOV 2025</t>
  </si>
  <si>
    <t>Communication; Sociology</t>
  </si>
  <si>
    <t>MT1ZI</t>
  </si>
  <si>
    <t>WOS:001621131900001</t>
  </si>
  <si>
    <t>Beg, MJ; Verma, MK</t>
  </si>
  <si>
    <t>Background: AI-based psychotherapy apps offer accessibility and structured interventions but face challenges regarding emotional depth, personalization, engagement, and ethical concerns. This study critically examines user experiences, identifying key advantages, limitations, and areas for refinement.Methods: A qualitative approach was employed, using thematic analysis of semi-structured interviews with 17 participants (aged 18-45) who had used AI-based psychotherapy apps for at least four weeks. Ten participants had prior clinical diagnoses (e.g., anxiety, depression, adjustment disorder), while others reported subclinical psychological distress. Engagement duration ranged from 2 to 11 months, with most using the apps two to five times per week.Results: Ten core themes emerged, revealing a paradox of accessibility versus therapeutic depth. While users valued immediacy and anonymity, they struggled with fragmented therapeutic narratives, scripted empathy, and algorithmic stagnation in personalization. The over-reliance on CBT frameworks limited adaptability to diverse emotional needs, while linguistic and cultural microaggressions led to disengagement. Privacy concerns stemmed from a mismatch between perceived and actual risks, and AI-induced dependence raised ethical questions about user autonomy.Conclusions: The AI psychotherapy must evolve beyond static, standardized interventions by integrating emotionally responsive, culturally adaptive, and ethically responsible AI models. Enhancing therapeutic continuity, adaptive learning, and human-AI hybrid models can bridge the gap between accessibility and authentic engagement. These findings inform future AI-driven mental health innovations, ensuring they align with psychological, ethical, and cultural expectations.</t>
  </si>
  <si>
    <t>Beg, Mirza Jahanzeb; Verma, Manish Kumar</t>
  </si>
  <si>
    <t>Beg, MJ (corresponding author), Lovely Profess Univ, Dept Psychol, Phagwara, Punjab, India.</t>
  </si>
  <si>
    <t>mirzajahanzebbeg@gmail.com</t>
  </si>
  <si>
    <t>[Beg, Mirza Jahanzeb; Verma, Manish Kumar] Lovely Profess Univ, Dept Psychol, Phagwara, Punjab, India</t>
  </si>
  <si>
    <t>Lovely Professional University</t>
  </si>
  <si>
    <t>Artificial Intelligence-based Psychotherapy: A Qualitative Exploration of Usability, Personalization, and the Perception of Therapeutic Progress</t>
  </si>
  <si>
    <t>INDIAN JOURNAL OF PSYCHOLOGICAL MEDICINE</t>
  </si>
  <si>
    <t>AI psychotherapy; user engagement; emotional depth; personalization; cultural adaptation; ethical AI therapy</t>
  </si>
  <si>
    <t>Jahanzeb Beg, Mirza/KYP-8786-2024</t>
  </si>
  <si>
    <t>Jahanzeb Beg, Mirza/0000-0002-6308-2678; Verma, Manish Kumar/0000-0002-4814-6987</t>
  </si>
  <si>
    <t>21</t>
  </si>
  <si>
    <t>SAGE PUBLICATIONS INC</t>
  </si>
  <si>
    <t>THOUSAND OAKS</t>
  </si>
  <si>
    <t>2455 TELLER RD, THOUSAND OAKS, CA 91320 USA</t>
  </si>
  <si>
    <t>0253-7176</t>
  </si>
  <si>
    <t>0975-1564</t>
  </si>
  <si>
    <t>INDIAN J PSYCHOL MED</t>
  </si>
  <si>
    <t>Indian J. Psychol. Med.</t>
  </si>
  <si>
    <t>10.1177/02537176251357477</t>
  </si>
  <si>
    <t>http://dx.doi.org/10.1177/02537176251357477</t>
  </si>
  <si>
    <t>JUL 2025</t>
  </si>
  <si>
    <t>Psychiatry; Psychology</t>
  </si>
  <si>
    <t>5AI5Z</t>
  </si>
  <si>
    <t>40686925</t>
  </si>
  <si>
    <t>WOS:001530944400001</t>
  </si>
  <si>
    <t>Han, SH; Kang, HS; Gimber, P; Lim, S</t>
  </si>
  <si>
    <t>Background/Objectives: Artificial intelligence (AI) is transforming nursing, with generative AI (GenAI) tools such as ChatGPT offering opportunities to enhance education through personalized learning pathways. This study aimed to explore nursing students' use of generative artificial intelligence (GenAI) and their perceptions of its use in nursing education, including its advantages, disadvantages, and perceived support needs. Methods: This study employed an online survey. The participants were 99 undergraduate nursing students in New York City. Data was collected online through self-report measures using semi-structured, open-ended questions. The data was analyzed using content analysis. Results: Most participants (92%) used GenAI tools to access accurate information, clarify nursing concepts, and support clinical tasks such as diagnoses and health assessments, as well as schoolwork, grammar checks, and health promotion. They valued GenAI as a quick, accessible resource that simplified complex information and supported learning through definitions, practice questions, and writing improvements. However, the participants noted drawbacks, such as subscription costs, over-reliance, information overload, and accuracy issues, leading to trust concerns. The participants suggested financial support, early guidance, and instructional modules to better integrate AI into nursing education. Conclusions: The results indicate that GenAI positively impacts nursing education and highlight the need for guidelines on critical evaluation. To integrate GenAI effectively, educators should consider introductory sessions, support programs, and a GenAI-friendly environment, promoting responsible AI use and preparing students for its application in nursing education.</t>
  </si>
  <si>
    <t>Han, Shinhi; Kang, Hee Sun; Gimber, Philip; Lim, Sunghyun</t>
  </si>
  <si>
    <t>Lim, S (corresponding author), Columbia Univ, Irving Med Ctr, 177 Ft Washington Ave, New York, NY 10032 USA.</t>
  </si>
  <si>
    <t>pgimber@lagcc.cuny.edu; shan@lagcc.cuny.edu; sl4821@cumc.columbia.edu; goodcare@cau.ac.kr</t>
  </si>
  <si>
    <t>[Han, Shinhi; Gimber, Philip] CUNY, LaGuardia Community Coll, Hlth Sci Nursing, Long Isl City, NY 11101 USA; [Kang, Hee Sun] Chung Ang Univ, Red Cross Coll Nursing, 84 Heukseok Ro, Seoul 06974, South Korea; [Lim, Sunghyun] Columbia Univ, Irving Med Ctr, 177 Ft Washington Ave, New York, NY 10032 USA</t>
  </si>
  <si>
    <t>City University of New York (CUNY) System; Chung Ang University; Cornell University; Columbia University; Weill Cornell Medicine; NewYork-Presbyterian Hospital</t>
  </si>
  <si>
    <t>Nursing Students' Perceptions and Use of Generative Artificial Intelligence in Nursing Education</t>
  </si>
  <si>
    <t>NURSING REPORTS</t>
  </si>
  <si>
    <t>use of GenAI; perceptions of GenAI; nursing student; nursing education</t>
  </si>
  <si>
    <t>Kang, Hee Sun/AAG-9381-2019</t>
  </si>
  <si>
    <t>Han, ShinHi/0000-0001-8758-9476; Kang, Hee Sun/0000-0003-3808-306X; Gimber, Philip/0000-0002-5079-9821; Lim, Sunghyun/0009-0007-0236-128X</t>
  </si>
  <si>
    <t>26</t>
  </si>
  <si>
    <t>22</t>
  </si>
  <si>
    <t>67</t>
  </si>
  <si>
    <t>2039-439X</t>
  </si>
  <si>
    <t>2039-4403</t>
  </si>
  <si>
    <t>NURS REP</t>
  </si>
  <si>
    <t>Nurs. Rep.</t>
  </si>
  <si>
    <t>10.3390/nursrep15020068</t>
  </si>
  <si>
    <t>http://dx.doi.org/10.3390/nursrep15020068</t>
  </si>
  <si>
    <t>Y4Q3Y</t>
  </si>
  <si>
    <t>39997804</t>
  </si>
  <si>
    <t>WOS:001431985600001</t>
  </si>
  <si>
    <t>Uribe, SE; Maldupa, I; Schwendicke, F</t>
  </si>
  <si>
    <t>BackgroundGenerative AI (GenAI) tools like ChatGPT are increasingly relevant in dental education, offering potential enhancements in personalised learning and clinical reasoning. However, specific guidance from dental institutions remains unexplored.AimTo identify, analyse and summarise existing guidelines from universities and organisations on using GenAI in dental education, focusing on recommendations for academic staff.MethodsA scoping review (10.17605/OSF.IO/3XMP7) searched for GenAI guidance on university websites, search engines (Google Search, Scholar, Perplexity and PubMed) and through contacting relevant academics (January 2022 to June 2024). Two reviewers independently screened and extracted data, including implementation details, AI tools and permitted/prohibited uses. Thematic analysis revealed common applications, benefits, challenges and recommendations.ResultsThirty-one unique documents were included from 21 universities in 15 countries and three international organisations. Thematic analysis identified common applications, benefits, challenges and recommendations for integrating GenAI, including facilitating teaching and learning, personalised learning, efficient content creation and encouraging critical thinking. However, challenges such as academic integrity, ethical use, bias and privacy issues were also identified. No dental education-specific guidelines were found.ConclusionThis review identified and summarised existing GenAI guidelines from universities and organisations relevant to dental education. The guidelines emphasise ethical use, transparency, academic integrity, secure environments and AI misuse detection tools. However, the absence of dental specific guidance presents an opportunity to fill this gap, providing recommendations for academic staff to integrate GenAI effectively while promoting critical thinking and responsible AI use.</t>
  </si>
  <si>
    <t>Uribe, Sergio E.; Maldupa, Ilze; Schwendicke, Falk</t>
  </si>
  <si>
    <t>Uribe, SE (corresponding author), Riga Stradins Univ, Dept Conservat Dent &amp; Oral Hlth, Riga, Latvia.; Uribe, SE (corresponding author), Headquarters Riga Tech Univ, Balt Biomat Ctr Excellence, Latvia &amp; Inst Stomatol, Riga, Latvia.; Uribe, SE (corresponding author), Riga Stradins Univ, Inst Stomatol, Riga, Latvia.; Uribe, SE (corresponding author), LMU Klinikum, Clin Conservat Dent &amp; Periodontol, Munich, Germany.</t>
  </si>
  <si>
    <t>sergio.uribe@rsu.lv</t>
  </si>
  <si>
    <t>Latvijas Zinamacr;tnes Padome, IEVA Project [857287]; EU; Baltic Biomaterials Centre of Excellence [lzp-2022/1-0047]; Latvian Council of Science</t>
  </si>
  <si>
    <t>Latvijas Zinamacr;tnes Padome, IEVA Project; EU (European Union (EU)); Baltic Biomaterials Centre of Excellence; Latvian Council of Science (Latvian Ministry of Education and Science)</t>
  </si>
  <si>
    <t>S.E.U. received financial support from the EU Horizon 2020 programme (grant agreement No 857287) for the Baltic Biomaterials Centre of Excellence. I.M. and S.E.U. received support from The Latvian Council of Science (project No lzp-2022/1-0047, 'IEVA Project'). Open Access funding enabled and organized by Projekt DEAL.</t>
  </si>
  <si>
    <t>[Uribe, Sergio E.; Maldupa, Ilze] Riga Stradins Univ, Dept Conservat Dent &amp; Oral Hlth, Riga, Latvia; [Uribe, Sergio E.] Headquarters Riga Tech Univ, Balt Biomat Ctr Excellence, Latvia &amp; Inst Stomatol, Riga, Latvia; [Uribe, Sergio E.] Riga Stradins Univ, Inst Stomatol, Riga, Latvia; [Uribe, Sergio E.; Schwendicke, Falk] LMU Klinikum, Clin Conservat Dent &amp; Periodontol, Munich, Germany</t>
  </si>
  <si>
    <t>Riga Stradins University; Riga Stradins University; University of Munich</t>
  </si>
  <si>
    <t>Integrating Generative AI in Dental Education: A Scoping Review of Current Practices and Recommendations</t>
  </si>
  <si>
    <t>EUROPEAN JOURNAL OF DENTAL EDUCATION</t>
  </si>
  <si>
    <t>artificial intelligence; dental education; generative artificial intelligence; implementation guidelines</t>
  </si>
  <si>
    <t>Uribe, Sergio/C-9579-2011; Maldupa, Ilze/AAA-3514-2021</t>
  </si>
  <si>
    <t>Uribe, Sergio/0000-0003-0684-2025; Maldupa, Ilze/0000-0002-5967-956X</t>
  </si>
  <si>
    <t>1396-5883</t>
  </si>
  <si>
    <t>1600-0579</t>
  </si>
  <si>
    <t>EUR J DENT EDUC</t>
  </si>
  <si>
    <t>Eur. J. Dent. Educ.</t>
  </si>
  <si>
    <t>MAY 2025</t>
  </si>
  <si>
    <t>341</t>
  </si>
  <si>
    <t>355</t>
  </si>
  <si>
    <t>10.1111/eje.13074</t>
  </si>
  <si>
    <t>http://dx.doi.org/10.1111/eje.13074</t>
  </si>
  <si>
    <t>JAN 2025</t>
  </si>
  <si>
    <t>Dentistry, Oral Surgery &amp; Medicine; Education, Scientific Disciplines</t>
  </si>
  <si>
    <t>Dentistry, Oral Surgery &amp; Medicine; Education &amp; Educational Research</t>
  </si>
  <si>
    <t>1OY3T</t>
  </si>
  <si>
    <t>39891376</t>
  </si>
  <si>
    <t>WOS:001410290700001</t>
  </si>
  <si>
    <t>Hong, C; Liew, JCK; Yu, JY; Barry, T; Blewer, AL; Buckland, DM; Cai, TR; Cha, WC; Chakraborty, B; Chen, W; Cheng, J; Chong, SL; Djärv, T; Earnest, A; Engelhard, M; Fan, XY; Feng, ML; Feng, J; Fu, HZ; Goh, WWB; Goldstein, BA; Gronsbell, J; Ho, AFW; Ho, KD; Iwami, T; Joiner, A; Kornblith, A; Li, SQ; Lim, SL; Liu, ML; Liu, ZH; Lu, L; Luo, Y; Ng, YY; Ning, YL; Okada, Y; Park, JO; Park, YR; Razzak, J; Shen, YZ; Siddiqui, FJ; Steel, PAD; Tan, KBK; Teixayavong, S; Vakulenko-Lagun, B; Vissoci, JRN; Waligora, G; Wang, F; Wang, HB; Wang, HY; Wong, AKI; Xie, F; Yang, J; Zhang, YY; Zhou, DD; Zhou, L; Zhu, TT; Neumar, R; Page, D; Vaughan, R; Ong, MEH; Liu, N</t>
  </si>
  <si>
    <t>Background: The current landscape of emergency care (EC) is marked by high demand, leading to issues such as emergency department boarding, overcrowding, and subsequent delays that impact the quality and safety of patient care. Integrating data science into EC can enhance decision-making with predictive, preventative, personalized, and participatory approaches. However, gaps in adherence to fairness, accountability, interpretability, and responsibility are evident, particularly due to barriers to data-sharing, which often result in a lack of transparency and robust oversight in these applications. Objective: The FAIR-EC (Fair, Accountable, Interpretable, and Responsible-Emergency Care) collaboration adapts the existing Fair, Accountable, Interpretable, and Responsible principles to address emerging challenges as data science integrates with EC. This initiative aims to transform EC by establishing ethical artificial intelligence standards specifically tailored for this integration. By bridging the gap between EC professionals, data scientists, and other stakeholders, the collaboration promotes international cooperation that leverages advanced data science techniques to enhance EC outcomes across different care settings. Methods: We propose a federated research design to analyze extensive datasets from various global institutions without compromising patient privacy. This approach transforms epidemiological research with advanced data science techniques, emphasizing the harmonization of data for comprehensive analyses across different health care systems. Results: The FAIR-EC initiative has facilitated the identification and harmonization of datasets from diverse geographical regions, enabling the examination of regional variations in EC practices. As of paper submission, participating sites have identified retrospective EC datasets totaling &gt;2 million records (eg, Duke Health &gt;400,000 and Singapore General Hospital &gt;1.7 million records). Initial projects have demonstrated feasibility and operational readiness, including implementation of federated workflows and ongoing development of a federated scoring system, cross-site evaluation, and adaptation of association studies and predictive models across various regions. Cross-site harmonization and pilot analyses are underway (with local ethics approvals in progress), and first multisite results are expected to be submitted in mid-late 2026, with additional project-level publications anticipated in 2027. These efforts highlight the feasibility of leveraging advanced data science techniques to address the complexities of EC while preserving patient privacy without centralizing individual-level data. This project was funded from September 1, 2022, to August 31, 2023. Conclusions: FAIR-EC integrates data science ethically and effectively into EC, addressing challenges such as fragmented data, real-time handoffs, and public health crises. Its federated design harmonizes diverse data streams while preserving privacy, and its emphasis on ethical artificial intelligence aligns with the dynamic nature of EC. Despite challenges in data variability and system complexity, FAIR-EC establishes a strong foundation for innovation in global EC.</t>
  </si>
  <si>
    <t>Hong, Chuan; Liew, Jonathan Chong Kai; Yu, Jaeyong; Barry, Tomas; Blewer, Audrey L.; Buckland, Daniel M.; Cai, Tianrun; Cha, Won Chul; Chakraborty, Bibhas; Chen, Wei; Cheng, Jun; Chong, Shu-Ling; Djarv, Therese; Earnest, Arul; Engelhard, Matthew; Fan, Xiuyi; Feng, Mengling; Feng, Jean; Fu, Huazhu; Goh, Wilson Wen Bin; Goldstein, Benjamin A.; Gronsbell, Jessica; Ho, Andrew Fu Wah; Ho, Kendall; Iwami, Taku; Joiner, Anjni; Kornblith, Aaron; Li, Siqi; Lim, Shir Lynn; Liu, Molei; Liu, Zhenghong; Lu, Lei; Luo, Yuan; Ng, Yih Yng; Ning, Yilin; Okada, Yohei; Park, Ju Ok; Park, Yu Rang; Razzak, Junaid; Shen, Yuzeng; Siddiqui, Fahad Javaid; Steel, Peter A. D.; Tan, Kenneth Boon Kiat; Teixayavong, Salinelat; Vakulenko-Lagun, Bella; Vissoci, Joao Ricardo Nickenig; Waligora, Grzegorz; Wang, Fei; Wang, Haibo; Wang, Haoyuan; Wong, An-Kwok Ian; Xie, Feng; Yang, Jie; Zhang, Yiye; Zhou, Doudou; Zhou, Li; Zhu, Tingting; Neumar, Robert; Page, David; Vaughan, Roger; Ong, Marcus Eng Hock; Liu, Nan</t>
  </si>
  <si>
    <t>Liu, N (corresponding author), Ctr Biomed Data Sci, Duke NUS Med Sch, Singapore, Singapore.</t>
  </si>
  <si>
    <t>liu.nan@duke-nus.edu.sg</t>
  </si>
  <si>
    <t>Duke-NUS Research Affairs Department</t>
  </si>
  <si>
    <t>This research protocol was funded by the Duke/Duke-National University of Singapore (NUS) Collaboration Pilot Grant titled "Privacy-Preserving, Adaptive Federated and Swarm Learning: Emergency Department Triage Decision-Making across Two International Healthcare Systems" (Duke/Duke-NUS/RECA(Pilot)/2022/0064). This project was awarded US$100,000 to the Duke budget and S$100,000 (US $79,180) to the Duke-NUS budget, with a project period starting September 1, 2022, and an initial end date of August 31, 2023. This study was supported under the auspices of the Duke Office of Duke-NUS Affairs and the Duke-NUS Research Affairs Department. Funding covered activities related to infrastructure development, federated learning implementation, and preliminary modeling. The funders of this study had no role in this study's design, data collection, data analysis, data interpretation, or writing of this report.</t>
  </si>
  <si>
    <t>[Hong, Chuan; Chakraborty, Bibhas; Engelhard, Matthew; Goldstein, Benjamin A.; Wong, An-Kwok Ian; Page, David] Duke Univ, Sch Med, Dept Biostat &amp; Bioinformat, Durham, NC USA; [Liew, Jonathan Chong Kai; Ho, Kendall] Univ Penn, Perelman Sch Med, Philadelphia, PA USA; [Yu, Jaeyong; Barry, Tomas] Hallym Univ, Chuncheon Si, South Korea; [Djarv, Therese] Univ Coll Dublin, Sch Med, Dublin, Ireland; [Blewer, Audrey L.; Djarv, Therese] Duke Univ, Sch Med, Dept Family Med &amp; Community Hlth, Durham, NC USA; [Blewer, Audrey L.] Duke Univ, Sch Med, Dept Populat Hlth Sci, Durham, NC USA; [Blewer, Audrey L.] Natl Univ Singapore, Duke NUS Med Sch, Hlth Serv Res &amp; Populat Hlth, Singapore, Singapore; [Buckland, Daniel M.; Cai, Tianrun; Joiner, Anjni] Univ Wisconsin Madison, Dept Emergency Med, Madison, WI USA; [Cai, Tianrun] VA Boston Healthcare Syst, Boston, MA USA; [Cai, Tianrun] Brigham &amp; Womens Hosp, Boston, MA USA; [Barry, Tomas; Cai, Tianrun; Cha, Won Chul; Djarv, Therese; Fan, Xiuyi; Ho, Kendall] Samsung Med Ctr, Seoul, South Korea; [Barry, Tomas; Cai, Tianrun; Chen, Wei; Djarv, Therese; Fan, Xiuyi] Univ Sydney, Sch Biomed Engn, Sydney, Australia; [Barry, Tomas; Cai, Tianrun; Cheng, Jun; Djarv, Therese; Fan, Xiuyi] Inst Infocomm Res, I2R, Agcy Sci Technol &amp; Res, Singapore 117674, Singapore; [Barry, Tomas; Cai, Tianrun; Chong, Shu-Ling; Djarv, Therese; Fan, Xiuyi] KK Womens &amp; Childrens Hosp, Singapore, Singapore; [Barry, Tomas; Cai, Tianrun; Djarv, Therese; Fan, Xiuyi] Karolinska Univ Hosp, Stockholm, Sweden; [Barry, Tomas; Cai, Tianrun; Djarv, Therese; Fan, Xiuyi] Karolinska Inst, Stockholm, Sweden; [Barry, Tomas; Cai, Tianrun; Djarv, Therese; Earnest, Arul; Fan, Xiuyi] Monash Univ, Sch Publ Hlth &amp; Prevent Med, Melbourne, Australia; [Barry, Tomas; Cai, Tianrun; Djarv, Therese; Fan, Xiuyi; Ng, Yih Yng] Nanyang Technol Univ, Lee Kong Chian Sch Med, Singapore, Singapore; [Barry, Tomas; Cai, Tianrun; Djarv, Therese; Fan, Xiuyi] Nanyang Technol Univ, Coll Comp &amp; Data Sci, Singapore, Singapore; [Feng, Mengling; Lim, Shir Lynn] Natl Univ Singapore, Saw Swee Hock Sch Publ Hlth, Singapore, Singapore; [Barry, Tomas; Cai, Tianrun; Djarv, Therese; Fan, Xiuyi; Feng, Mengling; Ho, Kendall] Natl Univ Singapore, Inst Data Sci, Singapore, Singapore; [Barry, Tomas; Cai, Tianrun; Djarv, Therese; Fan, Xiuyi; Feng, Jean] Univ Calif San Francisco, Dept Epidemiol &amp; Biostat, San Francisco, CA USA; [Barry, Tomas; Cai, Tianrun; Djarv, Therese; Fan, Xiuyi; Fu, Huazhu] Inst High Performance Comp, Agcy Sci Technol &amp; Res, Singapore, Singapore; [Barry, Tomas; Cai, Tianrun; Djarv, Therese; Fan, Xiuyi; Goh, Wilson Wen Bin; Teixayavong, Salinelat] Nanyang Technol Univ, Nanyang, Singapore; [Barry, Tomas; Cai, Tianrun; Djarv, Therese; Fan, Xiuyi; Goh, Wilson Wen Bin] Imperial Coll London, London, England; [Barry, Tomas; Cai, Tianrun; Djarv, Therese; Fan, Xiuyi; Gronsbell, Jessica] Univ Toronto, Dept Stat Sci, Toronto, ON, Canada; [Barry, Tomas; Cai, Tianrun; Djarv, Therese; Fan, Xiuyi; Ho, Andrew Fu Wah; Lim, Shir Lynn; Liu, Zhenghong; Siddiqui, Fahad Javaid; Ong, Marcus Eng Hock] Natl Univ Singapore, Duke NUS Med Sch, Singapore, Singapore; [Barry, Tomas; Cai, Tianrun; Djarv, Therese; Fan, Xiuyi; Ho, Andrew Fu Wah; Okada, Yohei; Shen, Yuzeng; Tan, Kenneth Boon Kiat; Ong, Marcus Eng Hock] Singapore Gen Hosp, Singapore, Singapore; [Barry, Tomas; Cai, Tianrun; Djarv, Therese; Fan, Xiuyi; Ho, Andrew Fu Wah] SingHealth, Ctr Populat Hlth Res &amp; Implementat, Singapore, Singapore; [Barry, Tomas; Cai, Tianrun; Djarv, Therese; Fan, Xiuyi] Univ British Columbia, Dept Emergency Med, Vancouver, BC, Canada; [Barry, Tomas; Cai, Tianrun; Djarv, Therese; Fan, Xiuyi; Iwami, Taku; Liu, Zhenghong] Kyoto Univ, Sch Publ Hlth, Dept Prevent Serv, Kyoto, Japan; [Barry, Tomas; Cai, Tianrun; Djarv, Therese; Fan, Xiuyi; Joiner, Anjni; Vissoci, Joao Ricardo Nickenig; Wong, An-Kwok Ian] Duke Univ, Dept Emergency Med, Durham, NC USA; [Barry, Tomas; Cai, Tianrun; Djarv, Therese; Fan, Xiuyi; Kornblith, Aaron] Univ Calif San Francisco, Dept Emergency Med, San Francisco, CA USA; [Barry, Tomas; Cai, Tianrun; Djarv, Therese; Fan, Xiuyi; Li, Siqi; Ning, Yilin] Ctr Biomed Data Sci, Duke NUS Med Sch, Singapore, Singapore; [Barry, Tomas; Cai, Tianrun; Djarv, Therese; Fan, Xiuyi; Lim, Shir Lynn] Natl Univ, Heart Ctr, Singapore, Singapore; [Barry, Tomas; Cai, Tianrun; Djarv, Therese; Fan, Xiuyi; Liu, Molei] Columbia Univ, Mailman Sch Publ Hlth, Dept Biostat, New York, NY USA; [Barry, Tomas; Cai, Tianrun; Djarv, Therese; Fan, Xiuyi; Lu, Lei] Kings Coll London, Sch Life Course &amp; Populat Sci, London, England; [Barry, Tomas; Cai, Tianrun; Djarv, Therese; Fan, Xiuyi; Luo, Yuan] Northwestern Univ, Feinberg Sch Med, Dept Prevent Med, Chicago, IL USA; [Barry, Tomas; Cai, Tianrun; Djarv, Therese; Fan, Xiuyi; Park, Ju Ok] Hallym Univ, Coll Med, Dept Neurol, Chuncheon Si, South Korea; [Barry, Tomas; Cai, Tianrun; Djarv, Therese; Fan, Xiuyi; Park, Ju Ok] Hallym Univ, Dongtan Sacred Heart Hosp, Hwaseong, South Korea; [Barry, Tomas; Cai, Tianrun; Djarv, Therese; Fan, Xiuyi; Park, Yu Rang] Yonsei Univ, Coll Med, Dept Biomed Syst Informat, Seoul, South Korea; [Barry, Tomas; Cai, Tianrun; Djarv, Therese; Fan, Xiuyi; Razzak, Junaid; Steel, Peter A. D.; Zhang, Yiye] NewYork Presbyterian Weill Cornell Med, New York, NY USA; [Barry, Tomas; Cai, Tianrun; Djarv, Therese; Fan, Xiuyi; Razzak, Junaid] Aga Khan Univ, Ctr Excellence Trauma &amp; Emergencies, Karachi, Pakistan; [Barry, Tomas; Cai, Tianrun; Djarv, Therese; Fan, Xiuyi; Vakulenko-Lagun, Bella] Univ Haifa, Hefa, Israel; [Barry, Tomas; Cai, Tianrun; Djarv, Therese; Fan, Xiuyi; Waligora, Grzegorz] Gdansk Med Univ, Gdansk, Poland; [Barry, Tomas; Cai, Tianrun; Djarv, Therese; Fan, Xiuyi; Waligora, Grzegorz] Wroclaw Med Univ, Wroclaw, Poland; [Barry, Tomas; Cai, Tianrun; Djarv, Therese; Fan, Xiuyi; Wang, Fei] Weill Cornell Med, New York, NY USA; [Barry, Tomas; Cai, Tianrun; Djarv, Therese; Fan, Xiuyi; Wang, Haibo] Sun Yat Sen Univ, Affiliated Hosp 1, Res Ctr Big Data &amp; Artificial Intelligence Med, Guangzhou, Peoples R China; [Barry, Tomas; Cai, Tianrun; Djarv, Therese; Fan, Xiuyi; Wang, Haoyuan] Univ Penn, Ctr Hlth AI &amp; Synth Evidence CHASE, Perelman Sch Med, Dept Biostat Epidemiol &amp; Informat, Philadelphia, PA USA; [Barry, Tomas; Cai, Tianrun; Djarv, Therese; Fan, Xiuyi; Wang, Haoyuan] Univ Penn, Grad Grp Appl Math &amp; Computat Sci, Sch Arts &amp; Sci, Philadelphia, PA 19104 USA; [Barry, Tomas; Cai, Tianrun; Djarv, Therese; Fan, Xiuyi; Wong, An-Kwok Ian] Durham Vet Affairs Med Ctr, Sect Pulm &amp; Crit Care Med, Durham, NC 27705 USA; [Barry, Tomas; Cai, Tianrun; Djarv, Therese; Fan, Xiuyi; Xie, Feng] Univ Minnesota, Dept Surg, Div Computat Hlth Sci, Minneapolis, MN USA; [Barry, Tomas; Cai, Tianrun; Djarv, Therese; Fan, Xiuyi; Yang, Jie] Harvard Univ, Brigham &amp; Womens Hosp, Sch Med, Div Pharmacoepidemiol &amp; Pharmacoecon,Med, Boston, MA 02115 USA; [Barry, Tomas; Cai, Tianrun; Djarv, Therese; Fan, Xiuyi; Yang, Jie] Broad Inst Harvard, Cambridge, MA USA; [Barry, Tomas; Cai, Tianrun; Djarv, Therese; Fan, Xiuyi; Yang, Jie] Harvard Univ, Harvard Data Sci Initiat, Cambridge, MA USA; [Barry, Tomas; Cai, Tianrun; Djarv, Therese; Fan, Xiuyi; Zhou, Doudou] Natl Univ Singapore, Dept Stat &amp; Data Sci, Singapore, Singapore; [Barry, Tomas; Cai, Tianrun; Djarv, Therese; Fan, Xiuyi; Zhou, Li] Harvard Med Sch, Boston, MA USA; [Barry, Tomas; Cai, Tianrun; Djarv, Therese; Fan, Xiuyi; Zhu, Tingting] Univ Oxford, Oxford, Oxfordshire, England; [Barry, Tomas; Cai, Tianrun; Djarv, Therese; Fan, Xiuyi; Neumar, Robert] Univ Michigan, Michigan Med, Dept Emergency Med, Ann Arbor, MI 48109 USA; [Barry, Tomas; Cai, Tianrun; Djarv, Therese; Fan, Xiuyi; Vaughan, Roger] Univ Penn, Philadelphia, PA USA; Natl Univ Singapore, NUS Artificial Intelligence Inst, Singapore, Singapore; [Liu, Nan] Ctr Biomed Data Sci, Duke NUS Med Sch, Singapore, Singapore</t>
  </si>
  <si>
    <t>Duke University; University of Pennsylvania; Pennsylvania Medicine; Hallym University; University College Dublin; Duke University; Duke University; National University of Singapore; University of Wisconsin System; University of Wisconsin Madison; Harvard University; US Department of Veterans Affairs; Harvard University Medical Affiliates; Veterans Health Administration (VHA); VA Boston Healthcare System; Harvard University; Harvard University Medical Affiliates; Brigham &amp; Women's Hospital; Sungkyunkwan University (SKKU); Samsung Medical Center; University of Sydney; Agency for Science Technology &amp; Research (A*STAR); A*STAR - Institute for Infocomm Research (I2R); KK Women's &amp; Children's Hospital; Karolinska Institutet; Karolinska University Hospital; Karolinska Institutet; Monash University; Nanyang Technological University; Nanyang Technological University; National University of Singapore; National University of Singapore; University of California System; University of California San Francisco; Agency for Science Technology &amp; Research (A*STAR); A*STAR - Institute of High Performance Computing (IHPC); Nanyang Technological University; Imperial College London; University of Toronto; National University of Singapore; Singapore General Hospital; University of British Columbia; Kyoto University; Duke University; University of California System; University of California San Francisco; National University of Singapore; National University of Singapore; Columbia University; University of London; King's College London; Northwestern University; Feinberg School of Medicine; Hallym University; Hallym University; Yonsei University; Yonsei University Health System; Cornell University; Weill Cornell Medicine; Aga Khan University; University of Haifa; Fahrenheit Universities; Medical University Gdansk; Wroclaw Medical University; Cornell University; Weill Cornell Medicine; Sun Yat Sen University; University of Pennsylvania; Pennsylvania Medicine; University of Pennsylvania; US Department of Veterans Affairs; Veterans Health Administration (VHA); Durham VA Medical Center; University of Minnesota System; University of Minnesota Twin Cities; Harvard University; Harvard Medical School; Harvard University Medical Affiliates; Brigham &amp; Women's Hospital; Harvard University; Massachusetts Institute of Technology (MIT); Broad Institute; Harvard University; National University of Singapore; Harvard University; Harvard Medical School; University of Oxford; University of Michigan System; University of Michigan; University of Pennsylvania; National University of Singapore; National University of Singapore</t>
  </si>
  <si>
    <t>Building a Global Research Network for Fair, Accountable, Interpretable, and Responsible AI in Emergency Care: Protocol for a FAIR-EC Study</t>
  </si>
  <si>
    <t>JMIR RESEARCH PROTOCOLS</t>
  </si>
  <si>
    <t>emergency care; emergency medicine; pre-hospital Intensive Care Unit (ICU); federated learning; research network</t>
  </si>
  <si>
    <t>RACIAL BIAS; HEALTH</t>
  </si>
  <si>
    <t>Liew, Jonathan Chong Kai/0009-0007-4094-2050</t>
  </si>
  <si>
    <t>76</t>
  </si>
  <si>
    <t>JMIR PUBLICATIONS, INC</t>
  </si>
  <si>
    <t>TORONTO</t>
  </si>
  <si>
    <t>130 QUEENS QUAY East, Unit 1100, TORONTO, ON M5A 0P6, CANADA</t>
  </si>
  <si>
    <t>1929-0748</t>
  </si>
  <si>
    <t>JMIR RES PROTOC</t>
  </si>
  <si>
    <t>JMIR RES. Protoc.</t>
  </si>
  <si>
    <t>e74202</t>
  </si>
  <si>
    <t>10.2196/74202</t>
  </si>
  <si>
    <t>http://dx.doi.org/10.2196/74202</t>
  </si>
  <si>
    <t>Health Care Sciences &amp; Services; Public, Environmental &amp; Occupational Health</t>
  </si>
  <si>
    <t>MH1TV</t>
  </si>
  <si>
    <t>42554297</t>
  </si>
  <si>
    <t>WOS:001842142000001</t>
  </si>
  <si>
    <t>Alhelal, AA; Alshiha, AA; Al-Romeedy, BS</t>
  </si>
  <si>
    <t>This study explored how AI affects the sustainability of competitive advantage in the tourism and hospitality sector, with a particular focus on the mediating roles of digital culture and digital skills in the lens of the Technology Acceptance Model (TAM). Data were collected via a structured questionnaire distributed to a purposive sample of 488 managers and supervisors working in five-star hotels, travel agencies, and DMCs across Saudi Arabia. The findings revealed that AI has a significant direct effect on sustainable competitive advantage and also exerts strong positive effects on both digital culture and digital skills. In turn, both of these internal enablers significantly contribute to sustaining a competitive advantage. Mediation analysis further showed that both digital culture and digital skills partially mediate the relationship between AI and sustainable competitiveness. The study addresses a notable gap in tourism research by providing localized evidence from a market undergoing rapid transformation under Vision 2030, and, taken together, extends TAM to an organizational lens by demonstrating AI's role in shaping culture and skills that underpin a durable advantage while pointing to actionable priorities-targeting high-value AI use cases, conducting capability audits, institutionalizing continuous learning through visible leadership and role-based upskilling, and embedding culture- and skills-oriented KPIs within AI governance.</t>
  </si>
  <si>
    <t>Alhelal, Abdulrahman Abdullah; Alshiha, Ahmed Abdulaziz; Al-Romeedy, Bassam Samir</t>
  </si>
  <si>
    <t>Al-Romeedy, BS (corresponding author), Univ Sadat City, Fac Tourism &amp; Hotels, Tourism Studies Dept, Sadat City 32897, Egypt.</t>
  </si>
  <si>
    <t>abdalhelal@ksu.edu.sa; aaalshiha@ksu.edu.sa; bassam.samir@fth.usc.edu.eg</t>
  </si>
  <si>
    <t>King Saud University [W25-43]; Deanship of Scientific Research at King Saud University</t>
  </si>
  <si>
    <t>King Saud University (King Saud University); Deanship of Scientific Research at King Saud University (King Saud University)</t>
  </si>
  <si>
    <t>The authors would like to extend their appreciation to the Deanship of Scientific Research at King Saud University for funding this work through Waed Program (W25-43).</t>
  </si>
  <si>
    <t>[Alhelal, Abdulrahman Abdullah; Alshiha, Ahmed Abdulaziz] King Saud Univ, Dept Tourism &amp; Hotel Management, Coll Tourism &amp; Archaeol, POB 2455, Riyadh, Saudi Arabia; [Al-Romeedy, Bassam Samir] Univ Sadat City, Fac Tourism &amp; Hotels, Tourism Studies Dept, Sadat City 32897, Egypt</t>
  </si>
  <si>
    <t>King Saud University; Egyptian Knowledge Bank (EKB); University of Sadat City</t>
  </si>
  <si>
    <t>AI-Driven Sustainable Competitive Advantage in Tourism and Hospitality: Mediating Roles of Digital Culture and Skills</t>
  </si>
  <si>
    <t>artificial intelligence; digital culture; digital skills; sustainable competitive advantage; tourism and hospitality</t>
  </si>
  <si>
    <t>MODELS</t>
  </si>
  <si>
    <t>ALSHIHA, AHMED/KHY-6431-2024; Alromeedy, Bassam/U-7336-2018; Alhelal, Abdulrahman/MSW-3192-2025</t>
  </si>
  <si>
    <t>ALSHIHA, AHMED/0000-0002-2255-9978; Alromeedy, Bassam/0000-0002-7900-5052; Alhelal, Abdulrahman/0009-0007-9656-241X</t>
  </si>
  <si>
    <t>86</t>
  </si>
  <si>
    <t>OCT 7 2025</t>
  </si>
  <si>
    <t>8903</t>
  </si>
  <si>
    <t>10.3390/su17198903</t>
  </si>
  <si>
    <t>http://dx.doi.org/10.3390/su17198903</t>
  </si>
  <si>
    <t>8OY7V</t>
  </si>
  <si>
    <t>WOS:001593868000001</t>
  </si>
  <si>
    <t>Vu, T; Nguyen, L; Dao, Q</t>
  </si>
  <si>
    <t>Large Language Models (LLMs) have demonstrated remarkable capabilities in generating synthetic text data, offering transformative potential for data augmentation, privacy preservation, and addressing data scarcity across sensitive domains. However, when the subjects of generated content involve populationsincluding children, patients, refugees, racial and people from underrepresented ethnic groups, LGBTQ+ individuals, and persons with disabilitiescritical ethical risks emerge, spanning privacy breaches, bias amplification, stereotypical representation, and the production of harmful content. Despite growing interest in both synthetic data generation and AI safety, there remains no comprehensive survey that systematically examines the intersection of ethical synthetic text generation and vulnerable population protection. This paper addresses this gap by providing the first comprehensive survey of methods, frameworks, evaluation metrics, and open challenges in this domain. We review over 300 works spanning synthetic data generation, prompt engineering, LLM safety and alignment, fairness and bias mitigation, and privacypreserving techniques. We propose a taxonomy that classifies existing approaches along three axes: the generation pipeline stage (pregeneration, ingeneration, postgeneration), the ethical dimension addressed (privacy, fairness, safety, representation), and the target population. We critically analyze four systematic failure patterns in existing methodspopulation blindness, intersectionality gaps, evaluation circularity, and static ethical requirementsand provide a research gaps matrix mapping understudied populationdimension combinations. Furthermore, we introduce PromptGuard, a modular orchestrated prompting framework that integrates existing prompting techniquesincluding ChainofThought, TreeofThoughts, Constitutional AI, ReAct, and SelfCritiqueinto a principled sixmodule architecture designed for populationspecific ethical text generation. We demonstrate PromptGuard through three detailed case studies spanning LGBTQ+ youth mental health, clinical records, and refugee narratives. We additionally analyze the regulatory landscape (EU AI Act, COPPA, HIPAA), crosscultural ethical tensions, and model collapse risks. Finally, we distill practical guidelines for practitioners and outline future research directions toward more inclusive, culturally adaptive, and communitydriven ethical AI systems.</t>
  </si>
  <si>
    <t>Vu, Tung; Nguyen, Lam; Dao, Quynh</t>
  </si>
  <si>
    <t>Dao, Q (corresponding author), Posts &amp; Telecommun Inst Technol, Hanoi 100000, Vietnam.; Dao, Q (corresponding author), Posts &amp; Telecommun Inst Technol, Intelligent Comp Sustainable Dev Lab IC4SD, Hanoi 100000, Vietnam.</t>
  </si>
  <si>
    <t>quynhdtt@ptit.edu.vn</t>
  </si>
  <si>
    <t>Posts and Telecommunications Institute of Technology, Hanoi, Vietnam</t>
  </si>
  <si>
    <t>This work was supported by the Posts and Telecommunications Institute of Technology, Hanoi, Vietnam.</t>
  </si>
  <si>
    <t>[Vu, Tung; Nguyen, Lam; Dao, Quynh] Posts &amp; Telecommun Inst Technol, Hanoi 100000, Vietnam; [Vu, Tung] Hanoi Architectural Univ, Fac Informat Technol, Hanoi 100000, Vietnam; [Dao, Quynh] Posts &amp; Telecommun Inst Technol, Intelligent Comp Sustainable Dev Lab IC4SD, Hanoi 100000, Vietnam</t>
  </si>
  <si>
    <t>Hanoi Architectural University</t>
  </si>
  <si>
    <t>Ethical Synthetic Text Generation for Vulnerable Populations Using Large Language Models: A Comprehensive Survey</t>
  </si>
  <si>
    <t>Modeling; Large language models; Safety; Surveys; Privacy; Artificial intelligence; Computational linguistics; Synthetic data; Pediatrics; Training; synthetic data generation; ethical AI; vulnerable populations; prompt engineering; PromptGuard; bias mitigation; privacy preservation; AI safety; responsible AI</t>
  </si>
  <si>
    <t>RISK</t>
  </si>
  <si>
    <t>159</t>
  </si>
  <si>
    <t>90726</t>
  </si>
  <si>
    <t>90749</t>
  </si>
  <si>
    <t>10.1109/ACCESS.2026.3698020</t>
  </si>
  <si>
    <t>http://dx.doi.org/10.1109/ACCESS.2026.3698020</t>
  </si>
  <si>
    <t>KI7JH</t>
  </si>
  <si>
    <t>WOS:001807913200012</t>
  </si>
  <si>
    <t>Akhund, SA; Qazi, S; Mazhar, MA; Shaikh, AA; Atif, E; Shaikh, A; Shaibah, H; Musa, MAE; NQazi, S; Khan, MA; Obeidat, A</t>
  </si>
  <si>
    <t>Background Medical education faces increasing demand for scalable grading solutions. Large language models have been proposed as automated graders for high-stakes assessments, but evidence for their reliability in multimodal practical examinations remains limited.Methods This retrospective inter-rater reliability study compared three LLMs: ChatGPT-4o, Gemini 2.5 Flash, and Claude 3.5 Haiku with original human reference scores on 19 integrated anatomy, histology, and physiology objective structured practical examination items completed by 309 pre-medical students. Human reference scores were assigned during live summative grading by two content experts who divided items, with each item marked by one expert across all students; no human inter-rater reliability estimate was available. Items required simultaneous image interpretation and short-answer responses. Models were evaluated using zero-shot prompting reflecting deployment-realistic conditions. Agreement was assessed using Spearman's rho, Cohen's kappa, intraclass correlation coefficients, and Bland-Altman analysis. Item-level gap analysis compared student success rates with LLM performance across items.Results Rank-order correlations were strong across all models (rho = 0.784-0.921), but categorical agreement diverged substantially. Pass/fail agreement ranged from 52.1% (ChatGPT; kappa = 0.067, slight) to 84.1% (Claude; kappa = 0.680, substantial). Bland-Altman analysis showed inconsistent systematic bias: Claude over-scored by +2.5 points, Gemini under-scored by -5.0 points, and ChatGPT by -10.0 points. Item-level gap analysis highlighted three recurring divergence patterns: non-standard histological staining, three-dimensional spatial reasoning from two-dimensional images, and semantic inflexibility in short-answer evaluation. The most extreme case was a pelvic three-dimensional model item on which 93.3% of students succeeded by human grading but all three LLMs assigned a mean score of zero.Conclusions Strong rank-order correlation alone does not support LLM grading for categorical decisions in high-stakes assessment contexts. LLMs may serve as assessment assistants for first-pass ranking and discrepancy flagging, but item-level human review of flagged discordances, error-profile monitoring, and preserved human authority over pass/fail decisions are required before high-stakes deployment.</t>
  </si>
  <si>
    <t>Akhund, Shahid Akhtar; Qazi, Sadia; Mazhar, Muhammad Atif; Shaikh, Aftab Ahmed; Atif, Eshal; Shaikh, Adeen; Shaibah, Hassan; Musa, Mohammed Alged Elsheikh; N.Qazi, Sabiya; Khan, Mateen A.; Obeidat, Akef</t>
  </si>
  <si>
    <t>Qazi, S (corresponding author), Alfaisal Univ, Coll Med, Dept Anat, Riyadh 11533, Saudi Arabia.</t>
  </si>
  <si>
    <t>sqazi@alfaisal.edu</t>
  </si>
  <si>
    <t>Alfaisal University</t>
  </si>
  <si>
    <t>Alfaisal University (Alfaisal University)</t>
  </si>
  <si>
    <t>This study did not receive external funding. The APC was covered by Alfaisal University.</t>
  </si>
  <si>
    <t>[Akhund, Shahid Akhtar] Alfaisal Univ, Coll Med, Dept Med Educ, Riyadh, Saudi Arabia; [Akhund, Shahid Akhtar; Qazi, Sadia; Mazhar, Muhammad Atif; Shaikh, Aftab Ahmed; Shaibah, Hassan; Musa, Mohammed Alged Elsheikh; Obeidat, Akef] Alfaisal Univ, Coll Med, Dept Anat, Riyadh 11533, Saudi Arabia; [Atif, Eshal; Shaikh, Adeen] Alfaisal Univ, Coll Med, Riyadh, Saudi Arabia; [N.Qazi, Sabiya; Khan, Mateen A.] Alfaisal Univ, Coll Sci &amp; Gen Studies, Dept Life Sci, Riyadh, Saudi Arabia</t>
  </si>
  <si>
    <t>Alfaisal University; Alfaisal University; Alfaisal University; Alfaisal University</t>
  </si>
  <si>
    <t>Agreement, calibration, and failure of three large language models as high-stakes multimodal ospe graders: a comparative psychometric analysis</t>
  </si>
  <si>
    <t>MEDICAL EDUCATION ONLINE</t>
  </si>
  <si>
    <t>Large language models; OSPE; automated grading; multimodal assessment; inter- responsible AI</t>
  </si>
  <si>
    <t>LOW KAPPA; RELIABILITY; BIAS</t>
  </si>
  <si>
    <t>Khan, Mateen/LIH-6663-2024; Qazi, Sadia/JZD-3993-2024; Akhund, Shahid/MYR-8953-2025; Obeidat, Akef/KYQ-0859-2024</t>
  </si>
  <si>
    <t>Alged, Mohammed/0009-0005-9890-5469</t>
  </si>
  <si>
    <t>65</t>
  </si>
  <si>
    <t>TAYLOR &amp; FRANCIS LTD</t>
  </si>
  <si>
    <t>2-4 PARK SQUARE, MILTON PARK, ABINGDON OR14 4RN, OXON, ENGLAND</t>
  </si>
  <si>
    <t>1087-2981</t>
  </si>
  <si>
    <t>MED EDUC ONLINE</t>
  </si>
  <si>
    <t>Med. Educ. Online</t>
  </si>
  <si>
    <t>DEC 31 2026</t>
  </si>
  <si>
    <t>2684837</t>
  </si>
  <si>
    <t>10.1080/10872981.2026.2684837</t>
  </si>
  <si>
    <t>http://dx.doi.org/10.1080/10872981.2026.2684837</t>
  </si>
  <si>
    <t>KU7KE</t>
  </si>
  <si>
    <t>42421433</t>
  </si>
  <si>
    <t>WOS:001816065100001</t>
  </si>
  <si>
    <t>gold; Green Accepted</t>
  </si>
  <si>
    <t>Wani, TA; Liem, M; Prasad, N; Robinson, K; Nexhip, A; Tassos, M; Gjorgioski, S; Khan, UR; Boyd, J; Riley, M</t>
  </si>
  <si>
    <t>Background: Generative artificial intelligence (AI) tools, such as ChatGPT, are increasingly used in higher education and have raised significant concerns about assessment validity and academic integrity. In Digital Health and Health Information Management (DIGHIM) programs, assessments are designed to evaluate a mix of technical skills, contextual reasoning, and professional judgment that underpin medical and health practice. Understanding how generativeAI performs across different assessmenttypes is, therefore, critical to identifying which formats are most susceptible to AI-generated content and how assessments may be redesigned to remain authentic and educationally meaningful. Objective: This study aimed to evaluate ChatGPT's performance across diverse assessment types in DIGHIM education by examining how task complexity influences AI-generated output quality, and develop recommendations for ethical and effective AI integration in assessments. Methods: A pilot quasi-experimental design compared ChatGPT-generated responses with deidentified student submissions across 5 assessment types: digital health solution design, business case analysis, reflective assessment, SQL health database programming, and a health classification quiz. For each task, multipleAI submissions were produced using different prompting strategies, including rubric integration and the use of ChatGPT (GPT-4 and o1 Preview model). Blinded academic markers evaluated all AI-generated submissions and previously submitted deidentified student assessments against standard rubrics, and descriptive statistics were used to compare performance. Results: ChatGPT's performance varied considerably across assessment types. It achieved its highest accuracy scores in objective, rule-based tasks such as multiple-choice quiz items in health classification (mean 88%, SD 0%) and produced well-structured, coherent responses for reflective assessments (mean 69%, SD 12.8%), though these often lacked personalization and nuanced industry context. In descriptiveanalytical tasks, such as digital health businesscasesand solution designs, ChatGPT produced logically structured work with reasonable use of evidence but failed to provide deep contextualization, domain-specific insights, or visual elements expected in DIGHIM practice. Technical assessments revealed the greatest limitations: SQL programming tasks averaged 42% (SD 17.2%) with persistent schema errors, incomplete queries, and weak interpretation of health data outputs, while scenario-based clinical coding scoredjust 7% (SD 0%), reflecting a lack of precision in applying ICD-10-AM (International Classification ofDiseases,Tenth Revision, Australian Modification) rules and coding conventions. Structured prompting and rubric integration improved results, particularly in descriptive and reflective tasks (up to 80%), but the advanced o1 Preview model did not consistently outperform earlier versions. Conclusions:While ChatGPT performs well in structured, rule-based, and reflective tasks, it remains limited in technical accuracy, contextual reasoning, and applied DIGHIM competencies. To support academic integrity and workforce readiness, assessment design should prioritize critical thinking, ethical reasoning, and scenario-based problem-solving aligned with health care practice. Using AI as a tool for critique and refinement, rather than a substitute for student work, may help educators prepare learners for responsible AI use in medical and health professional education.</t>
  </si>
  <si>
    <t>Wani, Tafheem Ahmad; Liem, Michael; Prasad, Natasha; Robinson, Kerin; Nexhip, Abbey; Tassos, Melanie; Gjorgioski, Stephanie; Khan, Urooj Raza; Boyd, James; Riley, Merilyn</t>
  </si>
  <si>
    <t>Wani, TA (corresponding author), La Trobe Univ, Sch Psychol &amp; Publ Hlth, Hlth Sci 2,Plenty Rd, Melbourne, Vic 3086, Australia.</t>
  </si>
  <si>
    <t>t.wani@latrobe.edu.au</t>
  </si>
  <si>
    <t>La Trobe University's internal artificial intelligence in teaching grant scheme</t>
  </si>
  <si>
    <t>The research was funded through La Trobe University's internal artificial intelligence in teaching grant scheme. The funder had no role in the study design; data collection, analysis, or interpretation; manuscript preparation; or the decision to submit the manuscript for publication.</t>
  </si>
  <si>
    <t>[Wani, Tafheem Ahmad; Liem, Michael; Prasad, Natasha; Robinson, Kerin; Nexhip, Abbey; Tassos, Melanie; Gjorgioski, Stephanie; Khan, Urooj Raza; Boyd, James; Riley, Merilyn] La Trobe Univ, Sch Psychol &amp; Publ Hlth, Hlth Sci 2,Plenty Rd, Melbourne, Vic 3086, Australia</t>
  </si>
  <si>
    <t>La Trobe University</t>
  </si>
  <si>
    <t>Susceptibility of Assessment Types to AI-Generated Content in Digital Health and Health Information Management Education: Quasi-Experimental Pilot Study</t>
  </si>
  <si>
    <t>JMIR MEDICAL EDUCATION</t>
  </si>
  <si>
    <t>academic integrity; assessment design; ChatGPT performance; digital health education; generative artificial intelligence; health information management; quasi-experimental study</t>
  </si>
  <si>
    <t>WORKFORCE; CHATGPT</t>
  </si>
  <si>
    <t>Liem, Michael/PVE-2522-2026; Wani, Tafheem Ahmad/AGP-5316-2022</t>
  </si>
  <si>
    <t>69</t>
  </si>
  <si>
    <t>2369-3762</t>
  </si>
  <si>
    <t>JMIR MED EDUC</t>
  </si>
  <si>
    <t>JMIR Med. Educ.</t>
  </si>
  <si>
    <t>e82988</t>
  </si>
  <si>
    <t>10.2196/82988</t>
  </si>
  <si>
    <t>http://dx.doi.org/10.2196/82988</t>
  </si>
  <si>
    <t>Education, Scientific Disciplines</t>
  </si>
  <si>
    <t>GG6PB</t>
  </si>
  <si>
    <t>41911020</t>
  </si>
  <si>
    <t>WOS:001735947700001</t>
  </si>
  <si>
    <t>Oh, O; Demiris, G; Ulrich, CM</t>
  </si>
  <si>
    <t>Palliative care aims to improve the quality of life for seriously ill individuals and their caregivers by addressing their holistic care needs through a person- and family-centered approach. While there have been growing efforts to integrate Artificial Intelligence (AI) into palliative care practice and research, it remains unclear whether the use of AI can facilitate the goals of palliative care. In this paper, we present three hypothetical case examples of using AI in the palliative care context, covering machine learning algorithms that predict patient mortality, natural language processing models that detect psychological symptoms, and AI chatbots addressing caregivers' unmet needs. Using these cases, we examine the ethical dimensions of utilizing AI in palliative care by applying five widely accepted moral principles that guide ethical deliberations in AI: beneficence, nonmaleficence, autonomy, justice, and explicability. We address key ethical questions arising from these five core moral principles and analyze the potential impact the use of AI can have on palliative care stakeholders. Applying a critical lens, we assess whether AI can facilitate the primary aim of palliative care to support seriously ill individuals and their families. We conclude by discussing the gaps that need to be further addressed in order to promote ethical and responsible AI usage in palliative care.</t>
  </si>
  <si>
    <t>Oh, Oonjee; Demiris, George; Ulrich, Connie M.</t>
  </si>
  <si>
    <t>Oh, O (corresponding author), Univ Penn, Sch Nursing, Claire M Fagin Hall,418 Curie Blvd, Philadelphia, PA 19104 USA.</t>
  </si>
  <si>
    <t>oonjee@upenn.edu</t>
  </si>
  <si>
    <t>[Oh, Oonjee] Univ Penn, Sch Nursing, Claire M Fagin Hall,418 Curie Blvd, Philadelphia, PA 19104 USA; Univ Penn, Perelman Sch Med, Philadelphia, PA USA; Univ Penn, Leonard Davis Inst Hlth Econ, Philadelphia, PA USA</t>
  </si>
  <si>
    <t>University of Pennsylvania; University of Pennsylvania; Pennsylvania Medicine; University of Pennsylvania</t>
  </si>
  <si>
    <t>The ethical dimensions of utilizing Artificial Intelligence in palliative care</t>
  </si>
  <si>
    <t>NURSING ETHICS</t>
  </si>
  <si>
    <t>Artificial intelligence; palliative care; principle-based ethics</t>
  </si>
  <si>
    <t>CAREGIVERS; HEALTH; END</t>
  </si>
  <si>
    <t>Oh, Oonjee/LKL-8419-2024</t>
  </si>
  <si>
    <t>Ulrich, Connie/0000-0001-5681-3463; Oh, Oonjee/0000-0003-0022-1797</t>
  </si>
  <si>
    <t>53</t>
  </si>
  <si>
    <t>SAGE PUBLICATIONS LTD</t>
  </si>
  <si>
    <t>LONDON</t>
  </si>
  <si>
    <t>1 OLIVERS YARD, 55 CITY ROAD, LONDON EC1Y 1SP, ENGLAND</t>
  </si>
  <si>
    <t>0969-7330</t>
  </si>
  <si>
    <t>1477-0989</t>
  </si>
  <si>
    <t>NURS ETHICS</t>
  </si>
  <si>
    <t>Nurs. Ethics</t>
  </si>
  <si>
    <t>JUN 2025</t>
  </si>
  <si>
    <t>1285</t>
  </si>
  <si>
    <t>1296</t>
  </si>
  <si>
    <t>10.1177/09697330241296874</t>
  </si>
  <si>
    <t>http://dx.doi.org/10.1177/09697330241296874</t>
  </si>
  <si>
    <t>NOV 2024</t>
  </si>
  <si>
    <t>Ethics; Nursing</t>
  </si>
  <si>
    <t>Social Sciences - Other Topics; Nursing</t>
  </si>
  <si>
    <t>3VF7O</t>
  </si>
  <si>
    <t>39551621</t>
  </si>
  <si>
    <t>WOS:001356712400001</t>
  </si>
  <si>
    <t>Robina-Ramírez, R; Leal-Solis, A; Roets, AO; Medina-Merodio, JA</t>
  </si>
  <si>
    <t>PurposeThis study aims to investigate the challenges of integrating artificial intelligence (AI) ethics to enhance employee happiness in high-interaction tourism workplaces, where emotional labor and continuous guest engagement increase stress and affect performance.Design/methodology/approachThis study used a mixed-methods approach, combining manager interviews with surveys of 558 employees and 130 managers. Using SmartPLS 4.1.1.4 for nonnormal data and complex mediation, the research is primarily confirmatory while also exploring underexamined intersections of ethical AI and employee happiness in tourism.FindingsResults show ethical AI impacts employee well-being (R-2 = 0.640) more than managers' (R-2 = 0.414). Technostress reduction supports employees' cultural integration, while transparency and fairness enhance managers' empowerment. Data privacy shapes employee human capital development and hospitality perceptions, indicating role-specific priorities and ethical AI's potential to boost happiness in service contexts.Originality/valueThis study provides empirical evidence that ethical AI fosters employee well-being in tourism and hospitality. Offering a replicable framework for other sectors and regions, it links human-centered AI with human capital development, contributing to theory and practice while guiding the creation of employee-focused, ethically responsible AI strategies in service-intensive workplaces.</t>
  </si>
  <si>
    <t>Robina-Ramirez, Rafael; Leal-Solis, Ana; Roets, Aloysius Osb; Medina-Merodio, Jose-Amelio</t>
  </si>
  <si>
    <t>Robina-Ramírez, R (corresponding author), Univ Extremadura, Dept Business &amp; Sociol, Caceres, Spain.</t>
  </si>
  <si>
    <t>alroets@alumnos.unex.es; analealsol@unex.es; rrobina@unex.es; josea.medina@uah.es</t>
  </si>
  <si>
    <t>European Union, European Regional Development Fund; Government of Extremadura [GR24083]</t>
  </si>
  <si>
    <t>European Union, European Regional Development Fund (European Union (EU)); Government of Extremadura</t>
  </si>
  <si>
    <t>This publication has been co-financed at 85% by the European Union, European Regional Development Fund and the Government of Extremadura. Managing Authority: Ministry of Finance (No. GR24083).</t>
  </si>
  <si>
    <t>[Robina-Ramirez, Rafael; Leal-Solis, Ana; Roets, Aloysius Osb] Univ Extremadura, Dept Business &amp; Sociol, Caceres, Spain; [Medina-Merodio, Jose-Amelio] Univ Alcala, Dept Comp Sci, Alcala De Henares, Spain</t>
  </si>
  <si>
    <t>Universidad de Extremadura; Universidad de Alcala</t>
  </si>
  <si>
    <t>Integrating AI ethics to foster employee happiness in high-interaction tourism workplaces</t>
  </si>
  <si>
    <t>MANAGEMENT RESEARCH-THE JOURNAL OF THE IBEROAMERICAN ACADEMY OF MANAGEMENT</t>
  </si>
  <si>
    <t>Ethical AI; Employee well-being; Tourism industry; Human-focused AI; Reducing technostress</t>
  </si>
  <si>
    <t>INFORMATION PRIVACY RESEARCH; TECHNOSTRESS; VALIDITY; USERS; MODEL</t>
  </si>
  <si>
    <t>Medina-Merodio, Jose-Amelio/I-3234-2015; Leal-Solís, Ana/NHP-1185-2025; Robina-Ramirez, Rafael/N-2189-2014</t>
  </si>
  <si>
    <t>Medina-Merodio, Jose-Amelio/0000-0003-3359-4952; Leal-Solís, Ana/0000-0003-4870-697X</t>
  </si>
  <si>
    <t>EMERALD GROUP PUBLISHING LTD</t>
  </si>
  <si>
    <t>Leeds</t>
  </si>
  <si>
    <t>Floor 5, Northspring 21-23 Wellington Street, Leeds, W YORKSHIRE, ENGLAND</t>
  </si>
  <si>
    <t>1536-5433</t>
  </si>
  <si>
    <t>1558-0946</t>
  </si>
  <si>
    <t>MANAG RES</t>
  </si>
  <si>
    <t>Manag. Res.</t>
  </si>
  <si>
    <t>10.1108/MRJIAM-09-2025-1813</t>
  </si>
  <si>
    <t>http://dx.doi.org/10.1108/MRJIAM-09-2025-1813</t>
  </si>
  <si>
    <t>FEB 2026</t>
  </si>
  <si>
    <t>Management</t>
  </si>
  <si>
    <t>Business &amp; Economics</t>
  </si>
  <si>
    <t>DK1BJ</t>
  </si>
  <si>
    <t>WOS:001685312500001</t>
  </si>
  <si>
    <t>Green Submitted</t>
  </si>
  <si>
    <t>Dunlap, PAB; Marquard, J; Delaney, C; Aliferis, C; Chappell, K; Coleman, TM; Klein, P; Yakusheva, O; Wolfe, I; Michalowski, M</t>
  </si>
  <si>
    <t>Background: Nurses are concerned that artificial intelligence (AI) could undermine the holistic, intuitive, and experience-based clinical judgment that is foundational to safe patient care. They are also worried that AI will replace their jobs. Purpose: To examine the supports and threats that four domains of AI (machine learning, generative AI, natural language processing, and robotics) pose to nursing practice, using the American Nurses Association's 2025 Code of Ethics for Nurses as an ethical framework. Methods: This study employed a normative ethical analysis grounded in the American Nurses Association's 2025 Code of Ethics for Nurses and was conducted by a 12-member multidisciplinary expert panel from the University of Minnesota AI in Nursing ethics initiative. Panel members were organized into four working groups aligned with major AI domains and applied a support-interference analytical framework across all ten provisions of the Code, using a structured, template-based approach consistent with the nominal group technique. Discussion: Our findings distinguish between the technical tasks that the domains of AI can handle (documentation, physical assistance, predictive analytics, and educational simulation) and the core humanistic responsibilities that must remain the exclusive domain of nurses. AI supports consistently align with the optimization of these technical tasks, while threats concentrate on nursing's moral and humanistic core, including algorithmic bias, automation bias, erosion of accountability, and lack of transparency. Two critical gaps were identified: the near-absence of AI tools to support an ethical work environment (Provision 6) and a significant research void regarding AI's environmental impact on planetary health (Provision 10). Five recommendations are offered for nurse leaders, administrators, and researchers addressing AI governance, co-design, literacy, local policy, and new advocacy directions. Conclusion: AI can assist nurses with their tasks, but it cannot currently replace the compassionate, humanistic patient care delivered by nurses. Nurses must serve as moral arbiters of AI, ensuring that technology augments rather than supplants the profession's ethical core. (c) 2026 Elsevier Inc. All rights are reserved, including those for text and data mining, AI training, and similar technologies.</t>
  </si>
  <si>
    <t>Dunlap, Patricia A. Ball; Marquard, Jenna; Delaney, Connie; Aliferis, Constantin; Chappell, Kathy; Coleman, Tracee M.; Klein, Peter; Yakusheva, Olga; Wolfe, Ian; Michalowski, Martin</t>
  </si>
  <si>
    <t>Michalowski, M (corresponding author), Univ Minnesota, Sch Nursing, 5-140 Weaver Densford Hall,308 Harvard St SE, Minneapolis, MN 55455 USA.</t>
  </si>
  <si>
    <t>martinm@umn.edu</t>
  </si>
  <si>
    <t>[Marquard, Jenna; Delaney, Connie; Michalowski, Martin] Univ Minnesota, Sch Nursing, 5-140 Weaver Densford Hall,308 Harvard St SE, Minneapolis, MN 55455 USA; [Dunlap, Patricia A. Ball] Mayo Clin, Ctr Digital Hlth, Rochester, MN USA; [Aliferis, Constantin] Univ Minnesota, Environm &amp; Life Sci Inst Hlth Informat, Consortium Law &amp; Values Hlth, Med Sch,Clin &amp; Translat Sci Inst,Data Sci Program, Minneapolis, MN USA; [Chappell, Kathy] Accreditat Commiss Educ Nursing, Atlanta, GA USA; [Coleman, Tracee M.] Enterprise Compliance, RAI Program External Partnerships, UnitedHlth Grp, Eden Prairie, MN USA; [Klein, Peter] St Marys Univ Minnesota, Winona, MN USA; [Klein, Peter] Univ Minnesota, Sch Nursing Board Visitors, Minneapolis, MN USA; [Yakusheva, Olga] Johns Hopkins Business Hlth HBHI, Johns Hopkins Sch Nursing, Johns Hopkins Bloomberg Ctr, Baltimore, MD USA; [Wolfe, Ian] Childrens Minnesota, Minneapolis, MN USA; [Wolfe, Ian] Univ Minnesota, Ctr Bioeth, Minneapolis, MN USA</t>
  </si>
  <si>
    <t>University of Minnesota System; University of Minnesota Twin Cities; Mayo Clinic; University of Minnesota System; University of Minnesota Twin Cities; Saint Marys University Minnesota; University of Minnesota System; University of Minnesota Twin Cities; Johns Hopkins University; Children's Hospitals &amp; Clinics of Minnesota; University of Minnesota System; University of Minnesota Twin Cities</t>
  </si>
  <si>
    <t>Artificial intelligence can replace nursing tasks, but not nurses: Examining artificial intelligence's supports and threats to nursing practice through the lens of the 2025 Nursing Code of Ethics</t>
  </si>
  <si>
    <t>NURSING OUTLOOK</t>
  </si>
  <si>
    <t>Nurses; Code of Ethics; Artificial intelligence; Machine learning; Natural language processing; Robotics; Generative artificial intelligence</t>
  </si>
  <si>
    <t>Ball Dunlap, Patricia/KZU-6046-2024; Wolfe, Ian/HTP-8178-2023; Michalowski, Martin/AAJ-7931-2020</t>
  </si>
  <si>
    <t>Coleman, Tracee/0009-0001-6595-2729; Dunlap, Patricia/0009-0008-4048-0113</t>
  </si>
  <si>
    <t>ELSEVIER SCIENCE INC</t>
  </si>
  <si>
    <t>STE 800, 230 PARK AVE, NEW YORK, NY 10169 USA</t>
  </si>
  <si>
    <t>0029-6554</t>
  </si>
  <si>
    <t>1528-3968</t>
  </si>
  <si>
    <t>NURS OUTLOOK</t>
  </si>
  <si>
    <t>Nurs. Outlook</t>
  </si>
  <si>
    <t>JUL-AUG 2026</t>
  </si>
  <si>
    <t>74</t>
  </si>
  <si>
    <t>102808</t>
  </si>
  <si>
    <t>10.1016/j.outlook.2026.102808</t>
  </si>
  <si>
    <t>http://dx.doi.org/10.1016/j.outlook.2026.102808</t>
  </si>
  <si>
    <t>JD2FQ</t>
  </si>
  <si>
    <t>42217292</t>
  </si>
  <si>
    <t>WOS:001786546400001</t>
  </si>
  <si>
    <t>Syed, W; Bashatah, A; Alharbi, K; Bakarman, SS; Asiri, S; Alqahtani, N</t>
  </si>
  <si>
    <t>Background: Chat Generative Pre-Trained (ChatGPT) Transformer was created by OpenAI and has a powerful tool used in research. This study aimed to assess the awareness and perceptions of ChatGPT among researchers and academicians at King Saud University, Riyadh, Saudi Arabia. Material/Methods: A self-administered cross-sectional study was conducted among academicians and researchers from November 2023 to March 2024 using electronic questionnaires prepared in Google Forms. The data were collected using the Tawasul platform, which sent the electronic questionnaires to the targeted population. To determine the association between variables, the chi-square or Fisher exact test was applied at a significance level of &lt;0.05. To find predictors of use of ChatGPT, multiple linear regression analysis was applied. Results: A response rate of 66.5% was obtained. Among those, 60.2% (n=121) had expertise in computer skills and 63.7% were familiar with ChatGPT. The respondents' gender, age, and specialization had a significant association with familiarity with ChatGPT ( p &lt;0.001). The results of the multiple linear regression analysis revealed that there was a significant association between the use of ChatGPT, age (B=0.048; SE=0.022; t =2.207; p =.028; CI =0.005-0.092) gender (B=0.330; SE=0.067; t =4.906; p =.001; CI =197-.462) and nationality, (B=0.194; SE=0.065; t =2.982; p =.003, CI =.066-.322). Conclusions: The growing use of ChatGPT in scholarly research offers a chance to promote the ethical and responsible use of artificial intelligence. Future studies ought to concentrate on assessing ChatGPT's clinical results and comparing its effectiveness to those of other ChatGPT and other AI tools.</t>
  </si>
  <si>
    <t>Syed, Wajid; Bashatah, Adel; Alharbi, Kholoud; Bakarman, Safiya Salem; Asiri, Saeed; Alqahtani, Naji</t>
  </si>
  <si>
    <t>Syed, W (corresponding author), King Saud Univ, Coll Pharm, Dept Clin Pharm, Riyadh, Saudi Arabia.</t>
  </si>
  <si>
    <t>wali@ksu.edu.sa</t>
  </si>
  <si>
    <t>Research Supporting Project, King Saud University, Riyadh, Saudi Arabia [RSPD2024R1099]</t>
  </si>
  <si>
    <t>Research Supporting Project, King Saud University, Riyadh, Saudi Arabia</t>
  </si>
  <si>
    <t>his study was supported by the Research Supporting Project, King Saud University, Riyadh, Saudi Arabia (RSPD2024R1099) , which provided funding for this work</t>
  </si>
  <si>
    <t>[Syed, Wajid] King Saud Univ, Coll Pharm, Dept Clin Pharm, Riyadh, Saudi Arabia; [Bashatah, Adel; Alharbi, Kholoud; Asiri, Saeed; Alqahtani, Naji] King Saud Univ, Coll Nursing, Dept Nursing Adm &amp; Educ, Riyadh, Saudi Arabia; [Bakarman, Safiya Salem] King Saud Univ, Coll Nursing, Dept Community &amp; Mental Hlth Nursing, Riyadh, Saudi Arabia</t>
  </si>
  <si>
    <t>King Saud University; King Saud University; King Saud University</t>
  </si>
  <si>
    <t>Awareness and Perceptions of ChatGPT Among Academics and Research Professionals in Riyadh, Saudi Arabia: Implications for Responsible AI Use</t>
  </si>
  <si>
    <t>MEDICAL SCIENCE MONITOR</t>
  </si>
  <si>
    <t>Artificial Intelligence; Awareness; Behavioral Research; Culture; Teaching</t>
  </si>
  <si>
    <t>Asiri, Saeed/GRJ-4308-2022; Alharbi, Kholoud/JMQ-3714-2023; /ADH-6446-2022; Bashatah, Adel/I-7592-2018; Syed, Wajid/O-3589-2016; Alqahtani, Naji/AAX-4703-2021</t>
  </si>
  <si>
    <t>Alharbi, Kholoud/0000-0002-6636-0223</t>
  </si>
  <si>
    <t>INT SCIENTIFIC INFORMATION, INC</t>
  </si>
  <si>
    <t>MELVILLE</t>
  </si>
  <si>
    <t>150 BROADHOLLOW RD, STE 114, MELVILLE, NY 11747 USA</t>
  </si>
  <si>
    <t>1643-3750</t>
  </si>
  <si>
    <t>MED SCI MONITOR</t>
  </si>
  <si>
    <t>Med. Sci. Monitor</t>
  </si>
  <si>
    <t>JUL 8 2024</t>
  </si>
  <si>
    <t>2024</t>
  </si>
  <si>
    <t>e944993</t>
  </si>
  <si>
    <t>10.12659/MSM.944993</t>
  </si>
  <si>
    <t>http://dx.doi.org/10.12659/MSM.944993</t>
  </si>
  <si>
    <t>Medicine, Research &amp; Experimental</t>
  </si>
  <si>
    <t>Research &amp; Experimental Medicine</t>
  </si>
  <si>
    <t>YD3N3</t>
  </si>
  <si>
    <t>38976518</t>
  </si>
  <si>
    <t>WOS:001266510600002</t>
  </si>
  <si>
    <t>Gasparello, GG; Tirkkonen, O; Campos, LA; Tanaka, OM</t>
  </si>
  <si>
    <t>Objectives This study evaluated participants' ability to differentiate AI-enhanced orthodontic outcome images from real post-treatment images, and examined the demographic and behavioral factors associated with detection accuracy and with perceived attractiveness. Materials and methods In a cross-sectional online survey (N = 252), participants viewed three sets of smile images-pre-treatment, real post-treatment, and AI-enhanced outcomes generated via ChatGPT with DALL &amp; centerdot;E 3-and rated each image's authenticity and attractiveness using a Visual Analogue Scale (VAS). A custom seven-item questionnaire assessed AI use and trust across daily and professional contexts. Generalized estimating equations were used to account for repeated image evaluations within participants, with logistic GEE models for misclassification outcomes and Gaussian GEE models for attractiveness ratings. Results A total of 63.2% of participants misclassified AI-enhanced images as real, whereas 18.5% misclassified real images as AI-generated. AI-enhanced images received significantly higher attractiveness ratings (mean VAS = 69.2; 95% CI: 67.5-70.9) than actual post-treatment results (mean VAS = 53.9; 95% CI: 51.9-56.0; p &lt; 0.001). Greater trust in AI-generated content was associated with higher odds of misclassifying AI-enhanced images as real (OR = 1.38; 95% CI: 1.13-1.69), and older age showed a small association in the same direction (OR = 1.02; 95% CI: 1.00-1.05). Conclusions In this sample, AI-generated orthodontic images were frequently misclassified as real and were perceived as more attractive than real post-treatment photographs. As generative AI tools become more accessible, understanding how demographic and behavioral factors affect human trust and perception is critical for developing responsible AI policies and digital literacy interventions. Clinical relevance Clinicians should be aware that AI-generated smile simulations may create unrealistic patient expectations. This study provides empirical evidence supporting the need for transparent patient communication regarding the limitations of AI-generated content in orthodontic practice.</t>
  </si>
  <si>
    <t>Gasparello, Gil Guilherme; Tirkkonen, Otso; Campos, Lucas Arrais; Tanaka, Orlando Motohiro</t>
  </si>
  <si>
    <t>Gasparello, GG (corresponding author), Pontificia Univ Catolica Parana PUCPR, Grad Dent Program, Sch Med &amp; Life Sci, Orthodont, Rua Imaculada Conceicao,1155, BR-80215901 Curitiba, PR, Brazil.; Gasparello, GG (corresponding author), Univ Oulu, Res Unit Populat Hlth, Oulu, Finland.</t>
  </si>
  <si>
    <t>gil.gasparello@oulu.fi</t>
  </si>
  <si>
    <t>Pontifcia Universidade Catlica Do Paran</t>
  </si>
  <si>
    <t>The Article Processing Charge (APC) for the publication of this research was funded by the Coordenac &amp; atilde;o de Aperfeicoamento de Pessoal de Nivel Superior - Brasil (CAPES) (ROR identifier: 00x0ma614).</t>
  </si>
  <si>
    <t>[Gasparello, Gil Guilherme; Tanaka, Orlando Motohiro] Pontificia Univ Catolica Parana PUCPR, Grad Dent Program, Sch Med &amp; Life Sci, Orthodont, Rua Imaculada Conceicao,1155, BR-80215901 Curitiba, PR, Brazil; [Gasparello, Gil Guilherme; Tirkkonen, Otso] Univ Oulu, Res Unit Populat Hlth, Oulu, Finland; [Tirkkonen, Otso] Wellbeing Serv Cty North Ostrobothn, Oulu, Finland; [Campos, Lucas Arrais] Univ Eastern Finland, Inst Dent, Fac Hlth Sci, Kuopio, Finland; [Campos, Lucas Arrais] Tampere Univ, Fac Med &amp; Hlth Technol, Tampere, Finland</t>
  </si>
  <si>
    <t>University of Oulu; University of Eastern Finland; Tampere University</t>
  </si>
  <si>
    <t>Human perception of AI-generated post-treatment orthodontic facial images: factors associated with misclassification</t>
  </si>
  <si>
    <t>CLINICAL ORAL INVESTIGATIONS</t>
  </si>
  <si>
    <t>Artificial intelligence; Image perception; Digital trust; Aesthetic judgment; Synthetic media; Orthodontics</t>
  </si>
  <si>
    <t>ARTIFICIAL-INTELLIGENCE</t>
  </si>
  <si>
    <t>Gasparello, Gil Guilherme/HMP-1720-2023; Tanaka, Orlando/C-3174-2017</t>
  </si>
  <si>
    <t>43</t>
  </si>
  <si>
    <t>Europaplatz 3, HEIDELBERG, GERMANY</t>
  </si>
  <si>
    <t>1432-6981</t>
  </si>
  <si>
    <t>1436-3771</t>
  </si>
  <si>
    <t>CLIN ORAL INVEST</t>
  </si>
  <si>
    <t>Clin. Oral Investig.</t>
  </si>
  <si>
    <t>345</t>
  </si>
  <si>
    <t>10.1007/s00784-026-07020-5</t>
  </si>
  <si>
    <t>http://dx.doi.org/10.1007/s00784-026-07020-5</t>
  </si>
  <si>
    <t>JUL 2026</t>
  </si>
  <si>
    <t>Dentistry, Oral Surgery &amp; Medicine</t>
  </si>
  <si>
    <t>LH0XV</t>
  </si>
  <si>
    <t>42467108</t>
  </si>
  <si>
    <t>WOS:001824433900001</t>
  </si>
  <si>
    <t>Khodabandeh, Z; Rabbani, H; Ashtari, F; Zimmermann, HG; Motamedi, S; Brandt, AU; Paul, F; Kafieh, R</t>
  </si>
  <si>
    <t>Background: Multiple sclerosis (MS) is one of the most prevalent chronic inflammatory diseases caused by demyelination and axonal damage in the central nervous system. Structural retinal imaging via optical coherence tomography (OCT) shows promise as a noninvasive biomarker for monitoring of MS. There are successful reports regarding the application of Artificial Intelligence (AI) in the analysis of cross-sectional OCTs in ophthalmologic diseases. However, the alteration of thicknesses of various retinal layers in MS is noticeably subtle compared to other ophthalmologic diseases. Therefore, raw cross-sectional OCTs are replaced with multilayer segmented OCTs for discrimination of MS and healthy controls (HCs).Methods: To conform to the principles of trustworthy AI, interpretability is provided by visualizing the regional layer contribution to classification performance with the proposed occlusion sensitivity approach. The robustness of the classification is also guaranteed by showing the effectiveness of the algorithm while being tested on the new independent dataset. The most discriminative features from different topologies of the multilayer segmented OCTs are selected by the dimension reduction method. Support vector machine (SVM), random forest (RF), and artificial neural network (ANN) are used for classification. Patient-wise cross-validation (CV) is utilized to evaluate the performance of the algorithm, where the training and test folds contain records from different subjects.Results: The most discriminative topology is determined to square with a size of 40 pixels and the most influential layers are the ganglion cell and inner plexiform layer (GCIPL) and inner nuclear layer (INL). Linear SVM resulted in 88% Accuracy (with standard deviation (std) = 0.49 in 10 times of execution to indicate the repeatability), 78% precision (std=1.48), and 63% recall (std=1.35) in the discrimination of MS and HCs using macular multilayer segmented OCTs.Conclusion: The proposed classification algorithm is expected to help neurologists in the early diagnosis of MS. This paper distinguishes itself from other studies by employing two distinct datasets, which enhances the robustness of its findings in comparison with previous studies with lack of external validation. This study aims to circumvent the utilization of deep learning methods due to the limited quantity of the available data and convincingly demonstrates that favorable outcomes can be achieved without relying on deep learning techniques.</t>
  </si>
  <si>
    <t>Khodabandeh, Zahra; Rabbani, Hossein; Ashtari, Fereshteh; Zimmermann, Hanna G.; Motamedi, Seyedamirhosein; Brandt, Alexander U.; Paul, Friedemann; Kafieh, Rahele</t>
  </si>
  <si>
    <t>Kafieh, R (corresponding author), Isfahan Univ Med Sci, Med Image &amp; Signal Proc Res Ctr, Sch Adv Technol Med, Esfahan, Iran.; Kafieh, R (corresponding author), Univ Durham, Dept Engn, Durham, England.</t>
  </si>
  <si>
    <t>Raheleh.kafieh@durham.ac.uk</t>
  </si>
  <si>
    <t>Einstein Foundation [EJS-2018-446]; Vice-Chancellery for Research and Technology, Isfahan University of Medical Sciences [398995]</t>
  </si>
  <si>
    <t>Einstein Foundation; Vice-Chancellery for Research and Technology, Isfahan University of Medical Sciences (Isfahan University of Medical Sciences)</t>
  </si>
  <si>
    <t>The study was funded in part by a grant from Einstein Foundation (Einstein Junior Scholar (EJS-2018-446)) to RK. This work was supported in part by the Vice-Chancellery for Research and Technology, Isfahan University of Medical Sciences, under Grant 398995.</t>
  </si>
  <si>
    <t>[Khodabandeh, Zahra; Rabbani, Hossein; Kafieh, Rahele] Isfahan Univ Med Sci, Med Image &amp; Signal Proc Res Ctr, Sch Adv Technol Med, Esfahan, Iran; [Ashtari, Fereshteh] Isfahan Univ Med Sci, Isfahan Neurosci Res Ctr, Esfahan, Iran; [Zimmermann, Hanna G.; Motamedi, Seyedamirhosein; Brandt, Alexander U.; Paul, Friedemann] Charite Univ Med Berlin, Expt &amp; Clin Res Ctr, Max Delbruck Ctr Mol Med, Berlin, Germany; [Zimmermann, Hanna G.; Motamedi, Seyedamirhosein; Brandt, Alexander U.; Paul, Friedemann; Kafieh, Rahele] Free Univ Berlin, Humboldt Univ Berlin, NeuroCure Clin Res Ctr, Univ Med Berlin, Berlin, Germany; [Brandt, Alexander U.] Univ Calif Irvine, Dept Neurol, Irvine, CA USA; [Paul, Friedemann] Charite Univ Med Berlin, Freie Univ Berlin, Humboldt Univ Berlin, Dept Neurol, Berlin, Germany; [Kafieh, Rahele] Univ Durham, Dept Engn, Durham, England</t>
  </si>
  <si>
    <t>Isfahan University of Medical Sciences; Isfahan University of Medical Sciences; Helmholtz Association; Free University of Berlin; Humboldt University of Berlin; Max Delbruck Center for Molecular Medicine; Charite Universitatsmedizin Berlin; Free University of Berlin; Humboldt University of Berlin; Charite Universitatsmedizin Berlin; University of California System; University of California Irvine; Free University of Berlin; Humboldt University of Berlin; Charite Universitatsmedizin Berlin; Durham University</t>
  </si>
  <si>
    <t>Discrimination of multiple sclerosis using OCT images from two different centers</t>
  </si>
  <si>
    <t>MULTIPLE SCLEROSIS AND RELATED DISORDERS</t>
  </si>
  <si>
    <t>Multiple sclerosis; Optical coherence tomography; Interpretable artificial intelligence; Generalizable; Patient-wise cross-validation</t>
  </si>
  <si>
    <t>OPTICAL COHERENCE TOMOGRAPHY; INNER PLEXIFORM LAYER; FOCAL THICKNESS REDUCTION; SEGMENTATION; NEURITIS</t>
  </si>
  <si>
    <t>kafieh, rahele/E-6456-2012; ashtari, fereshteh/N-1243-2018; Zimmermann, Hanna Gwendolyn/OEP-4573-2025; Motamedi, Seyedamirhosein/AAW-8414-2021; Rabbani, Hossein/H-7515-2014</t>
  </si>
  <si>
    <t>Zimmermann, Hanna Gwendolyn/0000-0002-0276-8051; paul, friedemann/0000-0002-6378-0070; Motamedi, Seyedamirhosein/0000-0002-6897-5387</t>
  </si>
  <si>
    <t>47</t>
  </si>
  <si>
    <t>ELSEVIER SCI LTD</t>
  </si>
  <si>
    <t>London</t>
  </si>
  <si>
    <t>125 London Wall, London, ENGLAND</t>
  </si>
  <si>
    <t>2211-0348</t>
  </si>
  <si>
    <t>2211-0356</t>
  </si>
  <si>
    <t>MULT SCLER RELAT DIS</t>
  </si>
  <si>
    <t>Mult. Scler. Relat. Disord.</t>
  </si>
  <si>
    <t>SEP 2023</t>
  </si>
  <si>
    <t>77</t>
  </si>
  <si>
    <t>104846</t>
  </si>
  <si>
    <t>10.1016/j.msard.2023.104846</t>
  </si>
  <si>
    <t>http://dx.doi.org/10.1016/j.msard.2023.104846</t>
  </si>
  <si>
    <t>JUL 2023</t>
  </si>
  <si>
    <t>Clinical Neurology</t>
  </si>
  <si>
    <t>N8JR3</t>
  </si>
  <si>
    <t>37413855</t>
  </si>
  <si>
    <t>WOS:001039417400001</t>
  </si>
  <si>
    <t>Zhao, HR; Yuan, BC; Zhang, BN; Liao, YJ</t>
  </si>
  <si>
    <t>PurposeThis study aims to investigate how trust and ethics of generative AI (GenAI) could influence information seeking of practitioners, which is important for human-machine collaboration.MethodDrawing from the social response theory, this study analyzes data from in-depth interviews with tourism account operators and hotel staff who use GenAI services to assist their work. Thematic analysis was used to systematically examine and interpret the interview data, enabling the identification of recurring patterns, themes and underlying meanings within participants' responses.FindingsThe mind perception can facilitate employees' technical trust, which in turn further facilitates their exploration willingness. And the sociotechnical concern can dampen employees' technical trust, which should have facilitated their exploration willingness. The mind perception can facilitate employees' ethical recognition of AI rights, whereas sociotechnical concerns tend to inhibit such recognition. Moreover, employees' ethical recognition of AI rights can facilitate their exploration willingness.Originalities/valuesBeyond theory, the findings offer a practical roadmap for business leaders and AI developers to foster responsible AI adoption, balancing innovation with human-centric values. By bridging the gap between machine efficiency and human intuition, this study equips organizations to navigate the GenAI era, where trust, ethics and collaboration define success.</t>
  </si>
  <si>
    <t>Zhao, Hairong; Yuan, Bocong; Zhang, Beining; Liao, Yujiu</t>
  </si>
  <si>
    <t>Yuan, BC (corresponding author), Sun Yat Sen Univ, Sch Tourism Management, Guangzhou, Peoples R China.</t>
  </si>
  <si>
    <t>zhangbn5@mail2.sysu.edu.cn; yuanbc@mail.sysu.edu.cn; bc10458@um.edu.mo; zhaohr25@mail.sysu.edu.cn</t>
  </si>
  <si>
    <t>[Zhao, Hairong] Sun Yat Sen Univ, Int Sch Business &amp; Finance, Guangzhou, Peoples R China; [Yuan, Bocong; Zhang, Beining] Sun Yat Sen Univ, Sch Tourism Management, Guangzhou, Peoples R China; [Liao, Yujiu] Univ Macau, Fac Business Adm, Macau, Peoples R China</t>
  </si>
  <si>
    <t>Sun Yat Sen University; Sun Yat Sen University; University of Macau</t>
  </si>
  <si>
    <t>Navigating generative AI use in tourism and hospitality: how trust and ethics shape human-machine information interaction of practitioners</t>
  </si>
  <si>
    <t>TOURISM REVIEW</t>
  </si>
  <si>
    <t>Mind perception; Social-technical concern; Ethical recognition of AI rights</t>
  </si>
  <si>
    <t>ANTHROPOMORPHISM INCREASES TRUST; SOCIAL RESPONSES; ROBOTS; SELF; MIND</t>
  </si>
  <si>
    <t>Yuan, Bocong/M-6260-2019</t>
  </si>
  <si>
    <t>1660-5373</t>
  </si>
  <si>
    <t>1759-8451</t>
  </si>
  <si>
    <t>TOUR REV</t>
  </si>
  <si>
    <t>Tour. Rev.</t>
  </si>
  <si>
    <t>10.1108/TR-07-2025-0740</t>
  </si>
  <si>
    <t>http://dx.doi.org/10.1108/TR-07-2025-0740</t>
  </si>
  <si>
    <t>EE3GN</t>
  </si>
  <si>
    <t>WOS:001699051800001</t>
  </si>
  <si>
    <t>Malins, S; Figueredo, G; Jilani, T; Long, YF; Andrews, J; Rawsthorne, M; Manolescu, C; Clos, J; Higton, F; Waldram, D; Hunt, D; Vallejos, EP; Moghaddam, N</t>
  </si>
  <si>
    <t>Background: Patient activation is defined as a patient's confidence and perceived ability to manage their own health. Patient activation has been a consistent predictor of long-term health and care costs, particularly for people with multiple long-term health conditions. However, there is currently no means of measuring patient activation from what is said in health care consultations. This may be particularly important for psychological therapy because most current methods for evaluating therapy content cannot be used routinely due to time and cost restraints. Natural language processing (NLP) has been used increasingly to classify and evaluate the contents of psychological therapy. This aims to make the routine, systematic evaluation of psychological therapy contents more accessible in terms of time and cost restraints. However, comparatively little attention has been paid to algorithmic trust and interpretability, with few studies in the field involving end users or stakeholders in algorithm development.Objective: This study applied a responsible design to use NLP in the development of an artificial intelligence model to automate the ratings assigned by a psychological therapy process measure: the consultation interactions coding scheme (CICS). The CICS assesses the level of patient activation observable from turn-by-turn psychological therapy interactions.Methods: With consent, 128 sessions of remotely delivered cognitive behavioral therapy from 53 participants experiencing multiple physical and mental health problems were anonymously transcribed and rated by trained human CICS coders. Using participatory methodology, a multidisciplinary team proposed candidate language features that they thought would discriminate between high and low patient activation. The team included service-user researchers, psychological therapists, applied linguists, digital research experts, artificial intelligence ethics researchers, and NLP researchers. Identified language features were extracted from the transcripts alongside demographic features, and machine learning was applied using k-nearest neighbors and bagged trees algorithms to assess whether in-session patient activation and interaction types could be accurately classified.Results: The k-nearest neighbors classifier obtained 73% accuracy (82% precision and 80% recall) in a test data set. The bagged trees classifier obtained 81% accuracy for test data (87% precision and 75% recall) in differentiating between interactions rated high in patient activation and those rated low or neutral.Conclusions: Coproduced language features identified through a multidisciplinary collaboration can be used to discriminate among psychological therapy session contents based on patient activation among patients experiencing multiple long-term physical and mental health conditions.</t>
  </si>
  <si>
    <t>Malins, Sam; Figueredo, Grazziela; Jilani, Tahseen; Long, Yunfei; Andrews, Jacob; Rawsthorne, Mat; Manolescu, Cosmin; Clos, Jeremie; Higton, Fred; Waldram, David; Hunt, Daniel; Vallejos, Elvira Perez; Moghaddam, Nima</t>
  </si>
  <si>
    <t>Malins, S (corresponding author), Nottinghamshire Healthcare NHS Fdn Trust, Specialist Serv, Triumph Rd, Nottingham NG7 2TU, England.</t>
  </si>
  <si>
    <t>sam.malins@nottingham.ac.uk</t>
  </si>
  <si>
    <t>Engineering and Physical Sciences Research Council's Human Data Interaction Network "Future of Mental Health"; Health Data Research UK (University of Nottingham); National Institute for Health and Care Research (NIHR) Applied Research Collaboration East Midlands Development and Skills Enhancement Award [NIHR300822]; Digital Research Service, University of Nottingham; NIHR Nottingham Biomedical Research Centre; UK Research and Innovation; National Institutes of Health Research (NIHR) [NIHR300822] Funding Source: National Institutes of Health Research (NIHR)</t>
  </si>
  <si>
    <t>Engineering and Physical Sciences Research Council's Human Data Interaction Network "Future of Mental Health"; Health Data Research UK (University of Nottingham) (University of Nottingham); National Institute for Health and Care Research (NIHR) Applied Research Collaboration East Midlands Development and Skills Enhancement Award; Digital Research Service, University of Nottingham (University of Nottingham); NIHR Nottingham Biomedical Research Centre (University of Nottingham); UK Research and Innovation (UK Research &amp; Innovation (UKRI)); National Institutes of Health Research (NIHR) (National Institutes of Health Research (NIHR))</t>
  </si>
  <si>
    <t>This work is funded by the Engineering and Physical Sciences Research Council's Human Data Interaction Network "Future of Mental Health," with support from Health Data Research UK (University of Nottingham) . This study was supported by the National Institute for Health and Care Research (NIHR) Applied Research Collaboration East Midlands Development and Skills Enhancement Award (SM, NIHR300822) and Digital Research Service, University of Nottingham. EPV also acknowledges the financial support of the NIHR Nottingham Biomedical Research Centre and UK Research and Innovation. UK Research and Innovation does not necessarily endorse the views expressed by the author. The views expressed are those of the authors and not necessarily those of the NIHR or the Department of Health and Social Care .</t>
  </si>
  <si>
    <t>[Malins, Sam; Manolescu, Cosmin] Nottinghamshire Healthcare NHS Fdn Trust, Specialist Serv, Nottingham, England; [Figueredo, Grazziela; Jilani, Tahseen; Clos, Jeremie] Univ Nottingham, Sch Comp Sci, Nottingham, England; [Long, Yunfei] Univ Essex, Sch Comp Sci &amp; Elect Engn, Essex, England; [Andrews, Jacob] Univ Nottingham, Mindtech Medtech Cooperat, Nottingham, England; [Rawsthorne, Mat] Hilltop Digital Lab Ltd, Stockport, England; [Higton, Fred; Waldram, David] Univ Nottingham, Inst Mental Hlth, Nottingham, England; [Hunt, Daniel] Univ Nottingham, Sch English, Nottingham, England; [Vallejos, Elvira Perez] Univ Nottingham, Nottingham Biomed Res Ctr Mental Hlth &amp; Technol Th, Nottingham, England; [Moghaddam, Nima] Univ Lincoln, Sch Psychol, Lincoln, England; [Malins, Sam] Nottinghamshire Healthcare NHS Fdn Trust, Specialist Serv, Triumph Rd, Nottingham NG7 2TU, England</t>
  </si>
  <si>
    <t>University of Nottingham; University of Essex; University of Nottingham; University of Nottingham; University of Nottingham; University of Nottingham; University of Lincoln</t>
  </si>
  <si>
    <t>Developing an Automated Assessment of In-session Patient Activation for Psychological Therapy: Codevelopment Approach</t>
  </si>
  <si>
    <t>JMIR MEDICAL INFORMATICS</t>
  </si>
  <si>
    <t>responsible artificial intelligence; machine learning; cognitive behavioral therapy; multimorbidity; natural language processing; mental health</t>
  </si>
  <si>
    <t>HEALTH OUTCOMES; PSYCHOTHERAPY; CARE</t>
  </si>
  <si>
    <t>Hunt, Daniel/PDW-3975-2025; Jilani, Tahseen/AAT-8735-2020; Moghaddam, Nima/H-4496-2017; Clos, Jérémie/B-1636-2018; Figueredo, Grazziela/LKN-7626-2024; LONG, YUNFEI/O-5784-2019; Andrews, Jacob/ADW-5183-2022</t>
  </si>
  <si>
    <t>Rawsthorne, Mat/0000-0002-7481-693X; Jilani, Tahseen/0000-0002-2676-4143; Walam, David/0000-0001-9075-927X; Moghaddam, Nima/0000-0002-8657-4341; Clos, Jérémie/0000-0003-4280-5993; Manolescu, Cosmin/0000-0003-2779-574X; higton, frederick/0000-0001-5861-6359; LONG, YUNFEI/0000-0002-4407-578X; Malins, Sam/0000-0001-9570-186X; Andrews, Jacob/0000-0001-8408-5782</t>
  </si>
  <si>
    <t>66</t>
  </si>
  <si>
    <t>16</t>
  </si>
  <si>
    <t>2291-9694</t>
  </si>
  <si>
    <t>JMIR MED INF</t>
  </si>
  <si>
    <t>JMIR Med. Inf.</t>
  </si>
  <si>
    <t>NOV 2022</t>
  </si>
  <si>
    <t>2022</t>
  </si>
  <si>
    <t>e38168</t>
  </si>
  <si>
    <t>10.2196/38168</t>
  </si>
  <si>
    <t>http://dx.doi.org/10.2196/38168</t>
  </si>
  <si>
    <t>Medical Informatics</t>
  </si>
  <si>
    <t>6R8ND</t>
  </si>
  <si>
    <t>36346654</t>
  </si>
  <si>
    <t>WOS:000892552700010</t>
  </si>
  <si>
    <t>Clavijo, GMC; Nong, P; Tan, S; Platt, J</t>
  </si>
  <si>
    <t>Background: Regulation of artificial intelligence (AI) has been slow relative to the pace of its integration into health care. Several AI diagnostic tools for diabetic retinopathy (DR) have already received Food and Drug Administration (FDA) clearance, making it a timely and concrete example for exploring public perspectives on regulatory approval. The scope of FDA regulation of AI tools is being explored, and public attitudes about regulatory oversight should inform these discussions and are explored in this paper. Prior research suggests that comfort, trust, and political orientation shape views on government regulation and emerging technologies, potentially affecting support for oversight of AI in health care. Objective: This study assessed the perceived importance of FDA approval for AI-supported clinical decision support tools, with DR as the use case. We explored how comfort with AI tool developers, trust in data sharing, political affiliation, and demographic characteristics relate to the importance of FDA approval among US adults. Methods: A national survey was conducted in 2023 using the NORC AmeriSpeak Panel, a probability-based sample including 1787 respondents, with a subset of 982 participants answering questions about a use case describing an AI tool for identifying DR. Participants rated the importance of FDA approval for such tools on a 4-point Likert scale, with responses dichotomized between high and low perceived importance. Logistic regression models assessed associations between this outcome and predictors including comfort with AI tool developers, trust in data sharing, political affiliation, and demographic characteristics. Results: Among the 982 respondents presented with the DR use case, 658 (67%) indicated that FDA approval was "fairly" or "very" important. Statistically significant factors associated with the outcome ("It is important that the AI tool is approved by the FDA") included higher comfort with using thetool (odds ratio [OR] 1.44, 95% CI 1.11-1.87; P=.006), comfort with developers from private companies (OR 1.38, 95% CI 1.09-1.76; P=.008), and hospitals (OR 1.60, 95% CI 1.25-2.05; P&lt;.001). Trust in responsible data sharing (OR 1.25, 95% CI 1.05-1.5; P=.01) and higher education (OR 1.64, 95% CI 1.02-2.62; P=.04) also predicted higher support. Lean or strong Republicans (OR 0.43, 95%CI 0.3-0.6; P&lt;.001) and Independents (OR 0.63, 95% CI 0.42-0.96; P=.03) were less likely to view FDA approval as important, as were Black (OR 0.50, 95% CI 0.34-0.77; P&lt;.001) and Hispanic (OR 0.57, 95% CI 0.38-0.86; P=.007) respondents compared with White respondents. Conclusions: This study offers insights into public attitudes regarding FDA oversight of AI-based clinical decision support tools. Findings highlight how comfort, trust, and lower confidence from marginalized communities and some political groups shape perceived importance of FDA approval, offering a point for broader applications in health care AI governance. These factors should be better considered as health systems work to ensure trustworthy implementation of new AI technologies.</t>
  </si>
  <si>
    <t>Clavijo, Gloria Maria Carmona; Nong, Paige; Tan, Sean; Platt, Jodyn</t>
  </si>
  <si>
    <t>Clavijo, GMC (corresponding author), Univ Michigan, Dept Learning Hlth Syst, TIERRA Trust Innovat &amp; Ethics Res Responsible AI, 2800 Plymouth Rd,B014-G017 North Campus Res Comple, Ann Arbor, MI 48109 USA.</t>
  </si>
  <si>
    <t>gcarmona@umich.edu</t>
  </si>
  <si>
    <t>National Institute of Biomedical Imaging and Bioengineering [5R01EB030492-04]</t>
  </si>
  <si>
    <t>National Institute of Biomedical Imaging and Bioengineering (United States Department of Health &amp; Human Services, National Institutes of Health (NIH) - USA, NIH National Institute of Biomedical Imaging &amp; Bioengineering (NIBIB))</t>
  </si>
  <si>
    <t>This project was supported by the National Institute of Biomedical Imaging and Bioengineering (5R01EB030492-04) .</t>
  </si>
  <si>
    <t>[Clavijo, Gloria Maria Carmona; Tan, Sean; Platt, Jodyn] Univ Michigan, Dept Learning Hlth Syst, TIERRA Trust Innovat &amp; Ethics Res Responsible AI, 2800 Plymouth Rd,B014-G017 North Campus Res Comple, Ann Arbor, MI 48109 USA; [Nong, Paige] Univ Minnesota, Sch Publ Hlth, Div Hlth Policy &amp; Management, Minneapolis, MN USA</t>
  </si>
  <si>
    <t>University of Michigan System; University of Michigan; University of Minnesota Twin Cities; University of Minnesota System; University of Minnesota Twin Cities</t>
  </si>
  <si>
    <t>Public Expectations for Food and Drug Administration Approval of AI-Based Clinical Decision Support Tools: Quantitative Study</t>
  </si>
  <si>
    <t>JMIR AI</t>
  </si>
  <si>
    <t>artificial intelligence; health policy; ethical and legal; learning health systems; public opinion</t>
  </si>
  <si>
    <t>DIABETIC-RETINOPATHY; VALIDATION; SYSTEM</t>
  </si>
  <si>
    <t>Tan, Sean/PGM-8235-2026</t>
  </si>
  <si>
    <t>Tan, Sean/0000-0002-0671-443X; Maria, Gloria/0000-0001-5945-7046</t>
  </si>
  <si>
    <t>2817-1705</t>
  </si>
  <si>
    <t>JUN 11 2026</t>
  </si>
  <si>
    <t>e84315</t>
  </si>
  <si>
    <t>10.2196/84315</t>
  </si>
  <si>
    <t>http://dx.doi.org/10.2196/84315</t>
  </si>
  <si>
    <t>Health Care Sciences &amp; Services; Medical Informatics</t>
  </si>
  <si>
    <t>JL4GA</t>
  </si>
  <si>
    <t>42118568</t>
  </si>
  <si>
    <t>WOS:001792108900001</t>
  </si>
  <si>
    <t>Kiran, B; Soydam, A</t>
  </si>
  <si>
    <t>This study aimed to determine the levels of artificial intelligence (AI) literacy and ethics among undergraduate pharmacy students and identify key sociodemographic and educational factors. A cross-sectional online survey was conducted among 324 volunteer students at the Faculty of Pharmacy, Ege University. The questionnaire included sociodemographic items, the Artificial Intelligence Literacy Scale, and the Artificial Intelligence Ethics Scale. Descriptive and inferential statistics and multiple linear regressions were used. Male students had higher total AI literacy scores than female students (31.79 +/- 5.02 vs. 30.00 +/- 4.75; p = 0.002; Cohen's d = 0.370). Students with prior AI/programming education also had higher AI literacy scores (32.65 +/- 5.22 vs. 30.35 +/- 4.81; p = 0.005; Cohen's d = 0.473). Higher self-reported technology-use skill levels were associated with higher AI literacy. AI literacy and AI ethics were positively but weakly correlated (r = 0.199; 95% CI: 0.092-0.301; p &lt; 0.001). In the regression model, only conscious AI use significantly predicted the AI ethics scores (B = 0.554; 95% CI: 0.172-0.936; p = 0.005). These findings suggest that AI literacy and ethics should be addressed as complementary educational outcomes in the curriculum. Integrating AI literacy with ethical reasoning, transparency, accountability, data privacy, and patient-centered decision-making may better prepare future pharmacists for responsible AI use.</t>
  </si>
  <si>
    <t>Kiran, Bulent; Soydam, Aysegul</t>
  </si>
  <si>
    <t>Kiran, B (corresponding author), Ege Univ, Fac Pharm, Dept Pharm Management, Izmir, Turkiye.</t>
  </si>
  <si>
    <t>bulent.kiran@ege.edu.tr</t>
  </si>
  <si>
    <t>[Kiran, Bulent] Ege Univ, Fac Pharm, Dept Pharm Management, Izmir, Turkiye; [Soydam, Aysegul] Ege Univ, Fac Pharm, Izmir, Turkiye</t>
  </si>
  <si>
    <t>Ege University; Ege University</t>
  </si>
  <si>
    <t>Artificial intelligence literacy and ethical awareness among pharmacy students and associated factors: a cross-sectional study</t>
  </si>
  <si>
    <t>JOURNAL OF RESEARCH IN PHARMACY</t>
  </si>
  <si>
    <t>Artificial intelligence literacy; artificial intelligence ethics; pharmacy students; pharmacy education; pharmacy practice; social pharmacy; digital literacy</t>
  </si>
  <si>
    <t>MARMARA UNIV, FAC PHARMACY</t>
  </si>
  <si>
    <t>ISTANBUL</t>
  </si>
  <si>
    <t>Recep Tayyip Erdogan Campus, Basibuyuk 4/A, Maltepe, ISTANBUL, 34854, TURKIYE</t>
  </si>
  <si>
    <t>2630-6344</t>
  </si>
  <si>
    <t>J RES PHARM</t>
  </si>
  <si>
    <t>J. Res. Pharm.</t>
  </si>
  <si>
    <t>1115</t>
  </si>
  <si>
    <t>1123</t>
  </si>
  <si>
    <t>10.29228/jrp.2022.00</t>
  </si>
  <si>
    <t>http://dx.doi.org/10.29228/jrp.2022.00</t>
  </si>
  <si>
    <t>Pharmacology &amp; Pharmacy</t>
  </si>
  <si>
    <t>ML5OA</t>
  </si>
  <si>
    <t>WOS:001845114800011</t>
  </si>
  <si>
    <t>10.12991/jrespharm.1940300</t>
  </si>
  <si>
    <t>http://dx.doi.org/10.12991/jrespharm.1940300</t>
  </si>
  <si>
    <t>WOS:001845114800010</t>
  </si>
  <si>
    <t>Nebeker, C; Bélisle-Pipon, JC; Collins, BX; Cordes, A; Ferryman, K; Mcinnis, BJ; Mcweeney, SK; Novak, LL; Rose, S; Yracheta, JM; Williams, IC; Jiang, XQ; Clayton, EW; Malin, BA</t>
  </si>
  <si>
    <t>Objective The Bridge2AI program is establishing rules of practice for creating ethically sourced health data repositories to support the effective use of ML/AI in biomedical and behavioral research. Given the initially undefined nature of ethically sourced data, this work concurrently developed definitions and guidelines alongside repository creation, grounded in a practical, operational framework.Materials and Methods A Value Sensitive Design (VSD) approach was used to explore ethical tensions across stages of health data repository development. The conceptual investigation drew from supply chain management (SCM) processes to (1) identify actors who would interact with or be affected by the data repository use and outcomes; (2) determine what values to consider (ie, traceability accountability, security); and (3) analyze and document value trade-offs (ie, balancing risks of harm to improvements in healthcare). This SCM framework provides operational guidance for managing complex, multi-source data flows with embedded bias mitigation strategies.Results This conceptual investigation identified the actors, values, and tensions that influence ethical sourcing when creating a health data repository. The SCM steps provide a scaffolding to support ethical sourcing across the pre-model stages of health data repository development. Ethical sourcing includes documenting data provenance, articulating expectations for experts, and practices for ensuring data privacy, equity, and public benefit. Challenges include risks of ethics washing and highlight the need for transparent, value-driven practices.Discussion Integrating VSD with SCM frameworks enables operationalization of ethical values, improving data integrity, mitigating biases, and enhancing trust. This approach highlights how foundational decisions influence repository quality and AI/ML system usability, addressing provenance, traceability, redundancy, and risk management central to ethical data sourcing.Conclusion To create authentic, impactful health data repositories that serve public health goals, organizations must prioritize transparency, accountability, and operational frameworks like SCM that comprehensively address the complexities and risks inherent in data stewardship.The National Institutes of Health supported Bridge2AI program is creating 4 health data repositories that can advance artificial intelligence (AI) research. The main goal of Bridge2AI is to create high-quality, ethically sourced datasets and clear guidelines that will open the door to new discoveries about complex health problems that are difficult to study with traditional methods. Because "ethically sourced" is not clearly defined, the authors developed both definitions and practical guidelines that can be used by those creating health data repositories. Using a Value Sensitive Design (VSD) approach, they examined ethical challenges at different stages of data management. To do this, they borrowed methods from supply chain management, which focus on tracking people involved, clarifying important values like security and accountability, and weighing trade-offs such as privacy risks versus healthcare benefits. Their analysis identified key players (such as researchers, participants, and policymakers), important values (privacy, transparency, fairness), and tensions that must be balanced. They recommend documenting where data comes from, setting clear roles and responsibilities, and prioritizing data privacy and equity. At the same time, they warn about risks like "ethics washing" (using ethics only as a label without meaningful action). Leveraging VSD and supply chain management, this framework helps make ethical principles more practical, which can lead to improved trust, data integrity, and responsible AI systems that benefit public health.</t>
  </si>
  <si>
    <t>Nebeker, Camille; Belisle-Pipon, Jean Christophe; Collins, Benjamin X.; Cordes, Ashley; Ferryman, Kadija; McInnis, Brian J.; McWeeney, Shannon K.; Novak, Laurie L.; Rose, Susannah; Yracheta, Joseph M.; Williams, Ishan C.; Jiang, Xiaoqian; Clayton, Ellen W.; Malin, Bradley A.</t>
  </si>
  <si>
    <t>Nebeker, C (corresponding author), Univ Calif San Diego, Herbert Wertheim Sch Publ Hlth &amp; Human Longev Sci, 9500 Gilman Dr, MC 0811, La Jolla, CA 92093 USA.</t>
  </si>
  <si>
    <t>nebeker@health.ucsd.edu</t>
  </si>
  <si>
    <t>National Institutes of Health [U54HG012510, U54HG012513, U54HG012517, OT2OD032720, OT2OD032701, OT2OD032644, OT2OD032742]; National Library of Medicine [T15M007450]</t>
  </si>
  <si>
    <t>National Institutes of Health (United States Department of Health &amp; Human Services, National Institutes of Health (NIH) - USA); National Library of Medicine (United States Department of Health &amp; Human Services, National Institutes of Health (NIH) - USA, NIH National Library of Medicine (NLM))</t>
  </si>
  <si>
    <t>This work was supported by National Institutes of Health grants U54HG012510, U54HG012513, U54HG012517, OT2OD032720, OT2OD032701, OT2OD032644, and OT2OD032742 and National Library of Medicine grant T15M007450.</t>
  </si>
  <si>
    <t>[Nebeker, Camille] Univ Calif San Diego, Herbert Wertheim Sch Publ Hlth &amp; Human Longev Sci, 9500 Gilman Dr, MC 0811, La Jolla, CA 92093 USA; [Belisle-Pipon, Jean Christophe] Simon Fraser Univ, Fac Hlth Sci, Burnaby, BC V5A 1S6, Canada; [Collins, Benjamin X.] Vanderbilt Univ, Med Ctr, Dept Med, Nashville, TN 37232 USA; [Collins, Benjamin X.; Novak, Laurie L.; Rose, Susannah; Malin, Bradley A.] Vanderbilt Univ, Med Ctr, Dept Biomed Informat, Nashville, TN 37203 USA; [Collins, Benjamin X.; Novak, Laurie L.; Rose, Susannah; Clayton, Ellen W.; Malin, Bradley A.] Vanderbilt Univ, Med Ctr, Ctr Biomed Ethics &amp; Soc, Nashville, TN 37203 USA; [Cordes, Ashley] Univ Oregon, Indigenous Media Studies ENVS &amp; Data Sci, Eugene, OR 97403 USA; [Ferryman, Kadija] Johns Hopkins Univ, Berman Inst Bioeth, Baltimore, MD 21205 USA; [McInnis, Brian J.] Univ Texas Austin, Sch Informat, Austin, TX 78712 USA; [McWeeney, Shannon K.] Oregon Hlth &amp; Sci Univ, Knight Canc Inst, Portland, OR 97239 USA; [Yracheta, Joseph M.] Native Bio Data Consortium, Homelands Oceti Sakowin Sioux, Eagle Butte, SD 57625 USA; [Yracheta, Joseph M.] Johns Hopkins Univ, Bloomberg Sch Publ Hlth, Environm Hlth Sci &amp; Engn, Baltimore, MD 21228 USA; [Williams, Ishan C.] Univ Virginia, Sch Nursing, Charlottesville, VA 22903 USA; [Jiang, Xiaoqian] Univ Texas Hlth Houston, McWilliams Sch Biomed Informat, Houston, TX 77030 USA; [Clayton, Ellen W.] Vanderbilt Univ, Law Sch, Nashville, TN 37203 USA; [Malin, Bradley A.] Vanderbilt Univ, Dept Comp Sci, Nashville, TN 37212 USA</t>
  </si>
  <si>
    <t>University of California System; University of California San Diego; Simon Fraser University; Vanderbilt University; Vanderbilt University; Vanderbilt University; University of Oregon; Johns Hopkins University; University of Texas System; University of Texas Austin; Oregon Health &amp; Science University; Johns Hopkins University; Johns Hopkins Bloomberg School of Public Health; University of Virginia; University of Virginia (UVA) Health System; Vanderbilt University; Vanderbilt University</t>
  </si>
  <si>
    <t>BridgeAI Ethical Legal &amp; Social Implications AI Working Group</t>
  </si>
  <si>
    <t>Ethical sourcing in the context of health data supply chain management: a value sensitive design approach</t>
  </si>
  <si>
    <t>JAMIA OPEN</t>
  </si>
  <si>
    <t>artificial intelligence; machine learning; health data repository; ethically sourced; research ethics</t>
  </si>
  <si>
    <t>SCIENCE</t>
  </si>
  <si>
    <t>Collins, Benjamin/PMG-7613-2026; Novak, Laurie/KSU-3165-2024; Malin, Bradley/KJR-0424-2024; Williams, Ishan/AGF-2203-2022; Bélisle-Pipon, Jean-Christophe/P-3132-2017</t>
  </si>
  <si>
    <t>Novak, Laurie/0000-0002-0415-4301; Collins, Benjamin/0000-0002-6884-3819</t>
  </si>
  <si>
    <t>OXFORD UNIV PRESS</t>
  </si>
  <si>
    <t>GREAT CLARENDON ST, OXFORD OX2 6DP, ENGLAND</t>
  </si>
  <si>
    <t>2574-2531</t>
  </si>
  <si>
    <t>JAMIA Open</t>
  </si>
  <si>
    <t>ooaf101</t>
  </si>
  <si>
    <t>10.1093/jamiaopen/ooaf101</t>
  </si>
  <si>
    <t>http://dx.doi.org/10.1093/jamiaopen/ooaf101</t>
  </si>
  <si>
    <t>8TC2W</t>
  </si>
  <si>
    <t>41127255</t>
  </si>
  <si>
    <t>WOS:001596688800001</t>
  </si>
  <si>
    <t>King, R; Oseku, E; Akatukwasa, C; Nanyonjo, M; Beinomugisha, J; Akullo, J; Ssemata, J; Parkes-Ratanshi, R</t>
  </si>
  <si>
    <t>Background: AI has the potential to transform health care in low-and middle-income countries, where access to quality care remains limited. Maternal, sexual, and reproductive health (MSRH) outcomes are especially poor due to resource shortages, financial barriers, and geographic inequities. With thoughtful implementation, AI could help address these gaps through innovations in diagnostics, health education chatbots, and telemedicine. However, responsible use is essential to ensure AI reduces, rather than exacerbates, health disparities between high-and low-income regions. Objective: Our study examines the perceptions, uses, benefits, and challenges of AI in MSRH among medical professionals, community members, and AI experts, guided by the diffusion of innovations theory. Methods: We conducted an exploratory qualitative study involving a round table discussion, key informant interviews, focus group discussions, and stakeholder meetings, to examine the perceptions of health workers, policymakers, AI researchers and implementers, as well as Community Advisory Board members. We explored the opportunities, risks, limitations, and best practices for responsible AI in MSRH in sub-Saharan Africa. Framework analysis was used to analyze the collected data, and 3 member-check sessions were conducted to verify the accuracy of the findings. Finally, the themes derived from the data were mapped onto the diffusion of innovations theory to guide reporting of the study findings. Results: The study recruited 59 participants (35 male and 24 female), across the different data collection methods: round table discussion (16 participants), key informant interviews (10 participants), focus group discussions (7 participants), and stakeholder meetings (26 participants). We found a widespread lack of understanding and awareness of AI among both health workers and the general community. Among participants who shared their perspectives, 2 overarching themes emerged around the current and potential uses of AI innovations: filling gaps when skilled and experienced health personnel are not consistently available and targeting high-priority health activities or patients. Participants also emphasized several critical considerations. Building trust among health care providers, patients, and the broader community was seen as essential, alongside addressing language and cultural diversity, both of which require deliberate capacity strengthening. Ensuring equity and sustainability through cocreation strategies was equally stressed. Key concerns raised included ethics, cost, health literacy, and data biases. Conclusions: Our findings will inform the development of a continent-wide AI hub for MSRH, highlighting barriers and opportunities for improving health care access. We aim to support policymakers, researchers, and implementers in using AIto promote equitable maternal, sexual, and reproductive health care delivery across Africa.</t>
  </si>
  <si>
    <t>King, Rachel; Oseku, Elizabeth; Akatukwasa, Cecilia; Nanyonjo, Moreen; Beinomugisha, Joshua; Akullo, Joan; Ssemata, Jackie; Parkes-Ratanshi, Rosalind</t>
  </si>
  <si>
    <t>King, R (corresponding author), Univ Calif San Francisco, Inst Global Hlth Sci, Dept Epidemiol &amp; Biostat, 550 16th St,Floor 3, San Francisco, CA 94143 USA.</t>
  </si>
  <si>
    <t>rachel.king@ucsf.edu</t>
  </si>
  <si>
    <t>International Development Research Centre (IDRC); Swedish International Development Cooperation Agency (Sida) [109804-001]</t>
  </si>
  <si>
    <t>International Development Research Centre (IDRC); Swedish International Development Cooperation Agency (Sida)</t>
  </si>
  <si>
    <t>Funding This study was funded by the International Development Research Centre (IDRC) and the Swedish International Development Cooperation Agency (Sida) . Grant No. 109804-001.</t>
  </si>
  <si>
    <t>[King, Rachel] Univ Calif San Francisco, Inst Global Hlth Sci, Dept Epidemiol &amp; Biostat, 550 16th St,Floor 3, San Francisco, CA 94143 USA; [Oseku, Elizabeth; Akatukwasa, Cecilia; Nanyonjo, Moreen; Beinomugisha, Joshua; Akullo, Joan; Ssemata, Jackie] Acad Hlth Innovat, Infect Dis Inst, Kampala, Uganda; [Parkes-Ratanshi, Rosalind] Queens Univ Belfast, Sch Med Dent &amp; Biomed Sci, Belfast, North Ireland</t>
  </si>
  <si>
    <t>Exploring Perceptions of Leveraging AI to Improve Outcomes in Maternal, Sexual, and Reproductive Health in Sub-Saharan Africa: Exploratory Qualitative Study</t>
  </si>
  <si>
    <t>JOURNAL OF MEDICAL INTERNET RESEARCH</t>
  </si>
  <si>
    <t>sub-Saharan Africa; AI; artificial intelligence; maternal health; sexual health; reproductive health</t>
  </si>
  <si>
    <t>DIFFUSION; INNOVATIONS</t>
  </si>
  <si>
    <t>1439-4456</t>
  </si>
  <si>
    <t>1438-8871</t>
  </si>
  <si>
    <t>J MED INTERNET RES</t>
  </si>
  <si>
    <t>J. Med. Internet Res.</t>
  </si>
  <si>
    <t>AUG 13 2026</t>
  </si>
  <si>
    <t>e84378</t>
  </si>
  <si>
    <t>10.2196/84378</t>
  </si>
  <si>
    <t>http://dx.doi.org/10.2196/84378</t>
  </si>
  <si>
    <t>MS1EU</t>
  </si>
  <si>
    <t>42594346</t>
  </si>
  <si>
    <t>WOS:001849559100001</t>
  </si>
  <si>
    <t>Alves, B; Alhussein, G; Riggare, S; Duncan, TS; Saad, A; Lyreskog, DM; Chatzichristos, C; Gerasimou, I; Hadjidimitriou, S; Hadjileontiadis, LJ; Dias, SB</t>
  </si>
  <si>
    <t>Background: Parkinson disease (PD) is the fastest-growing neurodegenerative disorder in the world, with prevalence expected to exceed 12 million by 2040, which poses significant health care and societal challenges. Artificial intelligence (AI) systems and wearable sensors hold potential for PD diagnosis, personalized symptom monitoring, and progression prediction. Nonetheless, ethical AI adoption requires several core principles, including user trust, transparency, fairness, and human oversight. Objective: This study aims to explore and synthesize the perspectives of diverse stakeholders, such as individuals living with PD, health care professionals, AI experts, and bioethicists. The aim was to guide the development of AI-driven digital health solutions, emphasizing transparency, data security, fairness, and bias mitigation while ensuring robust human oversight. These efforts are part of the broaderArtificial Intelligence-Based Parkinson's Disease Risk Assessment and Prognosis (AI-PROGNOSIS) European project, dedicated to advancing ethical and effective AI applications in PD diagnosis and management. Methods: An exploratory qualitative approach, based on 2 datasets constructed from cocreation workshops, engaged key stakeholders with diverse expertise to gather insights, ensuring a broad range of perspectives and enriching the thematic analysis. A total of 24 participants participated in the cocreation workshops, including 11 (46%) people with PD, 6 (25%) health care professionals, 3 (13%) AI technical experts, 1 (4%) bioethics expert, and 3 (13%) facilitators. Using a semistructured guide, key aspects of the discussion centered on trust, fairness, explainability, autonomy, and the psychological impact of AI in PD care. Results: Thematic analysis of the cocreation workshop transcripts identified 5 key main themes, each explored through various corresponding subthemes. AI trust and security (theme 1) was highlighted, focusing on data safety and the accuracy and reliability of the AI systems. AI transparency and education (theme 2) emphasized the need for educational initiatives and the importance of transparency and explainability of AI technologies. AI bias (theme 3) was identified as a critical theme, addressing issues of bias and fairness and ensuring equitable access to AI-driven health care solutions. Human oversight (theme 4) stressed the significanceofAI-human collaboration and the essential roleofhuman reviewinAI processes. Finally, AI's psychological impact (theme 5) examined the emotional impact of AI on patients and how AI is perceived in the context of PD care. Conclusions: Our findings underline the importance of implementing robust security measures, developing transparent and explainable AI models, reinforcing bias mitigation and reduction strategies and equitable access to treatment, integrating human oversight, and considering the psychological impact of AI-assisted health care. These insights provide actionable guidance for developing trustworthy and effective AI-driven digital PD diagnosis and management solutions.</t>
  </si>
  <si>
    <t>Alves, Beatriz; Alhussein, Ghada; Riggare, Sara; Duncan, Therese Scott; Saad, Ali; Lyreskog, David M.; Chatzichristos, Christos; Gerasimou, Ioannis; Hadjidimitriou, Stelios; Hadjileontiadis, Leontios J.; Dias, Sofia B.</t>
  </si>
  <si>
    <t>Dias, SB (corresponding author), Univ Lisbon, Fac Motricidade Humana, Ctr Interdisciplinary Study Human Perfomance CIPER, Estr Costa, P-1499002 Lisbon, Portugal.</t>
  </si>
  <si>
    <t>sbalula@fmh.ulisboa.pt</t>
  </si>
  <si>
    <t>European Union [101080581]; Khalifa University of Science and Technology, Abu Dhabi, UAE, Provost's Office Grant</t>
  </si>
  <si>
    <t>European Union (European Union (EU)); Khalifa University of Science and Technology, Abu Dhabi, UAE, Provost's Office Grant (Khalifa University of Science &amp; Technology)</t>
  </si>
  <si>
    <t>The authors extend their gratitude to the patient panel members from France, Germany, Portugal, Spain, Sweden, and the United Kingdom for their voluntary participation in this study. In addition, the authors acknowledge the valuable contributions of the Artificial Intelligence-Based Parkinson's Disease Risk Assessment and Prognosis (AI-PROGNOSIS) consortium members and the funding support from the European Union (grant agreement 101080581) . However, the views and opinions expressed are those of the authors only and do not necessarilyreflectthose ofthe EuropeanUnion orthe EuropeanHealthand Digital Executive Agency-neither the European Union nor the European Healthand Digital Executive Agency can beheldresponsible for them. Moreover, LJH acknowledges support from Khalifa University of Science and Technology, Abu Dhabi, UAE, Provost's Office Grant. The funding sources had no role in the writing of the manuscript or the decision to submit it for publication.The members of the AI-PROGNOSIS Consortium are Leontios J Hadjileontiadis, Stelios Hadjidimitriou, Vasileios Charisis, Ioannis Gerasimou, Harris Sotirakis, Apostolos Moustaklis, Thanasis Kakasis, Ali Saad, Nikos Melanitis, Alex Bensenousi, Angeliki Zarifi, DespinaAnastasopoulos, Dorine Matzakou, Theodora Brisimi, Marilena Damkali, Petros-Sozon Dimitrakopoulos, Alexandros Miouglou, Ioannis Drivas, Sotirios Michagiannis, Therese Scott Duncan, Jamie Luckhaus, Anna Clareborn, Sara Riggare, Olga Sanchez Solino, Amel Drif, Anna Rybicka, Natalia Del Campo, Margherita Fabbri, Olivier Rascol, Sofia B Dias, Ghada Alhussein, Beatriz Alves, Filomena Carnide, Nikos Grammalidis, Kosmas Dimitropoulos, Theocharis Chatzis, Nikola Goetz, NiloofarTavakoli, Helene Huts, Maarten DeVos, Christos Chatzichristos, Thomas Strypsteen, Fan Wang, Aldona Niemiro Sznajder, Georgios Roussis, Elissavet Zogopoulou, Charis Giaralis, John Zaras, Christos Vasilakis, Bjoern Falkenburger, Nils Schnalke, Tim Feige, Kristina Leipuviene, Eleni Zamba-Papanicolaou, Kyriaki Michailidou, Christiana Christodoulou, Paraskevi Chairta, Kyproula Christodoulou, David Lyreskog, Maria-Luisa Almarcha-Menargues, and Monica M. Kurtis.</t>
  </si>
  <si>
    <t>[Alves, Beatriz] Univ Lisbon, Fac Motricidade Humana, Lisbon, Portugal; [Alhussein, Ghada; Hadjileontiadis, Leontios J.] Khalifa Univ Sci &amp; Technol, Dept Biomed Engn &amp; Biotechnol, Abu Dhabi, U Arab Emirates; [Riggare, Sara; Duncan, Therese Scott] Uppsala Univ, Dept Womens &amp; Childrens Hlth, Uppsala, Sweden; [Saad, Ali] AINIGMA Technol, Leuven, Belgium; [Lyreskog, David M.] Univ Oxford, Dept Psychiat, Neurosci Ethics &amp; Soc NEUROSEC, Oxford, England; [Chatzichristos, Christos] Katholieke Univ Leuven, STADIUS Ctr Dynam Syst Signal Proc &amp; Data Analyt, Dept Elect Engn ESAT, Leuven, Belgium; [Gerasimou, Ioannis; Hadjidimitriou, Stelios; Hadjileontiadis, Leontios J.] Aristotle Univ Thessaloniki, Dept Elect Comp Engn, Thessaloniki, Greece; [Dias, Sofia B.] Univ Lisbon, Fac Motricidade Humana, Ctr Interdisciplinary Study Human Perfomance CIPER, Estr Costa, P-1499002 Lisbon, Portugal</t>
  </si>
  <si>
    <t>Universidade de Lisboa; Khalifa University of Science &amp; Technology; Uppsala University; University of Oxford; KU Leuven; Aristotle University of Thessaloniki; Universidade de Lisboa</t>
  </si>
  <si>
    <t>AI PROGNOSIS Consortium</t>
  </si>
  <si>
    <t>Stakeholder Perspectives on Trustworthy AI for Parkinson Disease Management Using a Cocreation Approach: Qualitative Exploratory Study</t>
  </si>
  <si>
    <t>Parkinson disease management; artificial intelligence; trust in AI systems; cocreation; advanced care strategies; stakeholder insights; digital health care solutions; disease risk; assessment; prognosis</t>
  </si>
  <si>
    <t>Dias, Sofia/P-3223-2018; Alves, Beatriz/F-2311-2014; Hadjileontiadis, Leontios/AAF-3448-2020; Chatzichristos, Christos/JWP-8466-2024; Riggare, Sara/ITU-4291-2023</t>
  </si>
  <si>
    <t>Alves, Beatriz/0009-0003-9127-2991; Gerasimou, Ioannis/0000-0003-0581-0785</t>
  </si>
  <si>
    <t>AUG 6 2025</t>
  </si>
  <si>
    <t>e73710</t>
  </si>
  <si>
    <t>10.2196/73710</t>
  </si>
  <si>
    <t>http://dx.doi.org/10.2196/73710</t>
  </si>
  <si>
    <t>9TW9H</t>
  </si>
  <si>
    <t>40768261</t>
  </si>
  <si>
    <t>WOS:001614917400008</t>
  </si>
  <si>
    <t>Bamashmous, M</t>
  </si>
  <si>
    <t>Background: Artificial Intelligence (AI) and its subset, Machine Learning (ML), have emerged as pivotal tools in dental public health by enhancing diagnostic accuracy, optimizing resource allocation, and personalizing patient care. AI offers significant opportunities, particularly in predictive analytics, personalized interventions, and expanding access to underserved areas. Objective: This review presents a broad evaluation of AI's applications in dental public health, emphasizing their roles in diagnostics, discussing ethical considerations, and outlining future directions to enhance public health practice and policy. Methods: We conducted a literature review of published articles from major databases (e.g., PubMed, Scopus, Web of Science) between 2015 and 2024. We used relevant search terms (e.g., "Artificial Intelligence," "Machine Learning," "Dental Public Health," "Ethical Considerations," "Predictive Analytics"). We applied inclusion and exclusion criteria based on relevance to diagnostics, epidemiological data analysis, health promotion, and ethical/legal frameworks. Results: The findings indicate that AI technologies enhance diagnostics (e.g., interpreting dental radiographs), support predictive analytics for disease monitoring, and enable targeted health interventions. However, significant challenges include data privacy risks, algorithmic biases, and compatibility with existing infrastructures. Ethical considerations, such as transparency, accountability, and equitable access are essential for responsible AI integration. Conclusion: AI holds the potential to revolutionize dental public health by improving patient outcomes, especially in underserved populations. Further interdisciplinary research, clear policy frameworks, and strong data protection measures are required to ensure the ethical and effective deployment of these technologies. Future investigations should also foster interprofessional collaboration to maximize the benefits of AI in dental public health.</t>
  </si>
  <si>
    <t>Bamashmous, Mohamed</t>
  </si>
  <si>
    <t>Bamashmous, M (corresponding author), King Abdulaziz Univ, Fac Dent, Dept Dent Publ Hlth, Jeddah 21589, Saudi Arabia.</t>
  </si>
  <si>
    <t>mbamashmous@kau.edu.sa</t>
  </si>
  <si>
    <t>[Bamashmous, Mohamed] King Abdulaziz Univ, Fac Dent, Dept Dent Publ Hlth, Jeddah 21589, Saudi Arabia</t>
  </si>
  <si>
    <t>King Abdulaziz University</t>
  </si>
  <si>
    <t>The Role of Artificial Intelligence in Transforming Dental Public Health: Current Applications, Ethical Considerations, and Future Directions</t>
  </si>
  <si>
    <t>OPEN DENTISTRY JOURNAL</t>
  </si>
  <si>
    <t>Artificial Intelligence; Machine learning; Dental public health; Ethical considerations; Predictive analytics; Personalized interventions; Underserved populations</t>
  </si>
  <si>
    <t>Bamashmous, Mohamed/AAX-2810-2021</t>
  </si>
  <si>
    <t>Bamashmous, Mohamed/0000-0003-1618-6957</t>
  </si>
  <si>
    <t>BENTHAM SCIENCE PUBL LTD</t>
  </si>
  <si>
    <t>SHARJAH</t>
  </si>
  <si>
    <t>EXECUTIVE STE Y-2, PO BOX 7917, SAIF ZONE, 1200 BR SHARJAH, U ARAB EMIRATES</t>
  </si>
  <si>
    <t>1874-2106</t>
  </si>
  <si>
    <t>OPEN DENT J</t>
  </si>
  <si>
    <t>Open Dent. J.</t>
  </si>
  <si>
    <t>e18742106363413</t>
  </si>
  <si>
    <t>10.2174/0118742106363413250211053942</t>
  </si>
  <si>
    <t>http://dx.doi.org/10.2174/0118742106363413250211053942</t>
  </si>
  <si>
    <t>0HQ0Q</t>
  </si>
  <si>
    <t>WOS:001447583800002</t>
  </si>
  <si>
    <t>Bentley, KH; Belli, L; Chekroud, AM; Ward, EJ; Dworkin, ER; Van Ark, E; Johnston, KM; Brown, M; Hawrilenko, M</t>
  </si>
  <si>
    <t>Background: Millions of people now use leading generative artificial intelligence (AI) tools (chatbots) for psychological support. Despite the promise related to availability and scale, the single most pressing question in AI for mental health is whether these tools are safe. The field currently lacks a validated, automated benchmark for determining AI chatbot safety in mental health, including for users at risk of suicide. The Validation of Ethical and Responsible AI in Mental Health (VERA-MH) evaluation was recently proposed to meet this urgent need. Objective: This human validation study examines the alignment of the VERA-MH safety evaluation for AI chatbot suicide risk detection and response with safety ratings by expert human clinicians. Methods: We simulated a large set of conversations between large language model (LLM)-based users ("user-agents") spanning a wide range of suicide risk levelsand disclosure styles and general-purpose AI chatbots. Licensed mental health clinicians from Spring Health used a scoring rubric developed for VERA-MH to independently rate the simulated conversations for safe and unsafe chatbot behaviors. An LLM-based evaluator (the "judge") used the same scoring rubric to evaluate the same set of conversations. We then examined rating alignment across (1) individual clinicians, (2) clinician consensus and the LLM judge, and (3) different judge LLMs. We also examined clinicians' ratings of user-agent realism, suicide risk, and disclosure. Results: Clinicians were generally consistent with one another in their safety ratings (chance-corrected interrater reliability=0.77), thus establishing a reliable clinical consensus reference. The LLM judge was strongly aligned with this clinical consensus reference (interrater reliability=0.81) when using the same scoring rubric. Ratings were stable acrossjudge LLMsand evaluations. Clinicians' ratings of user-agent realism and how well the intended user-agent suicide risk and disclosure styles were reflected in the simulated conversations were mixed. Conclusions: For the potential mental health benefits of AI chatbots to be realized, attention to safety is paramount. Findings support the reliability of VERA-MH, an open-source, fully automated AI safety evaluation for suicide risk detection and response. These results reflect an earlier version of the benchmark, and as VERA-MH continues to evolve, external validation of updated versions will be an important next step. Future research directions include VERA-MH generalizability and robustness, as well as expanding to target other key areas of AI safety for mental health.</t>
  </si>
  <si>
    <t>Bentley, Kate H.; Belli, Luca; Chekroud, Adam M.; Ward, Emily J.; Dworkin, Emily R.; Van Ark, Emily; Johnston, Kelly M.; Brown, Millard; Hawrilenko, Matt</t>
  </si>
  <si>
    <t>Bentley, KH (corresponding author), Spring Hlth, 60 Madison Ave, New York, NY 10010 USA.</t>
  </si>
  <si>
    <t>kate.bentley@springhealth.com</t>
  </si>
  <si>
    <t>Internal resources from Spring Health, including employee time and company infrastructure</t>
  </si>
  <si>
    <t>This study was supported by internal resources from Spring Health, including employee time and company infrastructure. No external funding was received.</t>
  </si>
  <si>
    <t>[Bentley, Kate H.; Belli, Luca; Chekroud, Adam M.; Ward, Emily J.; Dworkin, Emily R.; Van Ark, Emily; Johnston, Kelly M.; Brown, Millard; Hawrilenko, Matt] Spring Hlth, 60 Madison Ave, New York, NY 10010 USA; [Bentley, Kate H.] Harvard Med Sch, Boston, MA USA; [Belli, Luca] Univ Calif Berkeley, Berkeley, CA USA; [Chekroud, Adam M.] Yale Univ, New Haven, CT USA</t>
  </si>
  <si>
    <t>Harvard University; Harvard Medical School; University of California System; University of California Berkeley; Yale University</t>
  </si>
  <si>
    <t>AI Chatbot Suicide Risk Detection and Response: Human Validation Study of the Open-Source VERA-MH Safety Evaluation</t>
  </si>
  <si>
    <t>artificial intelligence; chatbot; safety; benchmark; mental health; suicide</t>
  </si>
  <si>
    <t>Dworkin, Emily/ACU-8101-2022</t>
  </si>
  <si>
    <t>Alexander, William/0009-0004-7830-6621; Van Ark, Emily Mary/0009-0001-2300-1810</t>
  </si>
  <si>
    <t>e92817</t>
  </si>
  <si>
    <t>10.2196/92817</t>
  </si>
  <si>
    <t>http://dx.doi.org/10.2196/92817</t>
  </si>
  <si>
    <t>LB0DQ</t>
  </si>
  <si>
    <t>42257560</t>
  </si>
  <si>
    <t>WOS:001820317800001</t>
  </si>
  <si>
    <t>Brahim, M; Westerkamp, K; Hempel, L; Lehmann, R; Hempel, D; Philipp, P</t>
  </si>
  <si>
    <t>Simple Summary Inadequate breast positioning quality is the main cause behind misdiagnosis of breast cancer in screening mammography. For this reason, the first step before any cancer diagnosis is to ensure that the acquired mammograms have adequate breast positioning quality according to predefined criteria. If this is not the case, the patient must return for a new mammography. In this study, we proposed an approach for an automatic assessment of breast positioning quality in screening mammography using Convolutional Neural Networks. Eventually, this approach is not intended to replace radiology technicians, but rather to assist them in identifying inadequately positioned mammograms in real time, reduce the number of returned patient and improve the efficiency of cancer detection. For each predefined criterion, a specific convolutional neural network was separately trained and then combined into an overall system that predicts whether the breast is well positioned or not, achieving an efficient accuracy of 96.5% for craniocaudal and 93.3% for mediolateral oblique images. Our approach differs from already available studies and commercial tools by taking into account more useful breast positioning criteria that have to be considered by the expert, and thus providing a more holistic assistance. Screening mammography is a widely used approach for early breast cancer detection, effectively increasing the survival rate of affected patients. According to the Food and Drug Administration's Mammography Quality Standards Act and Program statistics, approximately 39 million mammography procedures are performed in the United States each year. Therefore, breast cancer screening is among the most common radiological tasks. Interpretation of screening mammograms by a specialist radiologist includes primarily the review of breast positioning quality, which is a key factor affecting the sensitivity of mammography and thus the diagnostic performance. Each mammogram with inadequate positioning may lead to a missed cancer or, in case of false positive signal interpretation, to follow-up activities, increased emotional burden and potential over-therapy and must be repeated, requiring the return of the patient. In this study, we have developed deep convolutional neuronal networks to differentiate mammograms with inadequate breast positioning from the adequate ones. The aim of the proposed automated positioning quality evaluation is to assist radiology technologists in detecting poorly positioned mammograms during patient visits, improve mammography performance, and decrease the recall rate. The implemented models have achieved 96.5% accuracy in cranio-caudal view classification and 93.3% accuracy in mediolateral oblique view regarding breast positioning quality. In addition to these results, we developed a software module that allows the study to be applied in practice by presenting the implemented model predictions and informing the technologist about the missing quality criteria.</t>
  </si>
  <si>
    <t>Brahim, Mouna; Westerkamp, Kai; Hempel, Louisa; Lehmann, Reiner; Hempel, Dirk; Philipp, Patrick</t>
  </si>
  <si>
    <t>Philipp, P (corresponding author), Syst Technol &amp; Image Exploitat IOSB, Fraunhofer Inst Optron, Fraunhofer Ctr Machine Learning, D-76131 Karlsruhe, Germany.</t>
  </si>
  <si>
    <t>patrick.philipp@iosb.fraunhofer.de</t>
  </si>
  <si>
    <t>[Brahim, Mouna; Westerkamp, Kai; Philipp, Patrick] Syst Technol &amp; Image Exploitat IOSB, Fraunhofer Inst Optron, Fraunhofer Ctr Machine Learning, D-76131 Karlsruhe, Germany; [Hempel, Louisa] Sigmund Freud Univ, Med Sch, A-1090 Vienna, Austria; [Lehmann, Reiner] DontBePatient Intelligence GmbH, D-20095 Hamburg, Germany; [Hempel, Dirk] Inst Translat Mol Tumor Res, D-85354 Freising Weihenstephan, Germany</t>
  </si>
  <si>
    <t>Fraunhofer Gesellschaft</t>
  </si>
  <si>
    <t>Automated Assessment of Breast Positioning Quality in Screening Mammography</t>
  </si>
  <si>
    <t>decision support; mammogram; positioning quality; breast cancer; cranio-codal; mediolateral oblique; deep learning; convolutional neuronal networks; trustworthy AI</t>
  </si>
  <si>
    <t>SERVICE</t>
  </si>
  <si>
    <t>/N-6993-2015; Hempel, Dirk/AAP-5165-2020</t>
  </si>
  <si>
    <t>Hempel, Louisa/0000-0001-5145-4705</t>
  </si>
  <si>
    <t>ST ALBAN-ANLAGE 66, CH-4052 BASEL, SWITZERLAND</t>
  </si>
  <si>
    <t>OCT 2022</t>
  </si>
  <si>
    <t>4704</t>
  </si>
  <si>
    <t>10.3390/cancers14194704</t>
  </si>
  <si>
    <t>http://dx.doi.org/10.3390/cancers14194704</t>
  </si>
  <si>
    <t>5I0OB</t>
  </si>
  <si>
    <t>36230625</t>
  </si>
  <si>
    <t>WOS:000868066400001</t>
  </si>
  <si>
    <t>Lee, M; Lee, W; Choi, HC; Ha, M</t>
  </si>
  <si>
    <t>Purpose Existing digital transformation (DT) frameworks treat technology as a passive tool, failing to explain AI-driven autonomous adaptation, agentic co-configuration and ecosystem orchestration. This paper aims to reconceptualize DT in hospitality by introducing Digital Transformation 2.0 (DT 2.0), distinguishing it from DT 1.0 and proposing a research agenda for artificial intelligence (AI)-orchestrated service ecosystems. Design/methodology/approach Through systematic synthesis of management, information systems and hospitality literature, the study develops a conceptual framework grounded in dynamic capabilities theory and service-dominant logic. Findings Grounded in dynamic capabilities theory and service-dominant logic, DT 2.0 is defined by three necessary and sufficient conditions: cognitive augmentation (AI that autonomously adapts strategies through continuous learning rather than executing pre-programmed rules), human-AI co-configuration (AI as operant resources that actively cocreate service design) and ecosystem-mediated co-creation (intelligent coordination enabling real-time value co-creation across organizational boundaries). Competitive advantage theory shifts from process efficiency (DT 1.0) to ecosystem position, algorithmic learning speed and human-AI complementarity (DT 2.0).Research limitations/implications This research advances DT theory by positioning cross-functional integration and governance as foundational DT 2.0 capabilities, theorizing a shift from fragmented, department-centric stacks to enterprise architectures that unify data, processes and decision rights across hospitality functions. The framework provides hospitality executive strategies for transitioning to AI-orchestrated ecosystems, embedding ethical governance, leveraging algorithmic learning and navigating ecosystem coordination challenges. Originality/value This paper addresses the gap that prior frameworks cannot capture AI's autonomous, agentic and ecosystem-orchestrating capabilities. It introduces a theoretically grounded DT 2.0 definition specifying necessary and sufficient conditions that distinguish it from rule-based DT 1.0, positions CDR as a dynamic capability linking ethical AI governance to competitive advantage and offers a research agenda for the AI era.</t>
  </si>
  <si>
    <t>Lee, Minwoo; Lee, Woojin; Choi, Hwansuk Chris; Ha, Myunghee</t>
  </si>
  <si>
    <t>Ha, M (corresponding author), Seoul Metropolitan Govt, Dept Tourism Policy Div, Seoul, South Korea.</t>
  </si>
  <si>
    <t>mlee37@uh.edu; hwchoi@uoguelph.ca; ha2004@seoul.go.kr; Woojin.Lee.1@asu.edu</t>
  </si>
  <si>
    <t>Kyung Hee University ES/IS Program</t>
  </si>
  <si>
    <t>Kyung Hee University ES/IS Program (Kyung Hee University)</t>
  </si>
  <si>
    <t>This work was supported by a grant from Kyung Hee University ES/IS Program.</t>
  </si>
  <si>
    <t>[Lee, Minwoo] Univ Houston, Conrad N Hilton Coll Global Hospitality Leadership, Houston, TX USA; [Lee, Minwoo] Kyung Hee Univ, Sch Management, Seoul, South Korea; [Lee, Woojin] Arizona State Univ, Sch Community Resources &amp; Dev, Phoenix, AZ USA; [Choi, Hwansuk Chris] Univ Guelph, Sch Hospitality Food &amp; Tourism Management, Guelph, ON, Canada; [Ha, Myunghee] Seoul Metropolitan Govt, Dept Tourism Policy Div, Seoul, South Korea</t>
  </si>
  <si>
    <t>University of Houston System; University of Houston; Kyung Hee University; Arizona State University; Arizona State University-Downtown Phoenix; University of Guelph</t>
  </si>
  <si>
    <t>Evolution of digital transformation (DT) in the era of artificial intelligence (AI): defining DT 2.0 for AI-Human service ecosystems</t>
  </si>
  <si>
    <t>INTERNATIONAL JOURNAL OF CONTEMPORARY HOSPITALITY MANAGEMENT</t>
  </si>
  <si>
    <t>Digital transformation (DT); DT 2.0; Digitization; Digitalization; Artificial intelligence; Digital strategy and innovation</t>
  </si>
  <si>
    <t>TECHNOLOGY; TOURISM</t>
  </si>
  <si>
    <t>97</t>
  </si>
  <si>
    <t>0959-6119</t>
  </si>
  <si>
    <t>1757-1049</t>
  </si>
  <si>
    <t>INT J CONTEMP HOSP M</t>
  </si>
  <si>
    <t>Int. J. Contemp. Hosp. Manag.</t>
  </si>
  <si>
    <t>AUG 3 2026</t>
  </si>
  <si>
    <t>2349</t>
  </si>
  <si>
    <t>2380</t>
  </si>
  <si>
    <t>10.1108/IJCHM-01-2026-0006</t>
  </si>
  <si>
    <t>http://dx.doi.org/10.1108/IJCHM-01-2026-0006</t>
  </si>
  <si>
    <t>Hospitality, Leisure, Sport &amp; Tourism; Management</t>
  </si>
  <si>
    <t>Social Sciences - Other Topics; Business &amp; Economics</t>
  </si>
  <si>
    <t>LY5AG</t>
  </si>
  <si>
    <t>WOS:001815534500001</t>
  </si>
  <si>
    <t>Arici, HE</t>
  </si>
  <si>
    <t>This study provides a systematic review of scholarly research on artificial intelligence and customer inclusivity in service industries. It maps the intellectual structure and emerging trends surrounding inclusive AI deployment in service contexts. Drawing on 87 peer-reviewed articles published up to 2025, the review employs co-citation analysis, bibliographic coupling, and qualitative content coding. The findings reveal a growing yet fragmented body of knowledge, particularly in how inclusivity, defined across physical, digital, emotional, and cognitive dimensions, is conceptualised and operationalised. While AI technologies hold significant promise in improving accessibility, personalisation, and responsiveness, they also risk exacerbating algorithmic bias, emotional exclusion, and socio-cultural insensitivity. This review synthesises sector-specific challenges across healthcare, hospitality, retail, and finance and proposes a multidimensional framework that integrates the ethical, behavioural, and technological dimensions of inclusivity. The study concludes with a prioritised research agenda and practical recommendations for developing inclusive, human-centred, and context-sensitive AI applications in service systems.(sic)(sic)(sic)(sic)(sic)(sic)(sic)(sic)(sic)(sic)(sic)(sic)(sic)(sic)(sic)(sic)(sic)(AI)(sic)(sic)(sic)(sic)(sic)(sic)(sic)(sic)(sic)(sic)(sic)(sic)(sic)(sic)(sic)(sic)(sic)(sic)(sic)(sic), (sic)(sic)(sic)(sic)(sic)(sic)(sic)(sic)(sic)(sic)(sic)(sic)(sic)(sic)(sic)(sic)(sic)(sic)(sic)(sic)(sic)(sic)(sic)(sic)(sic)(sic)(sic)(sic).(sic)(sic)(sic)(sic)2025(sic)(sic)(sic)(sic)87(sic)(sic)(sic)(sic)(sic)(sic)(sic), (sic)(sic)(sic)(sic)(sic)(sic)(sic)(sic)(sic)(sic),(sic)(sic)(sic)(sic)(sic)(sic)(sic)(sic)(sic)(sic)(sic)(sic)(sic)(sic)(sic).(sic)(sic)(sic)(sic), (sic)(sic)(sic)(sic)(sic)(sic)(sic)(sic)(sic)(sic)(sic)(sic)(sic)(sic), (sic)(sic)(sic)(sic)(sic)(sic)(sic)(sic)(sic)(sic)(sic)(sic)(sic), (sic)(sic)(sic)(sic)(sic)(sic)(sic)(sic)(sic)(sic)(sic)(sic)(sic),(sic)(sic),(sic)(sic)(sic)(sic)(sic)(sic)(sic)(sic)(sic)(sic)(sic)(sic)(sic)(sic)(sic)(sic)(sic)(sic)(sic).(sic)(sic)(sic)(sic)(sic)(sic)(sic)(sic)(sic)(sic)(sic)(sic),(sic)(sic)(sic)(sic)(sic)(sic)(sic)(sic)(sic)(sic)(sic)(sic)(sic)(sic)(sic)(sic)(sic)(sic), (sic)(sic)(sic)(sic)(sic)(sic)(sic)(sic)(sic)(sic)(sic)(sic),(sic)(sic)(sic)(sic)(sic)(sic)(sic)(sic)(sic)(sic)(sic)(sic)(sic)(sic)(sic)(sic)(sic).(sic)(sic)(sic)(sic)(sic)(sic)(sic)(sic)(sic)(sic)(sic)(sic),(sic)(sic)(sic)(sic)(sic),(sic)(sic)(sic)(sic)(sic)(sic)(sic)(sic)(sic)(sic)(sic)(sic)(sic)(sic)(sic)(sic)(sic)(sic), (sic)(sic)(sic)(sic)(sic)(sic)(sic)(sic)(sic)(sic)(sic), (sic)(sic)(sic)(sic)(sic)(sic)(sic),(sic)(sic)(sic)(sic)(sic)(sic)(sic)(sic)(sic)(sic)(sic).(sic)(sic)(sic)(sic)(sic)(sic)(sic)(sic)(sic)(sic)(sic)(sic)(sic)(sic)(sic)(sic)(sic)(sic)(sic), (sic)(sic)(sic)(sic)(sic)(sic)(sic),(sic)(sic)(sic)(sic)(sic)(sic)(sic)(sic)(sic)(sic)(sic)(sic)(sic)(sic)(sic)(sic)(sic)(sic)(sic)(sic)(sic)(sic)(sic)(sic)(sic)(sic)(sic)(sic).</t>
  </si>
  <si>
    <t>Arici, Hasan Evrim</t>
  </si>
  <si>
    <t>Arici, HE (corresponding author), EU Business Sch, Digital Campus,Av Diagonal,648 Bis, Barcelona 08017, Spain.; Arici, HE (corresponding author), Kastamonu Univ, Fac Tourism, Kuzeykent Campus, TR-37150 Kastamonu, Turkiye.</t>
  </si>
  <si>
    <t>hasanevrimarici@yahoo.com</t>
  </si>
  <si>
    <t>[Arici, Hasan Evrim] EU Business Sch, Digital Campus,Av Diagonal,648 Bis, Barcelona 08017, Spain; [Arici, Hasan Evrim] Kastamonu Univ, Fac Tourism, Kuzeykent Campus, TR-37150 Kastamonu, Turkiye</t>
  </si>
  <si>
    <t>Kastamonu University</t>
  </si>
  <si>
    <t>AI-driven solutions for promoting customer inclusivity in service industries: a systematic review</t>
  </si>
  <si>
    <t>SERVICE INDUSTRIES JOURNAL</t>
  </si>
  <si>
    <t>Artificial intelligence; responsible AI; customer inclusion; service industries; bibliometric analysis; (sic)(sic)(sic)(sic); (sic)(sic)(sic)(sic)(sic)(sic)(sic); (sic)(sic)(sic)(sic); (sic)(sic)(sic)(sic); (sic)(sic)(sic)(sic)(sic)(sic)</t>
  </si>
  <si>
    <t>ARTIFICIAL-INTELLIGENCE; INFORMATION-TECHNOLOGY; USER ACCEPTANCE; ALGORITHM; INNOVATION; TOURISM; DESIGN; HEALTH; IMPACT; CARE</t>
  </si>
  <si>
    <t>Arici, Hasan/N-8401-2019</t>
  </si>
  <si>
    <t>0264-2069</t>
  </si>
  <si>
    <t>1743-9507</t>
  </si>
  <si>
    <t>SERV IND J</t>
  </si>
  <si>
    <t>Serv. Ind. J.</t>
  </si>
  <si>
    <t>10.1080/02642069.2026.2687791</t>
  </si>
  <si>
    <t>http://dx.doi.org/10.1080/02642069.2026.2687791</t>
  </si>
  <si>
    <t>40</t>
  </si>
  <si>
    <t>JJ7YJ</t>
  </si>
  <si>
    <t>WOS:001791004000001</t>
  </si>
  <si>
    <t>Schnepper, R; Roemmel, N; Schaefert, R; Lambrecht-Walzinger, L; Meinlschmidt, G</t>
  </si>
  <si>
    <t>Background: Large language models (LLMs) are increasingly used in mental health, showing promise in assessing disorders. However, concerns exist regarding their accuracy, reliability, and fairness. Societal biases and underrepresentation of certain populations may impact LLMs. Because LLMs are already used for clinical practice, including decision support, it is important to investigate potential biases to ensure a responsible use of LLMs. Anorexia nervosa (AN) and bulimia nervosa (BN) show a lifetime prevalence of 1%-2%, affecting more women than men. Among men, homosexual men face a higher risk of eating disorders (EDs) than heterosexual men. However, men are underrepresented in ED research, and studies on gender, sexual orientation, and their impact on AN and BN prevalence, symptoms, and treatment outcomes remain limited. Objectives: We aimed to estimate the presence and size of bias related to gender and sexual orientation produced by a common LLM as well as a smaller LLM specifically trained for mental health analyses, exemplified in the context of ED symptomatology and health-related quality of life (HRQoL) of patients with AN or BN. Methods: We extracted 30 case vignettes (22 AN and 8 BN) from scientific papers. We adapted each vignette to create 4 versions, describing a female versus male patient living with their female versus male partner (2 x 2 design), yielding 120 vignettes. We then fed each vignette into ChatGPT-4 and to "MentaLLaMA" based on the Large Language Model Meta AI (LLaMA) architecture thrice with the instruction to evaluate them by providing responses to 2 psychometric instruments, the RAND-36 questionnaire assessing HRQoL and the eating disorder examination questionnaire. With the resulting LLM-generated scores, we calculated multilevel models with a random intercept for gender and sexual orientation (accounting for within-vignette variance), nested in vignettes (accounting for between-vignette variance). Results: In ChatGPT-4, the multilevel model with 360 observations indicated a significant association with gender for the RAND-36 mental composite summary (conditional means: 12.8 for male and 15.1 for female cases; 95% CI of the effect-6.15 to -0.35; P=.04) but neither with sexual orientation (P=.71) nor with an interaction effect (P=.37). We found no indications for main effects of gender (conditional means: 5.65 for male and 5.61 for female cases; 95% CI-0.10 to 0.14; P=.88), sexual orientation (conditional means: 5.63 for heterosexual and 5.62 for homosexual cases; 95% CI-0.14 to 0.09; P=.67), or for an interaction effect (P=.61, 95% CI-0.11 to 0.19) for the eating disorder examination questionnaire overall score (conditional means 5.59-5.65 95% CIs 5.45 to 5.7). MentaLLaMA did not yield reliable results. Conclusions: LLM-generated mental HRQoL estimates for AN and BN case vignettes may be biased by gender, with male cases scoring lower despite no real-world evidence supporting this pattern. This highlights the risk of bias in generative artificial intelligence in the field of mental health. Understanding and mitigating biases related to gender and other factors, such as ethnicity, and socioeconomic status are crucial for responsible use in diagnostics and treatment recommendations.</t>
  </si>
  <si>
    <t>Schnepper, Rebekka; Roemmel, Noa; Schaefert, Rainer; Lambrecht-Walzinger, Lena; Meinlschmidt, Gunther</t>
  </si>
  <si>
    <t>Schnepper, R (corresponding author), Univ Hosp, Dept Psychosomat Med, Hebelstr 2, CH-4031 Basel, Switzerland.; Schnepper, R (corresponding author), Univ Basel, Hebelstr 2, CH-4031 Basel, Switzerland.</t>
  </si>
  <si>
    <t>rebekka.schnepper@usb.ch</t>
  </si>
  <si>
    <t>Swiss State Secretariat for Education, Research and Innovation (SERI) [22.00094]; European Union (Horizon Europe) research consortium "Long Covid" [101057553]; Open Access Fund of Universitat Trier; German Research Foundation (DFG); Horizon Europe - Pillar II [101057553] Funding Source: Horizon Europe - Pillar II</t>
  </si>
  <si>
    <t>Swiss State Secretariat for Education, Research and Innovation (SERI); European Union (Horizon Europe) research consortium "Long Covid"; Open Access Fund of Universitat Trier; German Research Foundation (DFG) (German Research Foundation (DFG)); Horizon Europe - Pillar II (European Union (EU), Horizon Europe - Pillar II)</t>
  </si>
  <si>
    <t>R Schnepper is funded by the Swiss State Secretariat for Education, Research and Innovation (SERI, under funding number: 22.00094) in the context of a European Union (Horizon Europe) research consortium "Long Covid" (funding number: 101057553) . The publication was funded and supported by the Open Access Fund of Universitat Trier and by the German Research Foundation (DFG) .</t>
  </si>
  <si>
    <t>[Schnepper, Rebekka; Roemmel, Noa; Schaefert, Rainer; Lambrecht-Walzinger, Lena; Meinlschmidt, Gunther] Univ Hosp, Dept Psychosomat Med, Hebelstr 2, CH-4031 Basel, Switzerland; [Schnepper, Rebekka; Roemmel, Noa; Schaefert, Rainer; Lambrecht-Walzinger, Lena; Meinlschmidt, Gunther] Univ Basel, Hebelstr 2, CH-4031 Basel, Switzerland; [Schnepper, Rebekka; Roemmel, Noa; Meinlschmidt, Gunther] Univ Hosp, Dept Digital &amp; Blended Psychosomat &amp; Psychotherapy, Basel, Switzerland; [Meinlschmidt, Gunther] Univ Trier, Dept Clin Psychol &amp; Psychotherapy, Trier, Rheinland Pfalz, Germany; [Meinlschmidt, Gunther] Univ Basel, Dept Psychol, Div Clin Psychol &amp; Epidemiol, Basel, Switzerland</t>
  </si>
  <si>
    <t>University of Basel; Universitat Trier; University of Basel</t>
  </si>
  <si>
    <t>Exploring Biases of Large Language Models in the Field of Mental Health: Comparative Questionnaire Study of the Effect of Gender and Sexual Orientation in Anorexia Nervosa and Bulimia Nervosa Case Vignettes</t>
  </si>
  <si>
    <t>JMIR MENTAL HEALTH</t>
  </si>
  <si>
    <t>anorexia nervosa; artificial intelligence; bulimia nervosa; ChatGPT; eating disorders; LLM; responsible AI; transformer; bias; large language model; gender; vignette; quality of life; symptomatology; questionnaire; generative AI; mental health; AI</t>
  </si>
  <si>
    <t>QUALITY-OF-LIFE; EDE-Q NORMS; EATING-DISORDERS; CLINICAL-SAMPLE; PREVALENCE; STIGMA; INDEX</t>
  </si>
  <si>
    <t>M, G/HLW-6079-2023</t>
  </si>
  <si>
    <t>Schnepper, Rebekka/0000-0002-5415-5943; Roemmel, Noa/0000-0001-7118-7720; Schaefert, Rainer/0000-0002-3077-7289</t>
  </si>
  <si>
    <t>82</t>
  </si>
  <si>
    <t>2368-7959</t>
  </si>
  <si>
    <t>JMIR MENT HEALTH</t>
  </si>
  <si>
    <t>JMIR Ment. Health</t>
  </si>
  <si>
    <t>e57986</t>
  </si>
  <si>
    <t>10.2196/57986</t>
  </si>
  <si>
    <t>http://dx.doi.org/10.2196/57986</t>
  </si>
  <si>
    <t>Psychiatry</t>
  </si>
  <si>
    <t>0YW0F</t>
  </si>
  <si>
    <t>40111287</t>
  </si>
  <si>
    <t>WOS:001459282700001</t>
  </si>
  <si>
    <t>gold; Green Submitted; Green Published</t>
  </si>
  <si>
    <t>Forsyth, AD; Povlich, LK; Kilmarx, PH</t>
  </si>
  <si>
    <t>Objectives To analyse the landscape of active US National Institutes of Health (NIH) artificial intelligence (AI) health research grants, with emphasis on studies conducted in low- and middle-income countries (LMICs), to characterise use cases, health challenges addressed and gaps relevant to the ethical and responsible application of AI-enabled health science.Design Descriptive portfolio analysis of NIH-funded AI health research grants.Setting NIH research portfolio analysis, with a focus on global health studies in LMICs.Participants None. Data are derived from active NIH-funded grants involving AI applications in health research, as of 31 January 2025.Interventions Not applicable (portfolio analysis).Primary and secondary outcome measures Primary measures included the proportion and funding of AI health research grants focused on LMICs and their thematic use cases. Secondary measures compared LMIC-focused and high-income country (HIC)-focused grants by research focus and health area and identified gaps relevant to ethical and responsible AI use in global health.Results Of 1850 active NIH AI health research grants, 97 (5.2%) focused on LMICs, representing US$40.2 million (2.4%) of the total US$1.66 billion portfolio. compared with HICs, LMIC-based studies emphasised diagnostics and treatment (72.2% vs 66.8%), health system optimisation (18.6% vs 15.6%), disease surveillance and outbreak response (14.4% vs 8.8%), and telemedicine and remote care (7.2% vs 4.4%). HIC-based grants more frequently addressed public health education (10.4% vs 8.2%) and ethics and data governance (12.8% vs 7.2%). All settings emphasised data science training and capacity strengthening, as well as basic research and early-stage AI-augmented tools. LMIC-based studies most often targeted non-communicable diseases (39%), communicable diseases (30%) and health system strengthening (24%). 31 awards were made directly to LMIC-based principal investigators (1.7% of the portfolio), most commonly in South Africa, Kenya and Uganda.Conclusions NIH investment in peer-reviewed AI-enabled health research is expanding globally. LMIC-focused studies prioritise areas aligned with pressing global health needs, including outbreak detection, disease surveillance, diagnostics and treatment, health system optimisation and remote care. Greater attention to ethics, data governance and public health communication, alongside support for digital infrastructure and meaningful collaboration, may help strengthen the relevance and sustainability of AI-enabled research for population health.</t>
  </si>
  <si>
    <t>Forsyth, Andrew D.; Povlich, Laura K.; Kilmarx, Peter H.</t>
  </si>
  <si>
    <t>Forsyth, AD (corresponding author), NIH, Fogarty Int Ctr, Bethesda, MD 20892 USA.</t>
  </si>
  <si>
    <t>peter.kilmarx@nih.gov; adforsyth@gmail.com; laura.povlich@nih.gov</t>
  </si>
  <si>
    <t>[Forsyth, Andrew D.; Povlich, Laura K.; Kilmarx, Peter H.] NIH, Fogarty Int Ctr, Bethesda, MD 20892 USA</t>
  </si>
  <si>
    <t>National Institutes of Health (NIH) - USA; NIH Fogarty International Center (FIC)</t>
  </si>
  <si>
    <t>Use of artificial intelligence for health science in low- and middle-income countries: NIH portfolio landscape, gaps and opportunities</t>
  </si>
  <si>
    <t>BMJ OPEN</t>
  </si>
  <si>
    <t>Artificial Intelligence; Capacity Building; Health; ETHICS (see Medical Ethics); Implementation Science</t>
  </si>
  <si>
    <t>Povlich, Laura Kristin/0000-0002-3625-194X</t>
  </si>
  <si>
    <t>BMJ PUBLISHING GROUP</t>
  </si>
  <si>
    <t>BRITISH MED ASSOC HOUSE, TAVISTOCK SQUARE, LONDON WC1H 9JR, ENGLAND</t>
  </si>
  <si>
    <t>2044-6055</t>
  </si>
  <si>
    <t>BMJ Open</t>
  </si>
  <si>
    <t>MAR 10 2026</t>
  </si>
  <si>
    <t>e112394</t>
  </si>
  <si>
    <t>10.1136/bmjopen-2025-112394</t>
  </si>
  <si>
    <t>http://dx.doi.org/10.1136/bmjopen-2025-112394</t>
  </si>
  <si>
    <t>Medicine, General &amp; Internal</t>
  </si>
  <si>
    <t>General &amp; Internal Medicine</t>
  </si>
  <si>
    <t>EV6BY</t>
  </si>
  <si>
    <t>41807003</t>
  </si>
  <si>
    <t>WOS:001710795200001</t>
  </si>
  <si>
    <t>Song, LX; Wang, XM; Yu, F; Zuo, DM; Ranzinger, LH; Liss, M; Tan, HJ</t>
  </si>
  <si>
    <t>Background: Patients with prostate cancer and their families face significant challenges during transitions from diagnosis to treatment and posttreatment self-management, particularly in accessing, understanding, and using complex health information. Objective: We aimed to develop the Interactive Prostate Cancer Information, Communication, and Support Program (iPICS), a natural language processing (NLP)-augmented eHealth platform designed to enhance care continuity, support decision-makMethods: This study used an iterative, user-centered design approach to design, develop, and refine iPICS, guided by responsible AI principles. The iterative development process advanced from an initial needs assessment through iterative formative and summative prototype evaluations, culminating in a final evaluation of field deployment readiness via semistructured interviews and focus groups with patients with prostate cancer and family members from diverse sociodemographic backgrounds. Thematic analysis was conducted to identify critical functionalities and content, using double coding and team-based consensus procedures. Participants' feedback was integrated during the platform's refinement to ensure iPICS' Results: A total of 18 patients with prostate cancer and 7 family members participated in 2 semistructured interviews and 17 focus groups. Most participants were older adults and had at least a high school education. Participants identified 5 major themes relevant to iPICS development: functional requirements, user interface design recommendations, content and visualization needs, program delivery preferences, and privacy and data security concerns. These themes informed the iPICS resource hub; Dialog, an NLP-augmented consultation recording summarization tool for patient-provider communication; an NLP-powered recording with keyword extraction and hyperlinking; and Snap is peer-support functionalities moderated by with prostate cancer and their families. It offers a scalable solution for ethical, transparent, and inclusive supportive survivorship care, particularly during critical care transitions. As a formative qualitative study with a small sample, this phase did not evaluate patient-or family-reported outcomes. Our ongoing studies will evaluate the effects of iPICS on patient-and family-reported outcomes and explore adaptation to other cancers and chronic conditions.</t>
  </si>
  <si>
    <t>Song, Lixin; Wang, Xiaomeng; Yu, Fei; Zuo, Dongmei; Ranzinger, Lisa Hart; Liss, Michael; Tan, Hung-Jui</t>
  </si>
  <si>
    <t>Song, LX (corresponding author), Univ Texas Hlth Sci Ctr San Antonio, Sch Nursing, 7703 Floyd Curl Dr, San Antonio, TX 78229 USA.</t>
  </si>
  <si>
    <t>songl2@uthscsa.edu</t>
  </si>
  <si>
    <t>Department of Defense [W81XWH-21-1-0263]; Interventions for Preventing and Managing Chronic Illness [T32NR007091]</t>
  </si>
  <si>
    <t>Department of Defense (United States Department of Defense); Interventions for Preventing and Managing Chronic Illness</t>
  </si>
  <si>
    <t>The research reported in this publication was supported by the Department of Defense W81XWH-21-1-0263 (principal investigator: LS). LHR was supported by: T32NR007091 Interventions for Preventing and Managing Chronic Illness. The funders had no involvement in this study's design, data collection, analysis, interpretation, or the writing of this paper.</t>
  </si>
  <si>
    <t>[Song, Lixin; Wang, Xiaomeng; Zuo, Dongmei] Univ Texas Hlth Sci Ctr San Antonio, Sch Nursing, 7703 Floyd Curl Dr, San Antonio, TX 78229 USA; [Yu, Fei] Univ North Carolina Chapel Hill, Sch Informat &amp; Lib Sci, Chapel Hill, NC USA; [Ranzinger, Lisa Hart] Univ North Carolina Chapel Hill, Sch Nursing, Chapel Hill, NC USA; [Liss, Michael] Univ Calif San Diego, San Diego, CA USA; [Tan, Hung-Jui] Univ North Carolina Chapel Hill, Dept Urol, Chapel Hill, NC USA</t>
  </si>
  <si>
    <t>Building a Natural Language Processing Augmented Information Support System to Enhance Supportive Care for Patients With Prostate Cancer and Families: User-Centered, Iterative Approach</t>
  </si>
  <si>
    <t>prostate cancer; health information; social support; eHealth, digital health; family caregiver; self-management; decision making; user-centered design; natural language processing</t>
  </si>
  <si>
    <t>DECISION-MAKING; HEALTH; COMMUNICATION; PROGRAM</t>
  </si>
  <si>
    <t>41</t>
  </si>
  <si>
    <t>AUG 10 2026</t>
  </si>
  <si>
    <t>e74150</t>
  </si>
  <si>
    <t>10.2196/74150</t>
  </si>
  <si>
    <t>http://dx.doi.org/10.2196/74150</t>
  </si>
  <si>
    <t>MS1KY</t>
  </si>
  <si>
    <t>42574684</t>
  </si>
  <si>
    <t>WOS:001849575100001</t>
  </si>
  <si>
    <t>Hudon, A; Stip, E</t>
  </si>
  <si>
    <t>The integration of artificial intelligence (AI) into daily life has introduced unprecedented forms of human-machine interaction, prompting psychiatry to reconsider the boundaries between environment, cognition, and technology. This Viewpoint reviews the concept of "AI psychosis," which is a framework to understand how sustained engagement with conversational AI systems might trigger, amplify, or reshape psychotic experiences in vulnerable individuals. Drawing from phenomenological psychopathology, the stress-vulnerability model, cognitive theory, and digital mental health research, the paper situates AI psychosis at the intersection of predisposition and algorithmic environment. Rather than defining a new diagnostic entity, it examines how immersive and anthropomorphic AI technologies may modulate perception, belief, and affect, altering the prereflective sense of reality that grounds human experience. The argument unfolds through 4 complementary lenses. First, within the stress-vulnerability model, AI acts as a novel psychosocial stressor. Its 24-hour availability and emotional responsiveness may increase allostatic load, disturb sleep, and reinforce maladaptive appraisals. Second, the digital therapeutic alliance, a construct describing relational engagement with digital systems, is conceptualized as a double-edged mediator. While empathic design can enhance adherence and support, uncritical validation by AI systems may entrench delusional conviction or cognitive perseveration, reversing the corrective principles of cognitive-behavioral therapy for psychosis. Third, disturbances in theory of mind offer a cognitive pathway: individuals with impaired or hyperactive mentalization may project intentionality or empathy onto AI, perceiving chatbots as sentient interlocutors. This dyadic misattribution may form a "digital folie &amp; agrave; deux," where the AI becomes a reinforcing partner in delusional elaboration. Fourth, emerging risk factors, including loneliness, trauma history, schizotypal traits, nocturnal or solitary AI use, and algorithmic reinforcement of belief-confirming content may play roles at the individual and environmental levels. Building on this synthesis, we advance a translational research agenda and five domains of action: (1) empirical studies using longitudinal and digital-phenotyping designs to quantify dose-response relationships between AI exposure, stress physiology, and psychotic symptomatology; (2) integration of digital phenomenology into clinical assessment and training; (3) embedding therapeutic design safeguards into AI systems, such as reflective prompts and "reality-testing" nudges; (4) creation of ethical and governance frameworks for AI-related psychiatric events, modeled on pharmacovigilance; and (5) development of environmental cognitive remediation, a preventive intervention aimed at strengthening contextual awareness and reanchoring experience in the safeguard mental health, and promote responsible AI integration within society.</t>
  </si>
  <si>
    <t>Hudon, Alexandre; Stip, Emmanuel</t>
  </si>
  <si>
    <t>Hudon, A (corresponding author), Univ Montreal, Fac Med, Dept Psychiat &amp; Addictol, 2900 Bd Edouard Montpetit, Montreal, PQ H3T 1J4, Canada.</t>
  </si>
  <si>
    <t>alexandre.hudon.1@umontreal.ca</t>
  </si>
  <si>
    <t>La Fondation del'Institut universitaire en sante mentale de Montreal; L'Institut de valorisation des donnees</t>
  </si>
  <si>
    <t>This study was funded indirectly by La Fondation del'Institut universitaire en sante mentale de Montreal and the operating funds of l'Institut de valorisation des donnees (AH) .</t>
  </si>
  <si>
    <t>[Hudon, Alexandre; Stip, Emmanuel] Univ Montreal, Fac Med, Dept Psychiat &amp; Addictol, 2900 Bd Edouard Montpetit, Montreal, PQ H3T 1J4, Canada; [Hudon, Alexandre; Stip, Emmanuel] Inst Univ Sante Mentale Montreal, Dept Psychiat, Unite Rech Psychiat, Montreal, PQ, Canada; [Hudon, Alexandre; Stip, Emmanuel] Inst Univ Sante Mentale Montreal, Ctr Rech, Montreal, PQ, Canada; [Hudon, Alexandre] Inst Natl Psychiat Legale Philippe Pinel, Dept Psychiat, Montreal, PQ, Canada; [Hudon, Alexandre] Univ Montreal, Ctr Rech Pedag Sante, Montreal, PQ, Canada; [Stip, Emmanuel] United Arab Emirates Univ, Dept Psychiat, Al Ain, U Arab Emirates</t>
  </si>
  <si>
    <t>Universite de Montreal; Universite de Montreal; Universite de Montreal; Universite de Montreal; United Arab Emirates University</t>
  </si>
  <si>
    <t>Delusional Experiences Emerging From AI Chatbot Interactions or "AI Psychosis"</t>
  </si>
  <si>
    <t>artificial intelligence; psychosis; schizophrenia; digital phenotyping; stress-vulnerability model; theory of mind; phenomenological psychopathology; chatbots; delusions; human-computer interaction</t>
  </si>
  <si>
    <t>SCHIZOPHRENIA; METAANALYSIS; STATE</t>
  </si>
  <si>
    <t>Hudon, Alexandre/GQZ-2318-2022</t>
  </si>
  <si>
    <t>Hudon, Alexandre/0000-0002-4868-0928</t>
  </si>
  <si>
    <t>37</t>
  </si>
  <si>
    <t>e85799</t>
  </si>
  <si>
    <t>10.2196/85799</t>
  </si>
  <si>
    <t>http://dx.doi.org/10.2196/85799</t>
  </si>
  <si>
    <t>Q3963</t>
  </si>
  <si>
    <t>41273266</t>
  </si>
  <si>
    <t>WOS:001634546600001</t>
  </si>
  <si>
    <t>Chandrasekaran, R; Takale, L; Moustakas, E</t>
  </si>
  <si>
    <t>Background: Artificial intelligence (AI) holds great promise in transforming health care delivery. However, successful implementation of AI projects in health care depends on patients' acceptance and trust. There is limited empirical research examining public perceptions, particularly the use of personal health data in AI applications in health care. Objective: This study examined public knowledge and comfort levels with AI use in health care, including use of personal health data with and without consent, and assessed how sociodemographic factors, digital literacy, and health conditions influence these perceptions. Methods: We analyzed data from 6904 Canadian adults who participated in the 2023 Canadian Digital Health Survey. AI-related knowledge and comfort levels were measured using ordinal scales. Sociodemographic characteristics, digital health literacy, and self-reported chronic health conditions were included as predictors. Ordinal logistic regression models were used to assess associations between these factors and AI-related attitudes. Results: A majority of 2919 (42.3%) reported moderate knowledge of AI; only 7.8% (542) described themselves as very knowledgeable. Overall, 44.6% were comfortable with AI use in health care, increasing to 64.7% when personal health data were used with consent but decreasing when used without consent (52.6% uncomfortable). Respondents were most comfortable with AI use for epidemic tracking and workflow management and less for clinical tasks. Fully weighted ordinal logistic regression models indicated that men (odds ratio [OR]=1.57, P&lt;.001), noncitizens (OR=1.71, P&lt;.001), higher-income respondents (OR=1.29, P&lt;.001), those with graduate education (OR=1.43, P&lt;.001), higher digital health literacy (OR=1.08, P&lt;.001), and more chronic conditions (OR=1.08, P&lt;.001) exhibited greater odds of reporting higher AI knowledge. For comfort with AI use in health care, those aged 65+ years (OR=1.47, P&lt;.001), men (OR=1.50, P&lt;.001), noncitizens (OR=1.49, P&lt;.001), higher-income respondents (OR=1.21, P&lt;.001), and those with higher digital health literacy (OR=1.06, P&lt;.001) or more chronic conditions (OR=1.04, P=.04) exhibited greater comfort. Lower-income (OR=0.87, P=.03) and White respondents (OR=0.77, P&lt;.001) reported lower comfort levels. For comfort with using personal health data in AI with consent, adults aged 35-54 years (OR=0.72, P&lt;.001) were less comfortable than those aged 16-24 years. Men (OR=1.39, P&lt;.001), higher-income respondents (OR=1.16, P=.01), and those with higher digital health literacy (OR=1.05, P&lt;.001) or more chronic conditions (OR=1.07, P&lt;.001) showed greater comfort; White (OR=0.78, P&lt;.001), other racial groups (OR=0.77, P=.03), and lower-income respondents were less comfortable (OR=0.83, P=.01). For comfort with using personal health data in AI without consent, men (OR=1.56, P&lt;.001), noncitizens (OR=1.28, P=.03), and those with higher digital health literacy (OR=1.04, P&lt;.001) exhibited greater comfort. Lower-income respondents (OR=0.86, P=.02), adults aged 35-54 years (OR=0.73, P&lt;.001) or 55-64 years (OR=0.77, P=.01), and White (OR=0.69, P&lt;.001) and Black or African-origin (OR=0.71, P=.02) respondents reported lower comfort levels. Conclusions: The findings point to enhancing transparent policies, digital literacy, and ethical data governance as key to increasing public trust in AI-driven health care.</t>
  </si>
  <si>
    <t>Chandrasekaran, Ranganathan; Takale, Lavanya; Moustakas, Evangelos</t>
  </si>
  <si>
    <t>Chandrasekaran, R (corresponding author), Univ Illinois, Dept Informat &amp; Decis Sci, 2428 Univ Hall,601 S Morgan St, Chicago, IL 60607 USA.</t>
  </si>
  <si>
    <t>ranga@uic.edu</t>
  </si>
  <si>
    <t>[Chandrasekaran, Ranganathan; Takale, Lavanya] Univ Illinois, Dept Informat &amp; Decis Sci, 2428 Univ Hall,601 S Morgan St, Chicago, IL 60607 USA; [Moustakas, Evangelos] Canadian Univ Dubai, Dept Commun &amp; Media, Dubai, U Arab Emirates</t>
  </si>
  <si>
    <t>University of Illinois System; University of Illinois Chicago; University of Illinois Chicago Hospital; Canadian University Dubai</t>
  </si>
  <si>
    <t>Listening to Patients' Voices on the Use of AI in Health Care: Cross-Sectional Study</t>
  </si>
  <si>
    <t>patient attitudes; artificial Intelligence; technology acceptance; responsible AI; survey</t>
  </si>
  <si>
    <t>Moustakas, Evangelos/PLS-4014-2026</t>
  </si>
  <si>
    <t>Chanasekaran, Ranganathan/0000-0003-2001-578X; Takale, Lavanya/0009-0008-9487-6121</t>
  </si>
  <si>
    <t>57</t>
  </si>
  <si>
    <t>DEC 5 2025</t>
  </si>
  <si>
    <t>e77501</t>
  </si>
  <si>
    <t>10.2196/77501</t>
  </si>
  <si>
    <t>http://dx.doi.org/10.2196/77501</t>
  </si>
  <si>
    <t>W9196</t>
  </si>
  <si>
    <t>41348933</t>
  </si>
  <si>
    <t>WOS:001640087400002</t>
  </si>
  <si>
    <t>Ma, YC; Achiche, S; Pomey, MP; Paquette, J; Adjtoutah, N; Vicente, S; Engler, K; Laymouna, M; Lessard, D; Lemire, B; Asselah, J; Therrien, R; Osmanlliu, E; Zawati, MH; Joly, Y; Lebouché, B</t>
  </si>
  <si>
    <t>Background: Artificial intelligence (AI)-based chatbots could help address some of the challenges patients face in acquiring information essential to their self -health management, including unreliable sources and overburdened health care professionals. Research to ensure the proper design, implementation, and uptake of chatbots is imperative. Inclusive digital health research and responsible AI integration into health care require active and sustained patient and stakeholder engagement, yet corresponding activities and guidance are limited for this purpose. Objective: In response, this manuscript presents a master protocol for the development, testing, and implementation of a chatbot family in partnership with stakeholders. This protocol aims to help efficiently translate an initial chatbot intervention (MARVIN) to multiple health domains and populations. Methods: The MARVIN chatbots study has an adaptive platform trial design consisting of multiple parallel individual chatbot substudies with four common objectives: (1) co -construct a tailored AI chatbot for a specific health care setting, (2) assess its usability with a small sample of participants, (3) measure implementation outcomes (usability, acceptability, appropriateness, adoption, and fidelity) within a large sample, and (4) evaluate the impact of patient and stakeholder partnerships on chatbot development. For objective 1, a needs assessment will be conducted within the setting, involving four 2 -hour focus groups with 5 participants each. Then, a co -construction design committee will be formed with patient partners, health care professionals, and researchers who will participate in 6 workshops for chatbot development, testing, and improvement. For objective 2, a total of 30 participants will interact with the prototype for 3 weeks and assess its usability through a survey and 3 focus groups. Positive usability outcomes will lead to the initiation of objective 3, whereby the public will be able to access the chatbot for a 12 -month real -world implementation study using web -based questionnaires to measure usability, acceptability, and appropriateness for 150 participants and meta -use data to inform adoption and fidelity. After each objective, for objective 4, focus groups will be conducted with the design committee to better understand their perspectives on the engagement process. Results: From July 2022 to October 2023, this master protocol led to four substudies conducted at the McGill University Health Centre or the Centre hospitalier de l'Universite de Montreal (both in Montreal, Quebec, Canada): (1) MARVIN for HIV (large-scale implementation expected in mid -2024), (2) MARVIN-Pharma for community pharmacists providing HIV care (usability study planned for mid -2024), (3) MARVINA for breast cancer, and (4) MARVIN-CHAMP for pediatric infectious conditions (both in preparation, with development to begin in early 2024). Conclusions: This master protocol offers an approach to chatbot development in partnership with patients and health care professionals that includes a comprehensive assessment of implementation outcomes. It also contributes to best practice recommendations for patient and stakeholder engagement in digital health research.</t>
  </si>
  <si>
    <t>Ma, Yuanchao; Achiche, Sofiane; Pomey, Marie-Pascale; Paquette, Jesseca; Adjtoutah, Nesrine; Vicente, Serge; Engler, Kim; Laymouna, Moustafa; Lessard, David; Lemire, Benoit; Asselah, Jamil; Therrien, Rachel; Osmanlliu, Esli; Zawati, Ma'n H.; Joly, Yann; Lebouche, Bertrand</t>
  </si>
  <si>
    <t>Lebouché, B (corresponding author), McGill Univ, Chron Viral Illness Serv, Dept Med, Div Infect Dis,Hlth Ctr, 1001 Decarie Blvd, Montreal, PQ H4A 3J1, Canada.</t>
  </si>
  <si>
    <t>bertrand.lebouche@mcgill.ca</t>
  </si>
  <si>
    <t>Fonds de recherche du Quebec - Sante (FRQS) Reseau SIDA-Maladies Infectieuses (AIDS and Infectious Disease Network); Canadian Institutes of Health Research Strategy for Patient-Oriented Research Quebec Support Unit-Methodological Developments [M006]; Partnerships to Improve HIV Outcomes and Treatments program from ViiV Healthcare [2021-2186-PIHVOT]; Cedars Cancer Foundation; Postgraduate Scholarships - Doctoral program; the Optimizing Power Skills in Interdisciplinary, Diverse, and Innovative Academic Networks (OPSIDIAN) program from the Natural Sciences and Engineering Research Council; Fonds de recherche du Quebec - Nature et technologies; Unite de soutien au systeme de sante apprenant Quebec; FRQS [311200, 322747]; Centre de Recherche du Centre hospitalier de l'Universite de Montreal; Quebec Ministry of Health and Social Services</t>
  </si>
  <si>
    <t>Fonds de recherche du Quebec - Sante (FRQS) Reseau SIDA-Maladies Infectieuses (AIDS and Infectious Disease Network) (Fonds de recherche du Quebec (FRQ), Fonds de recherche du Quebec - Nature et technologies (FRQNT)); Canadian Institutes of Health Research Strategy for Patient-Oriented Research Quebec Support Unit-Methodological Developments (Canadian Institutes of Health Research (CIHR)); Partnerships to Improve HIV Outcomes and Treatments program from ViiV Healthcare; Cedars Cancer Foundation; Postgraduate Scholarships - Doctoral program; the Optimizing Power Skills in Interdisciplinary, Diverse, and Innovative Academic Networks (OPSIDIAN) program from the Natural Sciences and Engineering Research Council; Fonds de recherche du Quebec - Nature et technologies (Fonds de recherche du Quebec (FRQ), Fonds de recherche du Quebec - Nature et technologies (FRQNT)); Unite de soutien au systeme de sante apprenant Quebec; FRQS (Fonds de recherche du Quebec (FRQ), Fonds de recherche du Quebec - Sante (FRQS)); Centre de Recherche du Centre hospitalier de l'Universite de Montreal; Quebec Ministry of Health and Social Services</t>
  </si>
  <si>
    <t>This study secured funding from the Fonds de recherche du Quebec - Sante (FRQS) Reseau SIDA-Maladies Infectieuses (AIDS and Infectious Disease Network; project title: Developing an AI chatbot-based triage solution to support people with HIV; principal investigators [PIs] : YM, SA, and B Lebouche) . This study is also supported by the Canadian Institutes of Health Research Strategy for Patient-Oriented Research Quebec Support Unit-Methodological Developments (grant M006; PI: B Lebouche), the Partnerships to Improve HIV Outcomes and Treatments program from ViiV Healthcare (grant 2021-2186-PIHVOT; PI: RT), and the Cedars Cancer Foundation (project title: Developing MARVINA, an Intelligent Conversational Agent for Breast Cancer Self-Management through Patient Stakeholder Engagement; PIs: JA and B Lebouche) . YM is supported by the Postgraduate Scholarships - Doctoral program; the Optimizing Power Skills in Interdisciplinary, Diverse, and Innovative Academic Networks (OPSIDIAN) program from the Natural Sciences and Engineering Research Council; and a doctoral research award from the Fonds de recherche du Quebec - Nature et technologies in partnership with the Unite de soutien au systeme de sante apprenant Quebec. MPP is supported by a Senior Career Award financed by the FRQS (322746 and 322747), the Centre de Recherche du Centre hospitalier de l'Universite de Montreal, and the Quebec Ministry of Health and Social Services. B Lebouche is supported by 2 career awards-a Senior Salary Award from the FRQS (311200) and the Lettre d'entente 250 from the Quebec Ministry of Health and Social Services for researchers in family medicine-and holds a Canadian Institutes for Health Research Strategy for Patient-Oriented Research Mentorship Chair in Innovative Clinical Trials in HIV. EO is funded as a clinical research scholar-junior 1 (2023-2027) by the FRQS (331771), awarded in partnership with the Unite de soutien au systeme de sante apprenant Quebec. MHZ is supported by a Junior 1 Career Award from the FRQS (309777) . The funding sources had no role in the design of this study and were not involved in the interpretation of the results or the decision to submit them for publication. The authors acknowledge the technical support provided by students and interns from Polytechnique Montreal for the development of the MARVIN chatbots and Levis Theriault for referring the students. The authors also acknowledge Imane Frih, Maria Nait El Haj, and Gavin Tu for the creation of the clinical content. The names of the members of the MARVIN chatbots Patient Expert Committee cannot be provided as they are patients and their names must remain confidential. The authors attest that there was no use of generative artificial intelligence technology in the generation of text, figures, or other informational content of this manuscript.</t>
  </si>
  <si>
    <t>[Ma, Yuanchao; Achiche, Sofiane] Polytech Montreal, Dept Biomed Engn, Montreal, PQ, Canada; [Ma, Yuanchao; Vicente, Serge; Engler, Kim; Laymouna, Moustafa; Lessard, David; Osmanlliu, Esli; Lebouche, Bertrand; MARVIN Chatbots Patient Expert] McGill Univ, Ctr Outcomes Res &amp; Evaluat, Res Inst, Hlth Ctr, Montreal, PQ, Canada; [Ma, Yuanchao; Vicente, Serge; Engler, Kim; Laymouna, Moustafa; Lessard, David; Lebouche, Bertrand] McGill Univ, Res Inst, Infect Dis &amp; Immun Global Hlth Program, Hlth Ctr, Montreal, PQ, Canada; [Ma, Yuanchao; Lessard, David; Lemire, Benoit; Lebouche, Bertrand] McGill Univ, Dept Med, Div Infect Dis, Chron Viral Illness Serv,Hlth Ctr, Montreal, PQ, Canada; [Pomey, Marie-Pascale; Paquette, Jesseca; Adjtoutah, Nesrine; Therrien, Rachel] Univ Montreal Hosp Ctr, Res Ctr, Montreal, PQ, Canada; [Pomey, Marie-Pascale; Adjtoutah, Nesrine] Univ Montreal, Sch Publ Hlth, Dept Hlth Policy Management &amp; Evaluat, Montreal, PQ, Canada; [Pomey, Marie-Pascale] Ctr Excellence Partnership Patients &amp; Publ, Montreal, PQ, Canada; [Vicente, Serge; Laymouna, Moustafa; Lebouche, Bertrand] McGill Univ, Fac Med &amp; Hlth Sci, Dept Family Med, Montreal, PQ, Canada; [Vicente, Serge] Univ Montreal, Dept Math &amp; Stat, Montreal, PQ, Canada; [Asselah, Jamil] McGill Univ, Hlth Ctr, Dept Med, Div Med Oncol, Montreal, PQ, Canada; [Osmanlliu, Esli] McGill Univ, Montreal Childrens Hosp, Dept Pediat, Hlth Ctr, Montreal, PQ, Canada; [Zawati, Ma'n H.; Joly, Yann] McGill Univ, Ctr Genom &amp; Policy, Montreal, PQ, Canada</t>
  </si>
  <si>
    <t>Universite de Montreal; Polytechnique Montreal; McGill University; McGill University; McGill University; Universite de Montreal; Universite de Montreal; McGill University; Universite de Montreal; McGill University; McGill University; McGill University</t>
  </si>
  <si>
    <t>MARVIN Chatbots Patient Expert</t>
  </si>
  <si>
    <t>Adapting and Evaluating an AI-Based Chatbot Through Patient and Stakeholder Engagement to Provide Information for Different Health Conditions: Master Protocol for an Adaptive Platform Trial (the MARVIN Chatbots Study)</t>
  </si>
  <si>
    <t>chatbot; master protocol; adaptive platform trial design; implementation science; telehealth; digital health; Canada; artificial intelligence; conversational agent; self-management; research ethics; patient and stakeholder engagement; co-construction; mobile phone</t>
  </si>
  <si>
    <t>ARTIFICIAL-INTELLIGENCE; SELF-MANAGEMENT; TECHNOLOGY; ACCEPTANCE; USABILITY</t>
  </si>
  <si>
    <t>Laymouna, Moustafa/JZD-4388-2024; Joly, Yann/AGF-5453-2022; Ma, Yuanchao/LKN-8403-2024; Osmanlliu, Esli/KVB-4117-2024; Achiche, Sofiane/A-7154-2012; LEBOUCHE, Bertrand/GZL-8127-2022; Pomey, Marie-Pascale/AAL-9609-2021</t>
  </si>
  <si>
    <t>Paquette, Jesseca/0000-0003-0361-1440; Adjtoutah, Nesrine/0009-0000-2751-9804; Engler, Kim/0000-0001-8364-7421; Lessard, David/0000-0002-1151-3763; Laymouna, Moustafa/0000-0002-0673-6356; Ma, Yuanchao/0000-0002-4048-1705; Vicente, Serge/0000-0001-6478-4308; Pomey, Marie-Pascale/0000-0001-5180-8139</t>
  </si>
  <si>
    <t>83</t>
  </si>
  <si>
    <t>e54668</t>
  </si>
  <si>
    <t>10.2196/54668</t>
  </si>
  <si>
    <t>http://dx.doi.org/10.2196/54668</t>
  </si>
  <si>
    <t>JQ6C3</t>
  </si>
  <si>
    <t>38349734</t>
  </si>
  <si>
    <t>WOS:001174659900002</t>
  </si>
  <si>
    <t>Hacker, P</t>
  </si>
  <si>
    <t>The optimal liability framework for AI systems remains an unsolved problem across the globe. With ChatGPT and other large generative models taking the technology to the next level, solutions are urgently needed. In a much-anticipated move, the European Commis-sion advanced two proposals outlining the European approach to AI liability in September 2022: a novel AI Liability Directive (AILD) and a revision of the Product Liability Directive (PLD). They constitute the final cornerstone of AI regulation in the EU. Crucially, the liability proposals and the proposed EU AI Act are inherently intertwined: the latter does not con-tain any individual rights of affected persons, and the former lack specific, substantive rules on AI development and deployment. Taken together, these acts may well trigger a "Brussels effect" in AI regulation, with significant consequences for the US and other countries.Against this background, this paper makes three novel contributions. First, it examines in detail the liability proposals and shows that, while making steps in the right direction, they ultimately represent a half-hearted approach: if enacted as foreseen, AI liability in the EU will primarily rest on disclosure of evidence mechanisms and a set of narrowly defined presumptions concerning fault, defectiveness and causality.Hence, second, the article suggests amendments to the proposed AI liability framework. They are collected in a concise Annex at the end of the paper. I argue, inter alia, that the dichotomy between the fault-based AILD Proposal and the supposedly strict liability PLD Proposal is fictional and should be abandoned; that an EU framework for AI liability should comprise one fully harmonizing regulation instead of two insufficiently coordinated direc-tives; and that the current proposals unjustifiably collapse fundamental distinctions be-tween social and individual risk by equating high-risk AI systems in the AI Act with those under the liability framework.Third, based on an analysis of the key risks AI poses, the final part of the paper maps out a road for the future of AI liability and regulation, in the EU and beyond. More specif-ically, I make four key proposals. Effective compensation should be ensured by combin-ing truly strict liability for certain high-risk AI systems with general presumptions of de-fectiveness, fault and causality in cases involving SMEs or non-high-risk AI systems. The paper introduces a novel distinction between illegitimate-and legitimate-harm models to delineate strict liability's scope. Truly strict liability should be reserved for high-risk AI sys-tems that, from a social perspective, should not cause harm (illegitimate-harm models, e.g., autonomous vehicles or medical AI). Models meant to cause some unavoidable harm by ranking and rejecting individuals (legitimate-harm models, e.g., credit scoring or insurance scoring) may merely face rebuttable presumptions of defectiveness and causality. General-purpose AI systems and Foundation Models should only be subjected to high-risk regulation, including liability for high-risk AI systems, in specific high-risk use cases for which they are deployed. Consumers, in turn, ought to be liable based on regular fault, in general.Furthermore, innovation and legal certainty should be fostered through a comprehen-sive regime of safe harbours, defined quantitatively to the best extent possible. Moreover, trustworthy AI remains an important goal for AI regulation.Hence, the liability framework must specifically extend to non-discrimination cases and provide for clear rules concerning explainability (XAI).Finally, awareness for the climate effects of AI, and digital technology more broadly, is rapidly growing in computer science. In diametrical opposition to this shift in discourse and understanding, however, EU legislators have long neglected environmental sustainabil-ity in both the draft AI Act and the proposed liability regime. To counter this, I propose to jump-start sustainable AI regulation via sustainability impact assessments in the AI Act and sustainable design defects in the liability regime. In this way, the law may help spur not only fair AI and XAI, but also sustainable AI (SAI).(c) 2023 Philipp Hacker. Published by Elsevier Ltd. CCBYLICENSE This is an open access article under the CC BY-NC license ( http://creativecommons.org/licenses/by-nc/4.0/ )</t>
  </si>
  <si>
    <t>Hacker, Philipp</t>
  </si>
  <si>
    <t>Hacker, P (corresponding author), European Univ Viadrina, European New Sch Digital Studies, Fac Law, Chair Law &amp; Eth Digital Soc, GrosseScharrnstr 59, D-15230 Frankfurt, Germany.</t>
  </si>
  <si>
    <t>hacker@europa-uni.de</t>
  </si>
  <si>
    <t>[Hacker, Philipp] European Univ Viadrina, European New Sch Digital Studies, Frankfurt, Germany; [Hacker, Philipp] European Univ Viadrina, European New Sch Digital Studies, Fac Law, Chair Law &amp; Eth Digital Soc, GrosseScharrnstr 59, D-15230 Frankfurt, Germany</t>
  </si>
  <si>
    <t>European University Viadrina Frankfurt Oder; European University Viadrina Frankfurt Oder</t>
  </si>
  <si>
    <t>The European AI liability directives - Critique of a half-hearted approach and lessons for the future</t>
  </si>
  <si>
    <t>COMPUTER LAW &amp; SECURITY REVIEW</t>
  </si>
  <si>
    <t>Artificial intelligence; ChatGPT; Product liability; EU law; AI act; Sustainability; Innovation; Large generative AI models</t>
  </si>
  <si>
    <t>ARTIFICIAL-INTELLIGENCE; DISCRIMINATION; EXPLANATION; INFORMATION; CHALLENGES; PROTECTION; DECISIONS; PRODUCTS; FAIRNESS; BIAS</t>
  </si>
  <si>
    <t>236</t>
  </si>
  <si>
    <t>84</t>
  </si>
  <si>
    <t>115</t>
  </si>
  <si>
    <t>129</t>
  </si>
  <si>
    <t>ELSEVIER ADVANCED TECHNOLOGY</t>
  </si>
  <si>
    <t>OXFORD FULFILLMENT CENTRE THE BOULEVARD, LANGFORD LANE, KIDLINGTON, OXFORD OX5 1GB, OXON, ENGLAND</t>
  </si>
  <si>
    <t>2212-473X</t>
  </si>
  <si>
    <t>2212-4748</t>
  </si>
  <si>
    <t>COMPUT LAW SECUR REV</t>
  </si>
  <si>
    <t>Comput. Law Secur. Rev.</t>
  </si>
  <si>
    <t>NOV 2023</t>
  </si>
  <si>
    <t>105871</t>
  </si>
  <si>
    <t>10.1016/j.clsr.2023.105871</t>
  </si>
  <si>
    <t>http://dx.doi.org/10.1016/j.clsr.2023.105871</t>
  </si>
  <si>
    <t>Law</t>
  </si>
  <si>
    <t>Government &amp; Law</t>
  </si>
  <si>
    <t>T4SY2</t>
  </si>
  <si>
    <t>WOS:001077914700001</t>
  </si>
  <si>
    <t>Hlede, V; Valanci, S; D'Antuono, GR; Dow, H; O'Beirne, R; Wiggins, R</t>
  </si>
  <si>
    <t>Background: Artificial intelligence (AI) is changing continuing professional development (CPD) in health care and its interactions with the broader health care system. However, current scholarship lacks an integrated theoretical model that explains how AI impacts CPD as a complex sociotechnical system. Existing frameworks usually focus on isolated phenomena, such as ethics, literacy, or learning theory, leaving unaddressed the dynamics of how those phenomena interact in the complex sociotechnical AI-enhanced CPD system, as well as the new roles that AI-empowered patients and society play. Objective: The objective of this study is to propose a comprehensive, theory-driven framework that provides insight into how AI transforms CPD systems. The goal was to integrate established AI constructs with Complexity Theory (CT) and Actor-Network Theory (ANT) to develop a model that guides practice, research, and policy. Methods: We conducted a multimethod theory construction. The process started with identifying the AI-enhanced CPD as an established yet evolving phenomenon. Through a structured literature review, the main building blocks of AI-enhanced CPD were identified, as well as the ontological base (CT and ANT). The model was developed through iterative human-led and AI-assisted abductive analysis. The final model was abductively validated on a case study of a national organization pioneering AI use, demonstrating the theoretical model makes sense in practice. All conceptual decisions were reviewed collaboratively by the author group. Results: The ALEERRT-CA framework is made of 6 pillars: AI literacy, explainability, ethics, readiness, reliability, and learning theories, and 2 theoretical lenses: CT and ANT. CT elucidates macro-level system behaviors in the AI-enhanced CPD system. Those behaviors include emergence, feedback loops, adaptation, and reality made of nested complex systems. ANT explains how localized interactions among human and nonhuman actors shape AI-enhanced CPD. Together, these lenses illustrate how AI redistributes agency, amplifies tensions, and generates emergent learning dynamics within CPD and the broader health care system. Conclusions: This study presents a novel conceptual model of AI-enhanced CPD as a sociotechnical system. The integration of CT and ANT with AI constructs improves explanatory power of the ALEERRT-CA framework. Educators, program leaders, and policymakers can use the framework as a structured toolset to evaluate AI readiness, design responsible AI-enhanced CPD practices, and plan future empirical research. The framework provides a theoretical lens for observing the rapidly evolving field of AI-enhanced CPD and health care practice.</t>
  </si>
  <si>
    <t>Hlede, Vjekoslav; Valanci, Sofia; D'Antuono, G. Robert; Dow, Heather; O'Beirne, Ronan; Wiggins, Richard</t>
  </si>
  <si>
    <t>Hlede, V (corresponding author), Amer Soc Anesthesiologists, Learning Div, 1061 Amer Lane, Schaumburg, IL 60173 USA.</t>
  </si>
  <si>
    <t>v.hlede@asahq.org</t>
  </si>
  <si>
    <t>[Hlede, Vjekoslav] Amer Soc Anesthesiologists, Learning Div, 1061 Amer Lane, Schaumburg, IL 60173 USA; [Valanci, Sofia] Royal Coll Phys &amp; Surg Canada, Off Learning &amp; Connecting, Ottawa, ON, Canada; [D'Antuono, G. Robert] NYU Grossman Long Isl Sch Med, Off Continuing Med Educ, New York, NY USA; [Dow, Heather] Canadian Assoc Phys Med &amp; Rehabil, Kingston, ON, Canada; [O'Beirne, Ronan] Univ Alabama Birmingham, Marnix E Heersink Sch Med, Div Continuing Med Educ, Birmingham, AL USA; [Wiggins, Richard] Univ Utah, Dept Continuing Med Educ, Salt Lake City, UT USA</t>
  </si>
  <si>
    <t>University of Alabama System; University of Alabama Birmingham; Utah System of Higher Education; University of Utah</t>
  </si>
  <si>
    <t>AI-Enhanced Continuing Professional Development as an Evolving Sociotechnical System: Multimethod Theoretical Framework Development Study</t>
  </si>
  <si>
    <t>artificial intelligence; AI; AI-enhanced CPD; AI explainability; AI readiness; AI reliability; learning theories; complexity; Actor-Network Theory; black box; continuing professional development</t>
  </si>
  <si>
    <t>Hlede, Vjekoslav/0000-0002-3593-858X</t>
  </si>
  <si>
    <t>79</t>
  </si>
  <si>
    <t>e69156</t>
  </si>
  <si>
    <t>10.2196/69156</t>
  </si>
  <si>
    <t>http://dx.doi.org/10.2196/69156</t>
  </si>
  <si>
    <t>EG2NW</t>
  </si>
  <si>
    <t>41678653</t>
  </si>
  <si>
    <t>WOS:001700360300001</t>
  </si>
  <si>
    <t>Shen, PY; Chen, YM; Li, JX</t>
  </si>
  <si>
    <t>As the penetration of artificial intelligence (AI) in the hospitality industry deepens, its ethical and social responsibility issues have become critical factors affecting the customer experience. This research aims to explore how Artificial Intelligence Social Responsibility (AISR), an emerging concept, enhances customer well-being. By integrating Affordance Theory and Self-Determination Theory, the study constructs and tests a moderated chain mediation model. This model proposes that AISR positively influences customer well-being through the chain mediating effects of psychological empowerment and human-AI rapport. Furthermore, this study examines the moderating role of the customer's degree of "Self-AI Connection." The results from three online experiments support the proposed hypotheses. This study makes a dual contribution to academia and industry. Theoretically, it expands the focus of AISR research from ethical norms themselves to their positive impact on user well-being, clarifying that AISR can serve as a significant source of psychological affordances that enhance consumer well-being by satisfying users' deeper needs. Practically, the research conclusions provide clear and actionable guidance for hotel managers, revealing that practicing responsible AI strategies is an effective path to enhance customer well-being and thereby build deeper customer relationships.(sic)(sic)(sic)(sic)(sic)(sic) (AI) (sic)(sic)(sic)(sic)(sic)(sic)(sic)(sic)(sic)(sic)(sic), (sic)(sic)(sic)(sic)(sic)(sic)(sic)(sic)(sic)(sic)(sic)(sic)(sic)(sic)(sic)(sic)(sic)(sic)(sic)(sic)(sic)(sic)(sic)(sic).(sic)(sic)(sic)(sic)(sic)(sic)(sic)(sic)(sic)(sic)(sic)(sic)(sic)(sic)(sic)(sic)(sic)(sic)(sic)(sic)(sic)(sic) (AISR) (sic)(sic)(sic)(sic)(sic)(sic)(sic)(sic)(sic)(sic).(sic)(sic)(sic)(sic)"(sic)(sic)(sic)(sic)(sic)"(sic)"(sic)(sic)(sic)(sic)(sic)(sic)", (sic)(sic)(sic)(sic)(sic)(sic)(sic)(sic)(sic)(sic)(sic)(sic)(sic)(sic)(sic)(sic)(sic)(sic)(sic)(sic)(sic)(sic)(sic)(sic).(sic)(sic)(sic)(sic)(sic), AISR(sic)(sic)(sic)(sic)(sic)(sic)(sic)(sic)(sic)(sic)(sic)(sic)(sic)(sic)(sic)(sic)(sic), (sic)(sic)(sic)(sic)(sic)(sic)(sic)(sic)(sic)(sic)(sic).(sic)(sic), (sic)(sic)(sic)(sic)(sic)(sic)(sic)(sic)(sic)"(sic)(sic)-AI(sic)(sic)"(sic)(sic)(sic)(sic)(sic)(sic)(sic).(sic)(sic)(sic)(sic)(sic)(sic)(sic)(sic)(sic)(sic)(sic)(sic)(sic)(sic)(sic)(sic)(sic).(sic)(sic)(sic)(sic)(sic)(sic)(sic)(sic)(sic)(sic)(sic)(sic)(sic)(sic)(sic)(sic)(sic)(sic).(sic)(sic)(sic)(sic)(sic), (sic)(sic)(sic)(sic)AISR(sic)(sic)(sic)(sic)(sic)(sic)(sic)(sic)(sic)(sic)(sic)(sic)(sic)(sic)(sic)(sic)(sic)(sic)(sic)(sic)(sic)(sic)(sic)(sic)(sic)(sic)(sic)(sic), (sic)(sic)AISR(sic)(sic)(sic)(sic)(sic)(sic)(sic)(sic)(sic)(sic)(sic)(sic)(sic), (sic)(sic)(sic)(sic)(sic)(sic)(sic)(sic)(sic)(sic)(sic)(sic)(sic)(sic)(sic)(sic)(sic)(sic)(sic)(sic)(sic)(sic).(sic)(sic)(sic)(sic)(sic), (sic)(sic)(sic)(sic)(sic)(sic)(sic)(sic)(sic)(sic)(sic)(sic)(sic)(sic)(sic)(sic)(sic)(sic)(sic)(sic)(sic)(sic), (sic)(sic)(sic)(sic)(sic)(sic)(sic)(sic)(sic)(sic)(sic)(sic)(sic)(sic)(sic)(sic)(sic)(sic)(sic)(sic)(sic)(sic)(sic), (sic)(sic)(sic)(sic)(sic)(sic)(sic)(sic)(sic)(sic)(sic)(sic)(sic)(sic)(sic)(sic)..</t>
  </si>
  <si>
    <t>Shen, Pengyi; Chen, Yiming; Li, Jinxiong</t>
  </si>
  <si>
    <t>Shen, PY (corresponding author), Jiangxi Univ Finance &amp; Econ, Sch Business Adm, 169 East Shuanggang Rd, Nanchang 330013, Jiangxi, Peoples R China.</t>
  </si>
  <si>
    <t>pengyis@jxufe.edu.cn</t>
  </si>
  <si>
    <t>Jiangxi Provincial Association of Social Sciences [25GL03]; Ministry of Education's Humanities and Social Sciences Research Project [25YJA630126]; Humanities and Social Sciences Research Project of Universities in Jiangxi Province [GL25119]; National Natural Science Foundation of China [72262016]</t>
  </si>
  <si>
    <t>Jiangxi Provincial Association of Social Sciences; Ministry of Education's Humanities and Social Sciences Research Project; Humanities and Social Sciences Research Project of Universities in Jiangxi Province; National Natural Science Foundation of China (National Natural Science Foundation of China (NSFC))</t>
  </si>
  <si>
    <t>This work was supported by the National Natural Science Foundation of China [72262016]; Jiangxi Provincial Association of Social Sciences [25GL03]; the Ministry of Education's Humanities and Social Sciences Research Project [25YJA630126]; and the Humanities and Social Sciences Research Project of Universities in Jiangxi Province [GL25119].</t>
  </si>
  <si>
    <t>[Shen, Pengyi; Chen, Yiming; Li, Jinxiong] Jiangxi Univ Finance &amp; Econ, Sch Business Adm, 169 East Shuanggang Rd, Nanchang 330013, Jiangxi, Peoples R China</t>
  </si>
  <si>
    <t>Jiangxi University of Finance &amp; Economics</t>
  </si>
  <si>
    <t>From psychological empowerment to human-AI rapport: how Artificial Intelligence Social Responsibility enhances consumer well-being in hospitality</t>
  </si>
  <si>
    <t>Artificial Intelligence Social Responsibility; psychological empowerment; human-AI rapport; consumer well-being; self-AI connection</t>
  </si>
  <si>
    <t>HAPPINESS</t>
  </si>
  <si>
    <t>10.1080/19368623.2026.2683829</t>
  </si>
  <si>
    <t>http://dx.doi.org/10.1080/19368623.2026.2683829</t>
  </si>
  <si>
    <t>JF1YV</t>
  </si>
  <si>
    <t>WOS:001787883300001</t>
  </si>
</sst>
</file>

<file path=xl/styles.xml><?xml version="1.0" encoding="utf-8"?>
<styleSheet xmlns="http://schemas.openxmlformats.org/spreadsheetml/2006/main">
  <numFmts count="0"/>
  <fonts count="121">
    <font>
      <sz val="11.0"/>
      <color indexed="8"/>
      <name val="Calibri"/>
      <family val="2"/>
      <scheme val="minor"/>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121">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3A%2F%2Fdx.doi.org%2F10.29063%2Fajrh2025%2Fv29i12s.10" TargetMode="External" Type="http://schemas.openxmlformats.org/officeDocument/2006/relationships/hyperlink"/><Relationship Id="rId10" Target="https%3A%2F%2Fwww.webofscience.com%2Fwos%2Fwoscc%2Ffull-record%2FWOS%3A001712811300001" TargetMode="External" Type="http://schemas.openxmlformats.org/officeDocument/2006/relationships/hyperlink"/><Relationship Id="rId100" Target="https%3A%2F%2Fwww.webofscience.com%2Fwos%2Fwoscc%2Ffull-record%2FWOS%3A001815534500001" TargetMode="External" Type="http://schemas.openxmlformats.org/officeDocument/2006/relationships/hyperlink"/><Relationship Id="rId101" Target="http%3A%2F%2Fdx.doi.org%2F10.1080%2F02642069.2026.2687791" TargetMode="External" Type="http://schemas.openxmlformats.org/officeDocument/2006/relationships/hyperlink"/><Relationship Id="rId102" Target="https%3A%2F%2Fwww.webofscience.com%2Fwos%2Fwoscc%2Ffull-record%2FWOS%3A001791004000001" TargetMode="External" Type="http://schemas.openxmlformats.org/officeDocument/2006/relationships/hyperlink"/><Relationship Id="rId103" Target="http%3A%2F%2Fdx.doi.org%2F10.2196%2F57986" TargetMode="External" Type="http://schemas.openxmlformats.org/officeDocument/2006/relationships/hyperlink"/><Relationship Id="rId104" Target="https%3A%2F%2Fwww.webofscience.com%2Fwos%2Fwoscc%2Ffull-record%2FWOS%3A001459282700001" TargetMode="External" Type="http://schemas.openxmlformats.org/officeDocument/2006/relationships/hyperlink"/><Relationship Id="rId105" Target="http%3A%2F%2Fdx.doi.org%2F10.1136%2Fbmjopen-2025-112394" TargetMode="External" Type="http://schemas.openxmlformats.org/officeDocument/2006/relationships/hyperlink"/><Relationship Id="rId106" Target="https%3A%2F%2Fwww.webofscience.com%2Fwos%2Fwoscc%2Ffull-record%2FWOS%3A001710795200001" TargetMode="External" Type="http://schemas.openxmlformats.org/officeDocument/2006/relationships/hyperlink"/><Relationship Id="rId107" Target="http%3A%2F%2Fdx.doi.org%2F10.2196%2F74150" TargetMode="External" Type="http://schemas.openxmlformats.org/officeDocument/2006/relationships/hyperlink"/><Relationship Id="rId108" Target="https%3A%2F%2Fwww.webofscience.com%2Fwos%2Fwoscc%2Ffull-record%2FWOS%3A001849575100001" TargetMode="External" Type="http://schemas.openxmlformats.org/officeDocument/2006/relationships/hyperlink"/><Relationship Id="rId109" Target="http%3A%2F%2Fdx.doi.org%2F10.2196%2F85799" TargetMode="External" Type="http://schemas.openxmlformats.org/officeDocument/2006/relationships/hyperlink"/><Relationship Id="rId11" Target="http%3A%2F%2Fdx.doi.org%2F10.2106%2FJBJS.25.00971" TargetMode="External" Type="http://schemas.openxmlformats.org/officeDocument/2006/relationships/hyperlink"/><Relationship Id="rId110" Target="https%3A%2F%2Fwww.webofscience.com%2Fwos%2Fwoscc%2Ffull-record%2FWOS%3A001634546600001" TargetMode="External" Type="http://schemas.openxmlformats.org/officeDocument/2006/relationships/hyperlink"/><Relationship Id="rId111" Target="http%3A%2F%2Fdx.doi.org%2F10.2196%2F77501" TargetMode="External" Type="http://schemas.openxmlformats.org/officeDocument/2006/relationships/hyperlink"/><Relationship Id="rId112" Target="https%3A%2F%2Fwww.webofscience.com%2Fwos%2Fwoscc%2Ffull-record%2FWOS%3A001640087400002" TargetMode="External" Type="http://schemas.openxmlformats.org/officeDocument/2006/relationships/hyperlink"/><Relationship Id="rId113" Target="http%3A%2F%2Fdx.doi.org%2F10.2196%2F54668" TargetMode="External" Type="http://schemas.openxmlformats.org/officeDocument/2006/relationships/hyperlink"/><Relationship Id="rId114" Target="https%3A%2F%2Fwww.webofscience.com%2Fwos%2Fwoscc%2Ffull-record%2FWOS%3A001174659900002" TargetMode="External" Type="http://schemas.openxmlformats.org/officeDocument/2006/relationships/hyperlink"/><Relationship Id="rId115" Target="http%3A%2F%2Fdx.doi.org%2F10.1016%2Fj.clsr.2023.105871" TargetMode="External" Type="http://schemas.openxmlformats.org/officeDocument/2006/relationships/hyperlink"/><Relationship Id="rId116" Target="https%3A%2F%2Fwww.webofscience.com%2Fwos%2Fwoscc%2Ffull-record%2FWOS%3A001077914700001" TargetMode="External" Type="http://schemas.openxmlformats.org/officeDocument/2006/relationships/hyperlink"/><Relationship Id="rId117" Target="http%3A%2F%2Fdx.doi.org%2F10.2196%2F69156" TargetMode="External" Type="http://schemas.openxmlformats.org/officeDocument/2006/relationships/hyperlink"/><Relationship Id="rId118" Target="https%3A%2F%2Fwww.webofscience.com%2Fwos%2Fwoscc%2Ffull-record%2FWOS%3A001700360300001" TargetMode="External" Type="http://schemas.openxmlformats.org/officeDocument/2006/relationships/hyperlink"/><Relationship Id="rId119" Target="http%3A%2F%2Fdx.doi.org%2F10.1080%2F19368623.2026.2683829" TargetMode="External" Type="http://schemas.openxmlformats.org/officeDocument/2006/relationships/hyperlink"/><Relationship Id="rId12" Target="https%3A%2F%2Fwww.webofscience.com%2Fwos%2Fwoscc%2Ffull-record%2FWOS%3A001694185400001" TargetMode="External" Type="http://schemas.openxmlformats.org/officeDocument/2006/relationships/hyperlink"/><Relationship Id="rId120" Target="https%3A%2F%2Fwww.webofscience.com%2Fwos%2Fwoscc%2Ffull-record%2FWOS%3A001787883300001" TargetMode="External" Type="http://schemas.openxmlformats.org/officeDocument/2006/relationships/hyperlink"/><Relationship Id="rId13" Target="http%3A%2F%2Fdx.doi.org%2F10.1007%2Fs40558-026-00378-y" TargetMode="External" Type="http://schemas.openxmlformats.org/officeDocument/2006/relationships/hyperlink"/><Relationship Id="rId14" Target="https%3A%2F%2Fwww.webofscience.com%2Fwos%2Fwoscc%2Ffull-record%2FWOS%3A001785706600001" TargetMode="External" Type="http://schemas.openxmlformats.org/officeDocument/2006/relationships/hyperlink"/><Relationship Id="rId15" Target="http%3A%2F%2Fdx.doi.org%2F10.3390%2Fcancers17101688" TargetMode="External" Type="http://schemas.openxmlformats.org/officeDocument/2006/relationships/hyperlink"/><Relationship Id="rId16" Target="https%3A%2F%2Fwww.webofscience.com%2Fwos%2Fwoscc%2Ffull-record%2FWOS%3A001495518700001" TargetMode="External" Type="http://schemas.openxmlformats.org/officeDocument/2006/relationships/hyperlink"/><Relationship Id="rId17" Target="http%3A%2F%2Fdx.doi.org%2F10.17973%2FMMSJ.2025_10_2025074" TargetMode="External" Type="http://schemas.openxmlformats.org/officeDocument/2006/relationships/hyperlink"/><Relationship Id="rId18" Target="https%3A%2F%2Fwww.webofscience.com%2Fwos%2Fwoscc%2Ffull-record%2FWOS%3A001585877700001" TargetMode="External" Type="http://schemas.openxmlformats.org/officeDocument/2006/relationships/hyperlink"/><Relationship Id="rId19" Target="http%3A%2F%2Fdx.doi.org%2F10.1371%2Fjournal.pone.0329020" TargetMode="External" Type="http://schemas.openxmlformats.org/officeDocument/2006/relationships/hyperlink"/><Relationship Id="rId2" Target="https%3A%2F%2Fwww.webofscience.com%2Fwos%2Fwoscc%2Ffull-record%2FWOS%3A001667179800013" TargetMode="External" Type="http://schemas.openxmlformats.org/officeDocument/2006/relationships/hyperlink"/><Relationship Id="rId20" Target="https%3A%2F%2Fwww.webofscience.com%2Fwos%2Fwoscc%2Ffull-record%2FWOS%3A001538515200017" TargetMode="External" Type="http://schemas.openxmlformats.org/officeDocument/2006/relationships/hyperlink"/><Relationship Id="rId21" Target="http%3A%2F%2Fdx.doi.org%2F10.1007%2Fs10676-025-09826-5" TargetMode="External" Type="http://schemas.openxmlformats.org/officeDocument/2006/relationships/hyperlink"/><Relationship Id="rId22" Target="https%3A%2F%2Fwww.webofscience.com%2Fwos%2Fwoscc%2Ffull-record%2FWOS%3A001463551900001" TargetMode="External" Type="http://schemas.openxmlformats.org/officeDocument/2006/relationships/hyperlink"/><Relationship Id="rId23" Target="http%3A%2F%2Fdx.doi.org%2F10.1109%2FACCESS.2026.3654907" TargetMode="External" Type="http://schemas.openxmlformats.org/officeDocument/2006/relationships/hyperlink"/><Relationship Id="rId24" Target="https%3A%2F%2Fwww.webofscience.com%2Fwos%2Fwoscc%2Ffull-record%2FWOS%3A001673800400026" TargetMode="External" Type="http://schemas.openxmlformats.org/officeDocument/2006/relationships/hyperlink"/><Relationship Id="rId25" Target="http%3A%2F%2Fdx.doi.org%2F10.3390%2Fapp15137298" TargetMode="External" Type="http://schemas.openxmlformats.org/officeDocument/2006/relationships/hyperlink"/><Relationship Id="rId26" Target="https%3A%2F%2Fwww.webofscience.com%2Fwos%2Fwoscc%2Ffull-record%2FWOS%3A001526198800001" TargetMode="External" Type="http://schemas.openxmlformats.org/officeDocument/2006/relationships/hyperlink"/><Relationship Id="rId27" Target="http%3A%2F%2Fdx.doi.org%2F10.1007%2Fs00146-026-03023-8" TargetMode="External" Type="http://schemas.openxmlformats.org/officeDocument/2006/relationships/hyperlink"/><Relationship Id="rId28" Target="https%3A%2F%2Fwww.webofscience.com%2Fwos%2Fwoscc%2Ffull-record%2FWOS%3A001752934800001" TargetMode="External" Type="http://schemas.openxmlformats.org/officeDocument/2006/relationships/hyperlink"/><Relationship Id="rId29" Target="http%3A%2F%2Fdx.doi.org%2F10.1002%2Farj.70231" TargetMode="External" Type="http://schemas.openxmlformats.org/officeDocument/2006/relationships/hyperlink"/><Relationship Id="rId3" Target="http%3A%2F%2Fdx.doi.org%2F10.1109%2FACCESS.2023.3321118" TargetMode="External" Type="http://schemas.openxmlformats.org/officeDocument/2006/relationships/hyperlink"/><Relationship Id="rId30" Target="https%3A%2F%2Fwww.webofscience.com%2Fwos%2Fwoscc%2Ffull-record%2FWOS%3A001760243800001" TargetMode="External" Type="http://schemas.openxmlformats.org/officeDocument/2006/relationships/hyperlink"/><Relationship Id="rId31" Target="http%3A%2F%2Fdx.doi.org%2F10.3390%2Fbiomechanics6010023" TargetMode="External" Type="http://schemas.openxmlformats.org/officeDocument/2006/relationships/hyperlink"/><Relationship Id="rId32" Target="https%3A%2F%2Fwww.webofscience.com%2Fwos%2Fwoscc%2Ffull-record%2FWOS%3A001725724200001" TargetMode="External" Type="http://schemas.openxmlformats.org/officeDocument/2006/relationships/hyperlink"/><Relationship Id="rId33" Target="http%3A%2F%2Fdx.doi.org%2F10.14309%2Fajg.0000000000003944" TargetMode="External" Type="http://schemas.openxmlformats.org/officeDocument/2006/relationships/hyperlink"/><Relationship Id="rId34" Target="https%3A%2F%2Fwww.webofscience.com%2Fwos%2Fwoscc%2Ffull-record%2FWOS%3A001735069500037" TargetMode="External" Type="http://schemas.openxmlformats.org/officeDocument/2006/relationships/hyperlink"/><Relationship Id="rId35" Target="http%3A%2F%2Fdx.doi.org%2F10.1111%2Finr.70174" TargetMode="External" Type="http://schemas.openxmlformats.org/officeDocument/2006/relationships/hyperlink"/><Relationship Id="rId36" Target="https%3A%2F%2Fwww.webofscience.com%2Fwos%2Fwoscc%2Ffull-record%2FWOS%3A001723761100010" TargetMode="External" Type="http://schemas.openxmlformats.org/officeDocument/2006/relationships/hyperlink"/><Relationship Id="rId37" Target="http%3A%2F%2Fdx.doi.org%2F10.1109%2FACCESS.2025.3647479" TargetMode="External" Type="http://schemas.openxmlformats.org/officeDocument/2006/relationships/hyperlink"/><Relationship Id="rId38" Target="https%3A%2F%2Fwww.webofscience.com%2Fwos%2Fwoscc%2Ffull-record%2FWOS%3A001655714700001" TargetMode="External" Type="http://schemas.openxmlformats.org/officeDocument/2006/relationships/hyperlink"/><Relationship Id="rId39" Target="http%3A%2F%2Fdx.doi.org%2F10.3389%2Ffpubh.2026.1879677" TargetMode="External" Type="http://schemas.openxmlformats.org/officeDocument/2006/relationships/hyperlink"/><Relationship Id="rId4" Target="https%3A%2F%2Fwww.webofscience.com%2Fwos%2Fwoscc%2Ffull-record%2FWOS%3A001121773300001" TargetMode="External" Type="http://schemas.openxmlformats.org/officeDocument/2006/relationships/hyperlink"/><Relationship Id="rId40" Target="https%3A%2F%2Fwww.webofscience.com%2Fwos%2Fwoscc%2Ffull-record%2FWOS%3A001834216900001" TargetMode="External" Type="http://schemas.openxmlformats.org/officeDocument/2006/relationships/hyperlink"/><Relationship Id="rId41" Target="http%3A%2F%2Fdx.doi.org%2F10.1155%2Fjonm%2F5338801" TargetMode="External" Type="http://schemas.openxmlformats.org/officeDocument/2006/relationships/hyperlink"/><Relationship Id="rId42" Target="https%3A%2F%2Fwww.webofscience.com%2Fwos%2Fwoscc%2Ffull-record%2FWOS%3A001827843100001" TargetMode="External" Type="http://schemas.openxmlformats.org/officeDocument/2006/relationships/hyperlink"/><Relationship Id="rId43" Target="http%3A%2F%2Fdx.doi.org%2F10.1080%2F15313220.2026.2640913" TargetMode="External" Type="http://schemas.openxmlformats.org/officeDocument/2006/relationships/hyperlink"/><Relationship Id="rId44" Target="https%3A%2F%2Fwww.webofscience.com%2Fwos%2Fwoscc%2Ffull-record%2FWOS%3A001772246100001" TargetMode="External" Type="http://schemas.openxmlformats.org/officeDocument/2006/relationships/hyperlink"/><Relationship Id="rId45" Target="http%3A%2F%2Fdx.doi.org%2F10.1080%2F19368623.2025.2458603" TargetMode="External" Type="http://schemas.openxmlformats.org/officeDocument/2006/relationships/hyperlink"/><Relationship Id="rId46" Target="https%3A%2F%2Fwww.webofscience.com%2Fwos%2Fwoscc%2Ffull-record%2FWOS%3A001409569100001" TargetMode="External" Type="http://schemas.openxmlformats.org/officeDocument/2006/relationships/hyperlink"/><Relationship Id="rId47" Target="http%3A%2F%2Fdx.doi.org%2F10.1080%2F1369118X.2025.2590550" TargetMode="External" Type="http://schemas.openxmlformats.org/officeDocument/2006/relationships/hyperlink"/><Relationship Id="rId48" Target="https%3A%2F%2Fwww.webofscience.com%2Fwos%2Fwoscc%2Ffull-record%2FWOS%3A001621131900001" TargetMode="External" Type="http://schemas.openxmlformats.org/officeDocument/2006/relationships/hyperlink"/><Relationship Id="rId49" Target="http%3A%2F%2Fdx.doi.org%2F10.1177%2F02537176251357477" TargetMode="External" Type="http://schemas.openxmlformats.org/officeDocument/2006/relationships/hyperlink"/><Relationship Id="rId5" Target="http%3A%2F%2Fdx.doi.org%2F10.3390%2Fsu172411200" TargetMode="External" Type="http://schemas.openxmlformats.org/officeDocument/2006/relationships/hyperlink"/><Relationship Id="rId50" Target="https%3A%2F%2Fwww.webofscience.com%2Fwos%2Fwoscc%2Ffull-record%2FWOS%3A001530944400001" TargetMode="External" Type="http://schemas.openxmlformats.org/officeDocument/2006/relationships/hyperlink"/><Relationship Id="rId51" Target="http%3A%2F%2Fdx.doi.org%2F10.3390%2Fnursrep15020068" TargetMode="External" Type="http://schemas.openxmlformats.org/officeDocument/2006/relationships/hyperlink"/><Relationship Id="rId52" Target="https%3A%2F%2Fwww.webofscience.com%2Fwos%2Fwoscc%2Ffull-record%2FWOS%3A001431985600001" TargetMode="External" Type="http://schemas.openxmlformats.org/officeDocument/2006/relationships/hyperlink"/><Relationship Id="rId53" Target="http%3A%2F%2Fdx.doi.org%2F10.1111%2Feje.13074" TargetMode="External" Type="http://schemas.openxmlformats.org/officeDocument/2006/relationships/hyperlink"/><Relationship Id="rId54" Target="https%3A%2F%2Fwww.webofscience.com%2Fwos%2Fwoscc%2Ffull-record%2FWOS%3A001410290700001" TargetMode="External" Type="http://schemas.openxmlformats.org/officeDocument/2006/relationships/hyperlink"/><Relationship Id="rId55" Target="http%3A%2F%2Fdx.doi.org%2F10.2196%2F74202" TargetMode="External" Type="http://schemas.openxmlformats.org/officeDocument/2006/relationships/hyperlink"/><Relationship Id="rId56" Target="https%3A%2F%2Fwww.webofscience.com%2Fwos%2Fwoscc%2Ffull-record%2FWOS%3A001842142000001" TargetMode="External" Type="http://schemas.openxmlformats.org/officeDocument/2006/relationships/hyperlink"/><Relationship Id="rId57" Target="http%3A%2F%2Fdx.doi.org%2F10.3390%2Fsu17198903" TargetMode="External" Type="http://schemas.openxmlformats.org/officeDocument/2006/relationships/hyperlink"/><Relationship Id="rId58" Target="https%3A%2F%2Fwww.webofscience.com%2Fwos%2Fwoscc%2Ffull-record%2FWOS%3A001593868000001" TargetMode="External" Type="http://schemas.openxmlformats.org/officeDocument/2006/relationships/hyperlink"/><Relationship Id="rId59" Target="http%3A%2F%2Fdx.doi.org%2F10.1109%2FACCESS.2026.3698020" TargetMode="External" Type="http://schemas.openxmlformats.org/officeDocument/2006/relationships/hyperlink"/><Relationship Id="rId6" Target="https%3A%2F%2Fwww.webofscience.com%2Fwos%2Fwoscc%2Ffull-record%2FWOS%3A001647274300001" TargetMode="External" Type="http://schemas.openxmlformats.org/officeDocument/2006/relationships/hyperlink"/><Relationship Id="rId60" Target="https%3A%2F%2Fwww.webofscience.com%2Fwos%2Fwoscc%2Ffull-record%2FWOS%3A001807913200012" TargetMode="External" Type="http://schemas.openxmlformats.org/officeDocument/2006/relationships/hyperlink"/><Relationship Id="rId61" Target="http%3A%2F%2Fdx.doi.org%2F10.1080%2F10872981.2026.2684837" TargetMode="External" Type="http://schemas.openxmlformats.org/officeDocument/2006/relationships/hyperlink"/><Relationship Id="rId62" Target="https%3A%2F%2Fwww.webofscience.com%2Fwos%2Fwoscc%2Ffull-record%2FWOS%3A001816065100001" TargetMode="External" Type="http://schemas.openxmlformats.org/officeDocument/2006/relationships/hyperlink"/><Relationship Id="rId63" Target="http%3A%2F%2Fdx.doi.org%2F10.2196%2F82988" TargetMode="External" Type="http://schemas.openxmlformats.org/officeDocument/2006/relationships/hyperlink"/><Relationship Id="rId64" Target="https%3A%2F%2Fwww.webofscience.com%2Fwos%2Fwoscc%2Ffull-record%2FWOS%3A001735947700001" TargetMode="External" Type="http://schemas.openxmlformats.org/officeDocument/2006/relationships/hyperlink"/><Relationship Id="rId65" Target="http%3A%2F%2Fdx.doi.org%2F10.1177%2F09697330241296874" TargetMode="External" Type="http://schemas.openxmlformats.org/officeDocument/2006/relationships/hyperlink"/><Relationship Id="rId66" Target="https%3A%2F%2Fwww.webofscience.com%2Fwos%2Fwoscc%2Ffull-record%2FWOS%3A001356712400001" TargetMode="External" Type="http://schemas.openxmlformats.org/officeDocument/2006/relationships/hyperlink"/><Relationship Id="rId67" Target="http%3A%2F%2Fdx.doi.org%2F10.1108%2FMRJIAM-09-2025-1813" TargetMode="External" Type="http://schemas.openxmlformats.org/officeDocument/2006/relationships/hyperlink"/><Relationship Id="rId68" Target="https%3A%2F%2Fwww.webofscience.com%2Fwos%2Fwoscc%2Ffull-record%2FWOS%3A001685312500001" TargetMode="External" Type="http://schemas.openxmlformats.org/officeDocument/2006/relationships/hyperlink"/><Relationship Id="rId69" Target="http%3A%2F%2Fdx.doi.org%2F10.1016%2Fj.outlook.2026.102808" TargetMode="External" Type="http://schemas.openxmlformats.org/officeDocument/2006/relationships/hyperlink"/><Relationship Id="rId7" Target="http%3A%2F%2Fdx.doi.org%2F10.3390%2Fbrainsci15090954" TargetMode="External" Type="http://schemas.openxmlformats.org/officeDocument/2006/relationships/hyperlink"/><Relationship Id="rId70" Target="https%3A%2F%2Fwww.webofscience.com%2Fwos%2Fwoscc%2Ffull-record%2FWOS%3A001786546400001" TargetMode="External" Type="http://schemas.openxmlformats.org/officeDocument/2006/relationships/hyperlink"/><Relationship Id="rId71" Target="http%3A%2F%2Fdx.doi.org%2F10.12659%2FMSM.944993" TargetMode="External" Type="http://schemas.openxmlformats.org/officeDocument/2006/relationships/hyperlink"/><Relationship Id="rId72" Target="https%3A%2F%2Fwww.webofscience.com%2Fwos%2Fwoscc%2Ffull-record%2FWOS%3A001266510600002" TargetMode="External" Type="http://schemas.openxmlformats.org/officeDocument/2006/relationships/hyperlink"/><Relationship Id="rId73" Target="http%3A%2F%2Fdx.doi.org%2F10.1007%2Fs00784-026-07020-5" TargetMode="External" Type="http://schemas.openxmlformats.org/officeDocument/2006/relationships/hyperlink"/><Relationship Id="rId74" Target="https%3A%2F%2Fwww.webofscience.com%2Fwos%2Fwoscc%2Ffull-record%2FWOS%3A001824433900001" TargetMode="External" Type="http://schemas.openxmlformats.org/officeDocument/2006/relationships/hyperlink"/><Relationship Id="rId75" Target="http%3A%2F%2Fdx.doi.org%2F10.1016%2Fj.msard.2023.104846" TargetMode="External" Type="http://schemas.openxmlformats.org/officeDocument/2006/relationships/hyperlink"/><Relationship Id="rId76" Target="https%3A%2F%2Fwww.webofscience.com%2Fwos%2Fwoscc%2Ffull-record%2FWOS%3A001039417400001" TargetMode="External" Type="http://schemas.openxmlformats.org/officeDocument/2006/relationships/hyperlink"/><Relationship Id="rId77" Target="http%3A%2F%2Fdx.doi.org%2F10.1108%2FTR-07-2025-0740" TargetMode="External" Type="http://schemas.openxmlformats.org/officeDocument/2006/relationships/hyperlink"/><Relationship Id="rId78" Target="https%3A%2F%2Fwww.webofscience.com%2Fwos%2Fwoscc%2Ffull-record%2FWOS%3A001699051800001" TargetMode="External" Type="http://schemas.openxmlformats.org/officeDocument/2006/relationships/hyperlink"/><Relationship Id="rId79" Target="http%3A%2F%2Fdx.doi.org%2F10.2196%2F38168" TargetMode="External" Type="http://schemas.openxmlformats.org/officeDocument/2006/relationships/hyperlink"/><Relationship Id="rId8" Target="https%3A%2F%2Fwww.webofscience.com%2Fwos%2Fwoscc%2Ffull-record%2FWOS%3A001580329100001" TargetMode="External" Type="http://schemas.openxmlformats.org/officeDocument/2006/relationships/hyperlink"/><Relationship Id="rId80" Target="https%3A%2F%2Fwww.webofscience.com%2Fwos%2Fwoscc%2Ffull-record%2FWOS%3A000892552700010" TargetMode="External" Type="http://schemas.openxmlformats.org/officeDocument/2006/relationships/hyperlink"/><Relationship Id="rId81" Target="http%3A%2F%2Fdx.doi.org%2F10.2196%2F84315" TargetMode="External" Type="http://schemas.openxmlformats.org/officeDocument/2006/relationships/hyperlink"/><Relationship Id="rId82" Target="https%3A%2F%2Fwww.webofscience.com%2Fwos%2Fwoscc%2Ffull-record%2FWOS%3A001792108900001" TargetMode="External" Type="http://schemas.openxmlformats.org/officeDocument/2006/relationships/hyperlink"/><Relationship Id="rId83" Target="http%3A%2F%2Fdx.doi.org%2F10.29228%2Fjrp.2022.00" TargetMode="External" Type="http://schemas.openxmlformats.org/officeDocument/2006/relationships/hyperlink"/><Relationship Id="rId84" Target="https%3A%2F%2Fwww.webofscience.com%2Fwos%2Fwoscc%2Ffull-record%2FWOS%3A001845114800011" TargetMode="External" Type="http://schemas.openxmlformats.org/officeDocument/2006/relationships/hyperlink"/><Relationship Id="rId85" Target="http%3A%2F%2Fdx.doi.org%2F10.12991%2Fjrespharm.1940300" TargetMode="External" Type="http://schemas.openxmlformats.org/officeDocument/2006/relationships/hyperlink"/><Relationship Id="rId86" Target="https%3A%2F%2Fwww.webofscience.com%2Fwos%2Fwoscc%2Ffull-record%2FWOS%3A001845114800010" TargetMode="External" Type="http://schemas.openxmlformats.org/officeDocument/2006/relationships/hyperlink"/><Relationship Id="rId87" Target="http%3A%2F%2Fdx.doi.org%2F10.1093%2Fjamiaopen%2Fooaf101" TargetMode="External" Type="http://schemas.openxmlformats.org/officeDocument/2006/relationships/hyperlink"/><Relationship Id="rId88" Target="https%3A%2F%2Fwww.webofscience.com%2Fwos%2Fwoscc%2Ffull-record%2FWOS%3A001596688800001" TargetMode="External" Type="http://schemas.openxmlformats.org/officeDocument/2006/relationships/hyperlink"/><Relationship Id="rId89" Target="http%3A%2F%2Fdx.doi.org%2F10.2196%2F84378" TargetMode="External" Type="http://schemas.openxmlformats.org/officeDocument/2006/relationships/hyperlink"/><Relationship Id="rId9" Target="http%3A%2F%2Fdx.doi.org%2F10.1016%2Fj.electacta.2026.148581" TargetMode="External" Type="http://schemas.openxmlformats.org/officeDocument/2006/relationships/hyperlink"/><Relationship Id="rId90" Target="https%3A%2F%2Fwww.webofscience.com%2Fwos%2Fwoscc%2Ffull-record%2FWOS%3A001849559100001" TargetMode="External" Type="http://schemas.openxmlformats.org/officeDocument/2006/relationships/hyperlink"/><Relationship Id="rId91" Target="http%3A%2F%2Fdx.doi.org%2F10.2196%2F73710" TargetMode="External" Type="http://schemas.openxmlformats.org/officeDocument/2006/relationships/hyperlink"/><Relationship Id="rId92" Target="https%3A%2F%2Fwww.webofscience.com%2Fwos%2Fwoscc%2Ffull-record%2FWOS%3A001614917400008" TargetMode="External" Type="http://schemas.openxmlformats.org/officeDocument/2006/relationships/hyperlink"/><Relationship Id="rId93" Target="http%3A%2F%2Fdx.doi.org%2F10.2174%2F0118742106363413250211053942" TargetMode="External" Type="http://schemas.openxmlformats.org/officeDocument/2006/relationships/hyperlink"/><Relationship Id="rId94" Target="https%3A%2F%2Fwww.webofscience.com%2Fwos%2Fwoscc%2Ffull-record%2FWOS%3A001447583800002" TargetMode="External" Type="http://schemas.openxmlformats.org/officeDocument/2006/relationships/hyperlink"/><Relationship Id="rId95" Target="http%3A%2F%2Fdx.doi.org%2F10.2196%2F92817" TargetMode="External" Type="http://schemas.openxmlformats.org/officeDocument/2006/relationships/hyperlink"/><Relationship Id="rId96" Target="https%3A%2F%2Fwww.webofscience.com%2Fwos%2Fwoscc%2Ffull-record%2FWOS%3A001820317800001" TargetMode="External" Type="http://schemas.openxmlformats.org/officeDocument/2006/relationships/hyperlink"/><Relationship Id="rId97" Target="http%3A%2F%2Fdx.doi.org%2F10.3390%2Fcancers14194704" TargetMode="External" Type="http://schemas.openxmlformats.org/officeDocument/2006/relationships/hyperlink"/><Relationship Id="rId98" Target="https%3A%2F%2Fwww.webofscience.com%2Fwos%2Fwoscc%2Ffull-record%2FWOS%3A000868066400001" TargetMode="External" Type="http://schemas.openxmlformats.org/officeDocument/2006/relationships/hyperlink"/><Relationship Id="rId99" Target="http%3A%2F%2Fdx.doi.org%2F10.1108%2FIJCHM-01-2026-0006"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BY62"/>
  <sheetViews>
    <sheetView workbookViewId="0" tabSelected="true">
      <pane ySplit="1.0" state="frozen" topLeftCell="A2" activePane="bottomLeft"/>
      <selection pane="bottomLeft"/>
    </sheetView>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row>
    <row r="2">
      <c r="A2" t="s" s="0">
        <v>77</v>
      </c>
      <c r="B2" t="s" s="0">
        <v>77</v>
      </c>
      <c r="C2" t="s" s="0">
        <v>77</v>
      </c>
      <c r="D2" t="s" s="0">
        <v>77</v>
      </c>
      <c r="E2" t="s" s="0">
        <v>78</v>
      </c>
      <c r="F2" t="s" s="0">
        <v>79</v>
      </c>
      <c r="G2" t="s" s="0">
        <v>80</v>
      </c>
      <c r="H2" t="s" s="0">
        <v>81</v>
      </c>
      <c r="I2" t="s" s="0">
        <v>82</v>
      </c>
      <c r="J2" t="s" s="0">
        <v>83</v>
      </c>
      <c r="K2" t="s" s="0">
        <v>84</v>
      </c>
      <c r="L2" t="s" s="0">
        <v>81</v>
      </c>
      <c r="M2" t="s" s="0">
        <v>81</v>
      </c>
      <c r="N2" t="s" s="0">
        <v>81</v>
      </c>
      <c r="O2" t="s" s="0">
        <v>85</v>
      </c>
      <c r="P2" t="s" s="0">
        <v>86</v>
      </c>
      <c r="Q2" t="s" s="0">
        <v>87</v>
      </c>
      <c r="R2" t="s" s="0">
        <v>81</v>
      </c>
      <c r="S2" t="s" s="0">
        <v>81</v>
      </c>
      <c r="T2" t="s" s="0">
        <v>81</v>
      </c>
      <c r="U2" t="s" s="0">
        <v>81</v>
      </c>
      <c r="V2" t="s" s="0">
        <v>88</v>
      </c>
      <c r="W2" t="s" s="0">
        <v>89</v>
      </c>
      <c r="X2" t="s" s="0">
        <v>81</v>
      </c>
      <c r="Y2" t="s" s="0">
        <v>81</v>
      </c>
      <c r="Z2" t="s" s="0">
        <v>90</v>
      </c>
      <c r="AA2" t="s" s="0">
        <v>91</v>
      </c>
      <c r="AB2" t="s" s="0">
        <v>81</v>
      </c>
      <c r="AC2" t="s" s="0">
        <v>81</v>
      </c>
      <c r="AD2" t="s" s="0">
        <v>81</v>
      </c>
      <c r="AE2" t="s" s="0">
        <v>81</v>
      </c>
      <c r="AF2" t="s" s="0">
        <v>81</v>
      </c>
      <c r="AG2" t="s" s="0">
        <v>92</v>
      </c>
      <c r="AH2" t="s" s="0">
        <v>93</v>
      </c>
      <c r="AI2" t="s" s="0">
        <v>81</v>
      </c>
      <c r="AJ2" t="s" s="0">
        <v>81</v>
      </c>
      <c r="AK2" t="s" s="0">
        <v>81</v>
      </c>
      <c r="AL2" t="s" s="0">
        <v>94</v>
      </c>
      <c r="AM2" t="s" s="0">
        <v>95</v>
      </c>
      <c r="AN2" t="s" s="0">
        <v>95</v>
      </c>
      <c r="AO2" t="s" s="0">
        <v>96</v>
      </c>
      <c r="AP2" t="s" s="0">
        <v>96</v>
      </c>
      <c r="AQ2" t="s" s="0">
        <v>97</v>
      </c>
      <c r="AR2" t="s" s="0">
        <v>98</v>
      </c>
      <c r="AS2" t="s" s="0">
        <v>99</v>
      </c>
      <c r="AT2" t="s" s="0">
        <v>100</v>
      </c>
      <c r="AU2" t="s" s="0">
        <v>101</v>
      </c>
      <c r="AV2" t="s" s="0">
        <v>81</v>
      </c>
      <c r="AW2" t="s" s="0">
        <v>102</v>
      </c>
      <c r="AX2" t="s" s="0">
        <v>103</v>
      </c>
      <c r="AY2" t="s" s="0">
        <v>104</v>
      </c>
      <c r="AZ2" t="s" s="0">
        <v>105</v>
      </c>
      <c r="BA2" t="s" s="0">
        <v>106</v>
      </c>
      <c r="BB2" t="s" s="0">
        <v>81</v>
      </c>
      <c r="BC2" t="s" s="0">
        <v>81</v>
      </c>
      <c r="BD2" t="s" s="0">
        <v>81</v>
      </c>
      <c r="BE2" t="s" s="0">
        <v>107</v>
      </c>
      <c r="BF2" t="s" s="0">
        <v>81</v>
      </c>
      <c r="BG2" t="s" s="0">
        <v>108</v>
      </c>
      <c r="BH2" t="s" s="0">
        <v>109</v>
      </c>
      <c r="BI2" t="s" s="0">
        <v>81</v>
      </c>
      <c r="BJ2" t="s" s="0">
        <v>110</v>
      </c>
      <c r="BK2" t="s" s="1">
        <f>HYPERLINK("http://dx.doi.org/10.29063/ajrh2025/v29i12s.10","http://dx.doi.org/10.29063/ajrh2025/v29i12s.10")</f>
        <v>111</v>
      </c>
      <c r="BL2" t="s" s="0">
        <v>81</v>
      </c>
      <c r="BM2" t="s" s="0">
        <v>81</v>
      </c>
      <c r="BN2" t="s" s="0">
        <v>112</v>
      </c>
      <c r="BO2" t="s" s="0">
        <v>113</v>
      </c>
      <c r="BP2" t="s" s="0">
        <v>113</v>
      </c>
      <c r="BQ2" t="s" s="0">
        <v>114</v>
      </c>
      <c r="BR2" t="s" s="0">
        <v>115</v>
      </c>
      <c r="BS2" t="s" s="0">
        <v>116</v>
      </c>
      <c r="BT2" t="s" s="2">
        <f>HYPERLINK("https://www.webofscience.com/wos/woscc/full-record/WOS:001667179800013","View Record in Web of Science")</f>
        <v>117</v>
      </c>
      <c r="BU2" t="s" s="0">
        <v>118</v>
      </c>
      <c r="BV2" t="s" s="0">
        <v>81</v>
      </c>
      <c r="BW2" t="s" s="0">
        <v>81</v>
      </c>
      <c r="BX2" t="s" s="0">
        <v>119</v>
      </c>
    </row>
    <row r="3">
      <c r="A3" t="s" s="0">
        <v>95</v>
      </c>
      <c r="B3" t="s" s="0">
        <v>77</v>
      </c>
      <c r="C3" t="s" s="0">
        <v>77</v>
      </c>
      <c r="D3" t="s" s="0">
        <v>77</v>
      </c>
      <c r="E3" t="s" s="0">
        <v>120</v>
      </c>
      <c r="F3" t="s" s="0">
        <v>121</v>
      </c>
      <c r="G3" t="s" s="0">
        <v>122</v>
      </c>
      <c r="H3" t="s" s="0">
        <v>81</v>
      </c>
      <c r="I3" t="s" s="0">
        <v>123</v>
      </c>
      <c r="J3" t="s" s="0">
        <v>124</v>
      </c>
      <c r="K3" t="s" s="0">
        <v>125</v>
      </c>
      <c r="L3" t="s" s="0">
        <v>126</v>
      </c>
      <c r="M3" t="s" s="0">
        <v>126</v>
      </c>
      <c r="N3" t="s" s="0">
        <v>127</v>
      </c>
      <c r="O3" t="s" s="0">
        <v>128</v>
      </c>
      <c r="P3" t="s" s="0">
        <v>129</v>
      </c>
      <c r="Q3" t="s" s="0">
        <v>87</v>
      </c>
      <c r="R3" t="s" s="0">
        <v>81</v>
      </c>
      <c r="S3" t="s" s="0">
        <v>81</v>
      </c>
      <c r="T3" t="s" s="0">
        <v>81</v>
      </c>
      <c r="U3" t="s" s="0">
        <v>81</v>
      </c>
      <c r="V3" t="s" s="0">
        <v>130</v>
      </c>
      <c r="W3" t="s" s="0">
        <v>131</v>
      </c>
      <c r="X3" t="s" s="0">
        <v>81</v>
      </c>
      <c r="Y3" t="s" s="0">
        <v>81</v>
      </c>
      <c r="Z3" t="s" s="0">
        <v>90</v>
      </c>
      <c r="AA3" t="s" s="0">
        <v>91</v>
      </c>
      <c r="AB3" t="s" s="0">
        <v>81</v>
      </c>
      <c r="AC3" t="s" s="0">
        <v>81</v>
      </c>
      <c r="AD3" t="s" s="0">
        <v>81</v>
      </c>
      <c r="AE3" t="s" s="0">
        <v>81</v>
      </c>
      <c r="AF3" t="s" s="0">
        <v>81</v>
      </c>
      <c r="AG3" t="s" s="0">
        <v>132</v>
      </c>
      <c r="AH3" t="s" s="0">
        <v>133</v>
      </c>
      <c r="AI3" t="s" s="0">
        <v>134</v>
      </c>
      <c r="AJ3" t="s" s="0">
        <v>135</v>
      </c>
      <c r="AK3" t="s" s="0">
        <v>81</v>
      </c>
      <c r="AL3" t="s" s="0">
        <v>136</v>
      </c>
      <c r="AM3" t="s" s="0">
        <v>137</v>
      </c>
      <c r="AN3" t="s" s="0">
        <v>138</v>
      </c>
      <c r="AO3" t="s" s="0">
        <v>96</v>
      </c>
      <c r="AP3" t="s" s="0">
        <v>139</v>
      </c>
      <c r="AQ3" t="s" s="0">
        <v>140</v>
      </c>
      <c r="AR3" t="s" s="0">
        <v>141</v>
      </c>
      <c r="AS3" t="s" s="0">
        <v>142</v>
      </c>
      <c r="AT3" t="s" s="0">
        <v>143</v>
      </c>
      <c r="AU3" t="s" s="0">
        <v>81</v>
      </c>
      <c r="AV3" t="s" s="0">
        <v>81</v>
      </c>
      <c r="AW3" t="s" s="0">
        <v>131</v>
      </c>
      <c r="AX3" t="s" s="0">
        <v>144</v>
      </c>
      <c r="AY3" t="s" s="0">
        <v>145</v>
      </c>
      <c r="AZ3" t="s" s="0">
        <v>145</v>
      </c>
      <c r="BA3" t="s" s="0">
        <v>112</v>
      </c>
      <c r="BB3" t="s" s="0">
        <v>81</v>
      </c>
      <c r="BC3" t="s" s="0">
        <v>81</v>
      </c>
      <c r="BD3" t="s" s="0">
        <v>81</v>
      </c>
      <c r="BE3" t="s" s="0">
        <v>81</v>
      </c>
      <c r="BF3" t="s" s="0">
        <v>81</v>
      </c>
      <c r="BG3" t="s" s="0">
        <v>146</v>
      </c>
      <c r="BH3" t="s" s="0">
        <v>147</v>
      </c>
      <c r="BI3" t="s" s="0">
        <v>81</v>
      </c>
      <c r="BJ3" t="s" s="0">
        <v>148</v>
      </c>
      <c r="BK3" t="s" s="3">
        <f>HYPERLINK("http://dx.doi.org/10.1109/ACCESS.2023.3321118","http://dx.doi.org/10.1109/ACCESS.2023.3321118")</f>
        <v>149</v>
      </c>
      <c r="BL3" t="s" s="0">
        <v>81</v>
      </c>
      <c r="BM3" t="s" s="0">
        <v>81</v>
      </c>
      <c r="BN3" t="s" s="0">
        <v>150</v>
      </c>
      <c r="BO3" t="s" s="0">
        <v>151</v>
      </c>
      <c r="BP3" t="s" s="0">
        <v>152</v>
      </c>
      <c r="BQ3" t="s" s="0">
        <v>153</v>
      </c>
      <c r="BR3" t="s" s="0">
        <v>81</v>
      </c>
      <c r="BS3" t="s" s="0">
        <v>154</v>
      </c>
      <c r="BT3" t="s" s="4">
        <f>HYPERLINK("https://www.webofscience.com/wos/woscc/full-record/WOS:001121773300001","View Record in Web of Science")</f>
        <v>117</v>
      </c>
      <c r="BU3" t="s" s="0">
        <v>155</v>
      </c>
      <c r="BV3" t="s" s="0">
        <v>81</v>
      </c>
      <c r="BW3" t="s" s="0">
        <v>81</v>
      </c>
      <c r="BX3" t="s" s="0">
        <v>119</v>
      </c>
    </row>
    <row r="4">
      <c r="A4" t="s" s="0">
        <v>77</v>
      </c>
      <c r="B4" t="s" s="0">
        <v>77</v>
      </c>
      <c r="C4" t="s" s="0">
        <v>77</v>
      </c>
      <c r="D4" t="s" s="0">
        <v>77</v>
      </c>
      <c r="E4" t="s" s="0">
        <v>156</v>
      </c>
      <c r="F4" t="s" s="0">
        <v>157</v>
      </c>
      <c r="G4" t="s" s="0">
        <v>158</v>
      </c>
      <c r="H4" t="s" s="0">
        <v>81</v>
      </c>
      <c r="I4" t="s" s="0">
        <v>159</v>
      </c>
      <c r="J4" t="s" s="0">
        <v>160</v>
      </c>
      <c r="K4" t="s" s="0">
        <v>161</v>
      </c>
      <c r="L4" t="s" s="0">
        <v>81</v>
      </c>
      <c r="M4" t="s" s="0">
        <v>81</v>
      </c>
      <c r="N4" t="s" s="0">
        <v>81</v>
      </c>
      <c r="O4" t="s" s="0">
        <v>162</v>
      </c>
      <c r="P4" t="s" s="0">
        <v>163</v>
      </c>
      <c r="Q4" t="s" s="0">
        <v>87</v>
      </c>
      <c r="R4" t="s" s="0">
        <v>81</v>
      </c>
      <c r="S4" t="s" s="0">
        <v>81</v>
      </c>
      <c r="T4" t="s" s="0">
        <v>81</v>
      </c>
      <c r="U4" t="s" s="0">
        <v>81</v>
      </c>
      <c r="V4" t="s" s="0">
        <v>164</v>
      </c>
      <c r="W4" t="s" s="0">
        <v>165</v>
      </c>
      <c r="X4" t="s" s="0">
        <v>81</v>
      </c>
      <c r="Y4" t="s" s="0">
        <v>81</v>
      </c>
      <c r="Z4" t="s" s="0">
        <v>90</v>
      </c>
      <c r="AA4" t="s" s="0">
        <v>91</v>
      </c>
      <c r="AB4" t="s" s="0">
        <v>81</v>
      </c>
      <c r="AC4" t="s" s="0">
        <v>81</v>
      </c>
      <c r="AD4" t="s" s="0">
        <v>81</v>
      </c>
      <c r="AE4" t="s" s="0">
        <v>81</v>
      </c>
      <c r="AF4" t="s" s="0">
        <v>81</v>
      </c>
      <c r="AG4" t="s" s="0">
        <v>166</v>
      </c>
      <c r="AH4" t="s" s="0">
        <v>167</v>
      </c>
      <c r="AI4" t="s" s="0">
        <v>168</v>
      </c>
      <c r="AJ4" t="s" s="0">
        <v>169</v>
      </c>
      <c r="AK4" t="s" s="0">
        <v>81</v>
      </c>
      <c r="AL4" t="s" s="0">
        <v>170</v>
      </c>
      <c r="AM4" t="s" s="0">
        <v>96</v>
      </c>
      <c r="AN4" t="s" s="0">
        <v>171</v>
      </c>
      <c r="AO4" t="s" s="0">
        <v>172</v>
      </c>
      <c r="AP4" t="s" s="0">
        <v>173</v>
      </c>
      <c r="AQ4" t="s" s="0">
        <v>174</v>
      </c>
      <c r="AR4" t="s" s="0">
        <v>175</v>
      </c>
      <c r="AS4" t="s" s="0">
        <v>176</v>
      </c>
      <c r="AT4" t="s" s="0">
        <v>81</v>
      </c>
      <c r="AU4" t="s" s="0">
        <v>177</v>
      </c>
      <c r="AV4" t="s" s="0">
        <v>81</v>
      </c>
      <c r="AW4" t="s" s="0">
        <v>178</v>
      </c>
      <c r="AX4" t="s" s="0">
        <v>179</v>
      </c>
      <c r="AY4" t="s" s="0">
        <v>180</v>
      </c>
      <c r="AZ4" t="s" s="0">
        <v>105</v>
      </c>
      <c r="BA4" t="s" s="0">
        <v>181</v>
      </c>
      <c r="BB4" t="s" s="0">
        <v>182</v>
      </c>
      <c r="BC4" t="s" s="0">
        <v>81</v>
      </c>
      <c r="BD4" t="s" s="0">
        <v>81</v>
      </c>
      <c r="BE4" t="s" s="0">
        <v>81</v>
      </c>
      <c r="BF4" t="s" s="0">
        <v>81</v>
      </c>
      <c r="BG4" t="s" s="0">
        <v>81</v>
      </c>
      <c r="BH4" t="s" s="0">
        <v>81</v>
      </c>
      <c r="BI4" t="s" s="0">
        <v>183</v>
      </c>
      <c r="BJ4" t="s" s="0">
        <v>184</v>
      </c>
      <c r="BK4" t="s" s="5">
        <f>HYPERLINK("http://dx.doi.org/10.3390/su172411200","http://dx.doi.org/10.3390/su172411200")</f>
        <v>185</v>
      </c>
      <c r="BL4" t="s" s="0">
        <v>81</v>
      </c>
      <c r="BM4" t="s" s="0">
        <v>81</v>
      </c>
      <c r="BN4" t="s" s="0">
        <v>186</v>
      </c>
      <c r="BO4" t="s" s="0">
        <v>187</v>
      </c>
      <c r="BP4" t="s" s="0">
        <v>188</v>
      </c>
      <c r="BQ4" t="s" s="0">
        <v>189</v>
      </c>
      <c r="BR4" t="s" s="0">
        <v>81</v>
      </c>
      <c r="BS4" t="s" s="0">
        <v>190</v>
      </c>
      <c r="BT4" t="s" s="6">
        <f>HYPERLINK("https://www.webofscience.com/wos/woscc/full-record/WOS:001647274300001","View Record in Web of Science")</f>
        <v>117</v>
      </c>
      <c r="BU4" t="s" s="0">
        <v>155</v>
      </c>
      <c r="BV4" t="s" s="0">
        <v>81</v>
      </c>
      <c r="BW4" t="s" s="0">
        <v>81</v>
      </c>
      <c r="BX4" t="s" s="0">
        <v>119</v>
      </c>
    </row>
    <row r="5">
      <c r="A5" t="s" s="0">
        <v>77</v>
      </c>
      <c r="B5" t="s" s="0">
        <v>77</v>
      </c>
      <c r="C5" t="s" s="0">
        <v>77</v>
      </c>
      <c r="D5" t="s" s="0">
        <v>77</v>
      </c>
      <c r="E5" t="s" s="0">
        <v>191</v>
      </c>
      <c r="F5" t="s" s="0">
        <v>192</v>
      </c>
      <c r="G5" t="s" s="0">
        <v>193</v>
      </c>
      <c r="H5" t="s" s="0">
        <v>81</v>
      </c>
      <c r="I5" t="s" s="0">
        <v>123</v>
      </c>
      <c r="J5" t="s" s="0">
        <v>194</v>
      </c>
      <c r="K5" t="s" s="0">
        <v>195</v>
      </c>
      <c r="L5" t="s" s="0">
        <v>196</v>
      </c>
      <c r="M5" t="s" s="0">
        <v>197</v>
      </c>
      <c r="N5" t="s" s="0">
        <v>198</v>
      </c>
      <c r="O5" t="s" s="0">
        <v>199</v>
      </c>
      <c r="P5" t="s" s="0">
        <v>200</v>
      </c>
      <c r="Q5" t="s" s="0">
        <v>87</v>
      </c>
      <c r="R5" t="s" s="0">
        <v>81</v>
      </c>
      <c r="S5" t="s" s="0">
        <v>81</v>
      </c>
      <c r="T5" t="s" s="0">
        <v>81</v>
      </c>
      <c r="U5" t="s" s="0">
        <v>81</v>
      </c>
      <c r="V5" t="s" s="0">
        <v>201</v>
      </c>
      <c r="W5" t="s" s="0">
        <v>202</v>
      </c>
      <c r="X5" t="s" s="0">
        <v>81</v>
      </c>
      <c r="Y5" t="s" s="0">
        <v>81</v>
      </c>
      <c r="Z5" t="s" s="0">
        <v>90</v>
      </c>
      <c r="AA5" t="s" s="0">
        <v>91</v>
      </c>
      <c r="AB5" t="s" s="0">
        <v>81</v>
      </c>
      <c r="AC5" t="s" s="0">
        <v>81</v>
      </c>
      <c r="AD5" t="s" s="0">
        <v>81</v>
      </c>
      <c r="AE5" t="s" s="0">
        <v>81</v>
      </c>
      <c r="AF5" t="s" s="0">
        <v>81</v>
      </c>
      <c r="AG5" t="s" s="0">
        <v>203</v>
      </c>
      <c r="AH5" t="s" s="0">
        <v>204</v>
      </c>
      <c r="AI5" t="s" s="0">
        <v>205</v>
      </c>
      <c r="AJ5" t="s" s="0">
        <v>206</v>
      </c>
      <c r="AK5" t="s" s="0">
        <v>81</v>
      </c>
      <c r="AL5" t="s" s="0">
        <v>207</v>
      </c>
      <c r="AM5" t="s" s="0">
        <v>95</v>
      </c>
      <c r="AN5" t="s" s="0">
        <v>95</v>
      </c>
      <c r="AO5" t="s" s="0">
        <v>77</v>
      </c>
      <c r="AP5" t="s" s="0">
        <v>96</v>
      </c>
      <c r="AQ5" t="s" s="0">
        <v>174</v>
      </c>
      <c r="AR5" t="s" s="0">
        <v>175</v>
      </c>
      <c r="AS5" t="s" s="0">
        <v>176</v>
      </c>
      <c r="AT5" t="s" s="0">
        <v>81</v>
      </c>
      <c r="AU5" t="s" s="0">
        <v>208</v>
      </c>
      <c r="AV5" t="s" s="0">
        <v>81</v>
      </c>
      <c r="AW5" t="s" s="0">
        <v>209</v>
      </c>
      <c r="AX5" t="s" s="0">
        <v>210</v>
      </c>
      <c r="AY5" t="s" s="0">
        <v>211</v>
      </c>
      <c r="AZ5" t="s" s="0">
        <v>105</v>
      </c>
      <c r="BA5" t="s" s="0">
        <v>212</v>
      </c>
      <c r="BB5" t="s" s="0">
        <v>213</v>
      </c>
      <c r="BC5" t="s" s="0">
        <v>81</v>
      </c>
      <c r="BD5" t="s" s="0">
        <v>81</v>
      </c>
      <c r="BE5" t="s" s="0">
        <v>81</v>
      </c>
      <c r="BF5" t="s" s="0">
        <v>81</v>
      </c>
      <c r="BG5" t="s" s="0">
        <v>81</v>
      </c>
      <c r="BH5" t="s" s="0">
        <v>81</v>
      </c>
      <c r="BI5" t="s" s="0">
        <v>214</v>
      </c>
      <c r="BJ5" t="s" s="0">
        <v>215</v>
      </c>
      <c r="BK5" t="s" s="7">
        <f>HYPERLINK("http://dx.doi.org/10.3390/brainsci15090954","http://dx.doi.org/10.3390/brainsci15090954")</f>
        <v>216</v>
      </c>
      <c r="BL5" t="s" s="0">
        <v>81</v>
      </c>
      <c r="BM5" t="s" s="0">
        <v>81</v>
      </c>
      <c r="BN5" t="s" s="0">
        <v>182</v>
      </c>
      <c r="BO5" t="s" s="0">
        <v>217</v>
      </c>
      <c r="BP5" t="s" s="0">
        <v>218</v>
      </c>
      <c r="BQ5" t="s" s="0">
        <v>219</v>
      </c>
      <c r="BR5" t="s" s="0">
        <v>220</v>
      </c>
      <c r="BS5" t="s" s="0">
        <v>221</v>
      </c>
      <c r="BT5" t="s" s="8">
        <f>HYPERLINK("https://www.webofscience.com/wos/woscc/full-record/WOS:001580329100001","View Record in Web of Science")</f>
        <v>117</v>
      </c>
      <c r="BU5" t="s" s="0">
        <v>155</v>
      </c>
      <c r="BV5" t="s" s="0">
        <v>81</v>
      </c>
      <c r="BW5" t="s" s="0">
        <v>81</v>
      </c>
      <c r="BX5" t="s" s="0">
        <v>119</v>
      </c>
    </row>
    <row r="6">
      <c r="A6" t="s" s="0">
        <v>77</v>
      </c>
      <c r="B6" t="s" s="0">
        <v>77</v>
      </c>
      <c r="C6" t="s" s="0">
        <v>77</v>
      </c>
      <c r="D6" t="s" s="0">
        <v>77</v>
      </c>
      <c r="E6" t="s" s="0">
        <v>222</v>
      </c>
      <c r="F6" t="s" s="0">
        <v>223</v>
      </c>
      <c r="G6" t="s" s="0">
        <v>224</v>
      </c>
      <c r="H6" t="s" s="0">
        <v>81</v>
      </c>
      <c r="I6" t="s" s="0">
        <v>123</v>
      </c>
      <c r="J6" t="s" s="0">
        <v>225</v>
      </c>
      <c r="K6" t="s" s="0">
        <v>226</v>
      </c>
      <c r="L6" t="s" s="0">
        <v>81</v>
      </c>
      <c r="M6" t="s" s="0">
        <v>81</v>
      </c>
      <c r="N6" t="s" s="0">
        <v>81</v>
      </c>
      <c r="O6" t="s" s="0">
        <v>227</v>
      </c>
      <c r="P6" t="s" s="0">
        <v>228</v>
      </c>
      <c r="Q6" t="s" s="0">
        <v>87</v>
      </c>
      <c r="R6" t="s" s="0">
        <v>81</v>
      </c>
      <c r="S6" t="s" s="0">
        <v>81</v>
      </c>
      <c r="T6" t="s" s="0">
        <v>81</v>
      </c>
      <c r="U6" t="s" s="0">
        <v>81</v>
      </c>
      <c r="V6" t="s" s="0">
        <v>229</v>
      </c>
      <c r="W6" t="s" s="0">
        <v>230</v>
      </c>
      <c r="X6" t="s" s="0">
        <v>81</v>
      </c>
      <c r="Y6" t="s" s="0">
        <v>81</v>
      </c>
      <c r="Z6" t="s" s="0">
        <v>90</v>
      </c>
      <c r="AA6" t="s" s="0">
        <v>91</v>
      </c>
      <c r="AB6" t="s" s="0">
        <v>81</v>
      </c>
      <c r="AC6" t="s" s="0">
        <v>81</v>
      </c>
      <c r="AD6" t="s" s="0">
        <v>81</v>
      </c>
      <c r="AE6" t="s" s="0">
        <v>81</v>
      </c>
      <c r="AF6" t="s" s="0">
        <v>81</v>
      </c>
      <c r="AG6" t="s" s="0">
        <v>231</v>
      </c>
      <c r="AH6" t="s" s="0">
        <v>232</v>
      </c>
      <c r="AI6" t="s" s="0">
        <v>233</v>
      </c>
      <c r="AJ6" t="s" s="0">
        <v>234</v>
      </c>
      <c r="AK6" t="s" s="0">
        <v>81</v>
      </c>
      <c r="AL6" t="s" s="0">
        <v>235</v>
      </c>
      <c r="AM6" t="s" s="0">
        <v>77</v>
      </c>
      <c r="AN6" t="s" s="0">
        <v>77</v>
      </c>
      <c r="AO6" t="s" s="0">
        <v>213</v>
      </c>
      <c r="AP6" t="s" s="0">
        <v>213</v>
      </c>
      <c r="AQ6" t="s" s="0">
        <v>236</v>
      </c>
      <c r="AR6" t="s" s="0">
        <v>237</v>
      </c>
      <c r="AS6" t="s" s="0">
        <v>238</v>
      </c>
      <c r="AT6" t="s" s="0">
        <v>239</v>
      </c>
      <c r="AU6" t="s" s="0">
        <v>240</v>
      </c>
      <c r="AV6" t="s" s="0">
        <v>81</v>
      </c>
      <c r="AW6" t="s" s="0">
        <v>241</v>
      </c>
      <c r="AX6" t="s" s="0">
        <v>242</v>
      </c>
      <c r="AY6" t="s" s="0">
        <v>243</v>
      </c>
      <c r="AZ6" t="s" s="0">
        <v>244</v>
      </c>
      <c r="BA6" t="s" s="0">
        <v>245</v>
      </c>
      <c r="BB6" t="s" s="0">
        <v>81</v>
      </c>
      <c r="BC6" t="s" s="0">
        <v>81</v>
      </c>
      <c r="BD6" t="s" s="0">
        <v>81</v>
      </c>
      <c r="BE6" t="s" s="0">
        <v>81</v>
      </c>
      <c r="BF6" t="s" s="0">
        <v>81</v>
      </c>
      <c r="BG6" t="s" s="0">
        <v>81</v>
      </c>
      <c r="BH6" t="s" s="0">
        <v>81</v>
      </c>
      <c r="BI6" t="s" s="0">
        <v>246</v>
      </c>
      <c r="BJ6" t="s" s="0">
        <v>247</v>
      </c>
      <c r="BK6" t="s" s="9">
        <f>HYPERLINK("http://dx.doi.org/10.1016/j.electacta.2026.148581","http://dx.doi.org/10.1016/j.electacta.2026.148581")</f>
        <v>248</v>
      </c>
      <c r="BL6" t="s" s="0">
        <v>81</v>
      </c>
      <c r="BM6" t="s" s="0">
        <v>81</v>
      </c>
      <c r="BN6" t="s" s="0">
        <v>249</v>
      </c>
      <c r="BO6" t="s" s="0">
        <v>250</v>
      </c>
      <c r="BP6" t="s" s="0">
        <v>250</v>
      </c>
      <c r="BQ6" t="s" s="0">
        <v>251</v>
      </c>
      <c r="BR6" t="s" s="0">
        <v>81</v>
      </c>
      <c r="BS6" t="s" s="0">
        <v>252</v>
      </c>
      <c r="BT6" t="s" s="10">
        <f>HYPERLINK("https://www.webofscience.com/wos/woscc/full-record/WOS:001712811300001","View Record in Web of Science")</f>
        <v>117</v>
      </c>
      <c r="BU6" t="s" s="0">
        <v>81</v>
      </c>
      <c r="BV6" t="s" s="0">
        <v>81</v>
      </c>
      <c r="BW6" t="s" s="0">
        <v>81</v>
      </c>
      <c r="BX6" t="s" s="0">
        <v>119</v>
      </c>
    </row>
    <row r="7">
      <c r="A7" t="s" s="0">
        <v>77</v>
      </c>
      <c r="B7" t="s" s="0">
        <v>77</v>
      </c>
      <c r="C7" t="s" s="0">
        <v>77</v>
      </c>
      <c r="D7" t="s" s="0">
        <v>77</v>
      </c>
      <c r="E7" t="s" s="0">
        <v>253</v>
      </c>
      <c r="F7" t="s" s="0">
        <v>254</v>
      </c>
      <c r="G7" t="s" s="0">
        <v>255</v>
      </c>
      <c r="H7" t="s" s="0">
        <v>81</v>
      </c>
      <c r="I7" t="s" s="0">
        <v>123</v>
      </c>
      <c r="J7" t="s" s="0">
        <v>256</v>
      </c>
      <c r="K7" t="s" s="0">
        <v>257</v>
      </c>
      <c r="L7" t="s" s="0">
        <v>81</v>
      </c>
      <c r="M7" t="s" s="0">
        <v>81</v>
      </c>
      <c r="N7" t="s" s="0">
        <v>81</v>
      </c>
      <c r="O7" t="s" s="0">
        <v>258</v>
      </c>
      <c r="P7" t="s" s="0">
        <v>259</v>
      </c>
      <c r="Q7" t="s" s="0">
        <v>87</v>
      </c>
      <c r="R7" t="s" s="0">
        <v>81</v>
      </c>
      <c r="S7" t="s" s="0">
        <v>81</v>
      </c>
      <c r="T7" t="s" s="0">
        <v>81</v>
      </c>
      <c r="U7" t="s" s="0">
        <v>81</v>
      </c>
      <c r="V7" t="s" s="0">
        <v>260</v>
      </c>
      <c r="W7" t="s" s="0">
        <v>261</v>
      </c>
      <c r="X7" t="s" s="0">
        <v>81</v>
      </c>
      <c r="Y7" t="s" s="0">
        <v>81</v>
      </c>
      <c r="Z7" t="s" s="0">
        <v>90</v>
      </c>
      <c r="AA7" t="s" s="0">
        <v>91</v>
      </c>
      <c r="AB7" t="s" s="0">
        <v>81</v>
      </c>
      <c r="AC7" t="s" s="0">
        <v>81</v>
      </c>
      <c r="AD7" t="s" s="0">
        <v>81</v>
      </c>
      <c r="AE7" t="s" s="0">
        <v>81</v>
      </c>
      <c r="AF7" t="s" s="0">
        <v>81</v>
      </c>
      <c r="AG7" t="s" s="0">
        <v>81</v>
      </c>
      <c r="AH7" t="s" s="0">
        <v>262</v>
      </c>
      <c r="AI7" t="s" s="0">
        <v>81</v>
      </c>
      <c r="AJ7" t="s" s="0">
        <v>263</v>
      </c>
      <c r="AK7" t="s" s="0">
        <v>81</v>
      </c>
      <c r="AL7" t="s" s="0">
        <v>249</v>
      </c>
      <c r="AM7" t="s" s="0">
        <v>77</v>
      </c>
      <c r="AN7" t="s" s="0">
        <v>77</v>
      </c>
      <c r="AO7" t="s" s="0">
        <v>95</v>
      </c>
      <c r="AP7" t="s" s="0">
        <v>95</v>
      </c>
      <c r="AQ7" t="s" s="0">
        <v>264</v>
      </c>
      <c r="AR7" t="s" s="0">
        <v>265</v>
      </c>
      <c r="AS7" t="s" s="0">
        <v>266</v>
      </c>
      <c r="AT7" t="s" s="0">
        <v>267</v>
      </c>
      <c r="AU7" t="s" s="0">
        <v>268</v>
      </c>
      <c r="AV7" t="s" s="0">
        <v>81</v>
      </c>
      <c r="AW7" t="s" s="0">
        <v>269</v>
      </c>
      <c r="AX7" t="s" s="0">
        <v>270</v>
      </c>
      <c r="AY7" t="s" s="0">
        <v>271</v>
      </c>
      <c r="AZ7" t="s" s="0">
        <v>244</v>
      </c>
      <c r="BA7" t="s" s="0">
        <v>272</v>
      </c>
      <c r="BB7" t="s" s="0">
        <v>273</v>
      </c>
      <c r="BC7" t="s" s="0">
        <v>81</v>
      </c>
      <c r="BD7" t="s" s="0">
        <v>81</v>
      </c>
      <c r="BE7" t="s" s="0">
        <v>81</v>
      </c>
      <c r="BF7" t="s" s="0">
        <v>81</v>
      </c>
      <c r="BG7" t="s" s="0">
        <v>274</v>
      </c>
      <c r="BH7" t="s" s="0">
        <v>275</v>
      </c>
      <c r="BI7" t="s" s="0">
        <v>81</v>
      </c>
      <c r="BJ7" t="s" s="0">
        <v>276</v>
      </c>
      <c r="BK7" t="s" s="11">
        <f>HYPERLINK("http://dx.doi.org/10.2106/JBJS.25.00971","http://dx.doi.org/10.2106/JBJS.25.00971")</f>
        <v>277</v>
      </c>
      <c r="BL7" t="s" s="0">
        <v>81</v>
      </c>
      <c r="BM7" t="s" s="0">
        <v>81</v>
      </c>
      <c r="BN7" t="s" s="0">
        <v>171</v>
      </c>
      <c r="BO7" t="s" s="0">
        <v>278</v>
      </c>
      <c r="BP7" t="s" s="0">
        <v>278</v>
      </c>
      <c r="BQ7" t="s" s="0">
        <v>279</v>
      </c>
      <c r="BR7" t="s" s="0">
        <v>280</v>
      </c>
      <c r="BS7" t="s" s="0">
        <v>281</v>
      </c>
      <c r="BT7" t="s" s="12">
        <f>HYPERLINK("https://www.webofscience.com/wos/woscc/full-record/WOS:001694185400001","View Record in Web of Science")</f>
        <v>117</v>
      </c>
      <c r="BU7" t="s" s="0">
        <v>81</v>
      </c>
      <c r="BV7" t="s" s="0">
        <v>81</v>
      </c>
      <c r="BW7" t="s" s="0">
        <v>81</v>
      </c>
      <c r="BX7" t="s" s="0">
        <v>119</v>
      </c>
    </row>
    <row r="8">
      <c r="A8" t="s" s="0">
        <v>77</v>
      </c>
      <c r="B8" t="s" s="0">
        <v>77</v>
      </c>
      <c r="C8" t="s" s="0">
        <v>77</v>
      </c>
      <c r="D8" t="s" s="0">
        <v>77</v>
      </c>
      <c r="E8" t="s" s="0">
        <v>282</v>
      </c>
      <c r="F8" t="s" s="0">
        <v>283</v>
      </c>
      <c r="G8" t="s" s="0">
        <v>284</v>
      </c>
      <c r="H8" t="s" s="0">
        <v>81</v>
      </c>
      <c r="I8" t="s" s="0">
        <v>82</v>
      </c>
      <c r="J8" t="s" s="0">
        <v>285</v>
      </c>
      <c r="K8" t="s" s="0">
        <v>286</v>
      </c>
      <c r="L8" t="s" s="0">
        <v>287</v>
      </c>
      <c r="M8" t="s" s="0">
        <v>288</v>
      </c>
      <c r="N8" t="s" s="0">
        <v>289</v>
      </c>
      <c r="O8" t="s" s="0">
        <v>290</v>
      </c>
      <c r="P8" t="s" s="0">
        <v>291</v>
      </c>
      <c r="Q8" t="s" s="0">
        <v>87</v>
      </c>
      <c r="R8" t="s" s="0">
        <v>81</v>
      </c>
      <c r="S8" t="s" s="0">
        <v>81</v>
      </c>
      <c r="T8" t="s" s="0">
        <v>81</v>
      </c>
      <c r="U8" t="s" s="0">
        <v>81</v>
      </c>
      <c r="V8" t="s" s="0">
        <v>292</v>
      </c>
      <c r="W8" t="s" s="0">
        <v>293</v>
      </c>
      <c r="X8" t="s" s="0">
        <v>81</v>
      </c>
      <c r="Y8" t="s" s="0">
        <v>81</v>
      </c>
      <c r="Z8" t="s" s="0">
        <v>90</v>
      </c>
      <c r="AA8" t="s" s="0">
        <v>91</v>
      </c>
      <c r="AB8" t="s" s="0">
        <v>81</v>
      </c>
      <c r="AC8" t="s" s="0">
        <v>81</v>
      </c>
      <c r="AD8" t="s" s="0">
        <v>81</v>
      </c>
      <c r="AE8" t="s" s="0">
        <v>81</v>
      </c>
      <c r="AF8" t="s" s="0">
        <v>81</v>
      </c>
      <c r="AG8" t="s" s="0">
        <v>294</v>
      </c>
      <c r="AH8" t="s" s="0">
        <v>81</v>
      </c>
      <c r="AI8" t="s" s="0">
        <v>295</v>
      </c>
      <c r="AJ8" t="s" s="0">
        <v>296</v>
      </c>
      <c r="AK8" t="s" s="0">
        <v>81</v>
      </c>
      <c r="AL8" t="s" s="0">
        <v>297</v>
      </c>
      <c r="AM8" t="s" s="0">
        <v>77</v>
      </c>
      <c r="AN8" t="s" s="0">
        <v>77</v>
      </c>
      <c r="AO8" t="s" s="0">
        <v>96</v>
      </c>
      <c r="AP8" t="s" s="0">
        <v>96</v>
      </c>
      <c r="AQ8" t="s" s="0">
        <v>298</v>
      </c>
      <c r="AR8" t="s" s="0">
        <v>299</v>
      </c>
      <c r="AS8" t="s" s="0">
        <v>300</v>
      </c>
      <c r="AT8" t="s" s="0">
        <v>301</v>
      </c>
      <c r="AU8" t="s" s="0">
        <v>302</v>
      </c>
      <c r="AV8" t="s" s="0">
        <v>81</v>
      </c>
      <c r="AW8" t="s" s="0">
        <v>303</v>
      </c>
      <c r="AX8" t="s" s="0">
        <v>304</v>
      </c>
      <c r="AY8" t="s" s="0">
        <v>305</v>
      </c>
      <c r="AZ8" t="s" s="0">
        <v>244</v>
      </c>
      <c r="BA8" t="s" s="0">
        <v>306</v>
      </c>
      <c r="BB8" t="s" s="0">
        <v>95</v>
      </c>
      <c r="BC8" t="s" s="0">
        <v>81</v>
      </c>
      <c r="BD8" t="s" s="0">
        <v>81</v>
      </c>
      <c r="BE8" t="s" s="0">
        <v>81</v>
      </c>
      <c r="BF8" t="s" s="0">
        <v>81</v>
      </c>
      <c r="BG8" t="s" s="0">
        <v>81</v>
      </c>
      <c r="BH8" t="s" s="0">
        <v>81</v>
      </c>
      <c r="BI8" t="s" s="0">
        <v>307</v>
      </c>
      <c r="BJ8" t="s" s="0">
        <v>308</v>
      </c>
      <c r="BK8" t="s" s="13">
        <f>HYPERLINK("http://dx.doi.org/10.1007/s40558-026-00378-y","http://dx.doi.org/10.1007/s40558-026-00378-y")</f>
        <v>309</v>
      </c>
      <c r="BL8" t="s" s="0">
        <v>81</v>
      </c>
      <c r="BM8" t="s" s="0">
        <v>310</v>
      </c>
      <c r="BN8" t="s" s="0">
        <v>137</v>
      </c>
      <c r="BO8" t="s" s="0">
        <v>311</v>
      </c>
      <c r="BP8" t="s" s="0">
        <v>312</v>
      </c>
      <c r="BQ8" t="s" s="0">
        <v>313</v>
      </c>
      <c r="BR8" t="s" s="0">
        <v>81</v>
      </c>
      <c r="BS8" t="s" s="0">
        <v>314</v>
      </c>
      <c r="BT8" t="s" s="14">
        <f>HYPERLINK("https://www.webofscience.com/wos/woscc/full-record/WOS:001785706600001","View Record in Web of Science")</f>
        <v>117</v>
      </c>
      <c r="BU8" t="s" s="0">
        <v>81</v>
      </c>
      <c r="BV8" t="s" s="0">
        <v>81</v>
      </c>
      <c r="BW8" t="s" s="0">
        <v>81</v>
      </c>
      <c r="BX8" t="s" s="0">
        <v>119</v>
      </c>
    </row>
    <row r="9">
      <c r="A9" t="s" s="0">
        <v>77</v>
      </c>
      <c r="B9" t="s" s="0">
        <v>77</v>
      </c>
      <c r="C9" t="s" s="0">
        <v>273</v>
      </c>
      <c r="D9" t="s" s="0">
        <v>77</v>
      </c>
      <c r="E9" t="s" s="0">
        <v>315</v>
      </c>
      <c r="F9" t="s" s="0">
        <v>316</v>
      </c>
      <c r="G9" t="s" s="0">
        <v>317</v>
      </c>
      <c r="H9" t="s" s="0">
        <v>81</v>
      </c>
      <c r="I9" t="s" s="0">
        <v>123</v>
      </c>
      <c r="J9" t="s" s="0">
        <v>318</v>
      </c>
      <c r="K9" t="s" s="0">
        <v>319</v>
      </c>
      <c r="L9" t="s" s="0">
        <v>81</v>
      </c>
      <c r="M9" t="s" s="0">
        <v>81</v>
      </c>
      <c r="N9" t="s" s="0">
        <v>81</v>
      </c>
      <c r="O9" t="s" s="0">
        <v>320</v>
      </c>
      <c r="P9" t="s" s="0">
        <v>321</v>
      </c>
      <c r="Q9" t="s" s="0">
        <v>87</v>
      </c>
      <c r="R9" t="s" s="0">
        <v>81</v>
      </c>
      <c r="S9" t="s" s="0">
        <v>81</v>
      </c>
      <c r="T9" t="s" s="0">
        <v>81</v>
      </c>
      <c r="U9" t="s" s="0">
        <v>81</v>
      </c>
      <c r="V9" t="s" s="0">
        <v>322</v>
      </c>
      <c r="W9" t="s" s="0">
        <v>323</v>
      </c>
      <c r="X9" t="s" s="0">
        <v>81</v>
      </c>
      <c r="Y9" t="s" s="0">
        <v>81</v>
      </c>
      <c r="Z9" t="s" s="0">
        <v>90</v>
      </c>
      <c r="AA9" t="s" s="0">
        <v>91</v>
      </c>
      <c r="AB9" t="s" s="0">
        <v>81</v>
      </c>
      <c r="AC9" t="s" s="0">
        <v>81</v>
      </c>
      <c r="AD9" t="s" s="0">
        <v>81</v>
      </c>
      <c r="AE9" t="s" s="0">
        <v>81</v>
      </c>
      <c r="AF9" t="s" s="0">
        <v>81</v>
      </c>
      <c r="AG9" t="s" s="0">
        <v>324</v>
      </c>
      <c r="AH9" t="s" s="0">
        <v>325</v>
      </c>
      <c r="AI9" t="s" s="0">
        <v>326</v>
      </c>
      <c r="AJ9" t="s" s="0">
        <v>327</v>
      </c>
      <c r="AK9" t="s" s="0">
        <v>81</v>
      </c>
      <c r="AL9" t="s" s="0">
        <v>328</v>
      </c>
      <c r="AM9" t="s" s="0">
        <v>329</v>
      </c>
      <c r="AN9" t="s" s="0">
        <v>171</v>
      </c>
      <c r="AO9" t="s" s="0">
        <v>95</v>
      </c>
      <c r="AP9" t="s" s="0">
        <v>95</v>
      </c>
      <c r="AQ9" t="s" s="0">
        <v>174</v>
      </c>
      <c r="AR9" t="s" s="0">
        <v>175</v>
      </c>
      <c r="AS9" t="s" s="0">
        <v>176</v>
      </c>
      <c r="AT9" t="s" s="0">
        <v>81</v>
      </c>
      <c r="AU9" t="s" s="0">
        <v>330</v>
      </c>
      <c r="AV9" t="s" s="0">
        <v>81</v>
      </c>
      <c r="AW9" t="s" s="0">
        <v>323</v>
      </c>
      <c r="AX9" t="s" s="0">
        <v>331</v>
      </c>
      <c r="AY9" t="s" s="0">
        <v>332</v>
      </c>
      <c r="AZ9" t="s" s="0">
        <v>105</v>
      </c>
      <c r="BA9" t="s" s="0">
        <v>181</v>
      </c>
      <c r="BB9" t="s" s="0">
        <v>333</v>
      </c>
      <c r="BC9" t="s" s="0">
        <v>81</v>
      </c>
      <c r="BD9" t="s" s="0">
        <v>81</v>
      </c>
      <c r="BE9" t="s" s="0">
        <v>81</v>
      </c>
      <c r="BF9" t="s" s="0">
        <v>81</v>
      </c>
      <c r="BG9" t="s" s="0">
        <v>81</v>
      </c>
      <c r="BH9" t="s" s="0">
        <v>81</v>
      </c>
      <c r="BI9" t="s" s="0">
        <v>334</v>
      </c>
      <c r="BJ9" t="s" s="0">
        <v>335</v>
      </c>
      <c r="BK9" t="s" s="15">
        <f>HYPERLINK("http://dx.doi.org/10.3390/cancers17101688","http://dx.doi.org/10.3390/cancers17101688")</f>
        <v>336</v>
      </c>
      <c r="BL9" t="s" s="0">
        <v>81</v>
      </c>
      <c r="BM9" t="s" s="0">
        <v>81</v>
      </c>
      <c r="BN9" t="s" s="0">
        <v>94</v>
      </c>
      <c r="BO9" t="s" s="0">
        <v>337</v>
      </c>
      <c r="BP9" t="s" s="0">
        <v>337</v>
      </c>
      <c r="BQ9" t="s" s="0">
        <v>338</v>
      </c>
      <c r="BR9" t="s" s="0">
        <v>339</v>
      </c>
      <c r="BS9" t="s" s="0">
        <v>340</v>
      </c>
      <c r="BT9" t="s" s="16">
        <f>HYPERLINK("https://www.webofscience.com/wos/woscc/full-record/WOS:001495518700001","View Record in Web of Science")</f>
        <v>117</v>
      </c>
      <c r="BU9" t="s" s="0">
        <v>155</v>
      </c>
      <c r="BV9" t="s" s="0">
        <v>81</v>
      </c>
      <c r="BW9" t="s" s="0">
        <v>81</v>
      </c>
      <c r="BX9" t="s" s="0">
        <v>119</v>
      </c>
    </row>
    <row r="10">
      <c r="A10" t="s" s="0">
        <v>77</v>
      </c>
      <c r="B10" t="s" s="0">
        <v>77</v>
      </c>
      <c r="C10" t="s" s="0">
        <v>77</v>
      </c>
      <c r="D10" t="s" s="0">
        <v>77</v>
      </c>
      <c r="E10" t="s" s="0">
        <v>341</v>
      </c>
      <c r="F10" t="s" s="0">
        <v>342</v>
      </c>
      <c r="G10" t="s" s="0">
        <v>343</v>
      </c>
      <c r="H10" t="s" s="0">
        <v>81</v>
      </c>
      <c r="I10" t="s" s="0">
        <v>344</v>
      </c>
      <c r="J10" t="s" s="0">
        <v>345</v>
      </c>
      <c r="K10" t="s" s="0">
        <v>346</v>
      </c>
      <c r="L10" t="s" s="0">
        <v>347</v>
      </c>
      <c r="M10" t="s" s="0">
        <v>348</v>
      </c>
      <c r="N10" t="s" s="0">
        <v>349</v>
      </c>
      <c r="O10" t="s" s="0">
        <v>350</v>
      </c>
      <c r="P10" t="s" s="0">
        <v>351</v>
      </c>
      <c r="Q10" t="s" s="0">
        <v>87</v>
      </c>
      <c r="R10" t="s" s="0">
        <v>81</v>
      </c>
      <c r="S10" t="s" s="0">
        <v>81</v>
      </c>
      <c r="T10" t="s" s="0">
        <v>81</v>
      </c>
      <c r="U10" t="s" s="0">
        <v>81</v>
      </c>
      <c r="V10" t="s" s="0">
        <v>352</v>
      </c>
      <c r="W10" t="s" s="0">
        <v>353</v>
      </c>
      <c r="X10" t="s" s="0">
        <v>81</v>
      </c>
      <c r="Y10" t="s" s="0">
        <v>81</v>
      </c>
      <c r="Z10" t="s" s="0">
        <v>90</v>
      </c>
      <c r="AA10" t="s" s="0">
        <v>91</v>
      </c>
      <c r="AB10" t="s" s="0">
        <v>81</v>
      </c>
      <c r="AC10" t="s" s="0">
        <v>81</v>
      </c>
      <c r="AD10" t="s" s="0">
        <v>81</v>
      </c>
      <c r="AE10" t="s" s="0">
        <v>81</v>
      </c>
      <c r="AF10" t="s" s="0">
        <v>81</v>
      </c>
      <c r="AG10" t="s" s="0">
        <v>354</v>
      </c>
      <c r="AH10" t="s" s="0">
        <v>355</v>
      </c>
      <c r="AI10" t="s" s="0">
        <v>356</v>
      </c>
      <c r="AJ10" t="s" s="0">
        <v>81</v>
      </c>
      <c r="AK10" t="s" s="0">
        <v>81</v>
      </c>
      <c r="AL10" t="s" s="0">
        <v>357</v>
      </c>
      <c r="AM10" t="s" s="0">
        <v>77</v>
      </c>
      <c r="AN10" t="s" s="0">
        <v>77</v>
      </c>
      <c r="AO10" t="s" s="0">
        <v>95</v>
      </c>
      <c r="AP10" t="s" s="0">
        <v>213</v>
      </c>
      <c r="AQ10" t="s" s="0">
        <v>358</v>
      </c>
      <c r="AR10" t="s" s="0">
        <v>359</v>
      </c>
      <c r="AS10" t="s" s="0">
        <v>360</v>
      </c>
      <c r="AT10" t="s" s="0">
        <v>361</v>
      </c>
      <c r="AU10" t="s" s="0">
        <v>362</v>
      </c>
      <c r="AV10" t="s" s="0">
        <v>81</v>
      </c>
      <c r="AW10" t="s" s="0">
        <v>363</v>
      </c>
      <c r="AX10" t="s" s="0">
        <v>364</v>
      </c>
      <c r="AY10" t="s" s="0">
        <v>365</v>
      </c>
      <c r="AZ10" t="s" s="0">
        <v>105</v>
      </c>
      <c r="BA10" t="s" s="0">
        <v>105</v>
      </c>
      <c r="BB10" t="s" s="0">
        <v>81</v>
      </c>
      <c r="BC10" t="s" s="0">
        <v>81</v>
      </c>
      <c r="BD10" t="s" s="0">
        <v>81</v>
      </c>
      <c r="BE10" t="s" s="0">
        <v>81</v>
      </c>
      <c r="BF10" t="s" s="0">
        <v>81</v>
      </c>
      <c r="BG10" t="s" s="0">
        <v>81</v>
      </c>
      <c r="BH10" t="s" s="0">
        <v>81</v>
      </c>
      <c r="BI10" t="s" s="0">
        <v>81</v>
      </c>
      <c r="BJ10" t="s" s="0">
        <v>366</v>
      </c>
      <c r="BK10" t="s" s="17">
        <f>HYPERLINK("http://dx.doi.org/10.17973/MMSJ.2025_10_2025074","http://dx.doi.org/10.17973/MMSJ.2025_10_2025074")</f>
        <v>367</v>
      </c>
      <c r="BL10" t="s" s="0">
        <v>81</v>
      </c>
      <c r="BM10" t="s" s="0">
        <v>81</v>
      </c>
      <c r="BN10" t="s" s="0">
        <v>171</v>
      </c>
      <c r="BO10" t="s" s="0">
        <v>368</v>
      </c>
      <c r="BP10" t="s" s="0">
        <v>369</v>
      </c>
      <c r="BQ10" t="s" s="0">
        <v>370</v>
      </c>
      <c r="BR10" t="s" s="0">
        <v>81</v>
      </c>
      <c r="BS10" t="s" s="0">
        <v>371</v>
      </c>
      <c r="BT10" t="s" s="18">
        <f>HYPERLINK("https://www.webofscience.com/wos/woscc/full-record/WOS:001585877700001","View Record in Web of Science")</f>
        <v>117</v>
      </c>
      <c r="BU10" t="s" s="0">
        <v>118</v>
      </c>
      <c r="BV10" t="s" s="0">
        <v>81</v>
      </c>
      <c r="BW10" t="s" s="0">
        <v>81</v>
      </c>
      <c r="BX10" t="s" s="0">
        <v>119</v>
      </c>
    </row>
    <row r="11">
      <c r="A11" t="s" s="0">
        <v>77</v>
      </c>
      <c r="B11" t="s" s="0">
        <v>77</v>
      </c>
      <c r="C11" t="s" s="0">
        <v>77</v>
      </c>
      <c r="D11" t="s" s="0">
        <v>77</v>
      </c>
      <c r="E11" t="s" s="0">
        <v>372</v>
      </c>
      <c r="F11" t="s" s="0">
        <v>373</v>
      </c>
      <c r="G11" t="s" s="0">
        <v>374</v>
      </c>
      <c r="H11" t="s" s="0">
        <v>81</v>
      </c>
      <c r="I11" t="s" s="0">
        <v>123</v>
      </c>
      <c r="J11" t="s" s="0">
        <v>375</v>
      </c>
      <c r="K11" t="s" s="0">
        <v>376</v>
      </c>
      <c r="L11" t="s" s="0">
        <v>377</v>
      </c>
      <c r="M11" t="s" s="0">
        <v>378</v>
      </c>
      <c r="N11" t="s" s="0">
        <v>379</v>
      </c>
      <c r="O11" t="s" s="0">
        <v>380</v>
      </c>
      <c r="P11" t="s" s="0">
        <v>381</v>
      </c>
      <c r="Q11" t="s" s="0">
        <v>87</v>
      </c>
      <c r="R11" t="s" s="0">
        <v>81</v>
      </c>
      <c r="S11" t="s" s="0">
        <v>81</v>
      </c>
      <c r="T11" t="s" s="0">
        <v>81</v>
      </c>
      <c r="U11" t="s" s="0">
        <v>81</v>
      </c>
      <c r="V11" t="s" s="0">
        <v>382</v>
      </c>
      <c r="W11" t="s" s="0">
        <v>383</v>
      </c>
      <c r="X11" t="s" s="0">
        <v>81</v>
      </c>
      <c r="Y11" t="s" s="0">
        <v>81</v>
      </c>
      <c r="Z11" t="s" s="0">
        <v>90</v>
      </c>
      <c r="AA11" t="s" s="0">
        <v>91</v>
      </c>
      <c r="AB11" t="s" s="0">
        <v>81</v>
      </c>
      <c r="AC11" t="s" s="0">
        <v>81</v>
      </c>
      <c r="AD11" t="s" s="0">
        <v>81</v>
      </c>
      <c r="AE11" t="s" s="0">
        <v>81</v>
      </c>
      <c r="AF11" t="s" s="0">
        <v>81</v>
      </c>
      <c r="AG11" t="s" s="0">
        <v>81</v>
      </c>
      <c r="AH11" t="s" s="0">
        <v>384</v>
      </c>
      <c r="AI11" t="s" s="0">
        <v>385</v>
      </c>
      <c r="AJ11" t="s" s="0">
        <v>386</v>
      </c>
      <c r="AK11" t="s" s="0">
        <v>81</v>
      </c>
      <c r="AL11" t="s" s="0">
        <v>307</v>
      </c>
      <c r="AM11" t="s" s="0">
        <v>96</v>
      </c>
      <c r="AN11" t="s" s="0">
        <v>96</v>
      </c>
      <c r="AO11" t="s" s="0">
        <v>112</v>
      </c>
      <c r="AP11" t="s" s="0">
        <v>306</v>
      </c>
      <c r="AQ11" t="s" s="0">
        <v>387</v>
      </c>
      <c r="AR11" t="s" s="0">
        <v>388</v>
      </c>
      <c r="AS11" t="s" s="0">
        <v>389</v>
      </c>
      <c r="AT11" t="s" s="0">
        <v>81</v>
      </c>
      <c r="AU11" t="s" s="0">
        <v>390</v>
      </c>
      <c r="AV11" t="s" s="0">
        <v>81</v>
      </c>
      <c r="AW11" t="s" s="0">
        <v>383</v>
      </c>
      <c r="AX11" t="s" s="0">
        <v>391</v>
      </c>
      <c r="AY11" t="s" s="0">
        <v>392</v>
      </c>
      <c r="AZ11" t="s" s="0">
        <v>105</v>
      </c>
      <c r="BA11" t="s" s="0">
        <v>94</v>
      </c>
      <c r="BB11" t="s" s="0">
        <v>393</v>
      </c>
      <c r="BC11" t="s" s="0">
        <v>81</v>
      </c>
      <c r="BD11" t="s" s="0">
        <v>81</v>
      </c>
      <c r="BE11" t="s" s="0">
        <v>81</v>
      </c>
      <c r="BF11" t="s" s="0">
        <v>81</v>
      </c>
      <c r="BG11" t="s" s="0">
        <v>81</v>
      </c>
      <c r="BH11" t="s" s="0">
        <v>81</v>
      </c>
      <c r="BI11" t="s" s="0">
        <v>394</v>
      </c>
      <c r="BJ11" t="s" s="0">
        <v>395</v>
      </c>
      <c r="BK11" t="s" s="19">
        <f>HYPERLINK("http://dx.doi.org/10.1371/journal.pone.0329020","http://dx.doi.org/10.1371/journal.pone.0329020")</f>
        <v>396</v>
      </c>
      <c r="BL11" t="s" s="0">
        <v>81</v>
      </c>
      <c r="BM11" t="s" s="0">
        <v>81</v>
      </c>
      <c r="BN11" t="s" s="0">
        <v>112</v>
      </c>
      <c r="BO11" t="s" s="0">
        <v>397</v>
      </c>
      <c r="BP11" t="s" s="0">
        <v>398</v>
      </c>
      <c r="BQ11" t="s" s="0">
        <v>399</v>
      </c>
      <c r="BR11" t="s" s="0">
        <v>400</v>
      </c>
      <c r="BS11" t="s" s="0">
        <v>401</v>
      </c>
      <c r="BT11" t="s" s="20">
        <f>HYPERLINK("https://www.webofscience.com/wos/woscc/full-record/WOS:001538515200017","View Record in Web of Science")</f>
        <v>117</v>
      </c>
      <c r="BU11" t="s" s="0">
        <v>155</v>
      </c>
      <c r="BV11" t="s" s="0">
        <v>81</v>
      </c>
      <c r="BW11" t="s" s="0">
        <v>81</v>
      </c>
      <c r="BX11" t="s" s="0">
        <v>119</v>
      </c>
    </row>
    <row r="12">
      <c r="A12" t="s" s="0">
        <v>77</v>
      </c>
      <c r="B12" t="s" s="0">
        <v>77</v>
      </c>
      <c r="C12" t="s" s="0">
        <v>77</v>
      </c>
      <c r="D12" t="s" s="0">
        <v>77</v>
      </c>
      <c r="E12" t="s" s="0">
        <v>402</v>
      </c>
      <c r="F12" t="s" s="0">
        <v>403</v>
      </c>
      <c r="G12" t="s" s="0">
        <v>404</v>
      </c>
      <c r="H12" t="s" s="0">
        <v>81</v>
      </c>
      <c r="I12" t="s" s="0">
        <v>405</v>
      </c>
      <c r="J12" t="s" s="0">
        <v>406</v>
      </c>
      <c r="K12" t="s" s="0">
        <v>407</v>
      </c>
      <c r="L12" t="s" s="0">
        <v>408</v>
      </c>
      <c r="M12" t="s" s="0">
        <v>409</v>
      </c>
      <c r="N12" t="s" s="0">
        <v>410</v>
      </c>
      <c r="O12" t="s" s="0">
        <v>411</v>
      </c>
      <c r="P12" t="s" s="0">
        <v>412</v>
      </c>
      <c r="Q12" t="s" s="0">
        <v>87</v>
      </c>
      <c r="R12" t="s" s="0">
        <v>81</v>
      </c>
      <c r="S12" t="s" s="0">
        <v>81</v>
      </c>
      <c r="T12" t="s" s="0">
        <v>81</v>
      </c>
      <c r="U12" t="s" s="0">
        <v>81</v>
      </c>
      <c r="V12" t="s" s="0">
        <v>413</v>
      </c>
      <c r="W12" t="s" s="0">
        <v>414</v>
      </c>
      <c r="X12" t="s" s="0">
        <v>81</v>
      </c>
      <c r="Y12" t="s" s="0">
        <v>81</v>
      </c>
      <c r="Z12" t="s" s="0">
        <v>90</v>
      </c>
      <c r="AA12" t="s" s="0">
        <v>91</v>
      </c>
      <c r="AB12" t="s" s="0">
        <v>81</v>
      </c>
      <c r="AC12" t="s" s="0">
        <v>81</v>
      </c>
      <c r="AD12" t="s" s="0">
        <v>81</v>
      </c>
      <c r="AE12" t="s" s="0">
        <v>81</v>
      </c>
      <c r="AF12" t="s" s="0">
        <v>81</v>
      </c>
      <c r="AG12" t="s" s="0">
        <v>415</v>
      </c>
      <c r="AH12" t="s" s="0">
        <v>416</v>
      </c>
      <c r="AI12" t="s" s="0">
        <v>81</v>
      </c>
      <c r="AJ12" t="s" s="0">
        <v>417</v>
      </c>
      <c r="AK12" t="s" s="0">
        <v>81</v>
      </c>
      <c r="AL12" t="s" s="0">
        <v>418</v>
      </c>
      <c r="AM12" t="s" s="0">
        <v>419</v>
      </c>
      <c r="AN12" t="s" s="0">
        <v>96</v>
      </c>
      <c r="AO12" t="s" s="0">
        <v>329</v>
      </c>
      <c r="AP12" t="s" s="0">
        <v>420</v>
      </c>
      <c r="AQ12" t="s" s="0">
        <v>421</v>
      </c>
      <c r="AR12" t="s" s="0">
        <v>422</v>
      </c>
      <c r="AS12" t="s" s="0">
        <v>423</v>
      </c>
      <c r="AT12" t="s" s="0">
        <v>424</v>
      </c>
      <c r="AU12" t="s" s="0">
        <v>425</v>
      </c>
      <c r="AV12" t="s" s="0">
        <v>81</v>
      </c>
      <c r="AW12" t="s" s="0">
        <v>426</v>
      </c>
      <c r="AX12" t="s" s="0">
        <v>427</v>
      </c>
      <c r="AY12" t="s" s="0">
        <v>428</v>
      </c>
      <c r="AZ12" t="s" s="0">
        <v>105</v>
      </c>
      <c r="BA12" t="s" s="0">
        <v>172</v>
      </c>
      <c r="BB12" t="s" s="0">
        <v>419</v>
      </c>
      <c r="BC12" t="s" s="0">
        <v>81</v>
      </c>
      <c r="BD12" t="s" s="0">
        <v>81</v>
      </c>
      <c r="BE12" t="s" s="0">
        <v>81</v>
      </c>
      <c r="BF12" t="s" s="0">
        <v>81</v>
      </c>
      <c r="BG12" t="s" s="0">
        <v>81</v>
      </c>
      <c r="BH12" t="s" s="0">
        <v>81</v>
      </c>
      <c r="BI12" t="s" s="0">
        <v>181</v>
      </c>
      <c r="BJ12" t="s" s="0">
        <v>429</v>
      </c>
      <c r="BK12" t="s" s="21">
        <f>HYPERLINK("http://dx.doi.org/10.1007/s10676-025-09826-5","http://dx.doi.org/10.1007/s10676-025-09826-5")</f>
        <v>430</v>
      </c>
      <c r="BL12" t="s" s="0">
        <v>81</v>
      </c>
      <c r="BM12" t="s" s="0">
        <v>81</v>
      </c>
      <c r="BN12" t="s" s="0">
        <v>420</v>
      </c>
      <c r="BO12" t="s" s="0">
        <v>431</v>
      </c>
      <c r="BP12" t="s" s="0">
        <v>432</v>
      </c>
      <c r="BQ12" t="s" s="0">
        <v>433</v>
      </c>
      <c r="BR12" t="s" s="0">
        <v>81</v>
      </c>
      <c r="BS12" t="s" s="0">
        <v>434</v>
      </c>
      <c r="BT12" t="s" s="22">
        <f>HYPERLINK("https://www.webofscience.com/wos/woscc/full-record/WOS:001463551900001","View Record in Web of Science")</f>
        <v>117</v>
      </c>
      <c r="BU12" t="s" s="0">
        <v>435</v>
      </c>
      <c r="BV12" t="s" s="0">
        <v>81</v>
      </c>
      <c r="BW12" t="s" s="0">
        <v>81</v>
      </c>
      <c r="BX12" t="s" s="0">
        <v>119</v>
      </c>
    </row>
    <row r="13">
      <c r="A13" t="s" s="0">
        <v>77</v>
      </c>
      <c r="B13" t="s" s="0">
        <v>77</v>
      </c>
      <c r="C13" t="s" s="0">
        <v>77</v>
      </c>
      <c r="D13" t="s" s="0">
        <v>77</v>
      </c>
      <c r="E13" t="s" s="0">
        <v>436</v>
      </c>
      <c r="F13" t="s" s="0">
        <v>437</v>
      </c>
      <c r="G13" t="s" s="0">
        <v>438</v>
      </c>
      <c r="H13" t="s" s="0">
        <v>81</v>
      </c>
      <c r="I13" t="s" s="0">
        <v>123</v>
      </c>
      <c r="J13" t="s" s="0">
        <v>439</v>
      </c>
      <c r="K13" t="s" s="0">
        <v>440</v>
      </c>
      <c r="L13" t="s" s="0">
        <v>81</v>
      </c>
      <c r="M13" t="s" s="0">
        <v>81</v>
      </c>
      <c r="N13" t="s" s="0">
        <v>81</v>
      </c>
      <c r="O13" t="s" s="0">
        <v>441</v>
      </c>
      <c r="P13" t="s" s="0">
        <v>81</v>
      </c>
      <c r="Q13" t="s" s="0">
        <v>87</v>
      </c>
      <c r="R13" t="s" s="0">
        <v>81</v>
      </c>
      <c r="S13" t="s" s="0">
        <v>81</v>
      </c>
      <c r="T13" t="s" s="0">
        <v>81</v>
      </c>
      <c r="U13" t="s" s="0">
        <v>81</v>
      </c>
      <c r="V13" t="s" s="0">
        <v>442</v>
      </c>
      <c r="W13" t="s" s="0">
        <v>131</v>
      </c>
      <c r="X13" t="s" s="0">
        <v>81</v>
      </c>
      <c r="Y13" t="s" s="0">
        <v>81</v>
      </c>
      <c r="Z13" t="s" s="0">
        <v>90</v>
      </c>
      <c r="AA13" t="s" s="0">
        <v>91</v>
      </c>
      <c r="AB13" t="s" s="0">
        <v>81</v>
      </c>
      <c r="AC13" t="s" s="0">
        <v>81</v>
      </c>
      <c r="AD13" t="s" s="0">
        <v>81</v>
      </c>
      <c r="AE13" t="s" s="0">
        <v>81</v>
      </c>
      <c r="AF13" t="s" s="0">
        <v>81</v>
      </c>
      <c r="AG13" t="s" s="0">
        <v>443</v>
      </c>
      <c r="AH13" t="s" s="0">
        <v>81</v>
      </c>
      <c r="AI13" t="s" s="0">
        <v>81</v>
      </c>
      <c r="AJ13" t="s" s="0">
        <v>81</v>
      </c>
      <c r="AK13" t="s" s="0">
        <v>81</v>
      </c>
      <c r="AL13" t="s" s="0">
        <v>173</v>
      </c>
      <c r="AM13" t="s" s="0">
        <v>77</v>
      </c>
      <c r="AN13" t="s" s="0">
        <v>77</v>
      </c>
      <c r="AO13" t="s" s="0">
        <v>96</v>
      </c>
      <c r="AP13" t="s" s="0">
        <v>96</v>
      </c>
      <c r="AQ13" t="s" s="0">
        <v>140</v>
      </c>
      <c r="AR13" t="s" s="0">
        <v>141</v>
      </c>
      <c r="AS13" t="s" s="0">
        <v>142</v>
      </c>
      <c r="AT13" t="s" s="0">
        <v>143</v>
      </c>
      <c r="AU13" t="s" s="0">
        <v>81</v>
      </c>
      <c r="AV13" t="s" s="0">
        <v>81</v>
      </c>
      <c r="AW13" t="s" s="0">
        <v>131</v>
      </c>
      <c r="AX13" t="s" s="0">
        <v>144</v>
      </c>
      <c r="AY13" t="s" s="0">
        <v>244</v>
      </c>
      <c r="AZ13" t="s" s="0">
        <v>244</v>
      </c>
      <c r="BA13" t="s" s="0">
        <v>444</v>
      </c>
      <c r="BB13" t="s" s="0">
        <v>81</v>
      </c>
      <c r="BC13" t="s" s="0">
        <v>81</v>
      </c>
      <c r="BD13" t="s" s="0">
        <v>81</v>
      </c>
      <c r="BE13" t="s" s="0">
        <v>81</v>
      </c>
      <c r="BF13" t="s" s="0">
        <v>81</v>
      </c>
      <c r="BG13" t="s" s="0">
        <v>445</v>
      </c>
      <c r="BH13" t="s" s="0">
        <v>446</v>
      </c>
      <c r="BI13" t="s" s="0">
        <v>81</v>
      </c>
      <c r="BJ13" t="s" s="0">
        <v>447</v>
      </c>
      <c r="BK13" t="s" s="23">
        <f>HYPERLINK("http://dx.doi.org/10.1109/ACCESS.2026.3654907","http://dx.doi.org/10.1109/ACCESS.2026.3654907")</f>
        <v>448</v>
      </c>
      <c r="BL13" t="s" s="0">
        <v>81</v>
      </c>
      <c r="BM13" t="s" s="0">
        <v>81</v>
      </c>
      <c r="BN13" t="s" s="0">
        <v>449</v>
      </c>
      <c r="BO13" t="s" s="0">
        <v>151</v>
      </c>
      <c r="BP13" t="s" s="0">
        <v>152</v>
      </c>
      <c r="BQ13" t="s" s="0">
        <v>450</v>
      </c>
      <c r="BR13" t="s" s="0">
        <v>81</v>
      </c>
      <c r="BS13" t="s" s="0">
        <v>451</v>
      </c>
      <c r="BT13" t="s" s="24">
        <f>HYPERLINK("https://www.webofscience.com/wos/woscc/full-record/WOS:001673800400026","View Record in Web of Science")</f>
        <v>117</v>
      </c>
      <c r="BU13" t="s" s="0">
        <v>118</v>
      </c>
      <c r="BV13" t="s" s="0">
        <v>81</v>
      </c>
      <c r="BW13" t="s" s="0">
        <v>81</v>
      </c>
      <c r="BX13" t="s" s="0">
        <v>119</v>
      </c>
    </row>
    <row r="14">
      <c r="A14" t="s" s="0">
        <v>77</v>
      </c>
      <c r="B14" t="s" s="0">
        <v>77</v>
      </c>
      <c r="C14" t="s" s="0">
        <v>77</v>
      </c>
      <c r="D14" t="s" s="0">
        <v>77</v>
      </c>
      <c r="E14" t="s" s="0">
        <v>452</v>
      </c>
      <c r="F14" t="s" s="0">
        <v>453</v>
      </c>
      <c r="G14" t="s" s="0">
        <v>454</v>
      </c>
      <c r="H14" t="s" s="0">
        <v>81</v>
      </c>
      <c r="I14" t="s" s="0">
        <v>123</v>
      </c>
      <c r="J14" t="s" s="0">
        <v>455</v>
      </c>
      <c r="K14" t="s" s="0">
        <v>456</v>
      </c>
      <c r="L14" t="s" s="0">
        <v>457</v>
      </c>
      <c r="M14" t="s" s="0">
        <v>458</v>
      </c>
      <c r="N14" t="s" s="0">
        <v>459</v>
      </c>
      <c r="O14" t="s" s="0">
        <v>460</v>
      </c>
      <c r="P14" t="s" s="0">
        <v>461</v>
      </c>
      <c r="Q14" t="s" s="0">
        <v>87</v>
      </c>
      <c r="R14" t="s" s="0">
        <v>81</v>
      </c>
      <c r="S14" t="s" s="0">
        <v>81</v>
      </c>
      <c r="T14" t="s" s="0">
        <v>81</v>
      </c>
      <c r="U14" t="s" s="0">
        <v>81</v>
      </c>
      <c r="V14" t="s" s="0">
        <v>462</v>
      </c>
      <c r="W14" t="s" s="0">
        <v>463</v>
      </c>
      <c r="X14" t="s" s="0">
        <v>81</v>
      </c>
      <c r="Y14" t="s" s="0">
        <v>81</v>
      </c>
      <c r="Z14" t="s" s="0">
        <v>90</v>
      </c>
      <c r="AA14" t="s" s="0">
        <v>91</v>
      </c>
      <c r="AB14" t="s" s="0">
        <v>81</v>
      </c>
      <c r="AC14" t="s" s="0">
        <v>81</v>
      </c>
      <c r="AD14" t="s" s="0">
        <v>81</v>
      </c>
      <c r="AE14" t="s" s="0">
        <v>81</v>
      </c>
      <c r="AF14" t="s" s="0">
        <v>81</v>
      </c>
      <c r="AG14" t="s" s="0">
        <v>464</v>
      </c>
      <c r="AH14" t="s" s="0">
        <v>81</v>
      </c>
      <c r="AI14" t="s" s="0">
        <v>465</v>
      </c>
      <c r="AJ14" t="s" s="0">
        <v>466</v>
      </c>
      <c r="AK14" t="s" s="0">
        <v>81</v>
      </c>
      <c r="AL14" t="s" s="0">
        <v>467</v>
      </c>
      <c r="AM14" t="s" s="0">
        <v>171</v>
      </c>
      <c r="AN14" t="s" s="0">
        <v>468</v>
      </c>
      <c r="AO14" t="s" s="0">
        <v>449</v>
      </c>
      <c r="AP14" t="s" s="0">
        <v>469</v>
      </c>
      <c r="AQ14" t="s" s="0">
        <v>174</v>
      </c>
      <c r="AR14" t="s" s="0">
        <v>175</v>
      </c>
      <c r="AS14" t="s" s="0">
        <v>176</v>
      </c>
      <c r="AT14" t="s" s="0">
        <v>81</v>
      </c>
      <c r="AU14" t="s" s="0">
        <v>470</v>
      </c>
      <c r="AV14" t="s" s="0">
        <v>81</v>
      </c>
      <c r="AW14" t="s" s="0">
        <v>471</v>
      </c>
      <c r="AX14" t="s" s="0">
        <v>472</v>
      </c>
      <c r="AY14" t="s" s="0">
        <v>473</v>
      </c>
      <c r="AZ14" t="s" s="0">
        <v>105</v>
      </c>
      <c r="BA14" t="s" s="0">
        <v>212</v>
      </c>
      <c r="BB14" t="s" s="0">
        <v>474</v>
      </c>
      <c r="BC14" t="s" s="0">
        <v>81</v>
      </c>
      <c r="BD14" t="s" s="0">
        <v>81</v>
      </c>
      <c r="BE14" t="s" s="0">
        <v>81</v>
      </c>
      <c r="BF14" t="s" s="0">
        <v>81</v>
      </c>
      <c r="BG14" t="s" s="0">
        <v>81</v>
      </c>
      <c r="BH14" t="s" s="0">
        <v>81</v>
      </c>
      <c r="BI14" t="s" s="0">
        <v>475</v>
      </c>
      <c r="BJ14" t="s" s="0">
        <v>476</v>
      </c>
      <c r="BK14" t="s" s="25">
        <f>HYPERLINK("http://dx.doi.org/10.3390/app15137298","http://dx.doi.org/10.3390/app15137298")</f>
        <v>477</v>
      </c>
      <c r="BL14" t="s" s="0">
        <v>81</v>
      </c>
      <c r="BM14" t="s" s="0">
        <v>81</v>
      </c>
      <c r="BN14" t="s" s="0">
        <v>106</v>
      </c>
      <c r="BO14" t="s" s="0">
        <v>478</v>
      </c>
      <c r="BP14" t="s" s="0">
        <v>479</v>
      </c>
      <c r="BQ14" t="s" s="0">
        <v>480</v>
      </c>
      <c r="BR14" t="s" s="0">
        <v>81</v>
      </c>
      <c r="BS14" t="s" s="0">
        <v>481</v>
      </c>
      <c r="BT14" t="s" s="26">
        <f>HYPERLINK("https://www.webofscience.com/wos/woscc/full-record/WOS:001526198800001","View Record in Web of Science")</f>
        <v>117</v>
      </c>
      <c r="BU14" t="s" s="0">
        <v>155</v>
      </c>
      <c r="BV14" t="s" s="0">
        <v>81</v>
      </c>
      <c r="BW14" t="s" s="0">
        <v>81</v>
      </c>
      <c r="BX14" t="s" s="0">
        <v>119</v>
      </c>
    </row>
    <row r="15">
      <c r="A15" t="s" s="0">
        <v>77</v>
      </c>
      <c r="B15" t="s" s="0">
        <v>77</v>
      </c>
      <c r="C15" t="s" s="0">
        <v>77</v>
      </c>
      <c r="D15" t="s" s="0">
        <v>77</v>
      </c>
      <c r="E15" t="s" s="0">
        <v>482</v>
      </c>
      <c r="F15" t="s" s="0">
        <v>483</v>
      </c>
      <c r="G15" t="s" s="0">
        <v>484</v>
      </c>
      <c r="H15" t="s" s="0">
        <v>81</v>
      </c>
      <c r="I15" t="s" s="0">
        <v>344</v>
      </c>
      <c r="J15" t="s" s="0">
        <v>485</v>
      </c>
      <c r="K15" t="s" s="0">
        <v>486</v>
      </c>
      <c r="L15" t="s" s="0">
        <v>487</v>
      </c>
      <c r="M15" t="s" s="0">
        <v>488</v>
      </c>
      <c r="N15" t="s" s="0">
        <v>410</v>
      </c>
      <c r="O15" t="s" s="0">
        <v>489</v>
      </c>
      <c r="P15" t="s" s="0">
        <v>490</v>
      </c>
      <c r="Q15" t="s" s="0">
        <v>87</v>
      </c>
      <c r="R15" t="s" s="0">
        <v>81</v>
      </c>
      <c r="S15" t="s" s="0">
        <v>81</v>
      </c>
      <c r="T15" t="s" s="0">
        <v>81</v>
      </c>
      <c r="U15" t="s" s="0">
        <v>81</v>
      </c>
      <c r="V15" t="s" s="0">
        <v>491</v>
      </c>
      <c r="W15" t="s" s="0">
        <v>492</v>
      </c>
      <c r="X15" t="s" s="0">
        <v>81</v>
      </c>
      <c r="Y15" t="s" s="0">
        <v>81</v>
      </c>
      <c r="Z15" t="s" s="0">
        <v>90</v>
      </c>
      <c r="AA15" t="s" s="0">
        <v>493</v>
      </c>
      <c r="AB15" t="s" s="0">
        <v>81</v>
      </c>
      <c r="AC15" t="s" s="0">
        <v>81</v>
      </c>
      <c r="AD15" t="s" s="0">
        <v>81</v>
      </c>
      <c r="AE15" t="s" s="0">
        <v>81</v>
      </c>
      <c r="AF15" t="s" s="0">
        <v>81</v>
      </c>
      <c r="AG15" t="s" s="0">
        <v>494</v>
      </c>
      <c r="AH15" t="s" s="0">
        <v>495</v>
      </c>
      <c r="AI15" t="s" s="0">
        <v>496</v>
      </c>
      <c r="AJ15" t="s" s="0">
        <v>497</v>
      </c>
      <c r="AK15" t="s" s="0">
        <v>81</v>
      </c>
      <c r="AL15" t="s" s="0">
        <v>498</v>
      </c>
      <c r="AM15" t="s" s="0">
        <v>95</v>
      </c>
      <c r="AN15" t="s" s="0">
        <v>95</v>
      </c>
      <c r="AO15" t="s" s="0">
        <v>329</v>
      </c>
      <c r="AP15" t="s" s="0">
        <v>329</v>
      </c>
      <c r="AQ15" t="s" s="0">
        <v>421</v>
      </c>
      <c r="AR15" t="s" s="0">
        <v>499</v>
      </c>
      <c r="AS15" t="s" s="0">
        <v>500</v>
      </c>
      <c r="AT15" t="s" s="0">
        <v>501</v>
      </c>
      <c r="AU15" t="s" s="0">
        <v>502</v>
      </c>
      <c r="AV15" t="s" s="0">
        <v>81</v>
      </c>
      <c r="AW15" t="s" s="0">
        <v>503</v>
      </c>
      <c r="AX15" t="s" s="0">
        <v>504</v>
      </c>
      <c r="AY15" t="s" s="0">
        <v>81</v>
      </c>
      <c r="AZ15" t="s" s="0">
        <v>244</v>
      </c>
      <c r="BA15" t="s" s="0">
        <v>81</v>
      </c>
      <c r="BB15" t="s" s="0">
        <v>81</v>
      </c>
      <c r="BC15" t="s" s="0">
        <v>81</v>
      </c>
      <c r="BD15" t="s" s="0">
        <v>81</v>
      </c>
      <c r="BE15" t="s" s="0">
        <v>81</v>
      </c>
      <c r="BF15" t="s" s="0">
        <v>81</v>
      </c>
      <c r="BG15" t="s" s="0">
        <v>81</v>
      </c>
      <c r="BH15" t="s" s="0">
        <v>81</v>
      </c>
      <c r="BI15" t="s" s="0">
        <v>81</v>
      </c>
      <c r="BJ15" t="s" s="0">
        <v>505</v>
      </c>
      <c r="BK15" t="s" s="27">
        <f>HYPERLINK("http://dx.doi.org/10.1007/s00146-026-03023-8","http://dx.doi.org/10.1007/s00146-026-03023-8")</f>
        <v>506</v>
      </c>
      <c r="BL15" t="s" s="0">
        <v>81</v>
      </c>
      <c r="BM15" t="s" s="0">
        <v>507</v>
      </c>
      <c r="BN15" t="s" s="0">
        <v>106</v>
      </c>
      <c r="BO15" t="s" s="0">
        <v>508</v>
      </c>
      <c r="BP15" t="s" s="0">
        <v>509</v>
      </c>
      <c r="BQ15" t="s" s="0">
        <v>510</v>
      </c>
      <c r="BR15" t="s" s="0">
        <v>81</v>
      </c>
      <c r="BS15" t="s" s="0">
        <v>511</v>
      </c>
      <c r="BT15" t="s" s="28">
        <f>HYPERLINK("https://www.webofscience.com/wos/woscc/full-record/WOS:001752934800001","View Record in Web of Science")</f>
        <v>117</v>
      </c>
      <c r="BU15" t="s" s="0">
        <v>512</v>
      </c>
      <c r="BV15" t="s" s="0">
        <v>81</v>
      </c>
      <c r="BW15" t="s" s="0">
        <v>81</v>
      </c>
      <c r="BX15" t="s" s="0">
        <v>119</v>
      </c>
    </row>
    <row r="16">
      <c r="A16" t="s" s="0">
        <v>77</v>
      </c>
      <c r="B16" t="s" s="0">
        <v>77</v>
      </c>
      <c r="C16" t="s" s="0">
        <v>77</v>
      </c>
      <c r="D16" t="s" s="0">
        <v>77</v>
      </c>
      <c r="E16" t="s" s="0">
        <v>513</v>
      </c>
      <c r="F16" t="s" s="0">
        <v>514</v>
      </c>
      <c r="G16" t="s" s="0">
        <v>515</v>
      </c>
      <c r="H16" t="s" s="0">
        <v>81</v>
      </c>
      <c r="I16" t="s" s="0">
        <v>123</v>
      </c>
      <c r="J16" t="s" s="0">
        <v>516</v>
      </c>
      <c r="K16" t="s" s="0">
        <v>517</v>
      </c>
      <c r="L16" t="s" s="0">
        <v>81</v>
      </c>
      <c r="M16" t="s" s="0">
        <v>81</v>
      </c>
      <c r="N16" t="s" s="0">
        <v>81</v>
      </c>
      <c r="O16" t="s" s="0">
        <v>518</v>
      </c>
      <c r="P16" t="s" s="0">
        <v>81</v>
      </c>
      <c r="Q16" t="s" s="0">
        <v>87</v>
      </c>
      <c r="R16" t="s" s="0">
        <v>81</v>
      </c>
      <c r="S16" t="s" s="0">
        <v>81</v>
      </c>
      <c r="T16" t="s" s="0">
        <v>81</v>
      </c>
      <c r="U16" t="s" s="0">
        <v>81</v>
      </c>
      <c r="V16" t="s" s="0">
        <v>519</v>
      </c>
      <c r="W16" t="s" s="0">
        <v>520</v>
      </c>
      <c r="X16" t="s" s="0">
        <v>81</v>
      </c>
      <c r="Y16" t="s" s="0">
        <v>81</v>
      </c>
      <c r="Z16" t="s" s="0">
        <v>90</v>
      </c>
      <c r="AA16" t="s" s="0">
        <v>493</v>
      </c>
      <c r="AB16" t="s" s="0">
        <v>81</v>
      </c>
      <c r="AC16" t="s" s="0">
        <v>81</v>
      </c>
      <c r="AD16" t="s" s="0">
        <v>81</v>
      </c>
      <c r="AE16" t="s" s="0">
        <v>81</v>
      </c>
      <c r="AF16" t="s" s="0">
        <v>81</v>
      </c>
      <c r="AG16" t="s" s="0">
        <v>81</v>
      </c>
      <c r="AH16" t="s" s="0">
        <v>521</v>
      </c>
      <c r="AI16" t="s" s="0">
        <v>81</v>
      </c>
      <c r="AJ16" t="s" s="0">
        <v>81</v>
      </c>
      <c r="AK16" t="s" s="0">
        <v>81</v>
      </c>
      <c r="AL16" t="s" s="0">
        <v>106</v>
      </c>
      <c r="AM16" t="s" s="0">
        <v>77</v>
      </c>
      <c r="AN16" t="s" s="0">
        <v>77</v>
      </c>
      <c r="AO16" t="s" s="0">
        <v>77</v>
      </c>
      <c r="AP16" t="s" s="0">
        <v>77</v>
      </c>
      <c r="AQ16" t="s" s="0">
        <v>522</v>
      </c>
      <c r="AR16" t="s" s="0">
        <v>523</v>
      </c>
      <c r="AS16" t="s" s="0">
        <v>524</v>
      </c>
      <c r="AT16" t="s" s="0">
        <v>525</v>
      </c>
      <c r="AU16" t="s" s="0">
        <v>526</v>
      </c>
      <c r="AV16" t="s" s="0">
        <v>81</v>
      </c>
      <c r="AW16" t="s" s="0">
        <v>527</v>
      </c>
      <c r="AX16" t="s" s="0">
        <v>528</v>
      </c>
      <c r="AY16" t="s" s="0">
        <v>81</v>
      </c>
      <c r="AZ16" t="s" s="0">
        <v>244</v>
      </c>
      <c r="BA16" t="s" s="0">
        <v>81</v>
      </c>
      <c r="BB16" t="s" s="0">
        <v>81</v>
      </c>
      <c r="BC16" t="s" s="0">
        <v>81</v>
      </c>
      <c r="BD16" t="s" s="0">
        <v>81</v>
      </c>
      <c r="BE16" t="s" s="0">
        <v>81</v>
      </c>
      <c r="BF16" t="s" s="0">
        <v>81</v>
      </c>
      <c r="BG16" t="s" s="0">
        <v>81</v>
      </c>
      <c r="BH16" t="s" s="0">
        <v>81</v>
      </c>
      <c r="BI16" t="s" s="0">
        <v>81</v>
      </c>
      <c r="BJ16" t="s" s="0">
        <v>529</v>
      </c>
      <c r="BK16" t="s" s="29">
        <f>HYPERLINK("http://dx.doi.org/10.1002/arj.70231","http://dx.doi.org/10.1002/arj.70231")</f>
        <v>530</v>
      </c>
      <c r="BL16" t="s" s="0">
        <v>81</v>
      </c>
      <c r="BM16" t="s" s="0">
        <v>531</v>
      </c>
      <c r="BN16" t="s" s="0">
        <v>171</v>
      </c>
      <c r="BO16" t="s" s="0">
        <v>532</v>
      </c>
      <c r="BP16" t="s" s="0">
        <v>532</v>
      </c>
      <c r="BQ16" t="s" s="0">
        <v>533</v>
      </c>
      <c r="BR16" t="s" s="0">
        <v>534</v>
      </c>
      <c r="BS16" t="s" s="0">
        <v>535</v>
      </c>
      <c r="BT16" t="s" s="30">
        <f>HYPERLINK("https://www.webofscience.com/wos/woscc/full-record/WOS:001760243800001","View Record in Web of Science")</f>
        <v>117</v>
      </c>
      <c r="BU16" t="s" s="0">
        <v>81</v>
      </c>
      <c r="BV16" t="s" s="0">
        <v>81</v>
      </c>
      <c r="BW16" t="s" s="0">
        <v>81</v>
      </c>
      <c r="BX16" t="s" s="0">
        <v>119</v>
      </c>
    </row>
    <row r="17">
      <c r="A17" t="s" s="0">
        <v>77</v>
      </c>
      <c r="B17" t="s" s="0">
        <v>77</v>
      </c>
      <c r="C17" t="s" s="0">
        <v>77</v>
      </c>
      <c r="D17" t="s" s="0">
        <v>77</v>
      </c>
      <c r="E17" t="s" s="0">
        <v>536</v>
      </c>
      <c r="F17" t="s" s="0">
        <v>537</v>
      </c>
      <c r="G17" t="s" s="0">
        <v>538</v>
      </c>
      <c r="H17" t="s" s="0">
        <v>81</v>
      </c>
      <c r="I17" t="s" s="0">
        <v>344</v>
      </c>
      <c r="J17" t="s" s="0">
        <v>539</v>
      </c>
      <c r="K17" t="s" s="0">
        <v>540</v>
      </c>
      <c r="L17" t="s" s="0">
        <v>81</v>
      </c>
      <c r="M17" t="s" s="0">
        <v>81</v>
      </c>
      <c r="N17" t="s" s="0">
        <v>81</v>
      </c>
      <c r="O17" t="s" s="0">
        <v>541</v>
      </c>
      <c r="P17" t="s" s="0">
        <v>542</v>
      </c>
      <c r="Q17" t="s" s="0">
        <v>87</v>
      </c>
      <c r="R17" t="s" s="0">
        <v>81</v>
      </c>
      <c r="S17" t="s" s="0">
        <v>81</v>
      </c>
      <c r="T17" t="s" s="0">
        <v>81</v>
      </c>
      <c r="U17" t="s" s="0">
        <v>81</v>
      </c>
      <c r="V17" t="s" s="0">
        <v>543</v>
      </c>
      <c r="W17" t="s" s="0">
        <v>544</v>
      </c>
      <c r="X17" t="s" s="0">
        <v>81</v>
      </c>
      <c r="Y17" t="s" s="0">
        <v>81</v>
      </c>
      <c r="Z17" t="s" s="0">
        <v>90</v>
      </c>
      <c r="AA17" t="s" s="0">
        <v>91</v>
      </c>
      <c r="AB17" t="s" s="0">
        <v>81</v>
      </c>
      <c r="AC17" t="s" s="0">
        <v>81</v>
      </c>
      <c r="AD17" t="s" s="0">
        <v>81</v>
      </c>
      <c r="AE17" t="s" s="0">
        <v>81</v>
      </c>
      <c r="AF17" t="s" s="0">
        <v>81</v>
      </c>
      <c r="AG17" t="s" s="0">
        <v>545</v>
      </c>
      <c r="AH17" t="s" s="0">
        <v>81</v>
      </c>
      <c r="AI17" t="s" s="0">
        <v>546</v>
      </c>
      <c r="AJ17" t="s" s="0">
        <v>547</v>
      </c>
      <c r="AK17" t="s" s="0">
        <v>81</v>
      </c>
      <c r="AL17" t="s" s="0">
        <v>548</v>
      </c>
      <c r="AM17" t="s" s="0">
        <v>95</v>
      </c>
      <c r="AN17" t="s" s="0">
        <v>419</v>
      </c>
      <c r="AO17" t="s" s="0">
        <v>419</v>
      </c>
      <c r="AP17" t="s" s="0">
        <v>419</v>
      </c>
      <c r="AQ17" t="s" s="0">
        <v>174</v>
      </c>
      <c r="AR17" t="s" s="0">
        <v>175</v>
      </c>
      <c r="AS17" t="s" s="0">
        <v>176</v>
      </c>
      <c r="AT17" t="s" s="0">
        <v>81</v>
      </c>
      <c r="AU17" t="s" s="0">
        <v>549</v>
      </c>
      <c r="AV17" t="s" s="0">
        <v>81</v>
      </c>
      <c r="AW17" t="s" s="0">
        <v>550</v>
      </c>
      <c r="AX17" t="s" s="0">
        <v>551</v>
      </c>
      <c r="AY17" t="s" s="0">
        <v>552</v>
      </c>
      <c r="AZ17" t="s" s="0">
        <v>244</v>
      </c>
      <c r="BA17" t="s" s="0">
        <v>171</v>
      </c>
      <c r="BB17" t="s" s="0">
        <v>95</v>
      </c>
      <c r="BC17" t="s" s="0">
        <v>81</v>
      </c>
      <c r="BD17" t="s" s="0">
        <v>81</v>
      </c>
      <c r="BE17" t="s" s="0">
        <v>81</v>
      </c>
      <c r="BF17" t="s" s="0">
        <v>81</v>
      </c>
      <c r="BG17" t="s" s="0">
        <v>81</v>
      </c>
      <c r="BH17" t="s" s="0">
        <v>81</v>
      </c>
      <c r="BI17" t="s" s="0">
        <v>553</v>
      </c>
      <c r="BJ17" t="s" s="0">
        <v>554</v>
      </c>
      <c r="BK17" t="s" s="31">
        <f>HYPERLINK("http://dx.doi.org/10.3390/biomechanics6010023","http://dx.doi.org/10.3390/biomechanics6010023")</f>
        <v>555</v>
      </c>
      <c r="BL17" t="s" s="0">
        <v>81</v>
      </c>
      <c r="BM17" t="s" s="0">
        <v>81</v>
      </c>
      <c r="BN17" t="s" s="0">
        <v>106</v>
      </c>
      <c r="BO17" t="s" s="0">
        <v>556</v>
      </c>
      <c r="BP17" t="s" s="0">
        <v>557</v>
      </c>
      <c r="BQ17" t="s" s="0">
        <v>558</v>
      </c>
      <c r="BR17" t="s" s="0">
        <v>81</v>
      </c>
      <c r="BS17" t="s" s="0">
        <v>559</v>
      </c>
      <c r="BT17" t="s" s="32">
        <f>HYPERLINK("https://www.webofscience.com/wos/woscc/full-record/WOS:001725724200001","View Record in Web of Science")</f>
        <v>117</v>
      </c>
      <c r="BU17" t="s" s="0">
        <v>155</v>
      </c>
      <c r="BV17" t="s" s="0">
        <v>81</v>
      </c>
      <c r="BW17" t="s" s="0">
        <v>81</v>
      </c>
      <c r="BX17" t="s" s="0">
        <v>119</v>
      </c>
    </row>
    <row r="18">
      <c r="A18" t="s" s="0">
        <v>77</v>
      </c>
      <c r="B18" t="s" s="0">
        <v>77</v>
      </c>
      <c r="C18" t="s" s="0">
        <v>77</v>
      </c>
      <c r="D18" t="s" s="0">
        <v>77</v>
      </c>
      <c r="E18" t="s" s="0">
        <v>560</v>
      </c>
      <c r="F18" t="s" s="0">
        <v>561</v>
      </c>
      <c r="G18" t="s" s="0">
        <v>562</v>
      </c>
      <c r="H18" t="s" s="0">
        <v>81</v>
      </c>
      <c r="I18" t="s" s="0">
        <v>123</v>
      </c>
      <c r="J18" t="s" s="0">
        <v>563</v>
      </c>
      <c r="K18" t="s" s="0">
        <v>564</v>
      </c>
      <c r="L18" t="s" s="0">
        <v>565</v>
      </c>
      <c r="M18" t="s" s="0">
        <v>566</v>
      </c>
      <c r="N18" t="s" s="0">
        <v>567</v>
      </c>
      <c r="O18" t="s" s="0">
        <v>568</v>
      </c>
      <c r="P18" t="s" s="0">
        <v>569</v>
      </c>
      <c r="Q18" t="s" s="0">
        <v>87</v>
      </c>
      <c r="R18" t="s" s="0">
        <v>81</v>
      </c>
      <c r="S18" t="s" s="0">
        <v>81</v>
      </c>
      <c r="T18" t="s" s="0">
        <v>81</v>
      </c>
      <c r="U18" t="s" s="0">
        <v>81</v>
      </c>
      <c r="V18" t="s" s="0">
        <v>570</v>
      </c>
      <c r="W18" t="s" s="0">
        <v>571</v>
      </c>
      <c r="X18" t="s" s="0">
        <v>81</v>
      </c>
      <c r="Y18" t="s" s="0">
        <v>81</v>
      </c>
      <c r="Z18" t="s" s="0">
        <v>90</v>
      </c>
      <c r="AA18" t="s" s="0">
        <v>91</v>
      </c>
      <c r="AB18" t="s" s="0">
        <v>81</v>
      </c>
      <c r="AC18" t="s" s="0">
        <v>81</v>
      </c>
      <c r="AD18" t="s" s="0">
        <v>81</v>
      </c>
      <c r="AE18" t="s" s="0">
        <v>81</v>
      </c>
      <c r="AF18" t="s" s="0">
        <v>81</v>
      </c>
      <c r="AG18" t="s" s="0">
        <v>572</v>
      </c>
      <c r="AH18" t="s" s="0">
        <v>81</v>
      </c>
      <c r="AI18" t="s" s="0">
        <v>573</v>
      </c>
      <c r="AJ18" t="s" s="0">
        <v>574</v>
      </c>
      <c r="AK18" t="s" s="0">
        <v>81</v>
      </c>
      <c r="AL18" t="s" s="0">
        <v>575</v>
      </c>
      <c r="AM18" t="s" s="0">
        <v>96</v>
      </c>
      <c r="AN18" t="s" s="0">
        <v>96</v>
      </c>
      <c r="AO18" t="s" s="0">
        <v>419</v>
      </c>
      <c r="AP18" t="s" s="0">
        <v>419</v>
      </c>
      <c r="AQ18" t="s" s="0">
        <v>264</v>
      </c>
      <c r="AR18" t="s" s="0">
        <v>265</v>
      </c>
      <c r="AS18" t="s" s="0">
        <v>266</v>
      </c>
      <c r="AT18" t="s" s="0">
        <v>576</v>
      </c>
      <c r="AU18" t="s" s="0">
        <v>577</v>
      </c>
      <c r="AV18" t="s" s="0">
        <v>81</v>
      </c>
      <c r="AW18" t="s" s="0">
        <v>578</v>
      </c>
      <c r="AX18" t="s" s="0">
        <v>579</v>
      </c>
      <c r="AY18" t="s" s="0">
        <v>507</v>
      </c>
      <c r="AZ18" t="s" s="0">
        <v>244</v>
      </c>
      <c r="BA18" t="s" s="0">
        <v>580</v>
      </c>
      <c r="BB18" t="s" s="0">
        <v>273</v>
      </c>
      <c r="BC18" t="s" s="0">
        <v>81</v>
      </c>
      <c r="BD18" t="s" s="0">
        <v>81</v>
      </c>
      <c r="BE18" t="s" s="0">
        <v>81</v>
      </c>
      <c r="BF18" t="s" s="0">
        <v>81</v>
      </c>
      <c r="BG18" t="s" s="0">
        <v>581</v>
      </c>
      <c r="BH18" t="s" s="0">
        <v>582</v>
      </c>
      <c r="BI18" t="s" s="0">
        <v>81</v>
      </c>
      <c r="BJ18" t="s" s="0">
        <v>583</v>
      </c>
      <c r="BK18" t="s" s="33">
        <f>HYPERLINK("http://dx.doi.org/10.14309/ajg.0000000000003944","http://dx.doi.org/10.14309/ajg.0000000000003944")</f>
        <v>584</v>
      </c>
      <c r="BL18" t="s" s="0">
        <v>81</v>
      </c>
      <c r="BM18" t="s" s="0">
        <v>81</v>
      </c>
      <c r="BN18" t="s" s="0">
        <v>468</v>
      </c>
      <c r="BO18" t="s" s="0">
        <v>585</v>
      </c>
      <c r="BP18" t="s" s="0">
        <v>585</v>
      </c>
      <c r="BQ18" t="s" s="0">
        <v>586</v>
      </c>
      <c r="BR18" t="s" s="0">
        <v>587</v>
      </c>
      <c r="BS18" t="s" s="0">
        <v>588</v>
      </c>
      <c r="BT18" t="s" s="34">
        <f>HYPERLINK("https://www.webofscience.com/wos/woscc/full-record/WOS:001735069500037","View Record in Web of Science")</f>
        <v>117</v>
      </c>
      <c r="BU18" t="s" s="0">
        <v>81</v>
      </c>
      <c r="BV18" t="s" s="0">
        <v>81</v>
      </c>
      <c r="BW18" t="s" s="0">
        <v>81</v>
      </c>
      <c r="BX18" t="s" s="0">
        <v>119</v>
      </c>
    </row>
    <row r="19">
      <c r="A19" t="s" s="0">
        <v>77</v>
      </c>
      <c r="B19" t="s" s="0">
        <v>77</v>
      </c>
      <c r="C19" t="s" s="0">
        <v>77</v>
      </c>
      <c r="D19" t="s" s="0">
        <v>77</v>
      </c>
      <c r="E19" t="s" s="0">
        <v>589</v>
      </c>
      <c r="F19" t="s" s="0">
        <v>590</v>
      </c>
      <c r="G19" t="s" s="0">
        <v>591</v>
      </c>
      <c r="H19" t="s" s="0">
        <v>81</v>
      </c>
      <c r="I19" t="s" s="0">
        <v>159</v>
      </c>
      <c r="J19" t="s" s="0">
        <v>592</v>
      </c>
      <c r="K19" t="s" s="0">
        <v>593</v>
      </c>
      <c r="L19" t="s" s="0">
        <v>81</v>
      </c>
      <c r="M19" t="s" s="0">
        <v>81</v>
      </c>
      <c r="N19" t="s" s="0">
        <v>81</v>
      </c>
      <c r="O19" t="s" s="0">
        <v>594</v>
      </c>
      <c r="P19" t="s" s="0">
        <v>595</v>
      </c>
      <c r="Q19" t="s" s="0">
        <v>87</v>
      </c>
      <c r="R19" t="s" s="0">
        <v>81</v>
      </c>
      <c r="S19" t="s" s="0">
        <v>81</v>
      </c>
      <c r="T19" t="s" s="0">
        <v>81</v>
      </c>
      <c r="U19" t="s" s="0">
        <v>81</v>
      </c>
      <c r="V19" t="s" s="0">
        <v>596</v>
      </c>
      <c r="W19" t="s" s="0">
        <v>597</v>
      </c>
      <c r="X19" t="s" s="0">
        <v>81</v>
      </c>
      <c r="Y19" t="s" s="0">
        <v>81</v>
      </c>
      <c r="Z19" t="s" s="0">
        <v>90</v>
      </c>
      <c r="AA19" t="s" s="0">
        <v>91</v>
      </c>
      <c r="AB19" t="s" s="0">
        <v>81</v>
      </c>
      <c r="AC19" t="s" s="0">
        <v>81</v>
      </c>
      <c r="AD19" t="s" s="0">
        <v>81</v>
      </c>
      <c r="AE19" t="s" s="0">
        <v>81</v>
      </c>
      <c r="AF19" t="s" s="0">
        <v>81</v>
      </c>
      <c r="AG19" t="s" s="0">
        <v>598</v>
      </c>
      <c r="AH19" t="s" s="0">
        <v>81</v>
      </c>
      <c r="AI19" t="s" s="0">
        <v>599</v>
      </c>
      <c r="AJ19" t="s" s="0">
        <v>600</v>
      </c>
      <c r="AK19" t="s" s="0">
        <v>81</v>
      </c>
      <c r="AL19" t="s" s="0">
        <v>212</v>
      </c>
      <c r="AM19" t="s" s="0">
        <v>95</v>
      </c>
      <c r="AN19" t="s" s="0">
        <v>95</v>
      </c>
      <c r="AO19" t="s" s="0">
        <v>95</v>
      </c>
      <c r="AP19" t="s" s="0">
        <v>95</v>
      </c>
      <c r="AQ19" t="s" s="0">
        <v>522</v>
      </c>
      <c r="AR19" t="s" s="0">
        <v>523</v>
      </c>
      <c r="AS19" t="s" s="0">
        <v>524</v>
      </c>
      <c r="AT19" t="s" s="0">
        <v>601</v>
      </c>
      <c r="AU19" t="s" s="0">
        <v>602</v>
      </c>
      <c r="AV19" t="s" s="0">
        <v>81</v>
      </c>
      <c r="AW19" t="s" s="0">
        <v>603</v>
      </c>
      <c r="AX19" t="s" s="0">
        <v>604</v>
      </c>
      <c r="AY19" t="s" s="0">
        <v>605</v>
      </c>
      <c r="AZ19" t="s" s="0">
        <v>244</v>
      </c>
      <c r="BA19" t="s" s="0">
        <v>606</v>
      </c>
      <c r="BB19" t="s" s="0">
        <v>95</v>
      </c>
      <c r="BC19" t="s" s="0">
        <v>81</v>
      </c>
      <c r="BD19" t="s" s="0">
        <v>81</v>
      </c>
      <c r="BE19" t="s" s="0">
        <v>81</v>
      </c>
      <c r="BF19" t="s" s="0">
        <v>81</v>
      </c>
      <c r="BG19" t="s" s="0">
        <v>81</v>
      </c>
      <c r="BH19" t="s" s="0">
        <v>81</v>
      </c>
      <c r="BI19" t="s" s="0">
        <v>607</v>
      </c>
      <c r="BJ19" t="s" s="0">
        <v>608</v>
      </c>
      <c r="BK19" t="s" s="35">
        <f>HYPERLINK("http://dx.doi.org/10.1111/inr.70174","http://dx.doi.org/10.1111/inr.70174")</f>
        <v>609</v>
      </c>
      <c r="BL19" t="s" s="0">
        <v>81</v>
      </c>
      <c r="BM19" t="s" s="0">
        <v>81</v>
      </c>
      <c r="BN19" t="s" s="0">
        <v>171</v>
      </c>
      <c r="BO19" t="s" s="0">
        <v>610</v>
      </c>
      <c r="BP19" t="s" s="0">
        <v>610</v>
      </c>
      <c r="BQ19" t="s" s="0">
        <v>611</v>
      </c>
      <c r="BR19" t="s" s="0">
        <v>612</v>
      </c>
      <c r="BS19" t="s" s="0">
        <v>613</v>
      </c>
      <c r="BT19" t="s" s="36">
        <f>HYPERLINK("https://www.webofscience.com/wos/woscc/full-record/WOS:001723761100010","View Record in Web of Science")</f>
        <v>117</v>
      </c>
      <c r="BU19" t="s" s="0">
        <v>81</v>
      </c>
      <c r="BV19" t="s" s="0">
        <v>81</v>
      </c>
      <c r="BW19" t="s" s="0">
        <v>81</v>
      </c>
      <c r="BX19" t="s" s="0">
        <v>119</v>
      </c>
    </row>
    <row r="20">
      <c r="A20" t="s" s="0">
        <v>77</v>
      </c>
      <c r="B20" t="s" s="0">
        <v>77</v>
      </c>
      <c r="C20" t="s" s="0">
        <v>77</v>
      </c>
      <c r="D20" t="s" s="0">
        <v>77</v>
      </c>
      <c r="E20" t="s" s="0">
        <v>614</v>
      </c>
      <c r="F20" t="s" s="0">
        <v>615</v>
      </c>
      <c r="G20" t="s" s="0">
        <v>616</v>
      </c>
      <c r="H20" t="s" s="0">
        <v>81</v>
      </c>
      <c r="I20" t="s" s="0">
        <v>123</v>
      </c>
      <c r="J20" t="s" s="0">
        <v>617</v>
      </c>
      <c r="K20" t="s" s="0">
        <v>618</v>
      </c>
      <c r="L20" t="s" s="0">
        <v>81</v>
      </c>
      <c r="M20" t="s" s="0">
        <v>81</v>
      </c>
      <c r="N20" t="s" s="0">
        <v>81</v>
      </c>
      <c r="O20" t="s" s="0">
        <v>619</v>
      </c>
      <c r="P20" t="s" s="0">
        <v>620</v>
      </c>
      <c r="Q20" t="s" s="0">
        <v>87</v>
      </c>
      <c r="R20" t="s" s="0">
        <v>81</v>
      </c>
      <c r="S20" t="s" s="0">
        <v>81</v>
      </c>
      <c r="T20" t="s" s="0">
        <v>81</v>
      </c>
      <c r="U20" t="s" s="0">
        <v>81</v>
      </c>
      <c r="V20" t="s" s="0">
        <v>621</v>
      </c>
      <c r="W20" t="s" s="0">
        <v>131</v>
      </c>
      <c r="X20" t="s" s="0">
        <v>81</v>
      </c>
      <c r="Y20" t="s" s="0">
        <v>81</v>
      </c>
      <c r="Z20" t="s" s="0">
        <v>90</v>
      </c>
      <c r="AA20" t="s" s="0">
        <v>91</v>
      </c>
      <c r="AB20" t="s" s="0">
        <v>81</v>
      </c>
      <c r="AC20" t="s" s="0">
        <v>81</v>
      </c>
      <c r="AD20" t="s" s="0">
        <v>81</v>
      </c>
      <c r="AE20" t="s" s="0">
        <v>81</v>
      </c>
      <c r="AF20" t="s" s="0">
        <v>81</v>
      </c>
      <c r="AG20" t="s" s="0">
        <v>622</v>
      </c>
      <c r="AH20" t="s" s="0">
        <v>81</v>
      </c>
      <c r="AI20" t="s" s="0">
        <v>623</v>
      </c>
      <c r="AJ20" t="s" s="0">
        <v>624</v>
      </c>
      <c r="AK20" t="s" s="0">
        <v>81</v>
      </c>
      <c r="AL20" t="s" s="0">
        <v>625</v>
      </c>
      <c r="AM20" t="s" s="0">
        <v>96</v>
      </c>
      <c r="AN20" t="s" s="0">
        <v>273</v>
      </c>
      <c r="AO20" t="s" s="0">
        <v>449</v>
      </c>
      <c r="AP20" t="s" s="0">
        <v>94</v>
      </c>
      <c r="AQ20" t="s" s="0">
        <v>140</v>
      </c>
      <c r="AR20" t="s" s="0">
        <v>141</v>
      </c>
      <c r="AS20" t="s" s="0">
        <v>142</v>
      </c>
      <c r="AT20" t="s" s="0">
        <v>143</v>
      </c>
      <c r="AU20" t="s" s="0">
        <v>81</v>
      </c>
      <c r="AV20" t="s" s="0">
        <v>81</v>
      </c>
      <c r="AW20" t="s" s="0">
        <v>131</v>
      </c>
      <c r="AX20" t="s" s="0">
        <v>144</v>
      </c>
      <c r="AY20" t="s" s="0">
        <v>244</v>
      </c>
      <c r="AZ20" t="s" s="0">
        <v>244</v>
      </c>
      <c r="BA20" t="s" s="0">
        <v>444</v>
      </c>
      <c r="BB20" t="s" s="0">
        <v>81</v>
      </c>
      <c r="BC20" t="s" s="0">
        <v>81</v>
      </c>
      <c r="BD20" t="s" s="0">
        <v>81</v>
      </c>
      <c r="BE20" t="s" s="0">
        <v>81</v>
      </c>
      <c r="BF20" t="s" s="0">
        <v>81</v>
      </c>
      <c r="BG20" t="s" s="0">
        <v>626</v>
      </c>
      <c r="BH20" t="s" s="0">
        <v>627</v>
      </c>
      <c r="BI20" t="s" s="0">
        <v>81</v>
      </c>
      <c r="BJ20" t="s" s="0">
        <v>628</v>
      </c>
      <c r="BK20" t="s" s="37">
        <f>HYPERLINK("http://dx.doi.org/10.1109/ACCESS.2025.3647479","http://dx.doi.org/10.1109/ACCESS.2025.3647479")</f>
        <v>629</v>
      </c>
      <c r="BL20" t="s" s="0">
        <v>81</v>
      </c>
      <c r="BM20" t="s" s="0">
        <v>81</v>
      </c>
      <c r="BN20" t="s" s="0">
        <v>575</v>
      </c>
      <c r="BO20" t="s" s="0">
        <v>151</v>
      </c>
      <c r="BP20" t="s" s="0">
        <v>152</v>
      </c>
      <c r="BQ20" t="s" s="0">
        <v>630</v>
      </c>
      <c r="BR20" t="s" s="0">
        <v>81</v>
      </c>
      <c r="BS20" t="s" s="0">
        <v>631</v>
      </c>
      <c r="BT20" t="s" s="38">
        <f>HYPERLINK("https://www.webofscience.com/wos/woscc/full-record/WOS:001655714700001","View Record in Web of Science")</f>
        <v>117</v>
      </c>
      <c r="BU20" t="s" s="0">
        <v>118</v>
      </c>
      <c r="BV20" t="s" s="0">
        <v>81</v>
      </c>
      <c r="BW20" t="s" s="0">
        <v>81</v>
      </c>
      <c r="BX20" t="s" s="0">
        <v>119</v>
      </c>
    </row>
    <row r="21">
      <c r="A21" t="s" s="0">
        <v>77</v>
      </c>
      <c r="B21" t="s" s="0">
        <v>77</v>
      </c>
      <c r="C21" t="s" s="0">
        <v>77</v>
      </c>
      <c r="D21" t="s" s="0">
        <v>77</v>
      </c>
      <c r="E21" t="s" s="0">
        <v>632</v>
      </c>
      <c r="F21" t="s" s="0">
        <v>633</v>
      </c>
      <c r="G21" t="s" s="0">
        <v>634</v>
      </c>
      <c r="H21" t="s" s="0">
        <v>81</v>
      </c>
      <c r="I21" t="s" s="0">
        <v>159</v>
      </c>
      <c r="J21" t="s" s="0">
        <v>635</v>
      </c>
      <c r="K21" t="s" s="0">
        <v>636</v>
      </c>
      <c r="L21" t="s" s="0">
        <v>81</v>
      </c>
      <c r="M21" t="s" s="0">
        <v>81</v>
      </c>
      <c r="N21" t="s" s="0">
        <v>81</v>
      </c>
      <c r="O21" t="s" s="0">
        <v>637</v>
      </c>
      <c r="P21" t="s" s="0">
        <v>638</v>
      </c>
      <c r="Q21" t="s" s="0">
        <v>87</v>
      </c>
      <c r="R21" t="s" s="0">
        <v>81</v>
      </c>
      <c r="S21" t="s" s="0">
        <v>81</v>
      </c>
      <c r="T21" t="s" s="0">
        <v>81</v>
      </c>
      <c r="U21" t="s" s="0">
        <v>81</v>
      </c>
      <c r="V21" t="s" s="0">
        <v>639</v>
      </c>
      <c r="W21" t="s" s="0">
        <v>640</v>
      </c>
      <c r="X21" t="s" s="0">
        <v>81</v>
      </c>
      <c r="Y21" t="s" s="0">
        <v>81</v>
      </c>
      <c r="Z21" t="s" s="0">
        <v>90</v>
      </c>
      <c r="AA21" t="s" s="0">
        <v>91</v>
      </c>
      <c r="AB21" t="s" s="0">
        <v>81</v>
      </c>
      <c r="AC21" t="s" s="0">
        <v>81</v>
      </c>
      <c r="AD21" t="s" s="0">
        <v>81</v>
      </c>
      <c r="AE21" t="s" s="0">
        <v>81</v>
      </c>
      <c r="AF21" t="s" s="0">
        <v>81</v>
      </c>
      <c r="AG21" t="s" s="0">
        <v>641</v>
      </c>
      <c r="AH21" t="s" s="0">
        <v>81</v>
      </c>
      <c r="AI21" t="s" s="0">
        <v>642</v>
      </c>
      <c r="AJ21" t="s" s="0">
        <v>81</v>
      </c>
      <c r="AK21" t="s" s="0">
        <v>81</v>
      </c>
      <c r="AL21" t="s" s="0">
        <v>106</v>
      </c>
      <c r="AM21" t="s" s="0">
        <v>77</v>
      </c>
      <c r="AN21" t="s" s="0">
        <v>77</v>
      </c>
      <c r="AO21" t="s" s="0">
        <v>77</v>
      </c>
      <c r="AP21" t="s" s="0">
        <v>77</v>
      </c>
      <c r="AQ21" t="s" s="0">
        <v>643</v>
      </c>
      <c r="AR21" t="s" s="0">
        <v>644</v>
      </c>
      <c r="AS21" t="s" s="0">
        <v>645</v>
      </c>
      <c r="AT21" t="s" s="0">
        <v>81</v>
      </c>
      <c r="AU21" t="s" s="0">
        <v>646</v>
      </c>
      <c r="AV21" t="s" s="0">
        <v>81</v>
      </c>
      <c r="AW21" t="s" s="0">
        <v>647</v>
      </c>
      <c r="AX21" t="s" s="0">
        <v>648</v>
      </c>
      <c r="AY21" t="s" s="0">
        <v>649</v>
      </c>
      <c r="AZ21" t="s" s="0">
        <v>244</v>
      </c>
      <c r="BA21" t="s" s="0">
        <v>444</v>
      </c>
      <c r="BB21" t="s" s="0">
        <v>81</v>
      </c>
      <c r="BC21" t="s" s="0">
        <v>81</v>
      </c>
      <c r="BD21" t="s" s="0">
        <v>81</v>
      </c>
      <c r="BE21" t="s" s="0">
        <v>81</v>
      </c>
      <c r="BF21" t="s" s="0">
        <v>81</v>
      </c>
      <c r="BG21" t="s" s="0">
        <v>81</v>
      </c>
      <c r="BH21" t="s" s="0">
        <v>81</v>
      </c>
      <c r="BI21" t="s" s="0">
        <v>650</v>
      </c>
      <c r="BJ21" t="s" s="0">
        <v>651</v>
      </c>
      <c r="BK21" t="s" s="39">
        <f>HYPERLINK("http://dx.doi.org/10.3389/fpubh.2026.1879677","http://dx.doi.org/10.3389/fpubh.2026.1879677")</f>
        <v>652</v>
      </c>
      <c r="BL21" t="s" s="0">
        <v>81</v>
      </c>
      <c r="BM21" t="s" s="0">
        <v>81</v>
      </c>
      <c r="BN21" t="s" s="0">
        <v>112</v>
      </c>
      <c r="BO21" t="s" s="0">
        <v>113</v>
      </c>
      <c r="BP21" t="s" s="0">
        <v>113</v>
      </c>
      <c r="BQ21" t="s" s="0">
        <v>653</v>
      </c>
      <c r="BR21" t="s" s="0">
        <v>654</v>
      </c>
      <c r="BS21" t="s" s="0">
        <v>655</v>
      </c>
      <c r="BT21" t="s" s="40">
        <f>HYPERLINK("https://www.webofscience.com/wos/woscc/full-record/WOS:001834216900001","View Record in Web of Science")</f>
        <v>117</v>
      </c>
      <c r="BU21" t="s" s="0">
        <v>155</v>
      </c>
      <c r="BV21" t="s" s="0">
        <v>81</v>
      </c>
      <c r="BW21" t="s" s="0">
        <v>81</v>
      </c>
      <c r="BX21" t="s" s="0">
        <v>119</v>
      </c>
    </row>
    <row r="22">
      <c r="A22" t="s" s="0">
        <v>77</v>
      </c>
      <c r="B22" t="s" s="0">
        <v>77</v>
      </c>
      <c r="C22" t="s" s="0">
        <v>77</v>
      </c>
      <c r="D22" t="s" s="0">
        <v>77</v>
      </c>
      <c r="E22" t="s" s="0">
        <v>656</v>
      </c>
      <c r="F22" t="s" s="0">
        <v>657</v>
      </c>
      <c r="G22" t="s" s="0">
        <v>658</v>
      </c>
      <c r="H22" t="s" s="0">
        <v>81</v>
      </c>
      <c r="I22" t="s" s="0">
        <v>159</v>
      </c>
      <c r="J22" t="s" s="0">
        <v>659</v>
      </c>
      <c r="K22" t="s" s="0">
        <v>660</v>
      </c>
      <c r="L22" t="s" s="0">
        <v>661</v>
      </c>
      <c r="M22" t="s" s="0">
        <v>662</v>
      </c>
      <c r="N22" t="s" s="0">
        <v>663</v>
      </c>
      <c r="O22" t="s" s="0">
        <v>664</v>
      </c>
      <c r="P22" t="s" s="0">
        <v>665</v>
      </c>
      <c r="Q22" t="s" s="0">
        <v>87</v>
      </c>
      <c r="R22" t="s" s="0">
        <v>81</v>
      </c>
      <c r="S22" t="s" s="0">
        <v>81</v>
      </c>
      <c r="T22" t="s" s="0">
        <v>81</v>
      </c>
      <c r="U22" t="s" s="0">
        <v>81</v>
      </c>
      <c r="V22" t="s" s="0">
        <v>666</v>
      </c>
      <c r="W22" t="s" s="0">
        <v>667</v>
      </c>
      <c r="X22" t="s" s="0">
        <v>81</v>
      </c>
      <c r="Y22" t="s" s="0">
        <v>81</v>
      </c>
      <c r="Z22" t="s" s="0">
        <v>90</v>
      </c>
      <c r="AA22" t="s" s="0">
        <v>91</v>
      </c>
      <c r="AB22" t="s" s="0">
        <v>81</v>
      </c>
      <c r="AC22" t="s" s="0">
        <v>81</v>
      </c>
      <c r="AD22" t="s" s="0">
        <v>81</v>
      </c>
      <c r="AE22" t="s" s="0">
        <v>81</v>
      </c>
      <c r="AF22" t="s" s="0">
        <v>81</v>
      </c>
      <c r="AG22" t="s" s="0">
        <v>668</v>
      </c>
      <c r="AH22" t="s" s="0">
        <v>81</v>
      </c>
      <c r="AI22" t="s" s="0">
        <v>669</v>
      </c>
      <c r="AJ22" t="s" s="0">
        <v>670</v>
      </c>
      <c r="AK22" t="s" s="0">
        <v>81</v>
      </c>
      <c r="AL22" t="s" s="0">
        <v>671</v>
      </c>
      <c r="AM22" t="s" s="0">
        <v>77</v>
      </c>
      <c r="AN22" t="s" s="0">
        <v>77</v>
      </c>
      <c r="AO22" t="s" s="0">
        <v>96</v>
      </c>
      <c r="AP22" t="s" s="0">
        <v>96</v>
      </c>
      <c r="AQ22" t="s" s="0">
        <v>522</v>
      </c>
      <c r="AR22" t="s" s="0">
        <v>523</v>
      </c>
      <c r="AS22" t="s" s="0">
        <v>524</v>
      </c>
      <c r="AT22" t="s" s="0">
        <v>672</v>
      </c>
      <c r="AU22" t="s" s="0">
        <v>673</v>
      </c>
      <c r="AV22" t="s" s="0">
        <v>81</v>
      </c>
      <c r="AW22" t="s" s="0">
        <v>674</v>
      </c>
      <c r="AX22" t="s" s="0">
        <v>675</v>
      </c>
      <c r="AY22" t="s" s="0">
        <v>244</v>
      </c>
      <c r="AZ22" t="s" s="0">
        <v>244</v>
      </c>
      <c r="BA22" t="s" s="0">
        <v>244</v>
      </c>
      <c r="BB22" t="s" s="0">
        <v>95</v>
      </c>
      <c r="BC22" t="s" s="0">
        <v>81</v>
      </c>
      <c r="BD22" t="s" s="0">
        <v>81</v>
      </c>
      <c r="BE22" t="s" s="0">
        <v>81</v>
      </c>
      <c r="BF22" t="s" s="0">
        <v>81</v>
      </c>
      <c r="BG22" t="s" s="0">
        <v>81</v>
      </c>
      <c r="BH22" t="s" s="0">
        <v>81</v>
      </c>
      <c r="BI22" t="s" s="0">
        <v>676</v>
      </c>
      <c r="BJ22" t="s" s="0">
        <v>677</v>
      </c>
      <c r="BK22" t="s" s="41">
        <f>HYPERLINK("http://dx.doi.org/10.1155/jonm/5338801","http://dx.doi.org/10.1155/jonm/5338801")</f>
        <v>678</v>
      </c>
      <c r="BL22" t="s" s="0">
        <v>81</v>
      </c>
      <c r="BM22" t="s" s="0">
        <v>81</v>
      </c>
      <c r="BN22" t="s" s="0">
        <v>444</v>
      </c>
      <c r="BO22" t="s" s="0">
        <v>679</v>
      </c>
      <c r="BP22" t="s" s="0">
        <v>680</v>
      </c>
      <c r="BQ22" t="s" s="0">
        <v>681</v>
      </c>
      <c r="BR22" t="s" s="0">
        <v>682</v>
      </c>
      <c r="BS22" t="s" s="0">
        <v>683</v>
      </c>
      <c r="BT22" t="s" s="42">
        <f>HYPERLINK("https://www.webofscience.com/wos/woscc/full-record/WOS:001827843100001","View Record in Web of Science")</f>
        <v>117</v>
      </c>
      <c r="BU22" t="s" s="0">
        <v>435</v>
      </c>
      <c r="BV22" t="s" s="0">
        <v>81</v>
      </c>
      <c r="BW22" t="s" s="0">
        <v>81</v>
      </c>
      <c r="BX22" t="s" s="0">
        <v>119</v>
      </c>
    </row>
    <row r="23">
      <c r="A23" t="s" s="0">
        <v>77</v>
      </c>
      <c r="B23" t="s" s="0">
        <v>77</v>
      </c>
      <c r="C23" t="s" s="0">
        <v>77</v>
      </c>
      <c r="D23" t="s" s="0">
        <v>77</v>
      </c>
      <c r="E23" t="s" s="0">
        <v>684</v>
      </c>
      <c r="F23" t="s" s="0">
        <v>685</v>
      </c>
      <c r="G23" t="s" s="0">
        <v>686</v>
      </c>
      <c r="H23" t="s" s="0">
        <v>81</v>
      </c>
      <c r="I23" t="s" s="0">
        <v>344</v>
      </c>
      <c r="J23" t="s" s="0">
        <v>687</v>
      </c>
      <c r="K23" t="s" s="0">
        <v>688</v>
      </c>
      <c r="L23" t="s" s="0">
        <v>689</v>
      </c>
      <c r="M23" t="s" s="0">
        <v>689</v>
      </c>
      <c r="N23" t="s" s="0">
        <v>690</v>
      </c>
      <c r="O23" t="s" s="0">
        <v>691</v>
      </c>
      <c r="P23" t="s" s="0">
        <v>692</v>
      </c>
      <c r="Q23" t="s" s="0">
        <v>87</v>
      </c>
      <c r="R23" t="s" s="0">
        <v>81</v>
      </c>
      <c r="S23" t="s" s="0">
        <v>81</v>
      </c>
      <c r="T23" t="s" s="0">
        <v>81</v>
      </c>
      <c r="U23" t="s" s="0">
        <v>81</v>
      </c>
      <c r="V23" t="s" s="0">
        <v>693</v>
      </c>
      <c r="W23" t="s" s="0">
        <v>694</v>
      </c>
      <c r="X23" t="s" s="0">
        <v>81</v>
      </c>
      <c r="Y23" t="s" s="0">
        <v>81</v>
      </c>
      <c r="Z23" t="s" s="0">
        <v>90</v>
      </c>
      <c r="AA23" t="s" s="0">
        <v>493</v>
      </c>
      <c r="AB23" t="s" s="0">
        <v>81</v>
      </c>
      <c r="AC23" t="s" s="0">
        <v>81</v>
      </c>
      <c r="AD23" t="s" s="0">
        <v>81</v>
      </c>
      <c r="AE23" t="s" s="0">
        <v>81</v>
      </c>
      <c r="AF23" t="s" s="0">
        <v>81</v>
      </c>
      <c r="AG23" t="s" s="0">
        <v>695</v>
      </c>
      <c r="AH23" t="s" s="0">
        <v>696</v>
      </c>
      <c r="AI23" t="s" s="0">
        <v>697</v>
      </c>
      <c r="AJ23" t="s" s="0">
        <v>81</v>
      </c>
      <c r="AK23" t="s" s="0">
        <v>81</v>
      </c>
      <c r="AL23" t="s" s="0">
        <v>671</v>
      </c>
      <c r="AM23" t="s" s="0">
        <v>77</v>
      </c>
      <c r="AN23" t="s" s="0">
        <v>77</v>
      </c>
      <c r="AO23" t="s" s="0">
        <v>95</v>
      </c>
      <c r="AP23" t="s" s="0">
        <v>95</v>
      </c>
      <c r="AQ23" t="s" s="0">
        <v>698</v>
      </c>
      <c r="AR23" t="s" s="0">
        <v>699</v>
      </c>
      <c r="AS23" t="s" s="0">
        <v>700</v>
      </c>
      <c r="AT23" t="s" s="0">
        <v>701</v>
      </c>
      <c r="AU23" t="s" s="0">
        <v>702</v>
      </c>
      <c r="AV23" t="s" s="0">
        <v>81</v>
      </c>
      <c r="AW23" t="s" s="0">
        <v>703</v>
      </c>
      <c r="AX23" t="s" s="0">
        <v>704</v>
      </c>
      <c r="AY23" t="s" s="0">
        <v>81</v>
      </c>
      <c r="AZ23" t="s" s="0">
        <v>244</v>
      </c>
      <c r="BA23" t="s" s="0">
        <v>81</v>
      </c>
      <c r="BB23" t="s" s="0">
        <v>81</v>
      </c>
      <c r="BC23" t="s" s="0">
        <v>81</v>
      </c>
      <c r="BD23" t="s" s="0">
        <v>81</v>
      </c>
      <c r="BE23" t="s" s="0">
        <v>81</v>
      </c>
      <c r="BF23" t="s" s="0">
        <v>81</v>
      </c>
      <c r="BG23" t="s" s="0">
        <v>81</v>
      </c>
      <c r="BH23" t="s" s="0">
        <v>81</v>
      </c>
      <c r="BI23" t="s" s="0">
        <v>81</v>
      </c>
      <c r="BJ23" t="s" s="0">
        <v>705</v>
      </c>
      <c r="BK23" t="s" s="43">
        <f>HYPERLINK("http://dx.doi.org/10.1080/15313220.2026.2640913","http://dx.doi.org/10.1080/15313220.2026.2640913")</f>
        <v>706</v>
      </c>
      <c r="BL23" t="s" s="0">
        <v>81</v>
      </c>
      <c r="BM23" t="s" s="0">
        <v>531</v>
      </c>
      <c r="BN23" t="s" s="0">
        <v>182</v>
      </c>
      <c r="BO23" t="s" s="0">
        <v>707</v>
      </c>
      <c r="BP23" t="s" s="0">
        <v>707</v>
      </c>
      <c r="BQ23" t="s" s="0">
        <v>708</v>
      </c>
      <c r="BR23" t="s" s="0">
        <v>81</v>
      </c>
      <c r="BS23" t="s" s="0">
        <v>709</v>
      </c>
      <c r="BT23" t="s" s="44">
        <f>HYPERLINK("https://www.webofscience.com/wos/woscc/full-record/WOS:001772246100001","View Record in Web of Science")</f>
        <v>117</v>
      </c>
      <c r="BU23" t="s" s="0">
        <v>81</v>
      </c>
      <c r="BV23" t="s" s="0">
        <v>81</v>
      </c>
      <c r="BW23" t="s" s="0">
        <v>81</v>
      </c>
      <c r="BX23" t="s" s="0">
        <v>119</v>
      </c>
    </row>
    <row r="24">
      <c r="A24" t="s" s="0">
        <v>77</v>
      </c>
      <c r="B24" t="s" s="0">
        <v>77</v>
      </c>
      <c r="C24" t="s" s="0">
        <v>77</v>
      </c>
      <c r="D24" t="s" s="0">
        <v>77</v>
      </c>
      <c r="E24" t="s" s="0">
        <v>710</v>
      </c>
      <c r="F24" t="s" s="0">
        <v>711</v>
      </c>
      <c r="G24" t="s" s="0">
        <v>712</v>
      </c>
      <c r="H24" t="s" s="0">
        <v>81</v>
      </c>
      <c r="I24" t="s" s="0">
        <v>82</v>
      </c>
      <c r="J24" t="s" s="0">
        <v>713</v>
      </c>
      <c r="K24" t="s" s="0">
        <v>714</v>
      </c>
      <c r="L24" t="s" s="0">
        <v>81</v>
      </c>
      <c r="M24" t="s" s="0">
        <v>81</v>
      </c>
      <c r="N24" t="s" s="0">
        <v>81</v>
      </c>
      <c r="O24" t="s" s="0">
        <v>715</v>
      </c>
      <c r="P24" t="s" s="0">
        <v>716</v>
      </c>
      <c r="Q24" t="s" s="0">
        <v>87</v>
      </c>
      <c r="R24" t="s" s="0">
        <v>81</v>
      </c>
      <c r="S24" t="s" s="0">
        <v>81</v>
      </c>
      <c r="T24" t="s" s="0">
        <v>81</v>
      </c>
      <c r="U24" t="s" s="0">
        <v>81</v>
      </c>
      <c r="V24" t="s" s="0">
        <v>717</v>
      </c>
      <c r="W24" t="s" s="0">
        <v>718</v>
      </c>
      <c r="X24" t="s" s="0">
        <v>81</v>
      </c>
      <c r="Y24" t="s" s="0">
        <v>81</v>
      </c>
      <c r="Z24" t="s" s="0">
        <v>90</v>
      </c>
      <c r="AA24" t="s" s="0">
        <v>91</v>
      </c>
      <c r="AB24" t="s" s="0">
        <v>81</v>
      </c>
      <c r="AC24" t="s" s="0">
        <v>81</v>
      </c>
      <c r="AD24" t="s" s="0">
        <v>81</v>
      </c>
      <c r="AE24" t="s" s="0">
        <v>81</v>
      </c>
      <c r="AF24" t="s" s="0">
        <v>81</v>
      </c>
      <c r="AG24" t="s" s="0">
        <v>719</v>
      </c>
      <c r="AH24" t="s" s="0">
        <v>720</v>
      </c>
      <c r="AI24" t="s" s="0">
        <v>721</v>
      </c>
      <c r="AJ24" t="s" s="0">
        <v>81</v>
      </c>
      <c r="AK24" t="s" s="0">
        <v>81</v>
      </c>
      <c r="AL24" t="s" s="0">
        <v>548</v>
      </c>
      <c r="AM24" t="s" s="0">
        <v>150</v>
      </c>
      <c r="AN24" t="s" s="0">
        <v>722</v>
      </c>
      <c r="AO24" t="s" s="0">
        <v>723</v>
      </c>
      <c r="AP24" t="s" s="0">
        <v>724</v>
      </c>
      <c r="AQ24" t="s" s="0">
        <v>698</v>
      </c>
      <c r="AR24" t="s" s="0">
        <v>699</v>
      </c>
      <c r="AS24" t="s" s="0">
        <v>700</v>
      </c>
      <c r="AT24" t="s" s="0">
        <v>725</v>
      </c>
      <c r="AU24" t="s" s="0">
        <v>726</v>
      </c>
      <c r="AV24" t="s" s="0">
        <v>81</v>
      </c>
      <c r="AW24" t="s" s="0">
        <v>727</v>
      </c>
      <c r="AX24" t="s" s="0">
        <v>728</v>
      </c>
      <c r="AY24" t="s" s="0">
        <v>729</v>
      </c>
      <c r="AZ24" t="s" s="0">
        <v>105</v>
      </c>
      <c r="BA24" t="s" s="0">
        <v>173</v>
      </c>
      <c r="BB24" t="s" s="0">
        <v>273</v>
      </c>
      <c r="BC24" t="s" s="0">
        <v>81</v>
      </c>
      <c r="BD24" t="s" s="0">
        <v>81</v>
      </c>
      <c r="BE24" t="s" s="0">
        <v>81</v>
      </c>
      <c r="BF24" t="s" s="0">
        <v>81</v>
      </c>
      <c r="BG24" t="s" s="0">
        <v>730</v>
      </c>
      <c r="BH24" t="s" s="0">
        <v>731</v>
      </c>
      <c r="BI24" t="s" s="0">
        <v>81</v>
      </c>
      <c r="BJ24" t="s" s="0">
        <v>732</v>
      </c>
      <c r="BK24" t="s" s="45">
        <f>HYPERLINK("http://dx.doi.org/10.1080/19368623.2025.2458603","http://dx.doi.org/10.1080/19368623.2025.2458603")</f>
        <v>733</v>
      </c>
      <c r="BL24" t="s" s="0">
        <v>81</v>
      </c>
      <c r="BM24" t="s" s="0">
        <v>734</v>
      </c>
      <c r="BN24" t="s" s="0">
        <v>186</v>
      </c>
      <c r="BO24" t="s" s="0">
        <v>735</v>
      </c>
      <c r="BP24" t="s" s="0">
        <v>736</v>
      </c>
      <c r="BQ24" t="s" s="0">
        <v>737</v>
      </c>
      <c r="BR24" t="s" s="0">
        <v>81</v>
      </c>
      <c r="BS24" t="s" s="0">
        <v>738</v>
      </c>
      <c r="BT24" t="s" s="46">
        <f>HYPERLINK("https://www.webofscience.com/wos/woscc/full-record/WOS:001409569100001","View Record in Web of Science")</f>
        <v>117</v>
      </c>
      <c r="BU24" t="s" s="0">
        <v>81</v>
      </c>
      <c r="BV24" t="s" s="0">
        <v>739</v>
      </c>
      <c r="BW24" t="s" s="0">
        <v>740</v>
      </c>
      <c r="BX24" t="s" s="0">
        <v>119</v>
      </c>
    </row>
    <row r="25">
      <c r="A25" t="s" s="0">
        <v>77</v>
      </c>
      <c r="B25" t="s" s="0">
        <v>77</v>
      </c>
      <c r="C25" t="s" s="0">
        <v>77</v>
      </c>
      <c r="D25" t="s" s="0">
        <v>77</v>
      </c>
      <c r="E25" t="s" s="0">
        <v>741</v>
      </c>
      <c r="F25" t="s" s="0">
        <v>742</v>
      </c>
      <c r="G25" t="s" s="0">
        <v>743</v>
      </c>
      <c r="H25" t="s" s="0">
        <v>81</v>
      </c>
      <c r="I25" t="s" s="0">
        <v>82</v>
      </c>
      <c r="J25" t="s" s="0">
        <v>744</v>
      </c>
      <c r="K25" t="s" s="0">
        <v>745</v>
      </c>
      <c r="L25" t="s" s="0">
        <v>81</v>
      </c>
      <c r="M25" t="s" s="0">
        <v>81</v>
      </c>
      <c r="N25" t="s" s="0">
        <v>81</v>
      </c>
      <c r="O25" t="s" s="0">
        <v>746</v>
      </c>
      <c r="P25" t="s" s="0">
        <v>747</v>
      </c>
      <c r="Q25" t="s" s="0">
        <v>87</v>
      </c>
      <c r="R25" t="s" s="0">
        <v>81</v>
      </c>
      <c r="S25" t="s" s="0">
        <v>81</v>
      </c>
      <c r="T25" t="s" s="0">
        <v>81</v>
      </c>
      <c r="U25" t="s" s="0">
        <v>81</v>
      </c>
      <c r="V25" t="s" s="0">
        <v>748</v>
      </c>
      <c r="W25" t="s" s="0">
        <v>749</v>
      </c>
      <c r="X25" t="s" s="0">
        <v>81</v>
      </c>
      <c r="Y25" t="s" s="0">
        <v>81</v>
      </c>
      <c r="Z25" t="s" s="0">
        <v>90</v>
      </c>
      <c r="AA25" t="s" s="0">
        <v>91</v>
      </c>
      <c r="AB25" t="s" s="0">
        <v>81</v>
      </c>
      <c r="AC25" t="s" s="0">
        <v>81</v>
      </c>
      <c r="AD25" t="s" s="0">
        <v>81</v>
      </c>
      <c r="AE25" t="s" s="0">
        <v>81</v>
      </c>
      <c r="AF25" t="s" s="0">
        <v>81</v>
      </c>
      <c r="AG25" t="s" s="0">
        <v>750</v>
      </c>
      <c r="AH25" t="s" s="0">
        <v>751</v>
      </c>
      <c r="AI25" t="s" s="0">
        <v>752</v>
      </c>
      <c r="AJ25" t="s" s="0">
        <v>753</v>
      </c>
      <c r="AK25" t="s" s="0">
        <v>81</v>
      </c>
      <c r="AL25" t="s" s="0">
        <v>754</v>
      </c>
      <c r="AM25" t="s" s="0">
        <v>77</v>
      </c>
      <c r="AN25" t="s" s="0">
        <v>77</v>
      </c>
      <c r="AO25" t="s" s="0">
        <v>171</v>
      </c>
      <c r="AP25" t="s" s="0">
        <v>212</v>
      </c>
      <c r="AQ25" t="s" s="0">
        <v>698</v>
      </c>
      <c r="AR25" t="s" s="0">
        <v>699</v>
      </c>
      <c r="AS25" t="s" s="0">
        <v>700</v>
      </c>
      <c r="AT25" t="s" s="0">
        <v>755</v>
      </c>
      <c r="AU25" t="s" s="0">
        <v>756</v>
      </c>
      <c r="AV25" t="s" s="0">
        <v>81</v>
      </c>
      <c r="AW25" t="s" s="0">
        <v>757</v>
      </c>
      <c r="AX25" t="s" s="0">
        <v>758</v>
      </c>
      <c r="AY25" t="s" s="0">
        <v>759</v>
      </c>
      <c r="AZ25" t="s" s="0">
        <v>244</v>
      </c>
      <c r="BA25" t="s" s="0">
        <v>106</v>
      </c>
      <c r="BB25" t="s" s="0">
        <v>213</v>
      </c>
      <c r="BC25" t="s" s="0">
        <v>81</v>
      </c>
      <c r="BD25" t="s" s="0">
        <v>81</v>
      </c>
      <c r="BE25" t="s" s="0">
        <v>81</v>
      </c>
      <c r="BF25" t="s" s="0">
        <v>81</v>
      </c>
      <c r="BG25" t="s" s="0">
        <v>760</v>
      </c>
      <c r="BH25" t="s" s="0">
        <v>761</v>
      </c>
      <c r="BI25" t="s" s="0">
        <v>81</v>
      </c>
      <c r="BJ25" t="s" s="0">
        <v>762</v>
      </c>
      <c r="BK25" t="s" s="47">
        <f>HYPERLINK("http://dx.doi.org/10.1080/1369118X.2025.2590550","http://dx.doi.org/10.1080/1369118X.2025.2590550")</f>
        <v>763</v>
      </c>
      <c r="BL25" t="s" s="0">
        <v>81</v>
      </c>
      <c r="BM25" t="s" s="0">
        <v>764</v>
      </c>
      <c r="BN25" t="s" s="0">
        <v>420</v>
      </c>
      <c r="BO25" t="s" s="0">
        <v>765</v>
      </c>
      <c r="BP25" t="s" s="0">
        <v>765</v>
      </c>
      <c r="BQ25" t="s" s="0">
        <v>766</v>
      </c>
      <c r="BR25" t="s" s="0">
        <v>81</v>
      </c>
      <c r="BS25" t="s" s="0">
        <v>767</v>
      </c>
      <c r="BT25" t="s" s="48">
        <f>HYPERLINK("https://www.webofscience.com/wos/woscc/full-record/WOS:001621131900001","View Record in Web of Science")</f>
        <v>117</v>
      </c>
      <c r="BU25" t="s" s="0">
        <v>81</v>
      </c>
      <c r="BV25" t="s" s="0">
        <v>81</v>
      </c>
      <c r="BW25" t="s" s="0">
        <v>81</v>
      </c>
      <c r="BX25" t="s" s="0">
        <v>119</v>
      </c>
    </row>
    <row r="26">
      <c r="A26" t="s" s="0">
        <v>77</v>
      </c>
      <c r="B26" t="s" s="0">
        <v>77</v>
      </c>
      <c r="C26" t="s" s="0">
        <v>273</v>
      </c>
      <c r="D26" t="s" s="0">
        <v>77</v>
      </c>
      <c r="E26" t="s" s="0">
        <v>768</v>
      </c>
      <c r="F26" t="s" s="0">
        <v>769</v>
      </c>
      <c r="G26" t="s" s="0">
        <v>770</v>
      </c>
      <c r="H26" t="s" s="0">
        <v>81</v>
      </c>
      <c r="I26" t="s" s="0">
        <v>344</v>
      </c>
      <c r="J26" t="s" s="0">
        <v>771</v>
      </c>
      <c r="K26" t="s" s="0">
        <v>772</v>
      </c>
      <c r="L26" t="s" s="0">
        <v>81</v>
      </c>
      <c r="M26" t="s" s="0">
        <v>81</v>
      </c>
      <c r="N26" t="s" s="0">
        <v>81</v>
      </c>
      <c r="O26" t="s" s="0">
        <v>773</v>
      </c>
      <c r="P26" t="s" s="0">
        <v>774</v>
      </c>
      <c r="Q26" t="s" s="0">
        <v>87</v>
      </c>
      <c r="R26" t="s" s="0">
        <v>81</v>
      </c>
      <c r="S26" t="s" s="0">
        <v>81</v>
      </c>
      <c r="T26" t="s" s="0">
        <v>81</v>
      </c>
      <c r="U26" t="s" s="0">
        <v>81</v>
      </c>
      <c r="V26" t="s" s="0">
        <v>775</v>
      </c>
      <c r="W26" t="s" s="0">
        <v>776</v>
      </c>
      <c r="X26" t="s" s="0">
        <v>81</v>
      </c>
      <c r="Y26" t="s" s="0">
        <v>81</v>
      </c>
      <c r="Z26" t="s" s="0">
        <v>90</v>
      </c>
      <c r="AA26" t="s" s="0">
        <v>493</v>
      </c>
      <c r="AB26" t="s" s="0">
        <v>81</v>
      </c>
      <c r="AC26" t="s" s="0">
        <v>81</v>
      </c>
      <c r="AD26" t="s" s="0">
        <v>81</v>
      </c>
      <c r="AE26" t="s" s="0">
        <v>81</v>
      </c>
      <c r="AF26" t="s" s="0">
        <v>81</v>
      </c>
      <c r="AG26" t="s" s="0">
        <v>777</v>
      </c>
      <c r="AH26" t="s" s="0">
        <v>81</v>
      </c>
      <c r="AI26" t="s" s="0">
        <v>778</v>
      </c>
      <c r="AJ26" t="s" s="0">
        <v>779</v>
      </c>
      <c r="AK26" t="s" s="0">
        <v>81</v>
      </c>
      <c r="AL26" t="s" s="0">
        <v>474</v>
      </c>
      <c r="AM26" t="s" s="0">
        <v>780</v>
      </c>
      <c r="AN26" t="s" s="0">
        <v>575</v>
      </c>
      <c r="AO26" t="s" s="0">
        <v>273</v>
      </c>
      <c r="AP26" t="s" s="0">
        <v>575</v>
      </c>
      <c r="AQ26" t="s" s="0">
        <v>781</v>
      </c>
      <c r="AR26" t="s" s="0">
        <v>782</v>
      </c>
      <c r="AS26" t="s" s="0">
        <v>783</v>
      </c>
      <c r="AT26" t="s" s="0">
        <v>784</v>
      </c>
      <c r="AU26" t="s" s="0">
        <v>785</v>
      </c>
      <c r="AV26" t="s" s="0">
        <v>81</v>
      </c>
      <c r="AW26" t="s" s="0">
        <v>786</v>
      </c>
      <c r="AX26" t="s" s="0">
        <v>787</v>
      </c>
      <c r="AY26" t="s" s="0">
        <v>81</v>
      </c>
      <c r="AZ26" t="s" s="0">
        <v>105</v>
      </c>
      <c r="BA26" t="s" s="0">
        <v>81</v>
      </c>
      <c r="BB26" t="s" s="0">
        <v>81</v>
      </c>
      <c r="BC26" t="s" s="0">
        <v>81</v>
      </c>
      <c r="BD26" t="s" s="0">
        <v>81</v>
      </c>
      <c r="BE26" t="s" s="0">
        <v>81</v>
      </c>
      <c r="BF26" t="s" s="0">
        <v>81</v>
      </c>
      <c r="BG26" t="s" s="0">
        <v>81</v>
      </c>
      <c r="BH26" t="s" s="0">
        <v>81</v>
      </c>
      <c r="BI26" t="s" s="0">
        <v>81</v>
      </c>
      <c r="BJ26" t="s" s="0">
        <v>788</v>
      </c>
      <c r="BK26" t="s" s="49">
        <f>HYPERLINK("http://dx.doi.org/10.1177/02537176251357477","http://dx.doi.org/10.1177/02537176251357477")</f>
        <v>789</v>
      </c>
      <c r="BL26" t="s" s="0">
        <v>81</v>
      </c>
      <c r="BM26" t="s" s="0">
        <v>790</v>
      </c>
      <c r="BN26" t="s" s="0">
        <v>393</v>
      </c>
      <c r="BO26" t="s" s="0">
        <v>791</v>
      </c>
      <c r="BP26" t="s" s="0">
        <v>791</v>
      </c>
      <c r="BQ26" t="s" s="0">
        <v>792</v>
      </c>
      <c r="BR26" t="s" s="0">
        <v>793</v>
      </c>
      <c r="BS26" t="s" s="0">
        <v>794</v>
      </c>
      <c r="BT26" t="s" s="50">
        <f>HYPERLINK("https://www.webofscience.com/wos/woscc/full-record/WOS:001530944400001","View Record in Web of Science")</f>
        <v>117</v>
      </c>
      <c r="BU26" t="s" s="0">
        <v>155</v>
      </c>
      <c r="BV26" t="s" s="0">
        <v>81</v>
      </c>
      <c r="BW26" t="s" s="0">
        <v>81</v>
      </c>
      <c r="BX26" t="s" s="0">
        <v>119</v>
      </c>
    </row>
    <row r="27">
      <c r="A27" t="s" s="0">
        <v>77</v>
      </c>
      <c r="B27" t="s" s="0">
        <v>77</v>
      </c>
      <c r="C27" t="s" s="0">
        <v>419</v>
      </c>
      <c r="D27" t="s" s="0">
        <v>77</v>
      </c>
      <c r="E27" t="s" s="0">
        <v>795</v>
      </c>
      <c r="F27" t="s" s="0">
        <v>796</v>
      </c>
      <c r="G27" t="s" s="0">
        <v>797</v>
      </c>
      <c r="H27" t="s" s="0">
        <v>81</v>
      </c>
      <c r="I27" t="s" s="0">
        <v>344</v>
      </c>
      <c r="J27" t="s" s="0">
        <v>798</v>
      </c>
      <c r="K27" t="s" s="0">
        <v>799</v>
      </c>
      <c r="L27" t="s" s="0">
        <v>81</v>
      </c>
      <c r="M27" t="s" s="0">
        <v>81</v>
      </c>
      <c r="N27" t="s" s="0">
        <v>81</v>
      </c>
      <c r="O27" t="s" s="0">
        <v>800</v>
      </c>
      <c r="P27" t="s" s="0">
        <v>801</v>
      </c>
      <c r="Q27" t="s" s="0">
        <v>87</v>
      </c>
      <c r="R27" t="s" s="0">
        <v>81</v>
      </c>
      <c r="S27" t="s" s="0">
        <v>81</v>
      </c>
      <c r="T27" t="s" s="0">
        <v>81</v>
      </c>
      <c r="U27" t="s" s="0">
        <v>81</v>
      </c>
      <c r="V27" t="s" s="0">
        <v>802</v>
      </c>
      <c r="W27" t="s" s="0">
        <v>803</v>
      </c>
      <c r="X27" t="s" s="0">
        <v>81</v>
      </c>
      <c r="Y27" t="s" s="0">
        <v>81</v>
      </c>
      <c r="Z27" t="s" s="0">
        <v>90</v>
      </c>
      <c r="AA27" t="s" s="0">
        <v>91</v>
      </c>
      <c r="AB27" t="s" s="0">
        <v>81</v>
      </c>
      <c r="AC27" t="s" s="0">
        <v>81</v>
      </c>
      <c r="AD27" t="s" s="0">
        <v>81</v>
      </c>
      <c r="AE27" t="s" s="0">
        <v>81</v>
      </c>
      <c r="AF27" t="s" s="0">
        <v>81</v>
      </c>
      <c r="AG27" t="s" s="0">
        <v>804</v>
      </c>
      <c r="AH27" t="s" s="0">
        <v>81</v>
      </c>
      <c r="AI27" t="s" s="0">
        <v>805</v>
      </c>
      <c r="AJ27" t="s" s="0">
        <v>806</v>
      </c>
      <c r="AK27" t="s" s="0">
        <v>81</v>
      </c>
      <c r="AL27" t="s" s="0">
        <v>807</v>
      </c>
      <c r="AM27" t="s" s="0">
        <v>150</v>
      </c>
      <c r="AN27" t="s" s="0">
        <v>754</v>
      </c>
      <c r="AO27" t="s" s="0">
        <v>808</v>
      </c>
      <c r="AP27" t="s" s="0">
        <v>809</v>
      </c>
      <c r="AQ27" t="s" s="0">
        <v>174</v>
      </c>
      <c r="AR27" t="s" s="0">
        <v>175</v>
      </c>
      <c r="AS27" t="s" s="0">
        <v>176</v>
      </c>
      <c r="AT27" t="s" s="0">
        <v>810</v>
      </c>
      <c r="AU27" t="s" s="0">
        <v>811</v>
      </c>
      <c r="AV27" t="s" s="0">
        <v>81</v>
      </c>
      <c r="AW27" t="s" s="0">
        <v>812</v>
      </c>
      <c r="AX27" t="s" s="0">
        <v>813</v>
      </c>
      <c r="AY27" t="s" s="0">
        <v>734</v>
      </c>
      <c r="AZ27" t="s" s="0">
        <v>105</v>
      </c>
      <c r="BA27" t="s" s="0">
        <v>212</v>
      </c>
      <c r="BB27" t="s" s="0">
        <v>419</v>
      </c>
      <c r="BC27" t="s" s="0">
        <v>81</v>
      </c>
      <c r="BD27" t="s" s="0">
        <v>81</v>
      </c>
      <c r="BE27" t="s" s="0">
        <v>81</v>
      </c>
      <c r="BF27" t="s" s="0">
        <v>81</v>
      </c>
      <c r="BG27" t="s" s="0">
        <v>81</v>
      </c>
      <c r="BH27" t="s" s="0">
        <v>81</v>
      </c>
      <c r="BI27" t="s" s="0">
        <v>467</v>
      </c>
      <c r="BJ27" t="s" s="0">
        <v>814</v>
      </c>
      <c r="BK27" t="s" s="51">
        <f>HYPERLINK("http://dx.doi.org/10.3390/nursrep15020068","http://dx.doi.org/10.3390/nursrep15020068")</f>
        <v>815</v>
      </c>
      <c r="BL27" t="s" s="0">
        <v>81</v>
      </c>
      <c r="BM27" t="s" s="0">
        <v>81</v>
      </c>
      <c r="BN27" t="s" s="0">
        <v>333</v>
      </c>
      <c r="BO27" t="s" s="0">
        <v>610</v>
      </c>
      <c r="BP27" t="s" s="0">
        <v>610</v>
      </c>
      <c r="BQ27" t="s" s="0">
        <v>816</v>
      </c>
      <c r="BR27" t="s" s="0">
        <v>817</v>
      </c>
      <c r="BS27" t="s" s="0">
        <v>818</v>
      </c>
      <c r="BT27" t="s" s="52">
        <f>HYPERLINK("https://www.webofscience.com/wos/woscc/full-record/WOS:001431985600001","View Record in Web of Science")</f>
        <v>117</v>
      </c>
      <c r="BU27" t="s" s="0">
        <v>155</v>
      </c>
      <c r="BV27" t="s" s="0">
        <v>81</v>
      </c>
      <c r="BW27" t="s" s="0">
        <v>81</v>
      </c>
      <c r="BX27" t="s" s="0">
        <v>119</v>
      </c>
    </row>
    <row r="28">
      <c r="A28" t="s" s="0">
        <v>77</v>
      </c>
      <c r="B28" t="s" s="0">
        <v>77</v>
      </c>
      <c r="C28" t="s" s="0">
        <v>95</v>
      </c>
      <c r="D28" t="s" s="0">
        <v>77</v>
      </c>
      <c r="E28" t="s" s="0">
        <v>819</v>
      </c>
      <c r="F28" t="s" s="0">
        <v>820</v>
      </c>
      <c r="G28" t="s" s="0">
        <v>821</v>
      </c>
      <c r="H28" t="s" s="0">
        <v>81</v>
      </c>
      <c r="I28" t="s" s="0">
        <v>123</v>
      </c>
      <c r="J28" t="s" s="0">
        <v>822</v>
      </c>
      <c r="K28" t="s" s="0">
        <v>823</v>
      </c>
      <c r="L28" t="s" s="0">
        <v>824</v>
      </c>
      <c r="M28" t="s" s="0">
        <v>825</v>
      </c>
      <c r="N28" t="s" s="0">
        <v>826</v>
      </c>
      <c r="O28" t="s" s="0">
        <v>827</v>
      </c>
      <c r="P28" t="s" s="0">
        <v>828</v>
      </c>
      <c r="Q28" t="s" s="0">
        <v>87</v>
      </c>
      <c r="R28" t="s" s="0">
        <v>81</v>
      </c>
      <c r="S28" t="s" s="0">
        <v>81</v>
      </c>
      <c r="T28" t="s" s="0">
        <v>81</v>
      </c>
      <c r="U28" t="s" s="0">
        <v>81</v>
      </c>
      <c r="V28" t="s" s="0">
        <v>829</v>
      </c>
      <c r="W28" t="s" s="0">
        <v>830</v>
      </c>
      <c r="X28" t="s" s="0">
        <v>81</v>
      </c>
      <c r="Y28" t="s" s="0">
        <v>81</v>
      </c>
      <c r="Z28" t="s" s="0">
        <v>90</v>
      </c>
      <c r="AA28" t="s" s="0">
        <v>91</v>
      </c>
      <c r="AB28" t="s" s="0">
        <v>81</v>
      </c>
      <c r="AC28" t="s" s="0">
        <v>81</v>
      </c>
      <c r="AD28" t="s" s="0">
        <v>81</v>
      </c>
      <c r="AE28" t="s" s="0">
        <v>81</v>
      </c>
      <c r="AF28" t="s" s="0">
        <v>81</v>
      </c>
      <c r="AG28" t="s" s="0">
        <v>831</v>
      </c>
      <c r="AH28" t="s" s="0">
        <v>81</v>
      </c>
      <c r="AI28" t="s" s="0">
        <v>832</v>
      </c>
      <c r="AJ28" t="s" s="0">
        <v>833</v>
      </c>
      <c r="AK28" t="s" s="0">
        <v>81</v>
      </c>
      <c r="AL28" t="s" s="0">
        <v>172</v>
      </c>
      <c r="AM28" t="s" s="0">
        <v>172</v>
      </c>
      <c r="AN28" t="s" s="0">
        <v>106</v>
      </c>
      <c r="AO28" t="s" s="0">
        <v>419</v>
      </c>
      <c r="AP28" t="s" s="0">
        <v>553</v>
      </c>
      <c r="AQ28" t="s" s="0">
        <v>522</v>
      </c>
      <c r="AR28" t="s" s="0">
        <v>523</v>
      </c>
      <c r="AS28" t="s" s="0">
        <v>524</v>
      </c>
      <c r="AT28" t="s" s="0">
        <v>834</v>
      </c>
      <c r="AU28" t="s" s="0">
        <v>835</v>
      </c>
      <c r="AV28" t="s" s="0">
        <v>81</v>
      </c>
      <c r="AW28" t="s" s="0">
        <v>836</v>
      </c>
      <c r="AX28" t="s" s="0">
        <v>837</v>
      </c>
      <c r="AY28" t="s" s="0">
        <v>838</v>
      </c>
      <c r="AZ28" t="s" s="0">
        <v>105</v>
      </c>
      <c r="BA28" t="s" s="0">
        <v>106</v>
      </c>
      <c r="BB28" t="s" s="0">
        <v>419</v>
      </c>
      <c r="BC28" t="s" s="0">
        <v>81</v>
      </c>
      <c r="BD28" t="s" s="0">
        <v>81</v>
      </c>
      <c r="BE28" t="s" s="0">
        <v>81</v>
      </c>
      <c r="BF28" t="s" s="0">
        <v>81</v>
      </c>
      <c r="BG28" t="s" s="0">
        <v>839</v>
      </c>
      <c r="BH28" t="s" s="0">
        <v>840</v>
      </c>
      <c r="BI28" t="s" s="0">
        <v>81</v>
      </c>
      <c r="BJ28" t="s" s="0">
        <v>841</v>
      </c>
      <c r="BK28" t="s" s="53">
        <f>HYPERLINK("http://dx.doi.org/10.1111/eje.13074","http://dx.doi.org/10.1111/eje.13074")</f>
        <v>842</v>
      </c>
      <c r="BL28" t="s" s="0">
        <v>81</v>
      </c>
      <c r="BM28" t="s" s="0">
        <v>843</v>
      </c>
      <c r="BN28" t="s" s="0">
        <v>212</v>
      </c>
      <c r="BO28" t="s" s="0">
        <v>844</v>
      </c>
      <c r="BP28" t="s" s="0">
        <v>845</v>
      </c>
      <c r="BQ28" t="s" s="0">
        <v>846</v>
      </c>
      <c r="BR28" t="s" s="0">
        <v>847</v>
      </c>
      <c r="BS28" t="s" s="0">
        <v>848</v>
      </c>
      <c r="BT28" t="s" s="54">
        <f>HYPERLINK("https://www.webofscience.com/wos/woscc/full-record/WOS:001410290700001","View Record in Web of Science")</f>
        <v>117</v>
      </c>
      <c r="BU28" t="s" s="0">
        <v>512</v>
      </c>
      <c r="BV28" t="s" s="0">
        <v>81</v>
      </c>
      <c r="BW28" t="s" s="0">
        <v>81</v>
      </c>
      <c r="BX28" t="s" s="0">
        <v>119</v>
      </c>
    </row>
    <row r="29">
      <c r="A29" t="s" s="0">
        <v>77</v>
      </c>
      <c r="B29" t="s" s="0">
        <v>77</v>
      </c>
      <c r="C29" t="s" s="0">
        <v>77</v>
      </c>
      <c r="D29" t="s" s="0">
        <v>77</v>
      </c>
      <c r="E29" t="s" s="0">
        <v>849</v>
      </c>
      <c r="F29" t="s" s="0">
        <v>850</v>
      </c>
      <c r="G29" t="s" s="0">
        <v>851</v>
      </c>
      <c r="H29" t="s" s="0">
        <v>81</v>
      </c>
      <c r="I29" t="s" s="0">
        <v>344</v>
      </c>
      <c r="J29" t="s" s="0">
        <v>852</v>
      </c>
      <c r="K29" t="s" s="0">
        <v>853</v>
      </c>
      <c r="L29" t="s" s="0">
        <v>854</v>
      </c>
      <c r="M29" t="s" s="0">
        <v>854</v>
      </c>
      <c r="N29" t="s" s="0">
        <v>855</v>
      </c>
      <c r="O29" t="s" s="0">
        <v>856</v>
      </c>
      <c r="P29" t="s" s="0">
        <v>857</v>
      </c>
      <c r="Q29" t="s" s="0">
        <v>87</v>
      </c>
      <c r="R29" t="s" s="0">
        <v>81</v>
      </c>
      <c r="S29" t="s" s="0">
        <v>81</v>
      </c>
      <c r="T29" t="s" s="0">
        <v>81</v>
      </c>
      <c r="U29" t="s" s="0">
        <v>81</v>
      </c>
      <c r="V29" t="s" s="0">
        <v>858</v>
      </c>
      <c r="W29" t="s" s="0">
        <v>859</v>
      </c>
      <c r="X29" t="s" s="0">
        <v>81</v>
      </c>
      <c r="Y29" t="s" s="0">
        <v>81</v>
      </c>
      <c r="Z29" t="s" s="0">
        <v>90</v>
      </c>
      <c r="AA29" t="s" s="0">
        <v>91</v>
      </c>
      <c r="AB29" t="s" s="0">
        <v>81</v>
      </c>
      <c r="AC29" t="s" s="0">
        <v>81</v>
      </c>
      <c r="AD29" t="s" s="0">
        <v>81</v>
      </c>
      <c r="AE29" t="s" s="0">
        <v>81</v>
      </c>
      <c r="AF29" t="s" s="0">
        <v>81</v>
      </c>
      <c r="AG29" t="s" s="0">
        <v>860</v>
      </c>
      <c r="AH29" t="s" s="0">
        <v>861</v>
      </c>
      <c r="AI29" t="s" s="0">
        <v>81</v>
      </c>
      <c r="AJ29" t="s" s="0">
        <v>862</v>
      </c>
      <c r="AK29" t="s" s="0">
        <v>81</v>
      </c>
      <c r="AL29" t="s" s="0">
        <v>863</v>
      </c>
      <c r="AM29" t="s" s="0">
        <v>77</v>
      </c>
      <c r="AN29" t="s" s="0">
        <v>77</v>
      </c>
      <c r="AO29" t="s" s="0">
        <v>77</v>
      </c>
      <c r="AP29" t="s" s="0">
        <v>77</v>
      </c>
      <c r="AQ29" t="s" s="0">
        <v>864</v>
      </c>
      <c r="AR29" t="s" s="0">
        <v>865</v>
      </c>
      <c r="AS29" t="s" s="0">
        <v>866</v>
      </c>
      <c r="AT29" t="s" s="0">
        <v>867</v>
      </c>
      <c r="AU29" t="s" s="0">
        <v>81</v>
      </c>
      <c r="AV29" t="s" s="0">
        <v>81</v>
      </c>
      <c r="AW29" t="s" s="0">
        <v>868</v>
      </c>
      <c r="AX29" t="s" s="0">
        <v>869</v>
      </c>
      <c r="AY29" t="s" s="0">
        <v>244</v>
      </c>
      <c r="AZ29" t="s" s="0">
        <v>244</v>
      </c>
      <c r="BA29" t="s" s="0">
        <v>212</v>
      </c>
      <c r="BB29" t="s" s="0">
        <v>81</v>
      </c>
      <c r="BC29" t="s" s="0">
        <v>81</v>
      </c>
      <c r="BD29" t="s" s="0">
        <v>81</v>
      </c>
      <c r="BE29" t="s" s="0">
        <v>81</v>
      </c>
      <c r="BF29" t="s" s="0">
        <v>81</v>
      </c>
      <c r="BG29" t="s" s="0">
        <v>81</v>
      </c>
      <c r="BH29" t="s" s="0">
        <v>81</v>
      </c>
      <c r="BI29" t="s" s="0">
        <v>870</v>
      </c>
      <c r="BJ29" t="s" s="0">
        <v>871</v>
      </c>
      <c r="BK29" t="s" s="55">
        <f>HYPERLINK("http://dx.doi.org/10.2196/74202","http://dx.doi.org/10.2196/74202")</f>
        <v>872</v>
      </c>
      <c r="BL29" t="s" s="0">
        <v>81</v>
      </c>
      <c r="BM29" t="s" s="0">
        <v>81</v>
      </c>
      <c r="BN29" t="s" s="0">
        <v>94</v>
      </c>
      <c r="BO29" t="s" s="0">
        <v>873</v>
      </c>
      <c r="BP29" t="s" s="0">
        <v>873</v>
      </c>
      <c r="BQ29" t="s" s="0">
        <v>874</v>
      </c>
      <c r="BR29" t="s" s="0">
        <v>875</v>
      </c>
      <c r="BS29" t="s" s="0">
        <v>876</v>
      </c>
      <c r="BT29" t="s" s="56">
        <f>HYPERLINK("https://www.webofscience.com/wos/woscc/full-record/WOS:001842142000001","View Record in Web of Science")</f>
        <v>117</v>
      </c>
      <c r="BU29" t="s" s="0">
        <v>155</v>
      </c>
      <c r="BV29" t="s" s="0">
        <v>81</v>
      </c>
      <c r="BW29" t="s" s="0">
        <v>81</v>
      </c>
      <c r="BX29" t="s" s="0">
        <v>119</v>
      </c>
    </row>
    <row r="30">
      <c r="A30" t="s" s="0">
        <v>77</v>
      </c>
      <c r="B30" t="s" s="0">
        <v>77</v>
      </c>
      <c r="C30" t="s" s="0">
        <v>77</v>
      </c>
      <c r="D30" t="s" s="0">
        <v>77</v>
      </c>
      <c r="E30" t="s" s="0">
        <v>877</v>
      </c>
      <c r="F30" t="s" s="0">
        <v>878</v>
      </c>
      <c r="G30" t="s" s="0">
        <v>879</v>
      </c>
      <c r="H30" t="s" s="0">
        <v>81</v>
      </c>
      <c r="I30" t="s" s="0">
        <v>159</v>
      </c>
      <c r="J30" t="s" s="0">
        <v>880</v>
      </c>
      <c r="K30" t="s" s="0">
        <v>881</v>
      </c>
      <c r="L30" t="s" s="0">
        <v>882</v>
      </c>
      <c r="M30" t="s" s="0">
        <v>883</v>
      </c>
      <c r="N30" t="s" s="0">
        <v>884</v>
      </c>
      <c r="O30" t="s" s="0">
        <v>885</v>
      </c>
      <c r="P30" t="s" s="0">
        <v>886</v>
      </c>
      <c r="Q30" t="s" s="0">
        <v>87</v>
      </c>
      <c r="R30" t="s" s="0">
        <v>81</v>
      </c>
      <c r="S30" t="s" s="0">
        <v>81</v>
      </c>
      <c r="T30" t="s" s="0">
        <v>81</v>
      </c>
      <c r="U30" t="s" s="0">
        <v>81</v>
      </c>
      <c r="V30" t="s" s="0">
        <v>887</v>
      </c>
      <c r="W30" t="s" s="0">
        <v>165</v>
      </c>
      <c r="X30" t="s" s="0">
        <v>81</v>
      </c>
      <c r="Y30" t="s" s="0">
        <v>81</v>
      </c>
      <c r="Z30" t="s" s="0">
        <v>90</v>
      </c>
      <c r="AA30" t="s" s="0">
        <v>91</v>
      </c>
      <c r="AB30" t="s" s="0">
        <v>81</v>
      </c>
      <c r="AC30" t="s" s="0">
        <v>81</v>
      </c>
      <c r="AD30" t="s" s="0">
        <v>81</v>
      </c>
      <c r="AE30" t="s" s="0">
        <v>81</v>
      </c>
      <c r="AF30" t="s" s="0">
        <v>81</v>
      </c>
      <c r="AG30" t="s" s="0">
        <v>888</v>
      </c>
      <c r="AH30" t="s" s="0">
        <v>889</v>
      </c>
      <c r="AI30" t="s" s="0">
        <v>890</v>
      </c>
      <c r="AJ30" t="s" s="0">
        <v>891</v>
      </c>
      <c r="AK30" t="s" s="0">
        <v>81</v>
      </c>
      <c r="AL30" t="s" s="0">
        <v>892</v>
      </c>
      <c r="AM30" t="s" s="0">
        <v>393</v>
      </c>
      <c r="AN30" t="s" s="0">
        <v>213</v>
      </c>
      <c r="AO30" t="s" s="0">
        <v>420</v>
      </c>
      <c r="AP30" t="s" s="0">
        <v>207</v>
      </c>
      <c r="AQ30" t="s" s="0">
        <v>174</v>
      </c>
      <c r="AR30" t="s" s="0">
        <v>175</v>
      </c>
      <c r="AS30" t="s" s="0">
        <v>176</v>
      </c>
      <c r="AT30" t="s" s="0">
        <v>81</v>
      </c>
      <c r="AU30" t="s" s="0">
        <v>177</v>
      </c>
      <c r="AV30" t="s" s="0">
        <v>81</v>
      </c>
      <c r="AW30" t="s" s="0">
        <v>178</v>
      </c>
      <c r="AX30" t="s" s="0">
        <v>179</v>
      </c>
      <c r="AY30" t="s" s="0">
        <v>893</v>
      </c>
      <c r="AZ30" t="s" s="0">
        <v>105</v>
      </c>
      <c r="BA30" t="s" s="0">
        <v>181</v>
      </c>
      <c r="BB30" t="s" s="0">
        <v>420</v>
      </c>
      <c r="BC30" t="s" s="0">
        <v>81</v>
      </c>
      <c r="BD30" t="s" s="0">
        <v>81</v>
      </c>
      <c r="BE30" t="s" s="0">
        <v>81</v>
      </c>
      <c r="BF30" t="s" s="0">
        <v>81</v>
      </c>
      <c r="BG30" t="s" s="0">
        <v>81</v>
      </c>
      <c r="BH30" t="s" s="0">
        <v>81</v>
      </c>
      <c r="BI30" t="s" s="0">
        <v>894</v>
      </c>
      <c r="BJ30" t="s" s="0">
        <v>895</v>
      </c>
      <c r="BK30" t="s" s="57">
        <f>HYPERLINK("http://dx.doi.org/10.3390/su17198903","http://dx.doi.org/10.3390/su17198903")</f>
        <v>896</v>
      </c>
      <c r="BL30" t="s" s="0">
        <v>81</v>
      </c>
      <c r="BM30" t="s" s="0">
        <v>81</v>
      </c>
      <c r="BN30" t="s" s="0">
        <v>780</v>
      </c>
      <c r="BO30" t="s" s="0">
        <v>187</v>
      </c>
      <c r="BP30" t="s" s="0">
        <v>188</v>
      </c>
      <c r="BQ30" t="s" s="0">
        <v>897</v>
      </c>
      <c r="BR30" t="s" s="0">
        <v>81</v>
      </c>
      <c r="BS30" t="s" s="0">
        <v>898</v>
      </c>
      <c r="BT30" t="s" s="58">
        <f>HYPERLINK("https://www.webofscience.com/wos/woscc/full-record/WOS:001593868000001","View Record in Web of Science")</f>
        <v>117</v>
      </c>
      <c r="BU30" t="s" s="0">
        <v>118</v>
      </c>
      <c r="BV30" t="s" s="0">
        <v>81</v>
      </c>
      <c r="BW30" t="s" s="0">
        <v>81</v>
      </c>
      <c r="BX30" t="s" s="0">
        <v>119</v>
      </c>
    </row>
    <row r="31">
      <c r="A31" t="s" s="0">
        <v>77</v>
      </c>
      <c r="B31" t="s" s="0">
        <v>77</v>
      </c>
      <c r="C31" t="s" s="0">
        <v>77</v>
      </c>
      <c r="D31" t="s" s="0">
        <v>77</v>
      </c>
      <c r="E31" t="s" s="0">
        <v>899</v>
      </c>
      <c r="F31" t="s" s="0">
        <v>900</v>
      </c>
      <c r="G31" t="s" s="0">
        <v>901</v>
      </c>
      <c r="H31" t="s" s="0">
        <v>81</v>
      </c>
      <c r="I31" t="s" s="0">
        <v>123</v>
      </c>
      <c r="J31" t="s" s="0">
        <v>902</v>
      </c>
      <c r="K31" t="s" s="0">
        <v>903</v>
      </c>
      <c r="L31" t="s" s="0">
        <v>904</v>
      </c>
      <c r="M31" t="s" s="0">
        <v>904</v>
      </c>
      <c r="N31" t="s" s="0">
        <v>905</v>
      </c>
      <c r="O31" t="s" s="0">
        <v>906</v>
      </c>
      <c r="P31" t="s" s="0">
        <v>907</v>
      </c>
      <c r="Q31" t="s" s="0">
        <v>87</v>
      </c>
      <c r="R31" t="s" s="0">
        <v>81</v>
      </c>
      <c r="S31" t="s" s="0">
        <v>81</v>
      </c>
      <c r="T31" t="s" s="0">
        <v>81</v>
      </c>
      <c r="U31" t="s" s="0">
        <v>81</v>
      </c>
      <c r="V31" t="s" s="0">
        <v>908</v>
      </c>
      <c r="W31" t="s" s="0">
        <v>131</v>
      </c>
      <c r="X31" t="s" s="0">
        <v>81</v>
      </c>
      <c r="Y31" t="s" s="0">
        <v>81</v>
      </c>
      <c r="Z31" t="s" s="0">
        <v>90</v>
      </c>
      <c r="AA31" t="s" s="0">
        <v>91</v>
      </c>
      <c r="AB31" t="s" s="0">
        <v>81</v>
      </c>
      <c r="AC31" t="s" s="0">
        <v>81</v>
      </c>
      <c r="AD31" t="s" s="0">
        <v>81</v>
      </c>
      <c r="AE31" t="s" s="0">
        <v>81</v>
      </c>
      <c r="AF31" t="s" s="0">
        <v>81</v>
      </c>
      <c r="AG31" t="s" s="0">
        <v>909</v>
      </c>
      <c r="AH31" t="s" s="0">
        <v>910</v>
      </c>
      <c r="AI31" t="s" s="0">
        <v>81</v>
      </c>
      <c r="AJ31" t="s" s="0">
        <v>81</v>
      </c>
      <c r="AK31" t="s" s="0">
        <v>81</v>
      </c>
      <c r="AL31" t="s" s="0">
        <v>911</v>
      </c>
      <c r="AM31" t="s" s="0">
        <v>77</v>
      </c>
      <c r="AN31" t="s" s="0">
        <v>77</v>
      </c>
      <c r="AO31" t="s" s="0">
        <v>77</v>
      </c>
      <c r="AP31" t="s" s="0">
        <v>77</v>
      </c>
      <c r="AQ31" t="s" s="0">
        <v>140</v>
      </c>
      <c r="AR31" t="s" s="0">
        <v>141</v>
      </c>
      <c r="AS31" t="s" s="0">
        <v>142</v>
      </c>
      <c r="AT31" t="s" s="0">
        <v>143</v>
      </c>
      <c r="AU31" t="s" s="0">
        <v>81</v>
      </c>
      <c r="AV31" t="s" s="0">
        <v>81</v>
      </c>
      <c r="AW31" t="s" s="0">
        <v>131</v>
      </c>
      <c r="AX31" t="s" s="0">
        <v>144</v>
      </c>
      <c r="AY31" t="s" s="0">
        <v>244</v>
      </c>
      <c r="AZ31" t="s" s="0">
        <v>244</v>
      </c>
      <c r="BA31" t="s" s="0">
        <v>444</v>
      </c>
      <c r="BB31" t="s" s="0">
        <v>81</v>
      </c>
      <c r="BC31" t="s" s="0">
        <v>81</v>
      </c>
      <c r="BD31" t="s" s="0">
        <v>81</v>
      </c>
      <c r="BE31" t="s" s="0">
        <v>81</v>
      </c>
      <c r="BF31" t="s" s="0">
        <v>81</v>
      </c>
      <c r="BG31" t="s" s="0">
        <v>912</v>
      </c>
      <c r="BH31" t="s" s="0">
        <v>913</v>
      </c>
      <c r="BI31" t="s" s="0">
        <v>81</v>
      </c>
      <c r="BJ31" t="s" s="0">
        <v>914</v>
      </c>
      <c r="BK31" t="s" s="59">
        <f>HYPERLINK("http://dx.doi.org/10.1109/ACCESS.2026.3698020","http://dx.doi.org/10.1109/ACCESS.2026.3698020")</f>
        <v>915</v>
      </c>
      <c r="BL31" t="s" s="0">
        <v>81</v>
      </c>
      <c r="BM31" t="s" s="0">
        <v>81</v>
      </c>
      <c r="BN31" t="s" s="0">
        <v>182</v>
      </c>
      <c r="BO31" t="s" s="0">
        <v>151</v>
      </c>
      <c r="BP31" t="s" s="0">
        <v>152</v>
      </c>
      <c r="BQ31" t="s" s="0">
        <v>916</v>
      </c>
      <c r="BR31" t="s" s="0">
        <v>81</v>
      </c>
      <c r="BS31" t="s" s="0">
        <v>917</v>
      </c>
      <c r="BT31" t="s" s="60">
        <f>HYPERLINK("https://www.webofscience.com/wos/woscc/full-record/WOS:001807913200012","View Record in Web of Science")</f>
        <v>117</v>
      </c>
      <c r="BU31" t="s" s="0">
        <v>118</v>
      </c>
      <c r="BV31" t="s" s="0">
        <v>81</v>
      </c>
      <c r="BW31" t="s" s="0">
        <v>81</v>
      </c>
      <c r="BX31" t="s" s="0">
        <v>119</v>
      </c>
    </row>
    <row r="32">
      <c r="A32" t="s" s="0">
        <v>77</v>
      </c>
      <c r="B32" t="s" s="0">
        <v>77</v>
      </c>
      <c r="C32" t="s" s="0">
        <v>77</v>
      </c>
      <c r="D32" t="s" s="0">
        <v>77</v>
      </c>
      <c r="E32" t="s" s="0">
        <v>918</v>
      </c>
      <c r="F32" t="s" s="0">
        <v>919</v>
      </c>
      <c r="G32" t="s" s="0">
        <v>920</v>
      </c>
      <c r="H32" t="s" s="0">
        <v>81</v>
      </c>
      <c r="I32" t="s" s="0">
        <v>82</v>
      </c>
      <c r="J32" t="s" s="0">
        <v>921</v>
      </c>
      <c r="K32" t="s" s="0">
        <v>922</v>
      </c>
      <c r="L32" t="s" s="0">
        <v>923</v>
      </c>
      <c r="M32" t="s" s="0">
        <v>924</v>
      </c>
      <c r="N32" t="s" s="0">
        <v>925</v>
      </c>
      <c r="O32" t="s" s="0">
        <v>926</v>
      </c>
      <c r="P32" t="s" s="0">
        <v>927</v>
      </c>
      <c r="Q32" t="s" s="0">
        <v>87</v>
      </c>
      <c r="R32" t="s" s="0">
        <v>81</v>
      </c>
      <c r="S32" t="s" s="0">
        <v>81</v>
      </c>
      <c r="T32" t="s" s="0">
        <v>81</v>
      </c>
      <c r="U32" t="s" s="0">
        <v>81</v>
      </c>
      <c r="V32" t="s" s="0">
        <v>928</v>
      </c>
      <c r="W32" t="s" s="0">
        <v>929</v>
      </c>
      <c r="X32" t="s" s="0">
        <v>81</v>
      </c>
      <c r="Y32" t="s" s="0">
        <v>81</v>
      </c>
      <c r="Z32" t="s" s="0">
        <v>90</v>
      </c>
      <c r="AA32" t="s" s="0">
        <v>91</v>
      </c>
      <c r="AB32" t="s" s="0">
        <v>81</v>
      </c>
      <c r="AC32" t="s" s="0">
        <v>81</v>
      </c>
      <c r="AD32" t="s" s="0">
        <v>81</v>
      </c>
      <c r="AE32" t="s" s="0">
        <v>81</v>
      </c>
      <c r="AF32" t="s" s="0">
        <v>81</v>
      </c>
      <c r="AG32" t="s" s="0">
        <v>930</v>
      </c>
      <c r="AH32" t="s" s="0">
        <v>931</v>
      </c>
      <c r="AI32" t="s" s="0">
        <v>932</v>
      </c>
      <c r="AJ32" t="s" s="0">
        <v>933</v>
      </c>
      <c r="AK32" t="s" s="0">
        <v>81</v>
      </c>
      <c r="AL32" t="s" s="0">
        <v>934</v>
      </c>
      <c r="AM32" t="s" s="0">
        <v>77</v>
      </c>
      <c r="AN32" t="s" s="0">
        <v>77</v>
      </c>
      <c r="AO32" t="s" s="0">
        <v>419</v>
      </c>
      <c r="AP32" t="s" s="0">
        <v>419</v>
      </c>
      <c r="AQ32" t="s" s="0">
        <v>935</v>
      </c>
      <c r="AR32" t="s" s="0">
        <v>699</v>
      </c>
      <c r="AS32" t="s" s="0">
        <v>936</v>
      </c>
      <c r="AT32" t="s" s="0">
        <v>937</v>
      </c>
      <c r="AU32" t="s" s="0">
        <v>81</v>
      </c>
      <c r="AV32" t="s" s="0">
        <v>81</v>
      </c>
      <c r="AW32" t="s" s="0">
        <v>938</v>
      </c>
      <c r="AX32" t="s" s="0">
        <v>939</v>
      </c>
      <c r="AY32" t="s" s="0">
        <v>940</v>
      </c>
      <c r="AZ32" t="s" s="0">
        <v>244</v>
      </c>
      <c r="BA32" t="s" s="0">
        <v>249</v>
      </c>
      <c r="BB32" t="s" s="0">
        <v>95</v>
      </c>
      <c r="BC32" t="s" s="0">
        <v>81</v>
      </c>
      <c r="BD32" t="s" s="0">
        <v>81</v>
      </c>
      <c r="BE32" t="s" s="0">
        <v>81</v>
      </c>
      <c r="BF32" t="s" s="0">
        <v>81</v>
      </c>
      <c r="BG32" t="s" s="0">
        <v>81</v>
      </c>
      <c r="BH32" t="s" s="0">
        <v>81</v>
      </c>
      <c r="BI32" t="s" s="0">
        <v>941</v>
      </c>
      <c r="BJ32" t="s" s="0">
        <v>942</v>
      </c>
      <c r="BK32" t="s" s="61">
        <f>HYPERLINK("http://dx.doi.org/10.1080/10872981.2026.2684837","http://dx.doi.org/10.1080/10872981.2026.2684837")</f>
        <v>943</v>
      </c>
      <c r="BL32" t="s" s="0">
        <v>81</v>
      </c>
      <c r="BM32" t="s" s="0">
        <v>81</v>
      </c>
      <c r="BN32" t="s" s="0">
        <v>420</v>
      </c>
      <c r="BO32" t="s" s="0">
        <v>707</v>
      </c>
      <c r="BP32" t="s" s="0">
        <v>707</v>
      </c>
      <c r="BQ32" t="s" s="0">
        <v>944</v>
      </c>
      <c r="BR32" t="s" s="0">
        <v>945</v>
      </c>
      <c r="BS32" t="s" s="0">
        <v>946</v>
      </c>
      <c r="BT32" t="s" s="62">
        <f>HYPERLINK("https://www.webofscience.com/wos/woscc/full-record/WOS:001816065100001","View Record in Web of Science")</f>
        <v>117</v>
      </c>
      <c r="BU32" t="s" s="0">
        <v>947</v>
      </c>
      <c r="BV32" t="s" s="0">
        <v>81</v>
      </c>
      <c r="BW32" t="s" s="0">
        <v>81</v>
      </c>
      <c r="BX32" t="s" s="0">
        <v>119</v>
      </c>
    </row>
    <row r="33">
      <c r="A33" t="s" s="0">
        <v>77</v>
      </c>
      <c r="B33" t="s" s="0">
        <v>77</v>
      </c>
      <c r="C33" t="s" s="0">
        <v>77</v>
      </c>
      <c r="D33" t="s" s="0">
        <v>77</v>
      </c>
      <c r="E33" t="s" s="0">
        <v>948</v>
      </c>
      <c r="F33" t="s" s="0">
        <v>949</v>
      </c>
      <c r="G33" t="s" s="0">
        <v>950</v>
      </c>
      <c r="H33" t="s" s="0">
        <v>81</v>
      </c>
      <c r="I33" t="s" s="0">
        <v>123</v>
      </c>
      <c r="J33" t="s" s="0">
        <v>951</v>
      </c>
      <c r="K33" t="s" s="0">
        <v>952</v>
      </c>
      <c r="L33" t="s" s="0">
        <v>953</v>
      </c>
      <c r="M33" t="s" s="0">
        <v>953</v>
      </c>
      <c r="N33" t="s" s="0">
        <v>954</v>
      </c>
      <c r="O33" t="s" s="0">
        <v>955</v>
      </c>
      <c r="P33" t="s" s="0">
        <v>956</v>
      </c>
      <c r="Q33" t="s" s="0">
        <v>87</v>
      </c>
      <c r="R33" t="s" s="0">
        <v>81</v>
      </c>
      <c r="S33" t="s" s="0">
        <v>81</v>
      </c>
      <c r="T33" t="s" s="0">
        <v>81</v>
      </c>
      <c r="U33" t="s" s="0">
        <v>81</v>
      </c>
      <c r="V33" t="s" s="0">
        <v>957</v>
      </c>
      <c r="W33" t="s" s="0">
        <v>958</v>
      </c>
      <c r="X33" t="s" s="0">
        <v>81</v>
      </c>
      <c r="Y33" t="s" s="0">
        <v>81</v>
      </c>
      <c r="Z33" t="s" s="0">
        <v>90</v>
      </c>
      <c r="AA33" t="s" s="0">
        <v>91</v>
      </c>
      <c r="AB33" t="s" s="0">
        <v>81</v>
      </c>
      <c r="AC33" t="s" s="0">
        <v>81</v>
      </c>
      <c r="AD33" t="s" s="0">
        <v>81</v>
      </c>
      <c r="AE33" t="s" s="0">
        <v>81</v>
      </c>
      <c r="AF33" t="s" s="0">
        <v>81</v>
      </c>
      <c r="AG33" t="s" s="0">
        <v>959</v>
      </c>
      <c r="AH33" t="s" s="0">
        <v>960</v>
      </c>
      <c r="AI33" t="s" s="0">
        <v>961</v>
      </c>
      <c r="AJ33" t="s" s="0">
        <v>81</v>
      </c>
      <c r="AK33" t="s" s="0">
        <v>81</v>
      </c>
      <c r="AL33" t="s" s="0">
        <v>962</v>
      </c>
      <c r="AM33" t="s" s="0">
        <v>77</v>
      </c>
      <c r="AN33" t="s" s="0">
        <v>77</v>
      </c>
      <c r="AO33" t="s" s="0">
        <v>393</v>
      </c>
      <c r="AP33" t="s" s="0">
        <v>393</v>
      </c>
      <c r="AQ33" t="s" s="0">
        <v>864</v>
      </c>
      <c r="AR33" t="s" s="0">
        <v>865</v>
      </c>
      <c r="AS33" t="s" s="0">
        <v>866</v>
      </c>
      <c r="AT33" t="s" s="0">
        <v>963</v>
      </c>
      <c r="AU33" t="s" s="0">
        <v>81</v>
      </c>
      <c r="AV33" t="s" s="0">
        <v>81</v>
      </c>
      <c r="AW33" t="s" s="0">
        <v>964</v>
      </c>
      <c r="AX33" t="s" s="0">
        <v>965</v>
      </c>
      <c r="AY33" t="s" s="0">
        <v>244</v>
      </c>
      <c r="AZ33" t="s" s="0">
        <v>244</v>
      </c>
      <c r="BA33" t="s" s="0">
        <v>107</v>
      </c>
      <c r="BB33" t="s" s="0">
        <v>81</v>
      </c>
      <c r="BC33" t="s" s="0">
        <v>81</v>
      </c>
      <c r="BD33" t="s" s="0">
        <v>81</v>
      </c>
      <c r="BE33" t="s" s="0">
        <v>81</v>
      </c>
      <c r="BF33" t="s" s="0">
        <v>81</v>
      </c>
      <c r="BG33" t="s" s="0">
        <v>81</v>
      </c>
      <c r="BH33" t="s" s="0">
        <v>81</v>
      </c>
      <c r="BI33" t="s" s="0">
        <v>966</v>
      </c>
      <c r="BJ33" t="s" s="0">
        <v>967</v>
      </c>
      <c r="BK33" t="s" s="63">
        <f>HYPERLINK("http://dx.doi.org/10.2196/82988","http://dx.doi.org/10.2196/82988")</f>
        <v>968</v>
      </c>
      <c r="BL33" t="s" s="0">
        <v>81</v>
      </c>
      <c r="BM33" t="s" s="0">
        <v>81</v>
      </c>
      <c r="BN33" t="s" s="0">
        <v>94</v>
      </c>
      <c r="BO33" t="s" s="0">
        <v>969</v>
      </c>
      <c r="BP33" t="s" s="0">
        <v>707</v>
      </c>
      <c r="BQ33" t="s" s="0">
        <v>970</v>
      </c>
      <c r="BR33" t="s" s="0">
        <v>971</v>
      </c>
      <c r="BS33" t="s" s="0">
        <v>972</v>
      </c>
      <c r="BT33" t="s" s="64">
        <f>HYPERLINK("https://www.webofscience.com/wos/woscc/full-record/WOS:001735947700001","View Record in Web of Science")</f>
        <v>117</v>
      </c>
      <c r="BU33" t="s" s="0">
        <v>155</v>
      </c>
      <c r="BV33" t="s" s="0">
        <v>81</v>
      </c>
      <c r="BW33" t="s" s="0">
        <v>81</v>
      </c>
      <c r="BX33" t="s" s="0">
        <v>119</v>
      </c>
    </row>
    <row r="34">
      <c r="A34" t="s" s="0">
        <v>77</v>
      </c>
      <c r="B34" t="s" s="0">
        <v>77</v>
      </c>
      <c r="C34" t="s" s="0">
        <v>77</v>
      </c>
      <c r="D34" t="s" s="0">
        <v>77</v>
      </c>
      <c r="E34" t="s" s="0">
        <v>973</v>
      </c>
      <c r="F34" t="s" s="0">
        <v>974</v>
      </c>
      <c r="G34" t="s" s="0">
        <v>975</v>
      </c>
      <c r="H34" t="s" s="0">
        <v>81</v>
      </c>
      <c r="I34" t="s" s="0">
        <v>159</v>
      </c>
      <c r="J34" t="s" s="0">
        <v>976</v>
      </c>
      <c r="K34" t="s" s="0">
        <v>977</v>
      </c>
      <c r="L34" t="s" s="0">
        <v>81</v>
      </c>
      <c r="M34" t="s" s="0">
        <v>81</v>
      </c>
      <c r="N34" t="s" s="0">
        <v>81</v>
      </c>
      <c r="O34" t="s" s="0">
        <v>978</v>
      </c>
      <c r="P34" t="s" s="0">
        <v>979</v>
      </c>
      <c r="Q34" t="s" s="0">
        <v>87</v>
      </c>
      <c r="R34" t="s" s="0">
        <v>81</v>
      </c>
      <c r="S34" t="s" s="0">
        <v>81</v>
      </c>
      <c r="T34" t="s" s="0">
        <v>81</v>
      </c>
      <c r="U34" t="s" s="0">
        <v>81</v>
      </c>
      <c r="V34" t="s" s="0">
        <v>980</v>
      </c>
      <c r="W34" t="s" s="0">
        <v>981</v>
      </c>
      <c r="X34" t="s" s="0">
        <v>81</v>
      </c>
      <c r="Y34" t="s" s="0">
        <v>81</v>
      </c>
      <c r="Z34" t="s" s="0">
        <v>90</v>
      </c>
      <c r="AA34" t="s" s="0">
        <v>91</v>
      </c>
      <c r="AB34" t="s" s="0">
        <v>81</v>
      </c>
      <c r="AC34" t="s" s="0">
        <v>81</v>
      </c>
      <c r="AD34" t="s" s="0">
        <v>81</v>
      </c>
      <c r="AE34" t="s" s="0">
        <v>81</v>
      </c>
      <c r="AF34" t="s" s="0">
        <v>81</v>
      </c>
      <c r="AG34" t="s" s="0">
        <v>982</v>
      </c>
      <c r="AH34" t="s" s="0">
        <v>983</v>
      </c>
      <c r="AI34" t="s" s="0">
        <v>984</v>
      </c>
      <c r="AJ34" t="s" s="0">
        <v>985</v>
      </c>
      <c r="AK34" t="s" s="0">
        <v>81</v>
      </c>
      <c r="AL34" t="s" s="0">
        <v>986</v>
      </c>
      <c r="AM34" t="s" s="0">
        <v>420</v>
      </c>
      <c r="AN34" t="s" s="0">
        <v>182</v>
      </c>
      <c r="AO34" t="s" s="0">
        <v>393</v>
      </c>
      <c r="AP34" t="s" s="0">
        <v>328</v>
      </c>
      <c r="AQ34" t="s" s="0">
        <v>987</v>
      </c>
      <c r="AR34" t="s" s="0">
        <v>988</v>
      </c>
      <c r="AS34" t="s" s="0">
        <v>989</v>
      </c>
      <c r="AT34" t="s" s="0">
        <v>990</v>
      </c>
      <c r="AU34" t="s" s="0">
        <v>991</v>
      </c>
      <c r="AV34" t="s" s="0">
        <v>81</v>
      </c>
      <c r="AW34" t="s" s="0">
        <v>992</v>
      </c>
      <c r="AX34" t="s" s="0">
        <v>993</v>
      </c>
      <c r="AY34" t="s" s="0">
        <v>994</v>
      </c>
      <c r="AZ34" t="s" s="0">
        <v>105</v>
      </c>
      <c r="BA34" t="s" s="0">
        <v>186</v>
      </c>
      <c r="BB34" t="s" s="0">
        <v>273</v>
      </c>
      <c r="BC34" t="s" s="0">
        <v>81</v>
      </c>
      <c r="BD34" t="s" s="0">
        <v>81</v>
      </c>
      <c r="BE34" t="s" s="0">
        <v>81</v>
      </c>
      <c r="BF34" t="s" s="0">
        <v>81</v>
      </c>
      <c r="BG34" t="s" s="0">
        <v>995</v>
      </c>
      <c r="BH34" t="s" s="0">
        <v>996</v>
      </c>
      <c r="BI34" t="s" s="0">
        <v>81</v>
      </c>
      <c r="BJ34" t="s" s="0">
        <v>997</v>
      </c>
      <c r="BK34" t="s" s="65">
        <f>HYPERLINK("http://dx.doi.org/10.1177/09697330241296874","http://dx.doi.org/10.1177/09697330241296874")</f>
        <v>998</v>
      </c>
      <c r="BL34" t="s" s="0">
        <v>81</v>
      </c>
      <c r="BM34" t="s" s="0">
        <v>999</v>
      </c>
      <c r="BN34" t="s" s="0">
        <v>107</v>
      </c>
      <c r="BO34" t="s" s="0">
        <v>1000</v>
      </c>
      <c r="BP34" t="s" s="0">
        <v>1001</v>
      </c>
      <c r="BQ34" t="s" s="0">
        <v>1002</v>
      </c>
      <c r="BR34" t="s" s="0">
        <v>1003</v>
      </c>
      <c r="BS34" t="s" s="0">
        <v>1004</v>
      </c>
      <c r="BT34" t="s" s="66">
        <f>HYPERLINK("https://www.webofscience.com/wos/woscc/full-record/WOS:001356712400001","View Record in Web of Science")</f>
        <v>117</v>
      </c>
      <c r="BU34" t="s" s="0">
        <v>512</v>
      </c>
      <c r="BV34" t="s" s="0">
        <v>81</v>
      </c>
      <c r="BW34" t="s" s="0">
        <v>81</v>
      </c>
      <c r="BX34" t="s" s="0">
        <v>119</v>
      </c>
    </row>
    <row r="35">
      <c r="A35" t="s" s="0">
        <v>77</v>
      </c>
      <c r="B35" t="s" s="0">
        <v>77</v>
      </c>
      <c r="C35" t="s" s="0">
        <v>77</v>
      </c>
      <c r="D35" t="s" s="0">
        <v>77</v>
      </c>
      <c r="E35" t="s" s="0">
        <v>1005</v>
      </c>
      <c r="F35" t="s" s="0">
        <v>1006</v>
      </c>
      <c r="G35" t="s" s="0">
        <v>1007</v>
      </c>
      <c r="H35" t="s" s="0">
        <v>81</v>
      </c>
      <c r="I35" t="s" s="0">
        <v>344</v>
      </c>
      <c r="J35" t="s" s="0">
        <v>1008</v>
      </c>
      <c r="K35" t="s" s="0">
        <v>1009</v>
      </c>
      <c r="L35" t="s" s="0">
        <v>1010</v>
      </c>
      <c r="M35" t="s" s="0">
        <v>1011</v>
      </c>
      <c r="N35" t="s" s="0">
        <v>1012</v>
      </c>
      <c r="O35" t="s" s="0">
        <v>1013</v>
      </c>
      <c r="P35" t="s" s="0">
        <v>1014</v>
      </c>
      <c r="Q35" t="s" s="0">
        <v>87</v>
      </c>
      <c r="R35" t="s" s="0">
        <v>81</v>
      </c>
      <c r="S35" t="s" s="0">
        <v>81</v>
      </c>
      <c r="T35" t="s" s="0">
        <v>81</v>
      </c>
      <c r="U35" t="s" s="0">
        <v>81</v>
      </c>
      <c r="V35" t="s" s="0">
        <v>1015</v>
      </c>
      <c r="W35" t="s" s="0">
        <v>1016</v>
      </c>
      <c r="X35" t="s" s="0">
        <v>81</v>
      </c>
      <c r="Y35" t="s" s="0">
        <v>81</v>
      </c>
      <c r="Z35" t="s" s="0">
        <v>90</v>
      </c>
      <c r="AA35" t="s" s="0">
        <v>493</v>
      </c>
      <c r="AB35" t="s" s="0">
        <v>81</v>
      </c>
      <c r="AC35" t="s" s="0">
        <v>81</v>
      </c>
      <c r="AD35" t="s" s="0">
        <v>81</v>
      </c>
      <c r="AE35" t="s" s="0">
        <v>81</v>
      </c>
      <c r="AF35" t="s" s="0">
        <v>81</v>
      </c>
      <c r="AG35" t="s" s="0">
        <v>1017</v>
      </c>
      <c r="AH35" t="s" s="0">
        <v>1018</v>
      </c>
      <c r="AI35" t="s" s="0">
        <v>1019</v>
      </c>
      <c r="AJ35" t="s" s="0">
        <v>1020</v>
      </c>
      <c r="AK35" t="s" s="0">
        <v>81</v>
      </c>
      <c r="AL35" t="s" s="0">
        <v>170</v>
      </c>
      <c r="AM35" t="s" s="0">
        <v>419</v>
      </c>
      <c r="AN35" t="s" s="0">
        <v>419</v>
      </c>
      <c r="AO35" t="s" s="0">
        <v>212</v>
      </c>
      <c r="AP35" t="s" s="0">
        <v>212</v>
      </c>
      <c r="AQ35" t="s" s="0">
        <v>1021</v>
      </c>
      <c r="AR35" t="s" s="0">
        <v>1022</v>
      </c>
      <c r="AS35" t="s" s="0">
        <v>1023</v>
      </c>
      <c r="AT35" t="s" s="0">
        <v>1024</v>
      </c>
      <c r="AU35" t="s" s="0">
        <v>1025</v>
      </c>
      <c r="AV35" t="s" s="0">
        <v>81</v>
      </c>
      <c r="AW35" t="s" s="0">
        <v>1026</v>
      </c>
      <c r="AX35" t="s" s="0">
        <v>1027</v>
      </c>
      <c r="AY35" t="s" s="0">
        <v>81</v>
      </c>
      <c r="AZ35" t="s" s="0">
        <v>244</v>
      </c>
      <c r="BA35" t="s" s="0">
        <v>81</v>
      </c>
      <c r="BB35" t="s" s="0">
        <v>81</v>
      </c>
      <c r="BC35" t="s" s="0">
        <v>81</v>
      </c>
      <c r="BD35" t="s" s="0">
        <v>81</v>
      </c>
      <c r="BE35" t="s" s="0">
        <v>81</v>
      </c>
      <c r="BF35" t="s" s="0">
        <v>81</v>
      </c>
      <c r="BG35" t="s" s="0">
        <v>81</v>
      </c>
      <c r="BH35" t="s" s="0">
        <v>81</v>
      </c>
      <c r="BI35" t="s" s="0">
        <v>81</v>
      </c>
      <c r="BJ35" t="s" s="0">
        <v>1028</v>
      </c>
      <c r="BK35" t="s" s="67">
        <f>HYPERLINK("http://dx.doi.org/10.1108/MRJIAM-09-2025-1813","http://dx.doi.org/10.1108/MRJIAM-09-2025-1813")</f>
        <v>1029</v>
      </c>
      <c r="BL35" t="s" s="0">
        <v>81</v>
      </c>
      <c r="BM35" t="s" s="0">
        <v>1030</v>
      </c>
      <c r="BN35" t="s" s="0">
        <v>182</v>
      </c>
      <c r="BO35" t="s" s="0">
        <v>1031</v>
      </c>
      <c r="BP35" t="s" s="0">
        <v>1032</v>
      </c>
      <c r="BQ35" t="s" s="0">
        <v>1033</v>
      </c>
      <c r="BR35" t="s" s="0">
        <v>81</v>
      </c>
      <c r="BS35" t="s" s="0">
        <v>1034</v>
      </c>
      <c r="BT35" t="s" s="68">
        <f>HYPERLINK("https://www.webofscience.com/wos/woscc/full-record/WOS:001685312500001","View Record in Web of Science")</f>
        <v>117</v>
      </c>
      <c r="BU35" t="s" s="0">
        <v>1035</v>
      </c>
      <c r="BV35" t="s" s="0">
        <v>81</v>
      </c>
      <c r="BW35" t="s" s="0">
        <v>81</v>
      </c>
      <c r="BX35" t="s" s="0">
        <v>119</v>
      </c>
    </row>
    <row r="36">
      <c r="A36" t="s" s="0">
        <v>77</v>
      </c>
      <c r="B36" t="s" s="0">
        <v>77</v>
      </c>
      <c r="C36" t="s" s="0">
        <v>77</v>
      </c>
      <c r="D36" t="s" s="0">
        <v>77</v>
      </c>
      <c r="E36" t="s" s="0">
        <v>1036</v>
      </c>
      <c r="F36" t="s" s="0">
        <v>1037</v>
      </c>
      <c r="G36" t="s" s="0">
        <v>1038</v>
      </c>
      <c r="H36" t="s" s="0">
        <v>81</v>
      </c>
      <c r="I36" t="s" s="0">
        <v>159</v>
      </c>
      <c r="J36" t="s" s="0">
        <v>1039</v>
      </c>
      <c r="K36" t="s" s="0">
        <v>1040</v>
      </c>
      <c r="L36" t="s" s="0">
        <v>81</v>
      </c>
      <c r="M36" t="s" s="0">
        <v>81</v>
      </c>
      <c r="N36" t="s" s="0">
        <v>81</v>
      </c>
      <c r="O36" t="s" s="0">
        <v>1041</v>
      </c>
      <c r="P36" t="s" s="0">
        <v>1042</v>
      </c>
      <c r="Q36" t="s" s="0">
        <v>87</v>
      </c>
      <c r="R36" t="s" s="0">
        <v>81</v>
      </c>
      <c r="S36" t="s" s="0">
        <v>81</v>
      </c>
      <c r="T36" t="s" s="0">
        <v>81</v>
      </c>
      <c r="U36" t="s" s="0">
        <v>81</v>
      </c>
      <c r="V36" t="s" s="0">
        <v>1043</v>
      </c>
      <c r="W36" t="s" s="0">
        <v>1044</v>
      </c>
      <c r="X36" t="s" s="0">
        <v>81</v>
      </c>
      <c r="Y36" t="s" s="0">
        <v>81</v>
      </c>
      <c r="Z36" t="s" s="0">
        <v>90</v>
      </c>
      <c r="AA36" t="s" s="0">
        <v>91</v>
      </c>
      <c r="AB36" t="s" s="0">
        <v>81</v>
      </c>
      <c r="AC36" t="s" s="0">
        <v>81</v>
      </c>
      <c r="AD36" t="s" s="0">
        <v>81</v>
      </c>
      <c r="AE36" t="s" s="0">
        <v>81</v>
      </c>
      <c r="AF36" t="s" s="0">
        <v>81</v>
      </c>
      <c r="AG36" t="s" s="0">
        <v>1045</v>
      </c>
      <c r="AH36" t="s" s="0">
        <v>355</v>
      </c>
      <c r="AI36" t="s" s="0">
        <v>1046</v>
      </c>
      <c r="AJ36" t="s" s="0">
        <v>1047</v>
      </c>
      <c r="AK36" t="s" s="0">
        <v>81</v>
      </c>
      <c r="AL36" t="s" s="0">
        <v>150</v>
      </c>
      <c r="AM36" t="s" s="0">
        <v>77</v>
      </c>
      <c r="AN36" t="s" s="0">
        <v>77</v>
      </c>
      <c r="AO36" t="s" s="0">
        <v>95</v>
      </c>
      <c r="AP36" t="s" s="0">
        <v>95</v>
      </c>
      <c r="AQ36" t="s" s="0">
        <v>1048</v>
      </c>
      <c r="AR36" t="s" s="0">
        <v>499</v>
      </c>
      <c r="AS36" t="s" s="0">
        <v>1049</v>
      </c>
      <c r="AT36" t="s" s="0">
        <v>1050</v>
      </c>
      <c r="AU36" t="s" s="0">
        <v>1051</v>
      </c>
      <c r="AV36" t="s" s="0">
        <v>81</v>
      </c>
      <c r="AW36" t="s" s="0">
        <v>1052</v>
      </c>
      <c r="AX36" t="s" s="0">
        <v>1053</v>
      </c>
      <c r="AY36" t="s" s="0">
        <v>1054</v>
      </c>
      <c r="AZ36" t="s" s="0">
        <v>244</v>
      </c>
      <c r="BA36" t="s" s="0">
        <v>1055</v>
      </c>
      <c r="BB36" t="s" s="0">
        <v>273</v>
      </c>
      <c r="BC36" t="s" s="0">
        <v>81</v>
      </c>
      <c r="BD36" t="s" s="0">
        <v>81</v>
      </c>
      <c r="BE36" t="s" s="0">
        <v>81</v>
      </c>
      <c r="BF36" t="s" s="0">
        <v>81</v>
      </c>
      <c r="BG36" t="s" s="0">
        <v>81</v>
      </c>
      <c r="BH36" t="s" s="0">
        <v>81</v>
      </c>
      <c r="BI36" t="s" s="0">
        <v>1056</v>
      </c>
      <c r="BJ36" t="s" s="0">
        <v>1057</v>
      </c>
      <c r="BK36" t="s" s="69">
        <f>HYPERLINK("http://dx.doi.org/10.1016/j.outlook.2026.102808","http://dx.doi.org/10.1016/j.outlook.2026.102808")</f>
        <v>1058</v>
      </c>
      <c r="BL36" t="s" s="0">
        <v>81</v>
      </c>
      <c r="BM36" t="s" s="0">
        <v>81</v>
      </c>
      <c r="BN36" t="s" s="0">
        <v>112</v>
      </c>
      <c r="BO36" t="s" s="0">
        <v>610</v>
      </c>
      <c r="BP36" t="s" s="0">
        <v>610</v>
      </c>
      <c r="BQ36" t="s" s="0">
        <v>1059</v>
      </c>
      <c r="BR36" t="s" s="0">
        <v>1060</v>
      </c>
      <c r="BS36" t="s" s="0">
        <v>1061</v>
      </c>
      <c r="BT36" t="s" s="70">
        <f>HYPERLINK("https://www.webofscience.com/wos/woscc/full-record/WOS:001786546400001","View Record in Web of Science")</f>
        <v>117</v>
      </c>
      <c r="BU36" t="s" s="0">
        <v>81</v>
      </c>
      <c r="BV36" t="s" s="0">
        <v>81</v>
      </c>
      <c r="BW36" t="s" s="0">
        <v>81</v>
      </c>
      <c r="BX36" t="s" s="0">
        <v>119</v>
      </c>
    </row>
    <row r="37">
      <c r="A37" t="s" s="0">
        <v>77</v>
      </c>
      <c r="B37" t="s" s="0">
        <v>77</v>
      </c>
      <c r="C37" t="s" s="0">
        <v>273</v>
      </c>
      <c r="D37" t="s" s="0">
        <v>77</v>
      </c>
      <c r="E37" t="s" s="0">
        <v>1062</v>
      </c>
      <c r="F37" t="s" s="0">
        <v>1063</v>
      </c>
      <c r="G37" t="s" s="0">
        <v>1064</v>
      </c>
      <c r="H37" t="s" s="0">
        <v>81</v>
      </c>
      <c r="I37" t="s" s="0">
        <v>123</v>
      </c>
      <c r="J37" t="s" s="0">
        <v>1065</v>
      </c>
      <c r="K37" t="s" s="0">
        <v>1066</v>
      </c>
      <c r="L37" t="s" s="0">
        <v>1067</v>
      </c>
      <c r="M37" t="s" s="0">
        <v>1068</v>
      </c>
      <c r="N37" t="s" s="0">
        <v>1069</v>
      </c>
      <c r="O37" t="s" s="0">
        <v>1070</v>
      </c>
      <c r="P37" t="s" s="0">
        <v>1071</v>
      </c>
      <c r="Q37" t="s" s="0">
        <v>87</v>
      </c>
      <c r="R37" t="s" s="0">
        <v>81</v>
      </c>
      <c r="S37" t="s" s="0">
        <v>81</v>
      </c>
      <c r="T37" t="s" s="0">
        <v>81</v>
      </c>
      <c r="U37" t="s" s="0">
        <v>81</v>
      </c>
      <c r="V37" t="s" s="0">
        <v>1072</v>
      </c>
      <c r="W37" t="s" s="0">
        <v>1073</v>
      </c>
      <c r="X37" t="s" s="0">
        <v>81</v>
      </c>
      <c r="Y37" t="s" s="0">
        <v>81</v>
      </c>
      <c r="Z37" t="s" s="0">
        <v>90</v>
      </c>
      <c r="AA37" t="s" s="0">
        <v>91</v>
      </c>
      <c r="AB37" t="s" s="0">
        <v>81</v>
      </c>
      <c r="AC37" t="s" s="0">
        <v>81</v>
      </c>
      <c r="AD37" t="s" s="0">
        <v>81</v>
      </c>
      <c r="AE37" t="s" s="0">
        <v>81</v>
      </c>
      <c r="AF37" t="s" s="0">
        <v>81</v>
      </c>
      <c r="AG37" t="s" s="0">
        <v>1074</v>
      </c>
      <c r="AH37" t="s" s="0">
        <v>81</v>
      </c>
      <c r="AI37" t="s" s="0">
        <v>1075</v>
      </c>
      <c r="AJ37" t="s" s="0">
        <v>1076</v>
      </c>
      <c r="AK37" t="s" s="0">
        <v>81</v>
      </c>
      <c r="AL37" t="s" s="0">
        <v>182</v>
      </c>
      <c r="AM37" t="s" s="0">
        <v>181</v>
      </c>
      <c r="AN37" t="s" s="0">
        <v>449</v>
      </c>
      <c r="AO37" t="s" s="0">
        <v>77</v>
      </c>
      <c r="AP37" t="s" s="0">
        <v>112</v>
      </c>
      <c r="AQ37" t="s" s="0">
        <v>1077</v>
      </c>
      <c r="AR37" t="s" s="0">
        <v>1078</v>
      </c>
      <c r="AS37" t="s" s="0">
        <v>1079</v>
      </c>
      <c r="AT37" t="s" s="0">
        <v>81</v>
      </c>
      <c r="AU37" t="s" s="0">
        <v>1080</v>
      </c>
      <c r="AV37" t="s" s="0">
        <v>81</v>
      </c>
      <c r="AW37" t="s" s="0">
        <v>1081</v>
      </c>
      <c r="AX37" t="s" s="0">
        <v>1082</v>
      </c>
      <c r="AY37" t="s" s="0">
        <v>1083</v>
      </c>
      <c r="AZ37" t="s" s="0">
        <v>1084</v>
      </c>
      <c r="BA37" t="s" s="0">
        <v>137</v>
      </c>
      <c r="BB37" t="s" s="0">
        <v>81</v>
      </c>
      <c r="BC37" t="s" s="0">
        <v>81</v>
      </c>
      <c r="BD37" t="s" s="0">
        <v>81</v>
      </c>
      <c r="BE37" t="s" s="0">
        <v>81</v>
      </c>
      <c r="BF37" t="s" s="0">
        <v>81</v>
      </c>
      <c r="BG37" t="s" s="0">
        <v>81</v>
      </c>
      <c r="BH37" t="s" s="0">
        <v>81</v>
      </c>
      <c r="BI37" t="s" s="0">
        <v>1085</v>
      </c>
      <c r="BJ37" t="s" s="0">
        <v>1086</v>
      </c>
      <c r="BK37" t="s" s="71">
        <f>HYPERLINK("http://dx.doi.org/10.12659/MSM.944993","http://dx.doi.org/10.12659/MSM.944993")</f>
        <v>1087</v>
      </c>
      <c r="BL37" t="s" s="0">
        <v>81</v>
      </c>
      <c r="BM37" t="s" s="0">
        <v>81</v>
      </c>
      <c r="BN37" t="s" s="0">
        <v>112</v>
      </c>
      <c r="BO37" t="s" s="0">
        <v>1088</v>
      </c>
      <c r="BP37" t="s" s="0">
        <v>1089</v>
      </c>
      <c r="BQ37" t="s" s="0">
        <v>1090</v>
      </c>
      <c r="BR37" t="s" s="0">
        <v>1091</v>
      </c>
      <c r="BS37" t="s" s="0">
        <v>1092</v>
      </c>
      <c r="BT37" t="s" s="72">
        <f>HYPERLINK("https://www.webofscience.com/wos/woscc/full-record/WOS:001266510600002","View Record in Web of Science")</f>
        <v>117</v>
      </c>
      <c r="BU37" t="s" s="0">
        <v>512</v>
      </c>
      <c r="BV37" t="s" s="0">
        <v>81</v>
      </c>
      <c r="BW37" t="s" s="0">
        <v>81</v>
      </c>
      <c r="BX37" t="s" s="0">
        <v>119</v>
      </c>
    </row>
    <row r="38">
      <c r="A38" t="s" s="0">
        <v>77</v>
      </c>
      <c r="B38" t="s" s="0">
        <v>77</v>
      </c>
      <c r="C38" t="s" s="0">
        <v>77</v>
      </c>
      <c r="D38" t="s" s="0">
        <v>77</v>
      </c>
      <c r="E38" t="s" s="0">
        <v>1093</v>
      </c>
      <c r="F38" t="s" s="0">
        <v>1094</v>
      </c>
      <c r="G38" t="s" s="0">
        <v>1095</v>
      </c>
      <c r="H38" t="s" s="0">
        <v>81</v>
      </c>
      <c r="I38" t="s" s="0">
        <v>123</v>
      </c>
      <c r="J38" t="s" s="0">
        <v>1096</v>
      </c>
      <c r="K38" t="s" s="0">
        <v>1097</v>
      </c>
      <c r="L38" t="s" s="0">
        <v>1098</v>
      </c>
      <c r="M38" t="s" s="0">
        <v>1098</v>
      </c>
      <c r="N38" t="s" s="0">
        <v>1099</v>
      </c>
      <c r="O38" t="s" s="0">
        <v>1100</v>
      </c>
      <c r="P38" t="s" s="0">
        <v>1101</v>
      </c>
      <c r="Q38" t="s" s="0">
        <v>87</v>
      </c>
      <c r="R38" t="s" s="0">
        <v>81</v>
      </c>
      <c r="S38" t="s" s="0">
        <v>81</v>
      </c>
      <c r="T38" t="s" s="0">
        <v>81</v>
      </c>
      <c r="U38" t="s" s="0">
        <v>81</v>
      </c>
      <c r="V38" t="s" s="0">
        <v>1102</v>
      </c>
      <c r="W38" t="s" s="0">
        <v>1103</v>
      </c>
      <c r="X38" t="s" s="0">
        <v>81</v>
      </c>
      <c r="Y38" t="s" s="0">
        <v>81</v>
      </c>
      <c r="Z38" t="s" s="0">
        <v>90</v>
      </c>
      <c r="AA38" t="s" s="0">
        <v>91</v>
      </c>
      <c r="AB38" t="s" s="0">
        <v>81</v>
      </c>
      <c r="AC38" t="s" s="0">
        <v>81</v>
      </c>
      <c r="AD38" t="s" s="0">
        <v>81</v>
      </c>
      <c r="AE38" t="s" s="0">
        <v>81</v>
      </c>
      <c r="AF38" t="s" s="0">
        <v>81</v>
      </c>
      <c r="AG38" t="s" s="0">
        <v>1104</v>
      </c>
      <c r="AH38" t="s" s="0">
        <v>1105</v>
      </c>
      <c r="AI38" t="s" s="0">
        <v>1106</v>
      </c>
      <c r="AJ38" t="s" s="0">
        <v>81</v>
      </c>
      <c r="AK38" t="s" s="0">
        <v>81</v>
      </c>
      <c r="AL38" t="s" s="0">
        <v>1107</v>
      </c>
      <c r="AM38" t="s" s="0">
        <v>77</v>
      </c>
      <c r="AN38" t="s" s="0">
        <v>77</v>
      </c>
      <c r="AO38" t="s" s="0">
        <v>77</v>
      </c>
      <c r="AP38" t="s" s="0">
        <v>77</v>
      </c>
      <c r="AQ38" t="s" s="0">
        <v>298</v>
      </c>
      <c r="AR38" t="s" s="0">
        <v>299</v>
      </c>
      <c r="AS38" t="s" s="0">
        <v>1108</v>
      </c>
      <c r="AT38" t="s" s="0">
        <v>1109</v>
      </c>
      <c r="AU38" t="s" s="0">
        <v>1110</v>
      </c>
      <c r="AV38" t="s" s="0">
        <v>81</v>
      </c>
      <c r="AW38" t="s" s="0">
        <v>1111</v>
      </c>
      <c r="AX38" t="s" s="0">
        <v>1112</v>
      </c>
      <c r="AY38" t="s" s="0">
        <v>649</v>
      </c>
      <c r="AZ38" t="s" s="0">
        <v>244</v>
      </c>
      <c r="BA38" t="s" s="0">
        <v>137</v>
      </c>
      <c r="BB38" t="s" s="0">
        <v>468</v>
      </c>
      <c r="BC38" t="s" s="0">
        <v>81</v>
      </c>
      <c r="BD38" t="s" s="0">
        <v>81</v>
      </c>
      <c r="BE38" t="s" s="0">
        <v>81</v>
      </c>
      <c r="BF38" t="s" s="0">
        <v>81</v>
      </c>
      <c r="BG38" t="s" s="0">
        <v>81</v>
      </c>
      <c r="BH38" t="s" s="0">
        <v>81</v>
      </c>
      <c r="BI38" t="s" s="0">
        <v>1113</v>
      </c>
      <c r="BJ38" t="s" s="0">
        <v>1114</v>
      </c>
      <c r="BK38" t="s" s="73">
        <f>HYPERLINK("http://dx.doi.org/10.1007/s00784-026-07020-5","http://dx.doi.org/10.1007/s00784-026-07020-5")</f>
        <v>1115</v>
      </c>
      <c r="BL38" t="s" s="0">
        <v>81</v>
      </c>
      <c r="BM38" t="s" s="0">
        <v>1116</v>
      </c>
      <c r="BN38" t="s" s="0">
        <v>333</v>
      </c>
      <c r="BO38" t="s" s="0">
        <v>1117</v>
      </c>
      <c r="BP38" t="s" s="0">
        <v>1117</v>
      </c>
      <c r="BQ38" t="s" s="0">
        <v>1118</v>
      </c>
      <c r="BR38" t="s" s="0">
        <v>1119</v>
      </c>
      <c r="BS38" t="s" s="0">
        <v>1120</v>
      </c>
      <c r="BT38" t="s" s="74">
        <f>HYPERLINK("https://www.webofscience.com/wos/woscc/full-record/WOS:001824433900001","View Record in Web of Science")</f>
        <v>117</v>
      </c>
      <c r="BU38" t="s" s="0">
        <v>512</v>
      </c>
      <c r="BV38" t="s" s="0">
        <v>81</v>
      </c>
      <c r="BW38" t="s" s="0">
        <v>81</v>
      </c>
      <c r="BX38" t="s" s="0">
        <v>119</v>
      </c>
    </row>
    <row r="39">
      <c r="A39" t="s" s="0">
        <v>77</v>
      </c>
      <c r="B39" t="s" s="0">
        <v>77</v>
      </c>
      <c r="C39" t="s" s="0">
        <v>393</v>
      </c>
      <c r="D39" t="s" s="0">
        <v>77</v>
      </c>
      <c r="E39" t="s" s="0">
        <v>1121</v>
      </c>
      <c r="F39" t="s" s="0">
        <v>1122</v>
      </c>
      <c r="G39" t="s" s="0">
        <v>1123</v>
      </c>
      <c r="H39" t="s" s="0">
        <v>81</v>
      </c>
      <c r="I39" t="s" s="0">
        <v>123</v>
      </c>
      <c r="J39" t="s" s="0">
        <v>1124</v>
      </c>
      <c r="K39" t="s" s="0">
        <v>1125</v>
      </c>
      <c r="L39" t="s" s="0">
        <v>1126</v>
      </c>
      <c r="M39" t="s" s="0">
        <v>1127</v>
      </c>
      <c r="N39" t="s" s="0">
        <v>1128</v>
      </c>
      <c r="O39" t="s" s="0">
        <v>1129</v>
      </c>
      <c r="P39" t="s" s="0">
        <v>1130</v>
      </c>
      <c r="Q39" t="s" s="0">
        <v>87</v>
      </c>
      <c r="R39" t="s" s="0">
        <v>81</v>
      </c>
      <c r="S39" t="s" s="0">
        <v>81</v>
      </c>
      <c r="T39" t="s" s="0">
        <v>81</v>
      </c>
      <c r="U39" t="s" s="0">
        <v>81</v>
      </c>
      <c r="V39" t="s" s="0">
        <v>1131</v>
      </c>
      <c r="W39" t="s" s="0">
        <v>1132</v>
      </c>
      <c r="X39" t="s" s="0">
        <v>81</v>
      </c>
      <c r="Y39" t="s" s="0">
        <v>81</v>
      </c>
      <c r="Z39" t="s" s="0">
        <v>90</v>
      </c>
      <c r="AA39" t="s" s="0">
        <v>91</v>
      </c>
      <c r="AB39" t="s" s="0">
        <v>81</v>
      </c>
      <c r="AC39" t="s" s="0">
        <v>81</v>
      </c>
      <c r="AD39" t="s" s="0">
        <v>81</v>
      </c>
      <c r="AE39" t="s" s="0">
        <v>81</v>
      </c>
      <c r="AF39" t="s" s="0">
        <v>81</v>
      </c>
      <c r="AG39" t="s" s="0">
        <v>1133</v>
      </c>
      <c r="AH39" t="s" s="0">
        <v>1134</v>
      </c>
      <c r="AI39" t="s" s="0">
        <v>1135</v>
      </c>
      <c r="AJ39" t="s" s="0">
        <v>1136</v>
      </c>
      <c r="AK39" t="s" s="0">
        <v>81</v>
      </c>
      <c r="AL39" t="s" s="0">
        <v>1137</v>
      </c>
      <c r="AM39" t="s" s="0">
        <v>449</v>
      </c>
      <c r="AN39" t="s" s="0">
        <v>420</v>
      </c>
      <c r="AO39" t="s" s="0">
        <v>95</v>
      </c>
      <c r="AP39" t="s" s="0">
        <v>329</v>
      </c>
      <c r="AQ39" t="s" s="0">
        <v>1138</v>
      </c>
      <c r="AR39" t="s" s="0">
        <v>1139</v>
      </c>
      <c r="AS39" t="s" s="0">
        <v>1140</v>
      </c>
      <c r="AT39" t="s" s="0">
        <v>1141</v>
      </c>
      <c r="AU39" t="s" s="0">
        <v>1142</v>
      </c>
      <c r="AV39" t="s" s="0">
        <v>81</v>
      </c>
      <c r="AW39" t="s" s="0">
        <v>1143</v>
      </c>
      <c r="AX39" t="s" s="0">
        <v>1144</v>
      </c>
      <c r="AY39" t="s" s="0">
        <v>1145</v>
      </c>
      <c r="AZ39" t="s" s="0">
        <v>145</v>
      </c>
      <c r="BA39" t="s" s="0">
        <v>1146</v>
      </c>
      <c r="BB39" t="s" s="0">
        <v>81</v>
      </c>
      <c r="BC39" t="s" s="0">
        <v>81</v>
      </c>
      <c r="BD39" t="s" s="0">
        <v>81</v>
      </c>
      <c r="BE39" t="s" s="0">
        <v>81</v>
      </c>
      <c r="BF39" t="s" s="0">
        <v>81</v>
      </c>
      <c r="BG39" t="s" s="0">
        <v>81</v>
      </c>
      <c r="BH39" t="s" s="0">
        <v>81</v>
      </c>
      <c r="BI39" t="s" s="0">
        <v>1147</v>
      </c>
      <c r="BJ39" t="s" s="0">
        <v>1148</v>
      </c>
      <c r="BK39" t="s" s="75">
        <f>HYPERLINK("http://dx.doi.org/10.1016/j.msard.2023.104846","http://dx.doi.org/10.1016/j.msard.2023.104846")</f>
        <v>1149</v>
      </c>
      <c r="BL39" t="s" s="0">
        <v>81</v>
      </c>
      <c r="BM39" t="s" s="0">
        <v>1150</v>
      </c>
      <c r="BN39" t="s" s="0">
        <v>333</v>
      </c>
      <c r="BO39" t="s" s="0">
        <v>1151</v>
      </c>
      <c r="BP39" t="s" s="0">
        <v>218</v>
      </c>
      <c r="BQ39" t="s" s="0">
        <v>1152</v>
      </c>
      <c r="BR39" t="s" s="0">
        <v>1153</v>
      </c>
      <c r="BS39" t="s" s="0">
        <v>1154</v>
      </c>
      <c r="BT39" t="s" s="76">
        <f>HYPERLINK("https://www.webofscience.com/wos/woscc/full-record/WOS:001039417400001","View Record in Web of Science")</f>
        <v>117</v>
      </c>
      <c r="BU39" t="s" s="0">
        <v>512</v>
      </c>
      <c r="BV39" t="s" s="0">
        <v>81</v>
      </c>
      <c r="BW39" t="s" s="0">
        <v>81</v>
      </c>
      <c r="BX39" t="s" s="0">
        <v>119</v>
      </c>
    </row>
    <row r="40">
      <c r="A40" t="s" s="0">
        <v>77</v>
      </c>
      <c r="B40" t="s" s="0">
        <v>77</v>
      </c>
      <c r="C40" t="s" s="0">
        <v>77</v>
      </c>
      <c r="D40" t="s" s="0">
        <v>77</v>
      </c>
      <c r="E40" t="s" s="0">
        <v>1155</v>
      </c>
      <c r="F40" t="s" s="0">
        <v>1156</v>
      </c>
      <c r="G40" t="s" s="0">
        <v>1157</v>
      </c>
      <c r="H40" t="s" s="0">
        <v>81</v>
      </c>
      <c r="I40" t="s" s="0">
        <v>82</v>
      </c>
      <c r="J40" t="s" s="0">
        <v>1158</v>
      </c>
      <c r="K40" t="s" s="0">
        <v>1159</v>
      </c>
      <c r="L40" t="s" s="0">
        <v>81</v>
      </c>
      <c r="M40" t="s" s="0">
        <v>81</v>
      </c>
      <c r="N40" t="s" s="0">
        <v>81</v>
      </c>
      <c r="O40" t="s" s="0">
        <v>1160</v>
      </c>
      <c r="P40" t="s" s="0">
        <v>1161</v>
      </c>
      <c r="Q40" t="s" s="0">
        <v>87</v>
      </c>
      <c r="R40" t="s" s="0">
        <v>81</v>
      </c>
      <c r="S40" t="s" s="0">
        <v>81</v>
      </c>
      <c r="T40" t="s" s="0">
        <v>81</v>
      </c>
      <c r="U40" t="s" s="0">
        <v>81</v>
      </c>
      <c r="V40" t="s" s="0">
        <v>1162</v>
      </c>
      <c r="W40" t="s" s="0">
        <v>1163</v>
      </c>
      <c r="X40" t="s" s="0">
        <v>81</v>
      </c>
      <c r="Y40" t="s" s="0">
        <v>81</v>
      </c>
      <c r="Z40" t="s" s="0">
        <v>90</v>
      </c>
      <c r="AA40" t="s" s="0">
        <v>493</v>
      </c>
      <c r="AB40" t="s" s="0">
        <v>81</v>
      </c>
      <c r="AC40" t="s" s="0">
        <v>81</v>
      </c>
      <c r="AD40" t="s" s="0">
        <v>81</v>
      </c>
      <c r="AE40" t="s" s="0">
        <v>81</v>
      </c>
      <c r="AF40" t="s" s="0">
        <v>81</v>
      </c>
      <c r="AG40" t="s" s="0">
        <v>1164</v>
      </c>
      <c r="AH40" t="s" s="0">
        <v>1165</v>
      </c>
      <c r="AI40" t="s" s="0">
        <v>1166</v>
      </c>
      <c r="AJ40" t="s" s="0">
        <v>81</v>
      </c>
      <c r="AK40" t="s" s="0">
        <v>81</v>
      </c>
      <c r="AL40" t="s" s="0">
        <v>722</v>
      </c>
      <c r="AM40" t="s" s="0">
        <v>95</v>
      </c>
      <c r="AN40" t="s" s="0">
        <v>95</v>
      </c>
      <c r="AO40" t="s" s="0">
        <v>186</v>
      </c>
      <c r="AP40" t="s" s="0">
        <v>186</v>
      </c>
      <c r="AQ40" t="s" s="0">
        <v>1021</v>
      </c>
      <c r="AR40" t="s" s="0">
        <v>1022</v>
      </c>
      <c r="AS40" t="s" s="0">
        <v>1023</v>
      </c>
      <c r="AT40" t="s" s="0">
        <v>1167</v>
      </c>
      <c r="AU40" t="s" s="0">
        <v>1168</v>
      </c>
      <c r="AV40" t="s" s="0">
        <v>81</v>
      </c>
      <c r="AW40" t="s" s="0">
        <v>1169</v>
      </c>
      <c r="AX40" t="s" s="0">
        <v>1170</v>
      </c>
      <c r="AY40" t="s" s="0">
        <v>81</v>
      </c>
      <c r="AZ40" t="s" s="0">
        <v>244</v>
      </c>
      <c r="BA40" t="s" s="0">
        <v>81</v>
      </c>
      <c r="BB40" t="s" s="0">
        <v>81</v>
      </c>
      <c r="BC40" t="s" s="0">
        <v>81</v>
      </c>
      <c r="BD40" t="s" s="0">
        <v>81</v>
      </c>
      <c r="BE40" t="s" s="0">
        <v>81</v>
      </c>
      <c r="BF40" t="s" s="0">
        <v>81</v>
      </c>
      <c r="BG40" t="s" s="0">
        <v>81</v>
      </c>
      <c r="BH40" t="s" s="0">
        <v>81</v>
      </c>
      <c r="BI40" t="s" s="0">
        <v>81</v>
      </c>
      <c r="BJ40" t="s" s="0">
        <v>1171</v>
      </c>
      <c r="BK40" t="s" s="77">
        <f>HYPERLINK("http://dx.doi.org/10.1108/TR-07-2025-0740","http://dx.doi.org/10.1108/TR-07-2025-0740")</f>
        <v>1172</v>
      </c>
      <c r="BL40" t="s" s="0">
        <v>81</v>
      </c>
      <c r="BM40" t="s" s="0">
        <v>1030</v>
      </c>
      <c r="BN40" t="s" s="0">
        <v>553</v>
      </c>
      <c r="BO40" t="s" s="0">
        <v>311</v>
      </c>
      <c r="BP40" t="s" s="0">
        <v>312</v>
      </c>
      <c r="BQ40" t="s" s="0">
        <v>1173</v>
      </c>
      <c r="BR40" t="s" s="0">
        <v>81</v>
      </c>
      <c r="BS40" t="s" s="0">
        <v>1174</v>
      </c>
      <c r="BT40" t="s" s="78">
        <f>HYPERLINK("https://www.webofscience.com/wos/woscc/full-record/WOS:001699051800001","View Record in Web of Science")</f>
        <v>117</v>
      </c>
      <c r="BU40" t="s" s="0">
        <v>81</v>
      </c>
      <c r="BV40" t="s" s="0">
        <v>81</v>
      </c>
      <c r="BW40" t="s" s="0">
        <v>81</v>
      </c>
      <c r="BX40" t="s" s="0">
        <v>119</v>
      </c>
    </row>
    <row r="41">
      <c r="A41" t="s" s="0">
        <v>77</v>
      </c>
      <c r="B41" t="s" s="0">
        <v>77</v>
      </c>
      <c r="C41" t="s" s="0">
        <v>77</v>
      </c>
      <c r="D41" t="s" s="0">
        <v>77</v>
      </c>
      <c r="E41" t="s" s="0">
        <v>1175</v>
      </c>
      <c r="F41" t="s" s="0">
        <v>1176</v>
      </c>
      <c r="G41" t="s" s="0">
        <v>1177</v>
      </c>
      <c r="H41" t="s" s="0">
        <v>81</v>
      </c>
      <c r="I41" t="s" s="0">
        <v>123</v>
      </c>
      <c r="J41" t="s" s="0">
        <v>1178</v>
      </c>
      <c r="K41" t="s" s="0">
        <v>1179</v>
      </c>
      <c r="L41" t="s" s="0">
        <v>1180</v>
      </c>
      <c r="M41" t="s" s="0">
        <v>1181</v>
      </c>
      <c r="N41" t="s" s="0">
        <v>1182</v>
      </c>
      <c r="O41" t="s" s="0">
        <v>1183</v>
      </c>
      <c r="P41" t="s" s="0">
        <v>1184</v>
      </c>
      <c r="Q41" t="s" s="0">
        <v>87</v>
      </c>
      <c r="R41" t="s" s="0">
        <v>81</v>
      </c>
      <c r="S41" t="s" s="0">
        <v>81</v>
      </c>
      <c r="T41" t="s" s="0">
        <v>81</v>
      </c>
      <c r="U41" t="s" s="0">
        <v>81</v>
      </c>
      <c r="V41" t="s" s="0">
        <v>1185</v>
      </c>
      <c r="W41" t="s" s="0">
        <v>1186</v>
      </c>
      <c r="X41" t="s" s="0">
        <v>81</v>
      </c>
      <c r="Y41" t="s" s="0">
        <v>81</v>
      </c>
      <c r="Z41" t="s" s="0">
        <v>90</v>
      </c>
      <c r="AA41" t="s" s="0">
        <v>91</v>
      </c>
      <c r="AB41" t="s" s="0">
        <v>81</v>
      </c>
      <c r="AC41" t="s" s="0">
        <v>81</v>
      </c>
      <c r="AD41" t="s" s="0">
        <v>81</v>
      </c>
      <c r="AE41" t="s" s="0">
        <v>81</v>
      </c>
      <c r="AF41" t="s" s="0">
        <v>81</v>
      </c>
      <c r="AG41" t="s" s="0">
        <v>1187</v>
      </c>
      <c r="AH41" t="s" s="0">
        <v>1188</v>
      </c>
      <c r="AI41" t="s" s="0">
        <v>1189</v>
      </c>
      <c r="AJ41" t="s" s="0">
        <v>1190</v>
      </c>
      <c r="AK41" t="s" s="0">
        <v>81</v>
      </c>
      <c r="AL41" t="s" s="0">
        <v>1191</v>
      </c>
      <c r="AM41" t="s" s="0">
        <v>393</v>
      </c>
      <c r="AN41" t="s" s="0">
        <v>468</v>
      </c>
      <c r="AO41" t="s" s="0">
        <v>95</v>
      </c>
      <c r="AP41" t="s" s="0">
        <v>1192</v>
      </c>
      <c r="AQ41" t="s" s="0">
        <v>864</v>
      </c>
      <c r="AR41" t="s" s="0">
        <v>865</v>
      </c>
      <c r="AS41" t="s" s="0">
        <v>866</v>
      </c>
      <c r="AT41" t="s" s="0">
        <v>81</v>
      </c>
      <c r="AU41" t="s" s="0">
        <v>1193</v>
      </c>
      <c r="AV41" t="s" s="0">
        <v>81</v>
      </c>
      <c r="AW41" t="s" s="0">
        <v>1194</v>
      </c>
      <c r="AX41" t="s" s="0">
        <v>1195</v>
      </c>
      <c r="AY41" t="s" s="0">
        <v>1196</v>
      </c>
      <c r="AZ41" t="s" s="0">
        <v>1197</v>
      </c>
      <c r="BA41" t="s" s="0">
        <v>333</v>
      </c>
      <c r="BB41" t="s" s="0">
        <v>112</v>
      </c>
      <c r="BC41" t="s" s="0">
        <v>81</v>
      </c>
      <c r="BD41" t="s" s="0">
        <v>81</v>
      </c>
      <c r="BE41" t="s" s="0">
        <v>81</v>
      </c>
      <c r="BF41" t="s" s="0">
        <v>81</v>
      </c>
      <c r="BG41" t="s" s="0">
        <v>81</v>
      </c>
      <c r="BH41" t="s" s="0">
        <v>81</v>
      </c>
      <c r="BI41" t="s" s="0">
        <v>1198</v>
      </c>
      <c r="BJ41" t="s" s="0">
        <v>1199</v>
      </c>
      <c r="BK41" t="s" s="79">
        <f>HYPERLINK("http://dx.doi.org/10.2196/38168","http://dx.doi.org/10.2196/38168")</f>
        <v>1200</v>
      </c>
      <c r="BL41" t="s" s="0">
        <v>81</v>
      </c>
      <c r="BM41" t="s" s="0">
        <v>81</v>
      </c>
      <c r="BN41" t="s" s="0">
        <v>444</v>
      </c>
      <c r="BO41" t="s" s="0">
        <v>1201</v>
      </c>
      <c r="BP41" t="s" s="0">
        <v>1201</v>
      </c>
      <c r="BQ41" t="s" s="0">
        <v>1202</v>
      </c>
      <c r="BR41" t="s" s="0">
        <v>1203</v>
      </c>
      <c r="BS41" t="s" s="0">
        <v>1204</v>
      </c>
      <c r="BT41" t="s" s="80">
        <f>HYPERLINK("https://www.webofscience.com/wos/woscc/full-record/WOS:000892552700010","View Record in Web of Science")</f>
        <v>117</v>
      </c>
      <c r="BU41" t="s" s="0">
        <v>155</v>
      </c>
      <c r="BV41" t="s" s="0">
        <v>81</v>
      </c>
      <c r="BW41" t="s" s="0">
        <v>81</v>
      </c>
      <c r="BX41" t="s" s="0">
        <v>119</v>
      </c>
    </row>
    <row r="42">
      <c r="A42" t="s" s="0">
        <v>77</v>
      </c>
      <c r="B42" t="s" s="0">
        <v>77</v>
      </c>
      <c r="C42" t="s" s="0">
        <v>77</v>
      </c>
      <c r="D42" t="s" s="0">
        <v>77</v>
      </c>
      <c r="E42" t="s" s="0">
        <v>1205</v>
      </c>
      <c r="F42" t="s" s="0">
        <v>1206</v>
      </c>
      <c r="G42" t="s" s="0">
        <v>1207</v>
      </c>
      <c r="H42" t="s" s="0">
        <v>81</v>
      </c>
      <c r="I42" t="s" s="0">
        <v>344</v>
      </c>
      <c r="J42" t="s" s="0">
        <v>1208</v>
      </c>
      <c r="K42" t="s" s="0">
        <v>1209</v>
      </c>
      <c r="L42" t="s" s="0">
        <v>1210</v>
      </c>
      <c r="M42" t="s" s="0">
        <v>1211</v>
      </c>
      <c r="N42" t="s" s="0">
        <v>1212</v>
      </c>
      <c r="O42" t="s" s="0">
        <v>1213</v>
      </c>
      <c r="P42" t="s" s="0">
        <v>1214</v>
      </c>
      <c r="Q42" t="s" s="0">
        <v>87</v>
      </c>
      <c r="R42" t="s" s="0">
        <v>81</v>
      </c>
      <c r="S42" t="s" s="0">
        <v>81</v>
      </c>
      <c r="T42" t="s" s="0">
        <v>81</v>
      </c>
      <c r="U42" t="s" s="0">
        <v>81</v>
      </c>
      <c r="V42" t="s" s="0">
        <v>1215</v>
      </c>
      <c r="W42" t="s" s="0">
        <v>1216</v>
      </c>
      <c r="X42" t="s" s="0">
        <v>81</v>
      </c>
      <c r="Y42" t="s" s="0">
        <v>81</v>
      </c>
      <c r="Z42" t="s" s="0">
        <v>90</v>
      </c>
      <c r="AA42" t="s" s="0">
        <v>91</v>
      </c>
      <c r="AB42" t="s" s="0">
        <v>81</v>
      </c>
      <c r="AC42" t="s" s="0">
        <v>81</v>
      </c>
      <c r="AD42" t="s" s="0">
        <v>81</v>
      </c>
      <c r="AE42" t="s" s="0">
        <v>81</v>
      </c>
      <c r="AF42" t="s" s="0">
        <v>81</v>
      </c>
      <c r="AG42" t="s" s="0">
        <v>1217</v>
      </c>
      <c r="AH42" t="s" s="0">
        <v>1218</v>
      </c>
      <c r="AI42" t="s" s="0">
        <v>1219</v>
      </c>
      <c r="AJ42" t="s" s="0">
        <v>1220</v>
      </c>
      <c r="AK42" t="s" s="0">
        <v>81</v>
      </c>
      <c r="AL42" t="s" s="0">
        <v>306</v>
      </c>
      <c r="AM42" t="s" s="0">
        <v>77</v>
      </c>
      <c r="AN42" t="s" s="0">
        <v>77</v>
      </c>
      <c r="AO42" t="s" s="0">
        <v>77</v>
      </c>
      <c r="AP42" t="s" s="0">
        <v>77</v>
      </c>
      <c r="AQ42" t="s" s="0">
        <v>864</v>
      </c>
      <c r="AR42" t="s" s="0">
        <v>865</v>
      </c>
      <c r="AS42" t="s" s="0">
        <v>866</v>
      </c>
      <c r="AT42" t="s" s="0">
        <v>81</v>
      </c>
      <c r="AU42" t="s" s="0">
        <v>1221</v>
      </c>
      <c r="AV42" t="s" s="0">
        <v>81</v>
      </c>
      <c r="AW42" t="s" s="0">
        <v>1216</v>
      </c>
      <c r="AX42" t="s" s="0">
        <v>1216</v>
      </c>
      <c r="AY42" t="s" s="0">
        <v>1222</v>
      </c>
      <c r="AZ42" t="s" s="0">
        <v>244</v>
      </c>
      <c r="BA42" t="s" s="0">
        <v>329</v>
      </c>
      <c r="BB42" t="s" s="0">
        <v>81</v>
      </c>
      <c r="BC42" t="s" s="0">
        <v>81</v>
      </c>
      <c r="BD42" t="s" s="0">
        <v>81</v>
      </c>
      <c r="BE42" t="s" s="0">
        <v>81</v>
      </c>
      <c r="BF42" t="s" s="0">
        <v>81</v>
      </c>
      <c r="BG42" t="s" s="0">
        <v>81</v>
      </c>
      <c r="BH42" t="s" s="0">
        <v>81</v>
      </c>
      <c r="BI42" t="s" s="0">
        <v>1223</v>
      </c>
      <c r="BJ42" t="s" s="0">
        <v>1224</v>
      </c>
      <c r="BK42" t="s" s="81">
        <f>HYPERLINK("http://dx.doi.org/10.2196/84315","http://dx.doi.org/10.2196/84315")</f>
        <v>1225</v>
      </c>
      <c r="BL42" t="s" s="0">
        <v>81</v>
      </c>
      <c r="BM42" t="s" s="0">
        <v>81</v>
      </c>
      <c r="BN42" t="s" s="0">
        <v>333</v>
      </c>
      <c r="BO42" t="s" s="0">
        <v>1226</v>
      </c>
      <c r="BP42" t="s" s="0">
        <v>1226</v>
      </c>
      <c r="BQ42" t="s" s="0">
        <v>1227</v>
      </c>
      <c r="BR42" t="s" s="0">
        <v>1228</v>
      </c>
      <c r="BS42" t="s" s="0">
        <v>1229</v>
      </c>
      <c r="BT42" t="s" s="82">
        <f>HYPERLINK("https://www.webofscience.com/wos/woscc/full-record/WOS:001792108900001","View Record in Web of Science")</f>
        <v>117</v>
      </c>
      <c r="BU42" t="s" s="0">
        <v>155</v>
      </c>
      <c r="BV42" t="s" s="0">
        <v>81</v>
      </c>
      <c r="BW42" t="s" s="0">
        <v>81</v>
      </c>
      <c r="BX42" t="s" s="0">
        <v>119</v>
      </c>
    </row>
    <row r="43">
      <c r="A43" t="s" s="0">
        <v>77</v>
      </c>
      <c r="B43" t="s" s="0">
        <v>77</v>
      </c>
      <c r="C43" t="s" s="0">
        <v>77</v>
      </c>
      <c r="D43" t="s" s="0">
        <v>77</v>
      </c>
      <c r="E43" t="s" s="0">
        <v>1230</v>
      </c>
      <c r="F43" t="s" s="0">
        <v>1231</v>
      </c>
      <c r="G43" t="s" s="0">
        <v>1232</v>
      </c>
      <c r="H43" t="s" s="0">
        <v>81</v>
      </c>
      <c r="I43" t="s" s="0">
        <v>344</v>
      </c>
      <c r="J43" t="s" s="0">
        <v>1233</v>
      </c>
      <c r="K43" t="s" s="0">
        <v>1234</v>
      </c>
      <c r="L43" t="s" s="0">
        <v>81</v>
      </c>
      <c r="M43" t="s" s="0">
        <v>81</v>
      </c>
      <c r="N43" t="s" s="0">
        <v>81</v>
      </c>
      <c r="O43" t="s" s="0">
        <v>1235</v>
      </c>
      <c r="P43" t="s" s="0">
        <v>1236</v>
      </c>
      <c r="Q43" t="s" s="0">
        <v>87</v>
      </c>
      <c r="R43" t="s" s="0">
        <v>81</v>
      </c>
      <c r="S43" t="s" s="0">
        <v>81</v>
      </c>
      <c r="T43" t="s" s="0">
        <v>81</v>
      </c>
      <c r="U43" t="s" s="0">
        <v>81</v>
      </c>
      <c r="V43" t="s" s="0">
        <v>1237</v>
      </c>
      <c r="W43" t="s" s="0">
        <v>1238</v>
      </c>
      <c r="X43" t="s" s="0">
        <v>81</v>
      </c>
      <c r="Y43" t="s" s="0">
        <v>81</v>
      </c>
      <c r="Z43" t="s" s="0">
        <v>90</v>
      </c>
      <c r="AA43" t="s" s="0">
        <v>91</v>
      </c>
      <c r="AB43" t="s" s="0">
        <v>81</v>
      </c>
      <c r="AC43" t="s" s="0">
        <v>81</v>
      </c>
      <c r="AD43" t="s" s="0">
        <v>81</v>
      </c>
      <c r="AE43" t="s" s="0">
        <v>81</v>
      </c>
      <c r="AF43" t="s" s="0">
        <v>81</v>
      </c>
      <c r="AG43" t="s" s="0">
        <v>1239</v>
      </c>
      <c r="AH43" t="s" s="0">
        <v>81</v>
      </c>
      <c r="AI43" t="s" s="0">
        <v>81</v>
      </c>
      <c r="AJ43" t="s" s="0">
        <v>81</v>
      </c>
      <c r="AK43" t="s" s="0">
        <v>81</v>
      </c>
      <c r="AL43" t="s" s="0">
        <v>249</v>
      </c>
      <c r="AM43" t="s" s="0">
        <v>77</v>
      </c>
      <c r="AN43" t="s" s="0">
        <v>77</v>
      </c>
      <c r="AO43" t="s" s="0">
        <v>77</v>
      </c>
      <c r="AP43" t="s" s="0">
        <v>77</v>
      </c>
      <c r="AQ43" t="s" s="0">
        <v>1240</v>
      </c>
      <c r="AR43" t="s" s="0">
        <v>1241</v>
      </c>
      <c r="AS43" t="s" s="0">
        <v>1242</v>
      </c>
      <c r="AT43" t="s" s="0">
        <v>1243</v>
      </c>
      <c r="AU43" t="s" s="0">
        <v>81</v>
      </c>
      <c r="AV43" t="s" s="0">
        <v>81</v>
      </c>
      <c r="AW43" t="s" s="0">
        <v>1244</v>
      </c>
      <c r="AX43" t="s" s="0">
        <v>1245</v>
      </c>
      <c r="AY43" t="s" s="0">
        <v>244</v>
      </c>
      <c r="AZ43" t="s" s="0">
        <v>244</v>
      </c>
      <c r="BA43" t="s" s="0">
        <v>137</v>
      </c>
      <c r="BB43" t="s" s="0">
        <v>273</v>
      </c>
      <c r="BC43" t="s" s="0">
        <v>81</v>
      </c>
      <c r="BD43" t="s" s="0">
        <v>81</v>
      </c>
      <c r="BE43" t="s" s="0">
        <v>81</v>
      </c>
      <c r="BF43" t="s" s="0">
        <v>81</v>
      </c>
      <c r="BG43" t="s" s="0">
        <v>1246</v>
      </c>
      <c r="BH43" t="s" s="0">
        <v>1247</v>
      </c>
      <c r="BI43" t="s" s="0">
        <v>81</v>
      </c>
      <c r="BJ43" t="s" s="0">
        <v>1248</v>
      </c>
      <c r="BK43" t="s" s="83">
        <f>HYPERLINK("http://dx.doi.org/10.29228/jrp.2022.00","http://dx.doi.org/10.29228/jrp.2022.00")</f>
        <v>1249</v>
      </c>
      <c r="BL43" t="s" s="0">
        <v>81</v>
      </c>
      <c r="BM43" t="s" s="0">
        <v>81</v>
      </c>
      <c r="BN43" t="s" s="0">
        <v>213</v>
      </c>
      <c r="BO43" t="s" s="0">
        <v>1250</v>
      </c>
      <c r="BP43" t="s" s="0">
        <v>1250</v>
      </c>
      <c r="BQ43" t="s" s="0">
        <v>1251</v>
      </c>
      <c r="BR43" t="s" s="0">
        <v>81</v>
      </c>
      <c r="BS43" t="s" s="0">
        <v>1252</v>
      </c>
      <c r="BT43" t="s" s="84">
        <f>HYPERLINK("https://www.webofscience.com/wos/woscc/full-record/WOS:001845114800011","View Record in Web of Science")</f>
        <v>117</v>
      </c>
      <c r="BU43" t="s" s="0">
        <v>81</v>
      </c>
      <c r="BV43" t="s" s="0">
        <v>81</v>
      </c>
      <c r="BW43" t="s" s="0">
        <v>81</v>
      </c>
      <c r="BX43" t="s" s="0">
        <v>119</v>
      </c>
    </row>
    <row r="44">
      <c r="A44" t="s" s="0">
        <v>77</v>
      </c>
      <c r="B44" t="s" s="0">
        <v>77</v>
      </c>
      <c r="C44" t="s" s="0">
        <v>77</v>
      </c>
      <c r="D44" t="s" s="0">
        <v>77</v>
      </c>
      <c r="E44" t="s" s="0">
        <v>1230</v>
      </c>
      <c r="F44" t="s" s="0">
        <v>1231</v>
      </c>
      <c r="G44" t="s" s="0">
        <v>1232</v>
      </c>
      <c r="H44" t="s" s="0">
        <v>81</v>
      </c>
      <c r="I44" t="s" s="0">
        <v>344</v>
      </c>
      <c r="J44" t="s" s="0">
        <v>1233</v>
      </c>
      <c r="K44" t="s" s="0">
        <v>1234</v>
      </c>
      <c r="L44" t="s" s="0">
        <v>81</v>
      </c>
      <c r="M44" t="s" s="0">
        <v>81</v>
      </c>
      <c r="N44" t="s" s="0">
        <v>81</v>
      </c>
      <c r="O44" t="s" s="0">
        <v>1235</v>
      </c>
      <c r="P44" t="s" s="0">
        <v>1236</v>
      </c>
      <c r="Q44" t="s" s="0">
        <v>87</v>
      </c>
      <c r="R44" t="s" s="0">
        <v>81</v>
      </c>
      <c r="S44" t="s" s="0">
        <v>81</v>
      </c>
      <c r="T44" t="s" s="0">
        <v>81</v>
      </c>
      <c r="U44" t="s" s="0">
        <v>81</v>
      </c>
      <c r="V44" t="s" s="0">
        <v>1237</v>
      </c>
      <c r="W44" t="s" s="0">
        <v>1238</v>
      </c>
      <c r="X44" t="s" s="0">
        <v>81</v>
      </c>
      <c r="Y44" t="s" s="0">
        <v>81</v>
      </c>
      <c r="Z44" t="s" s="0">
        <v>90</v>
      </c>
      <c r="AA44" t="s" s="0">
        <v>91</v>
      </c>
      <c r="AB44" t="s" s="0">
        <v>81</v>
      </c>
      <c r="AC44" t="s" s="0">
        <v>81</v>
      </c>
      <c r="AD44" t="s" s="0">
        <v>81</v>
      </c>
      <c r="AE44" t="s" s="0">
        <v>81</v>
      </c>
      <c r="AF44" t="s" s="0">
        <v>81</v>
      </c>
      <c r="AG44" t="s" s="0">
        <v>1239</v>
      </c>
      <c r="AH44" t="s" s="0">
        <v>81</v>
      </c>
      <c r="AI44" t="s" s="0">
        <v>81</v>
      </c>
      <c r="AJ44" t="s" s="0">
        <v>81</v>
      </c>
      <c r="AK44" t="s" s="0">
        <v>81</v>
      </c>
      <c r="AL44" t="s" s="0">
        <v>249</v>
      </c>
      <c r="AM44" t="s" s="0">
        <v>77</v>
      </c>
      <c r="AN44" t="s" s="0">
        <v>77</v>
      </c>
      <c r="AO44" t="s" s="0">
        <v>77</v>
      </c>
      <c r="AP44" t="s" s="0">
        <v>77</v>
      </c>
      <c r="AQ44" t="s" s="0">
        <v>1240</v>
      </c>
      <c r="AR44" t="s" s="0">
        <v>1241</v>
      </c>
      <c r="AS44" t="s" s="0">
        <v>1242</v>
      </c>
      <c r="AT44" t="s" s="0">
        <v>1243</v>
      </c>
      <c r="AU44" t="s" s="0">
        <v>81</v>
      </c>
      <c r="AV44" t="s" s="0">
        <v>81</v>
      </c>
      <c r="AW44" t="s" s="0">
        <v>1244</v>
      </c>
      <c r="AX44" t="s" s="0">
        <v>1245</v>
      </c>
      <c r="AY44" t="s" s="0">
        <v>244</v>
      </c>
      <c r="AZ44" t="s" s="0">
        <v>244</v>
      </c>
      <c r="BA44" t="s" s="0">
        <v>137</v>
      </c>
      <c r="BB44" t="s" s="0">
        <v>273</v>
      </c>
      <c r="BC44" t="s" s="0">
        <v>81</v>
      </c>
      <c r="BD44" t="s" s="0">
        <v>81</v>
      </c>
      <c r="BE44" t="s" s="0">
        <v>81</v>
      </c>
      <c r="BF44" t="s" s="0">
        <v>81</v>
      </c>
      <c r="BG44" t="s" s="0">
        <v>1246</v>
      </c>
      <c r="BH44" t="s" s="0">
        <v>1247</v>
      </c>
      <c r="BI44" t="s" s="0">
        <v>81</v>
      </c>
      <c r="BJ44" t="s" s="0">
        <v>1253</v>
      </c>
      <c r="BK44" t="s" s="85">
        <f>HYPERLINK("http://dx.doi.org/10.12991/jrespharm.1940300","http://dx.doi.org/10.12991/jrespharm.1940300")</f>
        <v>1254</v>
      </c>
      <c r="BL44" t="s" s="0">
        <v>81</v>
      </c>
      <c r="BM44" t="s" s="0">
        <v>81</v>
      </c>
      <c r="BN44" t="s" s="0">
        <v>213</v>
      </c>
      <c r="BO44" t="s" s="0">
        <v>1250</v>
      </c>
      <c r="BP44" t="s" s="0">
        <v>1250</v>
      </c>
      <c r="BQ44" t="s" s="0">
        <v>1251</v>
      </c>
      <c r="BR44" t="s" s="0">
        <v>81</v>
      </c>
      <c r="BS44" t="s" s="0">
        <v>1255</v>
      </c>
      <c r="BT44" t="s" s="86">
        <f>HYPERLINK("https://www.webofscience.com/wos/woscc/full-record/WOS:001845114800010","View Record in Web of Science")</f>
        <v>117</v>
      </c>
      <c r="BU44" t="s" s="0">
        <v>81</v>
      </c>
      <c r="BV44" t="s" s="0">
        <v>81</v>
      </c>
      <c r="BW44" t="s" s="0">
        <v>81</v>
      </c>
      <c r="BX44" t="s" s="0">
        <v>119</v>
      </c>
    </row>
    <row r="45">
      <c r="A45" t="s" s="0">
        <v>77</v>
      </c>
      <c r="B45" t="s" s="0">
        <v>77</v>
      </c>
      <c r="C45" t="s" s="0">
        <v>95</v>
      </c>
      <c r="D45" t="s" s="0">
        <v>77</v>
      </c>
      <c r="E45" t="s" s="0">
        <v>1256</v>
      </c>
      <c r="F45" t="s" s="0">
        <v>1257</v>
      </c>
      <c r="G45" t="s" s="0">
        <v>1258</v>
      </c>
      <c r="H45" t="s" s="0">
        <v>81</v>
      </c>
      <c r="I45" t="s" s="0">
        <v>344</v>
      </c>
      <c r="J45" t="s" s="0">
        <v>1259</v>
      </c>
      <c r="K45" t="s" s="0">
        <v>1260</v>
      </c>
      <c r="L45" t="s" s="0">
        <v>1261</v>
      </c>
      <c r="M45" t="s" s="0">
        <v>1262</v>
      </c>
      <c r="N45" t="s" s="0">
        <v>1263</v>
      </c>
      <c r="O45" t="s" s="0">
        <v>1264</v>
      </c>
      <c r="P45" t="s" s="0">
        <v>1265</v>
      </c>
      <c r="Q45" t="s" s="0">
        <v>87</v>
      </c>
      <c r="R45" t="s" s="0">
        <v>81</v>
      </c>
      <c r="S45" t="s" s="0">
        <v>1266</v>
      </c>
      <c r="T45" t="s" s="0">
        <v>81</v>
      </c>
      <c r="U45" t="s" s="0">
        <v>81</v>
      </c>
      <c r="V45" t="s" s="0">
        <v>1267</v>
      </c>
      <c r="W45" t="s" s="0">
        <v>1268</v>
      </c>
      <c r="X45" t="s" s="0">
        <v>81</v>
      </c>
      <c r="Y45" t="s" s="0">
        <v>81</v>
      </c>
      <c r="Z45" t="s" s="0">
        <v>90</v>
      </c>
      <c r="AA45" t="s" s="0">
        <v>91</v>
      </c>
      <c r="AB45" t="s" s="0">
        <v>81</v>
      </c>
      <c r="AC45" t="s" s="0">
        <v>81</v>
      </c>
      <c r="AD45" t="s" s="0">
        <v>81</v>
      </c>
      <c r="AE45" t="s" s="0">
        <v>81</v>
      </c>
      <c r="AF45" t="s" s="0">
        <v>81</v>
      </c>
      <c r="AG45" t="s" s="0">
        <v>1269</v>
      </c>
      <c r="AH45" t="s" s="0">
        <v>1270</v>
      </c>
      <c r="AI45" t="s" s="0">
        <v>1271</v>
      </c>
      <c r="AJ45" t="s" s="0">
        <v>1272</v>
      </c>
      <c r="AK45" t="s" s="0">
        <v>81</v>
      </c>
      <c r="AL45" t="s" s="0">
        <v>671</v>
      </c>
      <c r="AM45" t="s" s="0">
        <v>273</v>
      </c>
      <c r="AN45" t="s" s="0">
        <v>329</v>
      </c>
      <c r="AO45" t="s" s="0">
        <v>419</v>
      </c>
      <c r="AP45" t="s" s="0">
        <v>171</v>
      </c>
      <c r="AQ45" t="s" s="0">
        <v>1273</v>
      </c>
      <c r="AR45" t="s" s="0">
        <v>237</v>
      </c>
      <c r="AS45" t="s" s="0">
        <v>1274</v>
      </c>
      <c r="AT45" t="s" s="0">
        <v>81</v>
      </c>
      <c r="AU45" t="s" s="0">
        <v>1275</v>
      </c>
      <c r="AV45" t="s" s="0">
        <v>81</v>
      </c>
      <c r="AW45" t="s" s="0">
        <v>1268</v>
      </c>
      <c r="AX45" t="s" s="0">
        <v>1276</v>
      </c>
      <c r="AY45" t="s" s="0">
        <v>365</v>
      </c>
      <c r="AZ45" t="s" s="0">
        <v>105</v>
      </c>
      <c r="BA45" t="s" s="0">
        <v>468</v>
      </c>
      <c r="BB45" t="s" s="0">
        <v>329</v>
      </c>
      <c r="BC45" t="s" s="0">
        <v>81</v>
      </c>
      <c r="BD45" t="s" s="0">
        <v>81</v>
      </c>
      <c r="BE45" t="s" s="0">
        <v>81</v>
      </c>
      <c r="BF45" t="s" s="0">
        <v>81</v>
      </c>
      <c r="BG45" t="s" s="0">
        <v>81</v>
      </c>
      <c r="BH45" t="s" s="0">
        <v>81</v>
      </c>
      <c r="BI45" t="s" s="0">
        <v>1277</v>
      </c>
      <c r="BJ45" t="s" s="0">
        <v>1278</v>
      </c>
      <c r="BK45" t="s" s="87">
        <f>HYPERLINK("http://dx.doi.org/10.1093/jamiaopen/ooaf101","http://dx.doi.org/10.1093/jamiaopen/ooaf101")</f>
        <v>1279</v>
      </c>
      <c r="BL45" t="s" s="0">
        <v>81</v>
      </c>
      <c r="BM45" t="s" s="0">
        <v>81</v>
      </c>
      <c r="BN45" t="s" s="0">
        <v>333</v>
      </c>
      <c r="BO45" t="s" s="0">
        <v>1226</v>
      </c>
      <c r="BP45" t="s" s="0">
        <v>1226</v>
      </c>
      <c r="BQ45" t="s" s="0">
        <v>1280</v>
      </c>
      <c r="BR45" t="s" s="0">
        <v>1281</v>
      </c>
      <c r="BS45" t="s" s="0">
        <v>1282</v>
      </c>
      <c r="BT45" t="s" s="88">
        <f>HYPERLINK("https://www.webofscience.com/wos/woscc/full-record/WOS:001596688800001","View Record in Web of Science")</f>
        <v>117</v>
      </c>
      <c r="BU45" t="s" s="0">
        <v>155</v>
      </c>
      <c r="BV45" t="s" s="0">
        <v>81</v>
      </c>
      <c r="BW45" t="s" s="0">
        <v>81</v>
      </c>
      <c r="BX45" t="s" s="0">
        <v>119</v>
      </c>
    </row>
    <row r="46">
      <c r="A46" t="s" s="0">
        <v>77</v>
      </c>
      <c r="B46" t="s" s="0">
        <v>77</v>
      </c>
      <c r="C46" t="s" s="0">
        <v>77</v>
      </c>
      <c r="D46" t="s" s="0">
        <v>77</v>
      </c>
      <c r="E46" t="s" s="0">
        <v>1283</v>
      </c>
      <c r="F46" t="s" s="0">
        <v>1284</v>
      </c>
      <c r="G46" t="s" s="0">
        <v>1285</v>
      </c>
      <c r="H46" t="s" s="0">
        <v>81</v>
      </c>
      <c r="I46" t="s" s="0">
        <v>123</v>
      </c>
      <c r="J46" t="s" s="0">
        <v>1286</v>
      </c>
      <c r="K46" t="s" s="0">
        <v>1287</v>
      </c>
      <c r="L46" t="s" s="0">
        <v>1288</v>
      </c>
      <c r="M46" t="s" s="0">
        <v>1289</v>
      </c>
      <c r="N46" t="s" s="0">
        <v>1290</v>
      </c>
      <c r="O46" t="s" s="0">
        <v>1291</v>
      </c>
      <c r="P46" t="s" s="0">
        <v>81</v>
      </c>
      <c r="Q46" t="s" s="0">
        <v>87</v>
      </c>
      <c r="R46" t="s" s="0">
        <v>81</v>
      </c>
      <c r="S46" t="s" s="0">
        <v>81</v>
      </c>
      <c r="T46" t="s" s="0">
        <v>81</v>
      </c>
      <c r="U46" t="s" s="0">
        <v>81</v>
      </c>
      <c r="V46" t="s" s="0">
        <v>1292</v>
      </c>
      <c r="W46" t="s" s="0">
        <v>1293</v>
      </c>
      <c r="X46" t="s" s="0">
        <v>81</v>
      </c>
      <c r="Y46" t="s" s="0">
        <v>81</v>
      </c>
      <c r="Z46" t="s" s="0">
        <v>90</v>
      </c>
      <c r="AA46" t="s" s="0">
        <v>91</v>
      </c>
      <c r="AB46" t="s" s="0">
        <v>81</v>
      </c>
      <c r="AC46" t="s" s="0">
        <v>81</v>
      </c>
      <c r="AD46" t="s" s="0">
        <v>81</v>
      </c>
      <c r="AE46" t="s" s="0">
        <v>81</v>
      </c>
      <c r="AF46" t="s" s="0">
        <v>81</v>
      </c>
      <c r="AG46" t="s" s="0">
        <v>1294</v>
      </c>
      <c r="AH46" t="s" s="0">
        <v>1295</v>
      </c>
      <c r="AI46" t="s" s="0">
        <v>81</v>
      </c>
      <c r="AJ46" t="s" s="0">
        <v>81</v>
      </c>
      <c r="AK46" t="s" s="0">
        <v>81</v>
      </c>
      <c r="AL46" t="s" s="0">
        <v>807</v>
      </c>
      <c r="AM46" t="s" s="0">
        <v>77</v>
      </c>
      <c r="AN46" t="s" s="0">
        <v>77</v>
      </c>
      <c r="AO46" t="s" s="0">
        <v>77</v>
      </c>
      <c r="AP46" t="s" s="0">
        <v>77</v>
      </c>
      <c r="AQ46" t="s" s="0">
        <v>864</v>
      </c>
      <c r="AR46" t="s" s="0">
        <v>865</v>
      </c>
      <c r="AS46" t="s" s="0">
        <v>866</v>
      </c>
      <c r="AT46" t="s" s="0">
        <v>1296</v>
      </c>
      <c r="AU46" t="s" s="0">
        <v>1297</v>
      </c>
      <c r="AV46" t="s" s="0">
        <v>81</v>
      </c>
      <c r="AW46" t="s" s="0">
        <v>1298</v>
      </c>
      <c r="AX46" t="s" s="0">
        <v>1299</v>
      </c>
      <c r="AY46" t="s" s="0">
        <v>1300</v>
      </c>
      <c r="AZ46" t="s" s="0">
        <v>244</v>
      </c>
      <c r="BA46" t="s" s="0">
        <v>306</v>
      </c>
      <c r="BB46" t="s" s="0">
        <v>81</v>
      </c>
      <c r="BC46" t="s" s="0">
        <v>81</v>
      </c>
      <c r="BD46" t="s" s="0">
        <v>81</v>
      </c>
      <c r="BE46" t="s" s="0">
        <v>81</v>
      </c>
      <c r="BF46" t="s" s="0">
        <v>81</v>
      </c>
      <c r="BG46" t="s" s="0">
        <v>81</v>
      </c>
      <c r="BH46" t="s" s="0">
        <v>81</v>
      </c>
      <c r="BI46" t="s" s="0">
        <v>1301</v>
      </c>
      <c r="BJ46" t="s" s="0">
        <v>1302</v>
      </c>
      <c r="BK46" t="s" s="89">
        <f>HYPERLINK("http://dx.doi.org/10.2196/84378","http://dx.doi.org/10.2196/84378")</f>
        <v>1303</v>
      </c>
      <c r="BL46" t="s" s="0">
        <v>81</v>
      </c>
      <c r="BM46" t="s" s="0">
        <v>81</v>
      </c>
      <c r="BN46" t="s" s="0">
        <v>444</v>
      </c>
      <c r="BO46" t="s" s="0">
        <v>1226</v>
      </c>
      <c r="BP46" t="s" s="0">
        <v>1226</v>
      </c>
      <c r="BQ46" t="s" s="0">
        <v>1304</v>
      </c>
      <c r="BR46" t="s" s="0">
        <v>1305</v>
      </c>
      <c r="BS46" t="s" s="0">
        <v>1306</v>
      </c>
      <c r="BT46" t="s" s="90">
        <f>HYPERLINK("https://www.webofscience.com/wos/woscc/full-record/WOS:001849559100001","View Record in Web of Science")</f>
        <v>117</v>
      </c>
      <c r="BU46" t="s" s="0">
        <v>155</v>
      </c>
      <c r="BV46" t="s" s="0">
        <v>81</v>
      </c>
      <c r="BW46" t="s" s="0">
        <v>81</v>
      </c>
      <c r="BX46" t="s" s="0">
        <v>119</v>
      </c>
    </row>
    <row r="47">
      <c r="A47" t="s" s="0">
        <v>77</v>
      </c>
      <c r="B47" t="s" s="0">
        <v>77</v>
      </c>
      <c r="C47" t="s" s="0">
        <v>77</v>
      </c>
      <c r="D47" t="s" s="0">
        <v>77</v>
      </c>
      <c r="E47" t="s" s="0">
        <v>1307</v>
      </c>
      <c r="F47" t="s" s="0">
        <v>1308</v>
      </c>
      <c r="G47" t="s" s="0">
        <v>1309</v>
      </c>
      <c r="H47" t="s" s="0">
        <v>81</v>
      </c>
      <c r="I47" t="s" s="0">
        <v>123</v>
      </c>
      <c r="J47" t="s" s="0">
        <v>1310</v>
      </c>
      <c r="K47" t="s" s="0">
        <v>1311</v>
      </c>
      <c r="L47" t="s" s="0">
        <v>1312</v>
      </c>
      <c r="M47" t="s" s="0">
        <v>1313</v>
      </c>
      <c r="N47" t="s" s="0">
        <v>1314</v>
      </c>
      <c r="O47" t="s" s="0">
        <v>1315</v>
      </c>
      <c r="P47" t="s" s="0">
        <v>1316</v>
      </c>
      <c r="Q47" t="s" s="0">
        <v>87</v>
      </c>
      <c r="R47" t="s" s="0">
        <v>81</v>
      </c>
      <c r="S47" t="s" s="0">
        <v>1317</v>
      </c>
      <c r="T47" t="s" s="0">
        <v>81</v>
      </c>
      <c r="U47" t="s" s="0">
        <v>81</v>
      </c>
      <c r="V47" t="s" s="0">
        <v>1318</v>
      </c>
      <c r="W47" t="s" s="0">
        <v>1293</v>
      </c>
      <c r="X47" t="s" s="0">
        <v>81</v>
      </c>
      <c r="Y47" t="s" s="0">
        <v>81</v>
      </c>
      <c r="Z47" t="s" s="0">
        <v>90</v>
      </c>
      <c r="AA47" t="s" s="0">
        <v>91</v>
      </c>
      <c r="AB47" t="s" s="0">
        <v>81</v>
      </c>
      <c r="AC47" t="s" s="0">
        <v>81</v>
      </c>
      <c r="AD47" t="s" s="0">
        <v>81</v>
      </c>
      <c r="AE47" t="s" s="0">
        <v>81</v>
      </c>
      <c r="AF47" t="s" s="0">
        <v>81</v>
      </c>
      <c r="AG47" t="s" s="0">
        <v>1319</v>
      </c>
      <c r="AH47" t="s" s="0">
        <v>1105</v>
      </c>
      <c r="AI47" t="s" s="0">
        <v>1320</v>
      </c>
      <c r="AJ47" t="s" s="0">
        <v>1321</v>
      </c>
      <c r="AK47" t="s" s="0">
        <v>81</v>
      </c>
      <c r="AL47" t="s" s="0">
        <v>722</v>
      </c>
      <c r="AM47" t="s" s="0">
        <v>95</v>
      </c>
      <c r="AN47" t="s" s="0">
        <v>95</v>
      </c>
      <c r="AO47" t="s" s="0">
        <v>273</v>
      </c>
      <c r="AP47" t="s" s="0">
        <v>393</v>
      </c>
      <c r="AQ47" t="s" s="0">
        <v>864</v>
      </c>
      <c r="AR47" t="s" s="0">
        <v>865</v>
      </c>
      <c r="AS47" t="s" s="0">
        <v>866</v>
      </c>
      <c r="AT47" t="s" s="0">
        <v>1296</v>
      </c>
      <c r="AU47" t="s" s="0">
        <v>1297</v>
      </c>
      <c r="AV47" t="s" s="0">
        <v>81</v>
      </c>
      <c r="AW47" t="s" s="0">
        <v>1298</v>
      </c>
      <c r="AX47" t="s" s="0">
        <v>1299</v>
      </c>
      <c r="AY47" t="s" s="0">
        <v>1322</v>
      </c>
      <c r="AZ47" t="s" s="0">
        <v>105</v>
      </c>
      <c r="BA47" t="s" s="0">
        <v>172</v>
      </c>
      <c r="BB47" t="s" s="0">
        <v>81</v>
      </c>
      <c r="BC47" t="s" s="0">
        <v>81</v>
      </c>
      <c r="BD47" t="s" s="0">
        <v>81</v>
      </c>
      <c r="BE47" t="s" s="0">
        <v>81</v>
      </c>
      <c r="BF47" t="s" s="0">
        <v>81</v>
      </c>
      <c r="BG47" t="s" s="0">
        <v>81</v>
      </c>
      <c r="BH47" t="s" s="0">
        <v>81</v>
      </c>
      <c r="BI47" t="s" s="0">
        <v>1323</v>
      </c>
      <c r="BJ47" t="s" s="0">
        <v>1324</v>
      </c>
      <c r="BK47" t="s" s="91">
        <f>HYPERLINK("http://dx.doi.org/10.2196/73710","http://dx.doi.org/10.2196/73710")</f>
        <v>1325</v>
      </c>
      <c r="BL47" t="s" s="0">
        <v>81</v>
      </c>
      <c r="BM47" t="s" s="0">
        <v>81</v>
      </c>
      <c r="BN47" t="s" s="0">
        <v>181</v>
      </c>
      <c r="BO47" t="s" s="0">
        <v>1226</v>
      </c>
      <c r="BP47" t="s" s="0">
        <v>1226</v>
      </c>
      <c r="BQ47" t="s" s="0">
        <v>1326</v>
      </c>
      <c r="BR47" t="s" s="0">
        <v>1327</v>
      </c>
      <c r="BS47" t="s" s="0">
        <v>1328</v>
      </c>
      <c r="BT47" t="s" s="92">
        <f>HYPERLINK("https://www.webofscience.com/wos/woscc/full-record/WOS:001614917400008","View Record in Web of Science")</f>
        <v>117</v>
      </c>
      <c r="BU47" t="s" s="0">
        <v>155</v>
      </c>
      <c r="BV47" t="s" s="0">
        <v>81</v>
      </c>
      <c r="BW47" t="s" s="0">
        <v>81</v>
      </c>
      <c r="BX47" t="s" s="0">
        <v>119</v>
      </c>
    </row>
    <row r="48">
      <c r="A48" t="s" s="0">
        <v>77</v>
      </c>
      <c r="B48" t="s" s="0">
        <v>77</v>
      </c>
      <c r="C48" t="s" s="0">
        <v>77</v>
      </c>
      <c r="D48" t="s" s="0">
        <v>77</v>
      </c>
      <c r="E48" t="s" s="0">
        <v>1329</v>
      </c>
      <c r="F48" t="s" s="0">
        <v>1330</v>
      </c>
      <c r="G48" t="s" s="0">
        <v>1331</v>
      </c>
      <c r="H48" t="s" s="0">
        <v>81</v>
      </c>
      <c r="I48" t="s" s="0">
        <v>344</v>
      </c>
      <c r="J48" t="s" s="0">
        <v>1332</v>
      </c>
      <c r="K48" t="s" s="0">
        <v>1333</v>
      </c>
      <c r="L48" t="s" s="0">
        <v>81</v>
      </c>
      <c r="M48" t="s" s="0">
        <v>81</v>
      </c>
      <c r="N48" t="s" s="0">
        <v>81</v>
      </c>
      <c r="O48" t="s" s="0">
        <v>1334</v>
      </c>
      <c r="P48" t="s" s="0">
        <v>1335</v>
      </c>
      <c r="Q48" t="s" s="0">
        <v>87</v>
      </c>
      <c r="R48" t="s" s="0">
        <v>81</v>
      </c>
      <c r="S48" t="s" s="0">
        <v>81</v>
      </c>
      <c r="T48" t="s" s="0">
        <v>81</v>
      </c>
      <c r="U48" t="s" s="0">
        <v>81</v>
      </c>
      <c r="V48" t="s" s="0">
        <v>1336</v>
      </c>
      <c r="W48" t="s" s="0">
        <v>1337</v>
      </c>
      <c r="X48" t="s" s="0">
        <v>81</v>
      </c>
      <c r="Y48" t="s" s="0">
        <v>81</v>
      </c>
      <c r="Z48" t="s" s="0">
        <v>90</v>
      </c>
      <c r="AA48" t="s" s="0">
        <v>91</v>
      </c>
      <c r="AB48" t="s" s="0">
        <v>81</v>
      </c>
      <c r="AC48" t="s" s="0">
        <v>81</v>
      </c>
      <c r="AD48" t="s" s="0">
        <v>81</v>
      </c>
      <c r="AE48" t="s" s="0">
        <v>81</v>
      </c>
      <c r="AF48" t="s" s="0">
        <v>81</v>
      </c>
      <c r="AG48" t="s" s="0">
        <v>1338</v>
      </c>
      <c r="AH48" t="s" s="0">
        <v>81</v>
      </c>
      <c r="AI48" t="s" s="0">
        <v>1339</v>
      </c>
      <c r="AJ48" t="s" s="0">
        <v>1340</v>
      </c>
      <c r="AK48" t="s" s="0">
        <v>81</v>
      </c>
      <c r="AL48" t="s" s="0">
        <v>420</v>
      </c>
      <c r="AM48" t="s" s="0">
        <v>96</v>
      </c>
      <c r="AN48" t="s" s="0">
        <v>329</v>
      </c>
      <c r="AO48" t="s" s="0">
        <v>95</v>
      </c>
      <c r="AP48" t="s" s="0">
        <v>273</v>
      </c>
      <c r="AQ48" t="s" s="0">
        <v>1341</v>
      </c>
      <c r="AR48" t="s" s="0">
        <v>1342</v>
      </c>
      <c r="AS48" t="s" s="0">
        <v>1343</v>
      </c>
      <c r="AT48" t="s" s="0">
        <v>1344</v>
      </c>
      <c r="AU48" t="s" s="0">
        <v>81</v>
      </c>
      <c r="AV48" t="s" s="0">
        <v>81</v>
      </c>
      <c r="AW48" t="s" s="0">
        <v>1345</v>
      </c>
      <c r="AX48" t="s" s="0">
        <v>1346</v>
      </c>
      <c r="AY48" t="s" s="0">
        <v>105</v>
      </c>
      <c r="AZ48" t="s" s="0">
        <v>105</v>
      </c>
      <c r="BA48" t="s" s="0">
        <v>420</v>
      </c>
      <c r="BB48" t="s" s="0">
        <v>81</v>
      </c>
      <c r="BC48" t="s" s="0">
        <v>81</v>
      </c>
      <c r="BD48" t="s" s="0">
        <v>81</v>
      </c>
      <c r="BE48" t="s" s="0">
        <v>81</v>
      </c>
      <c r="BF48" t="s" s="0">
        <v>81</v>
      </c>
      <c r="BG48" t="s" s="0">
        <v>81</v>
      </c>
      <c r="BH48" t="s" s="0">
        <v>81</v>
      </c>
      <c r="BI48" t="s" s="0">
        <v>1347</v>
      </c>
      <c r="BJ48" t="s" s="0">
        <v>1348</v>
      </c>
      <c r="BK48" t="s" s="93">
        <f>HYPERLINK("http://dx.doi.org/10.2174/0118742106363413250211053942","http://dx.doi.org/10.2174/0118742106363413250211053942")</f>
        <v>1349</v>
      </c>
      <c r="BL48" t="s" s="0">
        <v>81</v>
      </c>
      <c r="BM48" t="s" s="0">
        <v>81</v>
      </c>
      <c r="BN48" t="s" s="0">
        <v>393</v>
      </c>
      <c r="BO48" t="s" s="0">
        <v>1117</v>
      </c>
      <c r="BP48" t="s" s="0">
        <v>1117</v>
      </c>
      <c r="BQ48" t="s" s="0">
        <v>1350</v>
      </c>
      <c r="BR48" t="s" s="0">
        <v>81</v>
      </c>
      <c r="BS48" t="s" s="0">
        <v>1351</v>
      </c>
      <c r="BT48" t="s" s="94">
        <f>HYPERLINK("https://www.webofscience.com/wos/woscc/full-record/WOS:001447583800002","View Record in Web of Science")</f>
        <v>117</v>
      </c>
      <c r="BU48" t="s" s="0">
        <v>435</v>
      </c>
      <c r="BV48" t="s" s="0">
        <v>81</v>
      </c>
      <c r="BW48" t="s" s="0">
        <v>81</v>
      </c>
      <c r="BX48" t="s" s="0">
        <v>119</v>
      </c>
    </row>
    <row r="49">
      <c r="A49" t="s" s="0">
        <v>77</v>
      </c>
      <c r="B49" t="s" s="0">
        <v>77</v>
      </c>
      <c r="C49" t="s" s="0">
        <v>77</v>
      </c>
      <c r="D49" t="s" s="0">
        <v>77</v>
      </c>
      <c r="E49" t="s" s="0">
        <v>1352</v>
      </c>
      <c r="F49" t="s" s="0">
        <v>1353</v>
      </c>
      <c r="G49" t="s" s="0">
        <v>1354</v>
      </c>
      <c r="H49" t="s" s="0">
        <v>81</v>
      </c>
      <c r="I49" t="s" s="0">
        <v>344</v>
      </c>
      <c r="J49" t="s" s="0">
        <v>1355</v>
      </c>
      <c r="K49" t="s" s="0">
        <v>1356</v>
      </c>
      <c r="L49" t="s" s="0">
        <v>1357</v>
      </c>
      <c r="M49" t="s" s="0">
        <v>1357</v>
      </c>
      <c r="N49" t="s" s="0">
        <v>1358</v>
      </c>
      <c r="O49" t="s" s="0">
        <v>1359</v>
      </c>
      <c r="P49" t="s" s="0">
        <v>1360</v>
      </c>
      <c r="Q49" t="s" s="0">
        <v>87</v>
      </c>
      <c r="R49" t="s" s="0">
        <v>81</v>
      </c>
      <c r="S49" t="s" s="0">
        <v>81</v>
      </c>
      <c r="T49" t="s" s="0">
        <v>81</v>
      </c>
      <c r="U49" t="s" s="0">
        <v>81</v>
      </c>
      <c r="V49" t="s" s="0">
        <v>1361</v>
      </c>
      <c r="W49" t="s" s="0">
        <v>1216</v>
      </c>
      <c r="X49" t="s" s="0">
        <v>81</v>
      </c>
      <c r="Y49" t="s" s="0">
        <v>81</v>
      </c>
      <c r="Z49" t="s" s="0">
        <v>90</v>
      </c>
      <c r="AA49" t="s" s="0">
        <v>91</v>
      </c>
      <c r="AB49" t="s" s="0">
        <v>81</v>
      </c>
      <c r="AC49" t="s" s="0">
        <v>81</v>
      </c>
      <c r="AD49" t="s" s="0">
        <v>81</v>
      </c>
      <c r="AE49" t="s" s="0">
        <v>81</v>
      </c>
      <c r="AF49" t="s" s="0">
        <v>81</v>
      </c>
      <c r="AG49" t="s" s="0">
        <v>1362</v>
      </c>
      <c r="AH49" t="s" s="0">
        <v>81</v>
      </c>
      <c r="AI49" t="s" s="0">
        <v>1363</v>
      </c>
      <c r="AJ49" t="s" s="0">
        <v>1364</v>
      </c>
      <c r="AK49" t="s" s="0">
        <v>81</v>
      </c>
      <c r="AL49" t="s" s="0">
        <v>139</v>
      </c>
      <c r="AM49" t="s" s="0">
        <v>77</v>
      </c>
      <c r="AN49" t="s" s="0">
        <v>77</v>
      </c>
      <c r="AO49" t="s" s="0">
        <v>77</v>
      </c>
      <c r="AP49" t="s" s="0">
        <v>77</v>
      </c>
      <c r="AQ49" t="s" s="0">
        <v>864</v>
      </c>
      <c r="AR49" t="s" s="0">
        <v>865</v>
      </c>
      <c r="AS49" t="s" s="0">
        <v>866</v>
      </c>
      <c r="AT49" t="s" s="0">
        <v>81</v>
      </c>
      <c r="AU49" t="s" s="0">
        <v>1221</v>
      </c>
      <c r="AV49" t="s" s="0">
        <v>81</v>
      </c>
      <c r="AW49" t="s" s="0">
        <v>1216</v>
      </c>
      <c r="AX49" t="s" s="0">
        <v>1216</v>
      </c>
      <c r="AY49" t="s" s="0">
        <v>244</v>
      </c>
      <c r="AZ49" t="s" s="0">
        <v>244</v>
      </c>
      <c r="BA49" t="s" s="0">
        <v>329</v>
      </c>
      <c r="BB49" t="s" s="0">
        <v>81</v>
      </c>
      <c r="BC49" t="s" s="0">
        <v>81</v>
      </c>
      <c r="BD49" t="s" s="0">
        <v>81</v>
      </c>
      <c r="BE49" t="s" s="0">
        <v>81</v>
      </c>
      <c r="BF49" t="s" s="0">
        <v>81</v>
      </c>
      <c r="BG49" t="s" s="0">
        <v>81</v>
      </c>
      <c r="BH49" t="s" s="0">
        <v>81</v>
      </c>
      <c r="BI49" t="s" s="0">
        <v>1365</v>
      </c>
      <c r="BJ49" t="s" s="0">
        <v>1366</v>
      </c>
      <c r="BK49" t="s" s="95">
        <f>HYPERLINK("http://dx.doi.org/10.2196/92817","http://dx.doi.org/10.2196/92817")</f>
        <v>1367</v>
      </c>
      <c r="BL49" t="s" s="0">
        <v>81</v>
      </c>
      <c r="BM49" t="s" s="0">
        <v>81</v>
      </c>
      <c r="BN49" t="s" s="0">
        <v>212</v>
      </c>
      <c r="BO49" t="s" s="0">
        <v>1226</v>
      </c>
      <c r="BP49" t="s" s="0">
        <v>1226</v>
      </c>
      <c r="BQ49" t="s" s="0">
        <v>1368</v>
      </c>
      <c r="BR49" t="s" s="0">
        <v>1369</v>
      </c>
      <c r="BS49" t="s" s="0">
        <v>1370</v>
      </c>
      <c r="BT49" t="s" s="96">
        <f>HYPERLINK("https://www.webofscience.com/wos/woscc/full-record/WOS:001820317800001","View Record in Web of Science")</f>
        <v>117</v>
      </c>
      <c r="BU49" t="s" s="0">
        <v>155</v>
      </c>
      <c r="BV49" t="s" s="0">
        <v>81</v>
      </c>
      <c r="BW49" t="s" s="0">
        <v>81</v>
      </c>
      <c r="BX49" t="s" s="0">
        <v>119</v>
      </c>
    </row>
    <row r="50">
      <c r="A50" t="s" s="0">
        <v>77</v>
      </c>
      <c r="B50" t="s" s="0">
        <v>77</v>
      </c>
      <c r="C50" t="s" s="0">
        <v>419</v>
      </c>
      <c r="D50" t="s" s="0">
        <v>77</v>
      </c>
      <c r="E50" t="s" s="0">
        <v>1371</v>
      </c>
      <c r="F50" t="s" s="0">
        <v>1372</v>
      </c>
      <c r="G50" t="s" s="0">
        <v>1373</v>
      </c>
      <c r="H50" t="s" s="0">
        <v>81</v>
      </c>
      <c r="I50" t="s" s="0">
        <v>123</v>
      </c>
      <c r="J50" t="s" s="0">
        <v>1374</v>
      </c>
      <c r="K50" t="s" s="0">
        <v>1375</v>
      </c>
      <c r="L50" t="s" s="0">
        <v>81</v>
      </c>
      <c r="M50" t="s" s="0">
        <v>81</v>
      </c>
      <c r="N50" t="s" s="0">
        <v>81</v>
      </c>
      <c r="O50" t="s" s="0">
        <v>1376</v>
      </c>
      <c r="P50" t="s" s="0">
        <v>1377</v>
      </c>
      <c r="Q50" t="s" s="0">
        <v>87</v>
      </c>
      <c r="R50" t="s" s="0">
        <v>81</v>
      </c>
      <c r="S50" t="s" s="0">
        <v>81</v>
      </c>
      <c r="T50" t="s" s="0">
        <v>81</v>
      </c>
      <c r="U50" t="s" s="0">
        <v>81</v>
      </c>
      <c r="V50" t="s" s="0">
        <v>1378</v>
      </c>
      <c r="W50" t="s" s="0">
        <v>323</v>
      </c>
      <c r="X50" t="s" s="0">
        <v>81</v>
      </c>
      <c r="Y50" t="s" s="0">
        <v>81</v>
      </c>
      <c r="Z50" t="s" s="0">
        <v>90</v>
      </c>
      <c r="AA50" t="s" s="0">
        <v>91</v>
      </c>
      <c r="AB50" t="s" s="0">
        <v>81</v>
      </c>
      <c r="AC50" t="s" s="0">
        <v>81</v>
      </c>
      <c r="AD50" t="s" s="0">
        <v>81</v>
      </c>
      <c r="AE50" t="s" s="0">
        <v>81</v>
      </c>
      <c r="AF50" t="s" s="0">
        <v>81</v>
      </c>
      <c r="AG50" t="s" s="0">
        <v>1379</v>
      </c>
      <c r="AH50" t="s" s="0">
        <v>1380</v>
      </c>
      <c r="AI50" t="s" s="0">
        <v>1381</v>
      </c>
      <c r="AJ50" t="s" s="0">
        <v>1382</v>
      </c>
      <c r="AK50" t="s" s="0">
        <v>81</v>
      </c>
      <c r="AL50" t="s" s="0">
        <v>1107</v>
      </c>
      <c r="AM50" t="s" s="0">
        <v>808</v>
      </c>
      <c r="AN50" t="s" s="0">
        <v>553</v>
      </c>
      <c r="AO50" t="s" s="0">
        <v>77</v>
      </c>
      <c r="AP50" t="s" s="0">
        <v>171</v>
      </c>
      <c r="AQ50" t="s" s="0">
        <v>174</v>
      </c>
      <c r="AR50" t="s" s="0">
        <v>175</v>
      </c>
      <c r="AS50" t="s" s="0">
        <v>1383</v>
      </c>
      <c r="AT50" t="s" s="0">
        <v>81</v>
      </c>
      <c r="AU50" t="s" s="0">
        <v>330</v>
      </c>
      <c r="AV50" t="s" s="0">
        <v>81</v>
      </c>
      <c r="AW50" t="s" s="0">
        <v>323</v>
      </c>
      <c r="AX50" t="s" s="0">
        <v>331</v>
      </c>
      <c r="AY50" t="s" s="0">
        <v>1384</v>
      </c>
      <c r="AZ50" t="s" s="0">
        <v>1197</v>
      </c>
      <c r="BA50" t="s" s="0">
        <v>444</v>
      </c>
      <c r="BB50" t="s" s="0">
        <v>420</v>
      </c>
      <c r="BC50" t="s" s="0">
        <v>81</v>
      </c>
      <c r="BD50" t="s" s="0">
        <v>81</v>
      </c>
      <c r="BE50" t="s" s="0">
        <v>81</v>
      </c>
      <c r="BF50" t="s" s="0">
        <v>81</v>
      </c>
      <c r="BG50" t="s" s="0">
        <v>81</v>
      </c>
      <c r="BH50" t="s" s="0">
        <v>81</v>
      </c>
      <c r="BI50" t="s" s="0">
        <v>1385</v>
      </c>
      <c r="BJ50" t="s" s="0">
        <v>1386</v>
      </c>
      <c r="BK50" t="s" s="97">
        <f>HYPERLINK("http://dx.doi.org/10.3390/cancers14194704","http://dx.doi.org/10.3390/cancers14194704")</f>
        <v>1387</v>
      </c>
      <c r="BL50" t="s" s="0">
        <v>81</v>
      </c>
      <c r="BM50" t="s" s="0">
        <v>81</v>
      </c>
      <c r="BN50" t="s" s="0">
        <v>172</v>
      </c>
      <c r="BO50" t="s" s="0">
        <v>337</v>
      </c>
      <c r="BP50" t="s" s="0">
        <v>337</v>
      </c>
      <c r="BQ50" t="s" s="0">
        <v>1388</v>
      </c>
      <c r="BR50" t="s" s="0">
        <v>1389</v>
      </c>
      <c r="BS50" t="s" s="0">
        <v>1390</v>
      </c>
      <c r="BT50" t="s" s="98">
        <f>HYPERLINK("https://www.webofscience.com/wos/woscc/full-record/WOS:000868066400001","View Record in Web of Science")</f>
        <v>117</v>
      </c>
      <c r="BU50" t="s" s="0">
        <v>155</v>
      </c>
      <c r="BV50" t="s" s="0">
        <v>81</v>
      </c>
      <c r="BW50" t="s" s="0">
        <v>81</v>
      </c>
      <c r="BX50" t="s" s="0">
        <v>119</v>
      </c>
    </row>
    <row r="51">
      <c r="A51" t="s" s="0">
        <v>77</v>
      </c>
      <c r="B51" t="s" s="0">
        <v>77</v>
      </c>
      <c r="C51" t="s" s="0">
        <v>77</v>
      </c>
      <c r="D51" t="s" s="0">
        <v>77</v>
      </c>
      <c r="E51" t="s" s="0">
        <v>1391</v>
      </c>
      <c r="F51" t="s" s="0">
        <v>1392</v>
      </c>
      <c r="G51" t="s" s="0">
        <v>1393</v>
      </c>
      <c r="H51" t="s" s="0">
        <v>81</v>
      </c>
      <c r="I51" t="s" s="0">
        <v>82</v>
      </c>
      <c r="J51" t="s" s="0">
        <v>1394</v>
      </c>
      <c r="K51" t="s" s="0">
        <v>1395</v>
      </c>
      <c r="L51" t="s" s="0">
        <v>1396</v>
      </c>
      <c r="M51" t="s" s="0">
        <v>1397</v>
      </c>
      <c r="N51" t="s" s="0">
        <v>1398</v>
      </c>
      <c r="O51" t="s" s="0">
        <v>1399</v>
      </c>
      <c r="P51" t="s" s="0">
        <v>1400</v>
      </c>
      <c r="Q51" t="s" s="0">
        <v>87</v>
      </c>
      <c r="R51" t="s" s="0">
        <v>81</v>
      </c>
      <c r="S51" t="s" s="0">
        <v>81</v>
      </c>
      <c r="T51" t="s" s="0">
        <v>81</v>
      </c>
      <c r="U51" t="s" s="0">
        <v>81</v>
      </c>
      <c r="V51" t="s" s="0">
        <v>1401</v>
      </c>
      <c r="W51" t="s" s="0">
        <v>1402</v>
      </c>
      <c r="X51" t="s" s="0">
        <v>81</v>
      </c>
      <c r="Y51" t="s" s="0">
        <v>81</v>
      </c>
      <c r="Z51" t="s" s="0">
        <v>90</v>
      </c>
      <c r="AA51" t="s" s="0">
        <v>91</v>
      </c>
      <c r="AB51" t="s" s="0">
        <v>81</v>
      </c>
      <c r="AC51" t="s" s="0">
        <v>81</v>
      </c>
      <c r="AD51" t="s" s="0">
        <v>81</v>
      </c>
      <c r="AE51" t="s" s="0">
        <v>81</v>
      </c>
      <c r="AF51" t="s" s="0">
        <v>81</v>
      </c>
      <c r="AG51" t="s" s="0">
        <v>1403</v>
      </c>
      <c r="AH51" t="s" s="0">
        <v>1404</v>
      </c>
      <c r="AI51" t="s" s="0">
        <v>81</v>
      </c>
      <c r="AJ51" t="s" s="0">
        <v>81</v>
      </c>
      <c r="AK51" t="s" s="0">
        <v>81</v>
      </c>
      <c r="AL51" t="s" s="0">
        <v>1405</v>
      </c>
      <c r="AM51" t="s" s="0">
        <v>95</v>
      </c>
      <c r="AN51" t="s" s="0">
        <v>95</v>
      </c>
      <c r="AO51" t="s" s="0">
        <v>329</v>
      </c>
      <c r="AP51" t="s" s="0">
        <v>329</v>
      </c>
      <c r="AQ51" t="s" s="0">
        <v>1021</v>
      </c>
      <c r="AR51" t="s" s="0">
        <v>1022</v>
      </c>
      <c r="AS51" t="s" s="0">
        <v>1023</v>
      </c>
      <c r="AT51" t="s" s="0">
        <v>1406</v>
      </c>
      <c r="AU51" t="s" s="0">
        <v>1407</v>
      </c>
      <c r="AV51" t="s" s="0">
        <v>81</v>
      </c>
      <c r="AW51" t="s" s="0">
        <v>1408</v>
      </c>
      <c r="AX51" t="s" s="0">
        <v>1409</v>
      </c>
      <c r="AY51" t="s" s="0">
        <v>1410</v>
      </c>
      <c r="AZ51" t="s" s="0">
        <v>244</v>
      </c>
      <c r="BA51" t="s" s="0">
        <v>139</v>
      </c>
      <c r="BB51" t="s" s="0">
        <v>468</v>
      </c>
      <c r="BC51" t="s" s="0">
        <v>81</v>
      </c>
      <c r="BD51" t="s" s="0">
        <v>81</v>
      </c>
      <c r="BE51" t="s" s="0">
        <v>81</v>
      </c>
      <c r="BF51" t="s" s="0">
        <v>81</v>
      </c>
      <c r="BG51" t="s" s="0">
        <v>1411</v>
      </c>
      <c r="BH51" t="s" s="0">
        <v>1412</v>
      </c>
      <c r="BI51" t="s" s="0">
        <v>81</v>
      </c>
      <c r="BJ51" t="s" s="0">
        <v>1413</v>
      </c>
      <c r="BK51" t="s" s="99">
        <f>HYPERLINK("http://dx.doi.org/10.1108/IJCHM-01-2026-0006","http://dx.doi.org/10.1108/IJCHM-01-2026-0006")</f>
        <v>1414</v>
      </c>
      <c r="BL51" t="s" s="0">
        <v>81</v>
      </c>
      <c r="BM51" t="s" s="0">
        <v>1116</v>
      </c>
      <c r="BN51" t="s" s="0">
        <v>186</v>
      </c>
      <c r="BO51" t="s" s="0">
        <v>1415</v>
      </c>
      <c r="BP51" t="s" s="0">
        <v>1416</v>
      </c>
      <c r="BQ51" t="s" s="0">
        <v>1417</v>
      </c>
      <c r="BR51" t="s" s="0">
        <v>81</v>
      </c>
      <c r="BS51" t="s" s="0">
        <v>1418</v>
      </c>
      <c r="BT51" t="s" s="100">
        <f>HYPERLINK("https://www.webofscience.com/wos/woscc/full-record/WOS:001815534500001","View Record in Web of Science")</f>
        <v>117</v>
      </c>
      <c r="BU51" t="s" s="0">
        <v>81</v>
      </c>
      <c r="BV51" t="s" s="0">
        <v>81</v>
      </c>
      <c r="BW51" t="s" s="0">
        <v>81</v>
      </c>
      <c r="BX51" t="s" s="0">
        <v>119</v>
      </c>
    </row>
    <row r="52">
      <c r="A52" t="s" s="0">
        <v>77</v>
      </c>
      <c r="B52" t="s" s="0">
        <v>77</v>
      </c>
      <c r="C52" t="s" s="0">
        <v>77</v>
      </c>
      <c r="D52" t="s" s="0">
        <v>77</v>
      </c>
      <c r="E52" t="s" s="0">
        <v>1419</v>
      </c>
      <c r="F52" t="s" s="0">
        <v>1420</v>
      </c>
      <c r="G52" t="s" s="0">
        <v>1421</v>
      </c>
      <c r="H52" t="s" s="0">
        <v>81</v>
      </c>
      <c r="I52" t="s" s="0">
        <v>82</v>
      </c>
      <c r="J52" t="s" s="0">
        <v>1422</v>
      </c>
      <c r="K52" t="s" s="0">
        <v>1423</v>
      </c>
      <c r="L52" t="s" s="0">
        <v>81</v>
      </c>
      <c r="M52" t="s" s="0">
        <v>81</v>
      </c>
      <c r="N52" t="s" s="0">
        <v>81</v>
      </c>
      <c r="O52" t="s" s="0">
        <v>1424</v>
      </c>
      <c r="P52" t="s" s="0">
        <v>1425</v>
      </c>
      <c r="Q52" t="s" s="0">
        <v>87</v>
      </c>
      <c r="R52" t="s" s="0">
        <v>81</v>
      </c>
      <c r="S52" t="s" s="0">
        <v>81</v>
      </c>
      <c r="T52" t="s" s="0">
        <v>81</v>
      </c>
      <c r="U52" t="s" s="0">
        <v>81</v>
      </c>
      <c r="V52" t="s" s="0">
        <v>1426</v>
      </c>
      <c r="W52" t="s" s="0">
        <v>1427</v>
      </c>
      <c r="X52" t="s" s="0">
        <v>81</v>
      </c>
      <c r="Y52" t="s" s="0">
        <v>81</v>
      </c>
      <c r="Z52" t="s" s="0">
        <v>90</v>
      </c>
      <c r="AA52" t="s" s="0">
        <v>493</v>
      </c>
      <c r="AB52" t="s" s="0">
        <v>81</v>
      </c>
      <c r="AC52" t="s" s="0">
        <v>81</v>
      </c>
      <c r="AD52" t="s" s="0">
        <v>81</v>
      </c>
      <c r="AE52" t="s" s="0">
        <v>81</v>
      </c>
      <c r="AF52" t="s" s="0">
        <v>81</v>
      </c>
      <c r="AG52" t="s" s="0">
        <v>1428</v>
      </c>
      <c r="AH52" t="s" s="0">
        <v>1429</v>
      </c>
      <c r="AI52" t="s" s="0">
        <v>1430</v>
      </c>
      <c r="AJ52" t="s" s="0">
        <v>81</v>
      </c>
      <c r="AK52" t="s" s="0">
        <v>81</v>
      </c>
      <c r="AL52" t="s" s="0">
        <v>498</v>
      </c>
      <c r="AM52" t="s" s="0">
        <v>77</v>
      </c>
      <c r="AN52" t="s" s="0">
        <v>77</v>
      </c>
      <c r="AO52" t="s" s="0">
        <v>273</v>
      </c>
      <c r="AP52" t="s" s="0">
        <v>273</v>
      </c>
      <c r="AQ52" t="s" s="0">
        <v>698</v>
      </c>
      <c r="AR52" t="s" s="0">
        <v>699</v>
      </c>
      <c r="AS52" t="s" s="0">
        <v>700</v>
      </c>
      <c r="AT52" t="s" s="0">
        <v>1431</v>
      </c>
      <c r="AU52" t="s" s="0">
        <v>1432</v>
      </c>
      <c r="AV52" t="s" s="0">
        <v>81</v>
      </c>
      <c r="AW52" t="s" s="0">
        <v>1433</v>
      </c>
      <c r="AX52" t="s" s="0">
        <v>1434</v>
      </c>
      <c r="AY52" t="s" s="0">
        <v>81</v>
      </c>
      <c r="AZ52" t="s" s="0">
        <v>244</v>
      </c>
      <c r="BA52" t="s" s="0">
        <v>81</v>
      </c>
      <c r="BB52" t="s" s="0">
        <v>81</v>
      </c>
      <c r="BC52" t="s" s="0">
        <v>81</v>
      </c>
      <c r="BD52" t="s" s="0">
        <v>81</v>
      </c>
      <c r="BE52" t="s" s="0">
        <v>81</v>
      </c>
      <c r="BF52" t="s" s="0">
        <v>81</v>
      </c>
      <c r="BG52" t="s" s="0">
        <v>81</v>
      </c>
      <c r="BH52" t="s" s="0">
        <v>81</v>
      </c>
      <c r="BI52" t="s" s="0">
        <v>81</v>
      </c>
      <c r="BJ52" t="s" s="0">
        <v>1435</v>
      </c>
      <c r="BK52" t="s" s="101">
        <f>HYPERLINK("http://dx.doi.org/10.1080/02642069.2026.2687791","http://dx.doi.org/10.1080/02642069.2026.2687791")</f>
        <v>1436</v>
      </c>
      <c r="BL52" t="s" s="0">
        <v>81</v>
      </c>
      <c r="BM52" t="s" s="0">
        <v>310</v>
      </c>
      <c r="BN52" t="s" s="0">
        <v>1437</v>
      </c>
      <c r="BO52" t="s" s="0">
        <v>1031</v>
      </c>
      <c r="BP52" t="s" s="0">
        <v>1032</v>
      </c>
      <c r="BQ52" t="s" s="0">
        <v>1438</v>
      </c>
      <c r="BR52" t="s" s="0">
        <v>81</v>
      </c>
      <c r="BS52" t="s" s="0">
        <v>1439</v>
      </c>
      <c r="BT52" t="s" s="102">
        <f>HYPERLINK("https://www.webofscience.com/wos/woscc/full-record/WOS:001791004000001","View Record in Web of Science")</f>
        <v>117</v>
      </c>
      <c r="BU52" t="s" s="0">
        <v>81</v>
      </c>
      <c r="BV52" t="s" s="0">
        <v>81</v>
      </c>
      <c r="BW52" t="s" s="0">
        <v>81</v>
      </c>
      <c r="BX52" t="s" s="0">
        <v>119</v>
      </c>
    </row>
    <row r="53">
      <c r="A53" t="s" s="0">
        <v>77</v>
      </c>
      <c r="B53" t="s" s="0">
        <v>77</v>
      </c>
      <c r="C53" t="s" s="0">
        <v>96</v>
      </c>
      <c r="D53" t="s" s="0">
        <v>77</v>
      </c>
      <c r="E53" t="s" s="0">
        <v>1440</v>
      </c>
      <c r="F53" t="s" s="0">
        <v>1441</v>
      </c>
      <c r="G53" t="s" s="0">
        <v>1442</v>
      </c>
      <c r="H53" t="s" s="0">
        <v>81</v>
      </c>
      <c r="I53" t="s" s="0">
        <v>123</v>
      </c>
      <c r="J53" t="s" s="0">
        <v>1443</v>
      </c>
      <c r="K53" t="s" s="0">
        <v>1444</v>
      </c>
      <c r="L53" t="s" s="0">
        <v>1445</v>
      </c>
      <c r="M53" t="s" s="0">
        <v>1446</v>
      </c>
      <c r="N53" t="s" s="0">
        <v>1447</v>
      </c>
      <c r="O53" t="s" s="0">
        <v>1448</v>
      </c>
      <c r="P53" t="s" s="0">
        <v>1449</v>
      </c>
      <c r="Q53" t="s" s="0">
        <v>87</v>
      </c>
      <c r="R53" t="s" s="0">
        <v>81</v>
      </c>
      <c r="S53" t="s" s="0">
        <v>81</v>
      </c>
      <c r="T53" t="s" s="0">
        <v>81</v>
      </c>
      <c r="U53" t="s" s="0">
        <v>81</v>
      </c>
      <c r="V53" t="s" s="0">
        <v>1450</v>
      </c>
      <c r="W53" t="s" s="0">
        <v>1451</v>
      </c>
      <c r="X53" t="s" s="0">
        <v>81</v>
      </c>
      <c r="Y53" t="s" s="0">
        <v>81</v>
      </c>
      <c r="Z53" t="s" s="0">
        <v>90</v>
      </c>
      <c r="AA53" t="s" s="0">
        <v>91</v>
      </c>
      <c r="AB53" t="s" s="0">
        <v>81</v>
      </c>
      <c r="AC53" t="s" s="0">
        <v>81</v>
      </c>
      <c r="AD53" t="s" s="0">
        <v>81</v>
      </c>
      <c r="AE53" t="s" s="0">
        <v>81</v>
      </c>
      <c r="AF53" t="s" s="0">
        <v>81</v>
      </c>
      <c r="AG53" t="s" s="0">
        <v>1452</v>
      </c>
      <c r="AH53" t="s" s="0">
        <v>1453</v>
      </c>
      <c r="AI53" t="s" s="0">
        <v>1454</v>
      </c>
      <c r="AJ53" t="s" s="0">
        <v>1455</v>
      </c>
      <c r="AK53" t="s" s="0">
        <v>81</v>
      </c>
      <c r="AL53" t="s" s="0">
        <v>1456</v>
      </c>
      <c r="AM53" t="s" s="0">
        <v>181</v>
      </c>
      <c r="AN53" t="s" s="0">
        <v>181</v>
      </c>
      <c r="AO53" t="s" s="0">
        <v>171</v>
      </c>
      <c r="AP53" t="s" s="0">
        <v>807</v>
      </c>
      <c r="AQ53" t="s" s="0">
        <v>864</v>
      </c>
      <c r="AR53" t="s" s="0">
        <v>865</v>
      </c>
      <c r="AS53" t="s" s="0">
        <v>866</v>
      </c>
      <c r="AT53" t="s" s="0">
        <v>1457</v>
      </c>
      <c r="AU53" t="s" s="0">
        <v>81</v>
      </c>
      <c r="AV53" t="s" s="0">
        <v>81</v>
      </c>
      <c r="AW53" t="s" s="0">
        <v>1458</v>
      </c>
      <c r="AX53" t="s" s="0">
        <v>1459</v>
      </c>
      <c r="AY53" t="s" s="0">
        <v>105</v>
      </c>
      <c r="AZ53" t="s" s="0">
        <v>105</v>
      </c>
      <c r="BA53" t="s" s="0">
        <v>107</v>
      </c>
      <c r="BB53" t="s" s="0">
        <v>81</v>
      </c>
      <c r="BC53" t="s" s="0">
        <v>81</v>
      </c>
      <c r="BD53" t="s" s="0">
        <v>81</v>
      </c>
      <c r="BE53" t="s" s="0">
        <v>81</v>
      </c>
      <c r="BF53" t="s" s="0">
        <v>81</v>
      </c>
      <c r="BG53" t="s" s="0">
        <v>81</v>
      </c>
      <c r="BH53" t="s" s="0">
        <v>81</v>
      </c>
      <c r="BI53" t="s" s="0">
        <v>1460</v>
      </c>
      <c r="BJ53" t="s" s="0">
        <v>1461</v>
      </c>
      <c r="BK53" t="s" s="103">
        <f>HYPERLINK("http://dx.doi.org/10.2196/57986","http://dx.doi.org/10.2196/57986")</f>
        <v>1462</v>
      </c>
      <c r="BL53" t="s" s="0">
        <v>81</v>
      </c>
      <c r="BM53" t="s" s="0">
        <v>81</v>
      </c>
      <c r="BN53" t="s" s="0">
        <v>474</v>
      </c>
      <c r="BO53" t="s" s="0">
        <v>1463</v>
      </c>
      <c r="BP53" t="s" s="0">
        <v>1463</v>
      </c>
      <c r="BQ53" t="s" s="0">
        <v>1464</v>
      </c>
      <c r="BR53" t="s" s="0">
        <v>1465</v>
      </c>
      <c r="BS53" t="s" s="0">
        <v>1466</v>
      </c>
      <c r="BT53" t="s" s="104">
        <f>HYPERLINK("https://www.webofscience.com/wos/woscc/full-record/WOS:001459282700001","View Record in Web of Science")</f>
        <v>117</v>
      </c>
      <c r="BU53" t="s" s="0">
        <v>1467</v>
      </c>
      <c r="BV53" t="s" s="0">
        <v>739</v>
      </c>
      <c r="BW53" t="s" s="0">
        <v>740</v>
      </c>
      <c r="BX53" t="s" s="0">
        <v>119</v>
      </c>
    </row>
    <row r="54">
      <c r="A54" t="s" s="0">
        <v>77</v>
      </c>
      <c r="B54" t="s" s="0">
        <v>77</v>
      </c>
      <c r="C54" t="s" s="0">
        <v>77</v>
      </c>
      <c r="D54" t="s" s="0">
        <v>77</v>
      </c>
      <c r="E54" t="s" s="0">
        <v>1468</v>
      </c>
      <c r="F54" t="s" s="0">
        <v>1469</v>
      </c>
      <c r="G54" t="s" s="0">
        <v>1470</v>
      </c>
      <c r="H54" t="s" s="0">
        <v>81</v>
      </c>
      <c r="I54" t="s" s="0">
        <v>123</v>
      </c>
      <c r="J54" t="s" s="0">
        <v>1471</v>
      </c>
      <c r="K54" t="s" s="0">
        <v>1472</v>
      </c>
      <c r="L54" t="s" s="0">
        <v>81</v>
      </c>
      <c r="M54" t="s" s="0">
        <v>81</v>
      </c>
      <c r="N54" t="s" s="0">
        <v>81</v>
      </c>
      <c r="O54" t="s" s="0">
        <v>1473</v>
      </c>
      <c r="P54" t="s" s="0">
        <v>1474</v>
      </c>
      <c r="Q54" t="s" s="0">
        <v>87</v>
      </c>
      <c r="R54" t="s" s="0">
        <v>81</v>
      </c>
      <c r="S54" t="s" s="0">
        <v>81</v>
      </c>
      <c r="T54" t="s" s="0">
        <v>81</v>
      </c>
      <c r="U54" t="s" s="0">
        <v>81</v>
      </c>
      <c r="V54" t="s" s="0">
        <v>1475</v>
      </c>
      <c r="W54" t="s" s="0">
        <v>1476</v>
      </c>
      <c r="X54" t="s" s="0">
        <v>81</v>
      </c>
      <c r="Y54" t="s" s="0">
        <v>81</v>
      </c>
      <c r="Z54" t="s" s="0">
        <v>90</v>
      </c>
      <c r="AA54" t="s" s="0">
        <v>91</v>
      </c>
      <c r="AB54" t="s" s="0">
        <v>81</v>
      </c>
      <c r="AC54" t="s" s="0">
        <v>81</v>
      </c>
      <c r="AD54" t="s" s="0">
        <v>81</v>
      </c>
      <c r="AE54" t="s" s="0">
        <v>81</v>
      </c>
      <c r="AF54" t="s" s="0">
        <v>81</v>
      </c>
      <c r="AG54" t="s" s="0">
        <v>1477</v>
      </c>
      <c r="AH54" t="s" s="0">
        <v>81</v>
      </c>
      <c r="AI54" t="s" s="0">
        <v>81</v>
      </c>
      <c r="AJ54" t="s" s="0">
        <v>1478</v>
      </c>
      <c r="AK54" t="s" s="0">
        <v>81</v>
      </c>
      <c r="AL54" t="s" s="0">
        <v>172</v>
      </c>
      <c r="AM54" t="s" s="0">
        <v>77</v>
      </c>
      <c r="AN54" t="s" s="0">
        <v>77</v>
      </c>
      <c r="AO54" t="s" s="0">
        <v>419</v>
      </c>
      <c r="AP54" t="s" s="0">
        <v>419</v>
      </c>
      <c r="AQ54" t="s" s="0">
        <v>1479</v>
      </c>
      <c r="AR54" t="s" s="0">
        <v>988</v>
      </c>
      <c r="AS54" t="s" s="0">
        <v>1480</v>
      </c>
      <c r="AT54" t="s" s="0">
        <v>1481</v>
      </c>
      <c r="AU54" t="s" s="0">
        <v>81</v>
      </c>
      <c r="AV54" t="s" s="0">
        <v>81</v>
      </c>
      <c r="AW54" t="s" s="0">
        <v>1476</v>
      </c>
      <c r="AX54" t="s" s="0">
        <v>1482</v>
      </c>
      <c r="AY54" t="s" s="0">
        <v>1483</v>
      </c>
      <c r="AZ54" t="s" s="0">
        <v>244</v>
      </c>
      <c r="BA54" t="s" s="0">
        <v>1192</v>
      </c>
      <c r="BB54" t="s" s="0">
        <v>96</v>
      </c>
      <c r="BC54" t="s" s="0">
        <v>81</v>
      </c>
      <c r="BD54" t="s" s="0">
        <v>81</v>
      </c>
      <c r="BE54" t="s" s="0">
        <v>81</v>
      </c>
      <c r="BF54" t="s" s="0">
        <v>81</v>
      </c>
      <c r="BG54" t="s" s="0">
        <v>81</v>
      </c>
      <c r="BH54" t="s" s="0">
        <v>81</v>
      </c>
      <c r="BI54" t="s" s="0">
        <v>1484</v>
      </c>
      <c r="BJ54" t="s" s="0">
        <v>1485</v>
      </c>
      <c r="BK54" t="s" s="105">
        <f>HYPERLINK("http://dx.doi.org/10.1136/bmjopen-2025-112394","http://dx.doi.org/10.1136/bmjopen-2025-112394")</f>
        <v>1486</v>
      </c>
      <c r="BL54" t="s" s="0">
        <v>81</v>
      </c>
      <c r="BM54" t="s" s="0">
        <v>81</v>
      </c>
      <c r="BN54" t="s" s="0">
        <v>171</v>
      </c>
      <c r="BO54" t="s" s="0">
        <v>1487</v>
      </c>
      <c r="BP54" t="s" s="0">
        <v>1488</v>
      </c>
      <c r="BQ54" t="s" s="0">
        <v>1489</v>
      </c>
      <c r="BR54" t="s" s="0">
        <v>1490</v>
      </c>
      <c r="BS54" t="s" s="0">
        <v>1491</v>
      </c>
      <c r="BT54" t="s" s="106">
        <f>HYPERLINK("https://www.webofscience.com/wos/woscc/full-record/WOS:001710795200001","View Record in Web of Science")</f>
        <v>117</v>
      </c>
      <c r="BU54" t="s" s="0">
        <v>155</v>
      </c>
      <c r="BV54" t="s" s="0">
        <v>81</v>
      </c>
      <c r="BW54" t="s" s="0">
        <v>81</v>
      </c>
      <c r="BX54" t="s" s="0">
        <v>119</v>
      </c>
    </row>
    <row r="55">
      <c r="A55" t="s" s="0">
        <v>77</v>
      </c>
      <c r="B55" t="s" s="0">
        <v>77</v>
      </c>
      <c r="C55" t="s" s="0">
        <v>77</v>
      </c>
      <c r="D55" t="s" s="0">
        <v>77</v>
      </c>
      <c r="E55" t="s" s="0">
        <v>1492</v>
      </c>
      <c r="F55" t="s" s="0">
        <v>1493</v>
      </c>
      <c r="G55" t="s" s="0">
        <v>1494</v>
      </c>
      <c r="H55" t="s" s="0">
        <v>81</v>
      </c>
      <c r="I55" t="s" s="0">
        <v>123</v>
      </c>
      <c r="J55" t="s" s="0">
        <v>1495</v>
      </c>
      <c r="K55" t="s" s="0">
        <v>1496</v>
      </c>
      <c r="L55" t="s" s="0">
        <v>1497</v>
      </c>
      <c r="M55" t="s" s="0">
        <v>1498</v>
      </c>
      <c r="N55" t="s" s="0">
        <v>1499</v>
      </c>
      <c r="O55" t="s" s="0">
        <v>1500</v>
      </c>
      <c r="P55" t="s" s="0">
        <v>81</v>
      </c>
      <c r="Q55" t="s" s="0">
        <v>87</v>
      </c>
      <c r="R55" t="s" s="0">
        <v>81</v>
      </c>
      <c r="S55" t="s" s="0">
        <v>81</v>
      </c>
      <c r="T55" t="s" s="0">
        <v>81</v>
      </c>
      <c r="U55" t="s" s="0">
        <v>81</v>
      </c>
      <c r="V55" t="s" s="0">
        <v>1501</v>
      </c>
      <c r="W55" t="s" s="0">
        <v>1293</v>
      </c>
      <c r="X55" t="s" s="0">
        <v>81</v>
      </c>
      <c r="Y55" t="s" s="0">
        <v>81</v>
      </c>
      <c r="Z55" t="s" s="0">
        <v>90</v>
      </c>
      <c r="AA55" t="s" s="0">
        <v>91</v>
      </c>
      <c r="AB55" t="s" s="0">
        <v>81</v>
      </c>
      <c r="AC55" t="s" s="0">
        <v>81</v>
      </c>
      <c r="AD55" t="s" s="0">
        <v>81</v>
      </c>
      <c r="AE55" t="s" s="0">
        <v>81</v>
      </c>
      <c r="AF55" t="s" s="0">
        <v>81</v>
      </c>
      <c r="AG55" t="s" s="0">
        <v>1502</v>
      </c>
      <c r="AH55" t="s" s="0">
        <v>1503</v>
      </c>
      <c r="AI55" t="s" s="0">
        <v>81</v>
      </c>
      <c r="AJ55" t="s" s="0">
        <v>81</v>
      </c>
      <c r="AK55" t="s" s="0">
        <v>81</v>
      </c>
      <c r="AL55" t="s" s="0">
        <v>1504</v>
      </c>
      <c r="AM55" t="s" s="0">
        <v>77</v>
      </c>
      <c r="AN55" t="s" s="0">
        <v>77</v>
      </c>
      <c r="AO55" t="s" s="0">
        <v>77</v>
      </c>
      <c r="AP55" t="s" s="0">
        <v>77</v>
      </c>
      <c r="AQ55" t="s" s="0">
        <v>864</v>
      </c>
      <c r="AR55" t="s" s="0">
        <v>865</v>
      </c>
      <c r="AS55" t="s" s="0">
        <v>866</v>
      </c>
      <c r="AT55" t="s" s="0">
        <v>1296</v>
      </c>
      <c r="AU55" t="s" s="0">
        <v>1297</v>
      </c>
      <c r="AV55" t="s" s="0">
        <v>81</v>
      </c>
      <c r="AW55" t="s" s="0">
        <v>1298</v>
      </c>
      <c r="AX55" t="s" s="0">
        <v>1299</v>
      </c>
      <c r="AY55" t="s" s="0">
        <v>1505</v>
      </c>
      <c r="AZ55" t="s" s="0">
        <v>244</v>
      </c>
      <c r="BA55" t="s" s="0">
        <v>306</v>
      </c>
      <c r="BB55" t="s" s="0">
        <v>81</v>
      </c>
      <c r="BC55" t="s" s="0">
        <v>81</v>
      </c>
      <c r="BD55" t="s" s="0">
        <v>81</v>
      </c>
      <c r="BE55" t="s" s="0">
        <v>81</v>
      </c>
      <c r="BF55" t="s" s="0">
        <v>81</v>
      </c>
      <c r="BG55" t="s" s="0">
        <v>81</v>
      </c>
      <c r="BH55" t="s" s="0">
        <v>81</v>
      </c>
      <c r="BI55" t="s" s="0">
        <v>1506</v>
      </c>
      <c r="BJ55" t="s" s="0">
        <v>1507</v>
      </c>
      <c r="BK55" t="s" s="107">
        <f>HYPERLINK("http://dx.doi.org/10.2196/74150","http://dx.doi.org/10.2196/74150")</f>
        <v>1508</v>
      </c>
      <c r="BL55" t="s" s="0">
        <v>81</v>
      </c>
      <c r="BM55" t="s" s="0">
        <v>81</v>
      </c>
      <c r="BN55" t="s" s="0">
        <v>1192</v>
      </c>
      <c r="BO55" t="s" s="0">
        <v>1226</v>
      </c>
      <c r="BP55" t="s" s="0">
        <v>1226</v>
      </c>
      <c r="BQ55" t="s" s="0">
        <v>1509</v>
      </c>
      <c r="BR55" t="s" s="0">
        <v>1510</v>
      </c>
      <c r="BS55" t="s" s="0">
        <v>1511</v>
      </c>
      <c r="BT55" t="s" s="108">
        <f>HYPERLINK("https://www.webofscience.com/wos/woscc/full-record/WOS:001849575100001","View Record in Web of Science")</f>
        <v>117</v>
      </c>
      <c r="BU55" t="s" s="0">
        <v>155</v>
      </c>
      <c r="BV55" t="s" s="0">
        <v>81</v>
      </c>
      <c r="BW55" t="s" s="0">
        <v>81</v>
      </c>
      <c r="BX55" t="s" s="0">
        <v>119</v>
      </c>
    </row>
    <row r="56">
      <c r="A56" t="s" s="0">
        <v>77</v>
      </c>
      <c r="B56" t="s" s="0">
        <v>77</v>
      </c>
      <c r="C56" t="s" s="0">
        <v>96</v>
      </c>
      <c r="D56" t="s" s="0">
        <v>77</v>
      </c>
      <c r="E56" t="s" s="0">
        <v>1512</v>
      </c>
      <c r="F56" t="s" s="0">
        <v>1513</v>
      </c>
      <c r="G56" t="s" s="0">
        <v>1514</v>
      </c>
      <c r="H56" t="s" s="0">
        <v>81</v>
      </c>
      <c r="I56" t="s" s="0">
        <v>123</v>
      </c>
      <c r="J56" t="s" s="0">
        <v>1515</v>
      </c>
      <c r="K56" t="s" s="0">
        <v>1516</v>
      </c>
      <c r="L56" t="s" s="0">
        <v>1517</v>
      </c>
      <c r="M56" t="s" s="0">
        <v>1517</v>
      </c>
      <c r="N56" t="s" s="0">
        <v>1518</v>
      </c>
      <c r="O56" t="s" s="0">
        <v>1519</v>
      </c>
      <c r="P56" t="s" s="0">
        <v>1520</v>
      </c>
      <c r="Q56" t="s" s="0">
        <v>87</v>
      </c>
      <c r="R56" t="s" s="0">
        <v>81</v>
      </c>
      <c r="S56" t="s" s="0">
        <v>81</v>
      </c>
      <c r="T56" t="s" s="0">
        <v>81</v>
      </c>
      <c r="U56" t="s" s="0">
        <v>81</v>
      </c>
      <c r="V56" t="s" s="0">
        <v>1521</v>
      </c>
      <c r="W56" t="s" s="0">
        <v>1451</v>
      </c>
      <c r="X56" t="s" s="0">
        <v>81</v>
      </c>
      <c r="Y56" t="s" s="0">
        <v>81</v>
      </c>
      <c r="Z56" t="s" s="0">
        <v>90</v>
      </c>
      <c r="AA56" t="s" s="0">
        <v>91</v>
      </c>
      <c r="AB56" t="s" s="0">
        <v>81</v>
      </c>
      <c r="AC56" t="s" s="0">
        <v>81</v>
      </c>
      <c r="AD56" t="s" s="0">
        <v>81</v>
      </c>
      <c r="AE56" t="s" s="0">
        <v>81</v>
      </c>
      <c r="AF56" t="s" s="0">
        <v>81</v>
      </c>
      <c r="AG56" t="s" s="0">
        <v>1522</v>
      </c>
      <c r="AH56" t="s" s="0">
        <v>1523</v>
      </c>
      <c r="AI56" t="s" s="0">
        <v>1524</v>
      </c>
      <c r="AJ56" t="s" s="0">
        <v>1525</v>
      </c>
      <c r="AK56" t="s" s="0">
        <v>81</v>
      </c>
      <c r="AL56" t="s" s="0">
        <v>1137</v>
      </c>
      <c r="AM56" t="s" s="0">
        <v>1437</v>
      </c>
      <c r="AN56" t="s" s="0">
        <v>469</v>
      </c>
      <c r="AO56" t="s" s="0">
        <v>1526</v>
      </c>
      <c r="AP56" t="s" s="0">
        <v>150</v>
      </c>
      <c r="AQ56" t="s" s="0">
        <v>864</v>
      </c>
      <c r="AR56" t="s" s="0">
        <v>865</v>
      </c>
      <c r="AS56" t="s" s="0">
        <v>866</v>
      </c>
      <c r="AT56" t="s" s="0">
        <v>1457</v>
      </c>
      <c r="AU56" t="s" s="0">
        <v>81</v>
      </c>
      <c r="AV56" t="s" s="0">
        <v>81</v>
      </c>
      <c r="AW56" t="s" s="0">
        <v>1458</v>
      </c>
      <c r="AX56" t="s" s="0">
        <v>1459</v>
      </c>
      <c r="AY56" t="s" s="0">
        <v>105</v>
      </c>
      <c r="AZ56" t="s" s="0">
        <v>105</v>
      </c>
      <c r="BA56" t="s" s="0">
        <v>107</v>
      </c>
      <c r="BB56" t="s" s="0">
        <v>81</v>
      </c>
      <c r="BC56" t="s" s="0">
        <v>81</v>
      </c>
      <c r="BD56" t="s" s="0">
        <v>81</v>
      </c>
      <c r="BE56" t="s" s="0">
        <v>81</v>
      </c>
      <c r="BF56" t="s" s="0">
        <v>81</v>
      </c>
      <c r="BG56" t="s" s="0">
        <v>81</v>
      </c>
      <c r="BH56" t="s" s="0">
        <v>81</v>
      </c>
      <c r="BI56" t="s" s="0">
        <v>1527</v>
      </c>
      <c r="BJ56" t="s" s="0">
        <v>1528</v>
      </c>
      <c r="BK56" t="s" s="109">
        <f>HYPERLINK("http://dx.doi.org/10.2196/85799","http://dx.doi.org/10.2196/85799")</f>
        <v>1529</v>
      </c>
      <c r="BL56" t="s" s="0">
        <v>81</v>
      </c>
      <c r="BM56" t="s" s="0">
        <v>81</v>
      </c>
      <c r="BN56" t="s" s="0">
        <v>213</v>
      </c>
      <c r="BO56" t="s" s="0">
        <v>1463</v>
      </c>
      <c r="BP56" t="s" s="0">
        <v>1463</v>
      </c>
      <c r="BQ56" t="s" s="0">
        <v>1530</v>
      </c>
      <c r="BR56" t="s" s="0">
        <v>1531</v>
      </c>
      <c r="BS56" t="s" s="0">
        <v>1532</v>
      </c>
      <c r="BT56" t="s" s="110">
        <f>HYPERLINK("https://www.webofscience.com/wos/woscc/full-record/WOS:001634546600001","View Record in Web of Science")</f>
        <v>117</v>
      </c>
      <c r="BU56" t="s" s="0">
        <v>155</v>
      </c>
      <c r="BV56" t="s" s="0">
        <v>81</v>
      </c>
      <c r="BW56" t="s" s="0">
        <v>81</v>
      </c>
      <c r="BX56" t="s" s="0">
        <v>119</v>
      </c>
    </row>
    <row r="57">
      <c r="A57" t="s" s="0">
        <v>77</v>
      </c>
      <c r="B57" t="s" s="0">
        <v>77</v>
      </c>
      <c r="C57" t="s" s="0">
        <v>95</v>
      </c>
      <c r="D57" t="s" s="0">
        <v>77</v>
      </c>
      <c r="E57" t="s" s="0">
        <v>1533</v>
      </c>
      <c r="F57" t="s" s="0">
        <v>1534</v>
      </c>
      <c r="G57" t="s" s="0">
        <v>1535</v>
      </c>
      <c r="H57" t="s" s="0">
        <v>81</v>
      </c>
      <c r="I57" t="s" s="0">
        <v>123</v>
      </c>
      <c r="J57" t="s" s="0">
        <v>1536</v>
      </c>
      <c r="K57" t="s" s="0">
        <v>1537</v>
      </c>
      <c r="L57" t="s" s="0">
        <v>81</v>
      </c>
      <c r="M57" t="s" s="0">
        <v>81</v>
      </c>
      <c r="N57" t="s" s="0">
        <v>81</v>
      </c>
      <c r="O57" t="s" s="0">
        <v>1538</v>
      </c>
      <c r="P57" t="s" s="0">
        <v>1539</v>
      </c>
      <c r="Q57" t="s" s="0">
        <v>87</v>
      </c>
      <c r="R57" t="s" s="0">
        <v>81</v>
      </c>
      <c r="S57" t="s" s="0">
        <v>81</v>
      </c>
      <c r="T57" t="s" s="0">
        <v>81</v>
      </c>
      <c r="U57" t="s" s="0">
        <v>81</v>
      </c>
      <c r="V57" t="s" s="0">
        <v>1540</v>
      </c>
      <c r="W57" t="s" s="0">
        <v>1293</v>
      </c>
      <c r="X57" t="s" s="0">
        <v>81</v>
      </c>
      <c r="Y57" t="s" s="0">
        <v>81</v>
      </c>
      <c r="Z57" t="s" s="0">
        <v>90</v>
      </c>
      <c r="AA57" t="s" s="0">
        <v>91</v>
      </c>
      <c r="AB57" t="s" s="0">
        <v>81</v>
      </c>
      <c r="AC57" t="s" s="0">
        <v>81</v>
      </c>
      <c r="AD57" t="s" s="0">
        <v>81</v>
      </c>
      <c r="AE57" t="s" s="0">
        <v>81</v>
      </c>
      <c r="AF57" t="s" s="0">
        <v>81</v>
      </c>
      <c r="AG57" t="s" s="0">
        <v>1541</v>
      </c>
      <c r="AH57" t="s" s="0">
        <v>81</v>
      </c>
      <c r="AI57" t="s" s="0">
        <v>1542</v>
      </c>
      <c r="AJ57" t="s" s="0">
        <v>1543</v>
      </c>
      <c r="AK57" t="s" s="0">
        <v>81</v>
      </c>
      <c r="AL57" t="s" s="0">
        <v>1544</v>
      </c>
      <c r="AM57" t="s" s="0">
        <v>273</v>
      </c>
      <c r="AN57" t="s" s="0">
        <v>273</v>
      </c>
      <c r="AO57" t="s" s="0">
        <v>273</v>
      </c>
      <c r="AP57" t="s" s="0">
        <v>213</v>
      </c>
      <c r="AQ57" t="s" s="0">
        <v>864</v>
      </c>
      <c r="AR57" t="s" s="0">
        <v>865</v>
      </c>
      <c r="AS57" t="s" s="0">
        <v>866</v>
      </c>
      <c r="AT57" t="s" s="0">
        <v>1296</v>
      </c>
      <c r="AU57" t="s" s="0">
        <v>1297</v>
      </c>
      <c r="AV57" t="s" s="0">
        <v>81</v>
      </c>
      <c r="AW57" t="s" s="0">
        <v>1298</v>
      </c>
      <c r="AX57" t="s" s="0">
        <v>1299</v>
      </c>
      <c r="AY57" t="s" s="0">
        <v>1545</v>
      </c>
      <c r="AZ57" t="s" s="0">
        <v>105</v>
      </c>
      <c r="BA57" t="s" s="0">
        <v>172</v>
      </c>
      <c r="BB57" t="s" s="0">
        <v>81</v>
      </c>
      <c r="BC57" t="s" s="0">
        <v>81</v>
      </c>
      <c r="BD57" t="s" s="0">
        <v>81</v>
      </c>
      <c r="BE57" t="s" s="0">
        <v>81</v>
      </c>
      <c r="BF57" t="s" s="0">
        <v>81</v>
      </c>
      <c r="BG57" t="s" s="0">
        <v>81</v>
      </c>
      <c r="BH57" t="s" s="0">
        <v>81</v>
      </c>
      <c r="BI57" t="s" s="0">
        <v>1546</v>
      </c>
      <c r="BJ57" t="s" s="0">
        <v>1547</v>
      </c>
      <c r="BK57" t="s" s="111">
        <f>HYPERLINK("http://dx.doi.org/10.2196/77501","http://dx.doi.org/10.2196/77501")</f>
        <v>1548</v>
      </c>
      <c r="BL57" t="s" s="0">
        <v>81</v>
      </c>
      <c r="BM57" t="s" s="0">
        <v>81</v>
      </c>
      <c r="BN57" t="s" s="0">
        <v>444</v>
      </c>
      <c r="BO57" t="s" s="0">
        <v>1226</v>
      </c>
      <c r="BP57" t="s" s="0">
        <v>1226</v>
      </c>
      <c r="BQ57" t="s" s="0">
        <v>1549</v>
      </c>
      <c r="BR57" t="s" s="0">
        <v>1550</v>
      </c>
      <c r="BS57" t="s" s="0">
        <v>1551</v>
      </c>
      <c r="BT57" t="s" s="112">
        <f>HYPERLINK("https://www.webofscience.com/wos/woscc/full-record/WOS:001640087400002","View Record in Web of Science")</f>
        <v>117</v>
      </c>
      <c r="BU57" t="s" s="0">
        <v>155</v>
      </c>
      <c r="BV57" t="s" s="0">
        <v>81</v>
      </c>
      <c r="BW57" t="s" s="0">
        <v>81</v>
      </c>
      <c r="BX57" t="s" s="0">
        <v>119</v>
      </c>
    </row>
    <row r="58">
      <c r="A58" t="s" s="0">
        <v>77</v>
      </c>
      <c r="B58" t="s" s="0">
        <v>77</v>
      </c>
      <c r="C58" t="s" s="0">
        <v>95</v>
      </c>
      <c r="D58" t="s" s="0">
        <v>77</v>
      </c>
      <c r="E58" t="s" s="0">
        <v>1552</v>
      </c>
      <c r="F58" t="s" s="0">
        <v>1553</v>
      </c>
      <c r="G58" t="s" s="0">
        <v>1554</v>
      </c>
      <c r="H58" t="s" s="0">
        <v>81</v>
      </c>
      <c r="I58" t="s" s="0">
        <v>344</v>
      </c>
      <c r="J58" t="s" s="0">
        <v>1555</v>
      </c>
      <c r="K58" t="s" s="0">
        <v>1556</v>
      </c>
      <c r="L58" t="s" s="0">
        <v>1557</v>
      </c>
      <c r="M58" t="s" s="0">
        <v>1558</v>
      </c>
      <c r="N58" t="s" s="0">
        <v>1559</v>
      </c>
      <c r="O58" t="s" s="0">
        <v>1560</v>
      </c>
      <c r="P58" t="s" s="0">
        <v>1561</v>
      </c>
      <c r="Q58" t="s" s="0">
        <v>87</v>
      </c>
      <c r="R58" t="s" s="0">
        <v>81</v>
      </c>
      <c r="S58" t="s" s="0">
        <v>1562</v>
      </c>
      <c r="T58" t="s" s="0">
        <v>81</v>
      </c>
      <c r="U58" t="s" s="0">
        <v>81</v>
      </c>
      <c r="V58" t="s" s="0">
        <v>1563</v>
      </c>
      <c r="W58" t="s" s="0">
        <v>859</v>
      </c>
      <c r="X58" t="s" s="0">
        <v>81</v>
      </c>
      <c r="Y58" t="s" s="0">
        <v>81</v>
      </c>
      <c r="Z58" t="s" s="0">
        <v>90</v>
      </c>
      <c r="AA58" t="s" s="0">
        <v>91</v>
      </c>
      <c r="AB58" t="s" s="0">
        <v>81</v>
      </c>
      <c r="AC58" t="s" s="0">
        <v>81</v>
      </c>
      <c r="AD58" t="s" s="0">
        <v>81</v>
      </c>
      <c r="AE58" t="s" s="0">
        <v>81</v>
      </c>
      <c r="AF58" t="s" s="0">
        <v>81</v>
      </c>
      <c r="AG58" t="s" s="0">
        <v>1564</v>
      </c>
      <c r="AH58" t="s" s="0">
        <v>1565</v>
      </c>
      <c r="AI58" t="s" s="0">
        <v>1566</v>
      </c>
      <c r="AJ58" t="s" s="0">
        <v>1567</v>
      </c>
      <c r="AK58" t="s" s="0">
        <v>81</v>
      </c>
      <c r="AL58" t="s" s="0">
        <v>1568</v>
      </c>
      <c r="AM58" t="s" s="0">
        <v>449</v>
      </c>
      <c r="AN58" t="s" s="0">
        <v>94</v>
      </c>
      <c r="AO58" t="s" s="0">
        <v>419</v>
      </c>
      <c r="AP58" t="s" s="0">
        <v>186</v>
      </c>
      <c r="AQ58" t="s" s="0">
        <v>864</v>
      </c>
      <c r="AR58" t="s" s="0">
        <v>865</v>
      </c>
      <c r="AS58" t="s" s="0">
        <v>866</v>
      </c>
      <c r="AT58" t="s" s="0">
        <v>867</v>
      </c>
      <c r="AU58" t="s" s="0">
        <v>81</v>
      </c>
      <c r="AV58" t="s" s="0">
        <v>81</v>
      </c>
      <c r="AW58" t="s" s="0">
        <v>868</v>
      </c>
      <c r="AX58" t="s" s="0">
        <v>869</v>
      </c>
      <c r="AY58" t="s" s="0">
        <v>1084</v>
      </c>
      <c r="AZ58" t="s" s="0">
        <v>1084</v>
      </c>
      <c r="BA58" t="s" s="0">
        <v>474</v>
      </c>
      <c r="BB58" t="s" s="0">
        <v>81</v>
      </c>
      <c r="BC58" t="s" s="0">
        <v>81</v>
      </c>
      <c r="BD58" t="s" s="0">
        <v>81</v>
      </c>
      <c r="BE58" t="s" s="0">
        <v>81</v>
      </c>
      <c r="BF58" t="s" s="0">
        <v>81</v>
      </c>
      <c r="BG58" t="s" s="0">
        <v>81</v>
      </c>
      <c r="BH58" t="s" s="0">
        <v>81</v>
      </c>
      <c r="BI58" t="s" s="0">
        <v>1569</v>
      </c>
      <c r="BJ58" t="s" s="0">
        <v>1570</v>
      </c>
      <c r="BK58" t="s" s="113">
        <f>HYPERLINK("http://dx.doi.org/10.2196/54668","http://dx.doi.org/10.2196/54668")</f>
        <v>1571</v>
      </c>
      <c r="BL58" t="s" s="0">
        <v>81</v>
      </c>
      <c r="BM58" t="s" s="0">
        <v>81</v>
      </c>
      <c r="BN58" t="s" s="0">
        <v>808</v>
      </c>
      <c r="BO58" t="s" s="0">
        <v>873</v>
      </c>
      <c r="BP58" t="s" s="0">
        <v>873</v>
      </c>
      <c r="BQ58" t="s" s="0">
        <v>1572</v>
      </c>
      <c r="BR58" t="s" s="0">
        <v>1573</v>
      </c>
      <c r="BS58" t="s" s="0">
        <v>1574</v>
      </c>
      <c r="BT58" t="s" s="114">
        <f>HYPERLINK("https://www.webofscience.com/wos/woscc/full-record/WOS:001174659900002","View Record in Web of Science")</f>
        <v>117</v>
      </c>
      <c r="BU58" t="s" s="0">
        <v>155</v>
      </c>
      <c r="BV58" t="s" s="0">
        <v>81</v>
      </c>
      <c r="BW58" t="s" s="0">
        <v>81</v>
      </c>
      <c r="BX58" t="s" s="0">
        <v>119</v>
      </c>
    </row>
    <row r="59">
      <c r="A59" t="s" s="0">
        <v>77</v>
      </c>
      <c r="B59" t="s" s="0">
        <v>77</v>
      </c>
      <c r="C59" t="s" s="0">
        <v>96</v>
      </c>
      <c r="D59" t="s" s="0">
        <v>95</v>
      </c>
      <c r="E59" t="s" s="0">
        <v>1575</v>
      </c>
      <c r="F59" t="s" s="0">
        <v>1576</v>
      </c>
      <c r="G59" t="s" s="0">
        <v>1577</v>
      </c>
      <c r="H59" t="s" s="0">
        <v>81</v>
      </c>
      <c r="I59" t="s" s="0">
        <v>82</v>
      </c>
      <c r="J59" t="s" s="0">
        <v>1578</v>
      </c>
      <c r="K59" t="s" s="0">
        <v>1579</v>
      </c>
      <c r="L59" t="s" s="0">
        <v>81</v>
      </c>
      <c r="M59" t="s" s="0">
        <v>81</v>
      </c>
      <c r="N59" t="s" s="0">
        <v>81</v>
      </c>
      <c r="O59" t="s" s="0">
        <v>1580</v>
      </c>
      <c r="P59" t="s" s="0">
        <v>1581</v>
      </c>
      <c r="Q59" t="s" s="0">
        <v>87</v>
      </c>
      <c r="R59" t="s" s="0">
        <v>81</v>
      </c>
      <c r="S59" t="s" s="0">
        <v>81</v>
      </c>
      <c r="T59" t="s" s="0">
        <v>81</v>
      </c>
      <c r="U59" t="s" s="0">
        <v>81</v>
      </c>
      <c r="V59" t="s" s="0">
        <v>1582</v>
      </c>
      <c r="W59" t="s" s="0">
        <v>1583</v>
      </c>
      <c r="X59" t="s" s="0">
        <v>81</v>
      </c>
      <c r="Y59" t="s" s="0">
        <v>81</v>
      </c>
      <c r="Z59" t="s" s="0">
        <v>90</v>
      </c>
      <c r="AA59" t="s" s="0">
        <v>91</v>
      </c>
      <c r="AB59" t="s" s="0">
        <v>81</v>
      </c>
      <c r="AC59" t="s" s="0">
        <v>81</v>
      </c>
      <c r="AD59" t="s" s="0">
        <v>81</v>
      </c>
      <c r="AE59" t="s" s="0">
        <v>81</v>
      </c>
      <c r="AF59" t="s" s="0">
        <v>81</v>
      </c>
      <c r="AG59" t="s" s="0">
        <v>1584</v>
      </c>
      <c r="AH59" t="s" s="0">
        <v>1585</v>
      </c>
      <c r="AI59" t="s" s="0">
        <v>81</v>
      </c>
      <c r="AJ59" t="s" s="0">
        <v>81</v>
      </c>
      <c r="AK59" t="s" s="0">
        <v>81</v>
      </c>
      <c r="AL59" t="s" s="0">
        <v>1586</v>
      </c>
      <c r="AM59" t="s" s="0">
        <v>1587</v>
      </c>
      <c r="AN59" t="s" s="0">
        <v>1588</v>
      </c>
      <c r="AO59" t="s" s="0">
        <v>449</v>
      </c>
      <c r="AP59" t="s" s="0">
        <v>1589</v>
      </c>
      <c r="AQ59" t="s" s="0">
        <v>1590</v>
      </c>
      <c r="AR59" t="s" s="0">
        <v>237</v>
      </c>
      <c r="AS59" t="s" s="0">
        <v>1591</v>
      </c>
      <c r="AT59" t="s" s="0">
        <v>1592</v>
      </c>
      <c r="AU59" t="s" s="0">
        <v>1593</v>
      </c>
      <c r="AV59" t="s" s="0">
        <v>81</v>
      </c>
      <c r="AW59" t="s" s="0">
        <v>1594</v>
      </c>
      <c r="AX59" t="s" s="0">
        <v>1595</v>
      </c>
      <c r="AY59" t="s" s="0">
        <v>1596</v>
      </c>
      <c r="AZ59" t="s" s="0">
        <v>145</v>
      </c>
      <c r="BA59" t="s" s="0">
        <v>548</v>
      </c>
      <c r="BB59" t="s" s="0">
        <v>81</v>
      </c>
      <c r="BC59" t="s" s="0">
        <v>81</v>
      </c>
      <c r="BD59" t="s" s="0">
        <v>81</v>
      </c>
      <c r="BE59" t="s" s="0">
        <v>81</v>
      </c>
      <c r="BF59" t="s" s="0">
        <v>81</v>
      </c>
      <c r="BG59" t="s" s="0">
        <v>81</v>
      </c>
      <c r="BH59" t="s" s="0">
        <v>81</v>
      </c>
      <c r="BI59" t="s" s="0">
        <v>1597</v>
      </c>
      <c r="BJ59" t="s" s="0">
        <v>1598</v>
      </c>
      <c r="BK59" t="s" s="115">
        <f>HYPERLINK("http://dx.doi.org/10.1016/j.clsr.2023.105871","http://dx.doi.org/10.1016/j.clsr.2023.105871")</f>
        <v>1599</v>
      </c>
      <c r="BL59" t="s" s="0">
        <v>81</v>
      </c>
      <c r="BM59" t="s" s="0">
        <v>1145</v>
      </c>
      <c r="BN59" t="s" s="0">
        <v>307</v>
      </c>
      <c r="BO59" t="s" s="0">
        <v>1600</v>
      </c>
      <c r="BP59" t="s" s="0">
        <v>1601</v>
      </c>
      <c r="BQ59" t="s" s="0">
        <v>1602</v>
      </c>
      <c r="BR59" t="s" s="0">
        <v>81</v>
      </c>
      <c r="BS59" t="s" s="0">
        <v>1603</v>
      </c>
      <c r="BT59" t="s" s="116">
        <f>HYPERLINK("https://www.webofscience.com/wos/woscc/full-record/WOS:001077914700001","View Record in Web of Science")</f>
        <v>117</v>
      </c>
      <c r="BU59" t="s" s="0">
        <v>512</v>
      </c>
      <c r="BV59" t="s" s="0">
        <v>81</v>
      </c>
      <c r="BW59" t="s" s="0">
        <v>81</v>
      </c>
      <c r="BX59" t="s" s="0">
        <v>119</v>
      </c>
    </row>
    <row r="60">
      <c r="A60" t="s" s="0">
        <v>77</v>
      </c>
      <c r="B60" t="s" s="0">
        <v>77</v>
      </c>
      <c r="C60" t="s" s="0">
        <v>77</v>
      </c>
      <c r="D60" t="s" s="0">
        <v>77</v>
      </c>
      <c r="E60" t="s" s="0">
        <v>1604</v>
      </c>
      <c r="F60" t="s" s="0">
        <v>1605</v>
      </c>
      <c r="G60" t="s" s="0">
        <v>1606</v>
      </c>
      <c r="H60" t="s" s="0">
        <v>81</v>
      </c>
      <c r="I60" t="s" s="0">
        <v>123</v>
      </c>
      <c r="J60" t="s" s="0">
        <v>1607</v>
      </c>
      <c r="K60" t="s" s="0">
        <v>1608</v>
      </c>
      <c r="L60" t="s" s="0">
        <v>81</v>
      </c>
      <c r="M60" t="s" s="0">
        <v>81</v>
      </c>
      <c r="N60" t="s" s="0">
        <v>81</v>
      </c>
      <c r="O60" t="s" s="0">
        <v>1609</v>
      </c>
      <c r="P60" t="s" s="0">
        <v>1610</v>
      </c>
      <c r="Q60" t="s" s="0">
        <v>87</v>
      </c>
      <c r="R60" t="s" s="0">
        <v>81</v>
      </c>
      <c r="S60" t="s" s="0">
        <v>81</v>
      </c>
      <c r="T60" t="s" s="0">
        <v>81</v>
      </c>
      <c r="U60" t="s" s="0">
        <v>81</v>
      </c>
      <c r="V60" t="s" s="0">
        <v>1611</v>
      </c>
      <c r="W60" t="s" s="0">
        <v>958</v>
      </c>
      <c r="X60" t="s" s="0">
        <v>81</v>
      </c>
      <c r="Y60" t="s" s="0">
        <v>81</v>
      </c>
      <c r="Z60" t="s" s="0">
        <v>90</v>
      </c>
      <c r="AA60" t="s" s="0">
        <v>91</v>
      </c>
      <c r="AB60" t="s" s="0">
        <v>81</v>
      </c>
      <c r="AC60" t="s" s="0">
        <v>81</v>
      </c>
      <c r="AD60" t="s" s="0">
        <v>81</v>
      </c>
      <c r="AE60" t="s" s="0">
        <v>81</v>
      </c>
      <c r="AF60" t="s" s="0">
        <v>81</v>
      </c>
      <c r="AG60" t="s" s="0">
        <v>1612</v>
      </c>
      <c r="AH60" t="s" s="0">
        <v>81</v>
      </c>
      <c r="AI60" t="s" s="0">
        <v>81</v>
      </c>
      <c r="AJ60" t="s" s="0">
        <v>1613</v>
      </c>
      <c r="AK60" t="s" s="0">
        <v>81</v>
      </c>
      <c r="AL60" t="s" s="0">
        <v>1614</v>
      </c>
      <c r="AM60" t="s" s="0">
        <v>419</v>
      </c>
      <c r="AN60" t="s" s="0">
        <v>419</v>
      </c>
      <c r="AO60" t="s" s="0">
        <v>468</v>
      </c>
      <c r="AP60" t="s" s="0">
        <v>468</v>
      </c>
      <c r="AQ60" t="s" s="0">
        <v>864</v>
      </c>
      <c r="AR60" t="s" s="0">
        <v>865</v>
      </c>
      <c r="AS60" t="s" s="0">
        <v>866</v>
      </c>
      <c r="AT60" t="s" s="0">
        <v>963</v>
      </c>
      <c r="AU60" t="s" s="0">
        <v>81</v>
      </c>
      <c r="AV60" t="s" s="0">
        <v>81</v>
      </c>
      <c r="AW60" t="s" s="0">
        <v>964</v>
      </c>
      <c r="AX60" t="s" s="0">
        <v>965</v>
      </c>
      <c r="AY60" t="s" s="0">
        <v>244</v>
      </c>
      <c r="AZ60" t="s" s="0">
        <v>244</v>
      </c>
      <c r="BA60" t="s" s="0">
        <v>107</v>
      </c>
      <c r="BB60" t="s" s="0">
        <v>81</v>
      </c>
      <c r="BC60" t="s" s="0">
        <v>81</v>
      </c>
      <c r="BD60" t="s" s="0">
        <v>81</v>
      </c>
      <c r="BE60" t="s" s="0">
        <v>81</v>
      </c>
      <c r="BF60" t="s" s="0">
        <v>81</v>
      </c>
      <c r="BG60" t="s" s="0">
        <v>81</v>
      </c>
      <c r="BH60" t="s" s="0">
        <v>81</v>
      </c>
      <c r="BI60" t="s" s="0">
        <v>1615</v>
      </c>
      <c r="BJ60" t="s" s="0">
        <v>1616</v>
      </c>
      <c r="BK60" t="s" s="117">
        <f>HYPERLINK("http://dx.doi.org/10.2196/69156","http://dx.doi.org/10.2196/69156")</f>
        <v>1617</v>
      </c>
      <c r="BL60" t="s" s="0">
        <v>81</v>
      </c>
      <c r="BM60" t="s" s="0">
        <v>81</v>
      </c>
      <c r="BN60" t="s" s="0">
        <v>1192</v>
      </c>
      <c r="BO60" t="s" s="0">
        <v>969</v>
      </c>
      <c r="BP60" t="s" s="0">
        <v>707</v>
      </c>
      <c r="BQ60" t="s" s="0">
        <v>1618</v>
      </c>
      <c r="BR60" t="s" s="0">
        <v>1619</v>
      </c>
      <c r="BS60" t="s" s="0">
        <v>1620</v>
      </c>
      <c r="BT60" t="s" s="118">
        <f>HYPERLINK("https://www.webofscience.com/wos/woscc/full-record/WOS:001700360300001","View Record in Web of Science")</f>
        <v>117</v>
      </c>
      <c r="BU60" t="s" s="0">
        <v>155</v>
      </c>
      <c r="BV60" t="s" s="0">
        <v>81</v>
      </c>
      <c r="BW60" t="s" s="0">
        <v>81</v>
      </c>
      <c r="BX60" t="s" s="0">
        <v>119</v>
      </c>
    </row>
    <row r="61">
      <c r="A61" t="s" s="0">
        <v>77</v>
      </c>
      <c r="B61" t="s" s="0">
        <v>77</v>
      </c>
      <c r="C61" t="s" s="0">
        <v>77</v>
      </c>
      <c r="D61" t="s" s="0">
        <v>77</v>
      </c>
      <c r="E61" t="s" s="0">
        <v>1621</v>
      </c>
      <c r="F61" t="s" s="0">
        <v>1622</v>
      </c>
      <c r="G61" t="s" s="0">
        <v>1623</v>
      </c>
      <c r="H61" t="s" s="0">
        <v>81</v>
      </c>
      <c r="I61" t="s" s="0">
        <v>82</v>
      </c>
      <c r="J61" t="s" s="0">
        <v>1624</v>
      </c>
      <c r="K61" t="s" s="0">
        <v>1625</v>
      </c>
      <c r="L61" t="s" s="0">
        <v>1626</v>
      </c>
      <c r="M61" t="s" s="0">
        <v>1627</v>
      </c>
      <c r="N61" t="s" s="0">
        <v>1628</v>
      </c>
      <c r="O61" t="s" s="0">
        <v>1629</v>
      </c>
      <c r="P61" t="s" s="0">
        <v>1630</v>
      </c>
      <c r="Q61" t="s" s="0">
        <v>87</v>
      </c>
      <c r="R61" t="s" s="0">
        <v>81</v>
      </c>
      <c r="S61" t="s" s="0">
        <v>81</v>
      </c>
      <c r="T61" t="s" s="0">
        <v>81</v>
      </c>
      <c r="U61" t="s" s="0">
        <v>81</v>
      </c>
      <c r="V61" t="s" s="0">
        <v>1631</v>
      </c>
      <c r="W61" t="s" s="0">
        <v>718</v>
      </c>
      <c r="X61" t="s" s="0">
        <v>81</v>
      </c>
      <c r="Y61" t="s" s="0">
        <v>81</v>
      </c>
      <c r="Z61" t="s" s="0">
        <v>90</v>
      </c>
      <c r="AA61" t="s" s="0">
        <v>493</v>
      </c>
      <c r="AB61" t="s" s="0">
        <v>81</v>
      </c>
      <c r="AC61" t="s" s="0">
        <v>81</v>
      </c>
      <c r="AD61" t="s" s="0">
        <v>81</v>
      </c>
      <c r="AE61" t="s" s="0">
        <v>81</v>
      </c>
      <c r="AF61" t="s" s="0">
        <v>81</v>
      </c>
      <c r="AG61" t="s" s="0">
        <v>1632</v>
      </c>
      <c r="AH61" t="s" s="0">
        <v>1633</v>
      </c>
      <c r="AI61" t="s" s="0">
        <v>81</v>
      </c>
      <c r="AJ61" t="s" s="0">
        <v>81</v>
      </c>
      <c r="AK61" t="s" s="0">
        <v>81</v>
      </c>
      <c r="AL61" t="s" s="0">
        <v>150</v>
      </c>
      <c r="AM61" t="s" s="0">
        <v>77</v>
      </c>
      <c r="AN61" t="s" s="0">
        <v>77</v>
      </c>
      <c r="AO61" t="s" s="0">
        <v>213</v>
      </c>
      <c r="AP61" t="s" s="0">
        <v>213</v>
      </c>
      <c r="AQ61" t="s" s="0">
        <v>698</v>
      </c>
      <c r="AR61" t="s" s="0">
        <v>699</v>
      </c>
      <c r="AS61" t="s" s="0">
        <v>700</v>
      </c>
      <c r="AT61" t="s" s="0">
        <v>725</v>
      </c>
      <c r="AU61" t="s" s="0">
        <v>726</v>
      </c>
      <c r="AV61" t="s" s="0">
        <v>81</v>
      </c>
      <c r="AW61" t="s" s="0">
        <v>727</v>
      </c>
      <c r="AX61" t="s" s="0">
        <v>728</v>
      </c>
      <c r="AY61" t="s" s="0">
        <v>81</v>
      </c>
      <c r="AZ61" t="s" s="0">
        <v>244</v>
      </c>
      <c r="BA61" t="s" s="0">
        <v>81</v>
      </c>
      <c r="BB61" t="s" s="0">
        <v>81</v>
      </c>
      <c r="BC61" t="s" s="0">
        <v>81</v>
      </c>
      <c r="BD61" t="s" s="0">
        <v>81</v>
      </c>
      <c r="BE61" t="s" s="0">
        <v>81</v>
      </c>
      <c r="BF61" t="s" s="0">
        <v>81</v>
      </c>
      <c r="BG61" t="s" s="0">
        <v>81</v>
      </c>
      <c r="BH61" t="s" s="0">
        <v>81</v>
      </c>
      <c r="BI61" t="s" s="0">
        <v>81</v>
      </c>
      <c r="BJ61" t="s" s="0">
        <v>1634</v>
      </c>
      <c r="BK61" t="s" s="119">
        <f>HYPERLINK("http://dx.doi.org/10.1080/19368623.2026.2683829","http://dx.doi.org/10.1080/19368623.2026.2683829")</f>
        <v>1635</v>
      </c>
      <c r="BL61" t="s" s="0">
        <v>81</v>
      </c>
      <c r="BM61" t="s" s="0">
        <v>310</v>
      </c>
      <c r="BN61" t="s" s="0">
        <v>553</v>
      </c>
      <c r="BO61" t="s" s="0">
        <v>735</v>
      </c>
      <c r="BP61" t="s" s="0">
        <v>736</v>
      </c>
      <c r="BQ61" t="s" s="0">
        <v>1636</v>
      </c>
      <c r="BR61" t="s" s="0">
        <v>81</v>
      </c>
      <c r="BS61" t="s" s="0">
        <v>1637</v>
      </c>
      <c r="BT61" t="s" s="120">
        <f>HYPERLINK("https://www.webofscience.com/wos/woscc/full-record/WOS:001787883300001","View Record in Web of Science")</f>
        <v>117</v>
      </c>
      <c r="BU61" t="s" s="0">
        <v>81</v>
      </c>
      <c r="BV61" t="s" s="0">
        <v>81</v>
      </c>
      <c r="BW61" t="s" s="0">
        <v>81</v>
      </c>
      <c r="BX61" t="s" s="0">
        <v>119</v>
      </c>
    </row>
    <row r="62"/>
  </sheetData>
  <hyperlinks>
    <hyperlink ref="BK2" r:id="rId1"/>
    <hyperlink ref="BT2" r:id="rId2"/>
    <hyperlink ref="BK3" r:id="rId3"/>
    <hyperlink ref="BT3" r:id="rId4"/>
    <hyperlink ref="BK4" r:id="rId5"/>
    <hyperlink ref="BT4" r:id="rId6"/>
    <hyperlink ref="BK5" r:id="rId7"/>
    <hyperlink ref="BT5" r:id="rId8"/>
    <hyperlink ref="BK6" r:id="rId9"/>
    <hyperlink ref="BT6" r:id="rId10"/>
    <hyperlink ref="BK7" r:id="rId11"/>
    <hyperlink ref="BT7" r:id="rId12"/>
    <hyperlink ref="BK8" r:id="rId13"/>
    <hyperlink ref="BT8" r:id="rId14"/>
    <hyperlink ref="BK9" r:id="rId15"/>
    <hyperlink ref="BT9" r:id="rId16"/>
    <hyperlink ref="BK10" r:id="rId17"/>
    <hyperlink ref="BT10" r:id="rId18"/>
    <hyperlink ref="BK11" r:id="rId19"/>
    <hyperlink ref="BT11" r:id="rId20"/>
    <hyperlink ref="BK12" r:id="rId21"/>
    <hyperlink ref="BT12" r:id="rId22"/>
    <hyperlink ref="BK13" r:id="rId23"/>
    <hyperlink ref="BT13" r:id="rId24"/>
    <hyperlink ref="BK14" r:id="rId25"/>
    <hyperlink ref="BT14" r:id="rId26"/>
    <hyperlink ref="BK15" r:id="rId27"/>
    <hyperlink ref="BT15" r:id="rId28"/>
    <hyperlink ref="BK16" r:id="rId29"/>
    <hyperlink ref="BT16" r:id="rId30"/>
    <hyperlink ref="BK17" r:id="rId31"/>
    <hyperlink ref="BT17" r:id="rId32"/>
    <hyperlink ref="BK18" r:id="rId33"/>
    <hyperlink ref="BT18" r:id="rId34"/>
    <hyperlink ref="BK19" r:id="rId35"/>
    <hyperlink ref="BT19" r:id="rId36"/>
    <hyperlink ref="BK20" r:id="rId37"/>
    <hyperlink ref="BT20" r:id="rId38"/>
    <hyperlink ref="BK21" r:id="rId39"/>
    <hyperlink ref="BT21" r:id="rId40"/>
    <hyperlink ref="BK22" r:id="rId41"/>
    <hyperlink ref="BT22" r:id="rId42"/>
    <hyperlink ref="BK23" r:id="rId43"/>
    <hyperlink ref="BT23" r:id="rId44"/>
    <hyperlink ref="BK24" r:id="rId45"/>
    <hyperlink ref="BT24" r:id="rId46"/>
    <hyperlink ref="BK25" r:id="rId47"/>
    <hyperlink ref="BT25" r:id="rId48"/>
    <hyperlink ref="BK26" r:id="rId49"/>
    <hyperlink ref="BT26" r:id="rId50"/>
    <hyperlink ref="BK27" r:id="rId51"/>
    <hyperlink ref="BT27" r:id="rId52"/>
    <hyperlink ref="BK28" r:id="rId53"/>
    <hyperlink ref="BT28" r:id="rId54"/>
    <hyperlink ref="BK29" r:id="rId55"/>
    <hyperlink ref="BT29" r:id="rId56"/>
    <hyperlink ref="BK30" r:id="rId57"/>
    <hyperlink ref="BT30" r:id="rId58"/>
    <hyperlink ref="BK31" r:id="rId59"/>
    <hyperlink ref="BT31" r:id="rId60"/>
    <hyperlink ref="BK32" r:id="rId61"/>
    <hyperlink ref="BT32" r:id="rId62"/>
    <hyperlink ref="BK33" r:id="rId63"/>
    <hyperlink ref="BT33" r:id="rId64"/>
    <hyperlink ref="BK34" r:id="rId65"/>
    <hyperlink ref="BT34" r:id="rId66"/>
    <hyperlink ref="BK35" r:id="rId67"/>
    <hyperlink ref="BT35" r:id="rId68"/>
    <hyperlink ref="BK36" r:id="rId69"/>
    <hyperlink ref="BT36" r:id="rId70"/>
    <hyperlink ref="BK37" r:id="rId71"/>
    <hyperlink ref="BT37" r:id="rId72"/>
    <hyperlink ref="BK38" r:id="rId73"/>
    <hyperlink ref="BT38" r:id="rId74"/>
    <hyperlink ref="BK39" r:id="rId75"/>
    <hyperlink ref="BT39" r:id="rId76"/>
    <hyperlink ref="BK40" r:id="rId77"/>
    <hyperlink ref="BT40" r:id="rId78"/>
    <hyperlink ref="BK41" r:id="rId79"/>
    <hyperlink ref="BT41" r:id="rId80"/>
    <hyperlink ref="BK42" r:id="rId81"/>
    <hyperlink ref="BT42" r:id="rId82"/>
    <hyperlink ref="BK43" r:id="rId83"/>
    <hyperlink ref="BT43" r:id="rId84"/>
    <hyperlink ref="BK44" r:id="rId85"/>
    <hyperlink ref="BT44" r:id="rId86"/>
    <hyperlink ref="BK45" r:id="rId87"/>
    <hyperlink ref="BT45" r:id="rId88"/>
    <hyperlink ref="BK46" r:id="rId89"/>
    <hyperlink ref="BT46" r:id="rId90"/>
    <hyperlink ref="BK47" r:id="rId91"/>
    <hyperlink ref="BT47" r:id="rId92"/>
    <hyperlink ref="BK48" r:id="rId93"/>
    <hyperlink ref="BT48" r:id="rId94"/>
    <hyperlink ref="BK49" r:id="rId95"/>
    <hyperlink ref="BT49" r:id="rId96"/>
    <hyperlink ref="BK50" r:id="rId97"/>
    <hyperlink ref="BT50" r:id="rId98"/>
    <hyperlink ref="BK51" r:id="rId99"/>
    <hyperlink ref="BT51" r:id="rId100"/>
    <hyperlink ref="BK52" r:id="rId101"/>
    <hyperlink ref="BT52" r:id="rId102"/>
    <hyperlink ref="BK53" r:id="rId103"/>
    <hyperlink ref="BT53" r:id="rId104"/>
    <hyperlink ref="BK54" r:id="rId105"/>
    <hyperlink ref="BT54" r:id="rId106"/>
    <hyperlink ref="BK55" r:id="rId107"/>
    <hyperlink ref="BT55" r:id="rId108"/>
    <hyperlink ref="BK56" r:id="rId109"/>
    <hyperlink ref="BT56" r:id="rId110"/>
    <hyperlink ref="BK57" r:id="rId111"/>
    <hyperlink ref="BT57" r:id="rId112"/>
    <hyperlink ref="BK58" r:id="rId113"/>
    <hyperlink ref="BT58" r:id="rId114"/>
    <hyperlink ref="BK59" r:id="rId115"/>
    <hyperlink ref="BT59" r:id="rId116"/>
    <hyperlink ref="BK60" r:id="rId117"/>
    <hyperlink ref="BT60" r:id="rId118"/>
    <hyperlink ref="BK61" r:id="rId119"/>
    <hyperlink ref="BT61" r:id="rId120"/>
  </hyperlinks>
  <printOptions horizontalCentered="true"/>
  <pageMargins bottom="0.75" footer="0.3" header="0.3" left="0.7" right="0.7" top="0.75"/>
  <pageSetup orientation="landscape" fitToHeight="1" fitToWidth="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2026-08-26T16:13:31Z</dcterms:created>
  <dc:creator>Apache POI</dc:creator>
</cp:coreProperties>
</file>
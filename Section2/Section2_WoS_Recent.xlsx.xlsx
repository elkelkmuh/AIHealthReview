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<sst xmlns="http://schemas.openxmlformats.org/spreadsheetml/2006/main" count="15354" uniqueCount="4612">
  <si>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</si>
  <si>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</si>
  <si>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</si>
  <si>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</si>
  <si>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</si>
  <si>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</si>
  <si>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</si>
  <si>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</si>
  <si>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</si>
  <si>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</si>
  <si>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</si>
  <si>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</si>
  <si>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</si>
  <si>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</si>
  <si>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</si>
  <si>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</si>
  <si>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</si>
  <si>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</si>
  <si>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</si>
  <si>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</si>
  <si>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</si>
  <si>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</si>
  <si>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</si>
  <si>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</si>
  <si>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</si>
  <si>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</si>
  <si>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</si>
  <si>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</si>
  <si>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</si>
  <si>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</si>
  <si>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</si>
  <si>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</si>
  <si>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</si>
  <si>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</si>
  <si>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</si>
  <si>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</si>
  <si>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</si>
  <si>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</si>
  <si>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</si>
  <si>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</si>
  <si>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</si>
  <si>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</si>
  <si>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</si>
  <si>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</si>
  <si>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</si>
  <si>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</si>
  <si>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</si>
  <si>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</si>
  <si>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</si>
  <si>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</si>
  <si>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</si>
  <si>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</si>
  <si>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</si>
  <si>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</si>
  <si>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</si>
  <si>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</si>
  <si>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</si>
  <si>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</si>
  <si>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</si>
  <si>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</si>
  <si>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</si>
  <si>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</si>
  <si>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</si>
  <si>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</si>
  <si>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</si>
  <si>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</si>
  <si>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</si>
  <si>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</si>
  <si>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</si>
  <si>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</si>
  <si>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</si>
  <si>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</si>
  <si>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</si>
  <si>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</si>
  <si>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</si>
  <si>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</si>
  <si>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</si>
  <si>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</si>
  <si>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Yang, HL; Zou, XL; Chen, YJ; Mai, XQ; Feng, DY; Ding, WW; Zhou, YQ</t>
  </si>
  <si>
    <t>Aim of the study Chronic obstructive pulmonary disease (COPD) is a leading cause of morbidity and mortality worldwide, and early screening is critical for improving patient outcomes. This review aims to provide a comprehensive theoretical foundation and practical guidance for developing more accurate and efficient COPD screening tools by summarizing the research progress in constructing COPD screening models based on respiratory oscillometry (RO).Materials and methods We conducted a narrative literature review of PubMed, Scopus, and Embase through May 2026 to identify studies on respiratory oscillometry-based COPD screening models, with particular attention to comparisons between traditional regression/discriminant approaches and machine-learning algorithms. Respiratory oscillometry (RO), a noninvasive and convenient method for assessing lung function, was used as the technical basis. The review systematically traces the evolution of COPD screening models from traditional statistical regression models to advanced machine learning approaches, analyzing technical characteristics, performance metrics, clinical applicability, and challenges associated with different modeling techniques.Results Key findings indicate machine learning algorithms outperform traditional logistic regression in COPD screening model accuracy, with RO technology demonstrating unique advantages in noninvasive lung function assessment through cross-comparison of modeling techniques.Conclusions This review confirms RO-based machine learning models as the optimal approach for COPD screening, providing critical guidance for developing next-generation tools to enhance early detection accuracy and clinical applicability.</t>
  </si>
  <si>
    <t>Yang, Hai-Ling; Zou, Xiao-ling; Chen, Ya-Jia; Mai, Xue-Qiong; Feng, Ding-Yun; Ding, Wen-Wen; Zhou, Yu-Qi</t>
  </si>
  <si>
    <t/>
  </si>
  <si>
    <t>Science Citation Index Expanded (SCI-EXPANDED)</t>
  </si>
  <si>
    <t>Zhou, YQ (corresponding author), Sun Yat Sen Univ, Dept Pulmonary &amp; Critical Care Med, Affiliated Hosp 3, Inst Resp Dis, 600 Tianhe Rd, Guangzhou 510630, Guangdong, Peoples R China.</t>
  </si>
  <si>
    <t>zhouyuqi@mail.sysu.edu.cn</t>
  </si>
  <si>
    <t>Science and Technology Program of Guangzhou [Project No: 202206010127]</t>
  </si>
  <si>
    <t>Science and Technology Program of Guangzhou</t>
  </si>
  <si>
    <t>This work was supported by the Science and Technology Program of Guangzhou under Grant Number 202206010127.</t>
  </si>
  <si>
    <t>[Yang, Hai-Ling; Zou, Xiao-ling; Chen, Ya-Jia; Mai, Xue-Qiong; Feng, Ding-Yun; Ding, Wen-Wen; Zhou, Yu-Qi] Sun Yat Sen Univ, Dept Pulmonary &amp; Critical Care Med, Affiliated Hosp 3, Inst Resp Dis, 600 Tianhe Rd, Guangzhou 510630, Guangdong, Peoples R China</t>
  </si>
  <si>
    <t>Sun Yat Sen University</t>
  </si>
  <si>
    <t>J</t>
  </si>
  <si>
    <t>Advances in the development of COPD screening models using respiratory oscillometry: An evolution from traditional regression to machine learning</t>
  </si>
  <si>
    <t>EXPERIMENTAL LUNG RESEARCH</t>
  </si>
  <si>
    <t>English</t>
  </si>
  <si>
    <t>Review</t>
  </si>
  <si>
    <t>Artificial intelligence; chronic obstructive pulmonary disease; logistic regression; machine learning; respiratory oscillometry</t>
  </si>
  <si>
    <t>FORCED OSCILLATION TECHNIQUE; OBSTRUCTIVE PULMONARY-DISEASE; SMOKING; RESPONSIVENESS</t>
  </si>
  <si>
    <t>49</t>
  </si>
  <si>
    <t>TAYLOR &amp; FRANCIS INC</t>
  </si>
  <si>
    <t>PHILADELPHIA</t>
  </si>
  <si>
    <t>530 WALNUT STREET, STE 850, PHILADELPHIA, PA 19106 USA</t>
  </si>
  <si>
    <t>0190-2148</t>
  </si>
  <si>
    <t>1521-0499</t>
  </si>
  <si>
    <t>EXP LUNG RES</t>
  </si>
  <si>
    <t>Exp. Lung Res.</t>
  </si>
  <si>
    <t>DEC 31 2026</t>
  </si>
  <si>
    <t>2026</t>
  </si>
  <si>
    <t>52</t>
  </si>
  <si>
    <t>1</t>
  </si>
  <si>
    <t>168</t>
  </si>
  <si>
    <t>181</t>
  </si>
  <si>
    <t>10.1080/01902148.2026.2712149</t>
  </si>
  <si>
    <t>http://dx.doi.org/10.1080/01902148.2026.2712149</t>
  </si>
  <si>
    <t>14</t>
  </si>
  <si>
    <t>Respiratory System</t>
  </si>
  <si>
    <t>MW5WW</t>
  </si>
  <si>
    <t>42608973</t>
  </si>
  <si>
    <t>WOS:001852603400001</t>
  </si>
  <si>
    <t>View Record in Web of Science</t>
  </si>
  <si>
    <t>gold</t>
  </si>
  <si>
    <t>2026-08-26</t>
  </si>
  <si>
    <t>Achiron, A; Mandel-Benado, M; Warszawer, Y</t>
  </si>
  <si>
    <t>Artificial intelligence (AI) has emerged as a promising tool for quantitative analysis of optic disc imaging, transforming evaluation from a subjective clinical assessment into an objective framework capable of extracting innovative and meaningful structural biomarkers. A structured literature search was performed using PubMed/MEDLINE, Scopus, and Google Scholar for studies published through May 2026, supplemented by manual review of reference lists. This review describes the application of deep learning to optic disc segmentation and quantification of features such as disc edema and pallor from fundus photographs, enabling accurate classification of optic nerve abnormalities. Several AI models have demonstrated performance comparable to expert assessment in selected validation studies, supporting future clinical triage where direct ophthalmoscopy is performed inconsistently. In papilledema and optic neuritis, AI-assisted fundus image analysis may facilitate early diagnosis, particularly when access to magnetic resonance imaging (MRI) or expert neuroophthalmological assessment is delayed. However, clinical implementation in neurology remains at an early stage because of limited neurology-specific datasets, variability across imaging devices, and the lack of large-scale prospective validation linked to neurological outcomes. Future development needs to focus on multimodal integration with optical coherence tomography (OCT), MRI, and serum biomarkers, together with decentralized image acquisition using smartphone-based fundus imaging platforms.</t>
  </si>
  <si>
    <t>Achiron, Anat; Mandel-Benado, Mathilda; Warszawer, Yehuda</t>
  </si>
  <si>
    <t>Emerging Sources Citation Index (ESCI)</t>
  </si>
  <si>
    <t>Achiron, A (corresponding author), HawkVi Inc, R&amp;D, Wilmington, DE 19801 USA.</t>
  </si>
  <si>
    <t>anat@hawkvi.ai</t>
  </si>
  <si>
    <t>[Achiron, Anat; Mandel-Benado, Mathilda; Warszawer, Yehuda] HawkVi Inc, R&amp;D, Wilmington, DE 19801 USA; [Achiron, Anat] Tel Aviv Univ, Gray Fac Med &amp; Hlth Sci, Tel Aviv, Israel</t>
  </si>
  <si>
    <t>Artificial intelligence in optic disc imaging: implications for future neurology</t>
  </si>
  <si>
    <t>FUTURE NEUROLOGY</t>
  </si>
  <si>
    <t>Artificial intelligence; optic disc imaging; neurology; papilledema; optic neuritis; multiple sclerosis; deep learning; fundus photography</t>
  </si>
  <si>
    <t>OCULAR FUNDUS; MULTIPLE-SCLEROSIS; SEGMENTATION; PAPILLEDEMA</t>
  </si>
  <si>
    <t>50</t>
  </si>
  <si>
    <t>TAYLOR &amp; FRANCIS LTD</t>
  </si>
  <si>
    <t>ABINGDON</t>
  </si>
  <si>
    <t>2-4 PARK SQUARE, MILTON PARK, ABINGDON OR14 4RN, OXON, ENGLAND</t>
  </si>
  <si>
    <t>1479-6708</t>
  </si>
  <si>
    <t>1748-6971</t>
  </si>
  <si>
    <t>FUTUR NEUROL</t>
  </si>
  <si>
    <t>Futur. Neurol.</t>
  </si>
  <si>
    <t>21</t>
  </si>
  <si>
    <t>2716256</t>
  </si>
  <si>
    <t>10.1080/14796708.2026.2716256</t>
  </si>
  <si>
    <t>http://dx.doi.org/10.1080/14796708.2026.2716256</t>
  </si>
  <si>
    <t>11</t>
  </si>
  <si>
    <t>Clinical Neurology</t>
  </si>
  <si>
    <t>Neurosciences &amp; Neurology</t>
  </si>
  <si>
    <t>MW2CV</t>
  </si>
  <si>
    <t>WOS:001852347300001</t>
  </si>
  <si>
    <t>Li, XY; Su, H; Li, YP; Jiang, LY; Zhou, J; Zhang, LY; Huang, YL; Yang, XP; Li, M</t>
  </si>
  <si>
    <t>Extracellular vesicles (EVs) have emerged as promising tools for early cancer detection, therapeutic monitoring, and drug delivery in oncology. Artificial intelligence (AI), particularly machine learning and deep learning, offers new analytical tools and computational approaches for EV research. This review summarizes recent advances in the application of AI to EV isolation, characterization, diagnosis, and drug delivery, with particular emphasis on its potential to enhance tumor detection sensitivity, diagnostic accuracy, and the rational design of delivery platforms. Special attention is given to the roles and recent applications of AI models in integrating multimodal features, characterizing EV heterogeneity, supporting diagnostic classification, and modeling in vivo behavior. Moreover, we examine the integration of AI with EV-based microfluidic isolation, surface-enhanced Raman spectroscopy (SERS), fluorescence imaging, and multiomics analysis. Among these areas, AI-assisted EV diagnostic applications are comparatively closer to clinical translation, with several studies incorporating patient-derived samples and AI-assisted diagnostic platforms, whereas AI-guided therapeutic EV design strategies remain largely exploratory. With the continued accumulation of multicenter, cross-platform EV datasets, improvements in algorithmic robustness, and closer integration of computational and experimental workflows, AI may support further clinical evaluation of EV-based diagnostics and the systematic optimization of therapeutic EV platforms.</t>
  </si>
  <si>
    <t>Li, Xiangyu; Su, Hao; Li, Yaping; Jiang, Longyang; Zhou, Jie; Zhang, Liaoyun; Huang, Yilan; Yang, Xuping; Li, Min</t>
  </si>
  <si>
    <t>Yang, XP; Li, M (corresponding author), Southwest Med Univ, Affiliated Hosp, Dept Pharm, Luzhou 646000, Peoples R China.; Yang, XP; Li, M (corresponding author), Southwest Med Univ, Sch Pharm, Luzhou, Peoples R China.</t>
  </si>
  <si>
    <t>limin0321@swmu.edu.cn; xupingyang015@swmu.edu.cn</t>
  </si>
  <si>
    <t>the Scientific research fund of The Affiliated Hospital, Southwest Medical University [24089]; Scientific research fund of Southwest Medical University [2024ZKY026]; The 7th Pharmaceutical Research Project of Chengdu Pharmaceutical Association [Cdyxky7026]</t>
  </si>
  <si>
    <t>the Scientific research fund of The Affiliated Hospital, Southwest Medical University; Scientific research fund of Southwest Medical University; The 7th Pharmaceutical Research Project of Chengdu Pharmaceutical Association</t>
  </si>
  <si>
    <t>This study was supported by the Scientific research fund of The Affiliated Hospital, Southwest Medical University (24089); Scientific research fund of Southwest Medical University (2024ZKY026); The 7th Pharmaceutical Research Project of Chengdu Pharmaceutical Association (Cdyxky7026).AQ4</t>
  </si>
  <si>
    <t>[Li, Xiangyu; Su, Hao; Jiang, Longyang; Zhou, Jie; Huang, Yilan; Yang, Xuping; Li, Min] Southwest Med Univ, Affiliated Hosp, Dept Pharm, Luzhou 646000, Peoples R China; [Li, Xiangyu; Su, Hao; Li, Yaping; Jiang, Longyang; Zhou, Jie; Huang, Yilan; Yang, Xuping; Li, Min] Southwest Med Univ, Sch Pharm, Luzhou, Peoples R China; [Zhang, Liaoyun] Chengdu Med Coll, Sichuan Prov Womans &amp; Childrens Hosp, Dept Pharm, Chengdu, Peoples R China; [Zhang, Liaoyun] Chengdu Med Coll, Affiliated Womens &amp; Childrens Hosp, Chengdu, Sichuan, Peoples R China</t>
  </si>
  <si>
    <t>Southwest Medical University; Southwest Medical University; Chengdu Medical College; Chengdu Medical College</t>
  </si>
  <si>
    <t>Artificial intelligence and extracellular vesicles in oncology: towards tumor diagnosis, prediction, and therapy</t>
  </si>
  <si>
    <t>DRUG DELIVERY</t>
  </si>
  <si>
    <t>Artificial intelligence; extracellular vesicles; tumor diagnosis; tumor prediction; tumor therapy</t>
  </si>
  <si>
    <t>CANCER; EXOSOMES; DELIVERY</t>
  </si>
  <si>
    <t>177</t>
  </si>
  <si>
    <t>1071-7544</t>
  </si>
  <si>
    <t>1521-0464</t>
  </si>
  <si>
    <t>DRUG DELIV</t>
  </si>
  <si>
    <t>Drug Deliv.</t>
  </si>
  <si>
    <t>33</t>
  </si>
  <si>
    <t>2713415</t>
  </si>
  <si>
    <t>10.1080/10717544.2026.2713415</t>
  </si>
  <si>
    <t>http://dx.doi.org/10.1080/10717544.2026.2713415</t>
  </si>
  <si>
    <t>30</t>
  </si>
  <si>
    <t>Pharmacology &amp; Pharmacy</t>
  </si>
  <si>
    <t>MR8YT</t>
  </si>
  <si>
    <t>42590833</t>
  </si>
  <si>
    <t>WOS:001849407900001</t>
  </si>
  <si>
    <t>gold; Green Submitted</t>
  </si>
  <si>
    <t>Memon, V; Aluwee, SAZBS; Kumar, YJ; Perhakaran, VK</t>
  </si>
  <si>
    <t>Meniscus informatics is a growing subject of study in the healthcare industry. One of the major hindrances to the healthcare system's transformation is obtaining knowledge and meaningful information from complicated, high-dimensional and diverse sources. Modern biomedical research, for instance, has seen an increase in the use of complex, dissimilar, poorly documented, and generally unstructured electronic health records, imaging, sensor data and text, even after many current techniques have been used to extract more robust and useful elements from the data for analysis. New efficient standards for building end-to-end learning models from complex data are therefore needed. Therefore, the current study aims to examine the most recent research on the use of deep learning techniques for diagnosing meniscus tears and recommend creating comprehensive and meaningful interpretable structures that might benefit the healthcare industry. We also draw attention to shortcomings and the need for better technique development, and we provide new perspectives about this exciting new development in the field.</t>
  </si>
  <si>
    <t>Memon, Vengas; Syed Aluwee, Sayed A. Zikri Bin; Kumar, Yogan Jaya; Perhakaran, Vinod Kumar</t>
  </si>
  <si>
    <t>Perhakaran, VK (corresponding author), Univ Tunku Abdul Rahman, M Kandiah Fac Med &amp; Hlth Sci, Sungai Long, Selangor, Malaysia.</t>
  </si>
  <si>
    <t>vinodkumar@utar.edu.my</t>
  </si>
  <si>
    <t>Universiti Tunku Abdul Rahman (UTAR); Universiti Teknikal Malaysia Melaka (UTeM)</t>
  </si>
  <si>
    <t>The authors would like to express their sincere gratitude to Universiti Tunku Abdul Rahman (UTAR) and Universiti Teknikal Malaysia Melaka (UTeM) for supporting this research.</t>
  </si>
  <si>
    <t>[Memon, Vengas; Syed Aluwee, Sayed A. Zikri Bin] Univ Tunku Abdul Rahman, Fac Informat &amp; Commun Sci &amp; Technol, Kampar, Perak, Malaysia; [Kumar, Yogan Jaya] Univ Tek Malaysia Melaka, Fac Artificial Intelligence &amp; Cyber Secur, Durian Tunggal, Melaka, Malaysia; [Perhakaran, Vinod Kumar] Univ Tunku Abdul Rahman, M Kandiah Fac Med &amp; Hlth Sci, Sungai Long, Selangor, Malaysia</t>
  </si>
  <si>
    <t>Analysis of deep learning techniques in computer-aided diagnosis for meniscus injuries: a systematic literature review</t>
  </si>
  <si>
    <t>COMPUTER ASSISTED SURGERY</t>
  </si>
  <si>
    <t>Meniscus informatics; meniscus injury diagnosis; CAD system; deep learning</t>
  </si>
  <si>
    <t>68</t>
  </si>
  <si>
    <t>2469-9322</t>
  </si>
  <si>
    <t>COMPUT ASSIST SURG</t>
  </si>
  <si>
    <t>COMPUT. ASSIST. SURG.</t>
  </si>
  <si>
    <t>31</t>
  </si>
  <si>
    <t>2692844</t>
  </si>
  <si>
    <t>10.1080/24699322.2026.2692844</t>
  </si>
  <si>
    <t>http://dx.doi.org/10.1080/24699322.2026.2692844</t>
  </si>
  <si>
    <t>15</t>
  </si>
  <si>
    <t>Surgery</t>
  </si>
  <si>
    <t>MS5RZ</t>
  </si>
  <si>
    <t>42599677</t>
  </si>
  <si>
    <t>WOS:001849865100001</t>
  </si>
  <si>
    <t>Zhao, QQ; Wen, SY; Yu, WB</t>
  </si>
  <si>
    <t>Objective The escalating global mental health burden has triggered an urgent real-world need for scalable artificial intelligence (AI) solutions. This study employs a quantitative bibliometric approach to objectively present the research hotspots and emerging trends in the global AI-driven mental health landscape (2016-2025), specifically capturing the post-2023 surge in generative AI.Methods We analyzed 9,623 original research articles from Web of Science and Scopus. CiteSpace and VOSviewer were utilized for co-authorship analysis, literature co-citation clustering, and keyword burst detection.Results Research output grew exponentially, surpassing 3,000 publications in 2025. The US and China led productivity, with King's College London as the top institution. Research clusters encompass foundational AI methodologies and four clinical domains: diagnosis (e.g., neuroimaging), digital interventions (e.g., chatbots), targeted conditions (e.g., PTSD), and suicide prevention. Recent keyword bursts highlight diagnostic accuracy, loneliness, and occupational burnout as post-2023 frontiers.Conclusion The field is transitioning from exploratory algorithmic development to patient-centered clinical applications. While AI offers transformative potential for mental health research and care, future research must urgently prioritize patient safety, algorithmic bias, data privacy, safeguards against algorithmic hallucinations, and ethical integration into clinical workflows to ensure sustainable implementation.</t>
  </si>
  <si>
    <t>Zhao, Qiqi; Wen, Siyi; Yu, Wenbing</t>
  </si>
  <si>
    <t>Social Science Citation Index (SSCI)</t>
  </si>
  <si>
    <t>Yu, WB (corresponding author), Ocean Univ China, Teaching Ctr Fundamental Courses, Qingdao, Shandong, Peoples R China.</t>
  </si>
  <si>
    <t>yuwenbing@ouc.edu.cn</t>
  </si>
  <si>
    <t>Shandong Provincial Undergraduate Teaching Reform Research Project [Z2025080]</t>
  </si>
  <si>
    <t>Shandong Provincial Undergraduate Teaching Reform Research Project</t>
  </si>
  <si>
    <t>This work was supported by the Shandong Provincial Undergraduate Teaching Reform Research Project under Grant Z2025080.</t>
  </si>
  <si>
    <t>[Zhao, Qiqi; Wen, Siyi; Yu, Wenbing] Ocean Univ China, Teaching Ctr Fundamental Courses, Qingdao, Shandong, Peoples R China</t>
  </si>
  <si>
    <t>Ocean University of China</t>
  </si>
  <si>
    <t>From predictive algorithms to generative intelligence: a decadal bibliometric mapping of global research frontiers in AI-driven mental health (2016-2025)</t>
  </si>
  <si>
    <t>AUSTRALIAN JOURNAL OF PSYCHOLOGY</t>
  </si>
  <si>
    <t>Artificial intelligence; bibliometric analysis; chatbots; CiteSpace; machine learning; mental health</t>
  </si>
  <si>
    <t>97</t>
  </si>
  <si>
    <t>0004-9530</t>
  </si>
  <si>
    <t>1742-9536</t>
  </si>
  <si>
    <t>AUST J PSYCHOL</t>
  </si>
  <si>
    <t>Aust. J. Psychol.</t>
  </si>
  <si>
    <t>78</t>
  </si>
  <si>
    <t>2710168</t>
  </si>
  <si>
    <t>10.1080/00049530.2026.2710168</t>
  </si>
  <si>
    <t>http://dx.doi.org/10.1080/00049530.2026.2710168</t>
  </si>
  <si>
    <t>23</t>
  </si>
  <si>
    <t>Psychology, Multidisciplinary</t>
  </si>
  <si>
    <t>Psychology</t>
  </si>
  <si>
    <t>MG0EZ</t>
  </si>
  <si>
    <t>WOS:001841353500001</t>
  </si>
  <si>
    <t>Hooda, K; Chatterjee, M; Sharma, AP; Aggarwal, N; Sharma, J</t>
  </si>
  <si>
    <t>Background: Detection of prostate cancer (PC) using standard methods such as Digital Rectal Exam (DRE) or Prostate-Specific Antigen Test (PSA) is still very challenging due to many factors. Molecular Biomarker Testing, for example, the Prostate Health Index (PHI) and 4Kscore, have also helped improve the accuracy of PC diagnoses but these methods still face challenges with issues of cost, reproducibility, and clinical integration into practice.Methods: In addition to traditional testing methods, the use of PSMA-directed imaging to guide biopsy procedures using Multiparametric Magnetic Resonance Imaging (mpMRI) allows for better localization and characterization of lesions. Researchers have begun to develop and continue to innovate Molecular &amp; Imaging processes, called Liquid Biopsies, that are now being used to assess health risk factors associated with PC, by sampling macro-molecules from various biological liquids. Recently, the use of Artificial Intelligence (AI) and Machine Learning Models for improving the speed and accuracy of lesion detection and gland segmentation has significantly increased both precision and consistency in these areas.Results: However, there is still great concern regarding overdiagnosis and lack of standardization associated with all types of molecular and imaging techniques currently available.Conclusion: This review provides a comprehensive overview of the currently available diagnostic modalities for prostate cancer, including their weaknesses as well as gaps in clinical translation and standardization, which can assist with providing guidance for future development of diagnostic innovations..</t>
  </si>
  <si>
    <t>Hooda, Kirti; Chatterjee, Mary; Sharma, Aditya Prakash; Aggarwal, Naveen; Sharma, Jadab</t>
  </si>
  <si>
    <t>Sharma, AP (corresponding author), Postgrad Inst Med Educ &amp; Res, Dept Urol, Madhya Marg,Sect 12, Chandigarh 160012, India.; Chatterjee, M (corresponding author), Panjab Univ, Univ Inst Engn &amp; Technol, Biotechnol Engn, Sect 25,South Campus, Chandigarh 160014, India.</t>
  </si>
  <si>
    <t>maryc@pu.ac.in; aditya.p.sharma@gmail.com</t>
  </si>
  <si>
    <t>TPanjab University Improvement of Education Head and Department of Science &amp; Technology &amp; Renewable Energy, Chandigarh Administration [S&amp;T&amp;RE/RP/F-147/Sanc/08/2025/1170-1175]</t>
  </si>
  <si>
    <t>TPanjab University Improvement of Education Head and Department of Science &amp; Technology &amp; Renewable Energy, Chandigarh Administration</t>
  </si>
  <si>
    <t>This work is supported by the Panjab University Improvement of Education Head and Department of Science &amp; Technology &amp; Renewable Energy, Chandigarh Administration, under sanction no- S&amp;T&amp;RE/RP/F-147/Sanc/08/2025/1170-1175, Dated: 18/08/2025.</t>
  </si>
  <si>
    <t>[Hooda, Kirti; Sharma, Jadab] Panjab Univ, Ctr Nanosci &amp; Nanotechnol, Chandigarh, India; [Chatterjee, Mary] Panjab Univ, Dept Biotechnol Engn, UIET, Chandigarh, India; [Sharma, Aditya Prakash] Postgrad Inst Med Educ &amp; Res, Dept Urol, Madhya Marg,Sect 12, Chandigarh 160012, India; [Aggarwal, Naveen] Panjab Univ, Dept Comp Sci &amp; Engn, UIET, Chandigarh, India</t>
  </si>
  <si>
    <t>Panjab University; Panjab University; Post Graduate Institute of Medical Education &amp; Research (PGIMER), Chandigarh; Panjab University</t>
  </si>
  <si>
    <t>Present status of prostate cancer diagnosis, limitations, challenges, and future endeavors</t>
  </si>
  <si>
    <t>ANNALS OF MEDICINE</t>
  </si>
  <si>
    <t>Prostate cancer; multiple biomarkers; liquid biopsy; imaging technologies; overdiagnosis; invasive; prostate-specific antigen</t>
  </si>
  <si>
    <t>ARTIFICIAL-INTELLIGENCE; MULTIPARAMETRIC MRI; BIOPSY; PET/CT; BIOMARKERS; HEALTHY; CHOLINE; SENSOR; NEED; ZN2+</t>
  </si>
  <si>
    <t>143</t>
  </si>
  <si>
    <t>0785-3890</t>
  </si>
  <si>
    <t>1365-2060</t>
  </si>
  <si>
    <t>ANN MED</t>
  </si>
  <si>
    <t>Ann. Med.</t>
  </si>
  <si>
    <t>58</t>
  </si>
  <si>
    <t>2659984</t>
  </si>
  <si>
    <t>10.1080/07853890.2026.2659984</t>
  </si>
  <si>
    <t>http://dx.doi.org/10.1080/07853890.2026.2659984</t>
  </si>
  <si>
    <t>19</t>
  </si>
  <si>
    <t>Medicine, General &amp; Internal</t>
  </si>
  <si>
    <t>General &amp; Internal Medicine</t>
  </si>
  <si>
    <t>ME1DE</t>
  </si>
  <si>
    <t>42544420</t>
  </si>
  <si>
    <t>WOS:001840061100001</t>
  </si>
  <si>
    <t>gold; Green Accepted</t>
  </si>
  <si>
    <t>Cornei, LM; Breaban, ME</t>
  </si>
  <si>
    <t>The Nurse Rostering Problem, also referred to as Staff Scheduling or Personnel Timetabling in the literature, is a combinatorial optimization problem of great practical importance in many fields (healthcare, manufacturing, etc.) that has been addressed using a wide variety of methods over time. Solving this problem is essential for building cost-effective and balanced timetables that satisfy a diverse set of real-world constraints. This paper offers a comprehensive and in-depth analysis of the recent advancements and future research directions in the nurse rostering field, covering works published between 2019 and 2025 inclusively. While examining a substantial number of contributions, the study provides a special focus on emerging machine-learning (ML) approaches, highlighting their role and performance in addressing this problem, their strengths in overcoming the limitations of state-of-the-art non-ML methods, as well as open challenges and opportunities related to their development and integration. To the best of our knowledge, this is the first survey that captures the emergence of machine-learning methods in the nurse rostering field.</t>
  </si>
  <si>
    <t>Cornei, Laura-Maria; Breaban, Mihaela-Elena</t>
  </si>
  <si>
    <t>Cornei, LM (corresponding author), Alexandru Ioan Cuza Univ, Fac Comp Sci, Gen Berthelot 16, Iasi 700483, Romania.</t>
  </si>
  <si>
    <t>laura.cornei@info.uaic.ro</t>
  </si>
  <si>
    <t>[Cornei, Laura-Maria; Breaban, Mihaela-Elena] Alexandru Ioan Cuza Univ, Fac Comp Sci, Gen Berthelot 16, Iasi 700483, Romania</t>
  </si>
  <si>
    <t>Alexandru Ioan Cuza University</t>
  </si>
  <si>
    <t>The Nurse Rostering Problem: Recent Advances and Future Perspectives</t>
  </si>
  <si>
    <t>APPLIED ARTIFICIAL INTELLIGENCE</t>
  </si>
  <si>
    <t>73</t>
  </si>
  <si>
    <t>0883-9514</t>
  </si>
  <si>
    <t>1087-6545</t>
  </si>
  <si>
    <t>APPL ARTIF INTELL</t>
  </si>
  <si>
    <t>Appl. Artif. Intell.</t>
  </si>
  <si>
    <t>40</t>
  </si>
  <si>
    <t>2690801</t>
  </si>
  <si>
    <t>10.1080/08839514.2026.2690801</t>
  </si>
  <si>
    <t>http://dx.doi.org/10.1080/08839514.2026.2690801</t>
  </si>
  <si>
    <t>Computer Science, Artificial Intelligence; Engineering, Electrical &amp; Electronic</t>
  </si>
  <si>
    <t>Computer Science; Engineering</t>
  </si>
  <si>
    <t>LG3SM</t>
  </si>
  <si>
    <t>WOS:001823945900001</t>
  </si>
  <si>
    <t>Reddy, K; Mian, SI</t>
  </si>
  <si>
    <t>Background Diagnostics and therapeutics for corneal nerve pathologies are rapidly evolving, with continual advancements in imaging, laser, machine learning, biologic, and surgical technologies. Recent changes in our understanding of corneal nerve structure and function underscore the need to evaluate diagnostic approaches, including advancements in esthesiometry, in vivo confocal microscopy, and anterior segment optical coherence tomography.Methods A literature review was conducted on diagnostic and therapeutic methods used for corneal nerve regeneration. We searched Google Scholar and PubMed for relevant articles using key terms such as: 'corneal nerve regeneration', 'corneal nerves', 'corneal nerve diagnostics', 'neurotrophic keratitis treatment', 'corneal nerve imaging', 'in vivo confocal microscopy', and 'corneal neurotization'. A total of 112 articles were included.Discussion Corneal nerve treatments require an in-depth understanding of neurotrophic mediators and nerve function, with current key treatments, such as cenegermin, targeting one of the most well-studied pathways. Other emerging treatment areas, including insulin drops, autologous serum, and surgical approaches, are discussed as avenues for further exploration to aid the regeneration of corneal nerves and address the many related diseases resulting from corneal nerve injury or dysfunction.Conclusion This paper provides an overview of traditional and emerging approaches to the diagnosis and management of corneal nerve pathologies and highlights clinically relevant pathophysiological mechanisms. By leveraging advanced imaging modalities such as in vivo confocal microscopy, clinicians can detect nerve injury before symptom onset, enabling critical early intervention. Furthermore, integrating emerging regenerative therapies shifts the clinical paradigm from palliative symptom management to active restoration of corneal nerve integrity.</t>
  </si>
  <si>
    <t>Reddy, Karthik; Mian, Shahzad I.</t>
  </si>
  <si>
    <t>Mian, SI (corresponding author), Univ Michigan, Kellogg Eye Ctr, Dept Ophthalmol &amp; Visual Sci, 1000 Wall St, Ann Arbor, MI 48105 USA.</t>
  </si>
  <si>
    <t>smian@med.umich.edu</t>
  </si>
  <si>
    <t>No funding or financial support was utilized for this work. No other third party has any interest or monetary role in this work.</t>
  </si>
  <si>
    <t>[Reddy, Karthik] Univ Michigan, Med Sch, Ann Arbor, MI USA; [Reddy, Karthik; Mian, Shahzad I.] Univ Michigan, Dept Ophthalmol &amp; Visual Sci, Ann Arbor, MI USA</t>
  </si>
  <si>
    <t>University of Michigan System; University of Michigan; University of Michigan System; University of Michigan</t>
  </si>
  <si>
    <t>Corneal nerve regeneration: treatments and monitoring approaches</t>
  </si>
  <si>
    <t>Corneal nerve regeneration; neurotrophic keratitis treatment; cenegermin (oxervate) eye drops; corneal neurotization; in vivo confocal microscopy; corneal nerve imaging</t>
  </si>
  <si>
    <t>OPTICAL COHERENCE TOMOGRAPHY; VIVO CONFOCAL MICROSCOPY; IN-VIVO; GROWTH-FACTOR; NEUROTROPHIC FACTORS; TOPICAL INSULIN; EPITHELIAL DEFECTS; EYE DROPS; SENSITIVITY; RECEPTORS</t>
  </si>
  <si>
    <t>112</t>
  </si>
  <si>
    <t>2684358</t>
  </si>
  <si>
    <t>10.1080/07853890.2026.2684358</t>
  </si>
  <si>
    <t>http://dx.doi.org/10.1080/07853890.2026.2684358</t>
  </si>
  <si>
    <t>KD7RC</t>
  </si>
  <si>
    <t>42343826</t>
  </si>
  <si>
    <t>WOS:001804544900001</t>
  </si>
  <si>
    <t>Webb, JD; Shepherd, TG</t>
  </si>
  <si>
    <t>Macroautophagy (autophagy) enables cellular stress adaptation by degrading damaged components; ULK1, a serine/threonine kinase, initiates this process in response to nutrient and energy cues. While autophagy is well studied, few investigations have directly tested ULK1 in cancer progression. Emerging functional data across numerous cancers indicate that ULK1 can promote or restrain malignant behavior through both autophagy-dependent and autophagy-independent mechanisms, modulating mitochondrial quality, anoikis escape, invasion, therapy adaptation, and immune visibility. Pharmacology has advanced from early ULK1/2 inhibitors to structure-guided and machine learning-derived inhibitors with improved potency and selectivity. The first clinical agent, DCC-3116, demonstrates on-target engagement with acceptable tolerability and is being evaluated in combinations where therapy induces autophagy. Here, we review ULK1 as a regulator of cancer progression, synthesizing pan-cancer clinical and functional evidence alongside the evolving pharmacology of ULK1 modulation to define the settings in which its targeted inhibition may be most effectively translated.</t>
  </si>
  <si>
    <t>Webb, Jack D.; Shepherd, Trevor G.</t>
  </si>
  <si>
    <t>Webb, JD (corresponding author), Verspeeten Family Canc Ctr, 790 Commissioners Rd East,Room A4-924, London, ON, Canada.</t>
  </si>
  <si>
    <t>jwebb47@uwo.ca</t>
  </si>
  <si>
    <t>[Webb, Jack D.; Shepherd, Trevor G.] Verspeeten Family Canc Ctr, Mary &amp; John Knight Translat Ovarian Canc Res Unit, London, ON, Canada; [Webb, Jack D.; Shepherd, Trevor G.] Western Univ, Schulich Sch Med &amp; Dent, Dept Anat &amp; Cell Biol, London, ON, Canada; [Shepherd, Trevor G.] Western Univ, Schulich Sch Med &amp; Dent, Dept Oncol, London, ON, Canada; [Shepherd, Trevor G.] Western Univ, Schulich Sch Med &amp; Dent, Dept Obstet &amp; Gynaecol, London, ON, Canada</t>
  </si>
  <si>
    <t>Western University (University of Western Ontario); Western University (University of Western Ontario); Western University (University of Western Ontario)</t>
  </si>
  <si>
    <t>ULK1's role in cancer progression and its emerging therapeutic potential</t>
  </si>
  <si>
    <t>CANCER BIOLOGY &amp; THERAPY</t>
  </si>
  <si>
    <t>ULK1; autophagy; non-canonical; cancer; metastasis; pharmacology; inhibitors</t>
  </si>
  <si>
    <t>KINASE 1 ULK1; CELL-DEATH; AUTOPHAGY; INHIBITOR; TUMORIGENESIS; APOPTOSIS; CLASSIFICATION; BECLIN-1; SURVIVAL; COMPLEX</t>
  </si>
  <si>
    <t>94</t>
  </si>
  <si>
    <t>1538-4047</t>
  </si>
  <si>
    <t>1555-8576</t>
  </si>
  <si>
    <t>CANCER BIOL THER</t>
  </si>
  <si>
    <t>Cancer Biol. Ther.</t>
  </si>
  <si>
    <t>27</t>
  </si>
  <si>
    <t>2680347</t>
  </si>
  <si>
    <t>10.1080/15384047.2026.2680347</t>
  </si>
  <si>
    <t>http://dx.doi.org/10.1080/15384047.2026.2680347</t>
  </si>
  <si>
    <t>Oncology</t>
  </si>
  <si>
    <t>JR2ZZ</t>
  </si>
  <si>
    <t>42308349</t>
  </si>
  <si>
    <t>WOS:001796098000001</t>
  </si>
  <si>
    <t>Song, HG; Li, CY; Liu, L; Chen, Y; Chen, HL</t>
  </si>
  <si>
    <t>Hunger Games Search (HGS) is a novel metaheuristic algorithm favoured for its exploration ability and flexibility. Following the PRISMA 2020 guidelines, this study provides a systematic review of 115 articles published from 2022 to 2025. The review is structured around a multi-dimensional taxonomy of HGS variants and a comprehensive survey of seven major application domains, identifying engineering, machine learning, and medical optimization as the most prevalent areas. To enrich the depth of the review, this research incorporates a new quantitative performance evaluation using the CEC 2017 benchmark suite, where HGS is compared against nine state-of-the-art algorithms. The results demonstrate that HGS possesses robust global exploration capabilities, particularly when addressing complex composition landscapes, while also identifying specific areas for potential improvement in exploitation precision. Crucially, this study summarizes major improvement methods and establishes a prescriptive mapping that links inherent algorithmic limitations directly to specialized strategic enhancements such as chaotic mechanisim, opposition-based learning, and structural hybridizations. The survey findings confirm that HGS exhibits remarkable competitiveness and adaptability in solving diverse real-world optimization tasks. Despite its promising performance, HGS research remains relatively nascent. This review serves as a comprehensive resource for researchers by outlining potential research directions and providing insights into the properties of HGS variants and their suitability for various application domains.</t>
  </si>
  <si>
    <t>Song, Haogao; Li, Chenyang; Liu, Lei; Chen, Yi; Chen, Huiling</t>
  </si>
  <si>
    <t>Chen, HL (corresponding author), Wenzhou Univ, Coll Comp Sci &amp; Artificial Intelligence, Wenzhou, Zhejiang, Peoples R China.</t>
  </si>
  <si>
    <t>chenhuiling.jlu@gmail.com</t>
  </si>
  <si>
    <t>National Natural Science Foundation of China [62571374 and U25A20450]</t>
  </si>
  <si>
    <t>National Natural Science Foundation of China (National Natural Science Foundation of China (NSFC))</t>
  </si>
  <si>
    <t>This work was supported by the Ministry of Science and Technology of the People's Republic of China and the National Natural Science Foundation of China (U25A20450, 62571374).</t>
  </si>
  <si>
    <t>[Song, Haogao] Wenzhou Univ, Inst Big Data &amp; Informat Technol, Wenzhou, Zhejiang, Peoples R China; [Li, Chenyang; Liu, Lei] Sichuan Univ, Coll Comp Sci, Chengdu, Sichuan, Peoples R China; [Chen, Yi; Chen, Huiling] Wenzhou Univ, Coll Comp Sci &amp; Artificial Intelligence, Wenzhou, Zhejiang, Peoples R China</t>
  </si>
  <si>
    <t>Wenzhou University; Sichuan University; Wenzhou University</t>
  </si>
  <si>
    <t>Hunger games search: a comprehensive review of recent variants and applications</t>
  </si>
  <si>
    <t>SYSTEMS SCIENCE &amp; CONTROL ENGINEERING</t>
  </si>
  <si>
    <t>Hunger games search; optimization; swarm intelligence algorithms; metaheuristic algorithm</t>
  </si>
  <si>
    <t>OPTIMIZATION ALGORITHM; CROSSOVER</t>
  </si>
  <si>
    <t>Liu, Lei/GSN-5704-2022; Chen, Huiling/N-8510-2019</t>
  </si>
  <si>
    <t>173</t>
  </si>
  <si>
    <t>3</t>
  </si>
  <si>
    <t>2164-2583</t>
  </si>
  <si>
    <t>SYST SCI CONTROL ENG</t>
  </si>
  <si>
    <t>Syst. Sci. Control Eng.</t>
  </si>
  <si>
    <t>2672168</t>
  </si>
  <si>
    <t>10.1080/21642583.2026.2672168</t>
  </si>
  <si>
    <t>http://dx.doi.org/10.1080/21642583.2026.2672168</t>
  </si>
  <si>
    <t>46</t>
  </si>
  <si>
    <t>Automation &amp; Control Systems</t>
  </si>
  <si>
    <t>IJ0AH</t>
  </si>
  <si>
    <t>WOS:001772821600001</t>
  </si>
  <si>
    <t>Liu, R; Guo, J; Sophia, PE</t>
  </si>
  <si>
    <t>Depression and anxiety are among the most widespread mental health disorders, yet conventional diagnostic methods often face limitations due to subjectivity, stigma, and restricted access. This review presents a concise overview of recent advancements in artificial intelligence (AI) for the early detection, monitoring, and management of these conditions. We explore AI methodologies utilizing multimodal data (including text, audio, images, and behavioral patterns) from key sources, such as social media content, speech, facial expressions, and wearable sensors. The methodologies highlighted include natural language processing, sentiment analysis, machine learning classifiers, and deep learning models. Multimodal frameworks enhance diagnostic precision and enable real-time monitoring, and personalized care via AI-powered chatbots and wearable devices. AI offers transformative potential in mental healthcare by providing more objective, scalable, and continuous psychological assessment. However, challenges regarding ethical data handling, model transparency, and clinical validation must be addressed, requiring the development of ethical frameworks and regulatory standards. This review underscores AI's role in enhancing early detection and individualized management, providing a comparative synthesis of datasets and evaluation practices, and highlighting cross-cultural and benchmarking gaps that currently limit clinical translation.[GRAPHICS]</t>
  </si>
  <si>
    <t>Liu, Rui; Guo, Jing; Sophia, P. Eben</t>
  </si>
  <si>
    <t>Guo, J (corresponding author), Third Hosp Mianyang, Sichuan Mental Hlth Ctr, Dept Crit Care Med, Mianyang, Peoples R China.</t>
  </si>
  <si>
    <t>gj13890188282@sina.com</t>
  </si>
  <si>
    <t>[Liu, Rui] Third Hosp Mianyang, Sichuan Mental Hlth Ctr, Dept Severe Mental Disorders 3, Mianyang, Peoples R China; [Guo, Jing] Third Hosp Mianyang, Sichuan Mental Hlth Ctr, Dept Crit Care Med, Mianyang, Peoples R China; [Sophia, P. Eben] Karunya Inst Technol &amp; Sci Deemed Univ, Dept Comp Sci &amp; Engn, Coimbatore, India</t>
  </si>
  <si>
    <t>Karunya Institute of Technology &amp; Sciences</t>
  </si>
  <si>
    <t>Artificial Intelligence-Powered Multimodal Approaches for Depression and Anxiety Detection: A Review</t>
  </si>
  <si>
    <t>EMOTION; SUICIDE</t>
  </si>
  <si>
    <t>P, Eben Sophia/HLQ-0837-2023</t>
  </si>
  <si>
    <t>P, Eben Sophia/0000-0003-0198-9810</t>
  </si>
  <si>
    <t>110</t>
  </si>
  <si>
    <t>17</t>
  </si>
  <si>
    <t>2668204</t>
  </si>
  <si>
    <t>10.1080/08839514.2026.2668204</t>
  </si>
  <si>
    <t>http://dx.doi.org/10.1080/08839514.2026.2668204</t>
  </si>
  <si>
    <t>HX9YA</t>
  </si>
  <si>
    <t>WOS:001765359600001</t>
  </si>
  <si>
    <t>Raj, VA; Nayak, SG; Thalengala, A; Mendez, T</t>
  </si>
  <si>
    <t>Electroencephalography (EEG) is a crucial technique for interpreting neurocognitive functions and the underlying neural information. Despite its advantages, such as high portability, cost-effectiveness and exceptional temporal resolution, EEG is susceptible to contamination by various artifacts arising from nonneural sources, including ocular movements, cardiac activities, muscle contractions and environmental factors. These artifacts significantly hinder the accurate interpretation of neural activity and can lead to the misinterpretation of brain information. Therefore, effective artifact removal is vital for enhancing the EEG signal quality. Although numerous techniques have been developed to address this issue, no single method has been considered optimal for all applications. This comprehensive review traces the evolution of artifact removal methods from conventional to deep learning techniques, providing valuable insights for researchers. The study also highlights the challenges associated with artifact elimination. In addition, this work proposes a conceptual hybrid framework integrating convolutional neural networks (CNNs) and recurrent neural networks (RNNs) as a potential future direction for EEG artifact removal. Furthermore, this review discusses open-source datasets and performance metrics commonly employed to evaluate the efficacy of artifact removal techniques. This study can serve as a foundation for future research and the development of EEG signal processing.</t>
  </si>
  <si>
    <t>Raj, Vandana Akshath; Nayak, Subramanya G.; Thalengala, Ananthakrishna; Mendez, Tanya</t>
  </si>
  <si>
    <t>Nayak, SG (corresponding author), Manipal Acad Higher Educ, Manipal Inst Technol, Manipal 576104, Karnataka, India.</t>
  </si>
  <si>
    <t>gs.nayak@manipal.edu</t>
  </si>
  <si>
    <t>The 'Manipal Academy of Higher Education' (MAHE)</t>
  </si>
  <si>
    <t>The authors are thankful to the 'Manipal Academy of Higher Education' (MAHE) for providing them with a T.M.A. Pai scholarship to pursue this research. The authors also acknowledge the Manipal Institute of Technology (MIT), for providing the essential laboratory environment and resources. We thank Mr. Vishnumurthy Kedlaya K for his support and valuable suggestions. Vandana Akshath Raj: Conceptualization, data formulation, review of literature, original draft preparation, review and editing of the draft, and visualization. Subramanya G. Nayak: Conceptualization, literature review, review and editing, visualization, and supervision. Ananthakrishna Thalengala: Review of literature, review and editing, and visualization. Tanya Mendez: Review of literature, review and editing, visualization. The authors have read and approved the final version of the manuscript.</t>
  </si>
  <si>
    <t>[Raj, Vandana Akshath; Nayak, Subramanya G.; Thalengala, Ananthakrishna] Manipal Acad Higher Educ, Manipal Inst Technol, Manipal 576104, Karnataka, India; [Mendez, Tanya] NITTE Deemed Univ, NMAM Inst Technol, Dept Robot &amp; Artificial Intelligence Engn, Nitte, Karnataka, India</t>
  </si>
  <si>
    <t>Manipal Academy of Higher Education (MAHE); NITTE (Deemed to be University); NMAM Institute of Technology</t>
  </si>
  <si>
    <t>Physiological artifacts removal in EEG signals: a comprehensive overview of conventional to deep learning methods to support brain health monitoring</t>
  </si>
  <si>
    <t>COGENT ENGINEERING</t>
  </si>
  <si>
    <t>Artifact removal; biomedical preprocessing; clinical monitoring; conventional methods; deep learning methods; electroencephalogram; neural health; Biomedical Engineering; Technology; Digital Signal Processing</t>
  </si>
  <si>
    <t>BLIND SOURCE SEPARATION; INDEPENDENT COMPONENT ANALYSIS; MULTICHANNEL WIENER FILTER; OCULAR ARTIFACTS; MUSCLE ARTIFACTS; ELECTROENCEPHALOGRAM SIGNALS; MULTIVARIATE EMD; ICA; CLASSIFICATION; IDENTIFICATION</t>
  </si>
  <si>
    <t>Thalengala, Ananthakrishna/G-8762-2015; Mendez, Dr. Tanya/PBW-6591-2025</t>
  </si>
  <si>
    <t>172</t>
  </si>
  <si>
    <t>2331-1916</t>
  </si>
  <si>
    <t>COGENT ENG</t>
  </si>
  <si>
    <t>Cogent Eng.</t>
  </si>
  <si>
    <t>13</t>
  </si>
  <si>
    <t>2664254</t>
  </si>
  <si>
    <t>10.1080/23311916.2026.2664254</t>
  </si>
  <si>
    <t>http://dx.doi.org/10.1080/23311916.2026.2664254</t>
  </si>
  <si>
    <t>35</t>
  </si>
  <si>
    <t>Engineering, Multidisciplinary</t>
  </si>
  <si>
    <t>Engineering</t>
  </si>
  <si>
    <t>HH3WU</t>
  </si>
  <si>
    <t>WOS:001754093700001</t>
  </si>
  <si>
    <t>Dong, GZ; Tan, XX; Yuan, PJ; Li, YY</t>
  </si>
  <si>
    <t>BackgroundArtificial intelligence (AI) and wearable sensors are increasingly reshaping sports injury risk prediction by enabling continuous, individualized, and data-driven assessment.DiscussionThis review summarizes recent advances in wearable technologies - including inertial measurement units (IMUs), electromyography (EMG), physiological monitors, and flexible electronics - and their use in capturing biomechanical, physiological, and psycho-physiological indicators relevant to injury risk. Deep learning (DL) models, particularly those capable of temporal and multimodal fusion, have shown promise in predicting injuries such as anterior cruciate ligament (ACL) tears, muscle fatigue, and stress fractures. Through representative applications and mechanism-informed analysis, we highlight the growing role of interpretable AI, real-time feedback, and behavior-integrated predictive systems.ConclusionsKey challenges remain, including data heterogeneity, limited generalizability, compliance issues, and privacy concerns. Future directions point toward personalized modeling, explainable systems, federated learning, and digital twin frameworks. Together, these advancements mark a shift toward proactive, intelligent injury prevention across athletic and clinical settings.</t>
  </si>
  <si>
    <t>Dong, Guozhong; Tan, Xiaoxiao; Yuan, Peijiang; Li, Yanyan</t>
  </si>
  <si>
    <t>Li, YY (corresponding author), Guangzhou Sport Univ, Sch Exercise &amp; Hlth, Guangzhou 510500, Guangdong, Peoples R China.</t>
  </si>
  <si>
    <t>99012945@qq.com</t>
  </si>
  <si>
    <t>Guangzhou Sport University Young Doctoral Funding Project (Category C) [5240180575]; Guangzhou Sport University Young Doctoral Funding Project (Category B) [5240180584]; Guangdong Provincial Philosophy and Social Sciences Planning Project [GD24CTY17]</t>
  </si>
  <si>
    <t>Guangzhou Sport University Young Doctoral Funding Project (Category C); Guangzhou Sport University Young Doctoral Funding Project (Category B); Guangdong Provincial Philosophy and Social Sciences Planning Project</t>
  </si>
  <si>
    <t>This study is supported by Guangzhou Sport University 2024 Young Doctoral Funding Project (Category B) (No. 5240180584), Guangdong Provincial Philosophy and Social Sciences Planning Project (No. GD24CTY17), and Guangzhou Sport University 2023 Young Doctoral Funding Project (Category C) (No, 5240180575).</t>
  </si>
  <si>
    <t>[Dong, Guozhong; Tan, Xiaoxiao; Yuan, Peijiang] Guangzhou Sport Univ, Sch Phys Educ, Guangzhou, Guangdong, Peoples R China; [Li, Yanyan] Guangzhou Sport Univ, Sch Exercise &amp; Hlth, Guangzhou 510500, Guangdong, Peoples R China; [Li, Yanyan] Guangzhou Sport Univ, Guangdong Prov Key Lab Human Sports Performance Sc, Guangzhou, Guangdong, Peoples R China</t>
  </si>
  <si>
    <t>Guangzhou Sport University; Guangzhou Sport University; Guangzhou Sport University</t>
  </si>
  <si>
    <t>Artificial intelligence and wearable sensors in sports injury risk prediction: current status and future perspectives</t>
  </si>
  <si>
    <t>Wearable sensors; sports injury prediction; Artificial intelligence; multimodal data fusion; deep learning; explainable AI</t>
  </si>
  <si>
    <t>MANAGEMENT</t>
  </si>
  <si>
    <t>83</t>
  </si>
  <si>
    <t>2658879</t>
  </si>
  <si>
    <t>10.1080/07853890.2026.2658879</t>
  </si>
  <si>
    <t>http://dx.doi.org/10.1080/07853890.2026.2658879</t>
  </si>
  <si>
    <t>16</t>
  </si>
  <si>
    <t>GW2DG</t>
  </si>
  <si>
    <t>42015736</t>
  </si>
  <si>
    <t>WOS:001746514900001</t>
  </si>
  <si>
    <t>gold; Green Submitted; Green Accepted</t>
  </si>
  <si>
    <t>Li, ZR; Samui, S; Liu, JN; Yang, Y; Liu, X; Chen, QY; Li, J; Gopinath, D; Luo, P; Shan, D</t>
  </si>
  <si>
    <t>The gut microbiome is increasingly recognized as a fundamental regulator of metabolic health, shaping energy balance, insulin sensitivity, inflammatory tone, and inter-organ communication through a broad spectrum of microbial metabolites that engage host signaling pathways. In this review, we synthesize current mechanistic insights into how gut microbial communities shape metabolic function, with particular emphasis on short-chain fatty acids, secondary bile acid signaling, gut barrier integrity, immune modulation, and the microbiota-gut-brain-pancreas axis. We further summarize disease-associated alterations in microbial composition and function across obesity, type 2 diabetes, metabolic dysfunction-associated steatotic liver disease, and metabolic syndrome, highlighting key microbial and metabolic features that contribute to metabolic dysfunction. Evidence from germ-free models, fecal microbiota transplantation studies, and strain-level interventions suggests that shifts in microbial ecology may causally shape metabolic outcomes. We also critically evaluate emerging microbiome-centered therapeutic strategies, including targeted probiotics, prebiotics, dietary modulation, and fecal microbiota transplantation, while addressing factors that underlie inter-individual variability in treatment responses. In addition, we discuss the growing influence of multi-omics technologies, microbial metabolic modeling, and machine learning approaches in advancing precision microbiome medicine. To integrate these advances within a coherent framework, we outline a precision microbiome intervention pipeline linking multidimensional profiling to functional stratification and targeted therapeutic design. We also introduce a conceptual Precision Microbiome Intervention Triangle to mechanistically explain heterogeneity in responses to microbiome-targeted therapies. Collectively, these insights establish and position the gut microbiome as both a mechanistic driver and a modifiable therapeutic target in metabolic disease, and highlight key challenges and future directions for the development of personalized microbiome-based metabolic interventions.</t>
  </si>
  <si>
    <t>Li, Zhengrui; Samui, Sudeshna; Liu, Ji'an; Yang, Yang; Liu, Xue; Chen, Qingyu; Li, Jing; Gopinath, Divya; Luo, Peng; Shan, Dan</t>
  </si>
  <si>
    <t>Li, ZR (corresponding author), Shanghai Jiao Tong Univ, Sch Med, Shanghai, Peoples R China.; Luo, P (corresponding author), Southern Med Univ, Zhujiang Hosp, Dept Oncol, Guangzhou, Guangdong, Peoples R China.; Shan, D (corresponding author), Univ Lancaster, Hlth Innovat One, Sir John Fisher Dr, Lancaster, England.</t>
  </si>
  <si>
    <t>d.shan@lancaster.ac.uk; lzr_0108@sjtu.edu.cn; luopeng@smu.edu.cn</t>
  </si>
  <si>
    <t>The authors acknowledge the use of MedPeer (medpeer.cn) for creating Figures 2-4. Appropriate publication and licensing rights have been obtained (License Nos.: 1cd464vewnayk18tjf1755508231, 22f064w0gkgnpj9x1s1755508284, and 1b4164in1uve3zbvmf1755508371, respectively). In addition, the authors acknowledge the use of OpenAI's ChatGPT (GPT-5) to assist with language polishing and stylistic editing of the manuscript. The tool was not used for generating scientific content or interpretation. All intellectual contributions, conceptual development, and substantive writing were solely performed by the authors. All authors read and approved the final manuscript.</t>
  </si>
  <si>
    <t>[Li, Zhengrui; Liu, Ji'an; Liu, Xue] Shanghai Jiao Tong Univ, Sch Med, Shanghai, Peoples R China; [Samui, Sudeshna] Univ Burdwan, Hooghly Womens Coll, Purba Bardhaman, W Bengal, India; [Yang, Yang] Heilongjiang Univ Tradit Chinese Med, Harbin, Peoples R China; [Chen, Qingyu] Wenzhou Med Univ, Sch Med 2, Wenzhou, Peoples R China; [Li, Jing] Fudan Univ, Shanghai Stomatol Hosp, Shanghai, Peoples R China; [Li, Jing] Fudan Univ, Sch Stomatol, Shanghai, Peoples R China; [Gopinath, Divya] Ajman Univ, Coll Dent, Basic Med &amp; Dent Sci Dept, Ajman, U Arab Emirates; [Gopinath, Divya] Ajman Univ, Ctr Med &amp; Bioallied Hlth Sci Res, Ajman, U Arab Emirates; [Luo, Peng] Southern Med Univ, Zhujiang Hosp, Dept Oncol, Guangzhou, Guangdong, Peoples R China; [Shan, Dan] Univ Lancaster, Hlth Innovat One, Sir John Fisher Dr, Lancaster, England</t>
  </si>
  <si>
    <t>Shanghai Jiao Tong University; University of Burdwan; Heilongjiang University of Chinese Medicine; Wenzhou Medical University; Fudan University; Fudan University; Ajman University; Ajman University; Southern Medical University - China; Lancaster University</t>
  </si>
  <si>
    <t>Gut microbiome and metabolic health: mechanisms and precision interventions</t>
  </si>
  <si>
    <t>GUT MICROBES</t>
  </si>
  <si>
    <t>Gut microbiome; metabolic health; short-chain fatty acids; gut barrier function; obesity and type 2 diabetes; microbiome-targeted interventions; precision microbiome medicine</t>
  </si>
  <si>
    <t>IMPACT; HOST</t>
  </si>
  <si>
    <t>Li, Zhengrui/HLG-4074-2023; Luo, Peng/I-4790-2019</t>
  </si>
  <si>
    <t>Li, Zhengrui/0000-0003-4923-0088</t>
  </si>
  <si>
    <t>149</t>
  </si>
  <si>
    <t>6</t>
  </si>
  <si>
    <t>9</t>
  </si>
  <si>
    <t>1949-0976</t>
  </si>
  <si>
    <t>1949-0984</t>
  </si>
  <si>
    <t>Gut Microbes</t>
  </si>
  <si>
    <t>18</t>
  </si>
  <si>
    <t>2644677</t>
  </si>
  <si>
    <t>10.1080/19490976.2026.2644677</t>
  </si>
  <si>
    <t>http://dx.doi.org/10.1080/19490976.2026.2644677</t>
  </si>
  <si>
    <t>28</t>
  </si>
  <si>
    <t>Gastroenterology &amp; Hepatology; Microbiology</t>
  </si>
  <si>
    <t>GV4XE</t>
  </si>
  <si>
    <t>42015346</t>
  </si>
  <si>
    <t>WOS:001746021900001</t>
  </si>
  <si>
    <t>Vanaja, CB; Periasamy, P</t>
  </si>
  <si>
    <t>Diabetic Retinopathy (DR) is a critical cause of preventable blindness. The purpose of this article is to systematically review recent deep learning (DL) approaches for DR segmentation and detection using fundus images. A systematic search of the literature was carried according to the PRISMA 2020 guidelines, using the databases, ScienceDirect, Scopus, IEEE Xplore, and PubMed. Inclusion criteria are peer-reviewed English-language studies that used DL for DR detection or segmentation, utilizing fundus images. Exclusion criteria included: non-English articles, articles that described studies that did not experimentally verify the performance of DL to detect DR. 143 studies were examined related to blood vessel segmentation, lesion segmentation, and DR diagnosis, which utilize various deep learning methods like convolutional neural networks (CNNs), U-Net variations, attention-based models, and hybrid methodologies. The performance measures were dice score, accuracy, sensitivity, intersection over union (IoU), specificity, F1 score, and quadratic-weighted kappa coefficient. The reviewed models achieved &gt; 90% sensitivity and specificity; however, issues were found in class imbalance, clinical generalization, and variance in image resolution. DL has provided additional pathways towards DR detection, but clinical applicability is a longer requirement in future research. Future studies should be cross-disciplinary studies and/or leverage new telemedicine technologies.</t>
  </si>
  <si>
    <t>Vanaja, C. B.; Periasamy, Prakasam</t>
  </si>
  <si>
    <t>Periasamy, P (corresponding author), Vellore Inst Technol, Sch Elect Engn, Vellore, India.</t>
  </si>
  <si>
    <t>prakasamp@gmail.com</t>
  </si>
  <si>
    <t>Vellore Institute of Technology, Vellore</t>
  </si>
  <si>
    <t>The Open Access Fee is fully funded by the Vellore Institute of Technology, Vellore. Idea for the article - Vanaja C B and Prakasam P, Literature search and data analysis - Vanaja C B, Article drafting - Vanaja C B, Critical revision - Prakasam P. All authors have read and approved the final version of the manuscript</t>
  </si>
  <si>
    <t>[Vanaja, C. B.; Periasamy, Prakasam] Vellore Inst Technol, Sch Elect Engn, Vellore, India</t>
  </si>
  <si>
    <t>Vellore Institute of Technology (VIT); VIT Vellore</t>
  </si>
  <si>
    <t>Systematic review on diabetic retinopathy segmentation and detection using deep learning techniques: research challenges and future directions</t>
  </si>
  <si>
    <t>Deep learning; diabetic retinopathy detection; blood lesions segmentation; blood vessels segmentation; retinal image; Artificial Intelligence; Cognitive Artificial Intelligence.; Information &amp; Communication Technology (ICT)</t>
  </si>
  <si>
    <t>RETINAL VESSEL SEGMENTATION; CONVOLUTIONAL NEURAL-NETWORKS; AUTOMATED DETECTION; EXUDATE DETECTION; LESION DETECTION; CLASSIFICATION; ARCHITECTURE; NET</t>
  </si>
  <si>
    <t>P, Prakasam/LNR-3997-2024</t>
  </si>
  <si>
    <t>135</t>
  </si>
  <si>
    <t>7</t>
  </si>
  <si>
    <t>2653310</t>
  </si>
  <si>
    <t>10.1080/23311916.2026.2653310</t>
  </si>
  <si>
    <t>http://dx.doi.org/10.1080/23311916.2026.2653310</t>
  </si>
  <si>
    <t>32</t>
  </si>
  <si>
    <t>GJ5YV</t>
  </si>
  <si>
    <t>WOS:001737942000001</t>
  </si>
  <si>
    <t>Ding, L; Li, ZL; Xia, Y; Liu, S; Zhang, MX; Liu, LZ</t>
  </si>
  <si>
    <t>Diabetic kidney disease (DKD), characterized by progressive renal dysfunction, is a prevalent microvascular complication of diabetes mellitus and a leading cause of end-stage renal disease worldwide. Despite advances in glycemic and blood pressure control, the incidence and prevalence of DKD continue to escalate, posing a growing public health challenge. Extracellular vesicles, particularly exosomes, are nanometer-sized vesicles secreted by diverse cells and have emerged as key regulators of intercellular communication. By transferring molecular cargo-including proteins, lipids, and nucleic acids-they exert pleiotropic effects on cellular homeostasis and participate in both physiological and pathological processes. Accumulating evidence has revealed dynamic alterations in the quantity and composition of urinary exosomes under diabetic conditions, implicating these vesicles in the multifactorial pathogenesis of DKD and highlighting their promise as liquid biopsy biomarkers for DKD. This review provides a comprehensive overview of the landscape of research on exosomes in DKD. We elucidate their roles in molecular pathology, investigate their potential for diagnostic and prognostic biomarker discovery powered by multi-omics and machine learning approaches, and examine their implications for therapeutic applications, including their use as drug delivery vehicles and direct therapeutic agents. Looking forward, we highlight critical research gaps and future directions, emphasizing the need for artificial intelligence (AI)-integrated multi-omics analyses to decipher exosome heterogeneity, large-scale multicenter trials to validate biomarker efficacy, and innovative strategies to overcome barriers in clinical translation, ultimately paving the way for personalized medicine in DKD management.</t>
  </si>
  <si>
    <t>Ding, Lin; Li, Zuolin; Xia, Yan; Liu, Shan; Zhang, Mingxia; Liu, Lunzhi</t>
  </si>
  <si>
    <t>Zhang, MX; Liu, LZ (corresponding author), Hubei Minzu Univ, Minda Hosp, Dept Nephrol, Enshi, Hubei, Peoples R China.; Zhang, MX; Liu, LZ (corresponding author), Hubei Minzu Univ, Minda Hosp, Hubei Prov Clin Med Res Ctr Nephropathy, Enshi, Hubei, Peoples R China.</t>
  </si>
  <si>
    <t>mdyy101135@163.com; 1999012@hbmzu.edu.cn</t>
  </si>
  <si>
    <t>"Qihang" Initiative Fund of the Enshi Prefecture Science and Technology Program Project [D20230032, 2024 + 26]; Hubei Province Science and Technology Initiative [2022BCE065]; National Natural Science Foundation of China [82401012]; ZhiShan Scholar Program of Southeast University [2242025RCB0054]; Natural Science Foundation of Jiangsu Province [BK20240212]</t>
  </si>
  <si>
    <t>"Qihang" Initiative Fund of the Enshi Prefecture Science and Technology Program Project; Hubei Province Science and Technology Initiative; National Natural Science Foundation of China (National Natural Science Foundation of China (NSFC)); ZhiShan Scholar Program of Southeast University; Natural Science Foundation of Jiangsu Province (Natural Science Foundation of Jiangsu Province)</t>
  </si>
  <si>
    <t>This study was supported by the "Qihang" Initiative Fund of the Enshi Prefecture Science and Technology Program Project (D20230032, D20230030, 2024 + 26), the National Natural Science Foundation of China (82401012), the Hubei Province Science and Technology Initiative (2022BCE065, 2024BCB041), the Natural Science Foundation of Jiangsu Province (BK20240212), and the ZhiShan Scholar Program of Southeast University (2242025RCB0054).</t>
  </si>
  <si>
    <t>[Ding, Lin; Liu, Shan; Zhang, Mingxia; Liu, Lunzhi] Hubei Minzu Univ, Minda Hosp, Dept Nephrol, Enshi, Hubei, Peoples R China; [Ding, Lin; Xia, Yan; Liu, Shan; Zhang, Mingxia; Liu, Lunzhi] Hubei Minzu Univ, Minda Hosp, Hubei Prov Clin Med Res Ctr Nephropathy, Enshi, Hubei, Peoples R China; [Li, Zuolin] Southeast Univ, Sch Med, Zhong Da Hosp, Inst Nephrol, Nanjing, Jiangsu, Peoples R China; [Xia, Yan] Hubei Minzu Univ, Minda Hosp, Hubei Prov Key Lab Occurrence &amp; Intervent Rheumat, Enshi, Hubei, Peoples R China</t>
  </si>
  <si>
    <t>Hubei Minzu University; Hubei Minzu University; Southeast University - China; Hubei Minzu University</t>
  </si>
  <si>
    <t>Exosomes in diabetic kidney disease: pathogenesis, biomarker discovery, and emerging therapeutics-a comprehensive systematic review</t>
  </si>
  <si>
    <t>RENAL FAILURE</t>
  </si>
  <si>
    <t>Diabetic kidney disease; exosomes; extracellular vesicles; urinary biomarkers; multi-omics; drug delivery systems</t>
  </si>
  <si>
    <t>MESENCHYMAL STEM-CELLS; EXTRACELLULAR VESICLES; CANCER; INFLAMMATION; NEPHROPATHY; DELIVERY; METASTASIS; INHIBITION; MECHANISMS; SECRETION</t>
  </si>
  <si>
    <t>Liu, Lunzhi/LSK-1028-2024</t>
  </si>
  <si>
    <t>150</t>
  </si>
  <si>
    <t>2</t>
  </si>
  <si>
    <t>8</t>
  </si>
  <si>
    <t>0886-022X</t>
  </si>
  <si>
    <t>1525-6049</t>
  </si>
  <si>
    <t>Ren. Fail.</t>
  </si>
  <si>
    <t>48</t>
  </si>
  <si>
    <t>2640720</t>
  </si>
  <si>
    <t>10.1080/0886022X.2026.2640720</t>
  </si>
  <si>
    <t>http://dx.doi.org/10.1080/0886022X.2026.2640720</t>
  </si>
  <si>
    <t>25</t>
  </si>
  <si>
    <t>Urology &amp; Nephrology</t>
  </si>
  <si>
    <t>FH9UA</t>
  </si>
  <si>
    <t>41845912</t>
  </si>
  <si>
    <t>WOS:001719195300001</t>
  </si>
  <si>
    <t>Sangeetha, M; Vijayaraj, K</t>
  </si>
  <si>
    <t>This paper synthesizes and maps ten years of research on employee attrition prediction using machine learning (ML) (2014-2025). 161 peer-reviewed English-language articles and reviews were selected from a starting set of 610 records using a structured Scopus search (title, abstract, and keywords) and a Preferred Reporting Items for Systematic Reviews and Meta-Analyses (PRISMA)-guided screening procedure. Both network mapping and bibliometric tools were used: VOSviewer was used for co-occurrence and co-citation mapping, while Biblioshiny was used for descriptive and thematic analysis. As a result of the interdisciplinary nature of the topic, the results show a significant increase in publications after 2021, with contributions mostly appearing in management journals and technical publications like IEEE Access and Expert Systems with Applications. Four groupings emerged from keyword and topic analyses: (1) predictive methods and machine learning approaches; (2) human resource notions, including employee retention and turnover intention; (3) explainable AI and fairness (e.g. SHapley Additive exPlanations (SHAP), Local Interpretable Model-agnostic Explanations (LIME); and (4) educational, information technology, and healthcare sector-specific applications. Co-citation networks demonstrate a dual intellectual foundation that combines fundamental ML literature with traditional human resource management turnover ideas, which are connected by new interdisciplinary applications. The results emphasize the necessity of cross-sectoral cooperation, broader implementation of interpretable ML in human resource practice, and more robust theory-driven model building. The paper offers a thorough road map for developing ethical, theoretically grounded attrition prediction research.</t>
  </si>
  <si>
    <t>Sangeetha, M.; Vijayaraj, K.</t>
  </si>
  <si>
    <t>Vijayaraj, K (corresponding author), Vellore Inst Technol, Sch Social Sci &amp; Languages, Dept Commerce, Vellore, Tamilnadu, India.</t>
  </si>
  <si>
    <t>kvijayaraj@vit.ac.in</t>
  </si>
  <si>
    <t>VELLORE INSTITUTE OF TECHNOLOGY VELLORE</t>
  </si>
  <si>
    <t>Vellore Institute of Technology Vellore.</t>
  </si>
  <si>
    <t>[Sangeetha, M.; Vijayaraj, K.] Vellore Inst Technol, Sch Social Sci &amp; Languages, Dept Commerce, Vellore, Tamilnadu, India; Vellore Inst Technol, Sch Social Sci &amp; Languages, Dept Commerce, Vellore, India</t>
  </si>
  <si>
    <t>Vellore Institute of Technology (VIT); VIT Vellore; Vellore Institute of Technology (VIT); VIT Vellore</t>
  </si>
  <si>
    <t>Mapping a decade of research on employee attrition prediction: a bibliometric and thematic analysis of machine learning applications (2014-2025)</t>
  </si>
  <si>
    <t>COGENT BUSINESS &amp; MANAGEMENT</t>
  </si>
  <si>
    <t>Employee attrition; machine learning; bibliometric analysis; explainable artificial intelligence; VOSviewer; biblioshiny; Human Resource Development; Business, Management and Accounting; Management of IT</t>
  </si>
  <si>
    <t>KRISHNA, VIJAYARAJ/0000-0002-3867-4719</t>
  </si>
  <si>
    <t>10</t>
  </si>
  <si>
    <t>2331-1975</t>
  </si>
  <si>
    <t>COGENT BUS MANAG</t>
  </si>
  <si>
    <t>Cogent Bus. Manag.</t>
  </si>
  <si>
    <t>2622721</t>
  </si>
  <si>
    <t>10.1080/23311975.2026.2622721</t>
  </si>
  <si>
    <t>http://dx.doi.org/10.1080/23311975.2026.2622721</t>
  </si>
  <si>
    <t>Business</t>
  </si>
  <si>
    <t>Business &amp; Economics</t>
  </si>
  <si>
    <t>FD4RM</t>
  </si>
  <si>
    <t>WOS:001716129600001</t>
  </si>
  <si>
    <t>Al Ghazo, AT; Salah, M</t>
  </si>
  <si>
    <t>Artificial Intelligence (AI) has emerged as a defining force in the evolution of modern mechatronic systems, transforming traditional electromechanical integration into intelligent, autonomous, and data-driven technologies. This review provides a comprehensive examination of AI-enabled advances across key mechatronic domains, including robotics and autonomous systems, smart manufacturing, healthcare and biomedical mechatronics, automotive and aerospace applications, agricultural robotics, and digital twin technologies. By synthesizing developments in machine learning, deep learning, reinforcement learning, transformers, graph neural networks, hybrid physics-informed models, and edge intelligence, the review highlights how AI enhances perception, control, prediction, adaptability, and human-machine collaboration. Furthermore, the paper discusses emerging research trends such as federated learning, neuromorphic and quantum-inspired computing, and swarm intelligence, emphasizing their potential to shape future mechatronic architectures within the context of Industry 5.0. Existing challenges, including generalization, verification, interpretability, computational constraints, and ethical considerations, are also identified. Through an integrated analysis of foundational concepts, technological advancements, and domain-specific applications, this review outlines future research opportunities and establishes AI-driven mechatronics as a critical enabler of safe, efficient, and sustainable intelligent systems.</t>
  </si>
  <si>
    <t>Al Ghazo, Alaa T.; Salah, Mohammad</t>
  </si>
  <si>
    <t>Al Ghazo, AT (corresponding author), Hashemite Univ, Fac Engn, Dept Mechatron Engn, Zarqa, Jordan.</t>
  </si>
  <si>
    <t>alghazo@hu.edu.jo</t>
  </si>
  <si>
    <t>[Al Ghazo, Alaa T.] Hashemite Univ, Fac Engn, Dept Mechatron Engn, Zarqa, Jordan; [Salah, Mohammad] Amer Univ Middle East, Coll Engn &amp; Technol, Kuwait, Kuwait</t>
  </si>
  <si>
    <t>Hashemite University; American University of the Middle East</t>
  </si>
  <si>
    <t>Artificial intelligence in modern mechatronic systems: technologies, applications, and future research directions</t>
  </si>
  <si>
    <t>Artificial intelligence; mechatronics; machine learning; reinforcement learning; predictive maintenance; robotics</t>
  </si>
  <si>
    <t>NEURAL-NETWORKS; INDUSTRY 4.0; BIG DATA; REINFORCEMENT; INTERPRETABILITY; CHALLENGES</t>
  </si>
  <si>
    <t>AL Ghazo, Alaa/GRX-2507-2022</t>
  </si>
  <si>
    <t>136</t>
  </si>
  <si>
    <t>2640267</t>
  </si>
  <si>
    <t>10.1080/21642583.2026.2640267</t>
  </si>
  <si>
    <t>http://dx.doi.org/10.1080/21642583.2026.2640267</t>
  </si>
  <si>
    <t>ER5FE</t>
  </si>
  <si>
    <t>WOS:001708011500001</t>
  </si>
  <si>
    <t>Dash, A; Panigrahi, S; Das Adhikary, DR; Swarnkar, T</t>
  </si>
  <si>
    <t>Medical image generation using artificial intelligence, especially Generative Adversarial Networks (GANs), has become a powerful solution to address challenges of limited data, class imbalance, and privacy restrictions in clinical imaging. While several GAN-based strategies have been proposed, earlier reviews often describe models in isolation without linking them clearly to medical datasets, evaluation measures, or diagnostic impact. This review focuses on GAN-based augmentation methods applied to medical imaging, systematically comparing prominent GAN families such as DCGAN, Pix2Pix, CycleGAN, StarGAN, and DualGAN across commonly used datasets, including BraTS, ISIC, DRIVE, and ADNI. Reported outcomes are synthesised using image-quality metrics (SSIM, PSNR, FID, LPIPS) and task-based measures (accuracy, sensitivity, Dice score). Findings suggest Pix2Pix frequently improves accuracy and SSIM on MRI and dermoscopy images, CycleGAN enhances sensitivity in retinal tasks, while newer models like StyleGAN and diffusion-based approaches achieve stronger perceptual fidelity. The review concludes that GAN-driven augmentation provides measurable benefits but is highly task- and dataset-dependent, emphasizing the future promise of hybrid GAN-diffusion pipelines and explainability tools for clinical adoption.</t>
  </si>
  <si>
    <t>Dash, Archana; Panigrahi, Soumyarashmi; Das Adhikary, Dibya Ranjan; Swarnkar, Tripti</t>
  </si>
  <si>
    <t>Das Adhikary, DR (corresponding author), Siksha O Anusandhan, Dept Comp Sc &amp; Engn, ITER, Bhubaneswar, Odisha, India.</t>
  </si>
  <si>
    <t>dibyadasadhikary@soa.ac.in</t>
  </si>
  <si>
    <t>[Dash, Archana; Panigrahi, Soumyarashmi; Das Adhikary, Dibya Ranjan] Siksha O Anusandhan, Dept Comp Sc &amp; Engn, ITER, Bhubaneswar, Odisha, India; [Panigrahi, Soumyarashmi] Centurion Univ Technol &amp; Management, Dept Comp Sci &amp; Engn, Khurja, Odisha, India; [Swarnkar, Tripti] Natl Inst Technol, Dept Comp applicat, Raipur, Chhattisgarh, India</t>
  </si>
  <si>
    <t>Siksha 'O' Anusandhan University; Centurion University of Technology &amp; Management; National Institute of Technology Raipur; National Institute of Technology (NIT System); National Institute of Technology Raipur</t>
  </si>
  <si>
    <t>Data augmentation strategies for GAN-based medical image analysis: an empirical review</t>
  </si>
  <si>
    <t>GAN; data augmentation; medical image analysis; deep learning; diffusion models; explainable AI; vision transformer; GradCAM</t>
  </si>
  <si>
    <t>2634452</t>
  </si>
  <si>
    <t>10.1080/21642583.2026.2634452</t>
  </si>
  <si>
    <t>http://dx.doi.org/10.1080/21642583.2026.2634452</t>
  </si>
  <si>
    <t>22</t>
  </si>
  <si>
    <t>EK3VN</t>
  </si>
  <si>
    <t>WOS:001703157900001</t>
  </si>
  <si>
    <t>Chikwaro, E; Nyoni, S; Ndlovu, J; Shoko, R</t>
  </si>
  <si>
    <t>Malaria remains a major global health problem, caused mainly by Plasmodium falciparum and P. vivax, and is increasingly complicated by the spread of drug resistance and the limited impact of current vaccines. Natural products have played a central role in antimalarial therapy, most notably through the discovery of quinine and artemisinin, and they continue to provide an important source of bioactive chemical scaffolds. This review outlines recent progress in antimalarial drug discovery from natural products, with particular attention to advances in phytochemical isolation, structure-based drug design, and the growing use of computational methods, including molecular modelling, machine learning, and omics-based approaches. The contribution of traditional knowledge to the identification of new chemotypes and potential targets is also discussed. Key challenges, including poor bioavailability, toxicity, regulatory barriers, and pressures on biodiversity, are considered in the context of sustainability, ethical bioprospecting, and international frameworks such as the Nagoya Protocol. Finally, the review discusses practical directions for improving clinical translation, strengthening sustainable supply, and promoting equitable benefit-sharing in the continued search for new antimalarial therapies.</t>
  </si>
  <si>
    <t>Chikwaro, Ethel; Nyoni, Stephen; Ndlovu, Joice; Shoko, Ryman</t>
  </si>
  <si>
    <t>Shoko, R (corresponding author), Univ Lusaka, Sch Med &amp; Hlth Sci, Dept Basic Sci, Lusaka, Zambia.</t>
  </si>
  <si>
    <t>shoko.ryman@gmail.com</t>
  </si>
  <si>
    <t>Ethel Chikwaro's MPhil research at Chinhoyi University of Technology, supported through a Vice Chancellor's Scholarship of Excellency</t>
  </si>
  <si>
    <t>This study was conducted as part of Ethel Chikwaro's MPhil research at Chinhoyi University of Technology, supported through a Vice Chancellor's Scholarship of Excellency. No additional external funding was received.</t>
  </si>
  <si>
    <t>[Chikwaro, Ethel; Ndlovu, Joice] Chinhoyi Univ Technol, Sch Nat Sci &amp; Math, Dept Biol, Chinhoyi, Zimbabwe; [Nyoni, Stephen] Chinhoyi Univ Technol, Dept Chem, Chinhoyi, Zimbabwe; [Shoko, Ryman] Univ Lusaka, Sch Med &amp; Hlth Sci, Dept Basic Sci, Lusaka, Zambia</t>
  </si>
  <si>
    <t>Natural products in antimalarial drug discovery: progress, emerging technologies, and future directions</t>
  </si>
  <si>
    <t>ALL LIFE</t>
  </si>
  <si>
    <t>Malaria; natural products; antimalarial drug discovery; structure-based drug design; artificial intelligence</t>
  </si>
  <si>
    <t>PLASMODIUM; COMBINATION; MALARIA</t>
  </si>
  <si>
    <t>Shoko, Ryman/V-5629-2019; /C-9005-2018</t>
  </si>
  <si>
    <t>Shoko, Ryman/0000-0002-1557-1696</t>
  </si>
  <si>
    <t>62</t>
  </si>
  <si>
    <t>2689-5293</t>
  </si>
  <si>
    <t>2689-5307</t>
  </si>
  <si>
    <t>All Life</t>
  </si>
  <si>
    <t>2634576</t>
  </si>
  <si>
    <t>10.1080/26895293.2026.2634576</t>
  </si>
  <si>
    <t>http://dx.doi.org/10.1080/26895293.2026.2634576</t>
  </si>
  <si>
    <t>Multidisciplinary Sciences</t>
  </si>
  <si>
    <t>Science &amp; Technology - Other Topics</t>
  </si>
  <si>
    <t>EA6VK</t>
  </si>
  <si>
    <t>WOS:001696573000001</t>
  </si>
  <si>
    <t>Chopra, J; Maden, C; Howlett, I; Perry, H; Kermack, AJ; Arabaci, MO; Chapman, A; Yang, K; Altamirano, D; Cheong, Y</t>
  </si>
  <si>
    <t>ObjectiveThe benefit of interventions to improve neonatal outcomes of preterm birth (PTB) must be balanced with the associated fetal and maternal risks. Artificial intelligence (AI) could be used to assess uterine contractions and consequently help to predict PTB. This paper aims to assess the predictive accuracy and applicability of AI models currently using uterine contractions in PTB prediction.MethodsA systematic Embase, Medline, Pubmed and Web of Science review was conducted using PRISMA guidelines. Eligible studies assessed EHG or time-series data using AI methods, including deep learning/machine learning/neural networks to predict PTB. Data on AI model performance measures, validity, and applicability were collected. Results are reported as a narrative review due to study heterogeneity. Bias was assessed using the PROBAST framework.ResultsThe studies used various Electrohysterography (EHG) contractility features and/or classifiers for AI analysis and varying performance measures to assess predictive accuracy for PTB. A wide range of EHG features were assessed included temporal, spectral, entropy and topological features. A total of 53 records were identified for inclusion. Of these, 18 examined EHG features, 22 assessed AI classifiers, and 3 tested both. Excellent classification performance (ACC and/or AUC &gt;= 0.9) were reported by 38.8% (7/18) of studies examining EHG features and 86.3% (19/22) of studies assessing AI classifiers. Non-linear features outperformed linear features, and deep-learning models such as neural networks were the highest-performing classifiers. Bias assessment showed 86.7% (46/53) had an unclear or high risk of bias. Key concerns include unbalanced data, small sample size and lack of validity outside of sampled datasets.ConclusionNon-linear features and DL models offer superior results. However, we did not find evidence of external validation, thus the applicability of models in uterine contraction assessment for the prediction of PTB remains limited. Future research requires an emphasis on clinical data integration within high-quality studies, as well as more more studies focusing on early PTB detection.</t>
  </si>
  <si>
    <t>Chopra, Jagrati; Maden, Charlotte; Howlett, Isabel; Perry, Helen; Kermack, Alexandra J.; Arabaci, Mehtap Ozbey; Chapman, Adriane; Yang, Kai; Altamirano, Diego; Cheong, Ying</t>
  </si>
  <si>
    <t>Cheong, Y (corresponding author), Univ Southampton, Fac Med, Sch Human Dev &amp; Hlth, Tremona Rd, Southampton SO16 6YD, England.</t>
  </si>
  <si>
    <t>y.cheong@soton.ac.uk</t>
  </si>
  <si>
    <t>NIHR; CM via the Academic Clinical Fellowship program</t>
  </si>
  <si>
    <t>NIHR (National Institutes of Health Research (NIHR)); CM via the Academic Clinical Fellowship program</t>
  </si>
  <si>
    <t>The NIHR supported JC and CM via the Academic Clinical Fellowship program.</t>
  </si>
  <si>
    <t>[Chopra, Jagrati; Maden, Charlotte] Natl Inst Hlth &amp; Care Res NIHR, London, England; [Chopra, Jagrati; Maden, Charlotte; Kermack, Alexandra J.; Cheong, Ying] Univ Southampton, Fac Med, Sch Human Dev &amp; Hlth, Tremona Rd, Southampton SO16 6YD, England; [Chopra, Jagrati; Maden, Charlotte; Perry, Helen; Kermack, Alexandra J.; Cheong, Ying] Univ Hosp Southampton NHS Fdn Trust, Princess Anne Hosp, Southampton, England; [Howlett, Isabel] Univ Southampton, Fac Med, Southampton, England; [Arabaci, Mehtap Ozbey; Chapman, Adriane] Univ Southampton, Sch Elect &amp; Comp Sci, Southampton, England; [Yang, Kai] Univ Southampton, Winchester Sch Art, Winchester, England; [Altamirano, Diego] Univ Southampton, Sch Phys &amp; Astron, Southampton, England; [Kermack, Alexandra J.] Univ Surrey, Fac Hlth &amp; Med Sci, Sch Med, Guildford, Surrey, England</t>
  </si>
  <si>
    <t>University of Southampton; University of Southampton; University Hospital Southampton NHS Foundation Trust; University of Southampton; University of Southampton; University of Southampton; University of Southampton; University of Surrey</t>
  </si>
  <si>
    <t>Use of uterine activity to predict preterm birth by artificial intelligence assisted models: a narrative systematic review</t>
  </si>
  <si>
    <t>JOURNAL OF MATERNAL-FETAL &amp; NEONATAL MEDICINE</t>
  </si>
  <si>
    <t>Preterm birth; preterm labor; electrohysterography; artificial intelligence; machine learning; deep neural networks</t>
  </si>
  <si>
    <t>ELECTROMYOGRAPHY SIGNALS; AUTOMATED DETECTION; NEURAL-NETWORK; TERM; CLASSIFICATION; FREQUENCY; RISK; ELECTROHYSTEROGRAM; IDENTIFICATION; CONTRACTIONS</t>
  </si>
  <si>
    <t>Kermack, Alexana/LVR-6305-2024</t>
  </si>
  <si>
    <t>Chopra, Jagrati/0000-0003-1194-4018; Maden, Charlotte/0009-0004-3116-5673; Yang, Kai/0000-0001-7497-3911; Kermack, Alexana/0000-0002-9176-9426; Chapman, Adriane/0000-0002-3814-2587</t>
  </si>
  <si>
    <t>70</t>
  </si>
  <si>
    <t>4</t>
  </si>
  <si>
    <t>1476-7058</t>
  </si>
  <si>
    <t>1476-4954</t>
  </si>
  <si>
    <t>J MATERN-FETAL NEO M</t>
  </si>
  <si>
    <t>J. Matern.-Fetal Neonatal Med.</t>
  </si>
  <si>
    <t>39</t>
  </si>
  <si>
    <t>2582375</t>
  </si>
  <si>
    <t>10.1080/14767058.2025.2582375</t>
  </si>
  <si>
    <t>http://dx.doi.org/10.1080/14767058.2025.2582375</t>
  </si>
  <si>
    <t>Obstetrics &amp; Gynecology</t>
  </si>
  <si>
    <t>DK3HS</t>
  </si>
  <si>
    <t>41663244</t>
  </si>
  <si>
    <t>WOS:001685465100001</t>
  </si>
  <si>
    <t>Xu, H; Ge, SW</t>
  </si>
  <si>
    <t>IgA nephropathy (IgAN) is the most prevalent primary glomerular disease worldwide and a leading cause of end-stage kidney disease (ESKD). Its clinical heterogeneity results in divergent renal outcomes, making early identification of high-risk patients essential. Prognostic models are crucial for stratifying ESKD risk, guiding treatment intensity, optimizing timing of interventions such as immunosuppressive therapy, and informing clinical trial enrollment. Over recent decades, multiple prognostic approaches have emerged, ranging from traditional clinical and histopathological scoring systems to advanced machine learning (ML) and deep learning (DL) models designed to capture complex nonlinear interactions and improve predictive precision. Among them, the International IgA Nephropathy Prediction Tool (IIgAN-PT), endorsed by the 2021 KDIGO guidelines, represents a landmark in globally validated risk assessment and has set the foundation for standardized clinical decision support. However, classical models often rely on static baseline parameters and may not adequately reflect dynamic disease trajectories, limiting their utility in real-time clinical management. To overcome these limitations, ML- and DL-based models increasingly integrate multi-omics data, serial clinical measurements, and digital pathology features, offering enhanced accuracy, dynamic risk tracking, and potential for personalized response prediction. These data-driven approaches are progressively bridging the gap between prognostic research and precision nephrology. This review provides a comprehensive overview of the evolution of IgAN prognostic models, summarizes their strengths and limitations, and discusses considerations for clinical translation. By highlighting emerging trends toward explainable AI, dynamic time-series modeling, and multimodal prognostication, we outline how next-generation prediction tools may enable real-time, AI-driven decision support for individualized IgAN management.</t>
  </si>
  <si>
    <t>Xu, Han; Ge, Shuwang</t>
  </si>
  <si>
    <t>Ge, SW (corresponding author), Huazhong Univ Sci &amp; Technol, Tongji Hosp, Tongji Med Coll, Dept Nephrol, Wuhan, Hubei, Peoples R China.</t>
  </si>
  <si>
    <t>geshuwang@tjh.tjmu.edu.cn</t>
  </si>
  <si>
    <t>Hubei Provincial Natural Science Foundation of China [2023AFB838]</t>
  </si>
  <si>
    <t>Hubei Provincial Natural Science Foundation of China (National Natural Science Foundation of China (NSFC))</t>
  </si>
  <si>
    <t>This work was financially supported by the Hubei Provincial Natural Science Foundation of China (Grant No. 2023AFB838).</t>
  </si>
  <si>
    <t>[Xu, Han; Ge, Shuwang] Huazhong Univ Sci &amp; Technol, Tongji Hosp, Tongji Med Coll, Dept Nephrol, Wuhan, Hubei, Peoples R China</t>
  </si>
  <si>
    <t>Huazhong University of Science &amp; Technology</t>
  </si>
  <si>
    <t>Risk prediction in IgA nephropathy: from conventional models to machine learning, deep learning, and precision nephrology</t>
  </si>
  <si>
    <t>IgA nephropathy; risk prediction; survival analysis; AI pathology; federated learning; precision nephrology</t>
  </si>
  <si>
    <t>STAGE KIDNEY-DISEASE; ARTIFICIAL NEURAL-NETWORK; OXFORD CLASSIFICATION; SCORING SYSTEM; RENAL SURVIVAL; PROGRESSION; OUTCOMES; TOOL; PROGNOSIS; CHILDREN</t>
  </si>
  <si>
    <t>109</t>
  </si>
  <si>
    <t>2613606</t>
  </si>
  <si>
    <t>10.1080/0886022X.2026.2613606</t>
  </si>
  <si>
    <t>http://dx.doi.org/10.1080/0886022X.2026.2613606</t>
  </si>
  <si>
    <t>24</t>
  </si>
  <si>
    <t>DH3SZ</t>
  </si>
  <si>
    <t>41656155</t>
  </si>
  <si>
    <t>WOS:001683454400001</t>
  </si>
  <si>
    <t>Wang, PP; Tian, JX; Zheng, GW; Chen, YZ; Ren, XX</t>
  </si>
  <si>
    <t>Background: Head and neck squamous cell carcinoma (HNSCC) emerges from the mucosal linings of the paranasal sinuses, nasal cavities, oral cavity, nasopharynx, oropharynx, hypopharynx and larynx. Despite significant advances in understanding its epidemiology, pathogenesis and treatment strategies, the survival rate of HNSCC has shown little improvement over the last 40 years, maintaining a 5-year survival outcome of approximately 50%. Although the emergence of immunotherapies, such as pembrolizumab-FDA-approved for first-line HNSCC treatment-has shown promise in enhancing therapeutic outcomes and patient prognosis, merely a limited portion of individuals with HNSCC experience advantages from these therapeutic approaches.Main body: Consequently, the need for novel biomarkers to refine treatment selection is increasingly urgent. The swift progress of artificial intelligence (AI) in medicine has enabled large-scale biomarker screening and the creation of predictive models, which are critical for identifying immunotherapy responders and predicting patient outcomes. This review summarizes current immunotherapeutic approaches in HNSCC and examines the role of AI in advancing immunotherapy strategies.Discussion: Furthermore, it discusses the challenges, opportunities and strategies associated with integrating AI into clinical practice. Finally, the review highlights the transformative potential of AI in HNSCC immunotherapy and offers perspectives on its future applications.</t>
  </si>
  <si>
    <t>Wang, Peipei; Tian, Jiaxin; Zheng, Guowan; Chen, Yunzhao; Ren, Xinxin</t>
  </si>
  <si>
    <t>Chen, YZ; Ren, XX (corresponding author), Zhejiang Prov Peoples Hosp, Hangzhou Med Coll, Canc Ctr, Dept Pathol,Affiliated Peoples Hosp, Hangzhou, Zhejiang, Peoples R China.</t>
  </si>
  <si>
    <t>xxren8806@163.com; chenyunzhao@hmc.edu.cn</t>
  </si>
  <si>
    <t>Seed Foundation of Zhejiang Provincial People's Hospital [ZRY2022J007]; Natural Science Foundation of Zhejiang Province [LQ24H160044, LY23H160024]; Medical and Health Research project of Zhejiang province [2024KY758]; National Natural Science Foundation of China [82302918, 82273020]</t>
  </si>
  <si>
    <t>Seed Foundation of Zhejiang Provincial People's Hospital; Natural Science Foundation of Zhejiang Province (Natural Science Foundation of Zhejiang Province); Medical and Health Research project of Zhejiang province; National Natural Science Foundation of China (National Natural Science Foundation of China (NSFC))</t>
  </si>
  <si>
    <t>The study was supported by the grants from National Natural Science Foundation of China (82302918, 82273020), Natural Science Foundation of Zhejiang Province (LQ24H160044, LY23H160024), Medical and Health Research project of Zhejiang province (2024KY758) and Seed Foundation of Zhejiang Provincial People's Hospital (ZRY2022J007).</t>
  </si>
  <si>
    <t>[Wang, Peipei] Westlake Univ, Affiliated Hangzhou Peoples Hosp 1, Hangzhou Geriatr Hosp, Dept Geriatr,Sch Med, Chengbei Campus, Hangzhou, Peoples R China; [Chen, Yunzhao; Ren, Xinxin] Zhejiang Prov Peoples Hosp, Hangzhou Med Coll, Canc Ctr, Dept Pathol,Affiliated Peoples Hosp, Hangzhou, Zhejiang, Peoples R China; [Tian, Jiaxin; Zheng, Guowan; Ren, Xinxin] Zhejiang Prov Clin Res Ctr Head &amp; Neck Canc, Hangzhou, Peoples R China; [Tian, Jiaxin; Zheng, Guowan; Ren, Xinxin] Zhejiang Key Lab Precis Med Res Head &amp; Neck Canc, Hangzhou, Peoples R China</t>
  </si>
  <si>
    <t>Westlake University; Hangzhou Medical College; Zhejiang Provincial People's Hospital</t>
  </si>
  <si>
    <t>Application of artificial intelligence in head and neck squamous cell carcinoma</t>
  </si>
  <si>
    <t>HNSCC; immunotherapy; AI; machine learning; deep learning</t>
  </si>
  <si>
    <t>OPEN-LABEL; CAR T; CANCER; CETUXIMAB; PEMBROLIZUMAB; RADIOTHERAPY; MULTICENTER; COMBINATION; THERAPY; HEALTH</t>
  </si>
  <si>
    <t>166</t>
  </si>
  <si>
    <t>2620191</t>
  </si>
  <si>
    <t>10.1080/07853890.2026.2620191</t>
  </si>
  <si>
    <t>http://dx.doi.org/10.1080/07853890.2026.2620191</t>
  </si>
  <si>
    <t>26</t>
  </si>
  <si>
    <t>CS5LI</t>
  </si>
  <si>
    <t>41593888</t>
  </si>
  <si>
    <t>WOS:001673401200001</t>
  </si>
  <si>
    <t>Fan, ZQ; Chen, Q; Lu, W; Yao, Z; Yang, SJ; Zhao, HT; Cao, H</t>
  </si>
  <si>
    <t>BackgroundAcute Ischemic Stroke (AIS) remains a critical global health challenge that requires continuous improvement in diagnostic strategies. Timely and accurate diagnosis is essential for effective reperfusion therapies such as intravenous thrombolysis and mechanical thrombectomy, whose clinical benefits rapidly diminish with treatment delays. Artificial Intelligence (AI) offers promising potential to enhance diagnostic accuracy and clinical decision-making in AIS. However, data fragmentation and strict privacy regulations limit the development of robust AI systems. Objectives: We aim to provide a perspective-style review that explores how collaborative AI can reshape AIS diagnostics by overcoming data access barriers, fostering cross-institutional model development, and improving diagnostic equity.MethodsWe analysed current challenges in developing AIS-related AI tools, particularly the limitations caused by restricted data sharing across healthcare institutions. The study highlights collaborative AI approaches, such as federated learning and privacy-preserving computation, which enable decentralised model training while maintaining patient confidentiality. Relevant literature and recent developments in clinical AI collaboration were reviewed.ResultsCollaborative AI enables multiple institutions to contribute to model training without exposing raw patient data. This approach improves data diversity, model generalizability, and fairness across healthcare settings. Evidence from multi-centre studies suggests that collaborative AI frameworks can produce more accurate and ethically compliant diagnostic models compared to isolated development efforts.ConclusionsCollaborative AI presents a transformative pathway for AIS management by balancing data utility and privacy protection. It supports the creation of trustworthy, scalable, and inclusive diagnostic systems. As healthcare systems increasingly adopt digital solutions, collaborative AI provides a foundation for equitable and privacy-conscious innovation in stroke care.</t>
  </si>
  <si>
    <t>Fan, Zhiqiang; Chen, Qian; Lu, Wang; Yao, Zhu; Yang, Shijie; Zhao, Hongting; Cao, Hua</t>
  </si>
  <si>
    <t>Cao, H (corresponding author), Gansu Prov Hosp TCM, Dept Cerebrovasc Dis, Lanzhou 730050, Peoples R China.; Chen, Q (corresponding author), Inst Comp Technol, Chinese Acad Sci, Res Ctr Ubiquitous Comp Syst, Beijing 100190, Peoples R China.</t>
  </si>
  <si>
    <t>caohua308@163.com; chenqian20b@ict.ac.cn</t>
  </si>
  <si>
    <t>National Traditional Chinese Medicine Specialty Construction Project; Neurological Disorders Clinical Medical Center; Gansu Health Traditional Chinese Medicine Letter</t>
  </si>
  <si>
    <t>This work was partially supported by the National Traditional Chinese Medicine Specialty Construction Project, Neurological Disorders Clinical Medical Center (Approval Document Number: Gansu Health Traditional Chinese Medicine Letter [2023] No. 63.</t>
  </si>
  <si>
    <t>[Fan, Zhiqiang; Zhao, Hongting; Cao, Hua] Gansu Prov Hosp TCM, Dept Cerebrovasc Dis, Lanzhou 730050, Peoples R China; [Chen, Qian] Inst Comp Technol, Chinese Acad Sci, Res Ctr Ubiquitous Comp Syst, Beijing 100190, Peoples R China; [Lu, Wang] Tsinghua Univ, Dept Automat, Beijing, Peoples R China; [Yao, Zhu] Zhejiang Univ, Coll Biomed Engn &amp; Instrument Sci, Hangzhou, Peoples R China; [Yang, Shijie] Lanzhou Univ, Clin Med Coll 1, Lanzhou, Peoples R China</t>
  </si>
  <si>
    <t>Chinese Academy of Sciences; Institute of Computing Technology, CAS; Tsinghua University; Zhejiang University; Lanzhou University</t>
  </si>
  <si>
    <t>Collaborative artificial intelligence for the diagnosis and management of acute ischemic stroke</t>
  </si>
  <si>
    <t>Acute ischemic stroke; artificial intelligence; trustworthy healthcare; deep learning; federated learning</t>
  </si>
  <si>
    <t>PRIVACY; FAIRNESS</t>
  </si>
  <si>
    <t>Chen, Qian/0009-0002-2579-4380</t>
  </si>
  <si>
    <t>108</t>
  </si>
  <si>
    <t>2594356</t>
  </si>
  <si>
    <t>10.1080/07853890.2025.2594356</t>
  </si>
  <si>
    <t>http://dx.doi.org/10.1080/07853890.2025.2594356</t>
  </si>
  <si>
    <t>20</t>
  </si>
  <si>
    <t>AK8QY</t>
  </si>
  <si>
    <t>41457873</t>
  </si>
  <si>
    <t>WOS:001650523200001</t>
  </si>
  <si>
    <t>Sampa, MB; Aziz, NHA; Rahman, MS; Aziz, NAA; Besar, R; Ghazali, AK</t>
  </si>
  <si>
    <t>Reinforcement learning (RL) has emerged as a powerful artificial intelligence paradigm in medical image analysis, excelling in complex decision-making tasks. This systematic review synthesizes the applications of RL across diverse imaging domains-including landmark detection, image segmentation, lesion identification, disease diagnosis, and image registration-by analyzing 20 peer-reviewed studies published between 2019 and 2023. RL methods are categorized into classical and deep reinforcement learning (DRL) approaches, focusing on their performance, integration with other machine learning models, and clinical utility. Deep Q-Networks (DQN) demonstrated strong performance in anatomical landmark detection and cardiovascular risk estimation, while Proximal Policy Optimization (PPO) and Advantage Actor-Critic (A2C) achieved optimal policy learning for vessel tracking. Policy gradient methods such as REINFORCE, Twin-Delayed Deep Deterministic Policy Gradient (TD3), and Soft Actor-Critic (SAC) were successfully applied to breast lesion detection, white-matter connectivity analysis, and vertebral segmentation.Monte Carlo learning, meta-RL, and A3C methods proved effective for adaptive questioning, image quality evaluation, and multimodal image registration. To consolidate these findings, we propose a unified Reinforcement Learning Medical Imaging (RLMI) framework encompassing four core components: state representation, policy optimization, reward formulation, and environment modeling. This framework enhances sequential agent learning, stabilizes navigation, and generalizes across imaging modalities and tasks. Key challenges remain, including optimizing task-specific policies, integrating anatomical contexts, addressing data scarcity, and improving interpretability. This review highlights RL's potential to enhance accuracy, adaptability, and efficiency in medical image analysis, providing valuable guidance for researchers and clinicians applying RL in real-world healthcare settings.</t>
  </si>
  <si>
    <t>Sampa, Masuda Begum; Abdul Aziz, Nor Hidayati; Rahman, Md. Siddikur; Ab. Aziz, Nor Azlina; Besar, Rosli; Ghazali, Anith Khairunnisa</t>
  </si>
  <si>
    <t>Aziz, NHA (corresponding author), Multimedia Univ, Fac Engn &amp; Technol, Melaka 75450, Malaysia.</t>
  </si>
  <si>
    <t>hidayati.aziz@mmu.edu.my</t>
  </si>
  <si>
    <t>Multimedia University, Malaysia [MMUI/230019]</t>
  </si>
  <si>
    <t>Multimedia University, Malaysia</t>
  </si>
  <si>
    <t>This study was funded by Multimedia University, Malaysia (grant number MMUI/240090).</t>
  </si>
  <si>
    <t>[Sampa, Masuda Begum; Abdul Aziz, Nor Hidayati; Ab. Aziz, Nor Azlina; Besar, Rosli; Ghazali, Anith Khairunnisa] Multimedia Univ, Fac Engn &amp; Technol, Melaka 75450, Malaysia; [Sampa, Masuda Begum] Univ Sci &amp; Technol Chittagong USTC, Chittagong, Bangladesh; [Rahman, Md. Siddikur] Begum Rokeya Univ, Dept Stat, Rangpur, Bangladesh</t>
  </si>
  <si>
    <t>Multimedia University</t>
  </si>
  <si>
    <t>Reinforcement learning for medical image analysis: a systematic review of algorithms, engineering challenges, and clinical deployment</t>
  </si>
  <si>
    <t>Medical image analysis; reinforcement learning; systematic literature review</t>
  </si>
  <si>
    <t>ARTIFICIAL AGENT</t>
  </si>
  <si>
    <t>Sampa, Masuda/JYP-7499-2024; Abdul Aziz, Nor Hidayati/P-8072-2019</t>
  </si>
  <si>
    <t>Ab Aziz, Nor Azlina/0000-0002-2119-6191</t>
  </si>
  <si>
    <t>69</t>
  </si>
  <si>
    <t>2597553</t>
  </si>
  <si>
    <t>10.1080/24699322.2025.2597553</t>
  </si>
  <si>
    <t>http://dx.doi.org/10.1080/24699322.2025.2597553</t>
  </si>
  <si>
    <t>AI7OF</t>
  </si>
  <si>
    <t>41452320</t>
  </si>
  <si>
    <t>WOS:001649096500001</t>
  </si>
  <si>
    <t>Ramírez, CEM; Chari, TA; Shoko, R</t>
  </si>
  <si>
    <t>This review addresses the pressing challenge of improving disease monitoring through the integration of computational intelligence (CI) and genetic programming (GP) within wireless sensor networks (WSNs). The significance of this work lies in the rising incidence of communicable diseases and the demand for efficient, scalable monitoring systems. The study synthesizes existing literature on CI techniques, such as machine learning and neural networks, alongside GP to optimize disease monitoring protocols. Key findings indicate that these integrated approaches enhance the reliability and adaptability of monitoring systems in dynamic healthcare environments. The review concludes that employing stochastic modeling significantly mitigates uncertainties in disease dynamics, leading to more accurate real-time monitoring. The novelty of this work is its comprehensive framework that combines CI and GP, addressing limitations in traditional disease monitoring methods and proposing innovative solutions to challenges such as energy efficiency and data security. By fostering collaboration and innovation in WSN-based healthcare systems, this review contributes to advancing healthcare technologies and improving patient outcomes across various settings.</t>
  </si>
  <si>
    <t>Maya Ramirez, Carlos Eliel; Chari, Tawanda Ashley; Shoko, Ryman</t>
  </si>
  <si>
    <t>Shoko, R (corresponding author), Chinhoyi Univ Technol, Sch Nat Sci &amp; Math, Dept Biol, Private Bag 7724, Chinhoyi, Zimbabwe.</t>
  </si>
  <si>
    <t>[Maya Ramirez, Carlos Eliel] Dept Bioquim Escuela Nacl Ciencias Biol, Lab Enzimol, Inst Politecn Nacl Carpio &amp; Plan Ayala S-N, Mexico City, Mexico; [Chari, Tawanda Ashley; Shoko, Ryman] Chinhoyi Univ Technol, Sch Nat Sci &amp; Math, Dept Biol, Private Bag 7724, Chinhoyi, Zimbabwe; [Shoko, Ryman] Univ Lusaka, Sch Med &amp; Hlth Sci, Dept Basic Sci, Lusaka, Zambia</t>
  </si>
  <si>
    <t>Significance of computational intelligence and genetic programming based models for real-time disease monitoring in wireless sensor networks</t>
  </si>
  <si>
    <t>Computational intelligence; wireless sensor networks; WSN; genetic programming; disease monitoring; healthcare systems</t>
  </si>
  <si>
    <t>Chari, Tawanda/GSD-4422-2022; Shoko, Ryman/V-5629-2019</t>
  </si>
  <si>
    <t>67</t>
  </si>
  <si>
    <t>2605950</t>
  </si>
  <si>
    <t>10.1080/23311916.2025.2605950</t>
  </si>
  <si>
    <t>http://dx.doi.org/10.1080/23311916.2025.2605950</t>
  </si>
  <si>
    <t>AH6NQ</t>
  </si>
  <si>
    <t>WOS:001648351400001</t>
  </si>
  <si>
    <t>Rai, P; Mark, IT; Soni, N; Diehn, F; Messina, SA; Benson, JC; Madhavan, A; Agarwal, A; Bathla, G</t>
  </si>
  <si>
    <t>MRI is a cornerstone of neuroimaging, providing unparalleled soft-tissue contrast. However, its clinical utility is often limited by long acquisition times, which contribute to motion artifacts, patient discomfort, and increased costs. Although traditional acceleration techniques, such as parallel imaging and compressed sensing help reduce scan times, they may reduce SNR and introduce artifacts. The advent of deep learning?based image reconstruction (DLBIR) may help in several ways to reduce scan times while preserving or improving image quality. Various DLBIR techniques are currently available through different vendors, with claimed reductions in gradient times up to 85% while maintaining or enhancing lesion conspicuity, improved noise suppression and diagnostic accuracy. The evolution of DLBIR from 2D to 3D acquisitions, coupled with advancements in self-supervised learning, further expands its capabilities and clinical applicability. Despite these advancements, challenges persist in generalizability across scanners and imaging conditions, susceptibility to artifacts, and potential alterations in pathology representation. Additionally, limited data on training, underlying algorithms, and clinical validation of these vendor-specific closed-source algorithms pose barriers to end-user trust and widespread adoption. This review explores the current applications of DLBIR in neuroimaging, vendor-driven implementations, and emerging trends that may impact accelerated MRI acquisitions.</t>
  </si>
  <si>
    <t>Rai, Pranjal; Mark, Ian T.; Soni, Neetu; Diehn, Felix; Messina, Steven A.; Benson, John C.; Madhavan, Ajay; Agarwal, Amit; Bathla, Girish</t>
  </si>
  <si>
    <t>Soni, N (corresponding author), Mayo Clin, Dept Radiol, 4500 San Pablo Rd, Jacksonville, FL 55902 USA.</t>
  </si>
  <si>
    <t>Soni.neetu@mayo.edu</t>
  </si>
  <si>
    <t>[Rai, Pranjal] Tata Mem Hosp, Parel Mumbai, Maharashtra, India; [Mark, Ian T.; Diehn, Felix; Messina, Steven A.; Benson, John C.; Madhavan, Ajay; Bathla, Girish] Mayo Clin, Dept Radiol, Div Neuroradiol, Rochester, MN USA; [Soni, Neetu] Mayo Clin, Dept Radiol, Div Neuroradiol, Jacksonville, FL USA; [Agarwal, Amit] Geisinger Hlth, Dept Radiol, Div Neuroradiol, Danville, PA USA</t>
  </si>
  <si>
    <t>Tata Memorial Centre (TMC); Tata Memorial Hospital; Mayo Clinic; Mayo Clinic</t>
  </si>
  <si>
    <t>Deep Learning?Based Acceleration in MRI: Current Landscape and Clinical Applications in Neuroradiology</t>
  </si>
  <si>
    <t>AMERICAN JOURNAL OF NEURORADIOLOGY</t>
  </si>
  <si>
    <t>IMAGE QUALITY; RECONSTRUCTION; NETWORK</t>
  </si>
  <si>
    <t>SONI, NEETU/ABD-7820-2021; Mark, Ian/HSE-5734-2023; Rai, Pranjal/OKS-1316-2025</t>
  </si>
  <si>
    <t>BATHLA, GIRISH/0000-0003-3170-242X; Messina, Steven/0000-0002-0861-8628; SONI, NEETU/0000-0003-2082-1634; Benson, John/0000-0002-4038-5422; Mark, Ian/0000-0002-4036-2992; Diehn, Felix/0000-0001-9458-8017; Madhavan, Ajay/0000-0003-1794-4502</t>
  </si>
  <si>
    <t>5</t>
  </si>
  <si>
    <t>AMER SOC NEURORADIOLOGY</t>
  </si>
  <si>
    <t>DENVILLE</t>
  </si>
  <si>
    <t>PO BOX 3000, DENVILLE, NJ 07834-9349 USA</t>
  </si>
  <si>
    <t>0195-6108</t>
  </si>
  <si>
    <t>1936-959X</t>
  </si>
  <si>
    <t>AM J NEURORADIOL</t>
  </si>
  <si>
    <t>Am. J. Neuroradiol.</t>
  </si>
  <si>
    <t>DEC 30 2026</t>
  </si>
  <si>
    <t>47</t>
  </si>
  <si>
    <t>10.3174/ajnr.A8943</t>
  </si>
  <si>
    <t>http://dx.doi.org/10.3174/ajnr.A8943</t>
  </si>
  <si>
    <t>Clinical Neurology; Neuroimaging; Radiology, Nuclear Medicine &amp; Medical Imaging</t>
  </si>
  <si>
    <t>Neurosciences &amp; Neurology; Radiology, Nuclear Medicine &amp; Medical Imaging</t>
  </si>
  <si>
    <t>AL8VF</t>
  </si>
  <si>
    <t>40721279</t>
  </si>
  <si>
    <t>WOS:001651210300001</t>
  </si>
  <si>
    <t>hybrid; Green Submitted</t>
  </si>
  <si>
    <t>Eyvazian, A; Song, Y; Hovhannes, C; Savari, A; Singh, NSS</t>
  </si>
  <si>
    <t>Soft robotics has emerged as a transformative paradigm in automation, offering unprecedented compliance, adaptability, and safety for operation in unstructured and dynamic environments. This study systematically reviews the latest advances in soft robotic systems, spanning novel material innovations, intelligent hybrid architectures, and cutting-edge actuation and control strategies. Key developments in integration with artificial intelligence, computer vision, and machine learning are highlighted, enabling enhanced perception, autonomy, and adaptive behavior. Application-driven case studies in healthcare, exploration, and search-and-rescue showcase the evolving capabilities of soft robots in challenging real-world settings. Persistent challenges, such as untethered operation, robust sensorimotor integration, scalable fabrication, and interpretable AI, are discussed alongside emerging multidisciplinary solutions. The review concludes by outlining future research directions, emphasizing the need for unified codesign approaches and collaboration across robotics, materials science, AI, and biology. This synthesis provides a roadmap for advancing next-generation soft robotic systems, aiming to bridge the gap between laboratory innovations and impactful deployment in complex, unpredictable environments, in support of industrial and innovation progress.</t>
  </si>
  <si>
    <t>Eyvazian, Arameh; Song, Yooseob; Hovhannes, Chibukhchyan; Savari, Ardeshir; Singh, Narinderjit Singh Sawaran</t>
  </si>
  <si>
    <t>Eyvazian, A (corresponding author), Polytech Univ Milan, Dept Mech Engn, Milan, Italy.</t>
  </si>
  <si>
    <t>arameh.eyvazian@polimi.it</t>
  </si>
  <si>
    <t>[Eyvazian, Arameh] Politecn Milano Tech Univ, Dept Mech Engn, Piazza Leonardo da Vinci 32, I-20133 Milan, Italy; [Song, Yooseob] Univ Alabama Huntsville, Dept Civil &amp; Environm Engn, Huntsville, AL USA; [Hovhannes, Chibukhchyan] Natl Polytech Univ Armenia, Chair Mech Engn, Yerevan, Armenia; [Savari, Ardeshir] Univ Calgary, Dept Mech Engn, Calgary, AB T2N 1N4, Canada; [Singh, Narinderjit Singh Sawaran] INTI Int Univ, Fac Data Sci &amp; Informat Technol, Negeri Sembilan 71800, Malaysia</t>
  </si>
  <si>
    <t>Polytechnic University of Milan; University of Alabama System; University of Alabama Huntsville; National Polytechnic University of Armenia; University of Calgary; INTI International University</t>
  </si>
  <si>
    <t>State-of-the-art soft robotic systems for unstructured and real-world environments: A systematic review</t>
  </si>
  <si>
    <t>ENGINEERING SCIENCE AND TECHNOLOGY-AN INTERNATIONAL JOURNAL-JESTECH</t>
  </si>
  <si>
    <t>Soft robotics; Unstructured environments; Adaptive actuation; AI integration; Bioinspired materials; Autonomous systems</t>
  </si>
  <si>
    <t>MOBILE ROBOTS; DESIGN; FABRICATION; PROPRIOCEPTION; ACTUATORS; VEHICLE</t>
  </si>
  <si>
    <t>Savari, Ardeshir/OKR-5831-2025; Sawaran Singh, Narinderjit Singh/PFI-8231-2025; Song, Yooseob/ABB-3753-2020; Chibukhchyan, Hovhannes/MIQ-4507-2025</t>
  </si>
  <si>
    <t>Song, Yooseob/0000-0001-5675-4045; Chibukhchyan, Hovhannes/0000-0003-0746-2091</t>
  </si>
  <si>
    <t>202</t>
  </si>
  <si>
    <t>41</t>
  </si>
  <si>
    <t>51</t>
  </si>
  <si>
    <t>ELSEVIER - DIVISION REED ELSEVIER INDIA PVT LTD</t>
  </si>
  <si>
    <t>NEW DELHI</t>
  </si>
  <si>
    <t>17-A/1 MAIN RING ROAD, LAJPAT NAGAR IV, NEW DELHI, 110024, INDIA</t>
  </si>
  <si>
    <t>2215-0986</t>
  </si>
  <si>
    <t>ENG SCI TECHNOL</t>
  </si>
  <si>
    <t>Eng. Sci. Technol.</t>
  </si>
  <si>
    <t>JAN 2026</t>
  </si>
  <si>
    <t>102264</t>
  </si>
  <si>
    <t>10.1016/j.jestch.2025.102264</t>
  </si>
  <si>
    <t>http://dx.doi.org/10.1016/j.jestch.2025.102264</t>
  </si>
  <si>
    <t>DEC 2026</t>
  </si>
  <si>
    <t>AK3TA</t>
  </si>
  <si>
    <t>WOS:001650190600001</t>
  </si>
  <si>
    <t>Huang, LN; Islam, T; Miron, A; Hone, K; Li, YM</t>
  </si>
  <si>
    <t>As the workload of radiologists continues to increase, writing radiology reports remains a time-consuming and error-prone task. In recent years, Automated Radiology Report Generation (ARRG) has emerged as a research hotspot aimed at addressing this challenge. This review analyses the main ARRG research streams, including template-based, retrieval-based, encoder-decoder, foundation-model-based, and hybrid approaches. We trace the evolution of ARRG from early template and retrieval paradigms to encoder-decoder and more recent foundationmodel-based approaches, while also discussing the growing roles of multimodal, knowledge integration and reinforcement learning strategies, and we compare their respective strengths and limitations. We further summarise the commonly used public, restricted, and private datasets in ARRG research, while distinguishing between datasets that can directly support report generation and auxiliary resources mainly used for pretraining, grounding, or evaluation. In addition, we examine the clinical implications of radiology report format, with particular attention to the trade-offs between free-text and structured reporting and their consequences for model design. We also review mainstream evaluation methods for ARRG, including quantitative metrics (e.g., NLG and CE metrics) and qualitative assessment, and discuss why factual correctness, report organization, and clinical usefulness are not fully captured by surface-level language similarity alone. Finally, we discuss ethical and governance issues that are especially salient for ARRG, such as privacy, bias, hallucination, omission of key abnormalities, negation errors, and responsibility allocation in clinical workflows. We hope that this review will serve as a useful reference for future ARRG research and for the safe translation of these systems into clinical practice.</t>
  </si>
  <si>
    <t>Huang, Lina; Islam, Tasin; Miron, Alina; Hone, Kate; Li, Yongmin</t>
  </si>
  <si>
    <t>Huang, LN (corresponding author), Brunel Univ London, Dept Comp Sci, London UB8 3PH, England.</t>
  </si>
  <si>
    <t>yongmin.li@brunel.ac.uk; lina.huang@brunel.ac.uk; kate.hone@brunel.ac.uk; tasin.islam@brunel.ac.uk; alina.miron@brunel.ac.uk</t>
  </si>
  <si>
    <t>[Huang, Lina; Islam, Tasin; Miron, Alina; Hone, Kate; Li, Yongmin] Brunel Univ London, Dept Comp Sci, London UB8 3PH, England</t>
  </si>
  <si>
    <t>Brunel University</t>
  </si>
  <si>
    <t>Automated radiology report generation: A comprehensive review</t>
  </si>
  <si>
    <t>EXPERT SYSTEMS WITH APPLICATIONS</t>
  </si>
  <si>
    <t>ARRG; Radiology report formats; Foundation models; Multimodal; Knowledge integration; Ethical challenges</t>
  </si>
  <si>
    <t>STRUCTURED REPORT TEMPLATE; ARTIFICIAL-INTELLIGENCE; EMERGENCY-DEPARTMENT; CHEST RADIOGRAPHS; HEALTH-CARE; MRI REPORTS; IMAGE; CT; QUALITY; SEGMENTATION</t>
  </si>
  <si>
    <t>321</t>
  </si>
  <si>
    <t>PERGAMON-ELSEVIER SCIENCE LTD</t>
  </si>
  <si>
    <t>OXFORD</t>
  </si>
  <si>
    <t>THE BOULEVARD, LANGFORD LANE, KIDLINGTON, OXFORD OX5 1GB, ENGLAND</t>
  </si>
  <si>
    <t>0957-4174</t>
  </si>
  <si>
    <t>1873-6793</t>
  </si>
  <si>
    <t>EXPERT SYST APPL</t>
  </si>
  <si>
    <t>Expert Syst. Appl.</t>
  </si>
  <si>
    <t>DEC 15 2026</t>
  </si>
  <si>
    <t>331</t>
  </si>
  <si>
    <t>C</t>
  </si>
  <si>
    <t>133320</t>
  </si>
  <si>
    <t>10.1016/j.eswa.2026.133320</t>
  </si>
  <si>
    <t>http://dx.doi.org/10.1016/j.eswa.2026.133320</t>
  </si>
  <si>
    <t>Computer Science, Artificial Intelligence; Engineering, Electrical &amp; Electronic; Operations Research &amp; Management Science</t>
  </si>
  <si>
    <t>Computer Science; Engineering; Operations Research &amp; Management Science</t>
  </si>
  <si>
    <t>KI6HR</t>
  </si>
  <si>
    <t>WOS:001807840800003</t>
  </si>
  <si>
    <t>An, JP; Fan, X; Liu, Y; Zhang, XF; Lin, WS</t>
  </si>
  <si>
    <t>Computed tomography (CT) is a significant clinical detection method without invasive procedures. However, high-dose radiation is associated with elevated risk of cancer. Low-dose CT reconstruction techniques have the potential to significantly reduce this risk. These techniques reduce radiation dose by two means: low radiation intensity and incomplete scans. The focus of this review is incomplete-scan CT reconstruction techniques, including sparse-view and limited-angle CT reconstruction. In the context of incomplete scans, CT images obtained by conventional CT reconstruction techniques exhibit noises and streak artifacts. Deep learning techniques are changing this situation. However, there are few reviews that recently focus on the fast developing area. This paper reviews recent research on CT reconstruction of incomplete scans via deep learning and classifies them into two categories including image domain and reconstruction domain processing methods. This study also evaluates the strengths and limitations of these approaches and discusses future prospects, highlighting promising technologies and directions.</t>
  </si>
  <si>
    <t>An, Jinpeng; Fan, Xu; Liu, Yue; Zhang, Xinfeng; Lin, Weisi</t>
  </si>
  <si>
    <t>Zhang, XF (corresponding author), Univ Chinese Acad Sci, Sch Comp Sci &amp; Technol, Beijing, Peoples R China.</t>
  </si>
  <si>
    <t>xfzhang@ucas.ac.cn</t>
  </si>
  <si>
    <t>National Natural Science Foundation of China [62461160310, 62521007, 62431011]</t>
  </si>
  <si>
    <t>This work was supported by the National Natural Science Foundation of China (Grant Nos. 62461160310, 62521007 and 62431011).</t>
  </si>
  <si>
    <t>[An, Jinpeng; Fan, Xu; Liu, Yue; Zhang, Xinfeng] Univ Chinese Acad Sci, Sch Comp Sci &amp; Technol, Beijing, Peoples R China; [Lin, Weisi] Nanyang Technol Univ, Coll Comp &amp; Data Sci, Singapore, Singapore</t>
  </si>
  <si>
    <t>Chinese Academy of Sciences; University of Chinese Academy of Sciences, CAS; Nanyang Technological University</t>
  </si>
  <si>
    <t>Incomplete-scan CT reconstruction via deep learning: a review</t>
  </si>
  <si>
    <t>APSIPA TRANSACTIONS ON SIGNAL AND INFORMATION PROCESSING</t>
  </si>
  <si>
    <t>CT reconstruction; Deep learning; Incomplete scan</t>
  </si>
  <si>
    <t>COMPUTED-TOMOGRAPHY RECONSTRUCTION; NEURAL-NETWORK; SINOGRAM INTERPOLATION; IMAGE-RECONSTRUCTION; INVERSE PROBLEMS; DUAL-DOMAIN; SPARSE; NET; TRANSMISSION; PRINCIPLES</t>
  </si>
  <si>
    <t>134</t>
  </si>
  <si>
    <t>EMERALD GROUP PUBLISHING LTD</t>
  </si>
  <si>
    <t>Leeds</t>
  </si>
  <si>
    <t>Floor 5, Northspring 21-23 Wellington Street, Leeds, W YORKSHIRE, ENGLAND</t>
  </si>
  <si>
    <t>2048-7703</t>
  </si>
  <si>
    <t>APSIPA TRANS SIGNAL</t>
  </si>
  <si>
    <t>APSIPA Trans. Signal Inf. Proc.</t>
  </si>
  <si>
    <t>DEC 14 2026</t>
  </si>
  <si>
    <t>e112</t>
  </si>
  <si>
    <t>e115</t>
  </si>
  <si>
    <t>10.1108/ATSIP-02-2026-005</t>
  </si>
  <si>
    <t>http://dx.doi.org/10.1108/ATSIP-02-2026-005</t>
  </si>
  <si>
    <t>Engineering, Electrical &amp; Electronic</t>
  </si>
  <si>
    <t>FG6UQ</t>
  </si>
  <si>
    <t>WOS:001718313400001</t>
  </si>
  <si>
    <t>Zhang, TM; Ding, L</t>
  </si>
  <si>
    <t>This review synthesizes research on a novel computational sensing paradigm for intelligent interactive environments, which integrates computational imaging with surface electromyography (sEMG) to overcome limitations of vision-only systems. We systematically survey the two core sensing pathways. First, we elaborate on computational imaging techniques for capturing gesture geometry, including depth sensing and deep learning-based visual algorithms. Second, we review sEMG as a physiological sensing modality, covering state-of-theart methods for signal processing, feature extraction, and intent decoding. Furthermore, the study provides a comprehensive analysis of multimodal fusion architectures for visual and physiological data. We examine methods across data-level, feature-level, and decision-level fusion, discussing how this multi-modal integration progressively enhances robustness and has the opportunity to improve perceptual performance. By consolidating a broad range of literature, this study presents a unified framework demonstrating how the hardware-algorithm co-design of vision and sEMG creates a synergistic perceptual system. It provides a foundational perspective for designing next-generation interactive spaces.</t>
  </si>
  <si>
    <t>Zhang, Tianming; Ding, Li</t>
  </si>
  <si>
    <t>Zhang, TM (corresponding author), Beihang Univ, Beijing Adv Innovat Ctr Biomed Engn, Key Lab Biomech &amp; Mechanobiol, Sch Biol Sci &amp; Med Engn,Minist Educ, Beijing, Peoples R China.</t>
  </si>
  <si>
    <t>ding1971316@buaa.edu.cn; zhangtm1517@qq.com</t>
  </si>
  <si>
    <t>[Zhang, Tianming; Ding, Li] Beihang Univ, Beijing Adv Innovat Ctr Biomed Engn, Key Lab Biomech &amp; Mechanobiol, Sch Biol Sci &amp; Med Engn,Minist Educ, Beijing, Peoples R China</t>
  </si>
  <si>
    <t>Beihang University</t>
  </si>
  <si>
    <t>From Pixels to sEMG: Signal Processing and Fusion Architectures for Multimodal Gesture Recognition - A Systematic Review</t>
  </si>
  <si>
    <t>BIOMEDICAL SIGNAL PROCESSING AND CONTROL</t>
  </si>
  <si>
    <t>gesture recognition; biomedical signal processing; surface electromyography; multimodal fusion; intelligent interaction</t>
  </si>
  <si>
    <t>SURFACE EMG; PATTERN-RECOGNITION; FEATURE-EXTRACTION; WAVELET; CLASSIFICATION; SHIFT; TRACKING; SEGMENTATION; TRANSFORM; ROBUST</t>
  </si>
  <si>
    <t>194</t>
  </si>
  <si>
    <t>ELSEVIER SCI LTD</t>
  </si>
  <si>
    <t>London</t>
  </si>
  <si>
    <t>125 London Wall, London, ENGLAND</t>
  </si>
  <si>
    <t>1746-8094</t>
  </si>
  <si>
    <t>1746-8108</t>
  </si>
  <si>
    <t>BIOMED SIGNAL PROCES</t>
  </si>
  <si>
    <t>Biomed. Signal Process. Control</t>
  </si>
  <si>
    <t>DEC 1 2026</t>
  </si>
  <si>
    <t>128</t>
  </si>
  <si>
    <t>111230</t>
  </si>
  <si>
    <t>10.1016/j.bspc.2026.111230</t>
  </si>
  <si>
    <t>http://dx.doi.org/10.1016/j.bspc.2026.111230</t>
  </si>
  <si>
    <t>Engineering, Biomedical</t>
  </si>
  <si>
    <t>MU1FY</t>
  </si>
  <si>
    <t>WOS:001850922800001</t>
  </si>
  <si>
    <t>Szondy, I; Martyin, K; Mohos, G; Kiss, T; Szabó, K; Boostani, M; Goldust, M; Grzybowski, A; Bánvölgyi, A; Kiss, N</t>
  </si>
  <si>
    <t>Artificial intelligence (AI) comprises computational methods capable of performing tasks associated with human cognition, and includes specialized subfields such as machine learning, deep learning, convolutional neural networks for image analysis, and large language models for text-based workflows. In dermatology, these methods are increasingly used across research and clinical practice, supporting drug discovery, diagnosis, decision-making, and personalized treatment. In drug discovery, AI can accelerate target identification, support in silico compound design, and predict the effectiveness and safety profiles of compounds. It also offers opportunities for drug repurposing, helping identify candidates for conditions with limited treatment options. In clinical practice, AI enhances teledermatology and imaging-based assessment, providing consistent lesion analysis, severity evaluation, and triage support across malignant, inflammatory, and infectious skin diseases. Beyond diagnosis, AI is beginning to play a significant role in supporting therapeutic decision-making. Clinical decision-support systems and multimodal AI tools assist clinicians by organizing information, suggesting management strategies, monitoring disease progression, and helping align treatment choices with current guidelines. AI models can further estimate treatment response, durability, and the likelihood of therapy adjustment, creating a basis for more individualized care. Despite these advances, significant challenges remain. Bias in training data, limited real-world validation, unclear regulatory frameworks, concerns over interpretability, and the need for patient and clinician trust remain ongoing barriers. This review aims to provide an up-todate overview of the emerging application domains of AI in dermatology.</t>
  </si>
  <si>
    <t>Szondy, Istvan; Martyin, Katalin; Mohos, Gabriella; Kiss, Tara; Szabo, Katalin; Boostani, Mehdi; Goldust, Mohamad; Grzybowski, Andrzej; Banvolgyi, Andras; Kiss, Norbert</t>
  </si>
  <si>
    <t>Kiss, N (corresponding author), Semmelweis Univ, Fac Med, Dept Dermatol Venereol &amp; Dermatooncol, Maria Utca 41, H-1085 Budapest, Hungary.</t>
  </si>
  <si>
    <t>kiss.norbert@semmelweis.hu</t>
  </si>
  <si>
    <t>[Szondy, Istvan; Martyin, Katalin; Mohos, Gabriella; Kiss, Tara; Szabo, Katalin; Banvolgyi, Andras; Kiss, Norbert] Semmelweis Univ, Fac Med, Dept Dermatol Venereol &amp; Dermatooncol, Maria Utca 41, H-1085 Budapest, Hungary; [Boostani, Mehdi] Roswell Pk Comprehens Canc Ctr, Dept Dermatol, Buffalo, NY USA; [Goldust, Mohamad] Yale Univ, Sch Med, Dept Dermatol, New Haven, CT USA; [Grzybowski, Andrzej] Univ Warmia &amp; Mazury, Dept Ophthalmol, Olsztyn, Poland; [Grzybowski, Andrzej] Fdn Ophthalmol Dev, Inst Res Ophthalmol, Poznan, Poland</t>
  </si>
  <si>
    <t>Semmelweis University; Roswell Park Comprehensive Cancer Center; Yale University; University of Warmia &amp; Mazury</t>
  </si>
  <si>
    <t>Artificial intelligence in skin disease therapeutics: from drug discovery to personalized treatment pathways</t>
  </si>
  <si>
    <t>PRESSE MEDICALE</t>
  </si>
  <si>
    <t>Artificial intelligence; Drug discovery; Diagnosis; Decision support; Personalized treatment; Review</t>
  </si>
  <si>
    <t>DERMATOLOGY; CANCER; MODELS</t>
  </si>
  <si>
    <t>87</t>
  </si>
  <si>
    <t>MASSON EDITEUR</t>
  </si>
  <si>
    <t>MOULINEAUX CEDEX 9</t>
  </si>
  <si>
    <t>21 STREET CAMILLE DESMOULINS, ISSY, 92789 MOULINEAUX CEDEX 9, FRANCE</t>
  </si>
  <si>
    <t>0755-4982</t>
  </si>
  <si>
    <t>2213-0276</t>
  </si>
  <si>
    <t>PRESSE MED</t>
  </si>
  <si>
    <t>Presse Med.</t>
  </si>
  <si>
    <t>55</t>
  </si>
  <si>
    <t>104376</t>
  </si>
  <si>
    <t>10.1016/j.lpm.2026.104376</t>
  </si>
  <si>
    <t>http://dx.doi.org/10.1016/j.lpm.2026.104376</t>
  </si>
  <si>
    <t>MP1XW</t>
  </si>
  <si>
    <t>42386042</t>
  </si>
  <si>
    <t>WOS:001847577500001</t>
  </si>
  <si>
    <t>hybrid</t>
  </si>
  <si>
    <t>Neto, M; Pinto, R; Reis, J; Antao, L</t>
  </si>
  <si>
    <t>The adoption of Generative AI (GenAI) and Large Language Models (LLMs) in healthcare education has acceler ated rapidly since 2023, yet the evidence base for their use in Scenario-Based Learning (SBL) remains fragmented. This systematic review synthesises empirical research on GenAI applications across scenario-based, case-based, problem-based, and simulation-based learning in healthcare education. Following the PRISMA 2020 guidelines, five databases were searched on 9 November 2025 for peer-reviewed studies published from January 2023 onwards. Of 1151 initial records, 23 studies met the inclusion criteria. Quality was assessed using the Mixed Methods Appraisal Tool (MMAT). Thematic synthesis identified six cross-cutting themes organised around a cen tral finding: prompt design in educational contexts functions as a form of instructional specification, encoding the cognitive targets and quality criteria that would otherwise be implicit in expert authoring. Yet only 34.8% of studies aligned generated content with established instructional frameworks, and an equal proportion re ported prompting strategies in sufficient detail for reproduction. Additional findings include: variable validation practices lacking standardisation; superior outcomes from hybrid human-AI collaboration over fully automated approaches; persistent evaluation gaps in longitudinal and comparative designs; and scalability as a primary adoption driver despite largely unquantified efficiency gains. GPT-4 dominated implementations (44.4%), while open-source alternatives were under-explored. Educational outcomes were generally positive for higher-order cognitive skills but inconsistent for knowledge acquisition. A four-stage validation pipeline is proposed as a con ceptual framework to guide responsible deployment, pending empirical validation. These findings suggest that GenAI integration in healthcare SBL requires treating prompt design as a methodological element, standardising multi-stage validation, and formalising human-AI collaboration to realise its educational potential.</t>
  </si>
  <si>
    <t>Neto, Mariana; Pinto, Rui; Reis, Joao; Antao, Liliana</t>
  </si>
  <si>
    <t>Pinto, R (corresponding author), Univ Porto, SYSTEC ARISE, Fac Engn, Rua Dr Roberto Frias,S-N, P-4200465 Porto, Portugal.</t>
  </si>
  <si>
    <t>up201606791@up.pt; jpcreis@fe.up.pt; lpsantao@fe.up.pt; rpinto@fe.up.pt</t>
  </si>
  <si>
    <t>Foundation for Science and Technology (FCT/MCTES) [LA/P/0112/2020, UIDB/00147/2020, UIDP/00147/2020]; Medtiles [UIDB/00147/2020, UIDP/00147/2020]</t>
  </si>
  <si>
    <t>Foundation for Science and Technology (FCT/MCTES); Medtiles</t>
  </si>
  <si>
    <t>The authors acknowledge the support provided by the Foundation for Science and Technology (FCT/MCTES) within the scope of the Associated Laboratory ARISE (LA/P/0112/2020), the R&amp;D Unit SYSTEC through Base (UIDB/00147/2020) and Programmatic (UIDP/00147/2020) funds. The authors also acknowledge Medtiles for its collaboration and support, particularly for providing the educational platform and clinical scenario generation that informed part of this research.</t>
  </si>
  <si>
    <t>[Neto, Mariana] Univ Porto, Fac Engn, Rua Dr Roberto Frias,S-N, P-4200465 Porto, Portugal; [Pinto, Rui; Reis, Joao; Antao, Liliana] Univ Porto, SYSTEC ARISE, Fac Engn, Rua Dr Roberto Frias,S-N, P-4200465 Porto, Portugal; [Reis, Joao; Antao, Liliana] UPTEC Asprela1, Medtiles, Rua Alfredo Allen 455-461, P-4200135 Porto, Portugal</t>
  </si>
  <si>
    <t>Universidade do Porto; Universidade do Porto</t>
  </si>
  <si>
    <t>Generative AI in scenario-based healthcare education: A systematic review of applications, validation practices, and pedagogical integration</t>
  </si>
  <si>
    <t>COMPUTERS AND EDUCATION: ARTIFICIAL INTELLIGENCE</t>
  </si>
  <si>
    <t>Generative artificial intelligence; Large language models; Scenario-based learning; Healthcare education; Systematic literature review; Human-AI collaboration</t>
  </si>
  <si>
    <t>MEDICAL-EDUCATION</t>
  </si>
  <si>
    <t>ELSEVIER</t>
  </si>
  <si>
    <t>AMSTERDAM</t>
  </si>
  <si>
    <t>RADARWEG 29, 1043 NX AMSTERDAM, NETHERLANDS</t>
  </si>
  <si>
    <t>2666-920X</t>
  </si>
  <si>
    <t>COMPUT EDUC-ARTIF IN</t>
  </si>
  <si>
    <t>Comput. Educ. Artif. Intell.</t>
  </si>
  <si>
    <t>100654</t>
  </si>
  <si>
    <t>10.1016/j.caeai.2026.100654</t>
  </si>
  <si>
    <t>http://dx.doi.org/10.1016/j.caeai.2026.100654</t>
  </si>
  <si>
    <t>Computer Science, Artificial Intelligence; Computer Science, Interdisciplinary Applications; Education &amp; Educational Research</t>
  </si>
  <si>
    <t>Computer Science; Education &amp; Educational Research</t>
  </si>
  <si>
    <t>MN6JT</t>
  </si>
  <si>
    <t>WOS:001846525600001</t>
  </si>
  <si>
    <t>Chen, HX; Zhang, HL; Xiang, YX; Nie, XC; Hu, QJ; Gao, CY</t>
  </si>
  <si>
    <t>Peptide materials have shown their great promise in precision cancer therapy due to their accurate target recognition ability, diverse anti-tumor mechanisms, and biocompatibility. However, conventional peptide discovery largely relies on trial-and-error methods, which are inherently limited by lengthy development cycles, inefficient exploration of the vast sequence space, and inadequate characterization of structure-activity relationships. Recent advances in machine learning have fundamentally transformed peptide material design by shifting the discovery paradigm from empirical trial-and-error to data-driven rational design. This review systematically summarizes the core framework of machine learning-assisted peptide material design, covering three core components: data acquisition, feature engineering, and model selection and training. We focus on the cutting-edge research progress of machine learning in enhancing the tumor targeting of peptide materials and developing new anti-tumor peptide materials, and introduce the professional databases and algorithm tools that support the development of this field. Finally, we discuss the major challenges facing in machine learning-driven design of tumor-targeted peptide materials, and suggest the future development direction in this field, aiming to provide a systematic theoretical reference for the rational design and clinical translation of novel tumor-targeted peptide materials.</t>
  </si>
  <si>
    <t>Chen, Haoxiang; Zhang, Hailin; Xiang, Yanxin; Nie, Xingcheng; Hu, Qiaoju; Gao, Changyou</t>
  </si>
  <si>
    <t>Gao, CY (corresponding author), Zhejiang Univ, Dept Polymer Sci &amp; Engn, Zhejiang Key Lab Adv Organ Mat &amp; Technol, MOE Key Lab Macromol Synth &amp; Functionalizat, Hangzhou 310058, Peoples R China.</t>
  </si>
  <si>
    <t>cygao@zju.edu.cn</t>
  </si>
  <si>
    <t>Zhejiang Association for Science and Technology Young Talent Support Program [ZJSKXQT2026098]; China Postdoctoral Science Foundation [2025 M782956]; National Natural Science Foundation of China [22505223]; Zhejiang Provincial Natural Science Foundation of China [ZCLMS25B0203]</t>
  </si>
  <si>
    <t>Zhejiang Association for Science and Technology Young Talent Support Program; China Postdoctoral Science Foundation (China Postdoctoral Science Foundation); National Natural Science Foundation of China (National Natural Science Foundation of China (NSFC)); Zhejiang Provincial Natural Science Foundation of China (Natural Science Foundation of Zhejiang Province)</t>
  </si>
  <si>
    <t>This work was supported by a Zhejiang Association for Science and Technology Young Talent Support Program (ZJSKXQT2026098), the China Postdoctoral Science Foundation (2025M782956), National Natural Science Foundation of China (22505223), and Zhejiang Provincial Natural Science Foundation of China (ZCLMS25B0203).</t>
  </si>
  <si>
    <t>[Chen, Haoxiang; Gao, Changyou] Zhejiang Univ, Dept Polymer Sci &amp; Engn, Zhejiang Key Lab Adv Organ Mat &amp; Technol, MOE Key Lab Macromol Synth &amp; Functionalizat, Hangzhou 310058, Peoples R China; [Chen, Haoxiang; Zhang, Hailin; Xiang, Yanxin; Nie, Xingcheng; Hu, Qiaoju; Gao, Changyou] Zhejiang Univ, Zhejiang Engn Res Ctr Interface Technol Med Polyme, Shaoxing Key Lab Healthcare Mat &amp; Applicat Technol, Ctr Healthcare Mat,Shaoxing Inst, Shaoxing 312099, Peoples R China</t>
  </si>
  <si>
    <t>Zhejiang University</t>
  </si>
  <si>
    <t>Machine learning-based peptide material design strategies to enhance tumor targeting and therapy</t>
  </si>
  <si>
    <t>BIOMATERIALS ADVANCES</t>
  </si>
  <si>
    <t>Machine learning; Tumor targeting; Cancer therapy; Peptide material; Biomaterials</t>
  </si>
  <si>
    <t>DISCOVERY; LANGUAGE; DATABASE; SCALE</t>
  </si>
  <si>
    <t>121</t>
  </si>
  <si>
    <t>2772-9508</t>
  </si>
  <si>
    <t>BIOMATER ADV</t>
  </si>
  <si>
    <t>Biomater. Adv.</t>
  </si>
  <si>
    <t>189</t>
  </si>
  <si>
    <t>215097</t>
  </si>
  <si>
    <t>10.1016/j.bioadv.2026.215097</t>
  </si>
  <si>
    <t>http://dx.doi.org/10.1016/j.bioadv.2026.215097</t>
  </si>
  <si>
    <t>Materials Science, Biomaterials</t>
  </si>
  <si>
    <t>Materials Science</t>
  </si>
  <si>
    <t>MJ8RM</t>
  </si>
  <si>
    <t>42561526</t>
  </si>
  <si>
    <t>WOS:001843970600001</t>
  </si>
  <si>
    <t>Bittar, A; Dascanio, R; Özcan, M</t>
  </si>
  <si>
    <t>Artificial intelligence (AI) has been proposed as a tool to improve dental caries detection across imaging modalities; however, its clinical value remains uncertain. This umbrella review aimed to synthesize and critically appraise systematic reviews evaluating AI for caries detection and diagnosis. An umbrella review was conducted following PRIOR guidance (PROSPERO CRD420261340728). Searches were performed in MEDLINE, Embase, Scopus, Web of Science, and Google Scholar up to 15 March 2026. Methodological quality was assessed using AMSTAR 2, and overlap of primary studies was quantified using the corrected covered area (CCA). Seventeen systematic reviews were included, of which five reported diagnostic test accuracy meta-analyses using bivariate or HSROC models. Across these meta-analyses, pooled sensitivity ranged from 0.76 to 0.94 and specificity from 0.85 to 0.91. Most systems were based on deep learning models applied to bitewing radiographs and intraoral photographs. However, substantial heterogeneity was observed in imaging modalities, lesion thresholds, analytical tasks, and evaluation metrics. In addition, a high degree of overlap across reviews and recurrent methodological limitations, including reliance on retrospective datasets, limited external validation, and inconsistent reporting, substantially weaken the reliability of the evidence. Although AI models demonstrate high diagnostic performance under experimental conditions, current evidence does not support their use as standalone diagnostic tools. Their clinical applicability remains limited, and implementation should be restricted to decision-support contexts until robust prospective validation demonstrates meaningful impact on clinical decision-making and patient outcomes.</t>
  </si>
  <si>
    <t>Bittar, Ahmad; Dascanio, Rafael; Ozcan, Mutlu</t>
  </si>
  <si>
    <t>Bittar, A (corresponding author), Istinye Univ, Fac Dent, Dept Restorat Dent, Istanbul, Turkiye.</t>
  </si>
  <si>
    <t>ahmet.baytar989@gmail.com</t>
  </si>
  <si>
    <t>[Bittar, Ahmad] Istinye Univ, Fac Dent, Dept Restorat Dent, Istanbul, Turkiye; [Dascanio, Rafael] State Univ Campinas UNICAMP, Piracicaba Dent Sch, Piracicaba, SP, Brazil; [Dascanio, Rafael; Ozcan, Mutlu] Univ Zurich, Ctr Dent Med, Clin Masticatory Disorders &amp; Dent Biomat, Zurich, Switzerland</t>
  </si>
  <si>
    <t>Istinye University; Universidade Estadual de Campinas; University of Zurich</t>
  </si>
  <si>
    <t>Artificial intelligence for dental caries detection: An umbrella review</t>
  </si>
  <si>
    <t>JOURNAL OF DENTISTRY</t>
  </si>
  <si>
    <t>Dental caries; Artificial intelligence; Deep learning; Diagnostic imaging; Radiography; Intraoral photography; Umbrella review</t>
  </si>
  <si>
    <t>TOOL</t>
  </si>
  <si>
    <t>43</t>
  </si>
  <si>
    <t>0300-5712</t>
  </si>
  <si>
    <t>1879-176X</t>
  </si>
  <si>
    <t>J DENT</t>
  </si>
  <si>
    <t>J. Dent.</t>
  </si>
  <si>
    <t>175</t>
  </si>
  <si>
    <t>106944</t>
  </si>
  <si>
    <t>10.1016/j.jdent.2026.106944</t>
  </si>
  <si>
    <t>http://dx.doi.org/10.1016/j.jdent.2026.106944</t>
  </si>
  <si>
    <t>Dentistry, Oral Surgery &amp; Medicine</t>
  </si>
  <si>
    <t>ML3AI</t>
  </si>
  <si>
    <t>42537896</t>
  </si>
  <si>
    <t>WOS:001844943100001</t>
  </si>
  <si>
    <t>Rahmaniar, W; Sunarwidhi, AL; Hernawan, A</t>
  </si>
  <si>
    <t>Marine natural products (MNPs) from macroalgae and marine sponges have inspired clinically important anticancer agents, including the cytarabine pharmacophore and the eribulin scaffold, while cyanobacterial dolastatin chemistry supplies the auristatin payloads of several marine-inspired antibody-drug conjugates (ADCs) such as brentuximab vedotin. Artificial intelligence (AI) methods, encompassing both classical machine learning (ML) with hand-engineered features and modern deep learning (DL) with many-layered neural networks, are increasingly supporting key decisions in natural-product anticancer drug discovery, including bioactivity prediction, target identification, absorption, distribution, metabolism, excretion and toxicity (ADMET) filtering, generative analogue design, and the selection of preclinical candidates. DL architectures relevant to this field include graph neural networks, transformer-based molecular generators, diffusion models for protein-ligand docking, and convolutional networks for mass spectrometry, while classical ML contributes interpretable fingerprint-based bioactivity models and molecular networking for dereplication. This review follows a systematic literature review methodology to organize the landscape of AI methods now applied to MNP anticancer discovery, distinguishing ML and DL approaches where relevant, situating them within the chemical context of macroalgal and sponge-derived oncology leads, and critically examining published case studies, including validation level (computational, in vitro, in vivo, clinical). The principal bottleneck for medical translation has shifted partly from algorithmic capability toward data infrastructure and experimental validation. Sparse, heterogeneous, and taxonomically biased bioactivity records limit what current models can learn and reduce the reliability of AI-prioritized candidates entering the preclinical pipeline. A roadmap is proposed that prioritizes open MNP-specific benchmarks, symbiont-aware modeling, and active learning loops with synthesizability and ADMET constraints. These AI workflows may accelerate the prioritization of marine-derived anticancer leads and support earlier, more evidence-based translational decisions in oncology drug development.</t>
  </si>
  <si>
    <t>Rahmaniar, Wahyu; Sunarwidhi, Anggit Listyacahyani; Hernawan, Ari</t>
  </si>
  <si>
    <t>Rahmaniar, W (corresponding author), Inst Sci Tokyo, Inst Integrated Res, Yokohama 2268501, Japan.</t>
  </si>
  <si>
    <t>rahmaniar.w.aa@m.titech.ac.jp</t>
  </si>
  <si>
    <t>[Rahmaniar, Wahyu] Inst Sci Tokyo, Inst Integrated Res, Yokohama 2268501, Japan; [Sunarwidhi, Anggit Listyacahyani] Univ Mataram, Fac Med &amp; Hlth Sci, Dept Pharm, Mataram 83115, Indonesia; [Hernawan, Ari] Univ Mataram, Fac Engn, Dept Informat Engn, Mataram 83115, Indonesia</t>
  </si>
  <si>
    <t>Universitas Mataram; Universitas Mataram</t>
  </si>
  <si>
    <t>Artificial intelligence for anticancer drug discovery from natural products of macroalgae and sponges: A systematic review</t>
  </si>
  <si>
    <t>COMPUTATIONAL BIOLOGY AND CHEMISTRY</t>
  </si>
  <si>
    <t>Artificial intelligence; Deep learning; Marine natural products; Drug discovery; Anticancer; Algae and sponges</t>
  </si>
  <si>
    <t>LEAD-LIKE MOLECULES; PROTEIN-STRUCTURE; MARINE; PREDICTION; ANTITUMOR; IDENTIFICATION; BIOACTIVITY; MODELS; FUTURE; CANCER</t>
  </si>
  <si>
    <t>137</t>
  </si>
  <si>
    <t>1476-9271</t>
  </si>
  <si>
    <t>1476-928X</t>
  </si>
  <si>
    <t>COMPUT BIOL CHEM</t>
  </si>
  <si>
    <t>Comput. Biol. Chem.</t>
  </si>
  <si>
    <t>125</t>
  </si>
  <si>
    <t>109280</t>
  </si>
  <si>
    <t>10.1016/j.compbiolchem.2026.109280</t>
  </si>
  <si>
    <t>http://dx.doi.org/10.1016/j.compbiolchem.2026.109280</t>
  </si>
  <si>
    <t>Biology; Computer Science, Interdisciplinary Applications</t>
  </si>
  <si>
    <t>Life Sciences &amp; Biomedicine - Other Topics; Computer Science</t>
  </si>
  <si>
    <t>MI7WG</t>
  </si>
  <si>
    <t>42556018</t>
  </si>
  <si>
    <t>WOS:001843234300001</t>
  </si>
  <si>
    <t>Thirugnanam, S; Gurusamy, M</t>
  </si>
  <si>
    <t>Markerless motion capture (MLMC) technology allows for the analysis of human movement in unobstructed settings without the need for physical markers. With the growing need for scalable and ecologically valid solutions for motion analysis in biomechanics, rehabilitation, sports analysis and ergonomics, there is a rising interest in accurate, non-invasive and affordable alternatives to traditional marker-based motion capture systems. This review offers a thorough synthesis of the current state of the art in markerless motion capture technology with a special emphasis on computer vision, deep learning and multimodal sensing approaches. The major challenges of markerless motion capture, including occlusion, demographic generalization, environmental robustness and biomechanical validation are also critically reviewed. The relative merits and demerits of various algorithmic and sensing paradigms are also discussed in the context of applications in clinical rehabilitation, sports biomechanics, workplace ergonomics and human-computer interaction. Finally, some of the emerging research avenues in markerless motion capture, including physics-informed learning, integration with musculoskeletal modeling frameworks and next-generation sensing technologies are also discussed.</t>
  </si>
  <si>
    <t>Thirugnanam, Shanmugapriyan; Gurusamy, Muralimohan</t>
  </si>
  <si>
    <t>Gurusamy, M (corresponding author), Vellore Inst Technol VIT, Ctr Human Movement Analyt CeHMA, Chennai Campus,Vandalur Kelambakkam Rd, Chennai 600127, India.</t>
  </si>
  <si>
    <t>shanmugapriyan.t2025@vitstudent.ac.in; muralimohan.g@vit.ac.in</t>
  </si>
  <si>
    <t>[Thirugnanam, Shanmugapriyan] Vellore Inst Technol VIT, Sch Mech Engn, Chennai Campus,Vandalur Kelambakkam Rd, Chennai 600127, India; [Gurusamy, Muralimohan] Vellore Inst Technol VIT, Ctr Human Movement Analyt CeHMA, Chennai Campus,Vandalur Kelambakkam Rd, Chennai 600127, India</t>
  </si>
  <si>
    <t>Vellore Institute of Technology (VIT); VIT Chennai; Vellore Institute of Technology (VIT); VIT Chennai</t>
  </si>
  <si>
    <t>Markerless Motion Capture for Biomechanical Analysis: A Critical Review of AI Pipelines, Validation and Applications</t>
  </si>
  <si>
    <t>RESULTS IN ENGINEERING</t>
  </si>
  <si>
    <t>Markerless Motion Capture (MLMC); Human Movement Analysis; Computer Vision; Musculoskeletal Modeling; Biomechanics; Gait</t>
  </si>
  <si>
    <t>MICROSOFT KINECT SENSOR; POSE ESTIMATION; MOVEMENT; TRACKING; KNEE; KINEMATICS; DISORDERS; VALIDITY; POSITION; SYSTEMS</t>
  </si>
  <si>
    <t>171</t>
  </si>
  <si>
    <t>2590-1230</t>
  </si>
  <si>
    <t>RESULTS ENG</t>
  </si>
  <si>
    <t>Results Eng.</t>
  </si>
  <si>
    <t>112247</t>
  </si>
  <si>
    <t>10.1016/j.rineng.2026.112247</t>
  </si>
  <si>
    <t>http://dx.doi.org/10.1016/j.rineng.2026.112247</t>
  </si>
  <si>
    <t>ME1NZ</t>
  </si>
  <si>
    <t>WOS:001840089200001</t>
  </si>
  <si>
    <t>Kapun, MM; Smolander, N; Masotta, V; Caples, M; Kamensek, T</t>
  </si>
  <si>
    <t>Introduction: Genomics is increasingly recognized as essential for precision health, yet its integration into undergraduate nursing and other health sciences curricula remains limited. Persistent gaps in genomics literacy and confidence among students and professionals indicate that current educational approaches may not adequately prepare graduates for genomics-informed care and precision health. The aim of this review is to map educational approaches and methods used to enhance genomic competencies among undergraduate health sciences students and discuss implications for nursing education. Methods: Scoping review, reported in accordance with PRISMA-ScR recommendations. Systematic search in CINAHL Ultimate, ERIC, and MEDLINE for studies published in English between January 2015 and December 2024 was undertaken. Data were charted using a standardized extraction form and synthesized descriptively and narratively, grouping interventions by educational approach, methods, strategies, techniques, and tools. Results: Thirty-one studies were included, mostly from the United States, involving primarily medical and nursing students. Educational approaches centered on experiential and practice-based learning, simulation, case- and problem-based learning, flipped classrooms, collaborative or interprofessional learning, narrative and arts-based methods, and technology-enhanced strategies such as virtual labs, online modules, and digital storytelling. These approaches were associated with improvements in genomic knowledge, application to clinical scenarios, ethical awareness, engagement, and self-reported confidence, although outcomes were predominantly short-term. Conclusions: Genomics education for health sciences students is characterized by diverse, largely experiential and student-centered approaches. Integration into curricula remains fragmented and often focused on genetics rather than broader genomics and precision health. Nurse educators should prioritize integrated, authentic, and ethically informed genomics education, supported by educator development and digital technologies, including generative AI, to prepare graduates for precision nursing care.</t>
  </si>
  <si>
    <t>Kapun, Marija Milavec; Smolander, Nina; Masotta, Vittorio; Caples, Maria; Kamensek, Tina</t>
  </si>
  <si>
    <t>Science Citation Index Expanded (SCI-EXPANDED); Social Science Citation Index (SSCI)</t>
  </si>
  <si>
    <t>Kapun, MM (corresponding author), Univ Ljubljana, Fac Hlth Sci, Nursing Dept, Zdravstvena Pot 5, Ljubljana, Slovenia.</t>
  </si>
  <si>
    <t>milavecm@zf.uni-lj.si</t>
  </si>
  <si>
    <t>European Commission Erasmus + Programme [2021-1-FI01-KA220-HED-000027545]; Scholarship for International Operators (TAMK Support Foundation)</t>
  </si>
  <si>
    <t>European Commission Erasmus + Programme (Erasmus+); Scholarship for International Operators (TAMK Support Foundation)</t>
  </si>
  <si>
    <t>This work was supported by the European Commission Erasmus + Programme, Action KA220-HED, Grant No.: 2021-1-FI01-KA220-HED-000027545, with additional partial support from the Scholarship for International Operators (TAMK Support Foundation).</t>
  </si>
  <si>
    <t>[Kapun, Marija Milavec; Kamensek, Tina] Univ Ljubljana, Fac Hlth Sci, Nursing Dept, Zdravstvena Pot 5, Ljubljana, Slovenia; [Smolander, Nina] Tampere Univ Appl Sci, Kontukatu 3, Tampere, Finland; [Masotta, Vittorio] Univ Laquila, Dept Life Hlth &amp; Environm Sci, Piazza Santa Margherita 2, Laquila, Italy; [Caples, Maria] Univ Coll Cork, Coll Rd, Cork, Ireland</t>
  </si>
  <si>
    <t>University of Ljubljana; Tampere University; Tampere University of Applied Sciences TAMK; University of L'Aquila; University College Cork</t>
  </si>
  <si>
    <t>Educational approaches to enhance genomics competencies among health sciences students: A scoping review with implications for nursing education</t>
  </si>
  <si>
    <t>NURSE EDUCATION TODAY</t>
  </si>
  <si>
    <t>Genomics education; Genomics literacy; Health sciences students; Education strategies; Precision health</t>
  </si>
  <si>
    <t>MEDICAL GENETICS; UNDERGRADUATE; SESSION</t>
  </si>
  <si>
    <t>93</t>
  </si>
  <si>
    <t>CHURCHILL LIVINGSTONE</t>
  </si>
  <si>
    <t>EDINBURGH</t>
  </si>
  <si>
    <t>JOURNAL PRODUCTION DEPT, ROBERT STEVENSON HOUSE, 1-3 BAXTERS PLACE, LEITH WALK, EDINBURGH EH1 3AF, MIDLOTHIAN, SCOTLAND</t>
  </si>
  <si>
    <t>0260-6917</t>
  </si>
  <si>
    <t>1532-2793</t>
  </si>
  <si>
    <t>NURS EDUC TODAY</t>
  </si>
  <si>
    <t>Nurse Educ. Today</t>
  </si>
  <si>
    <t>167</t>
  </si>
  <si>
    <t>107299</t>
  </si>
  <si>
    <t>10.1016/j.nedt.2026.107299</t>
  </si>
  <si>
    <t>http://dx.doi.org/10.1016/j.nedt.2026.107299</t>
  </si>
  <si>
    <t>Education, Scientific Disciplines; Nursing</t>
  </si>
  <si>
    <t>Education &amp; Educational Research; Nursing</t>
  </si>
  <si>
    <t>MA2SO</t>
  </si>
  <si>
    <t>42520658</t>
  </si>
  <si>
    <t>WOS:001837448100001</t>
  </si>
  <si>
    <t>Mekrane, FZ; Ouladsine, R; Barkaoui, A; Ghandour, R</t>
  </si>
  <si>
    <t>Knee osteoarthritis (KOA) is a multifactorial and progressive joint disease involving the mechanical and biochemical deterioration of multiple tissues, including articular cartilage, subchondral bone, meniscus, and ligaments. Its development is driven by a complex interplay between abnormal loading, altered tissue mechanics, and biological remodeling. Understanding its onset and evolution requires an integrated approach that bridges tissue mechanics, imaging biomarkers, and patient-specific variability. Finite element (FE) analysis has become a central approach for studying knee biomechanics under realistic physiological conditions. Over the past two decades, FE models have evolved from simplified, homogeneous representations to detailed, patient-specific simulations that better capture anatomical structure and tissue behavior. This review provides an in-depth synthesis of current developments in knee FE modeling, highlighting the growing integration of artificial intelligence (AI) with biomechanical simulation and outlining key methodological advances as well as remaining research gaps. With these foundations established, recent advances have introduced AI as a transformative force in FE modeling. AI now automates segmentation and meshing, predicts spatially varying tissue stiffness from quantitative MRI or CT, estimates subject-specific boundary conditions from gait or sensor data, and accelerates solver performance through surrogate modeling. Moreover, hybrid AI-FE frameworks enable the prediction of KOA onset and progression by linking biomechanical stress distributions to imaging-derived biomarkers of cartilage degradation. This synergy between biomechanics, medical imaging, and artificial intelligence marks a decisive step toward precision medicine in knee osteoarthritis, enabling earlier diagnosis, individualized risk assessment, and more targeted therapeutic strategies.</t>
  </si>
  <si>
    <t>Mekrane, Fatima Zahra; Ouladsine, Radouane; Barkaoui, Abdelwahed; Ghandour, Raymond</t>
  </si>
  <si>
    <t>Barkaoui, A (corresponding author), Int Univ Rabat, LERMA Lab, Sala Al Jadida, Morocco.</t>
  </si>
  <si>
    <t>abdelwahed.barkaoui@uir.ac.ma</t>
  </si>
  <si>
    <t>[Mekrane, Fatima Zahra; Ouladsine, Radouane; Barkaoui, Abdelwahed] Int Univ Rabat, LERMA Lab, Sala Al Jadida, Morocco; [Ghandour, Raymond] Amer Univ Middle East, Coll Engn &amp; Technol, Egaila, Kuwait; [Barkaoui, Abdelwahed] Univ Tunis Manar, Ecole Natl Ingenieurs Tunis, LMAI Lab, Tunis, Tunisia</t>
  </si>
  <si>
    <t>Universite Internationale de Rabat; American University of the Middle East; Universite de Tunis-El-Manar; Ecole Nationale d'Ingenieurs de Tunis (ENIT)</t>
  </si>
  <si>
    <t>AI-driven biomechanical modeling for knee osteoarthritis prediction: A comprehensive review of finite element and machine learning approaches</t>
  </si>
  <si>
    <t>Artificial intelligence; Biomechanics; Cartilage degeneration; Deep learning; Finite element analysis; Knee osteoarthritis; Machine learning; Medical imaging; Predictive modeling</t>
  </si>
  <si>
    <t>ARTICULAR-CARTILAGE; JOINT; GAIT; RADIOGRAPHY; VALIDATION; ANGLE</t>
  </si>
  <si>
    <t>152</t>
  </si>
  <si>
    <t>112050</t>
  </si>
  <si>
    <t>10.1016/j.rineng.2026.112050</t>
  </si>
  <si>
    <t>http://dx.doi.org/10.1016/j.rineng.2026.112050</t>
  </si>
  <si>
    <t>MC2MP</t>
  </si>
  <si>
    <t>WOS:001838793400001</t>
  </si>
  <si>
    <t>Eluri, K; Krishnakumar, G; Elumalai, K</t>
  </si>
  <si>
    <t>Carbon nanotubes, graphene derivatives, MXenes, metal oxides, nanocellulose, and hybrid nanofillers exhibit outstanding reinforcement properties, such as mechanical strength, electrical conductivity, thermal transport, barrier properties, and multifunctionality, in thermoplastic and thermosetting matrices. However, the ability to produce these materials on an industrial scale is still hindered by many challenges, such as the variability of the raw materials, degradation of the properties when the materials agglomerate, high-throughput processing challenges due to the instability of the dispersion, high energy consumption of dispersion processes, limited window of manufacturability, quality control requirements, recycling limitations, and uncertainty regarding regulatory requirements. This review introduces a manufacturing framework to translate nanocomposites on the basis of a process-driven and systems engineering approach rather than just a material design perspective. This review addresses the processing methods that can be used on a large scale, such as melt compounding, reactive extrusion, solution-assisted processing, additively manufactured components, and roll-to-roll fabrication, and explores the dispersion behaviour, interphase evolution, orientation of the fillers, percolation behaviour, formation of defects, and functional reproducibility under different processing conditions. Special emphasis is placed on the coupled relationships between transport phenomena, rheological evolution, and multiscale structural organization, which are responsible for manufacturing scalability and deployment readiness. Emerging Industry 4.0 technologies, such as process analytical technologies (PATs), inline metrology, machine learning, digital twins, and autonomous process control, have been tested for their potential to predict and control important manufacturing metrics, such as dispersion quality, rheological behavior, filler-network formation, defect occurrence, and process consistency, through real-time data integration and adaptive feedback systems. The review also incorporates technoeconomic analysis, life cycle assessment, circular manufacturing approaches, and regulatory aspects to assess industrial feasibility for various application fields, such as aerospace, electronics, energy, biomedical, and multifunctional coatings. Finally, future directions include designs for manufacturing compatible nanomaterials, predictive multiscale modelling, certification structures enabled by digital, autonomous production systems, and sustainable industrial ecosystems. This review offers a complete overview of the challenges of scaling up the industrialization of advanced nanocomposite materials to be reproducible and economically viable while maintaining nanomaterial engineering, manufacturing science, digitalization, and lifecycle sustainability.</t>
  </si>
  <si>
    <t>Eluri, Kalpana; Krishnakumar, Gayathri; Elumalai, Karthikeyan</t>
  </si>
  <si>
    <t>Elumalai, K (corresponding author), Saveetha Inst Med &amp; Tech Sci, Saveetha Coll Pharm, Chennai 602105, India.</t>
  </si>
  <si>
    <t>karthikeyane.scop@saveetha.com</t>
  </si>
  <si>
    <t>[Eluri, Kalpana; Krishnakumar, Gayathri; Elumalai, Karthikeyan] Saveetha Inst Med &amp; Tech Sci, Saveetha Coll Pharm, Chennai 602105, India</t>
  </si>
  <si>
    <t>Saveetha Institute of Medical &amp; Technical Science; Saveetha College of Pharmacy</t>
  </si>
  <si>
    <t>Smart manufacturing of nanocomposites: Digital twins, process engineering, and translational industrialization</t>
  </si>
  <si>
    <t>NEXT NANOTECHNOLOGY</t>
  </si>
  <si>
    <t>Nanocomposites; Manufacturing science; Process engineering rheology; Digital twins</t>
  </si>
  <si>
    <t>CARBON NANOTUBES; COMPOSITES; GRAPHENE</t>
  </si>
  <si>
    <t>Elumalai, Karthikeyan/S-1294-2019; /AAD-9171-2019</t>
  </si>
  <si>
    <t>139</t>
  </si>
  <si>
    <t>2949-8295</t>
  </si>
  <si>
    <t>NEXT NANOTECHNOL</t>
  </si>
  <si>
    <t>Next Nanotechnol.</t>
  </si>
  <si>
    <t>100626</t>
  </si>
  <si>
    <t>10.1016/j.nxnano.2026.100626</t>
  </si>
  <si>
    <t>http://dx.doi.org/10.1016/j.nxnano.2026.100626</t>
  </si>
  <si>
    <t>Chemistry, Multidisciplinary; Nanoscience &amp; Nanotechnology</t>
  </si>
  <si>
    <t>Chemistry; Science &amp; Technology - Other Topics</t>
  </si>
  <si>
    <t>LV3GJ</t>
  </si>
  <si>
    <t>WOS:001834088200001</t>
  </si>
  <si>
    <t>van Wyk, D; Gulumian, M; Cronje, S; Wepener, V; Harris, RA</t>
  </si>
  <si>
    <t>Iron oxide nanoparticles (IONPs), particularly superparamagnetic iron oxide nanoparticles (SPIONs), represent one of the most clinically relevant nanoplatforms for magnetic resonance imaging (MRI), targeted drug delivery, magnetic hyperthermia, and integrated theranostic applications. Their multifunctional adaptability across oncology, neurodegenerative disease, cardiovascular medicine, immunomodulation, and regenerative therapy has stimulated extensive translational research. However, clinical advancement remains constrained by complex nano-bio interactions, protein corona formation, oxidative reactivity, biodistribution variability, immune recognition, and uncertainties surrounding long-term iron metabolism and safety. This review examines how predictive multiscale computational modelling frameworks can address these challenges and support rational safe-by-design optimization of IONPs prior to extensive experimental and clinical implementation. We discuss density functional theory (DFT) approaches for investigating Fe3O4 surface energetics, magnetic anisotropy, facet-dependent reactivity, and dissolution behaviour; molecular dynamics (MD) and coarse-grained (CG) simulations for understanding protein corona evolution, membrane interactions, aggregation dynamics, and cellular uptake; and nano-quantitative structure-activity relationship (nano-QSAR), nano-informatics, and machine learning (ML) approaches for predicting cytotoxicity, inflammatory signalling, and biological response using physicochemical and electronic descriptors. At the organism level, physiologically based pharmacokinetic (PBPK) and PBPK-toxicodynamic models are highlighted for linking nanoscale properties with biodistribution, organ accumulation, clearance kinetics, and long-term safety prediction. By integrating quantum-level, molecular, cellular, tissue, and systemic modelling approaches, this review emphasizes how computational nano-medicine can transition from descriptive characterization toward predictive theranostic design. Rather than treating imaging performance, therapeutic efficacy, biodistribution, and nanotoxicity as isolated challenges, the reviewed modelling strategies provide a unified framework for mechanistically informed, clinically translatable, and safe-by-design iron oxide nanomedicine.</t>
  </si>
  <si>
    <t>van Wyk, D.; Gulumian, M.; Cronje, S.; Wepener, V.; Harris, R. A.</t>
  </si>
  <si>
    <t>Harris, RA (corresponding author), Univ Free State, Dept Phys, Nelson Mandela Ave, ZA-9301 Bloemfontein, South Africa.</t>
  </si>
  <si>
    <t>harrisra@ufs.ac.za</t>
  </si>
  <si>
    <t>DSI/NWU Nanotechnology platform</t>
  </si>
  <si>
    <t>DSI/NWU Nanotechnology platform.</t>
  </si>
  <si>
    <t>[van Wyk, D.; Cronje, S.; Harris, R. A.] Univ Free State, Dept Phys, Nelson Mandela Ave, ZA-9301 Bloemfontein, South Africa; [Gulumian, M.; Wepener, V.] North West Univ, Water Res Grp, Potchefstroom, South Africa</t>
  </si>
  <si>
    <t>University of the Free State; North West University - South Africa</t>
  </si>
  <si>
    <t>Multiscale modelling and safe-by-design strategies for iron oxide nanoparticles in diagnosis and therapy</t>
  </si>
  <si>
    <t>Fe 3 O 4 nanoparticles; Multiscale computational modelling; Nano-QSAR; Physiologically based pharmacokinetic; modelling; Protein corona; Safe-by-design nanomedicine</t>
  </si>
  <si>
    <t>VIVO TOXICITY; BIODISTRIBUTION; FERUMOXYTOL; VITRO</t>
  </si>
  <si>
    <t>Cronje, Shaun/KVZ-3146-2024</t>
  </si>
  <si>
    <t>64</t>
  </si>
  <si>
    <t>100618</t>
  </si>
  <si>
    <t>10.1016/j.nxnano.2026.100618</t>
  </si>
  <si>
    <t>http://dx.doi.org/10.1016/j.nxnano.2026.100618</t>
  </si>
  <si>
    <t>LL8CJ</t>
  </si>
  <si>
    <t>WOS:001827629800001</t>
  </si>
  <si>
    <t>Marinze, S; Alabi, JO; Matope, EM; Bamidele, DB; Olawade, DB</t>
  </si>
  <si>
    <t>Artificial intelligence (AI) and machine learning (ML) are increasingly developed and evaluated for the organ transplantation pathway, yet the breadth of empirical evidence generated within European healthcare systems, and its actual translation into routine clinical use, has not been mapped. This scoping review charts the nature, clinical targets, modelling approaches and reported performance of AI applications in organ transplantation in Europe. Following Arksey and O'Malley's framework and PRISMA-ScR reporting, MEDLINE and Embase were searched using terms covering organ transplantation, AI, ML, deep learning, allocation, decision support, immunosuppression and graft survival. Empirical primary studies conducted wholly or partly in Europe were prioritised for charting, while systematic, narrative and position-paper literature informed the background and comparative discussion. Empirical European studies spanned kidney, liver, lung, heart and pancreas transplantation and addressed graft and patient survival prediction, donor-recipient matching, allocation, graft and biopsy assessment, rejection detection, and decision support. Tree-based ensembles and neural networks predominated, with discrimination commonly between 0.70 and 0.95 and frequently exceeding conventional scores such as MELD, KDRI and SOFT. Registry-based national cohorts from the United Kingdom, Spain, France, Germany, Italy and multinational European consortia were prominent. Few tools reached prospective or randomised evaluation, and benefits in shared decision-making were not consistently demonstrated. Crucially, almost all identified studies described model development or validation rather than adoption into routine care, and evidence of sustained clinical implementation within European transplant units was scarce. AI shows substantial promise across the European transplantation pathway, particularly for risk stratification, organ assessment and rejection detection, but most evidence remains retrospective and developmental rather than clinically deployed, and is concentrated in a small number of countries with mature registries. Prospective and externally validated studies, attention to equity and generalisability across diverse populations, workflow integration, and alignment with European regulation are required before routine clinical adoption.</t>
  </si>
  <si>
    <t>Marinze, Sheila; Alabi, John Oluwatosin; Matope, Euphemia Murateng; Bamidele, Doyin Blessing; Olawade, David B.</t>
  </si>
  <si>
    <t>Olawade, DB (corresponding author), Univ East London, Sch Hlth Sport &amp; Biosci, Dept Allied &amp; Publ Hlth, London, England.</t>
  </si>
  <si>
    <t>d.olawade@uel.ac.uk</t>
  </si>
  <si>
    <t>[Marinze, Sheila] Medway NHS Fdn Trust, Dept Surg, Gillingham ME7 5NY, England; [Alabi, John Oluwatosin] Univ Sussex Business Sch, Univ Sussex, Dept Business &amp; Management, Brighton BN1 9RH, England; [Matope, Euphemia Murateng] Middlesex Univ, Dept Biomed Sci, London, England; [Bamidele, Doyin Blessing] Univ Wolverhampton, Dept Biomed Sci, Wolverhampton WV1 1LY, England; [Olawade, David B.] Univ East London, Sch Hlth Sport &amp; Biosci, Dept Allied &amp; Publ Hlth, London, England; [Olawade, David B.] Medway NHS Fdn Trust, Dept Res &amp; Innovat, Gillingham ME7 5NY, England; [Olawade, David B.] Bahcesehir Cyprus Univ, Fac Hlth Sci, Mersin, Turkiye</t>
  </si>
  <si>
    <t>Middlesex University; University of Wolverhampton; University of East London</t>
  </si>
  <si>
    <t>Artificial intelligence in organ transplantation within European healthcare systems: A scoping review of model development, validation and clinical implementation</t>
  </si>
  <si>
    <t>TRANSPLANTATION REVIEWS</t>
  </si>
  <si>
    <t>Artificial intelligence; Machine learning; Organ transplantation; Graft survival prediction; Europe</t>
  </si>
  <si>
    <t>GRAFT-SURVIVAL; PREDICTION</t>
  </si>
  <si>
    <t>Olawade, David/AAF-9929-2021</t>
  </si>
  <si>
    <t>ELSEVIER SCIENCE INC</t>
  </si>
  <si>
    <t>NEW YORK</t>
  </si>
  <si>
    <t>101 Park Avenue, 24th Floor, NEW YORK, NY, UNITED STATES</t>
  </si>
  <si>
    <t>0955-470X</t>
  </si>
  <si>
    <t>TRANSPLANT REV-ORLAN</t>
  </si>
  <si>
    <t>Transplant. Rev.</t>
  </si>
  <si>
    <t>101041</t>
  </si>
  <si>
    <t>10.1016/j.trre.2026.101041</t>
  </si>
  <si>
    <t>http://dx.doi.org/10.1016/j.trre.2026.101041</t>
  </si>
  <si>
    <t>Immunology; Transplantation</t>
  </si>
  <si>
    <t>LM4HW</t>
  </si>
  <si>
    <t>42470837</t>
  </si>
  <si>
    <t>WOS:001828050400001</t>
  </si>
  <si>
    <t>Matos, KN; da Silva, TB; Almeida, LMD; Almeida, MD; Guimaraes, HHDD</t>
  </si>
  <si>
    <t>Objectives &gt; To systematically identify, appraise, and synthesize the evidence on clinical, biomechanical, and digital factors associated with refinement-related outcomes after the first series of clear aligners. Methods &gt; This systematic review was conducted according to PRISMA 2020 and followed the Synthesis Without Meta-analysis (SWiM) guidance. Electronic searches were performed in PubMed/MEDLINE, Embase, Scopus, Web of Science, Cochrane Library, and Google Scholar. Clinical studies involving patients treated with clear aligners were included when they reported refinement, additional aligners, finishing aligners, midcourse correction, refinement plans, planned-versus-achieved discrepancies, or treatment-continuation outcomes after the first aligner series. Risk of bias was assessed using design-specific tools according to study design. Owing to heterogeneity in definitions, outcomes, units of analysis, and measurement methods, a structured narrative synthesis was performed. Results &gt; Twenty studies were included. Refinement-related outcomes were heterogeneously defined, including refinement aligners, additional aligners, finishing phases, refinement plans, midcourse correction, and first-refinement scans. The evidence suggested that refinement burden may be associated with malocclusion complexity, extraction treatment, interproximal reduction strategies, severe spacing, larger correction sequences, and movement-specific limitations. Rotations, intrusion, vertical correction, transverse expansion, and selected anterior movements showed reduced predictability. Remote monitoring appeared to reduce appointment burden but did not consistently reduce refinement need. Evidence for adjunctive technologies and machine-learning prediction remained preliminary. Conclusions &gt; Refinement after the first aligner series should be interpreted as a multifactorial clinical outcome rather than a uniform finishing procedure. Standardized definitions and prospec-tive studies are needed to clarify patient-, tooth-, movement-, and treatment-plan-level predictors. PROSPERO registration number &gt; CRD420261416896.</t>
  </si>
  <si>
    <t>Matos, Karla Nogueira; da Silva, Taina Belline; Almeida, Leonardo Matos de Faria; Almeida, Marcos de Faria; Guimaraes, Hugo Henrique dos Santos Dantas</t>
  </si>
  <si>
    <t>Matos, KN (corresponding author), Univ Sao Paulo, Dept Dent, Prof Lineu Prestes Ave 2227,Cidade Univ, BR-05508000 Sao Paulo, SP, Brazil.</t>
  </si>
  <si>
    <t>karlanmatos@gmail.com</t>
  </si>
  <si>
    <t>[Matos, Karla Nogueira; da Silva, Taina Belline] Univ Sao Paulo, Dept Dent, Prof Lineu Prestes Ave 2227,Cidade Univ, BR-05508000 Sao Paulo, SP, Brazil; [Almeida, Leonardo Matos de Faria] Univ Sao Judas Tadeu, Dept Restorat Dent, Sao Paulo, SP, Brazil; [Almeida, Marcos de Faria] Sao Leopoldo Mand Sch Dent, Dept Restorat Dent, Campinas, SP, Brazil; [Guimaraes, Hugo Henrique dos Santos Dantas] Univ Fed Minas Gerais, Dept Restorat Dent, Belo Horizonte, MG, Brazil</t>
  </si>
  <si>
    <t>Faculdade Sao Leopoldo Mandic</t>
  </si>
  <si>
    <t>Clinical, biomechanical, and digital factors associated with refinement after the first series of clear aligners: A systematic review</t>
  </si>
  <si>
    <t>INTERNATIONAL ORTHODONTICS</t>
  </si>
  <si>
    <t>Clear aligners; Orthodontics; Refinement; Additional aligners; Treatment predictability; Digital dentistry; Systematic review</t>
  </si>
  <si>
    <t>TOOTH MOVEMENT; INVISALIGN; ACCURACY; EFFICACY</t>
  </si>
  <si>
    <t>Nogueira Matos, Karla/V-4717-2018</t>
  </si>
  <si>
    <t>Nogueira Matos, Karla/0000-0003-4001-5488; dos Santos Dantas Guimarães, Hugo Henrique/0009-0005-0550-9636</t>
  </si>
  <si>
    <t>ELSEVIER MASSON SAS EDITEUR</t>
  </si>
  <si>
    <t>ISSY LES MOULINEAUX CEDEX</t>
  </si>
  <si>
    <t>62, RUE CAMILLE DESMOULINS, ISSY LES MOULINEAUX CEDEX, 92442, FRANCE</t>
  </si>
  <si>
    <t>1761-7227</t>
  </si>
  <si>
    <t>1879-680X</t>
  </si>
  <si>
    <t>INT ORTHOD</t>
  </si>
  <si>
    <t>Int. Orthod.</t>
  </si>
  <si>
    <t>101211</t>
  </si>
  <si>
    <t>10.1016/j.ortho.2026.101211</t>
  </si>
  <si>
    <t>http://dx.doi.org/10.1016/j.ortho.2026.101211</t>
  </si>
  <si>
    <t>LI3AJ</t>
  </si>
  <si>
    <t>42442043</t>
  </si>
  <si>
    <t>WOS:001825254800001</t>
  </si>
  <si>
    <t>Vadner, DJ; Brown, AN; Gold, MH</t>
  </si>
  <si>
    <t>Artificial intelligence (AI) is rapidly transforming medical research and scholarly publishing, reshaping how scientific knowledge is produced, evaluated, and disseminated. Initially developed as a decision-support tool, AI has evolved into a complex ecosystem encompassing machine learning, deep learning, and large language models, with applications spanning data analysis, diagnostic support, evidence synthesis, manuscript preparation, peer review, and post-publication analytics. These technologies offer substantial benefits, including accelerated research workflows, improved analytical precision, enhanced reproducibility, and expanded access to scientific communication, particularly for early-career investigators and non-native English authors. However, the integration of generative AI introduces significant challenges. Persistent risks include algorithmic bias, hallucinated or misattributed citations, erosion of authorship accountability, confidentiality concerns, and the potential degradation of peer review integrity. As AI-generated outputs increasingly resemble human scholarly work, longstanding norms surrounding authorship, transparency, and responsibility are being reexamined. In response, editorial organizations, journals, and global health authorities have begun to establish governance frameworks emphasizing disclosure, human verification, and ethical boundaries for AI use. This narrative review synthesizes current evidence on the evolution and applications of AI in medical research and publishing, critically examines associated risks and ethical dilemmas, and reviews emerging regulatory and editorial guidance. Finally, it outlines future directions centered on explainable and auditable AI, standardized AI literacy, and hybrid human-AI workflows. Ensuring that AI remains a tool for augmentation rather than replacement will be essential to preserving trust, rigor, and integrity in medical scholarship as these technologies become increasingly embedded in the scientific enterprise.</t>
  </si>
  <si>
    <t>Vadner, Douglas Jaxon; Brown, Angela N.; Gold, Michael H.</t>
  </si>
  <si>
    <t>Vadner, DJ (corresponding author), Rosalind Franklin Univ Med &amp; Sci, Chicago Med Sch, 3333 Green Bay Rd, N Chicago, IL 60064 USA.</t>
  </si>
  <si>
    <t>douglas.vadner@my.rfums.org</t>
  </si>
  <si>
    <t>[Vadner, Douglas Jaxon] Rosalind Franklin Univ Med &amp; Sci, Chicago Med Sch, 3333 Green Bay Rd, N Chicago, IL 60064 USA; [Brown, Angela N.; Gold, Michael H.] Gold Skin Care Ctr, Nashville, TN USA; [Gold, Michael H.] Tennessee Clin Res Ctr, Nashville, TN USA</t>
  </si>
  <si>
    <t>Rosalind Franklin University of Medicine &amp; Science; Chicago Medical School</t>
  </si>
  <si>
    <t>Artificial Intelligence in medical research and publishing: Progress, risks, and future perspectives</t>
  </si>
  <si>
    <t>Artificial intelligence; Medical publishing; Peer review; Ethics; Large language models; Research integrity</t>
  </si>
  <si>
    <t>CLASSIFICATION; CHATGPT</t>
  </si>
  <si>
    <t>104371</t>
  </si>
  <si>
    <t>10.1016/j.lpm.2026.104371</t>
  </si>
  <si>
    <t>http://dx.doi.org/10.1016/j.lpm.2026.104371</t>
  </si>
  <si>
    <t>LI4DR</t>
  </si>
  <si>
    <t>42379290</t>
  </si>
  <si>
    <t>WOS:001825331000001</t>
  </si>
  <si>
    <t>Sun, FQ; Fang, YJ; Du, HN; Zhang, Y; Wang, MY; Zhang, Z; Zhao, P; Yao, LK; Song, L; Qiu, JF; Wu, L</t>
  </si>
  <si>
    <t>Magnetic resonance imaging (MRI) is predominantly utilized in radiotherapy for delineating target and normal tissues, owing to their superior soft tissue contrast. However, its lack of electron density information for dose calculation poses a major challenge. The generation of synthetic computed tomography (sCT) images based on MRI data is an area of increasing scientific interest and active research. We conducted a comprehensive search of PubMed and Google Scholar from 2014 to 2026, focusing on deep learning (DL) models, and reviewed 112 relevant articles. Examples include convolutional neural networks (CNNs), generative adversarial networks (GANs), their variants, and the emerging denoising diffusion probabilistic model (DDPM). We analyzed the methodologies, architectures, and performance metrics of these models, along with their clinical implications and limitations. The median mean absolute error (MAE) was approximately 72.3 hounsfield units (HU) for brain sCT and 41.27 HU for pelvic sCT. During dosimetric assessment, the mean structural similarity index (SSIM) was approximately 0.84 in the brain and 0.9 in the pelvis. This review systematically summarizes new models such as DDPM for the first time and analyzes the substantial innovative progress made in using DL models to generate sCT images.</t>
  </si>
  <si>
    <t>Sun, Fanqian; Fang, Yijing; Du, Haonan; Zhang, Ying; Wang, Mengyao; Zhang, Zhen; Zhao, Peng; Yao, Lianke; Song, Li; Qiu, Jianfeng; Wu, Liang</t>
  </si>
  <si>
    <t>Wu, L (corresponding author), Shandong First Med Univ &amp; Shandong Acad Med Sci, Sch Radiol, Tai An 271016, Peoples R China.; Song, L; Qiu, JF (corresponding author), Shandong First Med Univ, Dept Radiol, Affiliated Hosp 1, Jinan 271000, Peoples R China.</t>
  </si>
  <si>
    <t>lsong@sdfmu.edu.cn; wuliang@sdfmu.edu.cn; jfqiu100@126.com</t>
  </si>
  <si>
    <t>China National Key Research and Development [2021YFE0204600]; Shandong Provincial Natural Science Foundation [ZR2023QF108, ZR2024QF282, ZR2025MS1308]; Science and Technology Innovation Development Project of Tai'an City [2023NS381, 2024NS447]</t>
  </si>
  <si>
    <t>China National Key Research and Development; Shandong Provincial Natural Science Foundation (Natural Science Foundation of Shandong Province); Science and Technology Innovation Development Project of Tai'an City</t>
  </si>
  <si>
    <t>Funding This work was supported by China National Key Research and Development (No. 2021YFE0204600) , Shandong Provincial Natural Science Foundation (grand no. ZR2023QF108,ZR2024QF282 and ZR2025MS1308) and the Science and Technology Innovation Development Project of Tai'an City (grant no. 2023NS381 and 2024NS447) .</t>
  </si>
  <si>
    <t>[Sun, Fanqian; Fang, Yijing; Du, Haonan; Zhang, Ying; Wang, Mengyao; Zhang, Zhen; Zhao, Peng; Wu, Liang] Shandong First Med Univ &amp; Shandong Acad Med Sci, Sch Radiol, Tai An 271016, Peoples R China; [Song, Li; Qiu, Jianfeng] Shandong First Med Univ, Dept Radiol, Affiliated Hosp 1, Jinan 271000, Peoples R China; [Yao, Lianke] Shandong Univ Aeronaut, Sch Aeronaut Engn, Binzhou 256600, Peoples R China</t>
  </si>
  <si>
    <t>Shandong First Medical University &amp; Shandong Academy of Medical Sciences; Shandong University of Aeronautics</t>
  </si>
  <si>
    <t>Research progress on generating synthetic CT images from MRI images based on deep learning: a review</t>
  </si>
  <si>
    <t>DISPLAYS</t>
  </si>
  <si>
    <t>Deep learning; MRI; SyntheticCT; Radiation therapy</t>
  </si>
  <si>
    <t>CONVOLUTIONAL NEURAL-NETWORK; COMPUTED-TOMOGRAPHY GENERATION; RADIATION-THERAPY; ELECTRON-DENSITY; ADVERSARIAL NETWORK; ONLY RADIOTHERAPY; PROTON THERAPY; CANCER; REGISTRATION; DELINEATION</t>
  </si>
  <si>
    <t>187</t>
  </si>
  <si>
    <t>0141-9382</t>
  </si>
  <si>
    <t>1872-7387</t>
  </si>
  <si>
    <t>Displays</t>
  </si>
  <si>
    <t>95</t>
  </si>
  <si>
    <t>103544</t>
  </si>
  <si>
    <t>10.1016/j.displa.2026.103544</t>
  </si>
  <si>
    <t>http://dx.doi.org/10.1016/j.displa.2026.103544</t>
  </si>
  <si>
    <t>Computer Science, Hardware &amp; Architecture; Engineering, Electrical &amp; Electronic; Instruments &amp; Instrumentation; Optics</t>
  </si>
  <si>
    <t>Computer Science; Engineering; Instruments &amp; Instrumentation; Optics</t>
  </si>
  <si>
    <t>IX6FI</t>
  </si>
  <si>
    <t>WOS:001782744700001</t>
  </si>
  <si>
    <t>Shujaat, S; Riaz, M; Almutairi, H; Alanazi, H; Altalhi, L; Alenazi, N; Bin Osayl, H; Philip, MR; Aboalela, AA; Ma, HY</t>
  </si>
  <si>
    <t>Automated machine learning (AutoML) has emerged as a clinician-accessible approach to artificial intelligence by automating key stages of model development, including algorithm selection and hyperparameter optimization. This systematic review aimed to evaluate the application, performance, and translational relevance of AutoML in oral healthcare. Electronic searches of PubMed, Web of Science, Cochrane Library, and grey literature were conducted. Nineteen primary studies met the inclusion criteria. AutoML was applied across multiple dental specialties, including periodontology, orthodontics, pediatric dentistry, oral surgery, oral radiology, and public oral health, using heterogeneous data modalities such as radiographic images, clinical records, photographs, and omics data. Most studies reported strong performance on internal validation (e.g., cross-validation or validation splits) and/or independent hold-out test sets, particularly for imaging-based classification tasks, with several models achieving high accuracy and discrimination. However, external validation was uncommon, sample sizes were frequently limited, and substantial risk of bias was identified, particularly in analysis and participant selection. No study evaluated real-world clinical implementation or patient outcomes. Overall, AutoML shows promise in reducing technical barriers and supporting clinician-led artificial intelligence research in dentistry. Nevertheless, current evidence base remains exploratory, and rigorous external validation, standardized reporting, and prospective clinical evaluation are required before routine clinical adoption.</t>
  </si>
  <si>
    <t>Shujaat, Sohaib; Riaz, Marryam; Almutairi, Hawazin; Alanazi, Hala; Altalhi, Lujain; Alenazi, Naden; Bin Osayl, Haya; Philip, Manju Roby; Aboalela, Ali Anwar; Ma, Hongyang</t>
  </si>
  <si>
    <t>Shujaat, S (corresponding author), King Saud Bin Abdulaziz Univ Hlth Sci, Coll Dent, Dept Maxillofacial Surg &amp; Diagnost Sci, Mail Code 3183,POB 3660, Riyadh 11481, Saudi Arabia.</t>
  </si>
  <si>
    <t>sohaib.shujaat941@gmail.com</t>
  </si>
  <si>
    <t>Declaration of Competing Interest The authors declare that they have no known competing financial interests or personal relationships that could have appeared to influence the work reported in this paper.</t>
  </si>
  <si>
    <t>[Shujaat, Sohaib; Philip, Manju Roby; Aboalela, Ali Anwar] King Saud Bin Abdulaziz Univ Hlth Sci, King Abdullah Int Med Res Ctr, Dept Maxillofacial Surg &amp; Diagnost Sci, Coll Dent,Minist Natl Guard Hlth Affairs, Riyadh, Saudi Arabia; [Riaz, Marryam] Super Univ, Azra Naheed Dent Coll, Dept Physiol, Lahore, Pakistan; [Almutairi, Hawazin; Alanazi, Hala; Altalhi, Lujain; Alenazi, Naden; Bin Osayl, Haya] King Saud bin Abdulaziz Univ Hlth Sci, Coll Dent, King Abdullah Int Med Res Ctr, Minist Natl Guard Hlth Affairs, Riyadh, Saudi Arabia; [Ma, Hongyang] Harbin Med Univ, Affiliated Hosp 2, Dept Oral Implantol, Harbin, Peoples R China; [Shujaat, Sohaib] King Saud Bin Abdulaziz Univ Hlth Sci, Coll Dent, Dept Maxillofacial Surg &amp; Diagnost Sci, Mail Code 3183,POB 3660, Riyadh 11481, Saudi Arabia</t>
  </si>
  <si>
    <t>King Saud Bin Abdulaziz University for Health Sciences; King Abdullah International Medical Research Center (KAIMRC); Ministry of National Guard - Health Affairs; King Saud Bin Abdulaziz University for Health Sciences; King Abdullah International Medical Research Center (KAIMRC); Ministry of National Guard - Health Affairs; Harbin Medical University; King Saud Bin Abdulaziz University for Health Sciences</t>
  </si>
  <si>
    <t>Clinician-accessible automated machine learning in oral healthcare: A systematic review</t>
  </si>
  <si>
    <t>JAPANESE DENTAL SCIENCE REVIEW</t>
  </si>
  <si>
    <t>Automated machine learning; Dental artificial intelligence; Clinical decision support; Diagnostic model; Predictive modeling; Oral healthcare</t>
  </si>
  <si>
    <t>PREDICTION MODELS; PERFORMANCE; CLASSIFICATION; RISK</t>
  </si>
  <si>
    <t>Aboalela, Ali/AAV-3307-2020; Shujaat, Sohaib/E-4331-2017; Ma, Hongyang/AEC-4624-2022</t>
  </si>
  <si>
    <t>Ma, Hongyang/0000-0003-1645-312X</t>
  </si>
  <si>
    <t>81</t>
  </si>
  <si>
    <t>1882-7616</t>
  </si>
  <si>
    <t>2213-6851</t>
  </si>
  <si>
    <t>JPN DENT SCI REV</t>
  </si>
  <si>
    <t>Jpn. Dent. Sci. Rev.</t>
  </si>
  <si>
    <t>113</t>
  </si>
  <si>
    <t>10.1016/j.jdsr.2026.03.001</t>
  </si>
  <si>
    <t>http://dx.doi.org/10.1016/j.jdsr.2026.03.001</t>
  </si>
  <si>
    <t>GF7PJ</t>
  </si>
  <si>
    <t>42005095</t>
  </si>
  <si>
    <t>WOS:001735336700001</t>
  </si>
  <si>
    <t>Guo, LH; Li, JS; Yao, JH; Liu, WJ; Su, Y; Zhao, HL</t>
  </si>
  <si>
    <t>Background: Accurately distinguishing malignant pleural effusion (MPE) from non-malignant pleural effusion is clinically important, but the generalisability and methodological quality of machine-learning (ML) models remain uncertain. Methods: We searched eight databases to 23 April 2026. Diagnostic performance was pooled using random-effects and Reitsma bivariate models, and study quality was assessed using PROBAST+AI. Results: Forty-two studies were included; 17 contributed to the AUC meta-analysis and 14 to the bivariate analysis. The pooled AUC was 0.90 (95 % CI 0.85-0.94; 95 % prediction interval 0.62-0.98), with sensitivity of 0.80 (95 % CI 0.77-0.83) and specificity of 0.87 (95 % CI 0.79-0.92). Only nine studies reported external, temporal or independent validation. Externally validated studies had a lower pooled AUC than studies without external validation (0.83 vs 0.92), with lower specificity observed in the two externally validated studies contributing sensitivity and specificity data. All 42 development assessments had high overall quality concerns, and all 42 model evaluations were judged at high risk of bias. Conclusions: ML models showed good apparent accuracy for distinguishing MPE from non-MPE, but the evidence was limited by substantial heterogeneity, high risk of bias and scarce external validation. The pooled estimates reflect the average performance of different selected models rather than the expected accuracy of a single clinical test. ML models should be regarded as adjuncts to existing diagnostic pathways until they are confirmed by rigorous multicentre prospective external validation and clinical-impact studies.</t>
  </si>
  <si>
    <t>Guo, Luhan; Li, Jiansheng; Yao, Jiaheng; Liu, Wenjie; Su, Yu; Zhao, Hulei</t>
  </si>
  <si>
    <t>Zhao, HL (corresponding author), Henan Univ Chinese Med, Lung Dis Diag &amp; Treatment Ctr, Natl Med Ctr, Affiliated Hosp 1, Zhengzhou 450003, Peoples R China.</t>
  </si>
  <si>
    <t>hulei890421@163.com</t>
  </si>
  <si>
    <t>National Science and Technology Major Project of China [2025ZD0549300, 2025ZD0549304]; Henan Provincial "Three 100s" Program (Special Program for Training Clinician-Scientists in Henan Province) [HNCRD202525]</t>
  </si>
  <si>
    <t>National Science and Technology Major Project of China (National Science and Technology Major Project of China); Henan Provincial "Three 100s" Program (Special Program for Training Clinician-Scientists in Henan Province)</t>
  </si>
  <si>
    <t>This work was supported by the National Science and Technology Major Project of China (grant number 2025ZD0549300, 2025ZD0549304) and the Henan Provincial "Three 100s" Program (Special Program for Training Clinician-Scientists in Henan Province; grant number HNCRD202525) .</t>
  </si>
  <si>
    <t>[Guo, Luhan; Li, Jiansheng] Shanghai Univ Tradit Chinese Med, Longhua Hosp, Dept Resp Dis, Shanghai 200030, Peoples R China; [Guo, Luhan; Li, Jiansheng; Yao, Jiaheng; Liu, Wenjie; Su, Yu; Zhao, Hulei] Henan Univ Chinese Med, Lung Dis Diag &amp; Treatment Ctr, Natl Med Ctr, Affiliated Hosp 1, Zhengzhou 450003, Peoples R China; [Guo, Luhan; Li, Jiansheng; Yao, Jiaheng; Liu, Wenjie; Su, Yu; Zhao, Hulei] Henan Univ Chinese Med, Collaborat Innovat Ctr Chinese Med &amp; Resp Dis Coco, Henan Key Lab Chinese Med Resp Dis, Zhengzhou 450046, Peoples R China</t>
  </si>
  <si>
    <t>Shanghai University of Traditional Chinese Medicine; Henan University of Traditional Chinese Medicine</t>
  </si>
  <si>
    <t>Diagnostic performance of machine learning models for malignant and non-malignant pleural effusion: Systematic review and meta-analysis</t>
  </si>
  <si>
    <t>INTERNATIONAL JOURNAL OF MEDICAL INFORMATICS</t>
  </si>
  <si>
    <t>Malignant pleural effusion; Machine learning; Diagnostic accuracy; Meta-analysis; Systematic review; PROBAST plus AI</t>
  </si>
  <si>
    <t>TEST ACCURACY; SENSITIVITY</t>
  </si>
  <si>
    <t>72</t>
  </si>
  <si>
    <t>ELSEVIER IRELAND LTD</t>
  </si>
  <si>
    <t>CLARE</t>
  </si>
  <si>
    <t>ELSEVIER HOUSE, BROOKVALE PLAZA, EAST PARK SHANNON, CO, CLARE, 00000, IRELAND</t>
  </si>
  <si>
    <t>1386-5056</t>
  </si>
  <si>
    <t>1872-8243</t>
  </si>
  <si>
    <t>INT J MED INFORM</t>
  </si>
  <si>
    <t>Int. J. Med. Inform.</t>
  </si>
  <si>
    <t>NOV 15 2026</t>
  </si>
  <si>
    <t>221</t>
  </si>
  <si>
    <t>106667</t>
  </si>
  <si>
    <t>10.1016/j.ijmedinf.2026.106667</t>
  </si>
  <si>
    <t>http://dx.doi.org/10.1016/j.ijmedinf.2026.106667</t>
  </si>
  <si>
    <t>12</t>
  </si>
  <si>
    <t>Computer Science, Information Systems; Health Care Sciences &amp; Services; Medical Informatics</t>
  </si>
  <si>
    <t>Computer Science; Health Care Sciences &amp; Services; Medical Informatics</t>
  </si>
  <si>
    <t>MZ1HH</t>
  </si>
  <si>
    <t>42617201</t>
  </si>
  <si>
    <t>WOS:001854328800001</t>
  </si>
  <si>
    <t>Gwózdz-Broczkowska, A</t>
  </si>
  <si>
    <t>Generative artificial intelligence (AI) can convert clinical information into patient-facing instructions, including discharge summaries, medication explanations, portal messages and plain-language educational materials. These outputs may improve accessibility and reduce documentation burden. They also create a distinct patient-safety problem: patients may act on fluent, incomplete, or contextually unsafe instructions without the clinical knowledge required to detect error. Early evaluations show a recurring trade-off. Large language models can improve readability and understandability of discharge information, yet physician and pharmacist review has identified omissions, inaccuracies, newly introduced actions, medication-related problems and potentially harmful safety issues, particularly in complex discharge contexts. This narrative and interpretative review reframes AI-generated patient instructions as a safety-critical informatics intervention rather than a languagesimplification tool. A targeted literature mapping was undertaken across empirical studies of AI-generated discharge communication, health-literacy and medication-safety literature, patient-safety evidence, and emerging artificial-intelligence governance frameworks. I propose a sevendomain safety framework covering factual accuracy, clinical completeness, actionability, medication clarity, escalation and safety-netting, healthliteracy alignment, and accountability with auditability. The framework is intended to support implementation, local evaluation and reviewer assessment rather than to function as a formal consensus guideline. High-risk patient-facing outputs require accountable clinical workflows, with human verification, traceability, equity testing and post-deployment monitoring. Before wider use, evaluation needs to assess not only readability, but also comprehension, actionability and potential harm.</t>
  </si>
  <si>
    <t>Gwozdz-Broczkowska, Anna</t>
  </si>
  <si>
    <t>Gwózdz-Broczkowska, A (corresponding author), Mil Inst Med, Natl Res Inst, 128 Szaserow St, PL-04141 Warsaw, Poland.</t>
  </si>
  <si>
    <t>agwozdz-broczkowska@wim.mil.pl</t>
  </si>
  <si>
    <t>[Gwozdz-Broczkowska, Anna] Mil Inst Med, Natl Res Inst, 128 Szaserow St, PL-04141 Warsaw, Poland</t>
  </si>
  <si>
    <t>Military Institute of Aviation Medicine</t>
  </si>
  <si>
    <t>AI-generated patient instructions as safety-critical communication: a provisional evidence-informed framework for clinical deployment</t>
  </si>
  <si>
    <t>Artificial intelligence; Patient safety; Health literacy; Medical informatics; Discharge instructions; Large language models; Patient communication</t>
  </si>
  <si>
    <t>HEALTH; DISCHARGE</t>
  </si>
  <si>
    <t>38</t>
  </si>
  <si>
    <t>106645</t>
  </si>
  <si>
    <t>10.1016/j.ijmedinf.2026.106645</t>
  </si>
  <si>
    <t>http://dx.doi.org/10.1016/j.ijmedinf.2026.106645</t>
  </si>
  <si>
    <t>MW2RC</t>
  </si>
  <si>
    <t>42607431</t>
  </si>
  <si>
    <t>WOS:001852384500002</t>
  </si>
  <si>
    <t>Wang, T; Wang, HY; Li, MY; Bressington, D; Terry, D; Wang, GJ; Kwok, WH; Tan, JY</t>
  </si>
  <si>
    <t>Background and aim: Artificial Intelligence (AI) has been increasingly used in cancer survivorship to support symptom management. This scoping review aimed to map existing evidence on AI applications in cancer symptom management for adult cancer survivors, including AI model development, AI-enabled intervention delivery and adoption, symptom targets, key features of the AI approaches used, reported outcomes, influencing factors, and research gaps to inform future priorities. Method: This scoping review was conducted in accordance with the Joanna Briggs Institute methodology for scoping reviews. Eight electronic databases were comprehensively searched in November 2025 and updated in March 2026. Empirical studies published in English from 2015 onward that focused on the development and/or implementation of AI models for cancer-related symptom care among adult survivors were included. Given the heterogeneity of the included studies, findings were synthesised using descriptive statistics and narrative analysis. Factors influencing AI development and implementation were analysed using inductive content analysis. Results: A total of 41 studies were included: 21 focused on AI model development, 18 on AI-enabled intervention delivery, and 2 on both. Common techniques included natural language processing, machine learning, and conversational AI. Development studies primarily used unstructured electronic health record data, whereas delivery studies more often relied on patient-reported inputs. AI applications were mainly used to support symptom detection (n =15), monitoring (n = 5) and triage (n = 2); clinical decision support (n = 3) and personalised management (n = 5); and patient education (n = 9) or counselling (n = 2). Nearly half of the studies (n = 18) addressed general or multiplesymptom management, while others focused on specific symptoms, particularly pain (n = 9) and psychological distress (n = 9). Model performance was generally moderate to high, varying by symptom, task complexity, and data source. Delivery studies reported improvements in clinical and psychosocial outcomes. Six categories of influencing factors were identified: technical performance; data quality, documentation, and generalisability; clinical workflow integration; usability, access, and equity; human-centred communication; and ethics and safety. Conclusion: AI is increasingly used to support symptom management in adult cancer survivors, primarily through symptom identification, monitoring, decision support, and patient-facing recommendations, education and counselling. However, the evidence remains heterogeneous, early-stage, and context-dependent, with variability in AI functionality, technical reporting, study populations, healthcare settings and study designs. Future research could prioritise clearer reporting of AI functionality, broader symptom coverage, robust validation, co-design, and clinically integrated evaluations that demonstrate safety, equity, effectiveness, and real-world usefulness beyond predictive accuracy.</t>
  </si>
  <si>
    <t>Wang, Tao; Wang, Haiying; Li, Mengyuan; Bressington, Daniel; Terry, Daniel; Wang, Guanjin; Kwok, Wai Hang; Tan, Jing-Yu (Benjamin)</t>
  </si>
  <si>
    <t>Tan, JY (corresponding author), Univ Notre Dame Australia, Sch Nursing &amp; Midwifery, Fremantle, WA, Australia.</t>
  </si>
  <si>
    <t>benjamin.tan@nd.edu.au</t>
  </si>
  <si>
    <t>Academic Affairs Research Collaboration Grant, University of Southern Queensland</t>
  </si>
  <si>
    <t>It was funded by the Academic Affairs Research Collaboration Grant, University of Southern Queensland.</t>
  </si>
  <si>
    <t>[Wang, Tao; Kwok, Wai Hang] Edith Cowan Univ, Sch Nursing &amp; Midwifery, Joondalup, WA, Australia; [Wang, Tao; Wang, Haiying; Li, Mengyuan; Terry, Daniel; Tan, Jing-Yu (Benjamin)] Univ Southern Queensland, Sch Nursing &amp; Midwifery, Toowoomba, Qld, Australia; [Wang, Haiying; Terry, Daniel] Univ Southern Queensland, Inst Hlth Res, Toowoomba, Qld, Australia; [Bressington, Daniel] Chiang Mai Univ, Fac Nursing, Chiang Mai, Thailand; [Terry, Daniel] Federat Univ, Inst Hlth &amp; Wellbeing, Gippsland, Vic, Australia; [Wang, Guanjin] Murdoch Univ, Sch Informat Technol, Murdoch, WA, Australia; [Tan, Jing-Yu (Benjamin)] Univ Notre Dame Australia, Sch Nursing &amp; Midwifery, Fremantle, WA, Australia; [Terry, Daniel] Shiga Univ Med Sci, Sch Nursing, Otsu, Japan</t>
  </si>
  <si>
    <t>Edith Cowan University; University of Southern Queensland; University of Southern Queensland; Chiang Mai University; Federation University Australia; Murdoch University; The University of Notre Dame Australia; Shiga University of Medical Science</t>
  </si>
  <si>
    <t>Application of Artificial Intelligence (AI) in cancer symptom management for adult cancer survivors: a scoping review</t>
  </si>
  <si>
    <t>Cancer survivors; Digital health; Artificial intelligence; Symptom management; Scoping review</t>
  </si>
  <si>
    <t>CARE; PAIN</t>
  </si>
  <si>
    <t>106643</t>
  </si>
  <si>
    <t>10.1016/j.ijmedinf.2026.106643</t>
  </si>
  <si>
    <t>http://dx.doi.org/10.1016/j.ijmedinf.2026.106643</t>
  </si>
  <si>
    <t>MV3KQ</t>
  </si>
  <si>
    <t>42603423</t>
  </si>
  <si>
    <t>WOS:001851756400001</t>
  </si>
  <si>
    <t>Sayed, BT; Shaaban, Z; Shukla, MB; Sharma, S; Nematov, O; Sapaev, I; Sharma, MK; Smerat, A; Khayyat, A; Mohebi, A</t>
  </si>
  <si>
    <t>Carbon quantum dots (CQDs) have emerged as promising fluorescent nanomaterials for environmental monitoring, biosensing, and multi-analyte detection; however, their practical analytical deployment remains constrained by broad emission bandwidths, spectral overlap, surface-state heterogeneity, and poor reproducibility under varying environmental conditions. This review examines the integration of machine learning (ML) architectures with CQD fluorescence sensing to overcome the limitations of conventional spectroscopic analysis. The article systematically evaluates the photophysical origins of CQD spectral complexity, including quantum confinement effects, surface-state engineering, and environmental modulation, while highlighting the inadequacy of traditional Gaussian deconvolution and univariate calibration methods. Advanced ML frameworks-including principal component analysis, support vector machines; non-negative matrix factorization, deep neural networks, and ensemble learning-are analyzed for their capability to perform spectral decomposition, dimensionality reduction, feature extraction, and multi-analyte classification. Recent studies demonstrate substantial improvements in sensitivity, selectivity, and real-time analytical performance across environmental, biomedical, and food safety applications. Finally, critical challenges related to dataset scarcity, model interpretability, reproducibility, standardization, and regulatory validation are discussed, alongside future directions necessary for translating ML-assisted CQD fluorescence sensing into reliable real-world analytical platforms.</t>
  </si>
  <si>
    <t>Sayed, Biju Theruvil; Shaaban, Zyad; Shukla, Maharshikumar B.; Sharma, Sumit; Nematov, Ozodbek; Sapaev, Ibrokhim; Sharma, M. K.; Smerat, Aseel; Khayyat, Ahmad; Mohebi, Ahmad</t>
  </si>
  <si>
    <t>Mohebi, A (corresponding author), Islamic Azad Univ, Tehran Branch, Young Researchers &amp; Elite Club, Tehran, Iran.</t>
  </si>
  <si>
    <t>a.mohebiacademic@gmail.com</t>
  </si>
  <si>
    <t>[Sayed, Biju Theruvil] Dhofar Univ, Dept Comp Sci, POB 2509, Salalah 211, Oman; [Shaaban, Zyad] Univ Tabuk, Univ Coll Duba, Dept Comp Sci, Duba 71911, Saudi Arabia; [Shukla, Maharshikumar B.] Gokul Global Univ, Fac Sci, Dept Chem, Sidhpur, Gujarat, India; [Sharma, Sumit] Chandigarh Univ, Dept Comp Sci Engn, Mohali, Punjab, India; [Nematov, Ozodbek] Jizzakh State Pedag Univ, Jizzakh, Uzbekistan; [Sapaev, Ibrokhim] Natl Res Univ, Tashkent Inst Irrigat &amp; Agr Mechanizat Engineers, Dept Phys &amp; Chem, Tashkent, Uzbekistan; [Sapaev, Ibrokhim] Univ Tashkent Appl Sci, Chem Deparment, Tashkent, Uzbekistan; [Sapaev, Ibrokhim] Cent Asian Univ, Sch Engn, Tashkent 111221, Uzbekistan; [Sharma, M. K.] Chaudhary Charan Singh Univ, Dept Math, Meerut 250004, Uttar Pradesh, India; [Smerat, Aseel] Al Ahliyya Amman Univ, Hourani Ctr Appl Sci Res, Amman 19328, Jordan; [Smerat, Aseel] Chitkara Univ, Ctr Res Impact &amp; Outcome, Rajpura, Punjab, India; [Khayyat, Ahmad] Islamic Univ, Coll Tech Engn, Dept Comp Tech Engn, Najaf, Iraq; [Mohebi, Ahmad] Islamic Azad Univ, Tehran Branch, Young Researchers &amp; Elite Club, Tehran, Iran</t>
  </si>
  <si>
    <t>Dhofar University; University of Tabuk; Chandigarh University; Jizzakh State Pedagogical University; Tashkent Institute of Irrigation &amp; Agricultural Mechanization Engineers; Central Asian University; Chaudhary Charan Singh University; Al-Ahliyya Amman University; Chitkara University, Punjab; Islamic University College; Islamic Azad University</t>
  </si>
  <si>
    <t>Machine learning-driven spectral decomposition and pattern recognition for carbon quantum dot fluorescence sensing: From quantum confinement to multi-analyte detection</t>
  </si>
  <si>
    <t>MATERIALS SCIENCE IN SEMICONDUCTOR PROCESSING</t>
  </si>
  <si>
    <t>Carbon quantum dots; Machine learning; Fluorescence sensing; Spectral decomposition; Pattern recognition; Multi-analyte detection</t>
  </si>
  <si>
    <t>102</t>
  </si>
  <si>
    <t>1369-8001</t>
  </si>
  <si>
    <t>1873-4081</t>
  </si>
  <si>
    <t>MAT SCI SEMICON PROC</t>
  </si>
  <si>
    <t>Mater. Sci. Semicond. Process</t>
  </si>
  <si>
    <t>215</t>
  </si>
  <si>
    <t>111038</t>
  </si>
  <si>
    <t>10.1016/j.mssp.2026.111038</t>
  </si>
  <si>
    <t>http://dx.doi.org/10.1016/j.mssp.2026.111038</t>
  </si>
  <si>
    <t>Engineering, Electrical &amp; Electronic; Materials Science, Multidisciplinary; Physics, Applied; Physics, Condensed Matter</t>
  </si>
  <si>
    <t>Engineering; Materials Science; Physics</t>
  </si>
  <si>
    <t>MF5BW</t>
  </si>
  <si>
    <t>WOS:001841006600001</t>
  </si>
  <si>
    <t>Kumar, R; Choi, KW; Abdullah; Biswas, G; Sathish, S; Acharyya, SS; Chakrabortty, S; Tripathy, SK; Prabhu, SM; Jeon, BH</t>
  </si>
  <si>
    <t>Sonocatalysis is a rapidly emerging advanced method that uses acoustic cavitation to produce localized extreme conditions and reactive radical species that accelerate chemical reactions. Sonocatalysis offers numerous benefits over conventional catalysis and advanced oxidation processes, which include enhanced mass transfer, flexible reactor design, and operation in dark or murky environments. This review delineates a systematic framework correlating to cavitation mechanisms, charge transfer pathways, ultrasonic operational parameters, and structure-property relationships in catalysts. The sonocatalysts are classified as carbon-derived supports, graphitic carbon nitride, biomaterials, and carbon-free materials, including semiconductor-based materials, metal and metal-oxide systems, and heterostructured multifunctional composites. A comparative analysis highlights the distinct contributions of each category to radical generation, defect modulation, energy harvesting, recyclability, and scalability. Recent advances in piezoelectric polarization, plasmon-coupled activation, heterojunction engineering, and sonophotocatalytic hybrid architectures substantially expanded sonocatalysis toward pollutant degradation, H2 production, CO2 conversion, biomass valorization, disinfection, and biomedical applications. However, significant scientific challenges remain in the sonocatalysis system, related to the mechanistic understanding, energy efficiency, catalyst durability, reactor scalability, and industrial applicability. Operando spectroscopy, computational modeling (including density functional theory and machine learning-based approaches), microfluidic sonoreactor engineering, and techno-economic assessment are essential for advancing sonocatalysis from laboratory-scale studies to practical implementations. This review provides a comprehensive overview of the rapidly evolving materials, mechanistic pathways, applications, and scale-up challenges of sonocatalysis.</t>
  </si>
  <si>
    <t>Kumar, Ramesh; Choi, Kung-Won; Abdullah; Biswas, Goutam; Sathish, Selvan; Acharyya, Shankha S.; Chakrabortty, Sankha; Tripathy, Suraj K.; Prabhu, Subbaiah Muthu; Jeon, Byong-Hun</t>
  </si>
  <si>
    <t>Jeon, BH (corresponding author), Hanyang Univ, Dept Earth Resources &amp; Environm Engn, Seoul 04763, South Korea.; Prabhu, SM (corresponding author), VIT AP Univ, Sch Adv Sci, Dept Chem, AP Secretariat, Amaravati 522241, Andhra Pradesh, India.</t>
  </si>
  <si>
    <t>bhjeon@hanyang.ac.kr; muthuprabhu.s@vitap.ac.in</t>
  </si>
  <si>
    <t>Korea Institute of Energy Technology Evaluation and Planning - Korean Government (MOTIE) [RS-2024-00431554]</t>
  </si>
  <si>
    <t>Korea Institute of Energy Technology Evaluation and Planning - Korean Government (MOTIE)</t>
  </si>
  <si>
    <t>This work was supported by the Korea Institute of Energy Technology Evaluation and Planning grant funded by the Korean Government (MOTIE) (RS-2024-00431554) .</t>
  </si>
  <si>
    <t>[Kumar, Ramesh; Choi, Kung-Won; Abdullah; Acharyya, Shankha S.; Jeon, Byong-Hun] Hanyang Univ, Dept Earth Resources &amp; Environm Engn, Seoul 04763, South Korea; [Choi, Kung-Won] SUNY Albany, Dept Environm &amp; Sustainable Engn, Albany, NY 12222 USA; [Biswas, Goutam] Cooch Behar Panchanan Barma Univ, Dept Chem, Cooch Behar 736101, West Bengal, India; [Sathish, Selvan; Prabhu, Subbaiah Muthu] VIT AP Univ, Sch Adv Sci, Dept Chem, AP Secretariat, Amaravati 522241, Andhra Pradesh, India; [Chakrabortty, Sankha; Tripathy, Suraj K.] Kalinga Inst Ind Technol, Sch Chem Engn, Bhubaneswar 751024, Odisha, India</t>
  </si>
  <si>
    <t>Hanyang University; State University of New York (SUNY) System; University at Albany, SUNY; VIT-AP University; Kalinga Institute of Industrial Technology (KIIT)</t>
  </si>
  <si>
    <t>Function-oriented engineering of framework materials for advanced sonocatalytic energy and environmental applications</t>
  </si>
  <si>
    <t>COORDINATION CHEMISTRY REVIEWS</t>
  </si>
  <si>
    <t>Sonocatalysis; Reaction mechanism; Emerging catalytic materials; Sono-degradation; AI/ML application; Sustainable sonocatalysis</t>
  </si>
  <si>
    <t>COATED CARBON NANOTUBES; SONOPHOTOCATALYTIC DEGRADATION; SONOCHEMISTRY; ULTRASOUND; WATER; EFFICIENT; TETRACYCLINE; CANCER; FENTON; GREEN</t>
  </si>
  <si>
    <t>CHAKRABORTTY, SANKHA/P-1531-2019; ACHARYYA, SHANKHA/S-4936-2018; S, Muthu Prabhu/ISV-3886-2023; Choi, Kungwon/QWB-8363-2026; Tripathy, Suraj/C-8268-2012; Jeon, Byong-Hun/AAF-4352-2020; Kumar, Ramesh/GMW-4949-2022</t>
  </si>
  <si>
    <t>313</t>
  </si>
  <si>
    <t>ELSEVIER SCIENCE SA</t>
  </si>
  <si>
    <t>LAUSANNE</t>
  </si>
  <si>
    <t>PO BOX 564, 1001 LAUSANNE, SWITZERLAND</t>
  </si>
  <si>
    <t>0010-8545</t>
  </si>
  <si>
    <t>1873-3840</t>
  </si>
  <si>
    <t>COORDIN CHEM REV</t>
  </si>
  <si>
    <t>Coord. Chem. Rev.</t>
  </si>
  <si>
    <t>567</t>
  </si>
  <si>
    <t>218336</t>
  </si>
  <si>
    <t>10.1016/j.ccr.2026.218336</t>
  </si>
  <si>
    <t>http://dx.doi.org/10.1016/j.ccr.2026.218336</t>
  </si>
  <si>
    <t>Chemistry, Inorganic &amp; Nuclear</t>
  </si>
  <si>
    <t>Chemistry</t>
  </si>
  <si>
    <t>LX6KG</t>
  </si>
  <si>
    <t>WOS:001835658400001</t>
  </si>
  <si>
    <t>Gharahbagh, AA; Hajihashemi, V; Machado, JJM; Tavares, JMRS</t>
  </si>
  <si>
    <t>Human Activity Recognition (HAR) from video has become increasingly important in applications ranging from surveillance and healthcare monitoring to human-robot interaction. Optical flow, which describes apparent mo tion between consecutive frames, remains one of the most widely used temporal representations in video-based HAR. Despite this widespread use, the literature still offers limited systematic guidance on how different op tical flow methods should be selected and integrated into activity-recognition pipelines. This review addresses that gap through a systematic analysis of 205 studies published between 2000 and 2025 and retrieved from IEEE, Elsevier, and Springer databases. The analysis focuses on four principal knowledge-based optical flow formulations: Lucas-Kanade, Horn-Schunck, Farneb &amp; auml;ck, and TV-L1. For each method, the review examines its combination with feature extraction strategies, classifier architectures, and benchmark datasets. The results reveal substantial methodological changes over the review period. Lucas-Kanade dominated early work and appeared in 76 studies, whereas Farneb &amp; auml;ck became more prominent in later periods, appearing in 53 studies. A clear shift from traditional machine learning to deep learning classifiers occurred after 2017: neural-network adoption in creased from 13% in 2014-2017 to 51% in 2018-2020 and 63% in 2021-2025. Before 2018, histogram-based descriptors were the standard representation, but they were gradually replaced by the direct use of optical flow fields as inputs to convolutional and recurrent neural networks. TV-L1 showed particularly strong compatibility with deep learning architectures, with 15 of the 18 TV-L1 studies using neural-network classifiers. The review identifies persistent challenges, including computational efficiency for embedded deployment, robustness to en vironmental variation, and the lack of optical flow formulations designed specifically for activity recognition. A comparative analysis of 11 benchmark datasets is also provided to support evaluation under both controlled and real-world conditions.</t>
  </si>
  <si>
    <t>Gharahbagh, Abdorreza Alavi; Hajihashemi, Vahid; Machado, J. j. m.; Tavares, Joao Manuel R. S.</t>
  </si>
  <si>
    <t>Tavares, JMRS (corresponding author), Univ Porto, Fac Engn, Dept Engn Mecan, Inst Ciencia &amp; Inovacao Engn Mecan &amp; Engn Ind, Rua Dr Roberto Frias, P-4200465 Porto, Portugal.</t>
  </si>
  <si>
    <t>tavares@fe.up.pt</t>
  </si>
  <si>
    <t>European Regional Development Fund (ERDF) , through the Operational Programme for Competitiveness and Internationalisation (COMPETE 2020) [SIFN-01-9999-FN-182852]; The "Fundacao para a Ciencia e a Tecnologia (FCT) ", in Portugal [2021.08660.BD]</t>
  </si>
  <si>
    <t>European Regional Development Fund (ERDF) , through the Operational Programme for Competitiveness and Internationalisation (COMPETE 2020) (European Union (EU), Marie Curie Actions); The "Fundacao para a Ciencia e a Tecnologia (FCT) ", in Portugal</t>
  </si>
  <si>
    <t>This article is partially a result of the project "Sensitive Industry", with reference SIFN-01-9999-FN-182852, co-funded by the European Regional Development Fund (ERDF) , through the Operational Programme for Competitiveness and Internationalisation (COMPETE 2020) , under the PORTUGAL 2020 Partnership Agreement. The second author would like to thank "Fundacao para a Ciencia e a Tecnologia (FCT) ", in Portugal, for his PhD grant, reference 2021.08660.BD.</t>
  </si>
  <si>
    <t>[Gharahbagh, Abdorreza Alavi; Hajihashemi, Vahid] Univ Porto, Fac Engn, Rua Dr Roberto Frias S-N, P-4200465 Porto, Portugal; [Machado, J. j. m.; Tavares, Joao Manuel R. S.] Univ Porto, Fac Engn, Dept Engn Mecan, Inst Ciencia &amp; Inovacao Engn Mecan &amp; Engn Ind, Rua Dr Roberto Frias, P-4200465 Porto, Portugal</t>
  </si>
  <si>
    <t>Survey paper Optical flow for human activity recognition: A systematic review from classical methods to deep learning</t>
  </si>
  <si>
    <t>NEUROCOMPUTING</t>
  </si>
  <si>
    <t>Human activity recognition; Optical flow; Deep learning; Convolutional neural networks; Spatiotemporal features</t>
  </si>
  <si>
    <t>RECOGNIZING HUMAN ACTIONS; GESTURE RECOGNITION; MOTION-FEATURE; FEATURES; REPRESENTATION; IMAGE; TRAJECTORIES; MODEL; CLASSIFICATION; COMBINATION</t>
  </si>
  <si>
    <t>291</t>
  </si>
  <si>
    <t>0925-2312</t>
  </si>
  <si>
    <t>1872-8286</t>
  </si>
  <si>
    <t>Neurocomputing</t>
  </si>
  <si>
    <t>NOV 7 2026</t>
  </si>
  <si>
    <t>701</t>
  </si>
  <si>
    <t>134613</t>
  </si>
  <si>
    <t>10.1016/j.neucom.2026.134613</t>
  </si>
  <si>
    <t>http://dx.doi.org/10.1016/j.neucom.2026.134613</t>
  </si>
  <si>
    <t>Computer Science, Artificial Intelligence</t>
  </si>
  <si>
    <t>Computer Science</t>
  </si>
  <si>
    <t>MD8WR</t>
  </si>
  <si>
    <t>WOS:001839908900001</t>
  </si>
  <si>
    <t>Sirago, G; Sabato, S; Visci, P; Solarino, B; Dell'Erba, A; Ferorelli, D</t>
  </si>
  <si>
    <t>Purpose: Artificial intelligence (AI) is rapidly entering the forensic sciences. We mapped AI research produced within dedicated forensic-science journals to characterise its growth, contributors, intellectual structure and emerging themes, and to assess whether methodological, legal and security-critical issues have developed alongside applications. Methods: We analysed documents published 1991-2026 in dedicated forensic-science journals (Scopus category "Pathology and Forensic Medicine", applied by ISSN), retrieved from Scopus and the Web of Science and merged in bibliometrix; by design the study maps AI research produced within forensic-science journals rather than all forensically relevant AI. Analyses covered production, sources, countries, keyword co-occurrence, thematic mapping, trend topics, the intellectual base, and a targeted document-level analysis of fifteen methodological, legal and security domains. Results: The corpus comprised 1127 documents from 42 sources and 4123 indexed author name-forms, with a 16.29% annual growth rate and mean document age of 3.76 years. Output was negligible before 2015 and rose steeply thereafter. Forensic Science International was the most productive source, followed by the International Journal of Legal Medicine; China, India and the United States led corresponding-author output, with low international co-authorship among the largest producers. The conceptual structure resolved into a machinelearning/AI/identification core, a deep-learning/imaging/age-estimation component and a forensicanthropology theme. Whereas generic performance evaluation was common (approximate to 59% of documents), the terminology of critical forensic-qualification themes was uncommon - these are counts of records in which the vocabulary is visible in title, abstract or keywords, not of studies verified to have performed the procedure: external/independent validation 2.8%, calibration or predictive-uncertainty language 0.4%, admissibility 4.2%, adversarial/model-security 0.8%, bias/fairness 1.9% and dedicated law/regulation/AI-Act content 4.0% (with AI applied to cybercrime, a comparative category rather than a safeguard, at 3.5%). Conclusions: AI within dedicated forensic-science journals is a young, rapidly expanding and geographically concentrated field consolidated around machine and deep learning applied to identification, anthropology and age estimation. The limited visibility of external validation, adversarial resilience and evidentiary standards defines a practical agenda for multicentre datasets, transparent reporting and forensic-specific validation within that scope.</t>
  </si>
  <si>
    <t>Sirago, Gianmarco; Sabato, Susanna; Visci, Paolo; Solarino, Biagio; Dell'Erba, Alessandro; Ferorelli, Davide</t>
  </si>
  <si>
    <t>Sirago, G (corresponding author), Univ Bari Aldo Moro, Sect Legal Med, Policlin Bari, Piazza Giulio Cesare 11, I-70124 Bari, Italy.</t>
  </si>
  <si>
    <t>alessandro.dellerba@uniba.it; gianmarco.sirago@uniba.it; s.sabato9@studenti.uniba.it; paolo.visci@uniba.it; davide.ferorellli@uniba.it; biagio.solarino@uniba.it</t>
  </si>
  <si>
    <t>[Sirago, Gianmarco; Sabato, Susanna; Visci, Paolo; Solarino, Biagio; Dell'Erba, Alessandro; Ferorelli, Davide] Univ Bari Aldo Moro, Sect Legal Med, Policlin Bari, Piazza Giulio Cesare 11, I-70124 Bari, Italy</t>
  </si>
  <si>
    <t>Universita degli Studi di Bari Aldo Moro</t>
  </si>
  <si>
    <t>Artificial intelligence in dedicated forensic-science journals: A bibliometric and science-mapping analysis (1991-2026)</t>
  </si>
  <si>
    <t>FORENSIC SCIENCE INTERNATIONAL</t>
  </si>
  <si>
    <t>Artificial intelligence; Machine learning; Deep learning; Forensic science; Bibliometrics; Science mapping; Validation</t>
  </si>
  <si>
    <t>AGE ESTIMATION; CLASSIFICATION; NETWORKS; MODELS</t>
  </si>
  <si>
    <t>0379-0738</t>
  </si>
  <si>
    <t>1872-6283</t>
  </si>
  <si>
    <t>FORENSIC SCI INT</t>
  </si>
  <si>
    <t>Forensic Sci.Int.</t>
  </si>
  <si>
    <t>NOV 2026</t>
  </si>
  <si>
    <t>388</t>
  </si>
  <si>
    <t>113110</t>
  </si>
  <si>
    <t>10.1016/j.forsciint.2026.113110</t>
  </si>
  <si>
    <t>http://dx.doi.org/10.1016/j.forsciint.2026.113110</t>
  </si>
  <si>
    <t>Medicine, Legal</t>
  </si>
  <si>
    <t>Legal Medicine</t>
  </si>
  <si>
    <t>MY7TY</t>
  </si>
  <si>
    <t>42617285</t>
  </si>
  <si>
    <t>WOS:001854091300001</t>
  </si>
  <si>
    <t>Kim, A; Kim, Y; You, YJ; Won, J; Cho, JY</t>
  </si>
  <si>
    <t>Sublingual hematoma is a rare but life-threatening condition with heterogeneous etiologies that complicate emergency decision-making. This study compared clinical characteristics and management outcomes between implant-induced sublingual hematoma (ISH) and spontaneous sublingual hematoma (SSH), and developed an etiology-guided treatment algorithm through integrated statistical and machine-learning analyses. A systematic literature search through January 2025 identified 77 studies comprising 85 cases (ISH, n = 33; SSH, n = 52). Clinical variables were compared statistically, and random forest and decision tree models were applied to identify determinants of treatment and prognosis. SSH was strongly associated with cardiovascular comorbidities and anticoagulant therapy (84.6% vs 12.1%; p &lt; 0.001), whereas ISH required surgical intervention more often (54.5% vs 13.5%; p &lt; 0.001), with shorter hospital stays (5.3 +/- 3.9 vs 10.5 +/- 9.8 days). Machine learning identified symptom-to-treatment time and surgical parameters as major predictors for ISH management, while warfarin use and respiratory distress determined SSH severity. These findings indicate that sublingual hematoma requires prompt, etiology-specific management: immediate surgical hemostasis for implant-induced cases and correction of coagulopathy with airway vigilance for spontaneous cases. The proposed framework provides preliminary data-informed guidance for managing this rare but critical condition.</t>
  </si>
  <si>
    <t>Kim, Ahjin; Kim, Youjin; You, Yeonjeong; Won, Jiyoung; Cho, Jin-yong</t>
  </si>
  <si>
    <t>Cho, JY (corresponding author), Gachon Univ, Coll Med, Dept Dent, 38-13 Dokjeom Ro 3 Beon Gil, Incheon 21565, South Korea.</t>
  </si>
  <si>
    <t>omslips@gilhospital.com</t>
  </si>
  <si>
    <t>Gachon University research fund of 2024 [GCU-202407040001]</t>
  </si>
  <si>
    <t>Gachon University research fund of 2024</t>
  </si>
  <si>
    <t>This work was supported by the Gachon University research fund of 2024 (grant number GCU-202407040001).</t>
  </si>
  <si>
    <t>[Kim, Ahjin; You, Yeonjeong; Cho, Jin-yong] Gachon Univ, Gil Med Ctr, Dept Oral &amp; Maxillofacial Surg, Incheon, South Korea; [Kim, Youjin] Asan Med Ctr, Seoul, South Korea; [Won, Jiyoung] Gachon Univ, Gil Med Ctr, Dept Conservat Dent, Incheon, South Korea; [Cho, Jin-yong] Gachon Univ, Coll Med, Dept Dent, 38-13 Dokjeom Ro 3 Beon Gil, Incheon 21565, South Korea</t>
  </si>
  <si>
    <t>Gachon University; University of Ulsan; Asan Medical Center</t>
  </si>
  <si>
    <t>Clinical decision framework for sublingual hematoma: literature-based retrospective analysis with machine learning</t>
  </si>
  <si>
    <t>JOURNAL OF CRANIO-MAXILLOFACIAL SURGERY</t>
  </si>
  <si>
    <t>Sublingual hematoma; Clinical decision rules; Machine learning; Dental implants; Anticoagulants; Airway obstruction</t>
  </si>
  <si>
    <t>UPPER AIRWAY-OBSTRUCTION; DENTAL IMPLANT PLACEMENT; LIFE-THREATENING HEMORRHAGE; PSEUDO-LUDWIGS PHENOMENON; MOUTH HEMATOMA; ANTICOAGULATION THERAPY; ORAL ANTICOAGULATION; RARE COMPLICATION; FLOOR; WARFARIN</t>
  </si>
  <si>
    <t>1010-5182</t>
  </si>
  <si>
    <t>1878-4119</t>
  </si>
  <si>
    <t>J CRANIO MAXILL SURG</t>
  </si>
  <si>
    <t>J. Cranio-MaxilloFac. Surg.</t>
  </si>
  <si>
    <t>54</t>
  </si>
  <si>
    <t>109855</t>
  </si>
  <si>
    <t>10.1016/j.jcms.2026.109855</t>
  </si>
  <si>
    <t>http://dx.doi.org/10.1016/j.jcms.2026.109855</t>
  </si>
  <si>
    <t>Dentistry, Oral Surgery &amp; Medicine; Surgery</t>
  </si>
  <si>
    <t>MV8CA</t>
  </si>
  <si>
    <t>42603531</t>
  </si>
  <si>
    <t>WOS:001852072600001</t>
  </si>
  <si>
    <t>Dong, HT; Zhou, Y; Liu, XJ; Chen, J; Ren, L; Wang, F; Chen, YS; Zhong, YF</t>
  </si>
  <si>
    <t>The pan-cancer screening agenda is moving past single-analyte assays toward platforms that read several molecular layers from one specimen and a single measurement. Smart nanomaterials - plasmonic colloids, quantum dots, upconversion phosphors, magnetic colloids, DNA origami, and stimuli-responsive carriers - supply the physical contact with tumour-derived analytes; modern deep-learning architectures (1-D and 2-D convolutional networks, transformers, graph neural networks, self-supervised foundation models) supply the inference engine that converts raw spectra, magnetisation curves, electrochemical traces, and image stacks into a clinical readout. We searched PubMed on 25 April 2026 with a Boolean string combining cancer, nanomaterial, and machine-learning terms; the query returned 527 indexed records between January 2018 and the search date. Eighteen study-cancer entries from 12 PMID-verified primary studies were extracted with explicit AUC values and re-analysed alongside the four established cfDNA-based multi-cancer early detection (MCED) trials [1-4]. The sample-size-weighted pooled AUC across these entries is 0.886, with per-cancer values ranging from 0.840 (lung, plasma exosome SERS) to 0.999 (thyroid, serum SERS plus ResNet (Lin and et al., 2025) [5]. Fifty-two PMID-verified references span the chemistry, the algorithmic toolkit, the pan-cancer evidence base, and the regulatory framework. The pipeline that emerges - sample -&gt; smart nanoprobe -&gt; multi-channel readout -&gt; AI decoder -&gt; pan-cancer label, with a longitudinal feedback loop - is shared across solid and haematological tumours. We discuss what is in place and what still has to be built before AI-coupled smart nanomaterials become a routine component of the cancer diagnostic stack.</t>
  </si>
  <si>
    <t>Dong, Huiting; Zhou, Yun; Liu, Xianjie; Chen, Jun; Ren, Ling; Wang, Fei; Chen, Yushuai; Zhong, Yifan</t>
  </si>
  <si>
    <t>Zhong, YF (corresponding author), China Med Univ, Dept Ophthalmol, Hosp 1, Shenyang 110000, Liaoning, Peoples R China.; Ren, L (corresponding author), China Med Univ, Dept Radiol, Hosp 1, Shenyang 110000, Liaoning, Peoples R China.; Wang, F (corresponding author), China Med Univ, Dept Otolaryngol, Hosp 1, Shenyang 110000, Liaoning, Peoples R China.; Chen, YS (corresponding author), China Med Univ, Dept Gerontol, Hosp 1, Shenyang 110000, Liaoning, Peoples R China.</t>
  </si>
  <si>
    <t>renling@cmu.edu.cn; zhongyifan851111@163.com; feiwang@cmu.edu.cn; cys3527@163.com</t>
  </si>
  <si>
    <t>[Dong, Huiting] China Med Univ, Dept Breast Surg, Hosp 1, Shenyang 110000, Liaoning, Peoples R China; [Zhou, Yun; Liu, Xianjie; Chen, Jun; Zhong, Yifan] China Med Univ, Dept Ophthalmol, Hosp 1, Shenyang 110000, Liaoning, Peoples R China; [Ren, Ling] China Med Univ, Dept Radiol, Hosp 1, Shenyang 110000, Liaoning, Peoples R China; [Wang, Fei] China Med Univ, Dept Otolaryngol, Hosp 1, Shenyang 110000, Liaoning, Peoples R China; [Chen, Yushuai] China Med Univ, Dept Gerontol, Hosp 1, Shenyang 110000, Liaoning, Peoples R China</t>
  </si>
  <si>
    <t>China Medical University; China Medical University; China Medical University; China Medical University; China Medical University</t>
  </si>
  <si>
    <t>Artificial intelligence-driven smart nanomaterials for pan-cancer diagnosis: A review of recent advances</t>
  </si>
  <si>
    <t>TRAC-TRENDS IN ANALYTICAL CHEMISTRY</t>
  </si>
  <si>
    <t>Smart nanomaterials; Modern deep-learning; Pan-cancer; cfDNA</t>
  </si>
  <si>
    <t>LABEL-FREE SERS</t>
  </si>
  <si>
    <t>0165-9936</t>
  </si>
  <si>
    <t>1879-3142</t>
  </si>
  <si>
    <t>TRAC-TREND ANAL CHEM</t>
  </si>
  <si>
    <t>Trac-Trends Anal. Chem.</t>
  </si>
  <si>
    <t>204</t>
  </si>
  <si>
    <t>119086</t>
  </si>
  <si>
    <t>10.1016/j.trac.2026.119086</t>
  </si>
  <si>
    <t>http://dx.doi.org/10.1016/j.trac.2026.119086</t>
  </si>
  <si>
    <t>Chemistry, Analytical</t>
  </si>
  <si>
    <t>MV4GE</t>
  </si>
  <si>
    <t>WOS:001851812900001</t>
  </si>
  <si>
    <t>Mishra, N; Abu-Hanna, A; Calixto, I</t>
  </si>
  <si>
    <t>Clinical large language models (LLMs) are increasingly used for documentation, diagnosis, and decision support, but their opaque reasoning can limit clinician trust, regulatory assessment, and safe deployment. Explainability research has expanded rapidly, yet existing reviews largely address traditional machine learning or general-domain LLMs. We conducted a PRISMA-ScR scoping review to map explainability approaches for decoder-only clinical LLMs with over one billion parameters, searching PubMed, Scopus, Web of Science, ACM Digital Library, and arXiv through early 2026. Among 69 included studies, LLM-native generative and interactive methods dominated (58.0%, n = 40), spanning chain-of-thought rationales, retrieval-augmented evidence citation, and agentic decomposition. Intrinsic by-design methods accounted for 24.6% (n = 17); post-hoc XAI methods accounted for 17.4% (n = 12). General medicine was the most represented clinical domain, and diagnosis was the dominant task. Proprietary models were used in 75.4% of studies, yet every mechanistic analysis relied on open-source models, revealing a transparency asymmetry: most deployed models are the least transparent. Although 59.4% of studies quantitatively evaluated explanations, metrics remain non-standardized and rarely assess faithfulness. Local explanations predominated, and no study prospectively evaluated explanations in live clinical workflows. These findings show that clinical LLM explainability has shifted toward fluent generative rationales, but evidence that such explanations reflect model reasoning remains limited. To support trustworthy deployment, we highlight three regulatory priorities: prioritizing explanations that enable independent verification or logic auditing over plausibility-only rationales; preferring inspectable models where regulatory documentation is required; and prospectively validating explanations in clinical workflows before scaling.</t>
  </si>
  <si>
    <t>Mishra, Nishant; Abu-Hanna, Ameen; Calixto, Iacer</t>
  </si>
  <si>
    <t>Mishra, N (corresponding author), Amsterdam UMC Locat Univ Amsterdam, Dept Med Informat, Meibergdreef 9, NL-1105 AZ Amsterdam, Netherlands.</t>
  </si>
  <si>
    <t>n.mishra@amsterdamumc.nl</t>
  </si>
  <si>
    <t>[Mishra, Nishant; Abu-Hanna, Ameen; Calixto, Iacer] Amsterdam UMC Locat Univ Amsterdam, Dept Med Informat, Meibergdreef 9, NL-1105 AZ Amsterdam, Netherlands; [Mishra, Nishant; Abu-Hanna, Ameen; Calixto, Iacer] Amsterdam Publ Hlth, Methodol, Amsterdam, Netherlands; [Abu-Hanna, Ameen; Calixto, Iacer] Amsterdam Publ Hlth, Mental Hlth, Amsterdam, Netherlands</t>
  </si>
  <si>
    <t>Explainability of decoder-only clinical large language models: A scoping review</t>
  </si>
  <si>
    <t>ARTIFICIAL INTELLIGENCE IN MEDICINE</t>
  </si>
  <si>
    <t>Explainable artificial intelligence; Large language models; Clinical natural language processing; Chain-of-thought reasoning; Natural language explanations; Clinical decision support; Scoping review</t>
  </si>
  <si>
    <t>CHATBOT</t>
  </si>
  <si>
    <t>159</t>
  </si>
  <si>
    <t>0933-3657</t>
  </si>
  <si>
    <t>1873-2860</t>
  </si>
  <si>
    <t>ARTIF INTELL MED</t>
  </si>
  <si>
    <t>Artif. Intell. Med.</t>
  </si>
  <si>
    <t>103501</t>
  </si>
  <si>
    <t>10.1016/j.artmed.2026.103501</t>
  </si>
  <si>
    <t>http://dx.doi.org/10.1016/j.artmed.2026.103501</t>
  </si>
  <si>
    <t>Computer Science, Artificial Intelligence; Engineering, Biomedical; Medical Informatics</t>
  </si>
  <si>
    <t>Computer Science; Engineering; Medical Informatics</t>
  </si>
  <si>
    <t>MS8PZ</t>
  </si>
  <si>
    <t>42594748</t>
  </si>
  <si>
    <t>WOS:001850063200001</t>
  </si>
  <si>
    <t>Wan, TX; Wang, YL; Ren, TL; Lin, ZH; Sun, PH; Hu, ZX; Huang, LH; Huang, ZJ; Huang, WK; Yu, RL; Meng, SQ; Cui, HY</t>
  </si>
  <si>
    <t>The accelerating global crisis of antibiotic resistance demands new therapeutic paradigms, and antimicrobial peptides (AMPs) have emerged as promising candidates owing to their broad activity and reduced propensity for resistance development. However, despite rapid progress in AMP discovery and generation, the accurate prediction of antimicrobial potency and activity spectrum remains a major bottleneck for clinical translation. In this Review, we examine how recent advances in machine learning are reshaping AMP research, driving a shift from large-scale discovery toward precision-guided prediction and design. We first summarize the molecular mechanisms underlying AMP function and critically assess existing AMP databases from the perspective of machine learning readiness, highlighting limitations in quantitative and spectrum-resolved annotations. We then review recent developments in peptide representation learning, describing how modern models encode sequence, structure, and dynamic features to capture antimicrobial activity. Building on this foundation, we discuss progress in de novo AMP design and emerging frameworks for quantitative minimum inhibitory concentration prediction and strain-specific spectrum profiling. Finally, we outline future directions for the field, emphasizing integrated generative-predictive pipelines, interpretable models, and closed-loop experimental validation as key enablers for the development of potent, selective, and clinically viable antimicrobial therapeutics.</t>
  </si>
  <si>
    <t>Wan, Tianxiao; Wang, Yiling; Ren, Tianle; Lin, Zhihe; Sun, Peihua; Hu, Zhixiang; Huang, Linhong; Huang, Zhijie; Huang, Wenkun; Yu, Rilei; Meng, Shuaiqi; Cui, Haiyang</t>
  </si>
  <si>
    <t>Meng, SQ; Cui, HY (corresponding author), Nanjing Normal Univ, Coll Life Sci, State Key Lab Microbial Technol, Minist Educ,Key Lab NSLSCS, Nanjing 210097, Peoples R China.</t>
  </si>
  <si>
    <t>s.meng@nnu.edu.cn; 262701014@njnu.edu.cn; hcui@nnu.edu.cn</t>
  </si>
  <si>
    <t>Coal-Major Project [2025ZD1701600]; Jiangsu Provincial Natural Science Foundation Project [BK20253050]; State Key Laboratory of Microbial Technology Open Projects Fund [M2025-17]; Ministry of Education Key Laboratory of NSLSCS</t>
  </si>
  <si>
    <t>Coal-Major Project; Jiangsu Provincial Natural Science Foundation Project; State Key Laboratory of Microbial Technology Open Projects Fund; Ministry of Education Key Laboratory of NSLSCS</t>
  </si>
  <si>
    <t>This work was supported by the Coal-Major Project (No. 2025ZD1701600) , Jiangsu Provincial Natural Science Foundation Project (Grant NO: BK20253050) , State Key Laboratory of Microbial Technology Open Projects Fund (Project No. M2025-17) . And partial data analysis is supported by Ministry of Education Key Laboratory of NSLSCS.</t>
  </si>
  <si>
    <t>[Wan, Tianxiao; Wang, Yiling; Ren, Tianle; Lin, Zhihe; Sun, Peihua; Hu, Zhixiang; Meng, Shuaiqi; Cui, Haiyang] Nanjing Normal Univ, Coll Life Sci, State Key Lab Microbial Technol, Minist Educ,Key Lab NSLSCS, Nanjing 210097, Peoples R China; [Huang, Linhong; Huang, Zhijie; Huang, Wenkun; Yu, Rilei] Ocean Univ China, Sch Med &amp; Pharm, Key Lab Marine Drugs, Chinese Minist Educ, Qingdao 266003, Peoples R China</t>
  </si>
  <si>
    <t>Nanjing Normal University; Ocean University of China</t>
  </si>
  <si>
    <t>Machine learning for precision prediction of antimicrobial peptide activity and spectrum</t>
  </si>
  <si>
    <t>BIOTECHNOLOGY ADVANCES</t>
  </si>
  <si>
    <t>Antimicrobial peptides; Machine learning; De novo design; AMP activity; AMP spectrum specificity</t>
  </si>
  <si>
    <t>SECONDARY STRUCTURE; DNA-BINDING; MECHANISM; MEMBRANE; COMBINATION; TARGET; MOTIF</t>
  </si>
  <si>
    <t>0734-9750</t>
  </si>
  <si>
    <t>1873-1899</t>
  </si>
  <si>
    <t>BIOTECHNOL ADV</t>
  </si>
  <si>
    <t>Biotechnol. Adv.</t>
  </si>
  <si>
    <t>92</t>
  </si>
  <si>
    <t>109002</t>
  </si>
  <si>
    <t>10.1016/j.biotechadv.2026.109002</t>
  </si>
  <si>
    <t>http://dx.doi.org/10.1016/j.biotechadv.2026.109002</t>
  </si>
  <si>
    <t>Biotechnology &amp; Applied Microbiology</t>
  </si>
  <si>
    <t>MU1FU</t>
  </si>
  <si>
    <t>42546809</t>
  </si>
  <si>
    <t>WOS:001850922400001</t>
  </si>
  <si>
    <t>Balasubramani, V; Cetinkaya, A; Ozkan, SA; Teng, YJ; Pan, ZF</t>
  </si>
  <si>
    <t>Volatile organic compounds are important biomarkers for disease diagnosis and major environmental pollutants, creating a strong demand for sensitive, selective, and real-time sensing technologies. Although conventional techniques such as gas chromatography and mass spectrometry provide high analytical accuracy, their high cost, complex operation, and limited portability restrict practical applications. Metal-organic frameworks (MOFs) have emerged as promising nanosensing materials because of their ultrahigh porosity, tunable pore structures, large surface areas, and versatile surface chemistry, enabling efficient adsorption and selective detection of trace-level VOCs. This review summarizes recent advances in MOF-based nanosensor arrays for healthcare and environmental monitoring applications. Unlike previous reviews, this review focuses on MOF-based hybrid sensing platforms, sensor arrays, and machine-learning-assisted VOC detection. It connects MOF material design, array-based sensing, and intelligent data analysis for healthcare and environmental monitoring applications. Fundamental MOF properties, fabrication methods, surface functionalization strategies, and major sensing mechanisms including chemiresistive, electrochemical, optical, fluorescence, SERS, and QCM-based detection are discussed. Particular emphasis is placed on disease-related VOC biomarkers associated with lung cancer, diabetes, and liver disorders, together with environmentally hazardous VOCs. Emerging hybrid sensing platforms integrating MOFs with graphene, MXenes, noble metal nanoparticles, and ionic liquids are also highlighted. In addition, the growing role of artificial intelligence and machine learning in VOC pattern recognition and intelligent sensing systems is discussed. Finally, current challenges and future perspectives for wearable healthcare devices and next-generation environmental monitoring technologies are outlined.</t>
  </si>
  <si>
    <t>Balasubramani, V.; Cetinkaya, Ahmet; Ozkan, Sibel A.; Teng, Yuanjie; Pan, Zaifa</t>
  </si>
  <si>
    <t>Teng, YJ; Pan, ZF (corresponding author), Zhejiang Univ Technol, Coll Chem Engn, Natl Key Lab Green Chem Synth &amp; Transformat Techno, Hangzhou 310014, Peoples R China.; Ozkan, SA (corresponding author), Ankara Univ, Fac Pharm, Dept Analyt Chem, Ankara, Turkiye.</t>
  </si>
  <si>
    <t>panzaifa@zjut.edu.cn; ozkan@pharmacy.ankara.edu.tr; yuanjieteng@zjut.edu.cn</t>
  </si>
  <si>
    <t>National Natural Science Foundation of China [52372158]; Analysis and Measurement Foundation of Zhejiang Province [LGC21B050004]</t>
  </si>
  <si>
    <t>National Natural Science Foundation of China (National Natural Science Foundation of China (NSFC)); Analysis and Measurement Foundation of Zhejiang Province</t>
  </si>
  <si>
    <t>National Natural Science Foundation of China (No.52372158) and Analysis and Measurement Foundation of Zhejiang Province (LGC21B050004) supported this work.</t>
  </si>
  <si>
    <t>[Balasubramani, V.; Teng, Yuanjie; Pan, Zaifa] Zhejiang Univ Technol, Coll Chem Engn, Natl Key Lab Green Chem Synth &amp; Transformat Techno, Hangzhou 310014, Peoples R China; [Cetinkaya, Ahmet] Univ Hlth Sci, Gulhane Fac Pharm, Dept Analyt Chem, Ankara, Turkiye; [Ozkan, Sibel A.] Ankara Univ, Fac Pharm, Dept Analyt Chem, Ankara, Turkiye</t>
  </si>
  <si>
    <t>Zhejiang University of Technology; University of Health Sciences Turkey; Ankara University</t>
  </si>
  <si>
    <t>MOF-based nanosensor arrays for trace-level VOC detection: Advancing non-invasive health and environmental monitoring</t>
  </si>
  <si>
    <t>Metal-organic frameworks; Volatile organic compounds; Nanosensor arrays; Non-invasive diagnostics and environmental monitoring</t>
  </si>
  <si>
    <t>SENSORS</t>
  </si>
  <si>
    <t>119054</t>
  </si>
  <si>
    <t>10.1016/j.trac.2026.119054</t>
  </si>
  <si>
    <t>http://dx.doi.org/10.1016/j.trac.2026.119054</t>
  </si>
  <si>
    <t>MU6BE</t>
  </si>
  <si>
    <t>WOS:001851249200001</t>
  </si>
  <si>
    <t>Yu, ZQ; Zhou, FY; Guan, XT; Liu, XY; Liu, J; Li, YC</t>
  </si>
  <si>
    <t>Closed bipolar electrode electrochemiluminescence (cBPE ECL) eliminates matrix-luminophore cross-interference by physically isolating the sample detection cell from the optical reporting cell. Organized around the closed configuration as a central unifying design logic, this review provides a structured framework to elucidate how spatial isolation translates into distinct analytical advantages. We systematically trace cBPE ECL from foundational polarization principles to cutting-edge performance strategies. Sensitivity optimizations are dissected across high-efficiency luminescent systems, interface engineering, cascade amplification, and ratiometric readouts. Selectivity advances are evaluated through diverse recognition modalities, including antibodies, aptamers, CRISPR cascades, and molecularly imprinted polymers. Furthermore, we highlight progress in device engineering-covering multichannel arrays, flexible/wearable architectures, and smartphone-integrated pointof-care testing (POCT)-alongside applications in clinical diagnostics, food safety, environmental monitoring, and pharmacodynamics. Finally, persistent challenges in theoretical modeling, fabrication standardization, and operational stability are analyzed alongside emerging trends like machine-learning-assisted readout. Overall, this review establishes an actionable roadmap for advancing cBPE ECL toward high-performance, field-deployable analytical applications.</t>
  </si>
  <si>
    <t>Yu, Ziqi; Zhou, Fuyu; Guan, Xiaotian; Liu, Xueyan; Liu, Jiang; Li, Yingchun</t>
  </si>
  <si>
    <t>Li, YC (corresponding author), Harbin Inst Technol Shenzhen, Sch Biomed Engn, Shenzhen Key Lab Organ Pollut Prevent &amp; Control, Shenzhen 518055, Peoples R China.; Liu, J (corresponding author), Shihezi Univ, Sch Pharm, Key Lab Xinjiang Phytomedicine Resources, Minist Educ, Shihezi 832000, Peoples R China.; Liu, XY (corresponding author), Jinan Univ, Southern Univ Sci &amp; Technol, Shenzhen Peoples Hosp,Clin Med Coll 2, Affiliated Hosp 1,Dept Crit Med,Sch Med, Shenzhen, Guangdong, Peoples R China.</t>
  </si>
  <si>
    <t>liuxueyandr@163.com; liyingchun@hit.edu.cn; liujiang@shzu.edu.cn</t>
  </si>
  <si>
    <t>National Natural Science Foundation of China [82373831]; Shenzhen Medical Research Fund [D2402018, D2402002]; Shenzhen Science and Technology Program [KCXFZ20230731094701003, KCXFZ20230731093559005]; Shenzhen Key Laboratory of Prevention and Treatment of Severe Infections [ZDSYS20200811142804014]; Guangdong Basic and Applied Basic Research Foundation [2024A1515220030]; Sanming Project of Program Medicine in Shenzhen [SZSM202311002]; Xinjiang Tianchi Academic Elite Leader Project [CZ000946]</t>
  </si>
  <si>
    <t>National Natural Science Foundation of China (National Natural Science Foundation of China (NSFC)); Shenzhen Medical Research Fund; Shenzhen Science and Technology Program (Shenzhen Science and Technology Program); Shenzhen Key Laboratory of Prevention and Treatment of Severe Infections; Guangdong Basic and Applied Basic Research Foundation (Guangdong Basic and Applied Basic Research Foundation); Sanming Project of Program Medicine in Shenzhen; Xinjiang Tianchi Academic Elite Leader Project</t>
  </si>
  <si>
    <t>This work was financially supported by the National Natural Science Foundation of China (82373831), Shenzhen Medical Research Fund (D2402018, D2402002), Shenzhen Science and Technology Program (KCXFZ20230731094701003, KCXFZ20230731093559005), Shenzhen Key Laboratory of Prevention and Treatment of Severe Infections (ZDSYS20200811142804014), Guangdong Basic and Applied Basic Research Foundation (2024A1515220030), Sanming Project of Program Medicine in Shenzhen (No. SZSM202311002) and Xinjiang Tianchi Academic Elite Leader Project (CZ000946).</t>
  </si>
  <si>
    <t>[Yu, Ziqi; Guan, Xiaotian; Li, Yingchun] Harbin Inst Technol Shenzhen, Sch Biomed Engn, Shenzhen Key Lab Organ Pollut Prevent &amp; Control, Shenzhen 518055, Peoples R China; [Zhou, Fuyu; Liu, Jiang] Shihezi Univ, Sch Pharm, Key Lab Xinjiang Phytomedicine Resources, Minist Educ, Shihezi 832000, Peoples R China; [Guan, Xiaotian] Shenzhen Dymind Biotechnol Co Ltd, Shenzhen 518000, Peoples R China; [Liu, Xueyan] Jinan Univ, Southern Univ Sci &amp; Technol, Shenzhen Peoples Hosp,Clin Med Coll 2, Affiliated Hosp 1,Dept Crit Med,Sch Med, Shenzhen, Guangdong, Peoples R China</t>
  </si>
  <si>
    <t>Harbin Institute of Technology; Shihezi University; Jinan University</t>
  </si>
  <si>
    <t>Recent advances in closed bipolar electrode electrochemiluminescence (cBPE ECL) for analytical applications: fundamentals, strategies and emerging trends</t>
  </si>
  <si>
    <t>Closed bipolar electrode; Electrochemiluminescence; Biosensing platforms; Visual detection; Point-of-care testing</t>
  </si>
  <si>
    <t>ELECTROGENERATED CHEMILUMINESCENCE; WIRELESS ELECTROCHEMILUMINESCENCE; MICROFLUIDIC SENSOR; MULTIPLEX DETECTION; PHOTONIC REPORTER; ARRAY; CELLS; ASSAY</t>
  </si>
  <si>
    <t>119075</t>
  </si>
  <si>
    <t>10.1016/j.trac.2026.119075</t>
  </si>
  <si>
    <t>http://dx.doi.org/10.1016/j.trac.2026.119075</t>
  </si>
  <si>
    <t>MS7HA</t>
  </si>
  <si>
    <t>WOS:001849972300002</t>
  </si>
  <si>
    <t>Zarei, M; Mozaffari, M; Hajiani, Y</t>
  </si>
  <si>
    <t>Background: Artificial intelligence (AI) is increasingly reshaping medical and health-professions education through adaptive tutoring, generative content creation, simulation analytics, automated assessment, and diagnostic-reasoning support. Since 2023, large language models and multimodal AI systems have expanded AI from relatively narrow analytic tools into interactive educational agents capable of dialogue, feedback, and content generation. Objective: This narrative review asks: How does AI contribute to medical education across four core educational functions, and what methodological, ethical, and implementation constraints should guide responsible integration? To answer this question, we synthesize evidence across four functional domains: AI-supported instruction and content generation, AI-augmented simulation and procedural training, AI-supported assessment and learning analytics, and AI-assisted diagnostic reasoning and clinical cognition. Methods: A structured search of PubMed, Scopus, and Web of Science (January 2018-January 2025), supplemented by citation tracking, identified 540 records, of which 90 met the eligibility criteria. Evidence was analyzed using an iterative qualitative synthesis approach that combined inductive coding of educational mechanisms with deductive organization into the four predefined functional domains. Findings were summarized descriptively because of substantial heterogeneity in interventions, outcomes, and study designs. Results: In instruction and content generation, AI-supported tools were associated with preliminary gains in knowledge acquisition, learner engagement, and self-regulated study, although accuracy depended on supervision and prompt quality. In simulation and procedural training, computer-vision, motion-analytics, and VR/AR systems supported immediate feedback and were associated with improved procedural efficiency in early studies. In assessment and learning analytics, AI tools reduced feedback latency and improved scoring consistency, but validity, fairness, and explainability remained central concerns. In diagnostic reasoning, AI-supported case platforms and LLM-based dialogue improved short-term reasoning performance and metacognitive calibration, while evidence for long-term clinical transfer remained limited. Conclusion: AI appears most defensible as an augmentative educational partner that strengthens feedback, personalization, and competency-based progression, rather than as an autonomous substitute for educators. The current evidence supports cautious, supervised implementation, but remains early-phase and methodologically uneven. Multicenter validation, transparent reporting, equity-focused implementation, and structured AI-literacy training are essential before AI can be integrated more broadly into high-stakes educational workflows.</t>
  </si>
  <si>
    <t>Zarei, Malek; Mozaffari, Masoud; Hajiani, Yasamin</t>
  </si>
  <si>
    <t>Hajiani, Y (corresponding author), Islamic Azad Univ, Fac Pharm &amp; Pharmaceut Sci, Dept Pharmaceut, Tehran Med Sci, Tehran, Iran.</t>
  </si>
  <si>
    <t>drjhajiani@gmail.com</t>
  </si>
  <si>
    <t>[Zarei, Malek] Shahid Beheshti Univ Med Sci, Dept Pharmacol, Tehran, Iran; [Mozaffari, Masoud] Shiraz Univ Med Sci, Dept Pharmacol, Shiraz, Iran; [Mozaffari, Masoud] Petr Ind Hlth Org, Shiraz, Iran; [Hajiani, Yasamin] Islamic Azad Univ, Fac Pharm &amp; Pharmaceut Sci, Dept Pharmaceut, Tehran Med Sci, Tehran, Iran</t>
  </si>
  <si>
    <t>Shahid Beheshti University Medical Sciences; Shiraz University of Medical Science; Islamic Azad University</t>
  </si>
  <si>
    <t>Artificial intelligence in medical education: a narrative review across four functional domains</t>
  </si>
  <si>
    <t>CURRENTS IN PHARMACY TEACHING AND LEARNING</t>
  </si>
  <si>
    <t>Artificial intelligence; Medical education; Simulation; Diagnostic reasoning; Large language models; AI literacy; Educational assessment; Competency-based medical educ</t>
  </si>
  <si>
    <t>76</t>
  </si>
  <si>
    <t>1877-1297</t>
  </si>
  <si>
    <t>1877-1300</t>
  </si>
  <si>
    <t>CURR PHARM TEACH LEA</t>
  </si>
  <si>
    <t>Curr. Pharm. Teach. Learn.</t>
  </si>
  <si>
    <t>102752</t>
  </si>
  <si>
    <t>10.1016/j.cptl.2026.102752</t>
  </si>
  <si>
    <t>http://dx.doi.org/10.1016/j.cptl.2026.102752</t>
  </si>
  <si>
    <t>Education, Scientific Disciplines</t>
  </si>
  <si>
    <t>Education &amp; Educational Research</t>
  </si>
  <si>
    <t>MO6IN</t>
  </si>
  <si>
    <t>42574942</t>
  </si>
  <si>
    <t>WOS:001847199600001</t>
  </si>
  <si>
    <t>Wang, RF; Zhang, QT; Gaira, S; Zhao, YY; Lai, JY; Li, M; Zhang, CC; Wu, L; Deng, F; Tang, SY</t>
  </si>
  <si>
    <t>CRISPR-based biosensors are emerging as powerful tools in precision medicine, enabling rapid and highly specific molecular detection for personalized interventions. Their performance depends on interconnected components. Guide RNA (gRNA) design and optimization improve on-target activity and reduce off-target effects, while Cas protein engineering and structure prediction reveal functional determinants for programmable modification. Meanwhile, biosensor design and signal readout strategies enable portable, quantitative, and multiplexed detection. Recent advances in artificial intelligence (AI) have created new opportunities to optimize these components. AI bridges molecular design and analytical performance, enhancing sensitivity, specificity, quantitative readout, and automation in CRISPR-based biosensing. This paper provides a systematic review and comparative analysis of recent progress in AI-enabled gRNA design and optimization, Cas protein engineering and structure prediction, and biosensor readout and automation for CRISPR-based biosensing. It further discusses the opportunities and challenges associated with integrating these advances into multifunctional, standardized platforms for point-of-care testing and clinical translation.</t>
  </si>
  <si>
    <t>Wang, Rongfeng; Zhang, Qingtian; Gaira, Sukrit; Zhao, Yuanyi; Lai, Junyan; Li, Ming; Zhang, Chengchen; Wu, Liao; Deng, Fei; Tang, Shi-Yang</t>
  </si>
  <si>
    <t>Tang, SY (corresponding author), Univ New South Wales, Sch Mech &amp; Mfg Engn, Sydney, NSW 2052, Australia.; Deng, F (corresponding author), Univ New South Wales, Sch Biomed Engn, Sydney, NSW 2052, Australia.</t>
  </si>
  <si>
    <t>shiyang.tang2@unsw.edu.au; fei.deng@unsw.edu.au</t>
  </si>
  <si>
    <t>Australian Research Council [FT230100257, DP250103029]; UNSW Scientia Fellowship; Royal Society, UK [RG/R1/241228, IEC/NSFC/233339]; Early Career Fellowship of the Cancer Institute NSW [2024/ECF1573]</t>
  </si>
  <si>
    <t>Australian Research Council (Australian Research Council, Macquarie University); UNSW Scientia Fellowship; Royal Society, UK (Royal Society UK); Early Career Fellowship of the Cancer Institute NSW</t>
  </si>
  <si>
    <t>S.-Y.T. gratefully acknowledges the research funded by the Australian Research Council Future Fellowship (FT230100257) , Discovery Project (DP250103029) and UNSW Scientia Fellowship. C.Z. acknowledges the funding support from the Royal Society, UK (Grant Nos. RG/R1/241228 and IEC/NSFC/233339) . F.D. gratefully acknowledges the research funding support from the Early Career Fellowship of the Cancer Institute NSW (2024/ECF1573) .</t>
  </si>
  <si>
    <t>[Wang, Rongfeng; Zhang, Qingtian; Gaira, Sukrit; Zhao, Yuanyi; Lai, Junyan; Li, Ming; Wu, Liao; Tang, Shi-Yang] Univ New South Wales, Sch Mech &amp; Mfg Engn, Sydney, NSW 2052, Australia; [Zhang, Chengchen; Tang, Shi-Yang] Univ Southampton, Sch Elect &amp; Comp Sci, Southampton SO17 1BJ, England; [Deng, Fei] Univ New South Wales, Sch Biomed Engn, Sydney, NSW 2052, Australia</t>
  </si>
  <si>
    <t>University of New South Wales Sydney; University of Southampton; University of New South Wales Sydney</t>
  </si>
  <si>
    <t>Artificial intelligence for CRISPR-based biosensing: From molecular design to assay intelligence</t>
  </si>
  <si>
    <t>CRISPR; Guide RNA; Cas protein; Biosensor; Deep learning; Machine learning</t>
  </si>
  <si>
    <t>PROTEIN-STRUCTURE PREDICTION; DEEP LEARNING IMPROVES; GUIDE RNA DESIGN; ANTI-CRISPR; ON-TARGET; POINT; OPTIMIZATION; DIAGNOSTICS; PLATFORM</t>
  </si>
  <si>
    <t>119061</t>
  </si>
  <si>
    <t>10.1016/j.trac.2026.119061</t>
  </si>
  <si>
    <t>http://dx.doi.org/10.1016/j.trac.2026.119061</t>
  </si>
  <si>
    <t>MN7KI</t>
  </si>
  <si>
    <t>WOS:001846595000001</t>
  </si>
  <si>
    <t>Kashif, M; Wang, CZ; Flesca, S; Veltri, P</t>
  </si>
  <si>
    <t>Continuous Glucose Monitoring (CGM) has become a cornerstone in diabetes technology, enabling highresolution monitoring of interstitial glucose dynamics. Beyond its clinical use in glucose tracking, CGM data provide a unique opportunity to automatically detect and predict eating events, which are critical inputs for closed-loop insulin delivery, digital health interventions, and lifestyle monitoring. Over the past decade, diverse computational paradigms have been developed to address this challenge. Control-theoretic approaches, such as Moving Horizon Estimation, Kalman filtering, and nonlinear observers, exploit physiological models of glucose-insulin dynamics and achieve low-latency detection in simulations, but remain limited by parameter sensitivity and poor adaptability to free-living data. Machine learning (ML) frameworks have leveraged engineered features and postprandial glucose patterns to achieve balanced sensitivity and specificity, though performance is constrained by small cohorts and heterogeneous labeling. More recently, deep learning (DL) architectures, including long short-term memory (LSTMs), Convolutional neural networks (CNNs) and hybrid recurrent convolutional models, have demonstrated superior ability to capture temporal dependencies, yielding high accuracy and F1-scores on both in silico and real-world datasets. Hybrid and multimodal strategies that integrate CGM with insulin logs, physiological wearables, or motion sensors further improve robustness and reduce false positives, though at the expense of user burden and generalizability. Despite promising progress, major barriers remain, including dataset heterogeneity, inconsistent ground-truth labeling, variable evaluation metrics, and limited interpretability. The aim of this review is to systematically synthesize current evidence on CGM-based eating event detection and prediction, critically compare methodological advances across modeling paradigms, and highlight key challenges and opportunities for achieving clinically reliable, real-world deployment.</t>
  </si>
  <si>
    <t>Kashif, Muhammad; Wang, Chunzhuo; Flesca, Sergio; Veltri, Pierangelo</t>
  </si>
  <si>
    <t>Wang, CZ (corresponding author), Katholieke Univ Leuven, Emedia Res Lab, B-3000 Leuven, Belgium.; Wang, CZ (corresponding author), Katholieke Univ Leuven, ESAT STADIUS, B-3000 Leuven, Belgium.</t>
  </si>
  <si>
    <t>chunzhuo.wang@kuleuven.be</t>
  </si>
  <si>
    <t>PNRR MUR [PE0000013-FAIR]</t>
  </si>
  <si>
    <t>PNRR MUR (Ministry of Education, Universities and Research (MIUR))</t>
  </si>
  <si>
    <t>We acknowledge financial support from PNRR MUR project PE0000013-FAIR.</t>
  </si>
  <si>
    <t>[Kashif, Muhammad; Flesca, Sergio; Veltri, Pierangelo] Univ Calabria, Dept Informat Modeling Elect &amp; Syst, I-87036 Arcavacata Di Rende, CS, Italy; [Wang, Chunzhuo] Katholieke Univ Leuven, Emedia Res Lab, B-3000 Leuven, Belgium; [Wang, Chunzhuo] Katholieke Univ Leuven, ESAT STADIUS, B-3000 Leuven, Belgium</t>
  </si>
  <si>
    <t>KU Leuven; KU Leuven</t>
  </si>
  <si>
    <t>AI based detection and prediction of eating events using Continuous Glucose Monitoring: A comprehensive review</t>
  </si>
  <si>
    <t>Continuous Glucose Monitoring (CGM); Meal detection; Eating event prediction; Type 1 diabetes (T1D); Wearable sensors; Machine learning; Deep learning; Multimodal fusion</t>
  </si>
  <si>
    <t>MEAL DETECTION; FOOD</t>
  </si>
  <si>
    <t>NOV 1 2026</t>
  </si>
  <si>
    <t>127</t>
  </si>
  <si>
    <t>B</t>
  </si>
  <si>
    <t>111207</t>
  </si>
  <si>
    <t>10.1016/j.bspc.2026.111207</t>
  </si>
  <si>
    <t>http://dx.doi.org/10.1016/j.bspc.2026.111207</t>
  </si>
  <si>
    <t>ML2UO</t>
  </si>
  <si>
    <t>WOS:001844928100001</t>
  </si>
  <si>
    <t>Super, I; Rezaeian, O; Asan, O</t>
  </si>
  <si>
    <t>Background: Generative artificial intelligence, particularly large language models (LLMs), has rapidly advanced and shows promise in healthcare for supporting teams through their ability to understand and generate medical text. While human-AI collaboration has been explored, the integration of LLMs into healthcare teams remains under-researched. Objective: This scoping review aims to examine how LLMs are currently used to support teamwork and communication in healthcare teams, including both solely professional teams and those involving patients. Methods: Following PRISMA-ScR guidelines, we registered our review with the Open Science Framework (July 30, 2025). We searched PubMed, Web of Science, and ScienceDirect for articles from 2014 to 2024. After screening 3,865 unique titles and abstracts, 127 full texts were reviewed. Results: Twenty studies were included, predominantly employing quantitative and simulation-based designs, with limited in situ evaluations. LLM use cases were categorized into decision support, communication, and administrative functions. Outcome measures primarily focused on accuracy and quality (15/20 studies), with fewer assessing safety (4/20), readability or empathy (5/20), workflow efficiency (3/20), and error modes (2/ 20). Across use cases, LLMs demonstrated potential to improve efficiency and communication, although performance and risks varied by task complexity and use context. Conclusion: LLMs hold substantial potential to enhance healthcare teamwork by supporting clinical decisions, streamlining administrative workflows, and improving patient communication. However, ethical, legal, and accountability concerns remain. Current studies largely evaluate model performance without considering the dynamics of human team members. Future research should examine LLMs' impact on trust, collaboration, and decision-making within clinical teams, while implementation efforts must address contextual and interdisciplinary factors to ensure responsible integration.</t>
  </si>
  <si>
    <t>Super, Ilse; Rezaeian, Olya; Asan, Onur</t>
  </si>
  <si>
    <t>Asan, O (corresponding author), Stevens Inst Technol, Dept Syst Engn, 1 Castle Point Terrace, Hoboken, NJ 07030 USA.</t>
  </si>
  <si>
    <t>oasan@stevens.edu</t>
  </si>
  <si>
    <t>[Super, Ilse; Rezaeian, Olya; Asan, Onur] Stevens Inst Technol, Dept Syst Engn, 1 Castle Point Terrace, Hoboken, NJ 07030 USA</t>
  </si>
  <si>
    <t>Stevens Institute of Technology</t>
  </si>
  <si>
    <t>How large language models can be used for teamwork and communication in healthcare settings: A scoping review</t>
  </si>
  <si>
    <t>Communication; Teamwork; Healthcare; human-AI teaming</t>
  </si>
  <si>
    <t>PATIENT; PROVIDER; CHATGPT</t>
  </si>
  <si>
    <t>220</t>
  </si>
  <si>
    <t>106648</t>
  </si>
  <si>
    <t>10.1016/j.ijmedinf.2026.106648</t>
  </si>
  <si>
    <t>http://dx.doi.org/10.1016/j.ijmedinf.2026.106648</t>
  </si>
  <si>
    <t>MK6TB</t>
  </si>
  <si>
    <t>42561766</t>
  </si>
  <si>
    <t>WOS:001844517800001</t>
  </si>
  <si>
    <t>Widiyawati, K; Deviantony, F</t>
  </si>
  <si>
    <t>Background: The Golden Hour of trauma care in Low-and Middle-Income Countries (LMICs) is routinely compromised by systemic deficits, including unmapped infrastructure, chronic traffic congestion, and a critical scarcity of diagnostic tools. While high-income countries utilize Artificial Intelligence (AI) to optimize mature systems, AI in the Global South acts as a structural substitute to leapfrog foundational barriers. This scoping review maps AI applications in LMIC prehospital care and evaluates their implementation feasibility. Methods: Following PRISMA-ScR guidelines, a systematic search was performed across PubMed, ScienceDirect, Scopus, IRIS WHO, SciELO, and snowballing for the period of May 2020 to April 2026. To prioritize resource-constrained settings, high-maturity AI nations were excluded from primary synthesis. Seventeen primary studies were definitively identified and synthesized into three feasibility domains. Results: (1) Clinical Feasibility: Machine Learning (ML) models such as Random Forest and LightGBM consistently outperformed traditional manual scores like the Kampala Trauma Score, achieving an AUC of 0.91 to 0.94. Bayesian models in Tanzania successfully utilized prehospital delay variables to predict mortality. (2) Operational Feasibility: Digital platforms like Flare in Kenya navigate uncharted roads using ride-hailing logic, while robust optimization in Bangladesh resists extreme traffic chaos, successfully reducing average response times from 162 to 13 min. (3) Technical Feasibility: Edge-AI hardware and Natural Language Processing (NLP) for informal audio transcription achieved 95% accuracy in connectivity-starved and noisy environments. Conclusion: AI in LMICs serves as a vital diagnostic safety net rather than merely an optimization tool. However, a decisive readiness gap persists; for instance, Indonesia currently holds a health AI maturity index of 52 out of 100. Achieving an AI-enabled Golden Hour requires a strategic roadmap focused on sovereign national data registries and legal readiness to protect these leapfrog innovations from a current policy vacuum regarding liability.</t>
  </si>
  <si>
    <t>Widiyawati, Kholisah; Deviantony, Fitrio</t>
  </si>
  <si>
    <t>Deviantony, F (corresponding author), Univ Jember, Fac Nursing, Jember, East Java, Indonesia.</t>
  </si>
  <si>
    <t>kholisahwidiyawati@gmail.com; fitrio.psik@unej.ac.id</t>
  </si>
  <si>
    <t>[Widiyawati, Kholisah] Univ Brawijaya, Fac Hlth Sci, Dept Nursing, Malang, East Java, Indonesia; [Deviantony, Fitrio] Univ Jember, Fac Nursing, Jember, East Java, Indonesia</t>
  </si>
  <si>
    <t>Brawijaya University; Universitas Jember</t>
  </si>
  <si>
    <t>Artificial Intelligence in the Golden Hour: A scoping review of prehospital trauma triage and implementation feasibility in LMICs</t>
  </si>
  <si>
    <t>Artificial Intelligence; Prehospital Care; Trauma; LMIC; Golden Hour; Machine Learning</t>
  </si>
  <si>
    <t>5G</t>
  </si>
  <si>
    <t>77</t>
  </si>
  <si>
    <t>106638</t>
  </si>
  <si>
    <t>10.1016/j.ijmedinf.2026.106638</t>
  </si>
  <si>
    <t>http://dx.doi.org/10.1016/j.ijmedinf.2026.106638</t>
  </si>
  <si>
    <t>MM2SD</t>
  </si>
  <si>
    <t>42566988</t>
  </si>
  <si>
    <t>WOS:001845599400001</t>
  </si>
  <si>
    <t>Hayat, M; Chen, QM; Younus, MN; Zhanmin, L</t>
  </si>
  <si>
    <t>The convergence of AI, nanotechnology, and aptamer engineering is transforming the landscape of precision biosensing and responsive therapeutics. Despite the vast theoretical diversity of oligonucleotide libraries (similar to 10(15) variants), conventional SELEX remains constrained by experimental limitations, amplification bias, and incomplete resolution of sequence-structure-function relationships, often necessitating iterative enrichment cycles. Recent advances integrating high-throughput sequencing with machine learning have transformed aptamer discovery into a predictive, data-driven paradigm, enabling the early identification of high-affinity candidates, motif extraction, and insilicoaffinity optimization. Simultaneously, innovations in nanostructured platforms and surface engineering have enhanced aptamer functionality through controlled orientation, density, and stimuli-responsive interfaces, thereby facilitating ultrasensitive detection and efficient signal transduction. Beyond conventional biosensing, these developments are driving a paradigm shift toward intelligent nanomedicine. AI-driven design frameworks now enable multivariate optimization of aptamer-nanoconstruct systems, improving target specificity, pharmacokinetics, and therapeutic payload delivery. In cancer applications, aptamer-functionalized nanoplatforms enable precise tumor targeting, receptor blockade, and controlled drug release, minimizing systemic toxicity while enhancing therapeutic efficacy. Emerging DNA nanostructures further integrate molecular recognition with logic-gated activation, allowing autonomous, biomarker-triggered therapeutic responses within the tumor microenvironment. Such systems can selectively inhibit oncogenic pathways, disrupt tumor vasculature, or enhance immune-mediated clearance, representing a new generation of precision therapeutics. As a result, the integration of AI-driven selection, structural modeling, and nanoconstruct engineering is transitioning aptamer technologies from empirical tools to intelligent, adaptive systems. While challenges related to data standardization, structural resolution, and clinical translation remain, these advances establish a robust foundation for next-generation cancer diagnostics and smart therapeutics, positioning AI-guided aptamer nanoplatforms at the forefront of precision oncology.</t>
  </si>
  <si>
    <t>Hayat, Minahil; Chen, Qiming; Younus, Muhammad Numan; Zhanmin, Liu</t>
  </si>
  <si>
    <t>Zhanmin, L (corresponding author), Shanghai Univ, Sch Life Sci, Shanghai, Peoples R China.</t>
  </si>
  <si>
    <t>zhmliu@shu.edu.cn</t>
  </si>
  <si>
    <t>[Hayat, Minahil; Chen, Qiming; Zhanmin, Liu] Shanghai Univ, Sch Life Sci, Shanghai, Peoples R China; [Younus, Muhammad Numan] Natl Univ Sci &amp; Technol, Islamabad, Pakistan</t>
  </si>
  <si>
    <t>Shanghai University; National University of Sciences &amp; Technology - Pakistan</t>
  </si>
  <si>
    <t>AI-driven nanostructured aptasensor engineering: Integrating biosensing, intelligent nanomedicine, and programmable therapeutics</t>
  </si>
  <si>
    <t>Nanostructured aptasensors; AI-Driven aptamer engineering; Surface immobilization; Aptamer-target interactions; Stimuli-responsive drug delivery; Intelligent nanomedicine</t>
  </si>
  <si>
    <t>HIV-1 REVERSE-TRANSCRIPTASE; HIGH-AFFINITY; APTAMER SELECTION; NUCLEIC-ACID; RNA APTAMER; DNA APTAMER; LABEL-FREE; PROTEIN; BINDING; SEQUENCE</t>
  </si>
  <si>
    <t>240</t>
  </si>
  <si>
    <t>119060</t>
  </si>
  <si>
    <t>10.1016/j.trac.2026.119060</t>
  </si>
  <si>
    <t>http://dx.doi.org/10.1016/j.trac.2026.119060</t>
  </si>
  <si>
    <t>MJ1AB</t>
  </si>
  <si>
    <t>WOS:001843447000001</t>
  </si>
  <si>
    <t>Zu, D; Zhu, YP; Ma, ZC; Xie, JK; Chen, WP; Chen, YB; Chen, GP; Yao, QH; Chen, W; Xu, C</t>
  </si>
  <si>
    <t>Fusobacterium nucleatum (F. nucleatum) is known as a common microbial factor involved in the development of colorectal cancer (CRC) and liver metastasis, with emerging evidence suggesting its potential impact on the tumor immune microenvironment. The precise identification and appropriate characterization of this microorganism, along with immune-related biomarkers, are essential for understanding disease development and facilitating better diagnostic and monitoring approaches. Nonetheless, conventional microbiological and immunological techniques are constrained as a result of low sensitivity, limited multiplexing capability, and insufficient integration with intricate datasets related to tumors. The present review aims to provide a comprehensive and method-focused perspective on innovative analytical strategies for the concurrent identification of F. nucleatum and analysis of immune microenvironment signatures in CRC and CRC liver metastasis (CRLM). Advances in various nucleic acid-based technologies, such as digital PCR, CRISPR-based diagnostics, and next-generation sequencing, are discussed for their ability to provide highly sensitive and specific microbial detection. Furthermore, mass spectrometry and multi-omics techniques, including proteomics, metabolomics, and microbiome profiling, are described for their potential to clarify host-microbe interactions within metastatic niches. Moreover, recent advancements in biosensors and microfluidic technologies are emphasized as promising tools for rapid and point-of-care analysis, while chemometric and machine learning strategies are critically evaluated for their role in integrating complex datasets and facilitating predictive modeling of microbiomeimmune interactions. By addressing these technologies and significant challenges, such as analytical validation, standardization, and clinical implementation, this review highlights how next-generation analytical strategies are reshaping the detection and characterization of microbiome-driven immune modulation in CRC and CRLM, paving the way for new biomarker discovery and precision diagnostics.</t>
  </si>
  <si>
    <t>Zu, Dan; Zhu, Yuping; Ma, Zhichao; Xie, Junkai; Chen, Weiping; Chen, Yinbo; Chen, Guiping; Yao, Qinghua; Chen, Wei; Xu, Chao</t>
  </si>
  <si>
    <t>Yao, QH; Xu, C (corresponding author), Zhejiang Chinese Med Univ, Affiliated Hosp 2, Xinhua Hosp Zhejiang Prov, Dept Oncol, Hangzhou 310005, Zhejiang, Peoples R China.; Chen, W (corresponding author), Wenzhou Med Univ, Affiliated Hosp 1, Dept Urol, Wenzhou 325000, Zhejiang, Peoples R China.</t>
  </si>
  <si>
    <t>xuchao@zjcc.org.cn; chenweiuro@wmu.edu.cn; 20234052@zcmu.edu.cn</t>
  </si>
  <si>
    <t>National Natural Science Foundation of China [82274270, 82474293]; Zhejiang Province Medicine and Health High-Level Talent Project-Rising Medical Elite Program; Key Research and Development Project of Zhejiang Province [2023C04018]; Normal Project of Zhejiang Provincial Traditional Chinese Medicine (TCM) Science and Technology Program [2023ZL018]</t>
  </si>
  <si>
    <t>National Natural Science Foundation of China (National Natural Science Foundation of China (NSFC)); Zhejiang Province Medicine and Health High-Level Talent Project-Rising Medical Elite Program; Key Research and Development Project of Zhejiang Province; Normal Project of Zhejiang Provincial Traditional Chinese Medicine (TCM) Science and Technology Program</t>
  </si>
  <si>
    <t>This work was supported by the National Natural Science Foundation of China (82274270, 82474293 to Yao Qinghua), Zhejiang Province Medicine and Health High-Level Talent Project-Rising Medical Elite Program (to Xu Chao) and Key Research and Development Project of Zhejiang Province (grant number 2023C04018, to Chen Weiping), Normal Project of Zhejiang Provincial Traditional Chinese Medicine (TCM) Science and Technology Program (grant number 2023ZL018, to Chen Yinbo).</t>
  </si>
  <si>
    <t>[Zu, Dan] Zhejiang Chinese Med Univ, Affiliated Hosp 2, Xinhua Hosp Zhejiang Prov, Hangzhou 310005, Zhejiang, Peoples R China; [Zhu, Yuping; Chen, Weiping; Chen, Yinbo] Zhejiang Canc Hosp, Dept Colorectal Surg, Hangzhou 310022, Zhejiang, Peoples R China; [Ma, Zhichao] Zhejiang Chinese Med Univ, Clin Coll 1, Hangzhou 310005, Zhejiang, Peoples R China; [Xie, Junkai] Zhejiang Chinese Med Univ, Clin Coll 2, Hangzhou 310005, Zhejiang, Peoples R China; [Chen, Guiping] Zhejiang Chinese Med Univ, Affiliated Hosp 1, Dept Colorectal Surg, Hangzhou 310003, Zhejiang, Peoples R China; [Yao, Qinghua; Xu, Chao] Zhejiang Chinese Med Univ, Affiliated Hosp 2, Xinhua Hosp Zhejiang Prov, Dept Oncol, Hangzhou 310005, Zhejiang, Peoples R China; [Chen, Wei] Wenzhou Med Univ, Affiliated Hosp 1, Dept Urol, Wenzhou 325000, Zhejiang, Peoples R China</t>
  </si>
  <si>
    <t>Zhejiang Chinese Medical University; Zhejiang Cancer Hospital; Zhejiang Chinese Medical University; Zhejiang Chinese Medical University; Zhejiang Chinese Medical University; Zhejiang Chinese Medical University; Wenzhou Medical University</t>
  </si>
  <si>
    <t>From microbial detection to immune profiling: Analytical strategies for Fusobacterium nucleatum in colorectal cancer and liver metastasis</t>
  </si>
  <si>
    <t>Fusobacterium nucleatum; Colorectal cancer; Liver metastasis; Analytical strategies</t>
  </si>
  <si>
    <t>REGULATORY T-CELLS; PROGNOSIS; PROTEIN; FADA; QUANTIFICATION; CARCINOGENESIS; INFILTRATION; CHEMOMETRICS; MACROPHAGES; EXPRESSION</t>
  </si>
  <si>
    <t>119040</t>
  </si>
  <si>
    <t>10.1016/j.trac.2026.119040</t>
  </si>
  <si>
    <t>http://dx.doi.org/10.1016/j.trac.2026.119040</t>
  </si>
  <si>
    <t>ME8BM</t>
  </si>
  <si>
    <t>WOS:001840531800001</t>
  </si>
  <si>
    <t>Kessler, DA; Bobowicz, M; Kosno, M; Joshi, S; Marias, K; Díaz, O; Lekadir, K</t>
  </si>
  <si>
    <t>Background: Machine learning models based on MRI radiomics show promise for predicting pathological complete response (pCR) to neoadjuvant therapy in breast cancer, with increasing interest in clinical translation. However, uncertainties remain regarding methodological quality, generalizability, and performance across patient subgroups. This systematic review provides a comprehensive evaluation of MRI radiomics models for pCR prediction, focusing on methodological robustness, validation practices, and factors affecting equitable performance. Methods: The review protocol was registered with PROSPERO (Registration ID: CRD420251143053). A systematic search of five electronic databases identified studies evaluating MRI-based radiomics models for pCR prediction in breast cancer. Methodological quality was assessed using the METRICS score. Fairness and risk of bias were evaluated using a custom framework adapted from QUADAS-2, focusing on demographic reporting, sample size adequacy, validation strategy, and subgroup performance analysis. Results: Thirty-five studies met the inclusion criteria (sample sizes 55-442). Most were retrospective, single-center, and methodologically heterogeneous. Although reported discrimination was favorable (pooled AUC 0.813, moderate heterogeneity [I2 = 46.3%, tau 2 = 0.081]), 86% of studies were statistically underpowered and external validation was uncommon. Only 14% evaluated performance across clinically relevant subgroups. Reporting of key demographic and clinical variables was inconsistent, limiting assessment of generalizability and equitable model performance. Conclusion: MRI radiomics models for pCR prediction demonstrate technical potential but face important methodological and translational limitations. Future studies should prioritize prospective multi-center designs, adequate sample sizes, transparent reporting, and subgroup analyses. Improved demographic reporting and subgroup-specific evaluation are needed to enable robust assessment of equitable model performance before clinical deployment.</t>
  </si>
  <si>
    <t>Kessler, Dimitri A.; Bobowicz, Maciej; Kosno, Michal; Joshi, Smriti; Marias, Kostas; Diaz, Oliver; Lekadir, Karim</t>
  </si>
  <si>
    <t>Bobowicz, M (corresponding author), Med Univ Gdansk, Dept Radiol 2, Gdansk, Poland.</t>
  </si>
  <si>
    <t>maciej.bobowicz@gumed.edu.pl</t>
  </si>
  <si>
    <t>research and innovation programme [101057699]; European Union's Digital Europe Programme [101100633]; Medical Research Agency (MRA) , Poland, under the project "Interdisciplinary Pomeranian Center for Digital Medicine" [2023/ABM/02/00018-00, PID2021-126724OB-I00]; AIMED project [PID2023-146786OB-I00]; Spanish Ministry of Science and Innovation</t>
  </si>
  <si>
    <t>research and innovation programme; European Union's Digital Europe Programme; Medical Research Agency (MRA) , Poland, under the project "Interdisciplinary Pomeranian Center for Digital Medicine"; AIMED project; Spanish Ministry of Science and Innovation</t>
  </si>
  <si>
    <t>This project has received funding from the European Union's Horizon 2020 research and innovation programme under grant agreement No. 952103 (EuCanImage), the European Union's Horizon Europe research and innovation programme under grant agreement No. 101057699 (RadioVal), and the European Union's Digital Europe Programme under grant agreement No. 101100633 (EUCAIM). This research was supported by the Medical Research Agency(MRA), Poland, under the project "Interdisciplinary Pomeranian Center for Digital Medicine" (No. 2023/ABM/02/00018-00). This work was partially supported by the FUTURE-ES project (PID2021-126724OB-I00) and the AIMED project (PID2023-146786OB-I00), funded by the Spanish Ministry of Science and Innovation.</t>
  </si>
  <si>
    <t>[Kessler, Dimitri A.; Joshi, Smriti; Diaz, Oliver; Lekadir, Karim] Univ Barcelona, Barcelona Artificial Intelligence Med Lab BCN AIM, Fac Matemat &amp; Informat, Barcelona, Spain; [Kessler, Dimitri A.] Univ Cambridge, Dept Radiol, Cambridge, England; [Bobowicz, Maciej; Kosno, Michal] Med Univ Gdansk, Dept Radiol 2, Gdansk, Poland; [Marias, Kostas] Hellen Mediterranean Univ, Dept Elect &amp; Comp Engn, Iraklion, Greece; [Marias, Kostas] Fdn Res &amp; Technol Hellas FORTH, Inst Comp Sci, Iraklion, Greece</t>
  </si>
  <si>
    <t>University of Barcelona; University of Cambridge; Fahrenheit Universities; Medical University Gdansk; Hellenic Mediterranean University</t>
  </si>
  <si>
    <t>MRI radiomics for predicting pathological complete response in breast cancer: a systematic review of current evidence and limitations</t>
  </si>
  <si>
    <t>EUROPEAN JOURNAL OF RADIOLOGY</t>
  </si>
  <si>
    <t>Fairness; Bias; Sample size; Breast MRI; Breast cancer; Pathological complete response; Neoadjuvant therapy</t>
  </si>
  <si>
    <t>NEOADJUVANT CHEMOTHERAPY; GLOBAL BURDEN; ELABORATION; THERAPY; EQUITY; TOOL</t>
  </si>
  <si>
    <t>0720-048X</t>
  </si>
  <si>
    <t>1872-7727</t>
  </si>
  <si>
    <t>EUR J RADIOL</t>
  </si>
  <si>
    <t>Eur. J. Radiol.</t>
  </si>
  <si>
    <t>113101</t>
  </si>
  <si>
    <t>10.1016/j.ejrad.2026.113101</t>
  </si>
  <si>
    <t>http://dx.doi.org/10.1016/j.ejrad.2026.113101</t>
  </si>
  <si>
    <t>Radiology, Nuclear Medicine &amp; Medical Imaging</t>
  </si>
  <si>
    <t>ME7XZ</t>
  </si>
  <si>
    <t>42541995</t>
  </si>
  <si>
    <t>WOS:001840522700001</t>
  </si>
  <si>
    <t>Jafari, M; Tang, ZH; Acharya, U; Li, Y</t>
  </si>
  <si>
    <t>Background and objective: Brain disorder diagnosis and prediction remain challenging because neuroimaging, electrophysiological, behavioral, and multimodal data are high-dimensional, noisy, heterogeneous, and limited by small clinical cohorts. This systematic review synthesised applications of quantum artificial intelligence (QAI) for brain disorder diagnosis, prediction, detection, and monitoring. Methods: Following PRISMA guidelines, studies published from 2016 to 13 January 2026 were retrieved from Scopus, Web of Science, and IEEE Xplore. After screening, 36 studies met the eligibility criteria and were qualitatively analysed according to disorder category, data modality, QAI method, implementation setting, validation strategy, and performance. Results: At the broader disease-group level, neurodegenerative disorders were the most frequently investigated, followed by mental health and psychiatric disorders. At the individual level, Parkinson's disease and schizophrenia were the leading applications, followed by depression, anxiety, Alzheimer's disease, and stress-related tasks. MRI-based modalities were the most frequently used data source, followed by multimodal data and EEG. Methodologically, primary QAI approaches were dominated by quantum neural and QDL architectures, followed by quantum-inspired optimization or feature-selection methods and quantum-kernel/conventional QML classifiers. Qiskit/IBM Quantum and PennyLane were the most frequently reported quantum software frameworks. However, most studies relied on simulators, classical quantum-inspired implementations, or unclear implementation settings, with limited real-hardware evaluation. Conclusions: QAI shows emerging potential for brain disorder analysis, particularly through hybrid quantum-classical learning, quantum neural architectures, quantum-kernel methods, and quantum-inspired optimization. Nevertheless, current evidence remains preliminary and requires larger datasets, subject-level and external validation, fair classical benchmarking, noise-resilient circuits, real quantum hardware evaluation, explainability, and clinical validation.</t>
  </si>
  <si>
    <t>Jafari, Mahboobeh; Tang, Zhaohui; Acharya, U. Rajendra; Li, Yan</t>
  </si>
  <si>
    <t>Jafari, M (corresponding author), Univ Southern Queensland, Sch Sci Engn &amp; Digital Technol, Toowoomba, Australia.</t>
  </si>
  <si>
    <t>mahboobeh.jafari@unisq.edu.au</t>
  </si>
  <si>
    <t>[Jafari, Mahboobeh; Tang, Zhaohui; Acharya, U. Rajendra; Li, Yan] Univ Southern Queensland, Sch Sci Engn &amp; Digital Technol, Toowoomba, Australia; [Tang, Zhaohui; Acharya, U. Rajendra; Li, Yan] Univ Southern Queensland, Inst Hlth Res, West St, Toowoomba, Qld 4350, Australia</t>
  </si>
  <si>
    <t>University of Southern Queensland; University of Southern Queensland</t>
  </si>
  <si>
    <t>Applications of quantum AI in brain disorder diagnosis: A systematic review</t>
  </si>
  <si>
    <t>COMPUTER METHODS AND PROGRAMS IN BIOMEDICINE</t>
  </si>
  <si>
    <t>Quantum computing; Quantum artificial intelligence; Quantum machine learning; Quantum deep learning; Brain disorders</t>
  </si>
  <si>
    <t>ALGORITHMS; COMPUTATION; SECURE</t>
  </si>
  <si>
    <t>0169-2607</t>
  </si>
  <si>
    <t>1872-7565</t>
  </si>
  <si>
    <t>COMPUT METH PROG BIO</t>
  </si>
  <si>
    <t>Comput. Meth. Programs Biomed.</t>
  </si>
  <si>
    <t>286</t>
  </si>
  <si>
    <t>109565</t>
  </si>
  <si>
    <t>10.1016/j.cmpb.2026.109565</t>
  </si>
  <si>
    <t>http://dx.doi.org/10.1016/j.cmpb.2026.109565</t>
  </si>
  <si>
    <t>Computer Science, Interdisciplinary Applications; Computer Science, Theory &amp; Methods; Engineering, Biomedical; Medical Informatics</t>
  </si>
  <si>
    <t>MA1LK</t>
  </si>
  <si>
    <t>42520739</t>
  </si>
  <si>
    <t>WOS:001837361800001</t>
  </si>
  <si>
    <t>Aslan, S; Eryuruk, U; Park, SY; Arita, Y</t>
  </si>
  <si>
    <t>Management of bladder cancer changes markedly once a tumor invades the muscularis propria, making reliable separation of non-muscle-invasive bladder cancer (NMIBC) from muscle-invasive bladder cancer (MIBC) a key clinical decision point. Multiparametric MRI (mpMRI), interpreted with the Vesical Imaging-Reporting and Data System (VI-RADS), standardizes local staging by integrating T2-weighted imaging (T2WI), diffusion-weighted imaging (DWI) with apparent diffusion coefficient (ADC) maps, and dynamic contrast-enhanced MRI (DCEMRI). As evidence has matured, the central challenge has shifted from diagnostic accuracy alone to implementation and clinical utility: ensuring interpretable image quality across scanners and workflows, reducing inter-reader variability, and translating VI-RADS categories into appropriate clinical pathways. Bladder MRI is also being evaluated for treatment response assessment after neoadjuvant systemic therapy and bladderpreserving approaches, supported by emerging post-therapy scoring systems such as nacVI-RADS, quantitative biomarkers, and machine-learning methods. The VI-RADS Quality Score and related quality-control concepts may help separate technically inadequate examinations from biologically equivocal cases. Near-term artificial intelligence applications are likely to be most useful for scan acceleration, automated quality auditing, semiautomated segmentation, and reader support for equivocal lesions. This narrative review synthesizes acquisition and interpretation essentials, diagnostic performance, recurrent pitfalls, and scalable solutions for VI-RADS implementation, response assessment, radiomics, and artificial intelligence.</t>
  </si>
  <si>
    <t>Aslan, Serdar; Eryuruk, Uluhan; Park, Sung Yoon; Arita, Yuki</t>
  </si>
  <si>
    <t>Arita, Y (corresponding author), Univ Calif San Diego, Dept Radiol, 9500 Gilman Dr, La Jolla, CA 92093 USA.</t>
  </si>
  <si>
    <t>yuarita@health.ucsd.edu</t>
  </si>
  <si>
    <t>[Aslan, Serdar; Eryuruk, Uluhan] Giresun Univ, Fac Med, Dept Radiol, Gazipasa Yerleskesi, TR-28200 Giresun, Turkiye; [Eryuruk, Uluhan] Dinar State Hosp, Dept Radiol, TR-03400 Afyonkarahisar, Turkiye; [Park, Sung Yoon] Univ Washington, Sch Med, Dept Radiol, 1959 NE Pacific St, Seattle, WA 98195 USA; [Arita, Yuki] Univ Calif San Diego, Dept Radiol, 9500 Gilman Dr, La Jolla, CA 92093 USA; [Arita, Yuki] Inst Sci Tokyo, Dept Urol, Bunkyo Ku, Tokyo 1138519, Japan; [Arita, Yuki] Mem Sloan Kettering Canc Ctr, Dept Radiol, 1275 York Ave, New York, NY 10065 USA</t>
  </si>
  <si>
    <t>University of Washington; University of Washington Seattle; University of California System; University of California San Diego; Memorial Sloan Kettering Cancer Center</t>
  </si>
  <si>
    <t>VI-RADS and beyond in bladder MRI: a pictorial review of quality control, response assessment, and artificial intelligence</t>
  </si>
  <si>
    <t>Urinary bladder neoplasms; Magnetic resonance imaging; VI-RADS; Neoplasm invasiveness; Treatment outcome; Radiomics; Artificial intelligence</t>
  </si>
  <si>
    <t>DATA SYSTEM; CANCER; MUSCLE; CARCINOMA; ACCURACY; IMPACT; STAGE</t>
  </si>
  <si>
    <t>60</t>
  </si>
  <si>
    <t>113114</t>
  </si>
  <si>
    <t>10.1016/j.ejrad.2026.113114</t>
  </si>
  <si>
    <t>http://dx.doi.org/10.1016/j.ejrad.2026.113114</t>
  </si>
  <si>
    <t>MB3KS</t>
  </si>
  <si>
    <t>42526369</t>
  </si>
  <si>
    <t>WOS:001838176800001</t>
  </si>
  <si>
    <t>Andersen, A; Huang, RP; Liu, EJ</t>
  </si>
  <si>
    <t>Artificial intelligence (AI) is rapidly transforming healthcare practice, with growing evidence supporting its use in diagnosis, prognosis, treatment planning, and operational decision-making. The proliferation of systematic reviews in recent years underscores the need for an updated synthesis of the literature to inform research, policy, and practice. We searched PubMed, Web of Science, Scopus, IEEE Xplore, and CINAHL for systematic reviews and meta-analyses published between 2019 and February 2026. Eligible reviews focused on AI applications in healthcare practice, were peer-reviewed, and written in English. A total of 368 reviews met the inclusion criteria. Publication volume increased steadily, peaking in 2025. AI research was concentrated in high-density domains, such as radiology, oncology, and critical care. Across reviews, diagnostic imaging, electronic health record (EHR) data, and biomarkers/laboratory results accounted for 68% of training data sources, though newer data types, such as wearable device and sensor data, emerged from 2022 onward. Diagnosis, prognosis, and treatment comprised over 80% of AI applications, with novel uses emerging in recent years, such as AI-assisted clinical documentation (e.g., ambient documentation tools) and patient education. Ethical concerns were reported in 78.5% of reviews, with privacy, model accuracy, data and algorithmic bias, and explainability as recurrent themes. The proportion of reviews reporting ethical concerns increased from 2021 to 2025. AI applications in healthcare are expanding in scope, diversifying in data sources, and evolving toward novel clinical and operational uses. The human-centered AI or augmented intelligence paradigm, integrating computational precision with clinical expertise, holds significant promise but will require parallel advances in governance, regulatory frameworks, and ethical oversight to ensure safe adoption.</t>
  </si>
  <si>
    <t>Andersen, Adam; Huang, Ruiping; Liu, Edward Jiusi</t>
  </si>
  <si>
    <t>Andersen, A (corresponding author), Univ Illinois, Sch Publ Hlth, 1603 W Taylor St, Chicago, IL 60612 USA.</t>
  </si>
  <si>
    <t>rhuang26@uic.edu; jiusiliu@gmail.com; Aander8@uic.edu</t>
  </si>
  <si>
    <t>[Andersen, Adam] Univ Illinois, Sch Publ Hlth, 1603 W Taylor St, Chicago, IL 60612 USA; [Huang, Ruiping] Univ Illinois, Coll Educ, 1040 W Harrison St, Chicago, IL 60607 USA; [Liu, Edward Jiusi] West Lafayette Jr Sr High Sch, 1105 Grant St, W Lafayette, IN 47906 USA</t>
  </si>
  <si>
    <t>University of Illinois System; University of Illinois Chicago; University of Illinois Chicago Hospital; University of Illinois System; University of Illinois Chicago; University of Illinois Chicago Hospital</t>
  </si>
  <si>
    <t>The application of artificial intelligence in healthcare practice: A mapping review of systematic reviews</t>
  </si>
  <si>
    <t>Artificial intelligence; Machine learning; Healthcare; Systematic review; Clinical applications</t>
  </si>
  <si>
    <t>Huang, Ruiping/QIR-4533-2026</t>
  </si>
  <si>
    <t>103495</t>
  </si>
  <si>
    <t>10.1016/j.artmed.2026.103495</t>
  </si>
  <si>
    <t>http://dx.doi.org/10.1016/j.artmed.2026.103495</t>
  </si>
  <si>
    <t>LV6FD</t>
  </si>
  <si>
    <t>42492159</t>
  </si>
  <si>
    <t>WOS:001834287800001</t>
  </si>
  <si>
    <t>Yu, SHT; Li, JL; Carland, JE; Ritchie, A; Dunn, A; Baysari, MT</t>
  </si>
  <si>
    <t>Background: Digital scribes use automatic speech recognition to transcribe a clinician-patient conversation and use generative artificial intelligence (AI) technology to summarise the transcript into relevant documentation templates. Objective: To survey and summarise recent literature published on the factors affecting the adoption of digital scribes, and the impacts of digital scribes on patients, clinicians, and health organisations. Methods: Following the PRISMA-ScR guideline, MEDLINE, CINAHL, Web of Science, SCOPUS, and EMBASE were searched for original research papers or case studies that described and evaluated the implementation or use of digital scribes in real-life healthcare settings. Themes and sub-themes were mapped to the updated Consolidated Framework for Implementation Research (CFIR) and the CFIR Outcomes Addendum. Results: Of the 4772 studies screened, 29 were included in this review. Digital scribes were generally regarded as acceptable (n = 11) and usable (n = 8), but concerns over the accuracy of notes generated by the scribes were also reported (n = 9). Impacts of digital scribes included improved clinician wellbeing (n = 12), reduction in documentation burden (n = 18), and improved patient-clinician interaction (n = 10). Limited studies examined the impact of digital scribes on broader health organisation outcomes, such as cost and productivity (n = 3). Discussion: The fast pace at which digital scribes are being adopted warrants regular updated reviews. Further studies are required to compare the additional benefits of digital scribes over and above human scribes, if any, the role of patient trust in the adoption of digital scribes, and how digital scribes perform in various clinical settings. Conclusion: Digital scribes could reduce clinicians' documentation burden, but their adoption was limited by accuracy concerns. While patient satisfaction with digital scribes appears positive, this should be a focus for future studies. The cost-effectiveness and financial impact of digital scribes on health organisations should be further explored.</t>
  </si>
  <si>
    <t>Yu, Sin Hung Timothy; Li, Julie; Carland, Jane E.; Ritchie, Angus; Dunn, Adam; Baysari, Melissa T.</t>
  </si>
  <si>
    <t>Yu, SHT (corresponding author), Univ Sydney, Fac Med &amp; Hlth, Susan Wakil Sch Nursing &amp; Midwifery, Digital Hlth Human Factors Res Grp, Level 8 Susan Wakil Hlth Bldg A18, Sydney, NSW 2006, Australia.</t>
  </si>
  <si>
    <t>siyu6682@uni.sydney.edu.au; melissa.baysari@sydney.edu.au; angus.ritchie@health.nsw.gov.au; julie.li@sydney.edu.au; jane.carland@svha.org.au; adam.dunn@sydney.edu.au</t>
  </si>
  <si>
    <t>[Yu, Sin Hung Timothy; Li, Julie; Baysari, Melissa T.] Univ Sydney, Fac Med &amp; Hlth, Susan Wakil Sch Nursing &amp; Midwifery, Digital Hlth Human Factors Res Grp, Level 8 Susan Wakil Hlth Bldg A18, Sydney, NSW 2006, Australia; [Yu, Sin Hung Timothy; Ritchie, Angus] Sydney Local Hlth Dist, POB M30,Missenden Rd, Camperdown, NSW 2050, Australia; [Carland, Jane E.] St Vincents Hosp, Dept Clin Pharmacol &amp; Toxicol, Therapeut Ctr, Level 2,Xavier Bldg,Victoria St, Sydney, NSW 2010, Australia; [Carland, Jane E.] UNSW Sydney, St Vincents Hosp, Fac Med &amp; Hlth, Sch Clin Med, St Vincents Healthcare Clin Campus,St Vincents Cli, Darlinghurst, NSW 2010, Australia; [Ritchie, Angus] Univ Sydney, Fac Med &amp; Hlth, Sch Med, Sydney, Australia; [Dunn, Adam] Univ Sydney, Fac Med &amp; Hlth, Sch Publ Hlth, Sydney, Australia</t>
  </si>
  <si>
    <t>University of Sydney; Sydney Local Health District; NSW Health; St Vincents Hospital Sydney; NSW Health; St Vincents Hospital Sydney; University of Sydney; University of Sydney</t>
  </si>
  <si>
    <t>Adoption and utility of digital scribes in clinical practice - A scoping review</t>
  </si>
  <si>
    <t>Digital scribe; Automatic documentation; Virtual scribe; Ambient scribe; Ambient clinical documentation; AI scribe</t>
  </si>
  <si>
    <t>HEALTH-CARE; INTELLIGENCE</t>
  </si>
  <si>
    <t>Baysari, Melissa/AFC-8830-2022; Dunn, Adam/H-4425-2019</t>
  </si>
  <si>
    <t>Dunn, Adam/0000-0002-1720-8209; Yu, Sin Hung/0009-0004-4660-0754</t>
  </si>
  <si>
    <t>74</t>
  </si>
  <si>
    <t>106630</t>
  </si>
  <si>
    <t>10.1016/j.ijmedinf.2026.106630</t>
  </si>
  <si>
    <t>http://dx.doi.org/10.1016/j.ijmedinf.2026.106630</t>
  </si>
  <si>
    <t>LU3VN</t>
  </si>
  <si>
    <t>42492420</t>
  </si>
  <si>
    <t>WOS:001833449200001</t>
  </si>
  <si>
    <t>Mondal, HS; Shameem, M; Azharuddin, M; Kuila, P</t>
  </si>
  <si>
    <t>Fog computing extends computational capabilities closer to data sources, enabling efficient support for latency-sensitive applications in the Internet of Things (IoT), healthcare, and smart environments. However, fog computing faces several critical challenges, including limited resource availability, energy inefficiency, latency optimization, and security vulnerabilities etc. Addressing these challenges requires advanced optimization and intelligent decision-making techniques that can operate efficiently under constrained and dynamic environments. In this context, quantum-inspired algorithms (QIAs), which draw upon principles of quantum computing such as superposition and entanglement, have emerged as a promising approach for enhancing the performance and efficiency of fog computing systems. This paper presents a Systematic Literature Review (SLR) of QIAs in the context of fog computing to identify the types of algorithms employed, the key problems addressed, validation methodologies, and open research challenges. Following the guidelines of Kitchenham and Charters, a total of 29 primary studies published between 2016 and 2025 have been selected from six major scientific databases. The selection was carried out using a rigorous search strategy, along with clearly defined inclusion and exclusion criteria and a systematic quality assessment process. The findings indicate that QIAs have been widely applied to critical fog computing challenges, including task scheduling, energy optimization, load balancing, and data security. Techniques such as quantum optimization, quantum cryptography, and quantum machine learning are commonly utilized. Most studies employ simulation-based validation and comparative performance analysis, demonstrating notable improvements over classical approaches, with Qubit based representations being a dominant modeling strategy. Despite their demonstrated potential to enhance performance, scalability, and security in fog computing systems, challenges remain in terms of computational complexity, integration with classical infrastructures, and the lack of standardized evaluation frameworks. These limitations highlight the need for developing lightweight quantum-inspired techniques and hybrid quantum-classical models to facilitate practical and scalable deployment in real-world fog computing environments.</t>
  </si>
  <si>
    <t>Mondal, Himadri Sekhar; Shameem, Mohammad; Azharuddin, Md.; Kuila, Pratyay</t>
  </si>
  <si>
    <t>Kuila, P (corresponding author), Natl Inst Technol Sikkim, Dept Comp Sci &amp; Engn, Ravangla, India.</t>
  </si>
  <si>
    <t>mohd.shameem@kfupm.edu.sa; md.azharuddin@aliah.ac.in; himadri.mondal@bppimt.ac.in; pratyay_kuila@yahoo.com</t>
  </si>
  <si>
    <t>[Mondal, Himadri Sekhar; Azharuddin, Md.] Aliah Univ, Dept Comp Sci &amp; Engn, Kolkata, India; [Shameem, Mohammad] King Fahd Univ Petr &amp; Minerals, Interdisciplinary Res Ctr Intelligent Secure Syst, Dhahran, Saudi Arabia; [Kuila, Pratyay] Natl Inst Technol Sikkim, Dept Comp Sci &amp; Engn, Ravangla, India</t>
  </si>
  <si>
    <t>Aliah University; King Fahd University of Petroleum &amp; Minerals; National Institute of Technology (NIT System); National Institute of Technology Sikkim</t>
  </si>
  <si>
    <t>Quantum-inspired algorithms in fog computing: A Systematic Literature Review</t>
  </si>
  <si>
    <t>COMPUTERS &amp; ELECTRICAL ENGINEERING</t>
  </si>
  <si>
    <t>Fog computing; Quantum computing; Quantum-inspired algorithms; Quantum optimization; Systematic literature review</t>
  </si>
  <si>
    <t>CLOUD; OPTIMIZATION</t>
  </si>
  <si>
    <t>Kuila, Pratyay/O-3544-2017</t>
  </si>
  <si>
    <t>98</t>
  </si>
  <si>
    <t>0045-7906</t>
  </si>
  <si>
    <t>1879-0755</t>
  </si>
  <si>
    <t>COMPUT ELECTR ENG</t>
  </si>
  <si>
    <t>Comput. Electr. Eng.</t>
  </si>
  <si>
    <t>111386</t>
  </si>
  <si>
    <t>10.1016/j.compeleceng.2026.111386</t>
  </si>
  <si>
    <t>http://dx.doi.org/10.1016/j.compeleceng.2026.111386</t>
  </si>
  <si>
    <t>Computer Science, Hardware &amp; Architecture; Computer Science, Interdisciplinary Applications; Engineering, Electrical &amp; Electronic</t>
  </si>
  <si>
    <t>LV7HL</t>
  </si>
  <si>
    <t>WOS:001834361400001</t>
  </si>
  <si>
    <t>Li, XY; Wen, QM; Zhang, ZL; Cui, FF</t>
  </si>
  <si>
    <t>Protein-RNA interactions (RPIs) stand for the central process in post-transcriptional regulation and have catalyzed a fast proliferation of computational approaches in recent years. Adopting a task-oriented classification method, RPIs calculation prediction schemes proposed over the period 2010-2025 fall into five primary categories: RNA-binding protein (RBP) classification, RPIs prediction, binding site and binding profile modeling on RNA, residue-level RNA-binding interface prediction on proteins, and quantitative estimation of binding affinity and mutation effects. This study reviews the methodological evolution from conventional machine learning to deep learning, graph neural networks and large-scale pre-trained language models, and compares their differences in data preparation, evaluation protocols and generalization behavior. Particular emphasis is placed on recent advances in structure-aware and condition-aware models, as well as learning in low-data regimes. Finally, the study outlines practical recommendations for field-wide benchmarking and looks ahead to the integration with spatial omics and the development of dynamic, generative landscapes of RPIs to better empower biomedical research.</t>
  </si>
  <si>
    <t>Li, Xinyu; Wen, Qianmao; Zhang, Zilong; Cui, Feifei</t>
  </si>
  <si>
    <t>Cui, FF (corresponding author), Hainan Univ, Sch Comp Sci &amp; Technol, Haikou 570228, Peoples R China.</t>
  </si>
  <si>
    <t>feifeicui@hainanu.edu.cn</t>
  </si>
  <si>
    <t>National Natural Science Foundation of China [62572156]</t>
  </si>
  <si>
    <t>The work is supported by the National Natural Science Foundation of China (No. 62572156) .</t>
  </si>
  <si>
    <t>[Li, Xinyu; Wen, Qianmao; Zhang, Zilong; Cui, Feifei] Hainan Univ, Sch Comp Sci &amp; Technol, Haikou 570228, Peoples R China</t>
  </si>
  <si>
    <t>Hainan University</t>
  </si>
  <si>
    <t>From binary labels to dynamic landscapes: The evolving computational prediction of protein-RNA interactions through tasks and deep learning paradigms</t>
  </si>
  <si>
    <t>Protein-RNA interactions; RNA-binding proteins; Deep learning; Artificial intelligence</t>
  </si>
  <si>
    <t>BINDING PROTEINS; SEQUENCE; IDENTIFICATION; FRAMEWORK; AFFINITY; DATABASE; SITES; SEQ; STABILITY; DISCOVERY</t>
  </si>
  <si>
    <t>Cui, Feifei/AAV-5807-2021</t>
  </si>
  <si>
    <t>144</t>
  </si>
  <si>
    <t>108985</t>
  </si>
  <si>
    <t>10.1016/j.biotechadv.2026.108985</t>
  </si>
  <si>
    <t>http://dx.doi.org/10.1016/j.biotechadv.2026.108985</t>
  </si>
  <si>
    <t>LO4NQ</t>
  </si>
  <si>
    <t>42468752</t>
  </si>
  <si>
    <t>WOS:001829424800001</t>
  </si>
  <si>
    <t>Ibraheem, M; Khalil, M; Khalil, S; Contreras, H; Azar, J</t>
  </si>
  <si>
    <t>Background: Sepsis and severe infections remain major causes of morbidity and mortality worldwide, particularly in acute care settings where early recognition is critical. Artificial intelligence (AI)-based clinical decision support systems (CDSS) have emerged as promising tools for improving early diagnosis and prognostic assessment. However, limited interpretability and transparency remain key barriers to clinical adoption. This systematic review and meta-analysis aimed to evaluate the diagnostic and prognostic performance of interpretable AI models in acute illness related to sepsis and infection. Methods: A systematic literature search was conducted in April 2026 across PubMed, Scopus, and the Cochrane Library. Eligible studies included original English-language research published from 2024 onward evaluating interpretable or explainable AI, machine learning (ML), or deep learning (DL) models integrated within CDSS for patients with sepsis or severe infection. Studies using non-interpretable black-box models or lacking patient-level outcomes were excluded. A bivariate random-effects meta-analysis was performed for studies reporting sufficient 2 &amp; times; 2 contingency data. Results: A total of 849 records were identified, of which 15 studies met the inclusion criteria. These were categorized into sepsis detection/diagnosis (n = 8), mortality prediction (n = 5), and complication prediction (n = 2). For sepsis detection, pooled sensitivity was 0.685 and specificity was 0.898 (AUC = 0.879). Sensitivity analysis demonstrated stable performance (sensitivity 0.751, specificity 0.873, AUC = 0.890). For mortality prediction, pooled sensitivity was 0.618 and specificity was 0.778 (AUC = 0.753), indicating moderate predictive performance. Quantitative synthesis was not performed for complication prediction because only two clinically heterogeneous studies were available. Fourteen of the 15 included studies were judged to have high overall risk of bias, predominantly because of concerns in the analysis domain. Conclusions: Interpretable AI-based CDSS models demonstrated good overall discrimination for sepsis detection but only moderate performance for mortality prediction. Explainability methods provided insight into model outputs; however, the included studies did not directly evaluate clinician trust, adoption, behavioral responses, or patient-level implementation outcomes. Confidence in the findings is limited by substantial heterogeneity and predominantly high risk of bias. Future research should prioritize prospective multicenter validation, calibration, temporal modeling, and clinical-utility assessment before routine deployment.</t>
  </si>
  <si>
    <t>Ibraheem, Mohamed; Khalil, Mosab; Khalil, Somaia; Contreras, Hamzah; Azar, Jehad</t>
  </si>
  <si>
    <t>Ibraheem, M (corresponding author), Mayo Clin, Div Crit Care Med, Phoenix, AZ 85054 USA.</t>
  </si>
  <si>
    <t>Ibraheem.Mohamed@mayo.edu</t>
  </si>
  <si>
    <t>[Ibraheem, Mohamed] Mayo Clin, Div Crit Care Med, Phoenix, AZ 85054 USA; [Ibraheem, Mohamed; Azar, Jehad] Mayo Clin, Div Pulm Med, Phoenix, AZ USA; [Khalil, Mosab] Dubai Elect &amp; Water Author, Dept Transmiss Commissioning, Transmiss Power Div, Sect Digitalizat &amp; AI, Dubai, U Arab Emirates; [Khalil, Somaia] Energy Ogre, Div Software &amp; AI, Garland, TX USA; [Contreras, Hamzah] JPMorgan Chase &amp; Co, Div Software &amp; AI, Plano, TX USA</t>
  </si>
  <si>
    <t>Mayo Clinic; Mayo Clinic Phoenix; Mayo Clinic; Mayo Clinic Phoenix</t>
  </si>
  <si>
    <t>Early clinical decision support using interpretable artificial intelligence in acute illness (sepsis and infection): A systematic review and meta-analysis</t>
  </si>
  <si>
    <t>Sepsis; Artificial intelligence; explainable AI; Clinical decision support systems; Machine learning; Systematic review and meta-analysis</t>
  </si>
  <si>
    <t>106629</t>
  </si>
  <si>
    <t>10.1016/j.ijmedinf.2026.106629</t>
  </si>
  <si>
    <t>http://dx.doi.org/10.1016/j.ijmedinf.2026.106629</t>
  </si>
  <si>
    <t>LP5BM</t>
  </si>
  <si>
    <t>42480414</t>
  </si>
  <si>
    <t>WOS:001830137800001</t>
  </si>
  <si>
    <t>Moghimi, N; Rezaeian, M; Kohandel, M</t>
  </si>
  <si>
    <t>Personalized oncology aims to tailor cancer treatment to individual patients based on their unique biological characteristics and disease profiles. Integrating tumor-on-chip (ToC) technology, mathematical modeling, and artificial intelligence (AI) provides a complementary framework for understanding tumor biology, predicting therapeutic response, and advancing precision cancer care. ToC systems recreate physiologically relevant tumor microenvironments (TME), incorporating key features such as spatial organization, oxygen gradients, stromal interactions, and mechanical cues while enabling the evaluation of patient-derived samples. Complementing these experimental platforms, mathematical models-including ordinary differential equations, partial differential equations, stochastic models, and agent-based approaches-provide quantitative insights into tumor evolution, spatial heterogeneity, treatment response, and resistance dynamics. AI and machine learning further enhance these capabilities by integrating high-dimensional datasets, including imaging, transcriptomics, spatial omics, and microfluidic outputs, to enable therapeutic response prediction, molecular subtyping, and automated analysis of complex experimental systems. This review highlights recent advances in integrating these approaches, including AI-assisted analysis of ToC platforms, mechanistic learning frameworks that combine deep learning with mathematical models, and hybrid systems for parameter inference and drug screening. We also discuss current challenges, including incomplete recapitulation of systemic physiology, limitations in vascular and immune modeling, data standardization, computational complexity, limited clinical validation, and concerns regarding AI interpretability and bias. Finally, we examine future directions, including standardized data infrastructures, federated learning, explainable AI, and digital twin frameworks, while critically evaluating how mechanistic learning, experimentalcomputational feedback loops, parameter identifiability, and model interpretability can accelerate the translation of integrated experimental and computational platforms into clinically actionable precision oncology.</t>
  </si>
  <si>
    <t>Moghimi, Nafiseh; Rezaeian, Mohsen; Kohandel, Mohammad</t>
  </si>
  <si>
    <t>Moghimi, N; Kohandel, M (corresponding author), Univ Waterloo, Dept Appl Math, Waterloo, ON, Canada.</t>
  </si>
  <si>
    <t>nmoghimi@uwaterloo.ca; kohandel@uwaterloo.ca</t>
  </si>
  <si>
    <t>Provost's Program for Interdisciplinary Postdoctoral Scholars at University of Waterloo; Mitacs Canada; Terasaki Institute for Biomedical Innovation; Ability Concept Inc.</t>
  </si>
  <si>
    <t>Provost's Program for Interdisciplinary Postdoctoral Scholars at University of Waterloo; Mitacs Canada (Mitacs); Terasaki Institute for Biomedical Innovation; Ability Concept Inc.</t>
  </si>
  <si>
    <t>The authors acknowledge Provost's Program for Interdisciplinary Postdoctoral Scholars at University of Waterloo, Mitacs Canada, Ability Concept Inc. and Terasaki Institute for Biomedical Innovation for the funding and resources support.</t>
  </si>
  <si>
    <t>[Moghimi, Nafiseh] Terasaki Inst Biomed Innovat, Los Angeles, CA USA; [Moghimi, Nafiseh; Rezaeian, Mohsen; Kohandel, Mohammad] Univ Waterloo, Dept Appl Math, Waterloo, ON, Canada; [Rezaeian, Mohsen] Univ Waterloo, Dept Elect &amp; Comp Engn, Waterloo, ON, Canada</t>
  </si>
  <si>
    <t>University of Waterloo; University of Waterloo</t>
  </si>
  <si>
    <t>Precision oncology paradigm: Integrating tumor-on-chip platforms, mathematical modeling, and AI for personalized cancer therapeutics</t>
  </si>
  <si>
    <t>JOURNAL OF DRUG DELIVERY SCIENCE AND TECHNOLOGY</t>
  </si>
  <si>
    <t>Precision medicine; Tumor-on-chip devices; Tumor heterogeneity; Computational oncology; Artificial Intelligence (AI); Personalized cancer therapy</t>
  </si>
  <si>
    <t>PHENOTYPIC HETEROGENEITY; DRUG-RESISTANCE; EVOLUTION; EMERGENCE; MEDICINE</t>
  </si>
  <si>
    <t>Moghimi, Nafiseh/HNJ-0665-2023</t>
  </si>
  <si>
    <t>1773-2247</t>
  </si>
  <si>
    <t>2588-8943</t>
  </si>
  <si>
    <t>J DRUG DELIV SCI TEC</t>
  </si>
  <si>
    <t>J. Drug Deliv. Sci. Technol.</t>
  </si>
  <si>
    <t>108722</t>
  </si>
  <si>
    <t>10.1016/j.jddst.2026.108722</t>
  </si>
  <si>
    <t>http://dx.doi.org/10.1016/j.jddst.2026.108722</t>
  </si>
  <si>
    <t>LR0ON</t>
  </si>
  <si>
    <t>WOS:001831193300001</t>
  </si>
  <si>
    <t>Mahajan, A; Kaur, P; Devgan, S; Singh, G</t>
  </si>
  <si>
    <t>Surface engineering plays a pivotal role in enhancing the performance of biodegradable magnesium alloys for biomedical applications by addressing their inherent limitations of rapid corrosion and limited biofunctionality. This review provides a comprehensive analysis of conventional and advanced surface modification strategies reported in the recent literature over the past six years (2020-2026), including conversion coatings, micro-arc oxidation, electrophoretic deposition, and polymer-based hybrid coatings, highlighting their effectiveness in improving corrosion resistance, surface stability, and biological response. Furthermore, the emerging integration of artificial intelligence in surface engineering is critically examined, showcasing its capability to establish predictive relationships between processing parameters, microstructure, and performance outcomes. Machine learning and data-driven approaches enable optimization of coating design, reduce experimental efforts, and accelerate the development of smart, responsive biomaterial surfaces. This review highlights the convergence of advanced surface engineering strategies with artificial intelligence for the development of magnesium-based biomedical implants. By integrating data-driven modeling with surface modification techniques, it enables precise control over corrosion behavior, surface functionality, and biological performance, facilitating the design of smart and clinically reliable implant systems.</t>
  </si>
  <si>
    <t>Mahajan, Amit; Kaur, Parneet; Devgan, Sandeep; Singh, Gurcharan</t>
  </si>
  <si>
    <t>Mahajan, A (corresponding author), Khalsa Coll Engn &amp; Technol, Dept Mech Engn, Amritsar 143001, India.</t>
  </si>
  <si>
    <t>amitmahajan291@gmail.com</t>
  </si>
  <si>
    <t>[Mahajan, Amit; Devgan, Sandeep; Singh, Gurcharan] Khalsa Coll Engn &amp; Technol, Dept Mech Engn, Amritsar 143001, India; [Kaur, Parneet] Khalsa Coll Engn &amp; Technol, Dept Comp Applicat, Amritsar 143001, India</t>
  </si>
  <si>
    <t>Surface modification of magnesium alloys for biomedical applications: Recent progress and emerging artificial intelligence approaches</t>
  </si>
  <si>
    <t>PROGRESS IN ORGANIC COATINGS</t>
  </si>
  <si>
    <t>Surface engineering; Magnesium alloys; Corrosion resistance; Conversion coating; Micro-arc oxidation; Electrophoretic deposition; Polymer coatings; Artificial intelligence</t>
  </si>
  <si>
    <t>CORROSION-RESISTANCE; COATINGS; BEHAVIOR</t>
  </si>
  <si>
    <t>Singh, Gurcharan/0009-0003-9395-155X; mahajan, amit/0000-0003-3275-6139</t>
  </si>
  <si>
    <t>133</t>
  </si>
  <si>
    <t>0300-9440</t>
  </si>
  <si>
    <t>1873-331X</t>
  </si>
  <si>
    <t>PROG ORG COAT</t>
  </si>
  <si>
    <t>Prog. Org. Coat.</t>
  </si>
  <si>
    <t>110455</t>
  </si>
  <si>
    <t>10.1016/j.porgcoat.2026.110455</t>
  </si>
  <si>
    <t>http://dx.doi.org/10.1016/j.porgcoat.2026.110455</t>
  </si>
  <si>
    <t>Chemistry, Applied; Materials Science, Coatings &amp; Films</t>
  </si>
  <si>
    <t>Chemistry; Materials Science</t>
  </si>
  <si>
    <t>LO4CB</t>
  </si>
  <si>
    <t>WOS:001829394400001</t>
  </si>
  <si>
    <t>Wang, J; Li, XX; Luo, CQ; Ren, QP</t>
  </si>
  <si>
    <t>Background: Cardiovascular disease (CVD) remains the leading cause of mortality worldwide, accounting for approximately 17.9 million deaths annually. Traditional risk assessment tools demonstrate limited discriminatory capacity. Digital health technologies, including AI algorithms, wearable devices, and smartphone applications, offer promising alternatives for improved CVD risk stratification. Objective: To evaluate the effectiveness of digital health technologies versus traditional tools in cardiovascular disease risk assessment through a systematic review and network meta-analysis. Methods: We conducted a PRISMA-NMA systematic review searching PubMed, Cochrane, and EMBASE through October 2025, comparing digital health technologies with traditional risk scores for CVD assessment in asymptomatic adults, measuring diagnostic accuracy and clinical outcomes via frequentist network metaanalysis. Results: Thirty-two studies encompassing 11,496,837 participants met inclusion criteria. Wearable devices demonstrated the highest pooled AUC for arrhythmia detection (0.92; 95% CI, 0.81-1.00), followed by smartphone applications (0.93; 95% CI, 0.88-0.98) and AI-ML algorithms (0.83; 95% CI, 0.81-0.86). Traditional risk scores exhibited significantly lower discrimination (pooled AUC, 0.75; 95% CI, 0.72-0.78). For clinical outcomes, digital health interventions significantly reduced all-cause mortality (pooled RR, 0.62; 95% CI, 0.48-0.80; I2 = 91.8%) and major adverse cardiovascular events (pooled RR, 0.70; 95% CI, 0.60-0.83; I2 = 90.4%). Surface under the cumulative ranking curve analysis ranked wearable devices first for diagnostic accuracy (SUCRA, 92.6%) and AI-ML algorithms first for clinical outcomes (SUCRA, 72.8%). Conclusions: Digital health technologies, wearable devices, and AI-machine learning algorithms surpass traditional cardiovascular risk assessment methods, significantly enhancing diagnostic accuracy, risk stratification, and patient clinical outcomes.</t>
  </si>
  <si>
    <t>Wang, Jing; Li, Xinxiao; Luo, Chuqing; Ren, Qiuping</t>
  </si>
  <si>
    <t>Ren, QP (corresponding author), Sichuan Univ, West China Hosp, Dept Hepatobiliary Surg, Chengdu 610041, Sichuan, Peoples R China.</t>
  </si>
  <si>
    <t>1076896674@qq.com</t>
  </si>
  <si>
    <t>Sichuan University New Century Higher Education Teaching Reform Project [SCU9337]</t>
  </si>
  <si>
    <t>Sichuan University New Century Higher Education Teaching Reform Project</t>
  </si>
  <si>
    <t>Funding provided by the Sichuan University New Century Higher Education Teaching Reform Project (SCU9337).</t>
  </si>
  <si>
    <t>[Wang, Jing; Li, Xinxiao; Luo, Chuqing] Sichuan Univ, West China Hosp, Chengdu 610041, Sichuan, Peoples R China; [Ren, Qiuping] Sichuan Univ, West China Hosp, Dept Hepatobiliary Surg, Chengdu 610041, Sichuan, Peoples R China</t>
  </si>
  <si>
    <t>Sichuan University; Sichuan University</t>
  </si>
  <si>
    <t>Digital health technologies versus traditional methods for cardiovascular risk assessment in asymptomatic adults: a systematic review and network meta-analysis of diagnostic accuracy and clinical outcomes</t>
  </si>
  <si>
    <t>Cardiovascular risk assessment; Digital health; Artificial intelligence; Wearable devices; Network meta-analysis; Diagnostic accuracy</t>
  </si>
  <si>
    <t>BIAS; CARE; TOOL</t>
  </si>
  <si>
    <t>29</t>
  </si>
  <si>
    <t>106588</t>
  </si>
  <si>
    <t>10.1016/j.ijmedinf.2026.106588</t>
  </si>
  <si>
    <t>http://dx.doi.org/10.1016/j.ijmedinf.2026.106588</t>
  </si>
  <si>
    <t>LN6NW</t>
  </si>
  <si>
    <t>42476005</t>
  </si>
  <si>
    <t>WOS:001828883200001</t>
  </si>
  <si>
    <t>Desai, SP; Hori, YS; Lam, FC; Zagzoog, N; Kalra, N; Tayag, A; Ustrzynski, L; Emrich, SC; Gu, XJ; Park, DJ; Chang, SD</t>
  </si>
  <si>
    <t>Background: Brain metastases (BM) are the most common intracranial tumors in adults, and stereotactic radiosurgery (SRS) has become a mainstay of management. However, several diagnostic challenges persist in the SRS pathway, particularly the differentiation of radiation necrosis (RN) from true tumor progression, which conventional MRI and even advanced imaging techniques often cannot reliably resolve. Recent advances in artificial intelligence (AI) offer the potential to address these diagnostic limitations. This systematic review synthesizes current literature on AI applications for MRI-based diagnostic decision support in BM patients undergoing SRS, with a focus on radiomics and deep learning tools for distinguishing RN from progression, classifying molecular and histologic subtypes, and predicting treatment response. Methods: A systematic review was performed in accordance with PRISMA guidelines. PubMed, Web of Science, and Scopus were searched using a targeted query combining terms related to AI, brain metastasis, diagnosis or imaging, and SRS. After screening 483 records and applying strict inclusion and exclusion criteria, 18 studies published between 2015 and 2025 were included. Data were extracted on study design, cohort characteristics, imaging modality, AI methodology, validation strategy, and reported diagnostic performance. Results: Among the 18 included studies, AI models demonstrated strong performance across diagnostic tasks in the BM-SRS pathway. The differentiation of RN from true tumor progression was the most extensively studied application, addressed by 14 of 18 studies, with reported AUCs ranging from 0.71 to 0.94. Support vector machines, random-forest ensembles, convolutional neural networks, and transformer-based multimodal architectures were widely used. The literature evolved from single-sequence radiomic classifiers in 2018 to multimodal deep learning frameworks fusing imaging with clinical and genomic data in 2025. Contrast-enhanced T1weighted MRI was the dominant imaging input, and texture-based radiomic features (GLCM, GLSZM, GLDM, and wavelet-derived features) were the most consistently predictive. The highest-performing models reached AUCs of 0.85-0.91 through multimodal integration of imaging with clinical and genomic features, and consistently outperformed expert neuroradiologist read on matched cases. Remaining studies addressed longitudinal segmentation-based detection of local failure and adverse radiation effects, BRAF mutation status in melanoma BM, early Gamma Knife treatment response, and primary tumor histology classification, with more variable performance. Conclusion: AI models, particularly those integrating MRI-derived radiomic features with clinical and genomic data, show high accuracy in supporting diagnostic decisions for BM patients treated with SRS. The post-SRS differentiation of radiation necrosis from true tumor progression has reached the greatest level of maturity and is closest to clinical translation, with potential to reduce unnecessary biopsies, personalize surveillance intervals, and rationalize treatment-pathway decisions. Other diagnostic applications, including molecular subtyping and primary tumor histology classification, remain exploratory and require further multicenter validation. Integration of AI tools into multidisciplinary tumor-board workflows, combined with prospective validation and standardized reporting, will be essential to realize the full clinical benefits of AI in SRS for brain metastases.</t>
  </si>
  <si>
    <t>Desai, Shiv P.; Hori, Yusuke S.; Lam, Fred C.; Zagzoog, Nirmeen; Kalra, Neeraj; Tayag, Armine; Ustrzynski, Louisa; Emrich, Sara C.; Gu, Xuejun; Park, David J.; Chang, Steven D.</t>
  </si>
  <si>
    <t>Park, DJ; Chang, SD (corresponding author), Stanford Univ, Dept Neurosurg, Sch Med, Stanford, CA 94305 USA.</t>
  </si>
  <si>
    <t>sdchang@stanford.edu; djpark@stanford.edu</t>
  </si>
  <si>
    <t>[Desai, Shiv P.; Hori, Yusuke S.; Lam, Fred C.; Zagzoog, Nirmeen; Kalra, Neeraj; Tayag, Armine; Ustrzynski, Louisa; Emrich, Sara C.; Park, David J.; Chang, Steven D.] Stanford Univ, Dept Neurosurg, Sch Med, Stanford, CA 94305 USA; [Gu, Xuejun] Stanford Univ, Dept Radiat Oncol, Sch Med, Stanford, CA USA</t>
  </si>
  <si>
    <t>Stanford University; Stanford University</t>
  </si>
  <si>
    <t>Artificial intelligence (AI) uses in stereotactic radiosurgery (SRS): diagnosis with brain metastasis (BM) - A systematic review</t>
  </si>
  <si>
    <t>JOURNAL OF CLINICAL NEUROSCIENCE</t>
  </si>
  <si>
    <t>Brain metastasis; Artificial intelligence; Stereotactic radiosurgery; Radiomics; Machine learning; Radiation necrosis; Diagnostic imaging</t>
  </si>
  <si>
    <t>RADIATION NECROSIS; TUMOR PROGRESSION; RADIOMICS; FEATURES; TOOL</t>
  </si>
  <si>
    <t>Desai, Shiv/0009-0009-2005-7104</t>
  </si>
  <si>
    <t>0967-5868</t>
  </si>
  <si>
    <t>1532-2653</t>
  </si>
  <si>
    <t>J CLIN NEUROSCI</t>
  </si>
  <si>
    <t>J. Clin. Neurosci.</t>
  </si>
  <si>
    <t>153</t>
  </si>
  <si>
    <t>112210</t>
  </si>
  <si>
    <t>10.1016/j.jocn.2026.112210</t>
  </si>
  <si>
    <t>http://dx.doi.org/10.1016/j.jocn.2026.112210</t>
  </si>
  <si>
    <t>Clinical Neurology; Neurosciences</t>
  </si>
  <si>
    <t>LM6OP</t>
  </si>
  <si>
    <t>42475791</t>
  </si>
  <si>
    <t>WOS:001828204900001</t>
  </si>
  <si>
    <t>Song, DX; Zhao, ZY; Chen, KQ</t>
  </si>
  <si>
    <t>Purpose: This meta-analysis aims to evaluate the diagnostic performance of PET/CT-based artificial intelligence (AI) models for detecting lymph node involvement (LNI) in prostate cancer and compare it with physician readers. Methods: We systematically searched PubMed, Embase, and Web of Science through March 4, 2025, for studies evaluating PET/CT-based AI (machine learning or deep learning) for LNI detection. Eligible studies used pathology or expert physician reads as reference standards. AI model studies were assessed with PROBAST + AI, and extractable physician-reader diagnostic accuracy datasets were additionally assessed with QUADAS-2. A bivariate random-effects model pooled sensitivity, specificity, diagnostic odds ratio (DOR), and AUC using patient-based datasets with extractable 2 x 2 data. Results: Of 884 records identified, 11 studies involving 1,143 patients were included. AI demonstrated a sensitivity of 0.71 (95% CI: 0.61-0.79), specificity of 0.89 (95% CI: 0.76-0.95), and AUC of 0.79 (95% CI: 0.75-0.82). Physician readers showed sensitivity of 0.67 (95% CI: 0.57-0.76), specificity of 0.88 (95% CI: 0.70-0.95), and AUC of 0.71 (95% CI: 0.67-0.75). AI achieved a higher AUC (Z = 2.95, P = 0.003), but only two studies directly supported AI-versus-physician comparisons. Conclusions: PET/CT-based AI models may show modestly improved discrimination for detecting LNI in prostate cancer, but current evidence does not establish clinical superiority over physician readers. The evidence is limited by small study numbers, mostly retrospective designs, substantial heterogeneity, limited external validation, and low certainty. Larger prospective, multi-center, externally validated studies are required before routine clinical implementation. Registration number: PROSPERO (CRD420251128237)</t>
  </si>
  <si>
    <t>Song, Dongxuan; Zhao, Zhiyu; Chen, Kuangqi</t>
  </si>
  <si>
    <t>Song, DX (corresponding author), Tianjin Med Univ, Clin Med Coll, Tianjin 300270, Peoples R China.</t>
  </si>
  <si>
    <t>18643700267@163.com</t>
  </si>
  <si>
    <t>Postdoctoral Innovation Program of Shandong Province [SDCX-ZG-202503121]</t>
  </si>
  <si>
    <t>Postdoctoral Innovation Program of Shandong Province</t>
  </si>
  <si>
    <t>Funding This work was supported by the Postdoctoral Innovation Program of Shandong Province (SDCX-ZG-202503121) .</t>
  </si>
  <si>
    <t>[Song, Dongxuan] Tianjin Med Univ, Clin Med Coll, Tianjin 300270, Peoples R China; [Zhao, Zhiyu] Jining Med Univ, Jining 272067, Peoples R China; [Chen, Kuangqi] Chinese Univ Hong Kong, Dept Ophthalmol &amp; Visual Sci, Hong Kong, Peoples R China</t>
  </si>
  <si>
    <t>Tianjin Medical University; Jining Medical University; Chinese University of Hong Kong</t>
  </si>
  <si>
    <t>Diagnostic performance of artificial intelligence based on PET/CT for lymph node involvement in prostate cancer: A systematic review and meta-analysis</t>
  </si>
  <si>
    <t>Artifi cialIntelligence; Prostatic Neoplasms; Lymph Nodes; Positron Emission Tomography Computed; Tomography; Meta-analysis</t>
  </si>
  <si>
    <t>METAANALYSIS</t>
  </si>
  <si>
    <t>106583</t>
  </si>
  <si>
    <t>10.1016/j.ijmedinf.2026.106583</t>
  </si>
  <si>
    <t>http://dx.doi.org/10.1016/j.ijmedinf.2026.106583</t>
  </si>
  <si>
    <t>LI1GZ</t>
  </si>
  <si>
    <t>42456599</t>
  </si>
  <si>
    <t>WOS:001825136200001</t>
  </si>
  <si>
    <t>de Rocquigny, G; Jarrassier, A; Vallee, F; Cartailler, J; El Ayeb, K; Touchard, C</t>
  </si>
  <si>
    <t>Context and importance: With over 300 million surgeries performed under general anaesthesia annually, optimising perioperative brain health has become a critical public health priority. Electroencephalogram (EEG) monitoring, initially conceived to prevent awareness during anaesthesia, is now emerging as a tool for assessing cognitive vulnerability and predicting neurocognitive outcomes. Objectives: This narrative review synthesises the evolution of intraoperative EEG monitoring across three conceptual stages: from a depth-of-anaesthesia measure to a tool for optimising anaesthetic exposure, and to an emerging biomarker of brain frailty and long-term perioperative risk. Key findings: We review the technical foundations of EEG signal analysis and the distinctive patterns produced by GABAergic anaesthetics, characterised by frontal alpha anteriorization and slow-wave oscillations. EEGguided anaesthetic titration reduces drug consumption, accelerates recovery, and minimises environmental impact, while maintaining equivalent safety. Specific intraoperative EEG patterns, including burst suppression and diminished alpha power, are robustly associated with postoperative delirium and cognitive decline, especially in vulnerable populations. However, trials targeting these patterns have not consistently prevented delirium, revealing that baseline cognitive impairment mediates most of the risk. Age-dependent EEG changes under anaesthesia, including reduced oscillatory power and altered spectral characteristics, may serve as markers of latent brain vulnerability. Clinical implications: Intraoperative EEG monitoring should be viewed not merely as a tool for titrating hypnotic agents, but as a window into perioperative brain health. Future integration of machine learning algorithms and longitudinal cognitive follow-up may enable EEG-based preoperative risk stratification and individualised perioperative management strategies, transforming perioperative care for cognitively vulnerable patients.</t>
  </si>
  <si>
    <t>de Rocquigny, Gael; Jarrassier, Audrey; Vallee, Fabrice; Cartailler, Jerome; El Ayeb, Kanssaa; Touchard, Cyril</t>
  </si>
  <si>
    <t>de Rocquigny, G (corresponding author), Begin Mil Teaching Hosp, Dept Anesthesia &amp; Crit Care, F-94160 St Mande, France.</t>
  </si>
  <si>
    <t>Gael.derocquigny@gmail.com</t>
  </si>
  <si>
    <t>[de Rocquigny, Gael; Jarrassier, Audrey] Begin Mil Teaching Hosp, Dept Anesthesia &amp; Crit Care, F-94160 St Mande, France; [Vallee, Fabrice; Cartailler, Jerome; El Ayeb, Kanssaa; Touchard, Cyril] Hop Lariboisiere, AP HP, Dept Anesthesia &amp; Crit Care, F-75010 Paris, France; [Vallee, Fabrice; Cartailler, Jerome; El Ayeb, Kanssaa; Touchard, Cyril] Univ Paris Cite, INSERM, U942, MASCOT, F-75006 Paris, France</t>
  </si>
  <si>
    <t>Universite Paris Cite; Hopital Universitaire Lariboisiere-Fernand-Widal - APHP; Assistance Publique Hopitaux Paris (APHP); Hopital Universitaire Lariboisiere-Fernand-Widal - APHP; Universite Paris Cite; Institut National de la Sante et de la Recherche Medicale (Inserm)</t>
  </si>
  <si>
    <t>EEG monitoring in the operating room: current uses and perspectives - a narrative review</t>
  </si>
  <si>
    <t>ANAESTHESIA CRITICAL CARE &amp; PAIN MEDICINE</t>
  </si>
  <si>
    <t>Electroencephalography; Anaesthesia monitoring; Brain health; Postoperative cognitive dysfunction; Delirium; Alpha oscillations; Burst suppression</t>
  </si>
  <si>
    <t>POSTOPERATIVE DELIRIUM; BISPECTRAL INDEX; ELECTROENCEPHALOGRAM SIGNATURES; BURST SUPPRESSION; ALPHA POWER; ANESTHESIA; PROPOFOL; SURGERY; DEPTH; RISK</t>
  </si>
  <si>
    <t>de ROCQUIGNY, Gaël/PRQ-6260-2026</t>
  </si>
  <si>
    <t>de Rocquigny, Gaël/0000-0003-4747-0686</t>
  </si>
  <si>
    <t>91</t>
  </si>
  <si>
    <t>ELSEVIER FRANCE-EDITIONS SCIENTIFIQUES MEDICALES ELSEVIER</t>
  </si>
  <si>
    <t>ISSY-LES-MOULINEAUX</t>
  </si>
  <si>
    <t>65 RUE CAMILLE DESMOULINS, CS50083, 92442 ISSY-LES-MOULINEAUX, FRANCE</t>
  </si>
  <si>
    <t>2352-5568</t>
  </si>
  <si>
    <t>ANAESTH CRIT CARE PA</t>
  </si>
  <si>
    <t>Anaesth. Crit. Care Pain Med.</t>
  </si>
  <si>
    <t>45</t>
  </si>
  <si>
    <t>101861</t>
  </si>
  <si>
    <t>10.1016/j.accpm.2026.101861</t>
  </si>
  <si>
    <t>http://dx.doi.org/10.1016/j.accpm.2026.101861</t>
  </si>
  <si>
    <t>Anesthesiology; Critical Care Medicine</t>
  </si>
  <si>
    <t>Anesthesiology; General &amp; Internal Medicine</t>
  </si>
  <si>
    <t>JW5FX</t>
  </si>
  <si>
    <t>42219084</t>
  </si>
  <si>
    <t>WOS:001799643200001</t>
  </si>
  <si>
    <t>Peyvandi, A; Pigoni, A; Anastasi, A; Nosari, G; Borghi, L; Vegni, E; Brambilla, P; Delvecchio, G</t>
  </si>
  <si>
    <t>Background: Post-traumatic stress disorder (PTSD) is a stressor-related disorder that affects a significant proportion of the population worldwide. Despite the neurological nature of this disorder, its functional biomarkers, due to mixed results remain far to be understood. Therefore, the present review study aims to explore functional brain differences between individuals with PTSD and healthy controls with (TEHC) and without (TUHC) trauma exposure, using a machine learning approach. Method: A systematic search was performed in PubMed, Embase, and Scopus to identify relevant studies published before 1st of November 2024. A total of 19 studies were included in our data extraction process. The paper has been registered on OSF (https://archive.org/details/osf-registrations-n6bc7-v1)/(https://osf.io/n6bc7/). Results: Default mode and salience networks have been determinant in classifying PTSD participants from both TEHC and TUHC. However, middle frontal gyrus as well as sensory motor area were only involved in classifying PTSD participants from TEHC. Finally, the results have also shown that the association between left amygdala and hippocampus is determinant in identification of PTSD severity. Limitations: The analysis of the available literature was restricted due to the non-homogeneous characteristics of studies-both in terms of methodology and clinical aspects-which restricted our ability to draw comprehensive conclusions. In addition, some studies used overlapping samples therefore limiting the generalizability of the results. Conclusion: The identified networks play a crucial role in distinguishing PTSD participants from healthy participants. These findings could aid in developing more accurate diagnostic tools and may even help predict individuals at higher risk of developing PTSD following exposure to trauma events.</t>
  </si>
  <si>
    <t>Peyvandi, Aida; Pigoni, Alessandro; Anastasi, Andrea; Nosari, Guido; Borghi, Lidia; Vegni, Elena; Brambilla, Paolo; Delvecchio, Giuseppe</t>
  </si>
  <si>
    <t>Delvecchio, G (corresponding author), Fdn IRCCS Ca Granda Osped Maggiore Policlin, Dept Neurosci &amp; Mental Hlth, I-20122 Milan, Italy.</t>
  </si>
  <si>
    <t>giuseppe.delvecchio@policlinico.mi.it</t>
  </si>
  <si>
    <t>Italian Ministry of Education and Research-MUR ('Dipartimenti di Eccellenza' Programme 2023-27-Dept. of Pathophysiology and Transplantation, Universita degli Studi di Milano); Italian Ministry of Health (Project "Hub Life Science"- Diagnostica Avanzata, HLS-DA) [PNC-E3-2022-23683266, CUP: C43C22001630001/MI-0117, RF-2019-12371349]; ERANET Neuron JTC 2023 [ERP-2023-23684211]; Eranet Neuron JTC 2024 [ER-2024-23684536]</t>
  </si>
  <si>
    <t>Italian Ministry of Education and Research-MUR ('Dipartimenti di Eccellenza' Programme 2023-27-Dept. of Pathophysiology and Transplantation, Universita degli Studi di Milano); Italian Ministry of Health (Project "Hub Life Science"- Diagnostica Avanzata, HLS-DA); ERANET Neuron JTC 2023; Eranet Neuron JTC 2024</t>
  </si>
  <si>
    <t>Paolo Brambilla was partially supported by grants from the Italian Ministry of Education and Research-MUR ('Dipartimenti di Eccellenza' Programme 2023-27-Dept. of Pathophysiology and Transplantation, Universita degli Studi di Milano), the Italian Ministry of Health (Project "Hub Life Science"- Diagnostica Avanzata, HLS-DA, PNC-E3-2022-23683266-CUP: C43C22001630001/MI-0117/Piano Nazionale Complementare Ecosistema Innovativo della Salute; Ricerca Corrente 2026; RF-2019-12371349), by the ERANET Neuron JTC 2023 (ERP-2023-23684211-ResilNet) and Eranet Neuron JTC 2024 (ER-2024-23684536-BRAWO Project). Giuseppe Delvecchio was partially supported by grants from the Italian Ministry of Education and Research-MUR ('Dipartimenti di Eccellenza' Programme 2023-27-Dept. of Pathophysiology and Transplantation, Universita degli Studi di Milano).</t>
  </si>
  <si>
    <t>[Peyvandi, Aida; Pigoni, Alessandro; Nosari, Guido; Brambilla, Paolo; Delvecchio, Giuseppe] Fdn IRCCS Ca Granda Osped Maggiore Policlin, Dept Neurosci &amp; Mental Hlth, I-20122 Milan, Italy; [Anastasi, Andrea; Brambilla, Paolo; Delvecchio, Giuseppe] Univ Milan, Dept Pathophysiol &amp; Transplantat, I-20122 Milan, Italy; [Borghi, Lidia; Vegni, Elena] Univ Milan, Dept Hlth Sci, Milan, Italy; [Borghi, Lidia; Vegni, Elena] ASST Santi Paolo &amp; Carlo, Dept Mental Hlth &amp; Dependencies, Unit Clin Psychol, Milan, Italy</t>
  </si>
  <si>
    <t>IRCCS Ca Granda Ospedale Maggiore Policlinico; University of Milan; University of Milan</t>
  </si>
  <si>
    <t>How machine learning applied on fMRI could improve the prognosis of the post-traumatic stress disorder: A systematic review</t>
  </si>
  <si>
    <t>JOURNAL OF AFFECTIVE DISORDERS</t>
  </si>
  <si>
    <t>PTSD; fMRI; Machine learning; Post-traumatic stress disorder; Functional magnetic resonance imaging</t>
  </si>
  <si>
    <t>DEFAULT-MODE NETWORK; AMYGDALA; ASSOCIATION; CLASSIFICATION; DYSREGULATION; CONNECTIVITY; TRAUMA; PTSD</t>
  </si>
  <si>
    <t>Delvecchio, Giuseppe/J-7721-2016; Borghi, Lidia/C-4804-2017</t>
  </si>
  <si>
    <t>0165-0327</t>
  </si>
  <si>
    <t>1573-2517</t>
  </si>
  <si>
    <t>J AFFECT DISORDERS</t>
  </si>
  <si>
    <t>J. Affect. Disord.</t>
  </si>
  <si>
    <t>412</t>
  </si>
  <si>
    <t>122054</t>
  </si>
  <si>
    <t>10.1016/j.jad.2026.122054</t>
  </si>
  <si>
    <t>http://dx.doi.org/10.1016/j.jad.2026.122054</t>
  </si>
  <si>
    <t>Clinical Neurology; Psychiatry</t>
  </si>
  <si>
    <t>Neurosciences &amp; Neurology; Psychiatry</t>
  </si>
  <si>
    <t>JU6QF</t>
  </si>
  <si>
    <t>42235829</t>
  </si>
  <si>
    <t>WOS:001798377000001</t>
  </si>
  <si>
    <t>Shahrour, G; Junejo, A; Ahmad, AA</t>
  </si>
  <si>
    <t>Purpose: The integration of the Internet of Things (IoT) in healthcare with cloud, edge, and fog computing offers significant benefits to healthcare, including real time data processing, enhanced patient care, and cost reductions through remote monitoring. However, these advancements present substantial challenges regarding data security and privacy, particularly in areas such as access control, AI-driven analytics, and compliance with privacy regulations. To address these concerns, robust security measures like encryption, multi-factor authen tication, and effective access control mechanisms are necessary. This Systematic Literature Review (SLR) aims to explore existing methods, research contributions, limitations, and future research directions to improve secu rity and privacy in IoT systems within healthcare across cloud, fog, and edge computing. Methods: The review analysed seventy-two peer-reviewed studies that were published between 2015 and October 2025, identifying key categories of methods used to enhance the security of healthcare IoT systems. These studies were evalu ated based on their use of cryptographic techniques, authentication mechanisms, machine learning approaches, privacy preserving methods, architecture designs, and evaluation frameworks. The SLR focuses on security meth ods tailored for healthcare IoT's unique resource constraints and diverse computing environments, examining how these strategies mitigate data security risks. Results: The analysis revealed six primary categories of secu rity enhancement methods. Cryptography, used in 32 studies, plays a vital role, with techniques such as Elliptic Curve Cryptography and Quantum Cryptography improving data protection in healthcare IoT environments. Authentication methods, particularly multi-factor and lightweight approaches, appeared in 23 studies to prevent unauthorized access. Artificial Intelligence methods (19 studies), including machine learning, deep learning, and federated learning approaches, enable real-time threat detection and advanced analytics. Privacy-preserving techniques (13 studies), such as Fully Homomorphic Encryption, support secure data sharing, while architecture design (39 studies), especially edge and fog computing, enhances system scalability and security. Recent studies confirm this trend (2024-2025), with a notable surge in 2025 publications focusing on hybrid fog-edge architec tures achieving high latency reduction, AI-driven anomaly detection reaching very high accuracy, explainable AI for regulatory compliance, 5G-enhanced authentication with sub-millisecond overhead, and privacy-preserving frameworks maintaining very high accuracy. Conclusion: While significant progress has been made, gaps remain, particularly in lightweight encryption, hardware-agnostic solutions, and real-world testing. Future research must address these issues, focusing on optimising edge and fog computing strategies, exploring blockchain for de centralised security, and balancing usability with robust protection to ensure secure, scalable healthcare IoT systems.</t>
  </si>
  <si>
    <t>Shahrour, Gheida; Junejo, Aisha; Ahmad, Amro Al-Said</t>
  </si>
  <si>
    <t>Ahmad, AA (corresponding author), Keele Univ, Sch Comp Sci &amp; Math, Keele ST5 5BG, Staffordshire, England.</t>
  </si>
  <si>
    <t>a.m.al-said.ahmad@keele.ac.uk</t>
  </si>
  <si>
    <t>Researcher Development Framework Award [RDFSCM2024AJ]; DSI small grant from Keele University</t>
  </si>
  <si>
    <t>Researcher Development Framework Award; DSI small grant from Keele University</t>
  </si>
  <si>
    <t>This work was supported by the Researcher Development Framework Award (No RDFSCM2024AJ) and a DSI small grant from Keele University for AJ and ASA. For the purposes of open access, the au thors have applied a Creative Commons Attribution (CC-BY) licence to any Accepted Author Manuscript version arising from this submission.</t>
  </si>
  <si>
    <t>[Shahrour, Gheida; Junejo, Aisha; Ahmad, Amro Al-Said] Keele Univ, Sch Comp Sci &amp; Math, Keele ST5 5BG, Staffordshire, England</t>
  </si>
  <si>
    <t>Keele University</t>
  </si>
  <si>
    <t>Security and privacy challenges in healthcare IoT systems with cloud, edge, and fog computing: A systematic literature review</t>
  </si>
  <si>
    <t>COMPUTER SCIENCE REVIEW</t>
  </si>
  <si>
    <t>Healthcare IoT; Systematic literature review; Security; Privacy; Cloud computing; Fog computing; Edge computing</t>
  </si>
  <si>
    <t>FRAMEWORK; INTERNET; AUTHENTICATION; PROTOCOL</t>
  </si>
  <si>
    <t>Al-Said Ahmad, Amro/KPY-2596-2024; Junejo, Aisha/ADR-2030-2022</t>
  </si>
  <si>
    <t>1574-0137</t>
  </si>
  <si>
    <t>1876-7745</t>
  </si>
  <si>
    <t>COMPUT SCI REV</t>
  </si>
  <si>
    <t>Comput. Sci. Rev.</t>
  </si>
  <si>
    <t>101005</t>
  </si>
  <si>
    <t>10.1016/j.cosrev.2026.101005</t>
  </si>
  <si>
    <t>http://dx.doi.org/10.1016/j.cosrev.2026.101005</t>
  </si>
  <si>
    <t>Computer Science, Information Systems; Computer Science, Software Engineering; Computer Science, Theory &amp; Methods</t>
  </si>
  <si>
    <t>JG9QT</t>
  </si>
  <si>
    <t>WOS:001789087200001</t>
  </si>
  <si>
    <t>Amiri, Z; Tafreshi, OA; Song, HY; Saadatnia, Z; Park, CB; Naguib, HE</t>
  </si>
  <si>
    <t>Aerogels are a unique class of ultralight porous materials distinguished by their high porosity, low heat conductivity, mechanical flexibility, and large surface area. These qualities make them attractive for a variety of uses, such as biomedical devices, energy storage, thermal insulation, environmental remediation, and catalysis. Despite this potential, the complex gelation chemistry and sensitivity to processing conditions make conventional aerogel synthesis and optimization labor-intensive, expensive, and challenging to scale. Through data-driven design, accelerated property prediction, and process optimization, machine learning (ML) presents compelling opportunities to address these issues. This review offers a thorough analysis of recent developments at the nexus of aerogel research and ML, focusing on the identification of structure-property relationships, the prediction of mechanical, thermal, and physical properties, and design optimization, including inverse design techniques. We offer an integrated viewpoint that connects computational simulations, experimental workflows, and ML techniques, showcasing developments like autonomous materials development, physics-guided learning, and generative models. Data collection, preprocessing, feature engineering, dimensionality reduction, and suitable algorithm selection are all covered in a generalized ML pipeline for aerogels. Lastly, we provide a roadmap for next-generation ML-enabled aerogel materials by examining future directions such as fabrication optimization, data augmentation, automated processing, hybrid modelling, inverse design, and ML-enhanced characterization.</t>
  </si>
  <si>
    <t>Amiri, Zahra; Tafreshi, Omid Aghababaei; Song, Hangyu; Saadatnia, Zia; Park, Chul B.; Naguib, Hani E.</t>
  </si>
  <si>
    <t>Naguib, HE (corresponding author), Univ Toronto, Dept Mech &amp; Ind Engn, Toronto, ON M5S 3G8, Canada.; Naguib, HE (corresponding author), Univ Toronto, Dept Mat Sci &amp; Engn, Toronto, ON M5S 3E4, Canada.</t>
  </si>
  <si>
    <t>hani.naguib@utoronto.ca</t>
  </si>
  <si>
    <t>[Amiri, Zahra; Tafreshi, Omid Aghababaei; Song, Hangyu; Park, Chul B.; Naguib, Hani E.] Univ Toronto, Dept Mech &amp; Ind Engn, Toronto, ON M5S 3G8, Canada; [Saadatnia, Zia] Ontario Tech Univ, Dept Mech &amp; Mfg Engn, Oshawa, ON L1G 0C5, Canada; [Naguib, Hani E.] Univ Toronto, Dept Mat Sci &amp; Engn, Toronto, ON M5S 3E4, Canada</t>
  </si>
  <si>
    <t>University of Toronto; Ontario Tech University; University of Toronto</t>
  </si>
  <si>
    <t>Machine learning in aerogels: from performance analytics to design optimization and property prediction</t>
  </si>
  <si>
    <t>PROGRESS IN MATERIALS SCIENCE</t>
  </si>
  <si>
    <t>Aerogels; ML; Property Prediction; Inverse Design; Optimization</t>
  </si>
  <si>
    <t>ARTIFICIAL-INTELLIGENCE; COMPUTER VISION</t>
  </si>
  <si>
    <t>Aghababaei Tafreshi, Omid/KIL-6459-2024</t>
  </si>
  <si>
    <t>Park, Chul B/0000-0002-1702-1268</t>
  </si>
  <si>
    <t>201</t>
  </si>
  <si>
    <t>0079-6425</t>
  </si>
  <si>
    <t>1873-2208</t>
  </si>
  <si>
    <t>PROG MATER SCI</t>
  </si>
  <si>
    <t>Prog. Mater. Sci.</t>
  </si>
  <si>
    <t>162</t>
  </si>
  <si>
    <t>101732</t>
  </si>
  <si>
    <t>10.1016/j.pmatsci.2026.101732</t>
  </si>
  <si>
    <t>http://dx.doi.org/10.1016/j.pmatsci.2026.101732</t>
  </si>
  <si>
    <t>Materials Science, Multidisciplinary</t>
  </si>
  <si>
    <t>HP6UP</t>
  </si>
  <si>
    <t>WOS:001759722300001</t>
  </si>
  <si>
    <t>Li, Y; Wang, YL; Prabhakaran, P; Ouyang, FX; Zhou, WB; Guan, H; Chen, YN; Li, DP; Sun-Waterhouse, D; Li, F</t>
  </si>
  <si>
    <t>Precision nutrition refers to nutritional interventions tailored to individual biological variability (e.g., genetics, gut microbiome, and metabolic status). Within this framework, identifying bioactive food components that modulate disease-relevant targets and pathways in an individualized manner is a central goal. Targeted interventions are increasingly used for cancer, autoimmune disorders, and metabolic diseases, but are often limited by high prices and adverse effects. Dietary phenolic compounds have therefore attracted attention as safer and more sustainable candidates for health intervention strategies, owing to their ability to interact with disease-relevant protein targets. Examples include EGCG targeting the p53-MDM2 interaction, quercetin modulating HSP90-related ferroptosis, and sesamin inhibiting Syk activation in food allergy. Their structural diversity and bioactivity make them valuable for candidate screening and personalized intervention design. However, these features also create challenges for target identification and functional evaluation. More systematic and predictive strategies are therefore needed to accelerate the identification, evaluation, and optimization of phenolic bioactives. In this context, computational and AI-assisted approaches (e.g., molecular docking, machine learning, and network pharmacology) offer new opportunities to improve target discovery, candidate prioritization, and response prediction. These approaches can integrate individual-level genetic, microbiome, metabolic, dietary, and clinical data. This integration may help predict personalized molecular targets, phenolic metabolism, bioavailability, and intervention responses, thereby supporting tailored phenolic-based nutrition strategies. This review summarizes the therapeutic potential, computational discovery strategies, molecular targets, and translational gaps in applying phenolic compounds to precision nutrition.</t>
  </si>
  <si>
    <t>Li, Yu; Wang, Yongli; Prabhakaran, Pranesha; Ouyang, Fangxin; Zhou, Wenbo; Guan, Hui; Chen, Yannan; Li, Dapeng; Sun-Waterhouse, Dongxiao; Li, Feng</t>
  </si>
  <si>
    <t>Li, F (corresponding author), Shandong Agr Univ, Coll Food Sci &amp; Engn, Tai An 271018, Peoples R China.; Sun-Waterhouse, D (corresponding author), Univ Auckland, Sch Chem Sci, Private Bag 92019, Auckland, New Zealand.</t>
  </si>
  <si>
    <t>fengli@sdau.edu.cn; dx.sun-waterhouse@auckland.ac.nz</t>
  </si>
  <si>
    <t>Key Technology Research and Development Program of Shandong Province [2023TZXD070]; National Natural Science Foundation of China [32372332]; Shandong Provincial Natural Science Foundation [ZR2022MC004]</t>
  </si>
  <si>
    <t>Key Technology Research and Development Program of Shandong Province; National Natural Science Foundation of China (National Natural Science Foundation of China (NSFC)); Shandong Provincial Natural Science Foundation (Natural Science Foundation of Shandong Province)</t>
  </si>
  <si>
    <t>The Supplementary Materials include a PRISMA-style bibliometric flow diagram (Fig. S1) , a detailed list of included keyword items (Table S1) , and information on phenolic compound-target interactions supported by studies published before 2022 (Table S2) . F.L. acknowledges financial support from the Key Technology Research and Development Program of Shandong Province (Grant No. 2023TZXD070) , the National Natural Science Foundation of China (Grant No. 32372332) , and the Shandong Provincial Natural Science Foundation (Grant No. ZR2022MC004) .</t>
  </si>
  <si>
    <t>[Li, Yu; Wang, Yongli; Prabhakaran, Pranesha; Ouyang, Fangxin; Zhou, Wenbo; Guan, Hui; Chen, Yannan; Li, Dapeng; Li, Feng] Shandong Agr Univ, Coll Food Sci &amp; Engn, Tai An 271018, Peoples R China; [Li, Yu; Wang, Yongli; Prabhakaran, Pranesha; Ouyang, Fangxin; Zhou, Wenbo; Guan, Hui; Chen, Yannan; Li, Dapeng; Li, Feng] Key Lab Food Nutr &amp; Human Hlth Univ Shandong, Tai An 271018, Peoples R China; [Ouyang, Fangxin] Changzhou Food Drug &amp; Fiber Qual Supervis &amp; Inspec, Changzhou 213001, Peoples R China; [Sun-Waterhouse, Dongxiao] Univ Auckland, Sch Chem Sci, Private Bag 92019, Auckland, New Zealand</t>
  </si>
  <si>
    <t>University of Auckland</t>
  </si>
  <si>
    <t>Food-derived phenolic compounds in precision nutrition: computational and AI-assisted approaches for target identification and health intervention</t>
  </si>
  <si>
    <t>FOOD RESEARCH INTERNATIONAL</t>
  </si>
  <si>
    <t>Artificial intelligence; Dietary phenolics; Functional modulation; Molecular targets; Natural products</t>
  </si>
  <si>
    <t>ARTIFICIAL-INTELLIGENCE; DRUG</t>
  </si>
  <si>
    <t>DaPeng, Li/G-4164-2010; li, yu/JXM-1334-2024</t>
  </si>
  <si>
    <t>184</t>
  </si>
  <si>
    <t>0963-9969</t>
  </si>
  <si>
    <t>1873-7145</t>
  </si>
  <si>
    <t>FOOD RES INT</t>
  </si>
  <si>
    <t>Food Res. Int.</t>
  </si>
  <si>
    <t>OCT 31 2026</t>
  </si>
  <si>
    <t>242</t>
  </si>
  <si>
    <t>120000</t>
  </si>
  <si>
    <t>10.1016/j.foodres.2026.120000</t>
  </si>
  <si>
    <t>http://dx.doi.org/10.1016/j.foodres.2026.120000</t>
  </si>
  <si>
    <t>Food Science &amp; Technology</t>
  </si>
  <si>
    <t>LG8CZ</t>
  </si>
  <si>
    <t>WOS:001824244100001</t>
  </si>
  <si>
    <t>Vora, LK; Gowda, BHJ; Strauss, J; Tijani, A; Desai, N; Austin, E; Chablani, L; Bagwe, P; Datta, D; Vora, D; Bandi, SP; Puri, A; Donnelly, RF</t>
  </si>
  <si>
    <t>Biologics, including peptides, proteins, antibodies, vaccines and nucleic acid-based therapeutics, have transformed the management of chronic, metabolic, inflammatory, oncological and infectious diseases. Despite their clinical success, their wider use remains constrained by invasive administration routes, poor patient acceptability and formulation challenges related to instability, degradation, aggregation and immunogenicity. Transdermal delivery offers a minimally invasive alternative with potential for controlled, sustained and patient-friendly administration; however, the stratum corneum and viable skin layers strongly restrict the transport of large, hydrophilic and structurally sensitive biomolecules. This review critically evaluates conventional and emerging strategies for transdermal delivery of biologics through a biologic-specific and translational framework. Chemical permeation enhancers, ionic liquids, iontophoresis, sonophoresis, electroporation, microdermabrasion, microneedles, laser and radiofrequency ablation, cell-penetrating peptides, nanocarriers, jet injection, wearable systems and hybrid platforms are compared according to their mechanisms, biologic compatibility, dose capacity, delivery depth, scalability and clinical readiness. Particular attention is given to the relationship between biologic class, dose requirement, local versus systemic exposure, lymphatic uptake, microchannel closure, formulation stability and pharmacokinetic feasibility. Recent advances in smart and stimuli-responsive systems, 3D printing, bioelectronic interfaces and artificial intelligence/machine learning (AI/ML)-guided formulation design are also discussed. Key translational barriers are considered, including biologic stability, dose scalability, skin metabolism, immune responses, manufacturing reproducibility, sterility assurance, usability and regulatory complexity. Integrating mechanistic, formulation, device and translational perspectives, this review identifies realistic opportunities for transdermal biologics delivery while critically outlining the remaining limitations for clinical implementation.</t>
  </si>
  <si>
    <t>Vora, Lalitkumar K.; Gowda, B. H. Jaswanth; Strauss, Jordan; Tijani, Akeemat; Desai, Nimeet; Austin, Emily; Chablani, Lipika; Bagwe, Priyal; Datta, Deepanjan; Vora, Deepal; Bandi, Sony Priyanka; Puri, Ashana; Donnelly, Ryan F.</t>
  </si>
  <si>
    <t>Vora, LK; Donnelly, RF (corresponding author), Queens Univ Belfast, Med Biol Ctr, Sch Pharm, Belfast BT9 7BL, North Ireland.; Puri, A (corresponding author), East Tennessee State Univ, Bill Gatton Coll Pharm, Dept Pharmaceut Sci, Johnson City, TN 37614 USA.</t>
  </si>
  <si>
    <t>r.donnelly@qub.ac.uk; l.vora@qub.ac.uk; puria1@etsu.edu</t>
  </si>
  <si>
    <t>[Vora, Lalitkumar K.; Gowda, B. H. Jaswanth; Donnelly, Ryan F.] Queens Univ Belfast, Med Biol Ctr, Sch Pharm, Belfast BT9 7BL, North Ireland; [Gowda, B. H. Jaswanth] Yenepoya, Yenepoya Pharm Coll &amp; Res Ctr, Dept Pharmaceut, Mangalore 575018, Karnataka, India; [Strauss, Jordan; Tijani, Akeemat; Puri, Ashana] East Tennessee State Univ, Bill Gatton Coll Pharm, Dept Pharmaceut Sci, Johnson City, TN 37614 USA; [Desai, Nimeet] Univ Liverpool, Inst Life Course &amp; Med Sci, 6 West Derby St, Liverpool L7 8TX, England; [Austin, Emily; Chablani, Lipika] St John Fisher Univ, Wegmans Sch Pharm, Dept Pharmaceut Sci, 3690 East Ave, Rochester, NY 14618 USA; [Bagwe, Priyal] Mercer Univ, Coll Pharm, Ctr Drug Delivery Res, Vaccine Nanotechnol Lab, Atlanta, GA 30341 USA; [Datta, Deepanjan] Manipal Acad Higher Educ, Manipal Coll Pharmaceut Sci, Dept Pharmaceut, Manipal, India; [Vora, Deepal] Eurofins, Cary, NC 27502 USA; [Bandi, Sony Priyanka] Birla Inst Technol &amp; Sci BITS Pilani, Dept Pharm, Hyderabad Campus, Hyderabad 500078, Telangana, India</t>
  </si>
  <si>
    <t>Queens University Belfast; Yenepoya (Deemed to be University); Yenepoya Pharmacy College &amp; Research Centre; East Tennessee State University; University of Liverpool; Mercer University; Manipal Academy of Higher Education (MAHE); Birla Institute of Technology &amp; Science Pilani (BITS Pilani)</t>
  </si>
  <si>
    <t>Transdermal delivery of biologics</t>
  </si>
  <si>
    <t>JOURNAL OF CONTROLLED RELEASE</t>
  </si>
  <si>
    <t>Transdermal delivery; Biologics; Large molecules; Microneedles; Nanoparticles</t>
  </si>
  <si>
    <t>VIRUS-LIKE PARTICLES; DRUG-DELIVERY; TOPICAL DELIVERY; MICRONEEDLE ARRAYS; SKIN PENETRATION; VACCINE DELIVERY; BARRIER FUNCTION; IN-VITRO; ENHANCE; MICRODERMABRASION</t>
  </si>
  <si>
    <t>245</t>
  </si>
  <si>
    <t>0168-3659</t>
  </si>
  <si>
    <t>1873-4995</t>
  </si>
  <si>
    <t>J CONTROL RELEASE</t>
  </si>
  <si>
    <t>J. Control. Release</t>
  </si>
  <si>
    <t>OCT 10 2026</t>
  </si>
  <si>
    <t>398</t>
  </si>
  <si>
    <t>115214</t>
  </si>
  <si>
    <t>10.1016/j.jconrel.2026.115214</t>
  </si>
  <si>
    <t>http://dx.doi.org/10.1016/j.jconrel.2026.115214</t>
  </si>
  <si>
    <t>Chemistry, Multidisciplinary; Pharmacology &amp; Pharmacy</t>
  </si>
  <si>
    <t>Chemistry; Pharmacology &amp; Pharmacy</t>
  </si>
  <si>
    <t>MI9UW</t>
  </si>
  <si>
    <t>42521025</t>
  </si>
  <si>
    <t>WOS:001843365900001</t>
  </si>
  <si>
    <t>Islam, MA; Yang, SH; Kim, L; Talukder, RM</t>
  </si>
  <si>
    <t>Objectives: Cognitive load theory (CLT) provides a science-based framework for optimizing learning in pharmacy education by aligning instructional design with human cognitive architecture. This narrative review synthesizes evidence on how CLT principles can inform instructional strategies, curriculum design, assessment practices, and faculty development within Doctor of Pharmacy programs. Findings: CLT differentiates among intrinsic, extraneous, and germane cognitive load, each influencing how learners process, integrate, and apply information. Managing intrinsic load through segmentation, scaffolding, worked examples, pre-training, and stepwise increases in task fidelity supports schema development in complex basic and clinical sciences. Reducing extraneous load by streamlining instructional materials, applying multimedia design principles, providing clear instructions, and eliminating irrelevant details enhances working-memory efficiency across lectures, skills labs, objective structured clinical examinations, and simulation-based activities. Promoting germane load through active learning, retrieval practice, structured debriefing, concept mapping, self-explanation, and reflective activities strengthens schema construction and deep learning. At the curricular level, CLT supports intentional sequencing from foundational sciences to integrated pharmacotherapy and practice readiness, aligning with the Accreditation Council for Pharmacy Education Standards 2025. In assessment, CLT principles inform clear exam items, well-structured objective structured clinical examination stations, appropriate fidelity progression, and feedback that supports learning without adding cognitive burden. Effective implementation also requires faculty development, including CLT-focused workshops, peer review, simulation debriefing training, and collaborative lesson redesign to promote consistent, cognitively efficient instruction. Summary: CLT offers an integrative framework to enhance teaching, curricular coherence, assessment quality, and faculty instructional effectiveness. Embedding CLT across these domains can improve learning efficiency, reduce unnecessary cognitive burden, and support the development of adaptive, practice-ready pharmacists.</t>
  </si>
  <si>
    <t>Islam, Mohammed A.; Yang, Suhui; Kim, Lauren; Talukder, Rahmat M.</t>
  </si>
  <si>
    <t>Islam, MA (corresponding author), Amer Univ Hlth Sci, Sch Pharm, Signal Hill, CA 90755 USA.</t>
  </si>
  <si>
    <t>mislam@auhs.edu</t>
  </si>
  <si>
    <t>[Islam, Mohammed A.; Yang, Suhui; Kim, Lauren] Amer Univ Hlth Sci, Sch Pharm, Signal Hill, CA 90755 USA; [Talukder, Rahmat M.] Univ Texas Tyler, Ben &amp; Maytee Fisch Coll Pharm, Tyler, TX USA</t>
  </si>
  <si>
    <t>Applying Cognitive Load Theory to Best Practices in Pharmacy Education: A Narrative Review</t>
  </si>
  <si>
    <t>AMERICAN JOURNAL OF PHARMACEUTICAL EDUCATION</t>
  </si>
  <si>
    <t>Cognitive load theory; Pharmacy education; Instructional design; Faculty development; Assessment</t>
  </si>
  <si>
    <t>INSTRUCTIONAL-DESIGN; ARCHITECTURE; DIFFICULT</t>
  </si>
  <si>
    <t>104</t>
  </si>
  <si>
    <t>0002-9459</t>
  </si>
  <si>
    <t>1553-6467</t>
  </si>
  <si>
    <t>AM J PHARM EDUC</t>
  </si>
  <si>
    <t>Am. J. Pharm. Educ.</t>
  </si>
  <si>
    <t>OCT 2026</t>
  </si>
  <si>
    <t>90</t>
  </si>
  <si>
    <t>102060</t>
  </si>
  <si>
    <t>10.1016/j.ajpe.2026.102060</t>
  </si>
  <si>
    <t>http://dx.doi.org/10.1016/j.ajpe.2026.102060</t>
  </si>
  <si>
    <t>Education, Scientific Disciplines; Pharmacology &amp; Pharmacy</t>
  </si>
  <si>
    <t>Education &amp; Educational Research; Pharmacology &amp; Pharmacy</t>
  </si>
  <si>
    <t>MW1FT</t>
  </si>
  <si>
    <t>42526836</t>
  </si>
  <si>
    <t>WOS:001852286600001</t>
  </si>
  <si>
    <t>Rebollo-Giménez, AI; La Bella, S; Matucci-Cerinic, C; García-Alija, A; Gattorno, M; Alongi, A; Ruperto, N</t>
  </si>
  <si>
    <t>Multimodal artificial intelligence (AI) is an emerging domain comprising a set of tools with potential clinical relevance in paediatric rheumatology, a field characterised by rare, heterogeneous diseases and diagnostic delays. This narrative review synthesises current evidence on how multimodal and fair AI could reshape diagnosis, monitoring, and treatment for children with rheumatic diseases, while examining the risks of exacerbating existing inequities. Complex architectures fuse clinical data, laboratory parameters, imaging, omics profiles, and wearable signals into dynamic 'digital phenotypes' capable of predicting flares, treatment response, and long-term outcomes. Explainable AI approaches render high-capacity models more actionable and trustworthy. Large language models can translate complex clinical information into family-centred plain language; however, a human-in-the-loop approach remains essential to limit hallucinations, omissions, and confidentiality breaches. Bias accumulation across the AI lifecycle demands equity-centred design. Emerging ethical, methodological, and regulatory frameworks should guide responsible adoption, outlining a roadmap toward a more equitable future for children with rheumatic diseases worldwide.</t>
  </si>
  <si>
    <t>Rebollo-Gimenez, Ana Isabel; La Bella, Saverio; Matucci-Cerinic, Caterina; Garcia-Alija, Asier; Gattorno, Marco; Alongi, Alessandra; Ruperto, Nicolino</t>
  </si>
  <si>
    <t>Rebollo-Giménez, AI (corresponding author), Gregorio Maranon Univ Hosp, Gregorio Maranon Hlth Res Inst IiSGM, Dept Rheumatol, Madrid, Spain.</t>
  </si>
  <si>
    <t>ana.rebollogimenez@gmail.co</t>
  </si>
  <si>
    <t>[Rebollo-Gimenez, Ana Isabel] Gregorio Maranon Univ Hosp, Gregorio Maranon Hlth Res Inst IiSGM, Dept Rheumatol, Madrid, Spain; [La Bella, Saverio; Alongi, Alessandra; Ruperto, Nicolino] Univ Milano Bicocca, Dipartimento Med &amp; Chirurg, Milan, Italy; [Matucci-Cerinic, Caterina; Gattorno, Marco] IRCCS Ist Giannina Gaslini, Rheumatol &amp; Autoinflammatory Dis, Genoa, Italy; [Garcia-Alija, Asier] Univ Autonoma Barcelona, Hosp Santa Creu i Sant Pau, Biomed Res Inst IIB Sant Pau, Rheumatol Dept, Barcelona, Spain; [Ruperto, Nicolino] Fdn IRCCS San Gerardo Tintori, SC Reumatol Pediat, Monza, Italy</t>
  </si>
  <si>
    <t>Paediatric Rheumatology International Trials Organisation PRINTO; Pediatric Rheumatology Associated Grp Milan Lombardy Area PRAGMA</t>
  </si>
  <si>
    <t>Multimodal and fair artificial intelligence in paediatric rheumatology: challenges and opportunities for a holistic and equitable future</t>
  </si>
  <si>
    <t>CURRENT OPINION IN IMMUNOLOGY</t>
  </si>
  <si>
    <t>CURRENT BIOLOGY LTD</t>
  </si>
  <si>
    <t>LONDON</t>
  </si>
  <si>
    <t>84 THEOBALDS RD, LONDON WC1X 8RR, ENGLAND</t>
  </si>
  <si>
    <t>0952-7915</t>
  </si>
  <si>
    <t>1879-0372</t>
  </si>
  <si>
    <t>CURR OPIN IMMUNOL</t>
  </si>
  <si>
    <t>Curr. Opin. Immunol.</t>
  </si>
  <si>
    <t>102835</t>
  </si>
  <si>
    <t>10.1016/j.coi.2026.102835</t>
  </si>
  <si>
    <t>http://dx.doi.org/10.1016/j.coi.2026.102835</t>
  </si>
  <si>
    <t>Immunology</t>
  </si>
  <si>
    <t>MU3EN</t>
  </si>
  <si>
    <t>42600230</t>
  </si>
  <si>
    <t>WOS:001851054500001</t>
  </si>
  <si>
    <t>Boutos, P; Rogers, J; Kouvela, E; Voulgaris, G; Thaker, S; Tsoulfas, G</t>
  </si>
  <si>
    <t>Introduction: Artificial intelligence (AI) is increasingly recognized as a transformative paradigm within transplantation medicine, offering advanced computational approaches capable of integrating heterogeneous clinical, biological, imaging, and molecular datasets to improve predictive accuracy and decision-making. Liver transplantation represents a uniquely complex clinical domain characterized by high-dimensional data, nonlinear interactions among risk factors, and critical time-dependent decision processes, thereby providing an ideal context for AI-enabled analytics. Methods: The objective of this systematic review was to critically synthesize current evidence regarding AI applications in liver transplantation, with emphasis on data modalities, algorithmic methodologies, targeted clinical outcomes, validation strategies, and reported performance metrics. A comprehensive search of MEDLINE, Scopus, and the Cochrane Library identified 1045 records following duplicate removal and automated filtering. Results: After screening and eligibility assessment, 65 studies met the inclusion criteria. Laboratory data represented the most frequently utilized input (n = 35), followed by clinical (n = 28), demographic (n = 19), imaging (n = 13), and genetic or molecular data (n = 5), with several studies employing multimodal integration. Deep-learning architectures and neural network-based approaches predominated, with additional contributions from ensemble learning methods and conventional machine-learning algorithms. Across multiple clinical domains &amp; horbar;including diagnostic classification, prognostic modeling, graft survival prediction, and treatment optimization &amp; horbar;AI systems demonstrated high predictive performance, frequently surpassing traditional risk stratification tools such as model for end-stage liver disease and Survival Outcomes Following Liver Transplantation scores. Imaging-based</t>
  </si>
  <si>
    <t>Boutos, Panagiotis; Rogers, James; Kouvela, Efthymia; Voulgaris, Grigorios; Thaker, Sarang; Tsoulfas, Georgios</t>
  </si>
  <si>
    <t>Boutos, P (corresponding author), Aristotle Univ Thessaloniki, Sch Med, Ctr Res &amp; Innovat Solid Organ Transplantat, Dept Transplantat Surg, Gravias 40, Thessaloniki 54645, Kentriki Makedo, Greece.</t>
  </si>
  <si>
    <t>pgmpoutos@gmail.com</t>
  </si>
  <si>
    <t>[Boutos, Panagiotis; Tsoulfas, Georgios] Aristotle Univ Thessaloniki, Sch Med, Ctr Res &amp; Innovat Solid Organ Transplantat, Dept Transplantat Surg, Gravias 40, Thessaloniki 54645, Kentriki Makedo, Greece; [Rogers, James] Vanderbilt Univ, Sch Med, US Army, Hlth Profess Scholarship Program HPSP, Nashville, TN USA; [Kouvela, Efthymia] Hellen Natl Hlth Syst, Primary Hlth Care Ctr Ios, Hlth Reg Piraeus &amp; Aegean Isl Cyclades 2, Athens, Greece; [Voulgaris, Grigorios] Aristotle Univ Thessaloniki AUTH, Ctr Interdisciplinary Res &amp; Innovat CIRI, Balkan Ctr, Ctr Orthopaed &amp; Regenerat Med CORE, Thessaloniki, Greece; [Thaker, Sarang] Northwestern Univ, Feinberg Sch Med, Dept Radiol, Chicago, IL USA; [Thaker, Sarang] St Jude Childrens Res Hosp, Dept Diagnost Imaging, Memphis, TN USA</t>
  </si>
  <si>
    <t>Artificial Intelligence in Liver Transplantation: A Systematic Review</t>
  </si>
  <si>
    <t>JOURNAL OF SURGICAL RESEARCH</t>
  </si>
  <si>
    <t>Artificial intelligence; Clinical decision support; Graft survival; Liver transplantation; Machine learning; Precision medicine; Predictive analytics; Transplant outcomes</t>
  </si>
  <si>
    <t>HEALTH-CARE; MACHINE; SURVIVAL; SCORE; MODEL</t>
  </si>
  <si>
    <t>ACADEMIC PRESS INC ELSEVIER SCIENCE</t>
  </si>
  <si>
    <t>SAN DIEGO</t>
  </si>
  <si>
    <t>525 B ST, STE 1900, SAN DIEGO, CA 92101-4495 USA</t>
  </si>
  <si>
    <t>0022-4804</t>
  </si>
  <si>
    <t>1095-8673</t>
  </si>
  <si>
    <t>J SURG RES</t>
  </si>
  <si>
    <t>J. Surg. Res.</t>
  </si>
  <si>
    <t>326</t>
  </si>
  <si>
    <t>786</t>
  </si>
  <si>
    <t>793</t>
  </si>
  <si>
    <t>10.1016/j.jss.2026.07.039</t>
  </si>
  <si>
    <t>http://dx.doi.org/10.1016/j.jss.2026.07.039</t>
  </si>
  <si>
    <t>MU4NL</t>
  </si>
  <si>
    <t>42600429</t>
  </si>
  <si>
    <t>WOS:001851145700001</t>
  </si>
  <si>
    <t>Al Hinai, A; Al-Maliki, RM; Meskher, H; Bassim, S</t>
  </si>
  <si>
    <t>Green nanotechnology offers a sustainable and highly promising alternative for the biosynthesis of nanoparticles (NPs) tailored for advanced drug delivery systems, leveraging plant and microbial extracts due to their high biocompatibility and low systemic toxicity. However, the transition of these biogenic platforms from laboratory proof-of-concept to clinical-grade therapeutics is fundamentally bottlenecked by raw material heterogeneity, poor batch-to-batch reproducibility, a lack of process standardization, and the unpredictable clinical efficacy of the passive enhanced permeability and retention (EPR) effect. To address these systemic barriers, this review provides a critical translational analysis reframed around advanced computational engineering and digital design paradigms. We introduce a comparative Translation Readiness Matrix that evaluates six major green nano-particle platforms across six distinct clinical criteria, systematically isolating current safety and regulatory gaps. Crucially, this review explores the paradigm shift driven by the integration of Artificial Intelligence (AI) and Quality by Digital Design (QbDD) frameworks. We evaluate how machine learning architectures optimize high-dimensional formulation spaces, how graph neural networks predict protein corona dynamics, and how predictive modeling enhances patient stratification to mitigate EPR variability. Furthermore, we analyze advanced fabrication methodologies, specifically microfluidics, continuous flow synthesis, and real-time AI-integrated quality control that stabilize hydrodynamic synthesis environments and transition manufacturing from empirical batch optimization to continuous quality assurance. By linking biogenic synthesis with intelligent digital architectures, this review delivers a definitive engineering blueprint to transform green nanoparticles from fragmented laboratory concepts into reproducible, regulatory-compliant industrial realities.</t>
  </si>
  <si>
    <t>Al Hinai, Abdulhakim; Al-Maliki, Raghad M.; Meskher, Hicham; Bassim, Shahnaz</t>
  </si>
  <si>
    <t>Al Hinai, A (corresponding author), Univ Nizwa, Dept Chem &amp; Petrochem Engn, Nizwa 616, Oman.</t>
  </si>
  <si>
    <t>abdulhakim.alhinai@unizwa.edu.om</t>
  </si>
  <si>
    <t>[Al Hinai, Abdulhakim] Univ Nizwa, Dept Chem &amp; Petrochem Engn, Nizwa 616, Oman; [Al Hinai, Abdulhakim] Univ Manchester, Dept Chem Engn, Manchester M13 9PL, England; [Al-Maliki, Raghad M.] Minist Oil Iraq, Oil Explorat Co, Port Said St, Baghdad 10064, Iraq; [Meskher, Hicham] Shantou Univ, Dept Chem, Key Lab Preparat &amp; Applicat Ordered Struct Mat Gua, Shantou, Peoples R China; [Bassim, Shahnaz] Univ Technol Iraq, Coll Engn Oil &amp; Gas, Baghdad 10066, Iraq</t>
  </si>
  <si>
    <t>University of Nizwa; University of Manchester; University of Technology- Iraq</t>
  </si>
  <si>
    <t>Green nanoparticles in drug delivery: Translational challenges and AI solutions</t>
  </si>
  <si>
    <t>NEXT MATERIALS</t>
  </si>
  <si>
    <t>Green nanotechnology; Drug delivery; Artificial intelligence; Quality by Digital Design (QbDD); Pharmaceutical manufacturing; Clinical translation</t>
  </si>
  <si>
    <t>GOLD NANOPARTICLES; OXIDE NANOPARTICLES; PLANT-EXTRACTS; ANTIBACTERIAL; SILVER; BIOSYNTHESIS; NANOMEDICINE; ANTIOXIDANT; MECHANISMS</t>
  </si>
  <si>
    <t>229</t>
  </si>
  <si>
    <t>2949-8228</t>
  </si>
  <si>
    <t>NEXT MATER</t>
  </si>
  <si>
    <t>Next Mater.</t>
  </si>
  <si>
    <t>103081</t>
  </si>
  <si>
    <t>10.1016/j.nxmate.2026.103081</t>
  </si>
  <si>
    <t>http://dx.doi.org/10.1016/j.nxmate.2026.103081</t>
  </si>
  <si>
    <t>Chemistry, Multidisciplinary; Materials Science, Multidisciplinary</t>
  </si>
  <si>
    <t>MS2FA</t>
  </si>
  <si>
    <t>WOS:001849627700001</t>
  </si>
  <si>
    <t>Balakrishnan, J; Kannan, S; Vijayakumar, K; Nair, V</t>
  </si>
  <si>
    <t>The human gut microbiome is a metabolically active ecosystem that generates thousands of bioactive molecules regulating host immunity, metabolism, neurobiology, and disease susceptibility. Engineered nanoparticles (NPs) including lipid-based, polymeric, metallic, carbon-based, silica-based, and dendritic architectures have emerged not merely as passive drug carriers, but as active modulators of this complex microbial metabolic environment. This review critically examines how NP physicochemical properties (size, surface charge, surface chemistry, and composition) define interactions with the gut microbiome and drive downstream metabolomic consequences. We evaluate state-of-the-art analytical platforms including LC-MS/MS, GC-MS, 1H-NMR, shotgun metagenomics, and spatial metabolomics that enable unprecedented resolution of NP-induced metabolomic reprogramming. Therapeutic applications of precision NP systems are discussed across inflammatory bowel disease, colorectal cancer, type 2 diabetes, obesity, and gut-brain axis-mediated neuropsychiatric disorders. We further critically assess biosafety considerations, regulatory frameworks, and the transformative potential of artificial intelligence and machine learning in decoding NP-microbiome-metabolome interaction networks. The NP Metabolomic Modulation (NP-MM) framework proposed here integrates mechanistic principles, analytical recognition, therapeutic application, and regulatory management, providing a comprehensive roadmap for engineering nextgeneration NPs as precision microbiome modulators with far-reaching implications for translational medicine and personalized therapy. Unlike prior reviews that have examined nanoparticle-microbiome interactions, nanomedicine-microbiome science, or nanomaterial gut toxicology as separate literatures, this review is distinguished by its integration of mechanistic, analytical, therapeutic, and regulatory perspectives into a single NP-MM framework. The evidence synthesised here is derived predominantly from in vitro and preclinical animal studies, with clinical validation in humans still limited; conclusions regarding precision microbiome modulation should therefore be read as hypothesis-generating rather than clinically established.</t>
  </si>
  <si>
    <t>Balakrishnan, Jeyakumar; Kannan, Suganya; Vijayakumar, Kalidass; Nair, Vijayakumar</t>
  </si>
  <si>
    <t>Balakrishnan, J (corresponding author), Vinayaka Missions Res Fdn DU, Vinayaka Missions Med Coll &amp; Hosp, Cent Res Lab Biomed Res, Pondicherry 609609, India.</t>
  </si>
  <si>
    <t>drjeyakumar18591@vmmckkl.edu.in</t>
  </si>
  <si>
    <t>Central Research Laboratory for Biomedical Research, Vinayaka Mission's Medical College and Hospital</t>
  </si>
  <si>
    <t>The authors wish to acknowledge the Central Research Laboratory for Biomedical Research, Vinayaka Mission's Medical College and Hospital, Vinayaka Mission's Research Foundation (DU) , Karaikal, for providing the institutional support necessary for this work.</t>
  </si>
  <si>
    <t>[Balakrishnan, Jeyakumar; Kannan, Suganya; Vijayakumar, Kalidass] Vinayaka Missions Res Fdn DU, Vinayaka Missions Med Coll &amp; Hosp, Cent Res Lab Biomed Res, Pondicherry 609609, India; [Nair, Vijayakumar] Vinayaka Missions Res Fdn DU, Vinayaka Missions Med Coll &amp; Hosp, Dept Forens Med, Pondicherry 609609, India</t>
  </si>
  <si>
    <t>Vinayaka Mission's Research Foundation; Vinayaka Mission's Medical College &amp; Hospital; Vinayaka Mission's Research Foundation; Vinayaka Mission's Medical College &amp; Hospital</t>
  </si>
  <si>
    <t>Engineered nanoparticles as precision modulators of gut microbial metabolomics - A comprehensive review</t>
  </si>
  <si>
    <t>Nanoparticles; Gut Microbiome; Metabolomics; Dysbiosis; Drug Delivery; Precision Medicine; Neuropsychiatric Disorders</t>
  </si>
  <si>
    <t>QUORUM SENSING INHIBITORS; DRUG-DELIVERY; METABOLISM; BACTERIA; OBESITY; HEALTH; ACIDS</t>
  </si>
  <si>
    <t>103125</t>
  </si>
  <si>
    <t>10.1016/j.nxmate.2026.103125</t>
  </si>
  <si>
    <t>http://dx.doi.org/10.1016/j.nxmate.2026.103125</t>
  </si>
  <si>
    <t>MQ7QG</t>
  </si>
  <si>
    <t>WOS:001848640000001</t>
  </si>
  <si>
    <t>Oliveira, CC; Jongen, CAM; Mikolic, A; Incrocci, L; Lingsma, HF; Roobol, MJ; Korfage, I; Heemsbergen, WD; van Klaveren, D</t>
  </si>
  <si>
    <t>Background: Predicting risks of urinary, bowel, sexual, and other adverse effects following prostate cancer curative radiotherapy (PCa-RT) is essential for treatment personalization and patient counseling. Several clinical prediction models (CPMs) have been published; however, their methodological quality remains unclear. Methods: We systematically reviewed studies developing or validating CPMs for adverse events after PCa-RT. Embase and Medline were searched for CPM studies for patient- or clinician-reported outcomes (PROs/ClinROs), published between January 1, 2004, and August 6, 2024. To focus the appraisal on methodologically more robust models, models were pre-selected based on events per variable &gt;= 10 or the reporting of optimism-corrected performance metrics or effect estimates. We appraised models based on performance and ROB, using a six-item short form of the Prediction model Risk Of Bias ASsessment Tool (SF-PROBAST). Results: Of 3606 records screened, 136 CPM studies were identified, and 35 were included, yielding 107 CPMs. Most models (n = 87) were developed in external beam radiation therapy populations. 22 models were externally validated. Only two models (AUC= 0.59 and 0.80) - developed in two different studies - were classified as low risk of bias (fulfilled all the SF-PROBAST criteria). 32 models, from 13 studies, met at least four SF-PROBAST criteria and showed at least moderate discrimination (AUC &gt;= 0.70) at internal (n = 25) and/or external (n = 11) validation. Conclusion: Ready-to-use CPMs in PCa-RT remain scarce due to methodological limitations, miscalibration, and lack of external validation. Future efforts should prioritize validation and refinement of existing models rather than development of new ones.</t>
  </si>
  <si>
    <t>Oliveira, Claudia Cruz; Jongen, Christian A. M.; Mikolic, Ana; Incrocci, Luca; Lingsma, Hester F.; Roobol, Monique J.; Korfage, Ida; Heemsbergen, Wilma D.; van Klaveren, David</t>
  </si>
  <si>
    <t>Oliveira, CC (corresponding author), Erasmus MC Univ, Med Ctr, Dept Publ Hlth, Dr Molewaterpl 40, NL-3015 GD Rotterdam, Rotterdam, Netherlands.</t>
  </si>
  <si>
    <t>c.cruzoliveira@erasmusmc.nl</t>
  </si>
  <si>
    <t>European Union [101057332]; Innovate UK Horizon Europe Guarantee Programme [10041120]; UKRI [10041120]</t>
  </si>
  <si>
    <t>European Union (European Union (EU)); Innovate UK Horizon Europe Guarantee Programme; UKRI</t>
  </si>
  <si>
    <t>CCO and DvK are funded by the European Union under Horizon Europe Work Programme 101057332. Views and opinions expressed are however those of the author (s) only and do not necessarily reflect those of the European Union or the European Health and Digital Executive Agency (HaDEA). Neither the European Union nor the granting authority can be held responsible for them. The UK team are funded under the Innovate UK Horizon Europe Guarantee Programme, UKRI Reference Number: 10041120.</t>
  </si>
  <si>
    <t>[Oliveira, Claudia Cruz; Mikolic, Ana; Lingsma, Hester F.; Korfage, Ida; van Klaveren, David] Erasmus MC Univ, Med Ctr, Dept Publ Hlth, Dr Molewaterpl 40, NL-3015 GD Rotterdam, Rotterdam, Netherlands; [Jongen, Christian A. M.; Incrocci, Luca; Heemsbergen, Wilma D.] Erasmus Univ, Erasmus MC Canc Inst, Med Ctr, Dept Radiotherapy, Rotterdam, Netherlands; [Roobol, Monique J.] Univ Med Ctr Rotterdam, Erasmus MC Canc Inst, Dept Urol, Rotterdam, Netherlands</t>
  </si>
  <si>
    <t>Erasmus University Rotterdam - Excl Erasmus MC; Erasmus University Rotterdam; Erasmus MC; Erasmus MC Cancer Institute; Erasmus University Rotterdam; Erasmus MC; Erasmus MC Cancer Institute</t>
  </si>
  <si>
    <t>4D PICTURE Consortium</t>
  </si>
  <si>
    <t>Prediction models for adverse events from prostate cancer curative radiotherapy: a systematic review of methodological quality</t>
  </si>
  <si>
    <t>TRANSLATIONAL ONCOLOGY</t>
  </si>
  <si>
    <t>Prostate cancer; Radiotherapy; Complications; Radiation injuries; NTCP; Statistical models; Machine learning</t>
  </si>
  <si>
    <t>PATIENT-REPORTED OUTCOMES; INTENSITY-MODULATED RADIOTHERAPY; COMPLICATION PROBABILITY-MODELS; ACUTE URINARY RETENTION; RADIATION-THERAPY; EXTERNAL VALIDATION; PRETREATMENT NOMOGRAM; MULTIVARIABLE MODELS; INTESTINAL TOXICITY; ERECTILE FUNCTION</t>
  </si>
  <si>
    <t>105</t>
  </si>
  <si>
    <t>1936-5233</t>
  </si>
  <si>
    <t>TRANSL ONCOL</t>
  </si>
  <si>
    <t>Transl. Oncol.</t>
  </si>
  <si>
    <t>102961</t>
  </si>
  <si>
    <t>10.1016/j.tranon.2026.102961</t>
  </si>
  <si>
    <t>http://dx.doi.org/10.1016/j.tranon.2026.102961</t>
  </si>
  <si>
    <t>MO7NP</t>
  </si>
  <si>
    <t>42570550</t>
  </si>
  <si>
    <t>WOS:001847280400001</t>
  </si>
  <si>
    <t>Ye, XJ; Zha, TF; Xie, X; Xu, Y; Mei, L; Zhang, R; Wang, ZY; Chen, QM</t>
  </si>
  <si>
    <t>Objectives: Oral medicine is an interdisciplinary field that focuses on non-odontogenic diseases. The emergence of artificial intelligence (AI) offers new opportunities to strengthen human perceptual, cognitive, and operational capacities. This review aims to provide clinicians and researchers with an explanatory, practical, and accessible overview of AI in oral medicine. Methods: This review synthesizes recent findings identified through structured online searches. Subtopics related to AI technologies in oral medicine were categorized into four areas: image recognition, decision-making support, therapy collaboration, and existing challenges. Particular emphasis was placed on oral mucosal diseases, oral cancer, and orofacial pain. Results: AI enhances clinical workflows by achieving high-accuracy lesion detection, segmentation, and classification from diverse image types. It enables data-driven diagnosis, risk stratification, and prognosis prediction. Furthermore, AI facilitates precise surgical planning, real-time guidance, and personalized postoperative management. Conclusions: AI is poised to transform Oral Medicine into an intelligence-augmented discipline. However, its full clinical integration requires overcoming challenges related to data quality, algorithmic robustness, ethical governance, and the need for robust clinical validation. (c) 2026 The Authors. Published by Elsevier Inc. on behalf of FDI World Dental Federation. This is an open access article under the CC BY license (http://creativecommons.org/licenses/by/4.0/)</t>
  </si>
  <si>
    <t>Ye, Xinjian; Zha, Tingfeng; Xie, Xun; Xu, Yi; Mei, Li; Zhang, Rui; Wang, Zhiyong; Chen, Qianming</t>
  </si>
  <si>
    <t>Zhang, R; Wang, ZY (corresponding author), Zhejiang Univ, Stomatol Hosp, Sch Stomatol, Sch Med, 166 Qiutao Rd, Hangzhou 310029, Peoples R China.</t>
  </si>
  <si>
    <t>zhangrui46@zju.edu.cn; wzy0809@zju.edu.cn</t>
  </si>
  <si>
    <t>R&amp;D Program of China [2022YFC2402900]; Department of Science and Technology of Zhejiang Province [2024ZY01032, 2024C03193]</t>
  </si>
  <si>
    <t>R&amp;D Program of China; Department of Science and Technology of Zhejiang Province</t>
  </si>
  <si>
    <t>This work was supported by the National Natural Science Foundation of China (No. 82370952, 82330029) , National Key</t>
  </si>
  <si>
    <t>[Ye, Xinjian; Zha, Tingfeng; Xie, Xun; Xu, Yi; Zhang, Rui; Wang, Zhiyong; Chen, Qianming] Zhejiang Univ, Stomatol Hosp,Sch Med,Key Lab Oral Biomed Res Zhej, Zhejiang Prov Clin Res Ctr Oral Dis,Sch Stomatol, Canc Ctr,Engn Res Ctr Oral Biomat &amp; Devices Zhejia, Hangzhou, Peoples R China; [Ye, Xinjian] Harvard Sch Dent Med, Dept Dev Biol, Boston, MA USA; [Mei, Li] Univ Otago, Fac Dent, Dept Oral Sci, Dunedin, New Zealand</t>
  </si>
  <si>
    <t>Zhejiang University; Harvard University; University of Otago</t>
  </si>
  <si>
    <t>Artificial Intelligence Meets Oral Medicine: Extending the Capabilities of Human Intelligence</t>
  </si>
  <si>
    <t>INTERNATIONAL DENTAL JOURNAL</t>
  </si>
  <si>
    <t>Artificial intelligence; Deep learning; Oral medicine; Oral disease</t>
  </si>
  <si>
    <t>CANCER; PERFORMANCE; DIAGNOSIS</t>
  </si>
  <si>
    <t>0020-6539</t>
  </si>
  <si>
    <t>1875-595X</t>
  </si>
  <si>
    <t>INT DENT J</t>
  </si>
  <si>
    <t>Int. Dent. J.</t>
  </si>
  <si>
    <t>109798</t>
  </si>
  <si>
    <t>10.1016/j.identj.2026.109798</t>
  </si>
  <si>
    <t>http://dx.doi.org/10.1016/j.identj.2026.109798</t>
  </si>
  <si>
    <t>MK1CE</t>
  </si>
  <si>
    <t>42556100</t>
  </si>
  <si>
    <t>WOS:001844135000002</t>
  </si>
  <si>
    <t>Jiang, JL; Tu, XY; Cao, Y; Yan, Q; Sai, B; Ma, J</t>
  </si>
  <si>
    <t>The tumor immune microenvironment plays a decisive role in tumor initiation, progression and therapeutic response. Spatial transcriptomics (ST) enables comprehensive analysis of the whole transcriptome or specific gene sets while preserving the original spatial location information within tissues, offering a revolutionary approach to unraveling the complexity of the tumor immune microenvironment in the spatial dimension. The present review aims to systematically elaborate on the role and application of ST in deciphering the tumor immune microenvironment. Focusing on tumor microenvironment niches at different stages of tumor progression, from precancerous lesions and locally advanced tumors to distant metastasis, recent advances in ST for mapping the spatial distribution and functional states of key cell subpopulations are summarized. The present review further highlights its potential for clinical translation in identifying spatially defined biomarkers and elucidating the mechanisms underlying therapeutic responses and analyze the key technical challenges that constrain the application of ST in clinical practice. In recent years, the rapid development of machine learning algorithms has provided new opportunities to overcome the technical limitations of ST. The deep integration of machine learning with ST is laying a solid theoretical foundation and technical support for precision medicine and early intervention.</t>
  </si>
  <si>
    <t>Jiang, Jialin; Tu, Xinyu; Cao, Yi; Yan, Qun; Sai, Buqing; Ma, Jian</t>
  </si>
  <si>
    <t>Ma, J (corresponding author), Cent South Univ, Hunan Canc Hosp, Affiliated Canc Hosp, Hunan Key Lab Canc Metab,Xiangya Sch Med, 283 Tongzipo Rd, Changsha 410013, Hunan, Peoples R China.; Sai, B (corresponding author), Kunming Med Univ, Sch Basic Med, Dept Biochem &amp; Mol Biol, 1168 Chunrongxi Rd, Kunming 650500, Yunnan, Peoples R China.</t>
  </si>
  <si>
    <t>majian@csu.edu.cn; saibuqing@kmmu.edu.cn</t>
  </si>
  <si>
    <t>National Natural Science Foundation of china [82472701]</t>
  </si>
  <si>
    <t>National Natural Science Foundation of china (National Natural Science Foundation of China (NSFC))</t>
  </si>
  <si>
    <t>The present review was supported by National Natural Science Foundation of china (grant no. 82472701).</t>
  </si>
  <si>
    <t>[Jiang, Jialin; Tu, Xinyu; Cao, Yi; Ma, Jian] Cent South Univ, Hunan Canc Hosp, Affiliated Canc Hosp, Hunan Key Lab Canc Metab,Xiangya Sch Med, 283 Tongzipo Rd, Changsha 410013, Hunan, Peoples R China; [Jiang, Jialin; Tu, Xinyu; Cao, Yi; Ma, Jian] Cent South Univ, Canc Res Inst, Xiangya Sch Basic Med Sci, Changsha 410078, Hunan, Peoples R China; [Jiang, Jialin; Tu, Xinyu; Cao, Yi; Ma, Jian] Chinese Minist Educ, Key Lab Carcinogenesis &amp; Canc Invas, NHC Key Lab Carcinogenesis, Hunan Key Lab Nonresolving Inflammat &amp; Canc, Changsha 410078, Hunan, Peoples R China; [Yan, Qun] Cent South Univ, Xiangya Hosp, Dept Clin Lab, Changsha 410008, Hunan, Peoples R China; [Sai, Buqing] Kunming Med Univ, Sch Basic Med, Dept Biochem &amp; Mol Biol, 1168 Chunrongxi Rd, Kunming 650500, Yunnan, Peoples R China</t>
  </si>
  <si>
    <t>Central South University; Central South University; Central South University; Kunming Medical University</t>
  </si>
  <si>
    <t>Unveiling the role of spatial transcriptomics in the analysis of the tumor immune microenvironment (Review)</t>
  </si>
  <si>
    <t>INTERNATIONAL JOURNAL OF MOLECULAR MEDICINE</t>
  </si>
  <si>
    <t>spatial transcriptomics; tumor immune micro environment; machine learning; multi-omics analysis; personalized therapy</t>
  </si>
  <si>
    <t>SINGLE-CELL; GENE-EXPRESSION; PADLOCK PROBES; CANCER; TISSUE; SEQ; VISUALIZATION; GENOME</t>
  </si>
  <si>
    <t>197</t>
  </si>
  <si>
    <t>SPANDIDOS PUBL LTD</t>
  </si>
  <si>
    <t>ATHENS</t>
  </si>
  <si>
    <t>POB 18179, ATHENS, 116 10, GREECE</t>
  </si>
  <si>
    <t>1107-3756</t>
  </si>
  <si>
    <t>1791-244X</t>
  </si>
  <si>
    <t>INT J MOL MED</t>
  </si>
  <si>
    <t>Int. J. Mol. Med.</t>
  </si>
  <si>
    <t>269</t>
  </si>
  <si>
    <t>10.3892/ijmm.2026.5940</t>
  </si>
  <si>
    <t>http://dx.doi.org/10.3892/ijmm.2026.5940</t>
  </si>
  <si>
    <t>Medicine, Research &amp; Experimental</t>
  </si>
  <si>
    <t>Research &amp; Experimental Medicine</t>
  </si>
  <si>
    <t>MH3YU</t>
  </si>
  <si>
    <t>42535370</t>
  </si>
  <si>
    <t>WOS:001842291100001</t>
  </si>
  <si>
    <t>Bingöl, S; Baikoglu, SB; Hosseini, E; Sahin, BÖ; Tan, ÇT; Turan, E; Alimoradi, M; Alghosi, M</t>
  </si>
  <si>
    <t>Background: Early ACL injury risk identification in athletes is essential. This systematic review examines machine learning (ML) models for predicting ACL injuries, evaluating their methodological quality, performance, and reliability. Method: A comprehensive electronic search was conducted across PubMed, Scopus, Web of Science, and IEEE Xplore databases, supplemented by Google Scholar for grey literature, covering articles published between January 1, 2015, and August 30, 2025. Eligible studies were appraised using the Prediction Model Study Risk of Bias Assessment Tool (PROBAST) for methodological quality and risk of bias, and the Transparent Reporting of a Multivariable Prediction Model for Individual Prognosis or Diagnosis (TRIPOD) guidelines for quality of evidence. Results: Ten studies were included. PROBAST showed eight studies had moderate risk of bias and two low risk. TRIPOD found only two studies met quality criteria. ML models included logistic regression (n = 5), support vector machines (n = 4), k-nearest neighbor (n = 3), decision trees (n = 3), random forests (n = 5), neural networks (n = 2), linear discriminant analysis (n = 1), and pre-trained CNNs (n = 1). AUC ranged from 0.63 to 0.98. Accuracy (reported in six studies) ranged from 26% to 95%; however, these values should be interpreted with caution due to the absence of confidence intervals, lack of class imbalance handling, and limited external validation across studies. Tree-based ensemble methods such as random forest achieved competitive accuracy (74-86%), while SVM, a non-ensemble classifier, reported accuracy ranging from 71% to 95%; however, the highest values were obtained in studies with notably small sample sizes (n = 12 ton = 39), raising concerns about overfitting and generalizability. Conclusion: Current ML algorithms show promise for identifying athletes at high ACL injury risk and detecting relevant risk factors. Although study quality was generally satisfactory, future research should prioritize external validation and model interpretabil-ity to support clinical translation. (c) 2026 Elsevier B.V. All rights are reserved, including those for text and data mining, AI training, and similar technologies.</t>
  </si>
  <si>
    <t>Bingol, Sukru; Baikoglu, Selin Bicer; Hosseini, Elham; Sahin, Burcu Ozlukan; Tan, Cetin; Turan, Ersan; Alimoradi, Mohammad; Alghosi, Mohammad</t>
  </si>
  <si>
    <t>Alimoradi, M (corresponding author), Shahid Bahonar Univ Kerman, Fac Sports Sci, Dept Sports Injuries &amp; Correct Exercises, Kerman, Iran.</t>
  </si>
  <si>
    <t>malimoradisport@gmail.com</t>
  </si>
  <si>
    <t>[Bingol, Sukru] Hakkari Univ, Fac Sports Sci, Hakkari, Turkiye; [Hosseini, Elham; Alimoradi, Mohammad] Shahid Bahonar Univ Kerman, Fac Sports Sci, Dept Sports Injuries &amp; Correct Exercises, Kerman, Iran; [Sahin, Burcu Ozlukan] Avrasya Univ, Fac Sports Sci, Trabzon, Turkiye; [Tan, Cetin] Firat Univ, Fac Sports Sci, Dept Phys Educ &amp; Sports Teaching, Elazig, Turkiye; [Turan, Ersan] Hitit Univ, Fac Sports Sci, Forum, Turkiye; [Baikoglu, Selin Bicer] Istanbul Univ Cerrahpasa, Fac Sports Sci, Dept Coaching Educ, Istanbul, Turkiye; [Alimoradi, Mohammad] HERC Hlth Exercise &amp; Res Ctr, Dubai, U Arab Emirates; [Alghosi, Mohammad] Tech &amp; Vocat Univ TVU, Dept Phys Educ, Tehran, Iran</t>
  </si>
  <si>
    <t>Hakkari University; Shahid Bahonar University of Kerman (SBUK); Avrasya University; Firat University; Istanbul University</t>
  </si>
  <si>
    <t>Predicting ACL injury risk in athletes: A systematic review of machine learning-based models</t>
  </si>
  <si>
    <t>KNEE</t>
  </si>
  <si>
    <t>Machine learning; Wearable technology; Prediction models; Sport performance; Sports injury prevention</t>
  </si>
  <si>
    <t>CRUCIATE LIGAMENT INJURY; TOOL</t>
  </si>
  <si>
    <t>0968-0160</t>
  </si>
  <si>
    <t>1873-5800</t>
  </si>
  <si>
    <t>Knee</t>
  </si>
  <si>
    <t>104581</t>
  </si>
  <si>
    <t>10.1016/j.knee.2026.104581</t>
  </si>
  <si>
    <t>http://dx.doi.org/10.1016/j.knee.2026.104581</t>
  </si>
  <si>
    <t>Orthopedics; Sport Sciences; Surgery</t>
  </si>
  <si>
    <t>MC9NQ</t>
  </si>
  <si>
    <t>42531926</t>
  </si>
  <si>
    <t>WOS:001839274700001</t>
  </si>
  <si>
    <t>Islam, MM; Anik, MFH</t>
  </si>
  <si>
    <t>The sol-gel method has emerged as one of the most versatile bottom-up approaches for synthesizing metal oxide nanoparticles (MONPs), offering precise control over particle size, morphology, porosity, and crystallinity at relatively low processing temperatures. This review provides a comparative account of sol-gel synthesis strategies for ZnO, NiO, CuO, TiO2, and SnO(2)nanoparticles, highlighting how precursor chemistry, solvent systems, pH regulation, and calcination conditions govern nucleation kinetics, crystallite growth, and band gap modulation. Acidic environments consistently favor smaller crystallites (e.g., ZnO 5-21 nm, TiO(2)2.7-12 nm), while higher calcination temperatures enhance crystallinity but promote grain growth, reducing quantum confinement effects. ZnO and TiO(2)have been extensively studied, with well-established correlations between synthesis parameters and functional properties, whereas NiO, CuO, and SnO(2)remain comparatively underexplored. Band gap tunability is most pronounced in ZnO (2.26-3.76 eV), reflecting sensitivity to defect states and morphology, while NiO and SnO(2)exhibit relatively stable band gaps (similar to 3.6-4.0 eV). Beyond conventional processing, emerging directions include green synthesis, bio-based precursors, microwave-assisted gelation, and machine learning-driven optimization. By consolidating synthesis trends and oxide-specific divergences, this review underscores the need for standardized protocols and integrated characterization to advance sol-gel-derived nanomaterials for energy, photocatalysis, sensing, and biomedical applications.</t>
  </si>
  <si>
    <t>Islam, Md. Mozahidul; Anik, Md. Farhet Hossain</t>
  </si>
  <si>
    <t>Islam, MM (corresponding author), Noakhali Sci &amp; Technol Univ, Dept Appl Chem &amp; Chem Engn, Noakhali, Bangladesh.</t>
  </si>
  <si>
    <t>mozahidulpoyel.acce@gmail.com</t>
  </si>
  <si>
    <t>[Islam, Md. Mozahidul; Anik, Md. Farhet Hossain] Noakhali Sci &amp; Technol Univ, Dept Appl Chem &amp; Chem Engn, Noakhali, Bangladesh</t>
  </si>
  <si>
    <t>Noakhali Science &amp; Technology University (NSTU)</t>
  </si>
  <si>
    <t>Sol-gel synthesis of metal oxide nanoparticles: A review on ZnO, NiO, CuO, TiO2, and SnO2</t>
  </si>
  <si>
    <t>Sol-gel; Nanoparticles; Metal oxide; ZnO; TiO2; Band gap</t>
  </si>
  <si>
    <t>ENHANCED PHOTOCATALYTIC PERFORMANCE; THIN-FILMS; OPTICAL-PROPERTIES; GREEN SYNTHESIS; POTENTIAL APPLICATIONS; MECHANICAL-PROPERTIES; CHEMICAL-MODIFICATION; ELECTRICAL-PROPERTIES; PHASE-TRANSFORMATION; SILICA NANOPARTICLES</t>
  </si>
  <si>
    <t>102947</t>
  </si>
  <si>
    <t>10.1016/j.nxmate.2026.102947</t>
  </si>
  <si>
    <t>http://dx.doi.org/10.1016/j.nxmate.2026.102947</t>
  </si>
  <si>
    <t>MC6VB</t>
  </si>
  <si>
    <t>WOS:001839089500001</t>
  </si>
  <si>
    <t>Edo, GI; Ali, ABM; Ndudi, W; Oghroro, EEA; Jikah, AN; Yousif, E; Igbuku, UA; Onyibe, PN; Owheruo, JO; Essaghah, AEA; Ahmed, DS; Makia, RS; Umar, H; Alamiery, AA; Fuwape, IA</t>
  </si>
  <si>
    <t>Chitosan is a structurally versatile and functionally adaptable biopolymer that has attracted significant attention across pharmaceutical, biomedical, environmental, and food-related applications due to its biocompatibility, biodegradability, and intrinsic cationic nature. Despite extensive research, the field remains hindered by fragmentation of knowledge, inconsistency in material characterization, and limited integration of quantitative structure-property-function relationships necessary for predictive material design. This review addresses these challenges by adopting a structured and reproducible methodological framework to systematically evaluate chitosan research published between 2020 and 2025, drawing from major scientific databases and emphasizing studies that report well-defined molecular parameters alongside measurable functional outcomes. At the molecular level, the functional performance of chitosan is governed by key parameters such as degree of deacetylation, molecular weight, and substitution patterns, which collectively influence solubility, charge density, viscosity, crystallinity, and reactivity. This work critically examines how these intrinsic characteristics dictate physicochemical behaviour and necessitate targeted chemical or physical modifications to achieve application-specific performance. The review further provides a detailed analysis of industrial production pathways, comparing conventional chemical processing-characterized by high efficiency and scalability but associated with molecular degradation and environmental burden. This is alongside emerging biological and hybrid methods that offer improved molecular weight preservation, reduced toxicity, and enhanced sustainability, albeit with limitations in cost and scalability. In addition, the role of advanced physicochemical characterization techniques is highlighted as central to linking molecular structure with functional performance. Techniques such as Fourier transform infrared spectroscopy, nuclear magnetic resonance, gel permeation chromatography, zeta potential analysis, and dynamic light scattering enable precise determination of chemical composition, molecular weight distribution, surface charge, and particle behaviour. However, the absence of standardized protocols and inconsistent reporting across studies significantly limits reproducibility, comparability, and the development of robust predictive models. Critical research gaps are identified, including the lack of multivariate and non-linear analytical approaches, insufficient in vivo validation of chitosan systems, discrepancies between laboratory and clinical performance, and challenges in achieving controlled degradation and sustained functionality under physiological conditions. Furthermore, issues related to scalability, environmental sustainability, and regulatory standardization continue to impede industrial translation. Future research directions therefore emphasize the integration of systematic experimental datasets with computational modelling and machine learning approaches to establish predictive design frameworks, alongside the development of harmonized characterization standards, green manufacturing strategies, and comprehensive long-term biological evaluations. Overall, this review advances a transition from empirical and descriptive research toward a quantitative, reproducible, and mechanistically informed understanding of chitosan systems.By bridging molecular design, processing strategies, characterization techniques, and application performance, it provides a coherent foundation for the rational development and clinical translation of next-generation chitosan-based materials.</t>
  </si>
  <si>
    <t>Edo, Great Iruoghene; Ali, Ali B. M.; Ndudi, Winifred; Oghroro, Ephraim Evi Alex; Jikah, Agatha Ngukuran; Yousif, Emad; Igbuku, Ufuoma Augustina; Onyibe, Priscillia Nkem; Owheruo, Joseph Oghenewogaga; Essaghah, Arthur Efeoghene Athan; Ahmed, Dina S.; Makia, Raghda S.; Umar, Huzaifa; Alamiery, Ahmed A.; Fuwape, Ibiyinka Agboola</t>
  </si>
  <si>
    <t>Edo, GI (corresponding author), Southern Delta Univ, Fac Sci, Dept Chem, Ozoro, Nigeria.</t>
  </si>
  <si>
    <t>greatiruo@gmail.com</t>
  </si>
  <si>
    <t>[Edo, Great Iruoghene; Ndudi, Winifred; Oghroro, Ephraim Evi Alex; Igbuku, Ufuoma Augustina] Southern Delta Univ, Fac Sci, Dept Chem, Ozoro, Nigeria; [Yousif, Emad] Al Nahrain Univ, Coll Sci, Dept Chem, Baghdad, Iraq; [Ali, Ali B. M.] Univ Warith AlAnbiyaa, Adv Tech Coll, Karbala, Iraq; [Jikah, Agatha Ngukuran] Near East Univ, Fac Pharm, Dept Pharm, Nicosia, Cyprus; [Onyibe, Priscillia Nkem] George Brown Coll, Fac Art Design &amp; Informat Technol, Dept Hlth Informat, Toronto, ON, Canada; [Owheruo, Joseph Oghenewogaga] Southern Delta Univ, Fac Sci, Dept Food Sci &amp; Technol, Ozoro, Nigeria; [Essaghah, Arthur Efeoghene Athan] Southern Delta Univ, Fac Environm Sci, Dept Urban &amp; Reg Planning, Ozoro, Nigeria; [Ahmed, Dina S.] Middle Tech Univ, Polytech Coll Engn Specializat Baghdad, Dept Chem &amp; Petr Ind Engn Tech, Baghdad, Iraq; [Makia, Raghda S.] Al Nahrain Univ, Coll Biotechnol, Dept Plant Biotechnol, Baghdad, Iraq; [Umar, Huzaifa] Near East Univ, Irfan Suat Gunsel Operat Res Inst, TRNC Mersin 10, TR-99138 Nicosia, Turkiye; [Alamiery, Ahmed A.] Al Ayen Iraqi Univ, Al Ayen Sci Res Ctr, AUIQ, POB 64004, An Nasiriyah, Iraq; [Fuwape, Ibiyinka Agboola] Michael &amp; Cecilia Ibru Univ, Dept Phys, Ughelli North, Delta, Nigeria; [Fuwape, Ibiyinka Agboola] Fed Univ Technol Akure, Dept Phys, Akure, Ondo, Nigeria; [Umar, Huzaifa] SIMATS, Saveetha Sch Engn, Dept Pure &amp; Appl Math, Chennai 602105, Tamilnadu, India</t>
  </si>
  <si>
    <t>Al-Nahrain University; University of Warith Alanbiyaa; Near East University; George Brown College; Middle Technical University; Al-Nahrain University; Near East University; Al-Ayen University</t>
  </si>
  <si>
    <t>From molecular design to clinical translation: A critical and integrated review of chitosan structure-property performance relationships</t>
  </si>
  <si>
    <t>Chitosan; Structure-Property-Function Relationship; Degree of Deacetylation; Physicochemical Characterization; Biomedical Applications; Scalability; Regulatory Standardization</t>
  </si>
  <si>
    <t>DRUG-DELIVERY SYSTEMS</t>
  </si>
  <si>
    <t>UMAR, HUZAIFA/HTP-0223-2023; Al-Amiery, Ahmed/C-1520-2013; Jikah, Agatha/KBD-4541-2024; Essaghah, Arthur/OBO-0048-2025; Ahmed, Dina/AAF-8705-2019</t>
  </si>
  <si>
    <t>169</t>
  </si>
  <si>
    <t>102940</t>
  </si>
  <si>
    <t>10.1016/j.nxmate.2026.102940</t>
  </si>
  <si>
    <t>http://dx.doi.org/10.1016/j.nxmate.2026.102940</t>
  </si>
  <si>
    <t>MA0LS</t>
  </si>
  <si>
    <t>WOS:001837295000001</t>
  </si>
  <si>
    <t>Rahdar, A; Najafi, M; Shirzad, M; Ferreira, LFR</t>
  </si>
  <si>
    <t>The convergence of deep learning and nanomedicine, known as nano-intelligence, is redefining the landscape of medical imaging for precision diagnosis. Advances in nanotechnology have enabled the evolution of greatly sensitive and specific imaging agents like quantum dots, magnetic nanoparticles, and gold nanostructures, which substantially enhance contrast and target specificity across modalities such as positron emission tomography (PET), computed tomography (CT), and magnetic resonance imaging (MRI). These innovations generate extremely high-dimensional and heterogeneous datasets that pose analytical challenges beyond the capacity of conventional techniques. Deep learning models, specifically transformer-based architectures and convolutional neural networks (CNNs), offer powerful solutions through automated feature extraction, nuanced biomarker discovery, and multi-modal data integration. When combined with nanoparticle-mediated imaging, such approaches enable early disease detection, refined tumor characterization, and real-time monitoring of therapeutic responses. Case studies further demonstrate that nano-intelligent diagnostics enhance patient stratification, support adaptive therapy planning, and deliver significant improvements in diagnostic accuracy. This review examines recent advances at the interface of deep learning and nanomedicine, with particular attention to persistent challenges in data annotation, model interpretability, and clinical translation. The incorporation of nano-intelligence into medical imaging holds significant potential to deliver safer, more adaptive, and patientcentered diagnostic strategies, thereby contributing to the foundation of next-generation precision medicine.</t>
  </si>
  <si>
    <t>Rahdar, Abbas; Najafi, Mehrdad; Shirzad, Maryam; Ferreira, Luiz Fernando Romanholo</t>
  </si>
  <si>
    <t>Rahdar, A (corresponding author), Univ Zabol, Dept Phys, Zabol, Iran.; Najafi, M (corresponding author), Sharif Univ Technol, Dept Chem Engn, Tehran, Iran.; Shirzad, M (corresponding author), Mashhad Univ Med Sci, Pharmaceut Technol Inst, Nanotechnol Res Ctr, Mashhad, Iran.; Ferreira, LFR (corresponding author), Univ Catolica Brasilia, Grad Program Genom Sci &amp; Biotechnol, BR-71966700 Brasilia, Brazil.</t>
  </si>
  <si>
    <t>najafimehrdad1995@gmail.com; a.rahdar@uoz.ac.ir; shirzadm4001@gmail.com; luiz.romanholo@p.ucbbr</t>
  </si>
  <si>
    <t>[Rahdar, Abbas] Univ Zabol, Dept Phys, Zabol, Iran; [Najafi, Mehrdad] Sharif Univ Technol, Dept Chem Engn, Tehran, Iran; [Shirzad, Maryam] Mashhad Univ Med Sci, Pharmaceut Technol Inst, Nanotechnol Res Ctr, Mashhad, Iran; [Ferreira, Luiz Fernando Romanholo] Univ Catolica Brasilia, Grad Program Genom Sci &amp; Biotechnol, BR-71966700 Brasilia, Brazil</t>
  </si>
  <si>
    <t>Sharif University of Technology; Mashhad University of Medical Sciences</t>
  </si>
  <si>
    <t>From nanoparticles to nano-intelligence: deep learning-powered revolution in biomedical imaging</t>
  </si>
  <si>
    <t>Nano-intelligence; Deep Learning; Convolutional Neural Networks; Precision diagnostics</t>
  </si>
  <si>
    <t>QUANTUM DOTS; NEURAL-NETWORKS; DRUG-DELIVERY; CHALLENGES; DIAGNOSIS; PEPTIDE; NANOTECHNOLOGY</t>
  </si>
  <si>
    <t>Shirzad, Maryam/D-7169-2019; Rahdar, Abbas/S-1816-2019</t>
  </si>
  <si>
    <t>211</t>
  </si>
  <si>
    <t>102860</t>
  </si>
  <si>
    <t>10.1016/j.nxmate.2026.102860</t>
  </si>
  <si>
    <t>http://dx.doi.org/10.1016/j.nxmate.2026.102860</t>
  </si>
  <si>
    <t>MA0KD</t>
  </si>
  <si>
    <t>WOS:001837290900001</t>
  </si>
  <si>
    <t>Schmidt, J; Carter, AW; McGuire, A; Mossialos, E; van Kessel, R</t>
  </si>
  <si>
    <t>Background: Ambitious claims suggest AI could save $200-360 billion annually in US healthcare and &amp; euro;212 billion in Europe, though the empirical evidence base supporting these projections remains unclear. Objective: This systematic review seeks to synthesise the available economic evidence of AI technologies in healthcare and contextualise the available economic evidence against the broader policy expectations surrounding the economic impact of AI in healthcare. Methods: We searched MEDLINE, Embase, Global Health, PsycINFO, and Cochrane Central for scientific sources. The JBI dominance ranking matrix was used to compare and interpret the results of the included economic evaluations. Methodological quality was assessed using the JBI Critical Appraisal tool of Economic Evaluations and the CHEERS-AI reporting checklist. Results: We identified 16,430 academic records and 1,593 grey literature records, of which 91 records met the inclusion criteria, representing 98 unique evaluations. Of these, 36% demonstrate a clear health economic preference for the AI technology, which increased to 44% when only considering the 51 high-quality studies. AI interventions were mainly designed for healthcare providers, with ophthalmology and oncology being the most common. Conclusions: The high-quality studies show definite potential for positive cost-effectiveness and economic impact of AI technologies, though we cannot yet support the ambitious claims that AI technologies can translate to hundreds of billions in cost-savings. When combining our findings with those of randomised controlled trials evaluating AI technologies in clinical practice, it becomes evident that AI technologies frequently yield improvements in terms of clinical and economic outcomes or match the current standard of care.</t>
  </si>
  <si>
    <t>Schmidt, Jelena; Carter, Alexander W.; McGuire, Alistair; Mossialos, Elias; van Kessel, Robin</t>
  </si>
  <si>
    <t>van Kessel, R (corresponding author), London Sch Econ &amp; Polit Sci, Dept Hlth Policy, AI &amp; Digital Lab, LSE Hlth, London, England.; van Kessel, R (corresponding author), Maastricht Univ, Care &amp; Publ Hlth Res Inst, Dept Int Hlth, Maastricht, Netherlands.; van Kessel, R (corresponding author), Univ Potsdam, Hasso Plattner Inst, Digital Hlth Cluster, Potsdam, Germany.</t>
  </si>
  <si>
    <t>r.van-kessel@lse.ac.uk</t>
  </si>
  <si>
    <t>Hoffmann Fellowship Programme at the World Economic Forum; London School of Economics and Political Science</t>
  </si>
  <si>
    <t>RVK was supported by the Hoffmann Fellowship Programme at the World Economic Forum and the London School of Economics and Political Science.</t>
  </si>
  <si>
    <t>[Schmidt, Jelena; Carter, Alexander W.; McGuire, Alistair; Mossialos, Elias; van Kessel, Robin] London Sch Econ &amp; Polit Sci, Dept Hlth Policy, AI &amp; Digital Lab, LSE Hlth, London, England; [Schmidt, Jelena] Maastricht Univ, Care &amp; Publ Hlth Res Inst, Dept Hlth Serv Res, Maastricht, Netherlands; [van Kessel, Robin] Maastricht Univ, Care &amp; Publ Hlth Res Inst, Dept Int Hlth, Maastricht, Netherlands; [Schmidt, Jelena; van Kessel, Robin] Univ Potsdam, Hasso Plattner Inst, Digital Hlth Cluster, Potsdam, Germany</t>
  </si>
  <si>
    <t>University of London; London School Economics &amp; Political Science; Maastricht University; Maastricht University Medical Centre (MUMC); Maastricht University; Maastricht University Medical Centre (MUMC); University of Potsdam</t>
  </si>
  <si>
    <t>A systematic review of economic evidence of artificial intelligence in healthcare</t>
  </si>
  <si>
    <t>HEALTH POLICY</t>
  </si>
  <si>
    <t>Artificial intelligence; Machine learning; Economic evaluation; Systematic review; Digital health; Healthcare; Health services</t>
  </si>
  <si>
    <t>COST-EFFECTIVENESS; MANAGEMENT</t>
  </si>
  <si>
    <t>Mossialos, Elias/ABE-1301-2021; van Kessel, Robin/GWV-1883-2022</t>
  </si>
  <si>
    <t>0168-8510</t>
  </si>
  <si>
    <t>1872-6054</t>
  </si>
  <si>
    <t>Health Policy</t>
  </si>
  <si>
    <t>105715</t>
  </si>
  <si>
    <t>10.1016/j.healthpol.2026.105715</t>
  </si>
  <si>
    <t>http://dx.doi.org/10.1016/j.healthpol.2026.105715</t>
  </si>
  <si>
    <t>Health Care Sciences &amp; Services; Health Policy &amp; Services</t>
  </si>
  <si>
    <t>Health Care Sciences &amp; Services</t>
  </si>
  <si>
    <t>LX1OV</t>
  </si>
  <si>
    <t>42501469</t>
  </si>
  <si>
    <t>WOS:001835329700001</t>
  </si>
  <si>
    <t>Shahini, A; Seoni, S; Manzin, A; Oria, M; Gudigar, A; Raghavendra, U; Sengur, A; Acharya, R; Salvi, M</t>
  </si>
  <si>
    <t>Background and Objective: Generative AI is transforming medical imaging research through synthesis, enhancement, and reconstruction of clinical images. While these advances show promise in addressing data scarcity and supporting diagnostics, clinical adoption remains limited due to challenges in assessing the trustworthiness of generated content. This study aims to systematically evaluate the integration of uncertainty quantification (UQ) methods within generative models for medical imaging to enhance result reliability. Methods: A systematic review following PRISMA guidelines was conducted, analyzing studies from January 2018 to December 2025 that combined generative models with UQ techniques in medical imaging. The search strategy covered major medical and computer science databases, with studies evaluated against predefined inclusion criteria focusing on implementation methodology and performance metrics. Results: From the analysis of 41 eligible studies, 29 focused on radiology, 8 on microscopy, and 4 on optical coherence tomography. Across this heterogeneous body of evidence, integrating UQ was frequently associated with improved performance or with more informative reliability assessment, including reported gains in reconstruction quality, segmentation accuracy, and anomaly detection. Notably, 56% of studies (n=23) were published in 2025, indicating rapid field growth. Conclusions: UQ integration represents a crucial advancement toward trustworthy generative AI systems in medical imaging. Key priorities identified include standardizing uncertainty metrics, developing computationally efficient frameworks, and embedding uncertainty awareness within generation processes. These findings suggest that UQ methods can enhance the clinical reliability of generative AI applications in medical imaging.</t>
  </si>
  <si>
    <t>Shahini, Alen; Seoni, Silvia; Manzin, Alessandra; Oria, Martina; Gudigar, Anjan; Raghavendra, U.; Sengur, Abdulkadir; Acharya, Rajendra; Salvi, Massimo</t>
  </si>
  <si>
    <t>Salvi, M (corresponding author), Politecn Torino, Dept Elect &amp; Telecommun, Corso Duca Abruzzi 24, I-10129 Turin, Italy.</t>
  </si>
  <si>
    <t>massimo.salvi@polito.it</t>
  </si>
  <si>
    <t>European Partnership on Metrology; European Union's Horizon Europe Research and Innovation Programme</t>
  </si>
  <si>
    <t>Alessandra Manzin and Martina Oria acknowledge the 22HLT05 MAIBAI project, which has received funding from the European Partnership on Metrology, co-financed from the European Union's Horizon Europe Research and Innovation Programme and by the Participating States.</t>
  </si>
  <si>
    <t>[Shahini, Alen; Seoni, Silvia; Oria, Martina; Salvi, Massimo] Politecn Torino, Dept Elect &amp; Telecommun, Corso Duca Abruzzi 24, I-10129 Turin, Italy; [Manzin, Alessandra; Oria, Martina] Natl Metrol Inst Italy INRiM, Turin, Italy; [Gudigar, Anjan; Raghavendra, U.] Manipal Acad Higher Educ, Manipal Inst Technol, Manipal, India; [Sengur, Abdulkadir] Firat Univ, Technol Fac, Elect Elect Engn Dept, Elazig, Turkiye; [Acharya, Rajendra] Univ Southern Queensland, Ctr Hlth Res, Toowoomba, Australia; [Acharya, Rajendra] Univ Southern Queensland, Sch Math Phys &amp; Comp, Springfield, Australia</t>
  </si>
  <si>
    <t>Polytechnic University of Turin; Manipal Academy of Higher Education (MAHE); Firat University; University of Southern Queensland; University of Southern Queensland</t>
  </si>
  <si>
    <t>Can we really trust generative models in healthcare? A systematic review of uncertainty quantification in generative AI for medical imaging</t>
  </si>
  <si>
    <t>Uncertainty quantification; Medical imaging; Generative models; Monte Carlo methods; Deep learning; Systematic review</t>
  </si>
  <si>
    <t>ADVERSARIAL NETWORKS; DEEP</t>
  </si>
  <si>
    <t>Raghavendra, U/G-8634-2015; Salvi, Massimo/AAJ-1394-2020; Şengür, Abdulkadir/V-7812-2018</t>
  </si>
  <si>
    <t>Oria, Martina/0009-0000-7163-0585</t>
  </si>
  <si>
    <t>88</t>
  </si>
  <si>
    <t>285</t>
  </si>
  <si>
    <t>109560</t>
  </si>
  <si>
    <t>10.1016/j.cmpb.2026.109560</t>
  </si>
  <si>
    <t>http://dx.doi.org/10.1016/j.cmpb.2026.109560</t>
  </si>
  <si>
    <t>LV1XS</t>
  </si>
  <si>
    <t>42497721</t>
  </si>
  <si>
    <t>WOS:001833998000001</t>
  </si>
  <si>
    <t>Shaiban, AS; Alobaid, MA; Alqahtani, OS; Alroomy, R; Jabali, A; Almnea, RA; Alaajam, WH; Mehta, V; AlMoaleem, MM</t>
  </si>
  <si>
    <t>Background/objectives: The second mesiobuccal (MB2) canal detection in maxillary molars represents a notable challenge in endodontics. This scoping review (SR) attempts to map the existing research on artificial intelligence (AI)-based models in MB2 detection, delineating the current stage of clinical readiness and gaps associated with routine clinical implementation. Methods: A comprehensive, independent search was conducted in three databases (PubMed, Embase, and Scopus) to synthesize evidence from inception to 20 February 2026, adhering to PRISMA 2020 guidelines and PRISMA-Scr checklist. Study designs, including observational, diagnostic accuracy, as well as experimental designs investigating human permanent maxillary molars employing AI approaches, including machine learning or deep learning models, were included. Results: From 1218 identified records, 5 studies met inclusion criteria. All 5 studies reported strong diagnostic performance of AI models in detecting MB2 canals with favourable diagnostic performance in both deep learning and machine learning models. The clinical readiness assessment using the Technology Readiness Level - Implementation Science framework reported progression of all 5 studies to level 4. Overall risk of bias (RoB) assessment using the QUADAS-2 tool reflected some concerns, highlighting unclear or insufficient methodological components and low overall applicability concerns. RoB assessment was visualized via the ROBVIS tool. Conclusions: Overall, AI models demonstrate favourable diagnostic performance for MB2 canal identification; however, current evidence highlights important limitations in their translational readiness. Clinical relevance: AI-based tools show near-expert accuracy for MB2 detection on cone beam computed tomography, but all current models remain at the prototype stage without real-world validation. They should be used as decision-support adjuncts, not standalone diagnostic systems. (c) 2026 The Authors. Published by Elsevier Inc. on behalf of FDI World Dental Federation. This is an open access article under the CC BY-NC-ND license (http://creativecommons.org/licenses/by-nc-nd/4.0/)</t>
  </si>
  <si>
    <t>Shaiban, Amal S.; Alobaid, Mohammed A.; Alqahtani, Omar Saeed; Alroomy, Riyadh; Jabali, Ahmad; Almnea, Raid Abdullah; Alaajam, Wafa H.; Mehta, Vini; AlMoaleem, Mohammed M.</t>
  </si>
  <si>
    <t>Mehta, V (corresponding author), Dr DY Patil Vidyapeeth, Dr DY Patil Dent Coll &amp; Hosp, Dent Res Cell, Pune, India.</t>
  </si>
  <si>
    <t>vmehta@statsense.in</t>
  </si>
  <si>
    <t>[Shaiban, Amal S.; Alobaid, Mohammed A.; Alqahtani, Omar Saeed] King Khalid Univ, Coll Dent, Dept Restorat Dent, Endodont Div, Abha, Saudi Arabia; [Alroomy, Riyadh] Qassim Univ, Coll Dent, Dept Conservat Dent Sci, Buraydah, Saudi Arabia; [Jabali, Ahmad] Jazan Univ, Coll Dent, Dept Restorat Dent Sci, Endodont Div, Jazan, Saudi Arabia; [Almnea, Raid Abdullah] Najran Univ, Coll Dent, Dept Restorat Dent, Div Endodont, Najran, Saudi Arabia; [Alaajam, Wafa H.] King Khalid Univ, Fac Dent, Dept Restorat Dent Sci, Abha, Saudi Arabia; [Mehta, Vini] Dr DY Patil Vidyapeeth, Dr DY Patil Dent Coll &amp; Hosp, Dent Res Cell, Pune, India; [Mehta, Vini] Univ Ibn al Nafis Med Sci, Fac Dent, Sanaa 14034, Yemen; [AlMoaleem, Mohammed M.] Jazan Univ, Coll Dent, Dept Prosthet Dent Sci, Jazan, Saudi Arabia</t>
  </si>
  <si>
    <t>King Khalid University; Qassim University; Najran University; King Khalid University; Dr DY Patil Vidyapeeth Pune; Dr D Y Patil Dental College &amp; Hospital; Jazan University</t>
  </si>
  <si>
    <t>Clinical Readiness of Artificial Intelligence Models for MB2 Canal Detection in Maxillary Molars: A Scoping Review</t>
  </si>
  <si>
    <t>Second mesiobuccal canal (MB2); Artificial intelligence; Deep learning; Cone-beam computed tomography (CBCT); Technology readiness level (TRL-IS); Scoping review</t>
  </si>
  <si>
    <t>BEAM COMPUTED-TOMOGRAPHY; 1ST MOLARS; ROOT; PERIODONTITIS; ENDODONTICS; MORPHOLOGY; CLASSIFICATION; POPULATION; HEALTH</t>
  </si>
  <si>
    <t>Shiban, Amal/HGB-9326-2022; Alaajam, wafa/HDO-0967-2022; Al Moaleem, Mohammed/LWK-2146-2024; Alobaid, Mohammed/HHN-5823-2022; Alroomy, Riyadh/AFU-3349-2022; Mehta, Vini/GRY-0016-2022</t>
  </si>
  <si>
    <t>86</t>
  </si>
  <si>
    <t>109758</t>
  </si>
  <si>
    <t>10.1016/j.identj.2026.109758</t>
  </si>
  <si>
    <t>http://dx.doi.org/10.1016/j.identj.2026.109758</t>
  </si>
  <si>
    <t>LS7AK</t>
  </si>
  <si>
    <t>42492464</t>
  </si>
  <si>
    <t>WOS:001832307900001</t>
  </si>
  <si>
    <t>La Bella, S; Rebollo-Giménez, AI; Alongi, A; Capitoli, G; Breda, L; La Torre, F; Venerito, V; Ruperto, N</t>
  </si>
  <si>
    <t>The development of clinical trials is limited by high costs and methodological complexities. In this context, artificial intelligence (AI) is emerging as a key instrument for their optimization. In the early phases of study design and recruiting, generative AI systems may help refine eligibility criteria and boost enrollment; in parallel, the integration of digital biomarkers and patient-reported outcomes may allow continuous remote monitoring and improved safety data collection. Moreover, machine learning models may be applied to effectively analyze longitudinal multimodal trial data. However, AI implementation in real-world settings must overcome significant challenges; regulatory authorities are updating guidance, and a successful integration of AI-based interventions will depend on the rigorous application of quality standards while preserving the central role of medical judgment. In this review, we provide a comprehensive overview of the clinical applications, ethical considerations, and regulatory aspects of implementing AI in clinical trials in adult and pediatric rheumatology.</t>
  </si>
  <si>
    <t>La Bella, Saverio; Rebollo-Gimenez, Ana Isabel; Alongi, Alessandra; Capitoli, Giulia; Breda, Luciana; La Torre, Francesco; Venerito, Vincenzo; Ruperto, Nicolino</t>
  </si>
  <si>
    <t>La Bella, S (corresponding author), Univ Milano Bicocca, Dept Med &amp; Surg, Monza, Italy.</t>
  </si>
  <si>
    <t>saverio.labella@fondazione-printo.it</t>
  </si>
  <si>
    <t>[La Bella, Saverio; Alongi, Alessandra; Ruperto, Nicolino] Univ Milano Bicocca, Dept Med &amp; Surg, Monza, Italy; [Rebollo-Gimenez, Ana Isabel] Hosp Gen Univ Gregorio Maranon, Hlth Res Inst Gregorio Maranon IiSGM, Madrid, Spain; [Capitoli, Giulia] Univ Milano Bicocca, Bicocca Bioinformat Biostat &amp; Bioimaging Res Ctr B, Dept Med &amp; Surg, Monza, Italy; [Capitoli, Giulia] Fdn IRCCS San Gerardo Tintori, Biostat &amp; Clin Epidemiol, Monza, Italy; [Breda, Luciana] G dAnnunzio Univ Chieti Pescara &amp; SS Annunziata Ho, UOSD Pediat Rheumatol, Chieti, Italy; [La Torre, Francesco] Univ Bari Aldo Moro, Giovanni XXIII Paediat Hosp, Pediat Rheumatol Ctr, Dept Paediat, Bari, Italy; [Venerito, Vincenzo] Univ Bari Aldo Moro, Dept Precis &amp; Regenerat Med &amp; Ionian Area DiMePRe, Bari, Italy; [Ruperto, Nicolino] Fdn IRCCS San Gerardo Tintori, Reumatol Pediat, PRINTO, Monza, Italy</t>
  </si>
  <si>
    <t>University of Milano-Bicocca; General University Gregorio Maranon Hospital; University of Milano-Bicocca; Fondazione IRCCS San Gerardo dei Tintori; Universita degli Studi di Bari Aldo Moro; Universita degli Studi di Bari Aldo Moro; Fondazione IRCCS San Gerardo dei Tintori</t>
  </si>
  <si>
    <t>Paediat Rheumatology INt Trials Org PRINTO; Pediat Rheumatology Associated Grp Milan &amp; Lombardy Area PRAGMA</t>
  </si>
  <si>
    <t>The role of artificial intelligence in clinical trials in adult and pediatric rheumatology</t>
  </si>
  <si>
    <t>SOCIETY CLASSIFICATION CRITERIA; JUVENILE IDIOPATHIC ARTHRITIS; RANDOMIZED-TRIAL; METHOTREXATE; CHILDREN; SPONDYLOARTHRITIS</t>
  </si>
  <si>
    <t>Venerito, Vincenzo/HKV-1293-2023; Capitoli, Giulia/AAC-1620-2019; La Bella, Saverio/NGR-9557-2025; Ruperto, Nicolino/K-3349-2018; RUPERTO, NICOLINO/K-3349-2018</t>
  </si>
  <si>
    <t>RUPERTO, NICOLINO/0000-0001-8407-7782</t>
  </si>
  <si>
    <t>102818</t>
  </si>
  <si>
    <t>10.1016/j.coi.2026.102818</t>
  </si>
  <si>
    <t>http://dx.doi.org/10.1016/j.coi.2026.102818</t>
  </si>
  <si>
    <t>LO3AO</t>
  </si>
  <si>
    <t>42475757</t>
  </si>
  <si>
    <t>WOS:001829322800001</t>
  </si>
  <si>
    <t>Hu, K; Shi, H; Chi, LX; Zhao, MH; Shi, RX; Song, W</t>
  </si>
  <si>
    <t>Surface-enhanced Raman scattering (SERS) technology significantly amplifies Raman signals through plasmonic enhancement mechanisms, providing unique molecular fingerprint spectra for biomedical analysis. As a noninvasive and biomarker-rich biofluid, saliva has emerged as a promising medium for disease diagnostics. This review summarizes recent advances in AI-assisted SERS strategies for saliva biosensing, with emphasis on substrate engineering, spectral analysis, and clinical diagnostic applications. Recent advances in SERS substrates, ranging from noble metal nanostructures to hybrid materials, as well as surface functionalization strategies for improving stability and specificity, are systematically reviewed. AI-assisted analytical approaches, especially machine learning (ML), have increasingly been integrated with SERS to improve spectral processing, feature extraction, disease classification, and predictive performance. Representative analytical methods, including principal component analysis (PCA), partial least squares (PLS), linear discriminant analysis (LDA), support vector machine (SVM), and deep learning (DL), are highlighted within standardized spectral analysis workflows. The synergy between SERS and ML has demonstrated exceptional performance in the diagnosis of cancers, oral and infectious diseases, pathogen identification, and illicit drug detection using salivary biomarkers. While challenges persist in substrate reproducibility, spectral standardization, and model generalization, future development of cost-effective materials, standardized databases, and interpretable algorithms positions SERS-ML systems as promising high-throughput tools for clinical diagnostics and point-of-care testing.</t>
  </si>
  <si>
    <t>Hu, Ke; Shi, Hang; Chi, Lingxin; Zhao, Menghan; Shi, Ruixin; Song, Wei</t>
  </si>
  <si>
    <t>Song, W (corresponding author), Jilin Univ, Coll Chem, State Key Lab Supramol Struct &amp; Mat, Changchun 130012, Jilin, Peoples R China.; Shi, RX (corresponding author), Jilin Univ, Sch &amp; Hosp Stomatol, Dept Orthodont, Changchun 130021, Jilin, Peoples R China.</t>
  </si>
  <si>
    <t>shirx@jlu.edu.cn; weisong@jlu.edu.cn</t>
  </si>
  <si>
    <t>National Natural Science Foundation of China [22474048, 22074051]</t>
  </si>
  <si>
    <t>This work was supported by the research grants from the National Natural Science Foundation of China (22474048, 22074051) .</t>
  </si>
  <si>
    <t>[Hu, Ke; Shi, Hang; Zhao, Menghan; Song, Wei] Jilin Univ, Coll Chem, State Key Lab Supramol Struct &amp; Mat, Changchun 130012, Jilin, Peoples R China; [Hu, Ke; Shi, Hang; Chi, Lingxin; Shi, Ruixin] Jilin Univ, Sch &amp; Hosp Stomatol, Dept Orthodont, Changchun 130021, Jilin, Peoples R China; [Zhao, Menghan] Jilin Prov Key Lab Tooth Dev &amp; Bone Remodeling, Changchun 130021, Jilin, Peoples R China</t>
  </si>
  <si>
    <t>Jilin University; Jilin University</t>
  </si>
  <si>
    <t>Surface-enhanced Raman spectroscopy and machine learning for saliva biosensing: From substrate design to clinical diagnostics</t>
  </si>
  <si>
    <t>Surface-enhanced Raman scattering; Saliva detection; Artificial intelligence; Machine learning</t>
  </si>
  <si>
    <t>SCATTERING BIOSENSOR; RAPID DETECTION; GRAPHENE OXIDE; SERS DETECTION; NANOPARTICLES; BIOMARKERS; GLUCOSE; CANCER; DRUGS; QUANTIFICATION</t>
  </si>
  <si>
    <t>song, wei/HSH-4240-2023</t>
  </si>
  <si>
    <t>142</t>
  </si>
  <si>
    <t>203</t>
  </si>
  <si>
    <t>119037</t>
  </si>
  <si>
    <t>10.1016/j.trac.2026.119037</t>
  </si>
  <si>
    <t>http://dx.doi.org/10.1016/j.trac.2026.119037</t>
  </si>
  <si>
    <t>LO2MB</t>
  </si>
  <si>
    <t>WOS:001829285100001</t>
  </si>
  <si>
    <t>Pakdil, F; Ebrahimpour, M; Yih, Y; Zhang, Z; Viravan, B; Kouhizadeh, M</t>
  </si>
  <si>
    <t>Predictive modeling for 30-day unplanned hospital readmissions has become a critical concern at the intersection of healthcare analytics, systems engineering, and operational decision-making. This study presents a large-scale systematic review of 1,756 scholarly publications listed in various databases, offering a structured and quantitative synthesis of methodological approaches used for readmission estimation. The inclusion and exclusion criteria focused on studies involving adult patients hospitalized in acute care settings, and the literature search was conducted using the keywords "readmi*" and "predict*". Using a novel method-condition matrix, we map analytical techniques to their associated clinical conditions or interventions and categorize them into five groups: traditional statistical models, machine learning (ML) methods, neural networks and deep learning, survival and time-to-event models, and emerging or less commonly used techniques. Traditional methods, particularly multivariate logistic regression, remain dominant across most clinical contexts. However, ML methods such as Random Forest, boosting algorithms, and Support Vector Machines are gaining prominence in high-dimensional or multi-condition datasets, supporting more adaptive and scalable prediction frameworks. Deep learning approaches are emerging in data-rich environments such as EHRs and unstructured clinical records. Survival models are widely used in oncology and multi-condition applications. Notably, adoption of interpretability tools and class imbalance strategies remains limited. Quantitative synthesis shows that traditional methods account for 63.25% of modeling applications, compared with 18.77% for ML methods, indicating the continued dominance of regression-based approaches despite growing interest in ML methods. This review may provide a systems-level overview of methodological trends and gaps, offering operational insights to guide model selection, deployment, and innovation in hospital readmission analytics.</t>
  </si>
  <si>
    <t>Pakdil, Fatma; Ebrahimpour, Maling; Yih, Yuehwern; Zhang, Zhu; Viravan, Benjavan; Kouhizadeh, Mahtab</t>
  </si>
  <si>
    <t>Pakdil, F (corresponding author), Eastern Connecticut State Univ, Coll Business, Willimantic, CT 06226 USA.</t>
  </si>
  <si>
    <t>pakdilf@easternct.edu</t>
  </si>
  <si>
    <t>[Pakdil, Fatma] Eastern Connecticut State Univ, Willimantic, CT USA; [Ebrahimpour, Maling; Zhang, Zhu; Kouhizadeh, Mahtab] Univ Rhode Isl, Kingston, RI USA; [Yih, Yuehwern] Purdue Univ, W Lafayette, IN USA; [Viravan, Benjavan] UMass Mem Hlth, Ctr Innovat &amp; Transformat Change Dept, Worcester, MA USA</t>
  </si>
  <si>
    <t>Connecticut State University System; Eastern Connecticut State University; University of Rhode Island; Purdue University System; Purdue University</t>
  </si>
  <si>
    <t>Trends in 30-day readmission prediction: a systematic review and method-condition mapping of analytical approaches</t>
  </si>
  <si>
    <t>COMPUTERS &amp; INDUSTRIAL ENGINEERING</t>
  </si>
  <si>
    <t>30-day readmission; Predictive modeling; Systematic review; Healthcare analytics; Method-condition mapping</t>
  </si>
  <si>
    <t>HOSPITAL READMISSION; MODELS; RISK</t>
  </si>
  <si>
    <t>/AAN-4950-2021; Kouhizadeh, Mahtab/HKN-8921-2023; Yih, Yuehwern/NBX-3859-2025</t>
  </si>
  <si>
    <t>0360-8352</t>
  </si>
  <si>
    <t>1879-0550</t>
  </si>
  <si>
    <t>COMPUT IND ENG</t>
  </si>
  <si>
    <t>Comput. Ind. Eng.</t>
  </si>
  <si>
    <t>112230</t>
  </si>
  <si>
    <t>10.1016/j.cie.2026.112230</t>
  </si>
  <si>
    <t>http://dx.doi.org/10.1016/j.cie.2026.112230</t>
  </si>
  <si>
    <t>Computer Science, Interdisciplinary Applications; Engineering, Industrial</t>
  </si>
  <si>
    <t>LH4KU</t>
  </si>
  <si>
    <t>WOS:001824671500001</t>
  </si>
  <si>
    <t>Green Accepted</t>
  </si>
  <si>
    <t>Melo, RD; Fernandes, HC; Backes, AR</t>
  </si>
  <si>
    <t>Breast cancer remains a major global health concern, highlighting the need for early and accurate diagnostic methods. Thermographic imaging, combined with artificial intelligence (AI), has shown promise as a noninvasive detection tool. This study presents a systematic review of 89 research papers (2014-2025) using the Database Mastology Research with Infrared Image (DMR-IR), one of the largest and most comprehensive publicly available breast thermography datasets. The review includes a detailed examination of the most commonly used classification techniques, such as Convolutional Neural Networks (CNNs) and Support Vector Machines (SVMs), as well as preprocessing steps, feature extraction methods, and performance metrics. We provided quantitative insights into trends over time, the distribution of studies by database source, architectural preferences, and best-performing models. Visual Geometry Group (VGG) 16, Residual Neural Network (ResNet) 50 and Dense convolutional network (DenseNet) 121 are among the most evaluated CNN architectures. Accuracy was the most reported metric, and SVM emerged as the top-performing method in more studies. We also discussed emerging trends, including the use of Vision Transformers (ViTs), Generative Adversarial Networks (GANs), and bioinspired optimization algorithms. Despite notable progress, challenges such as dataset limitations and lack of clinical validation remain. The study outlines future directions to improve generalizability, explainability, and clinical integration.</t>
  </si>
  <si>
    <t>Melo, Renata dos Santos; Fernandes, Henrique Coelho; Backes, Andre Ricardo</t>
  </si>
  <si>
    <t>Backes, AR (corresponding author), Univ Fed Sao Carlos, Dept Comp, Sao Carlos, Brazil.</t>
  </si>
  <si>
    <t>arbackes@yahoo.com.br</t>
  </si>
  <si>
    <t>Coordenacao de Aperfeicoamento de Pessoal de Nivel Superior - Brasil (CAPES) [001]; National Council for Scientific and Technological Development-Brazil (CNPq) [302790/2024-1, 312530/2023-4]</t>
  </si>
  <si>
    <t>Coordenacao de Aperfeicoamento de Pessoal de Nivel Superior - Brasil (CAPES) (Coordenacao de Aperfeicoamento de Pessoal de Nivel Superior (CAPES)); National Council for Scientific and Technological Development-Brazil (CNPq) (Conselho Nacional de Desenvolvimento Cientifico e Tecnologico (CNPQ))</t>
  </si>
  <si>
    <t>This study was financed in part by the Coordenacao de Aperfeicoamento de Pessoal de Nivel Superior - Brasil (CAPES) - Finance Code [001] and by the National Council for Scientific and Technological Development-Brazil (CNPq) - Finance Codes [302790/2024-1] and [312530/2023-4] .</t>
  </si>
  <si>
    <t>[Melo, Renata dos Santos; Fernandes, Henrique Coelho] Univ Fed Uberlandia, Fac Comp, Uberlandia, Brazil; [Fernandes, Henrique Coelho] Cranfield Univ, Fac Engn &amp; Appl Sci, IVHM Ctr, Cranfield, England; [Backes, Andre Ricardo] Univ Fed Sao Carlos, Dept Comp, Sao Carlos, Brazil</t>
  </si>
  <si>
    <t>Universidade Federal de Uberlandia; Cranfield University; Universidade Federal de Sao Carlos</t>
  </si>
  <si>
    <t>Breast Cancer Detection using thermographic imaging and artificial intelligence: A systematic review</t>
  </si>
  <si>
    <t>ENGINEERING APPLICATIONS OF ARTIFICIAL INTELLIGENCE</t>
  </si>
  <si>
    <t>Breast cancer detection; Computer vision; Deep learning; Image classification; Thermographic imaging</t>
  </si>
  <si>
    <t>TECHNOLOGY</t>
  </si>
  <si>
    <t>Backes, André/JGD-9197-2023; Fernandes, Henrique/G-7695-2016</t>
  </si>
  <si>
    <t>141</t>
  </si>
  <si>
    <t>0952-1976</t>
  </si>
  <si>
    <t>1873-6769</t>
  </si>
  <si>
    <t>ENG APPL ARTIF INTEL</t>
  </si>
  <si>
    <t>Eng. Appl. Artif. Intell.</t>
  </si>
  <si>
    <t>OCT 1 2026</t>
  </si>
  <si>
    <t>115647</t>
  </si>
  <si>
    <t>10.1016/j.engappai.2026.115647</t>
  </si>
  <si>
    <t>http://dx.doi.org/10.1016/j.engappai.2026.115647</t>
  </si>
  <si>
    <t>Automation &amp; Control Systems; Computer Science, Artificial Intelligence; Engineering, Multidisciplinary; Engineering, Electrical &amp; Electronic</t>
  </si>
  <si>
    <t>Automation &amp; Control Systems; Computer Science; Engineering</t>
  </si>
  <si>
    <t>LH5OO</t>
  </si>
  <si>
    <t>WOS:001824749800001</t>
  </si>
  <si>
    <t>Almeida, F; Martín-Montero, A; Gutiérrez-Tobal, GC; Gomez-Pilar, J; Hornero, R; Rodrigues, PP; Amorim, P; Monteiro-Soares, M; Ferreira-Santos, D</t>
  </si>
  <si>
    <t>Sleep disorders exhibit substantial heterogeneity, and traditional classifications may not fully capture clinically relevant subtypes. Clustering techniques can identify patient subgroups that improve phenotypic characterization and may support personalized management. This systematic review evaluated the application of clustering in sleep medicine, with particular focus on its potential use as a pre-test triage tool prior to formal sleep testing. PubMed/MEDLINE, Embase, Web of Science, and Scopus were searched to February 2025. Eligible studies applied clustering to classify sleep disorders in adults. Two reviewers independently conducted screening, data extraction, and risk-of-bias assessment using QUADAS-2. The protocol was registered on PROSPERO. Fifty-one studies (1983-2025) were included, predominantly focused on obstructive sleep apnea (OSA) (n = 38, 74%). Hierarchical clustering (n = 20) and K-means clustering (n =14) were the most frequently used techniques. Internal validation was reported in only 18% of studies, and external validation was reported in only 1 study. Seven studies relied exclusively on baseline clinical, demographic, or questionnaire data, representing pre-test scenarios, whereas most incorporated polysomnography-derived variables, limiting their applicability to early clinical stratification. Hierarchical clustering was the most commonly applied method; however, the overall lack of validation limits confidence in the robustness and clinical applicability of identified phenotypes. The potential role of clustering as a pre-test triage strategy remains largely unexplored, as most studies focused on post-diagnostic phenotyping and were affected by incorporation bias. Future research should prioritize pre-test clinical variables, rigorously validate internally and externally, and adopt standardized methodological and reporting practices to facilitate clinical translation.</t>
  </si>
  <si>
    <t>Almeida, Francisca; Martin-Montero, Adrian; Gutierrez-Tobal, Gonzalo C.; Gomez-Pilar, Javier; Hornero, Roberto; Rodrigues, Pedro Pereira; Amorim, Pedro; Monteiro-Soares, Matilde; Ferreira-Santos, Daniela</t>
  </si>
  <si>
    <t>Ferreira-Santos, D (corresponding author), Tecnol &amp; Ciencia, INESC TEC Inst Engn Sistemas &amp; Comp, Campus FEUP,Rua Dr Roberto Frias, P-4200465 Porto, Portugal.</t>
  </si>
  <si>
    <t>daniela.santos@inesctec.pt</t>
  </si>
  <si>
    <t>European Union through the Interreg Espana-Portugal [0043_NET4SLEEP_2_E]</t>
  </si>
  <si>
    <t>European Union through the Interreg Espana-Portugal</t>
  </si>
  <si>
    <t>This work was performed in the framework of NET4SLEEP, a project co-financed by the European Union through the Interreg Espana-Portugal/POCTEP (ref. 0043_NET4SLEEP_2_E).</t>
  </si>
  <si>
    <t>[Almeida, Francisca; Rodrigues, Pedro Pereira; Ferreira-Santos, Daniela] Univ Porto, Fac Med, Porto, Portugal; [Martin-Montero, Adrian] Univ Cantabria, Tecnol Elect Ingn Sistemas &amp; Automatica TEISA Dept, Biomed Engn Grp, Santander, Spain; [Martin-Montero, Adrian; Gutierrez-Tobal, Gonzalo C.; Gomez-Pilar, Javier] Ctr Invest Biomed Red Bioingn Biomat &amp; Nanomed CIB, Valladolid, Spain; [Gutierrez-Tobal, Gonzalo C.; Gomez-Pilar, Javier; Hornero, Roberto] Univ Valladolid, Biomed Engn Grp, Valladolid, Spain; [Hornero, Roberto; Amorim, Pedro] Unidade Local Saude Sao Joao, Porto, Portugal; [Monteiro-Soares, Matilde] Escola Super Saude Cruz Vermelha Portuguesa Lisboa, Lisbon, Portugal; [Monteiro-Soares, Matilde] Res Ctr, Lisbon, Portugal; [Monteiro-Soares, Matilde] Univ Porto, Fac Med, RISE Hlth, Porto, Portugal; [Ferreira-Santos, Daniela] INESC TEC, Porto, Portugal</t>
  </si>
  <si>
    <t>Universidade do Porto; Universidad de Cantabria; Universidad de Valladolid; Universidade do Porto; INESC TEC</t>
  </si>
  <si>
    <t>The potential of clustering methods for pre-test triage in sleep medicine: A systematic review</t>
  </si>
  <si>
    <t>SLEEP MEDICINE REVIEWS</t>
  </si>
  <si>
    <t>Cluster analysis; Machine learning; Sleep disorders; Obstructive sleep apnea; Insomnia; Hypersomnolence; Phenotyping; Precision medicine; Systematic review</t>
  </si>
  <si>
    <t>IDIOPATHIC HYPERSOMNIA; APNEA SYNDROME; PHENOTYPES; SUBTYPES; IDENTIFICATION; PROFILES</t>
  </si>
  <si>
    <t>Monteiro-Soares, Matilde/F-7192-2013; Amorim, Pedro/AFV-6517-2022; Rodrigues, Pedro/H-5789-2012; Gomez-Pilar, Javier/B-9123-2018; Gutierrez-Tobal, Gonzalo/L-8301-2013; Martín-Montero, Adrián/AEQ-9174-2022; , Rob/B-5398-2008</t>
  </si>
  <si>
    <t>W B SAUNDERS CO LTD</t>
  </si>
  <si>
    <t>32 JAMESTOWN RD, LONDON NW1 7BY, ENGLAND</t>
  </si>
  <si>
    <t>1087-0792</t>
  </si>
  <si>
    <t>1532-2955</t>
  </si>
  <si>
    <t>SLEEP MED REV</t>
  </si>
  <si>
    <t>Sleep Med. Rev.</t>
  </si>
  <si>
    <t>89</t>
  </si>
  <si>
    <t>102308</t>
  </si>
  <si>
    <t>10.1016/j.smrv.2026.102308</t>
  </si>
  <si>
    <t>http://dx.doi.org/10.1016/j.smrv.2026.102308</t>
  </si>
  <si>
    <t>KI8BL</t>
  </si>
  <si>
    <t>42335793</t>
  </si>
  <si>
    <t>WOS:001807960400001</t>
  </si>
  <si>
    <t>Zhang, J; Han, YQ</t>
  </si>
  <si>
    <t>Classic BCR::ABL1-negative myeloproliferative neoplasms (MPNs)-polycythaemia vera, essential thrombocythaemia, and primary myelofibrosis-are clonal haematopoietic stem cell disorders with marked heterogeneity in clinical phenotype, disease trajectory, and therapeutic response. Genomic stratification by driver and cooperating mutations only partially accounts for this variability, leaving gaps in predicting thrombotic risk, fibrotic progression, leukaemic transformation, and treatment benefit. Proteomics bridges this gap by providing function-proximal readouts of protein abundance, post-translational modifications, pathway activity, and intercellular signalling that genomics and transcriptomics cannot capture, positioning it as a theranostic platform in which the same molecular readouts simultaneously inform diagnostic stratification and therapeutic decision-making. We propose a five-stage translational framework spanning from discovery-scale mass spectrometry and affinity-based plasma profiling to targeted validation, multicentre standardisation, and machine learning-integrated clinical panels. Proteomic evidence is synthesised across the following four disease axes: clonal fitness in haematopoietic stem and progenitor cells; bone marrow microenvironmental remodelling and fibrosis; chronic inflammation and thrombosis; and leukaemic transformation. We further describe how phosphoproteomics reveals resistance mechanisms to JAK inhibitors, including AXL-MAPK bypass and PP2A-autopha-gy-mediated tolerance, and how protein-level biomarkers (BCL2-BCL-XL, RAS-ERK, CAMK2G, and ROCK1/2) can guide individualised therapeutic selection. Affinity-based platforms (Olink PEA and SomaScan) and spatially resolved technologies (CODEX and single-cell proteomics) complement discovery proteomics. At present, however, this evidence base is constrained by small and heterogeneous cohorts, limited cross-platform reproducibility, and a scarcity of independent external validation for candidate protein panels. Realising this vision will require multicentre standardisation, analytically validated panel assays, and prospective clinical studies that translate molecular findings into decision-grade tools for patients with MPNs.</t>
  </si>
  <si>
    <t>Zhang, Jing; Han, Yan-Qiu</t>
  </si>
  <si>
    <t>Han, YQ (corresponding author), Inner Mongolia Med Univ, Affiliated Hosp, Dept Hematol, 1 Tongdao North Rd, Hohhot 010050, Inner Mongolia, Peoples R China.</t>
  </si>
  <si>
    <t>qyh1016@sina.com</t>
  </si>
  <si>
    <t>National Natural Science Foundation of China [82360032]; Huhang Research Project of the Affiliated Hospital of Inner Mongolia Medical University [HH202403]; Translational Research Grant of NCRCH [2021WWB06]</t>
  </si>
  <si>
    <t>National Natural Science Foundation of China (National Natural Science Foundation of China (NSFC)); Huhang Research Project of the Affiliated Hospital of Inner Mongolia Medical University; Translational Research Grant of NCRCH</t>
  </si>
  <si>
    <t>This work was funded by the National Natural Science Foundation of China (82360032), Huhang Research Project of the Affiliated Hospital of Inner Mongolia Medical University (HH202403) and Translational Research Grant of NCRCH (2021WWB06).</t>
  </si>
  <si>
    <t>[Zhang, Jing; Han, Yan-Qiu] Inner Mongolia Med Univ, Affiliated Hosp, Dept Hematol, 1 Tongdao North Rd, Hohhot 010050, Inner Mongolia, Peoples R China; [Zhang, Jing; Han, Yan-Qiu] Soochow Univ, Affiliated Hosp 1, Natl Clin Res Ctr Hematol Dis, Suzhou 215006, Peoples R China</t>
  </si>
  <si>
    <t>Inner Mongolia Medical University; Soochow University - China</t>
  </si>
  <si>
    <t>Proteomics as a theranostic compass in BCR::ABL1-negative myeloproliferative neoplasms: Integrating biomarker discovery with therapeutic stratification</t>
  </si>
  <si>
    <t>CRITICAL REVIEWS IN ONCOLOGY HEMATOLOGY</t>
  </si>
  <si>
    <t>Theranostics; Proteomics; Myeloproliferative neoplasms; Biomarker panels; JAK inhibitor resistance; Precision haematology</t>
  </si>
  <si>
    <t>71</t>
  </si>
  <si>
    <t>1040-8428</t>
  </si>
  <si>
    <t>1879-0461</t>
  </si>
  <si>
    <t>CRIT REV ONCOL HEMAT</t>
  </si>
  <si>
    <t>Crit. Rev. Oncol./Hematol.</t>
  </si>
  <si>
    <t>226</t>
  </si>
  <si>
    <t>105433</t>
  </si>
  <si>
    <t>10.1016/j.critrevonc.2026.105433</t>
  </si>
  <si>
    <t>http://dx.doi.org/10.1016/j.critrevonc.2026.105433</t>
  </si>
  <si>
    <t>Oncology; Hematology</t>
  </si>
  <si>
    <t>JZ9TM</t>
  </si>
  <si>
    <t>42289259</t>
  </si>
  <si>
    <t>WOS:001801979800001</t>
  </si>
  <si>
    <t>Li, XW; Yan, FL; Wu, YH; Zhou, Y; He, LN; Gao, J</t>
  </si>
  <si>
    <t>Background: Diagnosis of autism spectrum disorder (ASD) primarily relies on subjective behavioral assessments, posing risks of delayed and missed diagnoses. The combination of functional near-infrared spectroscopy (fNIRS) technology and machine learning (ML) offers a novel approach for objective ASD identification; however, its overall diagnostic efficacy and key influencing factors require systematic evaluation. Methods: Following the PRISMA guidelines, we systematically searched PubMed, EMBASE, Web of Science, The Cochrane Library, and Wiley Online Library databases to comprehensively collect English-language literature on fNIRS-based machine learning techniques for ASD diagnosis published from the inception of our database to December 2025. Data were extracted to calculate pooled sensitivity (sen), specificity (spe), positive likelihood ratio (LR + ), negative likelihood ratio (LR-), diagnostic odds ratio (DOR), and their 95% confidence intervals (CI). Pooled receiver operating characteristic (ROC) curves were plotted, and area under the curve (AUC) was calculated to assess diagnostic value. The I2 test assessed study heterogeneity, which was explored through meta-regression and subgroup analyses. Publication bias was evaluated using Deeks funnel plot asymmetry tests. The review protocol was registered in PROSPERO (CRD420251250866). Results: A total of 17 studies were included in the systematic review, with 15 studies included in the meta-analysis. The pooled analysis showed that the sensitivity of fNIRS-based ML techniques for diagnosing ASD was 0.92 (95% CI 0.87-0.95),with a specificity of 0.94 (95% CI 0.90-0.97) and a composite area under the receiver operating characteristic curve (AUC) of 0.98 (95% CI 0.96-0.99). Based on these findings, fNIRS-based ML techniques demonstrate good diagnostic value for ASD. Conclusion: fNIRS-based ML techniques demonstrate excellent diagnostic accuracy for ASD, presenting a highly promising objective diagnostic tool. Future research should focus on establishing standardized, multicenter datasets and analytical workflows, while exploring multimodal data fusion and model interpretability to advance this technology toward stable, reliable clinical diagnostic support.</t>
  </si>
  <si>
    <t>Li, Xiawei; Yan, Fuli; Wu, Yinghua; Zhou, Yu; He, Luna; Gao, Jing</t>
  </si>
  <si>
    <t>Gao, J (corresponding author), Xuzhou Med Univ, Huaian Maternal &amp; Child Clin Coll, Huaian 223302, Peoples R China.</t>
  </si>
  <si>
    <t>gaojing392@163.com</t>
  </si>
  <si>
    <t>[Li, Xiawei; Yan, Fuli] Jiamusi Univ, Coll Rehabil Med, Jiamusi 154007, Heilongjiang, Peoples R China; [Li, Xiawei; Yan, Fuli] Jiamusi Univ, Children Rehabil Nerve Lab, Jiamusi 154007, Heilongjiang, Peoples R China; [Li, Xiawei; Yan, Fuli] Jiamusi Univ, Affiliated Hosp 3, Jiamusi 154007, Heilongjiang, Peoples R China; [Wu, Yinghua] Qingdao Municipal Hosp, Qingdao 266005, Shandong, Peoples R China; [Zhou, Yu; He, Luna; Gao, Jing] Xuzhou Med Univ, Huaian Maternal &amp; Child Clin Coll, Dept Childrens Rehabil, Huaian 223002, Jiangsu, Peoples R China; [Zhou, Yu; He, Luna; Gao, Jing] Yang Zhou Univ, Affiliated Hosp, Huaian Maternal &amp; Child Hlth Care Ctr, Med Coll,Dept Childrens Rehabil, Huaian 223002, Jiangsu, Peoples R China</t>
  </si>
  <si>
    <t>Jiamusi University; Jiamusi University; Jiamusi University; Qingdao Municipal Hospital; Xuzhou Medical University; Yangzhou University</t>
  </si>
  <si>
    <t>Functional near-infrared spectroscopy-based machine learning techniques for autism spectrum disorder diagnosis: a systematic review and meta-analysis</t>
  </si>
  <si>
    <t>Autism spectrum disorder; Machine learning; Functional near-infrared spectroscopy; Diagnosis; Systematic review</t>
  </si>
  <si>
    <t>AGREEMENT; IDENTIFICATION; CHILDREN; NETWORK; FNIRS</t>
  </si>
  <si>
    <t>219</t>
  </si>
  <si>
    <t>106526</t>
  </si>
  <si>
    <t>10.1016/j.ijmedinf.2026.106526</t>
  </si>
  <si>
    <t>http://dx.doi.org/10.1016/j.ijmedinf.2026.106526</t>
  </si>
  <si>
    <t>JX5ON</t>
  </si>
  <si>
    <t>42296703</t>
  </si>
  <si>
    <t>WOS:001800341600001</t>
  </si>
  <si>
    <t>Rakibe, SS; Yadav, KS; Patel, SP</t>
  </si>
  <si>
    <t>Lipid nanoparticles (LNPs) have evolved as a revolutionary platform for the delivery of genetic therapeutics, vaccines, and precision therapies. This review critically evaluates progress in LNP technologies, including platforms like LUNAR and STARR for mRNA vaccines, Alnylam and Genevant's siRNA products, Moderna's SM102-based LNPs, and new technologies in development such as AccuLNP, Nanoprimer, and OligoFastX. LUNAR has facilitated effective mRNA and siRNA delivery for vaccine, cystic fibrosis, and enzyme replacement therapy applications, while STARR enables sustained antigen expression at lower doses for pandemic preparedness. Alnylam and Genevant have shown liver and extrahepatic targeting, enabling clinical translation in genetic disorders and oncology. Synergistic advances in manufacturing, such as NanoAssemblr and IJM mixing technology, have enhanced reproducibility, GMP compliance, and scale-up speed. The literature search was performed in PubMed, Scopus, and Web of Science for January 2010 to June 2025 publications and supplemented with information from official platform websites of respective LNP technology developers. The search terms were lipid nanoparticles, RNA therapeutics, mRNA vaccines, siRNA delivery, and nanomedicine. Both preclinical and clinical investigations were considered to evaluate progress in formulation, targeting, delivery efficacy, and therapeutic uses. Near-term visions consist of programmable and modular LNP design, along with the use of artificial intelligence techniques, which can be achieved using machine learning methods like random forests, Bayesian optimization, and graph neural networks. Harmonized regulatory mechanisms, safety assessment, and sustainable production methods will be essential for their translation into adaptable, next-generation therapeutics that can tackle vaccines, rare diseases, oncology, and gene therapy.</t>
  </si>
  <si>
    <t>Rakibe, Sakshi S.; Yadav, Khushwant S.; Patel, Shobhaben Pratapbhai</t>
  </si>
  <si>
    <t>Yadav, KS (corresponding author), SPPSPTM NMIMS, SPPSPTM, Mumbai, India.</t>
  </si>
  <si>
    <t>Khushwant.Yadav@nmims.edu; khush.yadav@gmail.com</t>
  </si>
  <si>
    <t>[Rakibe, Sakshi S.; Yadav, Khushwant S.; Patel, Shobhaben Pratapbhai] SVKMS NMIMS, Sch Pharm &amp; Technol Management, Shirpur, Maharashtra, India</t>
  </si>
  <si>
    <t>SVKM's NMIMS (Deemed to be University)</t>
  </si>
  <si>
    <t>Lipid nanoparticles as a platform technology for translational nanomedicine</t>
  </si>
  <si>
    <t>Lipid nanoparticle; mRNA delivery; Nanotechnology platform; siRNA delivery; Nanomedicine</t>
  </si>
  <si>
    <t>MESSENGER-RNA VACCINES; DELIVERY</t>
  </si>
  <si>
    <t>Yadav, Khushwant/C-3039-2013</t>
  </si>
  <si>
    <t>124</t>
  </si>
  <si>
    <t>108587</t>
  </si>
  <si>
    <t>10.1016/j.jddst.2026.108587</t>
  </si>
  <si>
    <t>http://dx.doi.org/10.1016/j.jddst.2026.108587</t>
  </si>
  <si>
    <t>JW9RB</t>
  </si>
  <si>
    <t>WOS:001799942600001</t>
  </si>
  <si>
    <t>Solayman, HM; Raypah, ME; Abd Aziz, A; Kang, K; Khan, MB; Horie, Y; Nguyen, TB; Jiang, JJ</t>
  </si>
  <si>
    <t>Environmental pollution has become one of the most pressing global issues, driven by rapid urban growth and industrial expansion. Nanomaterials are promising and intelligent candidates for pollution remediation owing to advanced functionalities. Therefore, metal oxide nanoparticles (MOX NPs) possess a vital role in environmental remediation due to their unique properties include a high surface-volume ratio, large surface area, plentiful reactive surface sites, chemical stability, customizable size and shape. These properties make MOX NPs as highly effective in removing a wide range of pollutants such as dyes, herbicides, pesticides, antibiotics, microplastics, harmful microbes, and heavy metals as adsorbents, catalysts, or antimicrobial agents. This review presents the importance and environmental remediation performance of twenty commonly used MOX NPs. Green synthesis, morphology and factors affecting MOX NPs performance also elucidate herein. More importantly, this article explores the key mechanisms involved in pollutant removal including adsorption, filtration, disinfection, photocatalysis, and oxidation. In addition, this review critically compares green-synthesized MOX NPs with conventionally produced counterparts to highlight their relative efficiencies and sustainability advantages. It also identifies current challenges and research gaps, providing future perspectives for scalable, eco-friendly design and intelligent optimization of MOX-based remediation systems. Finally, strategies enhancing performance and machine learning (ML) induced pollution control guided the potential prediction are described herein.</t>
  </si>
  <si>
    <t>Solayman, H. M.; Raypah, Muna E.; Abd Aziz, Azrina; Kang, Kang; Khan, Md. Badiuzzaman; Horie, Yoshifumi; Nguyen, Thanh-Binh; Jiang, Jheng-Jie</t>
  </si>
  <si>
    <t>Solayman, HM (corresponding author), Univ Malaysia Pahang Al Sultan Abdullah, Fac Civil Engn Technol, Gambang 26300, Pahang, Malaysia.; Solayman, HM; Jiang, JJ (corresponding author), Chung Yuan Christian Univ, Dept Environm Engn, Taoyuan 320314, Taiwan.</t>
  </si>
  <si>
    <t>jjjiang@cycu.edu.tw; ag45718@bau.edu.bd</t>
  </si>
  <si>
    <t>National Science and Technology Council (NSTC) of Taiwan [NSTC 113-2221-E-033-017-MY2]; Universiti Malaysia Pahang Al-Sultan Abdullah (UMPSA), Malaysia</t>
  </si>
  <si>
    <t>National Science and Technology Council (NSTC) of Taiwan (National Science &amp; Technology Council (NSTC) Taiwan); Universiti Malaysia Pahang Al-Sultan Abdullah (UMPSA), Malaysia (Universiti Malaysia Pahang Al-Sultan Abdullah (UMPSA))</t>
  </si>
  <si>
    <t>We would like to thank the Research Funding supported from the National Science and Technology Council (NSTC) of Taiwan (NSTC 113-2221-E-033-017-MY2). Universiti Malaysia Pahang Al-Sultan Abdullah (UMPSA), Malaysia is acknowledged for research support. We appreciate the editor and anonymous reviewers for their helpful suggestions and comments to improve the quality of the original manuscript.</t>
  </si>
  <si>
    <t>[Solayman, H. M.; Abd Aziz, Azrina] Univ Malaysia Pahang Al Sultan Abdullah, Fac Civil Engn Technol, Gambang 26300, Pahang, Malaysia; [Solayman, H. M.; Jiang, Jheng-Jie] Chung Yuan Christian Univ, Adv Environm Ultra Res Lab ADVENTURE, Taoyuan 320314, Taiwan; [Solayman, H. M.; Jiang, Jheng-Jie] Chung Yuan Christian Univ, Dept Environm Engn, Taoyuan 320314, Taiwan; [Raypah, Muna E.] Univ Malaysia Pahang Al Sultan Abdullah, Ctr Artificial Intelligence &amp; Data Sci, Gambang 26300, Malaysia; [Kang, Kang] Lakehead Univ, Biorefining Res Inst BRI, Thunder Bay, ON P7B 5E1, Canada; [Kang, Kang] Lakehead Univ, Dept Chem Engn, Thunder Bay, ON P7B 5E1, Canada; [Khan, Md. Badiuzzaman] Bangladesh Agr Univ, Dept Environm Sci, Mymensingh 2202, Bangladesh; [Horie, Yoshifumi] Kobe Univ, Res Ctr Inland Seas KURCIS, Fukaeminami Machi,Higashinada Ku, Kobe 6580022, Japan; [Nguyen, Thanh-Binh] Natl Kaohsiung Univ Sci &amp; Technol, Inst Aquat Sci &amp; Technol, Kaohsiung 81157, Taiwan; [Jiang, Jheng-Jie] Chung Yuan Christian Univ, Res Ctr Carbon Neutral &amp; Net Zero Emiss, Taoyuan 320314, Taiwan</t>
  </si>
  <si>
    <t>Universiti Malaysia Pahang Al-Sultan Abdullah (UMPSA); Chung Yuan Christian University; Chung Yuan Christian University; Universiti Malaysia Pahang Al-Sultan Abdullah (UMPSA); Lakehead University; Lakehead University; Bangladesh Agricultural University (BAU); Kobe University; National Kaohsiung University of Science &amp; Technology; Chung Yuan Christian University</t>
  </si>
  <si>
    <t>Recent progress of green synthesized and multifunctional metal oxide nanoparticles for advanced environmental remediation: A review</t>
  </si>
  <si>
    <t>JOURNAL OF ENVIRONMENTAL CHEMICAL ENGINEERING</t>
  </si>
  <si>
    <t>Metallic nanoparticles; Green synthesis; Photocatalysis; Catalytic mechanisms; Machine learning</t>
  </si>
  <si>
    <t>REDUCED GRAPHENE OXIDE; LEAF EXTRACT; PHOTOCATALYTIC DEGRADATION; GOLD NANOPARTICLES; HYDROTHERMAL SYNTHESIS; ZIRCONIUM-OXIDE; WASTE-WATER; BIOMEDICAL APPLICATIONS; CO3O4 NANOPARTICLES; ZRO2 NANOPARTICLES</t>
  </si>
  <si>
    <t>Jiang, Jheng-Jie/PMQ-3307-2026; AZIZ, AZRINA/AAI-1803-2021; Solayman, H./NQO-4875-2025; Horie, Yoshifumi/AAT-1955-2021</t>
  </si>
  <si>
    <t>504</t>
  </si>
  <si>
    <t>2213-2929</t>
  </si>
  <si>
    <t>2213-3437</t>
  </si>
  <si>
    <t>J ENVIRON CHEM ENG</t>
  </si>
  <si>
    <t>J. Environ. Chem. Eng.</t>
  </si>
  <si>
    <t>123531</t>
  </si>
  <si>
    <t>10.1016/j.jece.2026.123531</t>
  </si>
  <si>
    <t>http://dx.doi.org/10.1016/j.jece.2026.123531</t>
  </si>
  <si>
    <t>Engineering, Environmental; Engineering, Chemical</t>
  </si>
  <si>
    <t>JU5OM</t>
  </si>
  <si>
    <t>WOS:001798304200001</t>
  </si>
  <si>
    <t>Jauhiainen, S; Rautiainen, I; Vasankari, T; Äyrämö, S</t>
  </si>
  <si>
    <t>Accurate prediction of outcomes after cardiac procedures is critical for personalised decision-making and risk stratification. While machine learning (ML) has shown promise in this domain, most prior studies rely on traditional ML methods that require structured data and manual feature engineering, limiting scalability. Many deep learning (DL) architectures offer an alternative by enabling automated feature extraction, particularly from unstructured data such as text, images, and signals. This scoping review summarises recent advances in DL-based prediction of outcomes for four major cardiovascular procedures: percutaneous coronary intervention (PCI), coronary artery bypass grafting (CABG), aortic valve replacement (AVR), and mitral valvuloplasty. Following PRISMA-ScR guidelines, we searched PubMed and IEEE Xplore for studies published between 2020 and March 2025. Finally, 457 studies were retrieved and nine eligible studies were included after screening. DL models demonstrated varying performance across data types, with particularly strong results for text and imaging tasks. Multimodal approaches combining clinical, imaging, and signal data showed added predictive value. Compared with traditional ML, DL models often reduce the need for manual feature engineering, though they still require preprocessing and validation to mitigate overfitting. Overall, these findings suggest that DL has potential to support preoperative risk stratification, although evidence for clinical utility remains preliminary. Moreover, all included studies lacked external validation, and challenges remain regarding generalisability, explainability, and integration into clinical workflows. Future research should prioritise large, diverse cohorts, multimodal data fusion, and interpretable DL models to enable safe and effective clinical implementation.</t>
  </si>
  <si>
    <t>Jauhiainen, Susanne; Rautiainen, Ilkka; Vasankari, Tommi; Ayramo, Sami</t>
  </si>
  <si>
    <t>Jauhiainen, S (corresponding author), Univ Jyvaskyla, Fac Informat Technol, POB 35, Jyvaskyla 40014, Finland.</t>
  </si>
  <si>
    <t>susanne.m.jauhiainen@jyu.fi</t>
  </si>
  <si>
    <t>Research Council of Finland [356158, 356156]; Jenny and Antti Wihuri Foundation [00230131]</t>
  </si>
  <si>
    <t>Research Council of Finland; Jenny and Antti Wihuri Foundation</t>
  </si>
  <si>
    <t>This study was funded by the Research Council of Finland, project "Personalized digital intervention to decrease sedentary behavior and increase physical activity in rehabilitation after cardiac operations, the PACO trial" (356158, 356156). Susanne Jauhiainen was funded by the Jenny and Antti Wihuri Foundation (grant 00230131).</t>
  </si>
  <si>
    <t>[Jauhiainen, Susanne; Rautiainen, Ilkka; Ayramo, Sami] Univ Jyvaskyla, Fac Informat Technol, Jyvaskyla, Finland; [Vasankari, Tommi] UKK Inst Hlth Promot Res, Tampere, Finland; [Vasankari, Tommi] Tampere Univ, Fac Med &amp; Hlth Technol, Tampere, Finland; [Ayramo, Sami] Wellbeing Serv Cty Cent Finland, Jyvaskyla, Finland; [Jauhiainen, Susanne] Univ Jyvaskyla, Fac Informat Technol, POB 35, Jyvaskyla 40014, Finland</t>
  </si>
  <si>
    <t>University of Jyvaskyla; UKK Institute; Tampere University; University of Jyvaskyla</t>
  </si>
  <si>
    <t>Deep learning for predicting cardiac procedure outcomes: A scoping review of recent advances</t>
  </si>
  <si>
    <t>Machine learning; Deep learning; Unstructured data; Cardiac procedures; Prediction</t>
  </si>
  <si>
    <t>LONG-TERM; CORONARY; CLASSIFICATION; VALIDATION; EVENTS; LESION; COHORT</t>
  </si>
  <si>
    <t>Jauhiainen, Susanne/PXY-5001-2026</t>
  </si>
  <si>
    <t>180</t>
  </si>
  <si>
    <t>103463</t>
  </si>
  <si>
    <t>10.1016/j.artmed.2026.103463</t>
  </si>
  <si>
    <t>http://dx.doi.org/10.1016/j.artmed.2026.103463</t>
  </si>
  <si>
    <t>JO1JT</t>
  </si>
  <si>
    <t>42250347</t>
  </si>
  <si>
    <t>WOS:001793952500001</t>
  </si>
  <si>
    <t>hybrid; Green Accepted</t>
  </si>
  <si>
    <t>Yao, ZM; Wang, Z; Zhan, Y; Wu, XD; Zhang, W; Pei, YS; Zhang, GX; Wang, ZG</t>
  </si>
  <si>
    <t>Generative models have become a foundational technology for medical imaging, supporting image generation, enhancement, segmentation, registration, image-to-image translation, and anomaly detection. Despite the rapid growth of methodological work, the literature still lacks a unified comparative framework that helps practitioners decide between Generative Adversarial Networks, Variational Autoencoders, and diffusion models for specific medical-imaging tasks; existing surveys also provide limited treatment of validation strategies, dataset constraints, and ethical or clinical considerations. This survey reviews representative methods from each model family across six core tasks, covering anomaly detection, image-to-image translation, image generation, segmentation, denoising, and registration, consolidating them into a unified comparison spanning accuracy, computational cost, data requirements, robustness, uncertainty quantification, and practical deployment. We further compile commonly used benchmark datasets together with their scale, diversity, and known limitations, and we critically discuss validation strategies, model complexity and regularization, and ethical, clinical, and practical considerations. Our key findings are threefold. First, no single model family dominates across all tasks, as Generative Adversarial Networks remain leading for image-to-image translation and data augmentation, Variational Autoencoders are well-suited to reconstruction-based anomaly detection where their posterior provides native uncertainty estimates, and diffusion models currently offer the strongest results in image generation, segmentation, and denoising. Second, practical deployment metrics and external validation remain underreported in the literature, which limits clinical translation. Third, domain shift, demographic bias, regulatory uncertainty, and reproducibility are open challenges shared across model families. We close with a conceptual taxonomy organized along the model-family by imaging-task axis and outline future research directions.</t>
  </si>
  <si>
    <t>Yao, Zhaomin; Wang, Zhen; Zhan, Ying; Wu, Xiaodan; Zhang, Wei; Pei, Yusong; Zhang, Guoxu; Wang, Zhiguo</t>
  </si>
  <si>
    <t>Wang, ZG (corresponding author), Gen Hosp Northern Theater Command, Dept Nucl Med, Shenyang 110016, Liaoning, Peoples R China.</t>
  </si>
  <si>
    <t>wangzhiguo5778@163.com</t>
  </si>
  <si>
    <t>Northern Theater General Hospital [ZZKY2024001, ZZKY2024002, ZZKY2024003]; Science, Technology and Innovation Project of Shenzhen Longhua District [20260309G23410662]</t>
  </si>
  <si>
    <t>Northern Theater General Hospital; Science, Technology and Innovation Project of Shenzhen Longhua District</t>
  </si>
  <si>
    <t>This work was supported by Northern Theater General Hospital's independent research projects (ZZKY2024001, ZZKY2024002 and ZZKY2024003) and Science, Technology and Innovation Project of Shenzhen Longhua District (No. 20260309G23410662)</t>
  </si>
  <si>
    <t>[Yao, Zhaomin] Univ Elect Sci &amp; Technol China, Shenzhen Inst Adv Study, Shenzhen 518110, Peoples R China; [Yao, Zhaomin; Zhan, Ying; Wu, Xiaodan; Zhang, Wei; Pei, Yusong; Zhang, Guoxu; Wang, Zhiguo] Gen Hosp Northern Theater Command, Dept Nucl Med, Shenyang 110016, Liaoning, Peoples R China; [Wang, Zhen] Sun Yat Sen Univ, Sch Math &amp; Computat Sci, Guangzhou 510275, Peoples R China</t>
  </si>
  <si>
    <t>University of Electronic Science &amp; Technology of China; Shenzhen Institute for Advanced Study, UESTC; Sun Yat Sen University</t>
  </si>
  <si>
    <t>Applications of generative models in medical imaging:A review</t>
  </si>
  <si>
    <t>Generative models; Medical imaging; Diffusion; Deep learning; Image enhancement</t>
  </si>
  <si>
    <t>ANOMALY DETECTION; IMAGE</t>
  </si>
  <si>
    <t>115349</t>
  </si>
  <si>
    <t>10.1016/j.engappai.2026.115349</t>
  </si>
  <si>
    <t>http://dx.doi.org/10.1016/j.engappai.2026.115349</t>
  </si>
  <si>
    <t>JN0QL</t>
  </si>
  <si>
    <t>WOS:001793221400001</t>
  </si>
  <si>
    <t>Adegboro, OG; Dietlmeier, J; O'Connor, NE; Mazo, C</t>
  </si>
  <si>
    <t>Brain tumors are formed when abnormal cells grow within the brain or its surrounding tissues. Approximately 400 people in Ireland receive a primary brain tumor diagnosis each year. In the US, this number increases to almost 90,000 individuals diagnosed each year. Timely diagnosis of brain tumor is essential to saving lives and significantly reducing treatment costs. To automate this process, different Artificial Intelligence (AI) techniques have been adopted to identify brain tumors in humans. Specifically, various deep learning algorithms have been used to segment and classify brain tumors. In this paper, a systematic review is conducted based on Kitchenham &amp; Charters methodology. We selected seven research questions to identify commonly used methods, datasets, features, metrics, and Explainable AI (XAI) approaches for AI-based analysis of brain tumors. This process starts by sourcing papers that address these techniques via the IEEE Xplore and ACM biblographic databases between January 2013 and December 2024. The papers are then filtered using specifically designed inclusion and exclusion criteria. Out of 3950 papers sourced from two electronic databases, only 101 papers were selected for this review. In summary, despite a focus on segmentation and classification, our findings indicate that no AI methods have been fully adopted in clinical practice. Furthermore, none of the reviewed papers address the specific problem of weakly-supervised brain tumor segmentation, highlighting a clear research gap in the existing literature that warrants further investigation. Also, only four articles on XAI were identified. Given the importance of transparency in network predictions for brain tumor analyses, this fact supports the need for more research in this domain.</t>
  </si>
  <si>
    <t>Adegboro, Oluwabukola G.; Dietlmeier, Julia; O'Connor, Noel E.; Mazo, Claudia</t>
  </si>
  <si>
    <t>Adegboro, OG (corresponding author), Dublin City Univ, Dublin, Ireland.</t>
  </si>
  <si>
    <t>oluwabukola.adegboro2@mail.dcu.ie</t>
  </si>
  <si>
    <t>Taighde Eireann-Research Ireland [18/CRT/6183]</t>
  </si>
  <si>
    <t>Taighde Eireann-Research Ireland</t>
  </si>
  <si>
    <t>This work has emanated from research conducted with the financial support of Taighde Eireann-Research Ireland under grant number 18/CRT/6183. The authors appreciate and acknowledge their kind support. The authors express their gratitude to Dublin City University for providing institutional support and the grounds for conducting this research work.</t>
  </si>
  <si>
    <t>[Adegboro, Oluwabukola G.; Dietlmeier, Julia; O'Connor, Noel E.; Mazo, Claudia] Dublin City Univ, Dublin, Ireland; [Dietlmeier, Julia; O'Connor, Noel E.] Insight Res Ireland Ctr Data Analyt, Dublin, Ireland; [Adegboro, Oluwabukola G.] Res Ireland Ctr Res Training Machine Learning ML L, Dublin, Ireland</t>
  </si>
  <si>
    <t>Dublin City University</t>
  </si>
  <si>
    <t>Artificial intelligence based techniques for brain tumor analysis: A systematic review</t>
  </si>
  <si>
    <t>Artificial intelligence; Brain tumor; Classification; Explainable AI (XAI); Magnetic Resonance Imaging (MRI); Segmentation; Systematic review</t>
  </si>
  <si>
    <t>U-NET; IMAGE CLASSIFICATION; SEGMENTATION; NETWORKS; MODEL</t>
  </si>
  <si>
    <t>Dietlmeier, Julia/JMC-4675-2023</t>
  </si>
  <si>
    <t>103460</t>
  </si>
  <si>
    <t>10.1016/j.artmed.2026.103460</t>
  </si>
  <si>
    <t>http://dx.doi.org/10.1016/j.artmed.2026.103460</t>
  </si>
  <si>
    <t>JJ4OO</t>
  </si>
  <si>
    <t>42235350</t>
  </si>
  <si>
    <t>WOS:001790774500001</t>
  </si>
  <si>
    <t>Adrejiya, P; Alkhatib, DA; Aljaroudi, W</t>
  </si>
  <si>
    <t>Background: Inflammatory and infiltrative cardiomyopathies, including cardiac sarcoidosis,&lt;br /&gt; transthyretin amyloidosis, and autoimmune myocarditis, are frequently underrecognized until advanced myocardial dysfunction develops. Conventional diagnosis of inflammatory and infil-trative cardiomyopathies depends on multimodality imaging and clinical integration, yet inter-pretation remains complex and delayed. AI (Artificial Intelligence) can improve diagnostic suspicion, tissue-based phenotyping, and risk-directed triage by integrating ECG, echocardiog-raphy, dardiac magnetic (CMR), positron emission tomography (PET)/scintigraphy, biomarkers, and Eletronic Health Record (EHR) features.&lt;br /&gt; Methods This narrative review synthesizes contemporary evidence (2018-2026) regarding mul-timodality imaging and emerging Al approaches for early detection and risk-directed manage-ment of inflammatory and infiltrative cardiomyopathies. We emphasize mechanistic integration across electrocardiography, echocardiography, CMR, PET, nuclear scintigraphy, and EHR-derived phenotypes.&lt;br /&gt; Results: Traditional functional assessment incompletely captures subclinical myocardial inflam-mation, interstitial expansion, and arrhythmogenic substrate. Multimodal Al platforms enable weak-signal fusion across imaging, electrophysiologic, and laboratory domains, identifying sub-visual patterns not discernible through conventional interpretation. Disease-specific Al applica-tions demonstrate promise in detecting occult cardiac sarcoidosis prior to overt clinical manifestation, differentiating amyloid phenotypes and expediting nonbiopsy diagnosis, and stratifying myocarditis trajectories. Importantly, Al-derived phenotypes may refine biopsy tar-geting, optimize immunosuppression timing, enhance arrhythmic risk stratification, and guide&lt;br /&gt; heart failure therapy escalation.&lt;br /&gt; Conclunona: Transitioning from conventional functional assessment to multimodal, Al-supported phenotyping represents a paradigm shift in the evaluation of inflammatory and infiltrative car-diomyopathies. Carefully validated and clinically integrated Al tools have the potential to enable earlier diagnosis, individualized therapy, and improved cardiovascular outcomes.&lt;br /&gt;</t>
  </si>
  <si>
    <t>Adrejiya, Parth; Alkhatib, Deya A.; Aljaroudi, Wael</t>
  </si>
  <si>
    <t>Adrejiya, P (corresponding author), Wellstar Spalding Med Ctr, Dept Internal Med, Griffin, GA 30224 USA.</t>
  </si>
  <si>
    <t>parthadrejiya@gmail.com; dalkhatib@augusta.edu; waljaroudi@augusta.edu</t>
  </si>
  <si>
    <t>[Adrejiya, Parth] Wellstar Spalding Med Ctr, Dept Internal Med, Griffin, GA 30224 USA; [Alkhatib, Deya A.; Aljaroudi, Wael] Augusta Univ, Div Cardiol, Dept Med, Med Coll Georgia, Augusta, GA USA; [Alkhatib, Deya A.; Aljaroudi, Wael] Augusta Univ, Med Coll Georgia, Dept Radiol, Augusta, GA USA</t>
  </si>
  <si>
    <t>Augusta University; University System of Georgia; Augusta University; Augusta University; University System of Georgia; Augusta University</t>
  </si>
  <si>
    <t>Multimodal artificial intelligence for early detection and precision management of inflammatory and infiltrative cardiomyopathies</t>
  </si>
  <si>
    <t>CURRENT PROBLEMS IN CARDIOLOGY</t>
  </si>
  <si>
    <t>Artificial intelligence; Autoimmune myocarditis; Cardiac amyloidosis; Cardiac sarcoidosis; Infiltrative cardiomyopathy; Inflammatory cardiomyopathy; Multimodality imaging; Precision cardiology</t>
  </si>
  <si>
    <t>CARDIOVASCULAR MAGNETIC-RESONANCE; POSITRON-EMISSION-TOMOGRAPHY; LATE GADOLINIUM ENHANCEMENT; SUDDEN CARDIAC DEATH; TERM-FOLLOW-UP; EUROPEAN-SOCIETY; PROGNOSTIC VALUE; RISK STRATIFICATION; POSITION STATEMENT; MEDICAL PROGRESS</t>
  </si>
  <si>
    <t>MOSBY-ELSEVIER</t>
  </si>
  <si>
    <t>360 PARK AVENUE SOUTH, NEW YORK, NY 10010-1710 USA</t>
  </si>
  <si>
    <t>0146-2806</t>
  </si>
  <si>
    <t>1535-6280</t>
  </si>
  <si>
    <t>CURR PROB CARDIOLOGY</t>
  </si>
  <si>
    <t>Curr. Probl. Cardiol.</t>
  </si>
  <si>
    <t>103371</t>
  </si>
  <si>
    <t>10.1016/j.cpcardiol.2026.103371</t>
  </si>
  <si>
    <t>http://dx.doi.org/10.1016/j.cpcardiol.2026.103371</t>
  </si>
  <si>
    <t>Cardiac &amp; Cardiovascular Systems</t>
  </si>
  <si>
    <t>Cardiovascular System &amp; Cardiology</t>
  </si>
  <si>
    <t>IW1AP</t>
  </si>
  <si>
    <t>42155787</t>
  </si>
  <si>
    <t>WOS:001781712500001</t>
  </si>
  <si>
    <t>Huda, SMA; Canzaniello, M; Annunziata, D; Piccialli, F</t>
  </si>
  <si>
    <t>Graph-based Federated Learning (GFL) is a decentralized machine learning paradigm that enables graph neural networks to be trained across multiple client devices without sharing raw data. By combining federated optimization with graph representation learning, GFL is particularly suitable for healthcare scenarios where information is both distributed across sites and intrinsically relational (e.g., patient-disease-treatment interactions, biomedical networks, and temporal clinical trajectories). As GFL attracts increasing interest in applications such as disease prediction, medical imaging, and patient monitoring, it becomes essential to develop a comprehensive understanding of the emerging method families and their practical trade-offs. Yet, the literature still lacks a comprehensive, healthcare-centric synthesis that compares GFL approaches and reflects system-level constraints relevant to next-generation computing. To address this gap, in this paper we present a comprehensive survey of GFL in healthcare. We use a PRISMA-guided search and screening protocol to support a rigorous and reproducible literature collection process. We organize the field through a structured taxonomy spanning privacy/security, personalization under heterogeneity, scalability/graph management, and clinical performance. In addition, we summarize commonly used datasets, evaluation metrics, and open-source implementations through reproducibility signals, and we highlight open challenges and promising directions for building secure, scalable, and clinically deployable GFL systems. This survey aims to support researchers in developing more robust and reproducible methods, and to help practitioners understand key assumptions and select suitable GFL designs for real multi-institution healthcare settings.</t>
  </si>
  <si>
    <t>Huda, S. M. Asiful; Canzaniello, Marzia; Annunziata, Daniela; Piccialli, Francesco</t>
  </si>
  <si>
    <t>Piccialli, F (corresponding author), Univ Naples Federico II, Dept Math &amp; Applicat R Caccioppoli, Via Cinthia 26, Naples, Italy.</t>
  </si>
  <si>
    <t>francesco.piccialli@unina.it</t>
  </si>
  <si>
    <t>Marie Curie Doctoral Network [101168344]</t>
  </si>
  <si>
    <t>Marie Curie Doctoral Network (Marie Curie Actions, European Union (EU))</t>
  </si>
  <si>
    <t>This work is partially supported by the project: TUAI: Towards an Understanding of Artificial Intelligence via a transparent, open and explainable perspective, Marie Curie Doctoral Network, ID: 101168344.</t>
  </si>
  <si>
    <t>[Huda, S. M. Asiful; Canzaniello, Marzia; Annunziata, Daniela; Piccialli, Francesco] Univ Naples Federico II, Dept Math &amp; Applicat R Caccioppoli, Via Cinthia 26, Naples, Italy</t>
  </si>
  <si>
    <t>University of Naples Federico II</t>
  </si>
  <si>
    <t>Graph-based federated learning for smart healthcare: A comprehensive survey</t>
  </si>
  <si>
    <t>FUTURE GENERATION COMPUTER SYSTEMS-THE INTERNATIONAL JOURNAL OF ESCIENCE</t>
  </si>
  <si>
    <t>Graph-based federated learning (GFL); Privacy-preserving graph learning; Distributed healthcare AI; Communication-efficient learning; System orchestration; Benchmarking and reproducibility</t>
  </si>
  <si>
    <t>NEURAL-NETWORK; EFFICIENT</t>
  </si>
  <si>
    <t>Canzaniello, Marzia/LSM-2438-2024; Piccialli, Francesco/ABC-2457-2020</t>
  </si>
  <si>
    <t>103</t>
  </si>
  <si>
    <t>0167-739X</t>
  </si>
  <si>
    <t>1872-7115</t>
  </si>
  <si>
    <t>FUTURE GENER COMP SY</t>
  </si>
  <si>
    <t>Futur. Gener. Comp. Syst.</t>
  </si>
  <si>
    <t>183</t>
  </si>
  <si>
    <t>108524</t>
  </si>
  <si>
    <t>10.1016/j.future.2026.108524</t>
  </si>
  <si>
    <t>http://dx.doi.org/10.1016/j.future.2026.108524</t>
  </si>
  <si>
    <t>Computer Science, Theory &amp; Methods</t>
  </si>
  <si>
    <t>GZ7VV</t>
  </si>
  <si>
    <t>WOS:001748936800001</t>
  </si>
  <si>
    <t>Ma, YF; Zhang, YJ; Cao, LJ; Ren, H</t>
  </si>
  <si>
    <t>Crotonylation is a lysine acylation modification that links cellular metabolism to epigenetic regulation. Its rigid planar crotonyl group is specifically recognized by "readers" such as YEATS/DPF and confers strong conformational regulatory capacity on proteins. Crotonyl-CoA, derived from amino acid catabolism, fatty acid beta-oxidation, and gut microbial metabolites, directly modulates crotonylation levels, positioning this modification as a key metabolite sensor. Crotonylation extensively modifies both histones and non-histone proteins, participating in transcription, DNA repair, autophagy, ferroptosis, and metabolic regulation. Dynamic crosstalk with SUMOylation, ubiquitination, and acetylation forms regulatory switches that control genome stability and disease progression. In cancer, crotonylation drives metabolic reprogramming, radio-/chemoresistance, remodeling of the tumor microenvironment, and immune evasion, making it a key and vulnerable therapeutic target. Emerging evidence highlights the involvement of crotonylation in modulating immunotherapy responses and ferroptosis, further expanding its therapeutic relevance. Recent advances in chemical biology and deep learning-such as covalent binders, SiTomics photo-crosslinking probes, and predictive models (e.g., nhKcr, Adapt-Kcr)-enable precise detection and functional interrogation of crotonylation in living cells and clinical samples. Crotonylation marks in clinical specimens show potential as diagnostic and prognostic biomarkers. This review highlights these emerging concepts and discusses the therapeutic potential of targeting crotonylation "writers", "erasers", and "readers" for future precision medicine.</t>
  </si>
  <si>
    <t>Ma, Yifei; Zhang, Yujie; Cao, Lianjing; Ren, He</t>
  </si>
  <si>
    <t>Cao, LJ; Ren, H (corresponding author), Qingdao Univ, Affiliated Hosp, Pancreat Dis Inst, Shandong Prov Key Lab Clin Res Pancreat Dis, Qingdao 266000, Shandong, Peoples R China.</t>
  </si>
  <si>
    <t>herenrh@163.com; caolianjing@163.com</t>
  </si>
  <si>
    <t>The "Intergovernmental International Cooperation on Science and Technology Innovation" Key Special Project of China [2024YFE0104100]; National Natural Science Founda-tion of China [82125026, 82203462, 82330081]; Medicine Plus' Joint Research Program of Qingdao University [YX2024201]; Shandong Postdoctoral Science Foundation [SDZZ-ZR-202501504]</t>
  </si>
  <si>
    <t>The "Intergovernmental International Cooperation on Science and Technology Innovation" Key Special Project of China; National Natural Science Founda-tion of China (National Natural Science Foundation of China (NSFC)); Medicine Plus' Joint Research Program of Qingdao University; Shandong Postdoctoral Science Foundation</t>
  </si>
  <si>
    <t>This work was supported by the the "Intergovernmental International Cooperation on Science and Technology Innovation" Key Special Project of China (2024YFE0104100) National Natural Science Foundation of China (82125026, 82203462 and 82330081) Medicine Plus' Joint Research Program of Qingdao University (No.YX2024201) Shandong Postdoctoral Science Foundation (SDZZ-ZR-202501504) .</t>
  </si>
  <si>
    <t>[Ma, Yifei; Cao, Lianjing; Ren, He] Qingdao Univ, Affiliated Hosp, Pancreat Dis Inst, Shandong Prov Key Lab Clin Res Pancreat Dis, Qingdao 266000, Shandong, Peoples R China; [Ma, Yifei] Qingdao Univ, Coll Publ Hlth, Qingdao 266071, Shandong, Peoples R China; [Zhang, Yujie] Qingdao Univ, Basic Med Coll, Dept Genet &amp; Cell Biol, Qingdao 266000, Shandong, Peoples R China</t>
  </si>
  <si>
    <t>Qingdao University; Qingdao University; Qingdao University</t>
  </si>
  <si>
    <t>Crotonylation: A novel layer of the epigenetic landscape in disease</t>
  </si>
  <si>
    <t>CANCER LETTERS</t>
  </si>
  <si>
    <t>Crotonylation; Short-chain acylation; Histone modification; Metabolic reprogramming; Cancer</t>
  </si>
  <si>
    <t>HISTONE CROTONYLATION; COLORECTAL-CANCER; YEATS DOMAIN; MARK; DEACETYLASES; ACETYLATION; RECOGNITION; ACTIVATION; EXPRESSION; LINKING</t>
  </si>
  <si>
    <t>155</t>
  </si>
  <si>
    <t>0304-3835</t>
  </si>
  <si>
    <t>1872-7980</t>
  </si>
  <si>
    <t>CANCER LETT</t>
  </si>
  <si>
    <t>Cancer Lett.</t>
  </si>
  <si>
    <t>SEP 28 2026</t>
  </si>
  <si>
    <t>656</t>
  </si>
  <si>
    <t>218579</t>
  </si>
  <si>
    <t>10.1016/j.canlet.2026.218579</t>
  </si>
  <si>
    <t>http://dx.doi.org/10.1016/j.canlet.2026.218579</t>
  </si>
  <si>
    <t>JQ3CQ</t>
  </si>
  <si>
    <t>42140345</t>
  </si>
  <si>
    <t>WOS:001795426000001</t>
  </si>
  <si>
    <t>Mohammadi, A</t>
  </si>
  <si>
    <t>Artificial intelligence (AI) is revolutionizing anesthesiology by enhancing the prediction and management of perioperative complications, including intraoperative hypotension, respiratory failure, postoperative nausea and vomiting (PONV), and pain control challenges. This scoping review synthesizes evidence from 82 studies, identified through a systematic search of PubMed, Scopus, Web of Science, and grey literature from January 2010 to September 2025, to map AI techniques, their clinical applications, and limitations. Techniques include Machine Learning (ML) (e.g., random forests, support vector machines), deep learning, natural language processing (NLP), Computer Vision, Bayesian models, and fuzzy logic, applied across preoperative, intraoperative, and postoperative phases. AI models achieve superior predictive accuracy (AUC 0.85-0.94) compared to traditional methods (AUC 0.76-0.88), enabling early detection of complications and reducing opioid use by 15-35%. Applications include preoperative risk stratification, intraoperative monitoring, and postoperative analgesia optimization. Challenges include algorithmic bias, data reliability, interoperability, and real-time integration barriers. Ethical considerations emphasize transparency, equity, and clinician oversight. This review positions AI as a decision-support tool within the P4 medicine framework (Predictive, Preventive, Personalized, Participatory), advocating for validation, ethical frameworks, and integration with anesthesia information management systems (AIMS) to enhance perioperative safety.</t>
  </si>
  <si>
    <t>Mohammadi, Ali</t>
  </si>
  <si>
    <t>Mohammadi, A (corresponding author), Islamic Azad Univ Iran, Med Univ, Dept Anesthesiol, Tabriz Branch, Tabriz, Iran.</t>
  </si>
  <si>
    <t>mhdi0ali1998@gmail.com</t>
  </si>
  <si>
    <t>[Mohammadi, Ali] Islamic Azad Univ Iran, Med Univ, Dept Anesthesiol, Tabriz Branch, Tabriz, Iran</t>
  </si>
  <si>
    <t>Islamic Azad University</t>
  </si>
  <si>
    <t>Artificial intelligence in predicting anesthetic complications: current techniques, clinical applications, and limitations</t>
  </si>
  <si>
    <t>Artificial intelligence; Machine learning; Deep learning; Natural language processing; Computer vision; Anesthesiology; Perioperative complications; Precision medicine</t>
  </si>
  <si>
    <t>MODEL</t>
  </si>
  <si>
    <t>Mohammadi, Ali/ODK-3939-2025</t>
  </si>
  <si>
    <t>SEP 15 2026</t>
  </si>
  <si>
    <t>218</t>
  </si>
  <si>
    <t>106527</t>
  </si>
  <si>
    <t>10.1016/j.ijmedinf.2026.106527</t>
  </si>
  <si>
    <t>http://dx.doi.org/10.1016/j.ijmedinf.2026.106527</t>
  </si>
  <si>
    <t>JN3DR</t>
  </si>
  <si>
    <t>42248065</t>
  </si>
  <si>
    <t>WOS:001793391000001</t>
  </si>
  <si>
    <t>Warren, T; van der Weegen, W; Kool, RB; Hoogendoorn, M; Timmers, T</t>
  </si>
  <si>
    <t>Purpose: Artificial intelligence (AI) can leverage patient-generated health data (PGHD) to support pre-care processes such as triage, symptom assessment, and history-taking. Existing systematic reviews have examined AI clinical decision support, PGHD use, and AI for specific data modalities as separate domains, but none addresses their intersection for pre-care. We aimed to map AI methods and PGHD modalities, synthesize outcomes across technical, clinical, operational, user experience, and equity domains, and identify barriers to deployment and gaps in reporting. Methods: This systematic review was conducted in accordance with the PRISMA 2020 statement and prospectively registered with PROSPERO (CRD420251134235). We searched PubMed, MEDLINE, and Web of Science (January 2020-June 2025) for studies evaluating AI applications using PGHD to support pre-care processes in elective care. Risk of bias was assessed using validated tools appropriate to each study design. Narrative synthesis addressed heterogeneity across outcome domains. Results: Twenty-one studies analyzed PGHD from free text (38%), questionnaires (33%), voice recordings (14%), wearables (10%), and images (5%). Most used classical machine learning (67%), with deep learning present in 43% of studies and large language models emerging recently (14%). Model performance appeared promising, with area under the curve values ranging from 0.64 to 0.98 (median 0.78). However, this evidence has serious limitations: risk of bias was high in 95% of studies, external validation occurred in only 6% of evaluations, and clinical outcomes were measured in just one study. Equity was assessed in only 14% of studies. No study demonstrated patient benefit or described routine clinical deployment. Conclusion: Current evidence establishes proof-of-concept but not proof-of-benefit. The field requires a methodological shift from algorithm development toward prospective validation, clinical outcome measurement, and equity assessment before deployment can be justified.</t>
  </si>
  <si>
    <t>Warren, Tristan; van der Weegen, Walter; Kool, Rudolf B.; Hoogendoorn, Mark; Timmers, Thomas</t>
  </si>
  <si>
    <t>Warren, T (corresponding author), Radboud Univ Nijmegen, Med Ctr, IQ Hlth Sci Dept, POB 9101, NL-6500 HB Nijmegen, Netherlands.</t>
  </si>
  <si>
    <t>tristan.warren@radboudumc.nl</t>
  </si>
  <si>
    <t>[Warren, Tristan; Kool, Rudolf B.; Timmers, Thomas] Radboud Univ Nijmegen, Med Ctr, IQ Hlth Sci Dept, POB 9101, NL-6500 HB Nijmegen, Netherlands; [Warren, Tristan; Timmers, Thomas] Interact Studios, Res &amp; Dev Dept, Parallelweg 27, NL-5223 AL Shertogenbosch, Netherlands; [van der Weegen, Walter] Anna Hosp, Sports &amp; Orthoped Res Ctr, Dept Orthoped Surg, Bogardeind 2, NL-5664 BE Geldrop, Netherlands; [Hoogendoorn, Mark] Vrije Univ Amsterdam, Dept Comp Sci, De Boelelaan 1111, NL-1081 HV Amsterdam, Netherlands</t>
  </si>
  <si>
    <t>Radboud University Nijmegen; Vrije Universiteit Amsterdam</t>
  </si>
  <si>
    <t>Artificial intelligence applications using patient-generated health data for pre-care processes in elective healthcare: a systematic review</t>
  </si>
  <si>
    <t>Artificial intelligence; Patient-generated health data; Pre-care; Triage; Digital health; Systematic review</t>
  </si>
  <si>
    <t>SAFETY; TOOL</t>
  </si>
  <si>
    <t>Timmers, Thomas/W-5659-2019; Kool, Rudolf/L-4447-2015; Warren, Tristan/LVA-1538-2024</t>
  </si>
  <si>
    <t>Hoogendoorn, Mark/0000-0003-3356-3574</t>
  </si>
  <si>
    <t>106525</t>
  </si>
  <si>
    <t>10.1016/j.ijmedinf.2026.106525</t>
  </si>
  <si>
    <t>http://dx.doi.org/10.1016/j.ijmedinf.2026.106525</t>
  </si>
  <si>
    <t>JN3ER</t>
  </si>
  <si>
    <t>42250455</t>
  </si>
  <si>
    <t>WOS:001793393600001</t>
  </si>
  <si>
    <t>hybrid; Green Submitted; Green Published</t>
  </si>
  <si>
    <t>Hajihashemi, V; Gharahbagh, AA; Machado, JJM; Tavares, JMRS</t>
  </si>
  <si>
    <t>Acoustic Event Detection and Classification (AEDC) systems are artificial intelligence technologies widely used in modern audio-based monitoring and decision-support applications. These systems may operate independently or function as perceptual modules within intelligent decision-making frameworks and expert systems. AEDC has been applied in diverse domains, including security monitoring, healthcare diagnostics, environmental surveillance, and industrial maintenance. Although Mel-based features are extensively employed in both traditional machine learning and deep learning AEDC approaches, no comprehensive review has systematically analysed their usage patterns and parameter configurations. This systematic review examines 373 AEDC studies published between 2020 and 2025 that employ Mel-based feature extraction. Five principal feature types are analysed: Log Mel Spectrogram (237 studies), Mel Spectrogram (61 studies), Log Mel Band Energies (34 studies), Mel-Frequency Cepstral Coefficients (36 studies), and Mel Band Energies (5 studies). Four critical Mel-related parameters-number of Mel filters, frame length, overlap percentage, and window type-are evaluated to identify dominant configurations, feature-specific patterns, and temporal trends. Classification architectures are systematically mapped across studies to analyse the relationship between feature selection and model design. The results reveal substantial variability in parameter choices across feature types and application contexts, as well as dominant trends aligned with deep learning frameworks. The review further identifies methodological gaps and outlines research directions to improve the design, reporting, and optimisation of Mel-based AEDC systems.</t>
  </si>
  <si>
    <t>Hajihashemi, Vahid; Gharahbagh, Abdorreza Alavi; Machado, Jose J. M.; Tavares, Joao Manuel R. S.</t>
  </si>
  <si>
    <t>Tavares, JMRS (corresponding author), Univ Porto, Fac Engn, Dept Engn Mecan, Rua Dr Roberto Frias S-N, P-4200465 Porto, Portugal.</t>
  </si>
  <si>
    <t>jjmm@fe.up.pt; up202003516@fe.up.pt; tavares@fe.up.pt; up201912327@edu.fe.up.pt</t>
  </si>
  <si>
    <t>European Regional Development Fund (ERDF) [2021.08660.BD]; Fundacao para a Ciencia e a Tecnologia (FCT) [2021.08660.BD]</t>
  </si>
  <si>
    <t>European Regional Development Fund (ERDF) (European Union (EU)); Fundacao para a Ciencia e a Tecnologia (FCT) (Fundacao para a Ciencia e a Tecnologia (FCT))</t>
  </si>
  <si>
    <t>This article is partially a result of the project "Sensitive Industry", co-funded by the European Regional Development Fund (ERDF), through the Operational Programme for Competitiveness and Internationalisation (COMPETE 2020), under the PORTUGAL 2020 Partnership Agreement. The first author would like to thank "Fundacao para a Ciencia e a Tecnologia (FCT)", in Portugal, for his PhD grant with reference 2021.08660.BD.</t>
  </si>
  <si>
    <t>[Hajihashemi, Vahid; Gharahbagh, Abdorreza Alavi] Univ Porto, Fac Engn, Rua Dr Roberto Frias S-N, P-4200465 Porto, Portugal; [Machado, Jose J. M.; Tavares, Joao Manuel R. S.] Univ Porto, Fac Engn, Dept Engn Mecan, Rua Dr Roberto Frias S-N, P-4200465 Porto, Portugal</t>
  </si>
  <si>
    <t>Mel-based feature extraction for acoustic event detection and classification: A systematic review and research roadmap</t>
  </si>
  <si>
    <t>Mel-based features; Mel spectrogram; Feature extraction methods; Sound event detection and classification</t>
  </si>
  <si>
    <t>Hajihashemi, Vahid/KEZ-9848-2024; Tavares, João/M-5305-2013; /AGR-5989-2022</t>
  </si>
  <si>
    <t>132549</t>
  </si>
  <si>
    <t>10.1016/j.eswa.2026.132549</t>
  </si>
  <si>
    <t>http://dx.doi.org/10.1016/j.eswa.2026.132549</t>
  </si>
  <si>
    <t>IG3KI</t>
  </si>
  <si>
    <t>WOS:001771020900001</t>
  </si>
  <si>
    <t>Gaya-Morey, FX; Buades-Rubio, JM; Palanque, P; Lacuesta, R; Manresa-Yee, C</t>
  </si>
  <si>
    <t>The rapid aging of the global population has highlighted the need for technologies to support elderly, particularly in healthcare and emotional well-being. Facial expression recognition (FER) systems offer a non-invasive means of monitoring emotional states, with applications in assisted living, mental health support, and personalized care. This study presents a systematic review of deep learning-based FER systems, focusing on their applications for the elderly population. Following a systematic methodology, we analyzed 39 studies published over the last decade, addressing challenges such as the scarcity of elderly-specific datasets, class imbalances, and the impact of age-related facial expression differences. Our findings show that convolutional neural networks remain dominant in FER, and especially lightweight versions for resource-constrained environments. However, existing datasets often lack diversity in age representation, and real-world deployment remains limited. Additionally, privacy concerns and the need for explainable artificial intelligence emerged as key barriers to adoption. This review underscores the importance of developing age-inclusive datasets, integrating multimodal solutions, and adopting explainable artificial intelligence techniques to enhance system usability, reliability, and trustworthiness. We conclude by offering recommendations for future research to bridge the gap between academic progress and real-world implementation in elderly care.</t>
  </si>
  <si>
    <t>Gaya-Morey, F. Xavier; Buades-Rubio, Jose M.; Palanque, Philippe; Lacuesta, Raquel; Manresa-Yee, Cristina</t>
  </si>
  <si>
    <t>Gaya-Morey, FX (corresponding author), Univ Illes Balears, Carretera Valldemossa Km 7-5, Palma De Mallorca 07122, Illes Balears, Spain.</t>
  </si>
  <si>
    <t>francesc-xavier.gaya@uib.es; philippe.palanque@irit.fr; lacuesta@unizar.es; cristina.manresa@uib.es; josemaria.buades@uib.es</t>
  </si>
  <si>
    <t>MICIU/AEI [PID2023-149079OB-I00, PID2022-136779OB-C32]; ERDF, EU; FEDER, EU; Ministry of European Funds, University and Culture of the Government of the Balearic Islands</t>
  </si>
  <si>
    <t>MICIU/AEI (Spanish Government); ERDF, EU (European Union (EU)); FEDER, EU (European Union (EU)); Ministry of European Funds, University and Culture of the Government of the Balearic Islands</t>
  </si>
  <si>
    <t>This work is part of the Project PID2023-149079OB-I00 (EX-PLAINME) funded by MICIU/AEI/10.13039/501100011033/and ERDF, EU and of Project PID2022-136779OB-C32 (PLEISAR) funded by MICIU/AEI/10.13039/501100011033/and FEDER, EU. F. X. Gaya-Morey was supported by an FPU scholarship from the Ministry of European Funds, University and Culture of the Government of the Balearic Islands.</t>
  </si>
  <si>
    <t>[Gaya-Morey, F. Xavier; Buades-Rubio, Jose M.; Manresa-Yee, Cristina] Univ Illes Balears, Carretera Valldemossa Km 7-5, Palma De Mallorca 07122, Illes Balears, Spain; [Palanque, Philippe] Univ Toulouse 3, ICS IRIT, Paul Sabatier, 118 Rte Narbonne, F-31062 Toulouse, France; [Lacuesta, Raquel] Univ Zaragoza, Inst Nanociencia Aragon, C Pedro Cerbuna 12, Zaragoza 50009, Aragon, Spain</t>
  </si>
  <si>
    <t>Universitat de les Illes Balears; Communaute d'universites et etablissements de Toulouse (Comue); Universite de Toulouse (EPE); University of Zaragoza</t>
  </si>
  <si>
    <t>Deep learning-based facial expression recognition for the elderly: A systematic review</t>
  </si>
  <si>
    <t>Facial expression recognition; Deep learning; Computer vision; Elderly</t>
  </si>
  <si>
    <t>DATABASE; FEATURES; EMOTION; MODELS; EXPLANATIONS; VALIDATION; NETWORKS; MEMORY</t>
  </si>
  <si>
    <t>Palanque, Philippe/IAM-9981-2023; Buades Rubio, Jose Maria/G-4232-2015; Gaya Morey, Francesc/GRY-6584-2022</t>
  </si>
  <si>
    <t>132709</t>
  </si>
  <si>
    <t>10.1016/j.eswa.2026.132709</t>
  </si>
  <si>
    <t>http://dx.doi.org/10.1016/j.eswa.2026.132709</t>
  </si>
  <si>
    <t>HZ4EA</t>
  </si>
  <si>
    <t>WOS:001766322800001</t>
  </si>
  <si>
    <t>Eroshkin, AA; Jia, YX; Fu, ZK; Pang, YX; Xiao, YB; He, SL; Wang, G; Khatsko, SL; Zhdanov, AV; Perfilova, VN; Yang, LE; Cui, JH; Stewart, AM; Quintanilha, TM; de Abreu, MS; Kalueff, AV</t>
  </si>
  <si>
    <t>Artificial intelligence (AI) is rapidly revolutionizing biomedical research. Empowered by enhanced object recognition and modern machine learning protocols, AI tools detect subtle patterns in human and animal behavior, efficiently quantifying and classifying them using supervised and unsupervised learning approaches. Complementing rodent studies, the zebrafish (Danio rerio) represents a crucial model organism in neuroscience research with well-characterized quantifiable behaviors, high-throughput potential and high genetic, neurochemical, and neuroanatomical homology to humans. The integration of AI strategies into zebrafish neuroscience research enhances behavioral endpoint monitoring, efficient processing and interpretation of data, establishing high-throughput screens and finding critical connections among behavioral and molecular endpoints. Here, we discuss the current status of the application of AI methods in zebrafish neurobehavioral research, as well as its limitations, future research directions, and remaining open questions in the field, with a particular focus on the use of AI in behavioral analyses and neuroactive drug discovery.</t>
  </si>
  <si>
    <t>Eroshkin, Aleksander A.; Jia, Yuxiang; Fu, Zhike; Pang, Yixuan; Xiao, Yubo; He, Shulei; Wang, Gan; Khatsko, Sergey L.; Zhdanov, Aleksandr, V; Perfilova, Valentina N.; Yang, Longen; Cui, Jiahao; Stewart, Adam Michael; Quintanilha, Thalia M.; de Abreu, Murilo S.; Kalueff, Allan, V</t>
  </si>
  <si>
    <t>de Abreu, MS (corresponding author), Fed Univ Hlth Sci Porto Alegre, Grad Program Hlth Sci, Porto Alegre, Brazil.; Kalueff, AV (corresponding author), St Petersburg State Univ, Inst Translat Biomed, St Petersburg, Russia.</t>
  </si>
  <si>
    <t>abreu_murilo@hotmail.com; avkalueff@gmail.com</t>
  </si>
  <si>
    <t>School of Science and SURF-2025 Program of Xian-Jiaotong-Liverpool University (XJTLU), Suzhou, China</t>
  </si>
  <si>
    <t>The study was supported by the School of Science and SURF-2025 Program of Xian-Jiaotong-Liverpool University (XJTLU), Suzhou, China. The authors thank Qiyue Wang for his assistance with illustrations for this paper.</t>
  </si>
  <si>
    <t>[Eroshkin, Aleksander A.; Khatsko, Sergey L.; Zhdanov, Aleksandr, V] Ural Fed Univ, Ekaterinburg, Russia; [Jia, Yuxiang; Fu, Zhike; Pang, Yixuan; Xiao, Yubo; He, Shulei; Wang, Gan; Yang, Longen; Cui, Jiahao] Xian Jiaotong Liverpool Univ, Sch Sci, Dept Biosci &amp; Bioinformat, Suzhou, Peoples R China; [Perfilova, Valentina N.] Volgograd State Med Univ, Volgograd, Russia; [Stewart, Adam Michael; de Abreu, Murilo S.; Kalueff, Allan, V] Int Zebrafish Neurosci Res Consortium, New Orleans, LA USA; [Quintanilha, Thalia M.; de Abreu, Murilo S.] Fed Univ Hlth Sci Porto Alegre, Grad Program Hlth Sci, Porto Alegre, Brazil; [Kalueff, Allan, V] St Petersburg State Univ, Inst Translat Biomed, St Petersburg, Russia; [Kalueff, Allan, V] M Heratsi Yerevan State Med Univ, COBRAIN Ctr, Yerevan, Armenia</t>
  </si>
  <si>
    <t>Xi'an Jiaotong-Liverpool University; Volgograd State Medical University; Saint Petersburg State University; Yerevan State Medical University</t>
  </si>
  <si>
    <t>Swimming in the future already: the use of AI in zebrafish neurobehavioral research and CNS drug screening</t>
  </si>
  <si>
    <t>NEUROSCIENCE</t>
  </si>
  <si>
    <t>Zebrafish; Artificial intelligence; Machine learning; Behavioral models; Behavior</t>
  </si>
  <si>
    <t>BEHAVIOR; MODELS; CONSEQUENCES; RELEVANCE; CAFFEINE; STRESS; BRAIN</t>
  </si>
  <si>
    <t>Kalueff, Allan/AAB-8620-2022; Mesquita Quintanilha, Thalia/NXB-7806-2025; Perfilova, Valentina/G-9854-2013; Sander de Abreu, Murilo/J-9756-2015; Khatsko, Sergey/E-3215-2017</t>
  </si>
  <si>
    <t>0306-4522</t>
  </si>
  <si>
    <t>1873-7544</t>
  </si>
  <si>
    <t>Neuroscience</t>
  </si>
  <si>
    <t>SEP 11 2026</t>
  </si>
  <si>
    <t>611</t>
  </si>
  <si>
    <t>354</t>
  </si>
  <si>
    <t>366</t>
  </si>
  <si>
    <t>10.1016/j.neuroscience.2026.07.014</t>
  </si>
  <si>
    <t>http://dx.doi.org/10.1016/j.neuroscience.2026.07.014</t>
  </si>
  <si>
    <t>Neurosciences</t>
  </si>
  <si>
    <t>LI9EL</t>
  </si>
  <si>
    <t>42425263</t>
  </si>
  <si>
    <t>WOS:001825672100001</t>
  </si>
  <si>
    <t>Banik, I; Coppé, JP</t>
  </si>
  <si>
    <t>Given the plethora of emerging technologies, none have truly captured the minds as CRISPR. From the groundbreaking research, the ultimate battle of the prizes and patents to a number of books, the science of CRISPR continues to be significant in the biomedical field. For many decades now, the emergence of synthetic biology as an intervention to correct diseases has become the foundation of biomedical research. (CRISPR)-based genetic editing has become a common place for routine investigation of scientific hypotheses in pre-clinical settings. More recently, CRISPR-based diagnostic testing kits for SARS-CoV-2 have showcased a translational output. Furthermore, a technological landmark was achieved when the Food and Drug Administration (FDA) approved the first CRISPR-based gene therapy (exa-cel) to edit erythroid specific enhancer region of BCL11A in hematopoietic stem cells, introduced in patients suffering from sickle cell anemia to achieve durable remission. In this review, we provide a snapshot into the most important milestones along the journey of CRISPR from its discovery in bacteria to its usage in precision medicine. The intervention of machine learning tools has now intertwined complex biology with high-throughput scalable outputs. Given the vast amount of information on CRISPR, we try to pin down key take-home messages for scientists as well as non-scientist readers. This review article attempts to understand why and how CRISPR remains significant and seamlessly integrates in the emerging era of new technologies.</t>
  </si>
  <si>
    <t>Banik, Ishani; Coppe, Jean-Philippe</t>
  </si>
  <si>
    <t>Banik, I (corresponding author), Univ Calif San Francisco, Dept Radiat Oncol, San Francisco, CA 94118 USA.</t>
  </si>
  <si>
    <t>ishani.banik@ucsf.edu</t>
  </si>
  <si>
    <t>[Banik, Ishani; Coppe, Jean-Philippe] Univ Calif San Francisco, Dept Radiat Oncol, San Francisco, CA 94118 USA</t>
  </si>
  <si>
    <t>University of California San Francisco; University of California System; University of California San Francisco</t>
  </si>
  <si>
    <t>CRISPRing through time: How cutting-edge technology is revolutionizing life sciences and medicine</t>
  </si>
  <si>
    <t>MOLECULAR THERAPY NUCLEIC ACIDS</t>
  </si>
  <si>
    <t>HUMAN-CELLS; ESCHERICHIA-COLI; DNA RECOGNITION; POOLED SCREENS; GENE-TRANSFER; RNA; CRISPR-CAS9; CAS9; DELIVERY; COMPLEX</t>
  </si>
  <si>
    <t>126</t>
  </si>
  <si>
    <t>CELL PRESS</t>
  </si>
  <si>
    <t>CAMBRIDGE</t>
  </si>
  <si>
    <t>50 HAMPSHIRE ST, FLOOR 5, CAMBRIDGE, MA 02139 USA</t>
  </si>
  <si>
    <t>2162-2531</t>
  </si>
  <si>
    <t>MOL THER NUCL ACIDS</t>
  </si>
  <si>
    <t>Mol. Ther. Nucl. Acids</t>
  </si>
  <si>
    <t>SEP 8 2026</t>
  </si>
  <si>
    <t>37</t>
  </si>
  <si>
    <t>103003</t>
  </si>
  <si>
    <t>10.1016/j.omtn.2026.103003</t>
  </si>
  <si>
    <t>http://dx.doi.org/10.1016/j.omtn.2026.103003</t>
  </si>
  <si>
    <t>LP5QA</t>
  </si>
  <si>
    <t>42494498</t>
  </si>
  <si>
    <t>WOS:001830175900001</t>
  </si>
  <si>
    <t>Rovira, E; Moreno, B; Pastor, F; Fortes, P</t>
  </si>
  <si>
    <t>Regulation with riboswitches, which induce or repress gene expression in response to a ligand, is moving from proof-of-concept studies to robust clinical-grade gene therapies. These initial stages in RNA-based precision medicine will soon benefit from the next generation of riboswitches, whose engineering results from the combination of deep learning, structural biology, and innovative selection technologies. Recent breakthroughs in these strategies now allow for the identification of riboswitches responsive to wisely chosen pre-selected ligands. Selection of the best RNA-friendly and clinically relevant ligands is within the focus of this review. We analyze natural riboswitches in bacteria and eukaryotes and their distinct ligands. We describe how the field of riboswitch design has moved from traditional to novel strategies for identifying switches that function to regulate expression in vivo with bespoke ligands. We provide a rational analysis of the key features the ideal ligands must hold to grant functionality and ease clinical translation. Future developments may allow autonomous regulators, controlled by disease-generated metabolites, capable of disease control with no human intervention.</t>
  </si>
  <si>
    <t>Rovira, Eric; Moreno, Beatriz; Pastor, Fernando; Fortes, Puri</t>
  </si>
  <si>
    <t>Fortes, P (corresponding author), Univ Navarra UNAV, Ctr Appl Med Res CIMA, RNA Biol &amp; Therapy Dept, Pamplona 31008, Spain.</t>
  </si>
  <si>
    <t>pfortes@unav.es</t>
  </si>
  <si>
    <t>EU</t>
  </si>
  <si>
    <t>EU (European Union (EU))</t>
  </si>
  <si>
    <t>This work was supported by grants from Instituto de Salud Carlos III and Co-founded by the European Union (Feder funding, PI23/01120) and Asociacion Espanola Contra el Cancer (AECC PRYES235096PAST) to F.P., Gobierno de Navarra Estrategicos "REVOLUTION" (0011-1411-2024-000110) to F.P. and P.F., and "la Caixa" Foundation (RNA4CURE; LCF/PR/HR24/52440009) and PDC2022-133961-I00, and PID2021-128791OB-I00 from Ministerio de Ciencia innovacio MCIN/AEI/10.13039/501100011033/FEDER, UE to P.F. P.F. is also supported by the Instituto de Salud Carlos III, which finances Centro de Investigacion Biomedica en Red de Enfermedades Hepaticas y Digestivas (CIBEREhd), financed by the EU (NextGenerationEU. Plan de Recuperacion Transformacion y Resiliencia).r Hepaticas y Digestivas (CIBEREhd) , financed by the EU (NextGenerationEU. Plan de Recuperacion Transformacion y Resiliencia) .</t>
  </si>
  <si>
    <t>[Rovira, Eric; Fortes, Puri] Univ Navarra UNAV, Ctr Appl Med Res CIMA, RNA Biol &amp; Therapy Dept, Pamplona 31008, Spain; [Rovira, Eric; Moreno, Beatriz; Pastor, Fernando] Univ Navarra UNAV, Ctr Appl Med Res CIMA, Dept Mol Therapy, Aptamer Unit, Pamplona 31008, Spain; [Pastor, Fernando] Navarra Inst Hlth Res IdiSNA, Pamplona 31008, Spain; [Fortes, Puri] Liver &amp; Digest Dis Networking Biomed Res Ctr CIBER, Madrid 28029, Spain; [Pastor, Fernando; Fortes, Puri] CCUN Canc Ctr Clin Univ Navarra, Pamplona 31008, Spain; [Pastor, Fernando; Fortes, Puri] Ctr Invest Biomed Red Canc CIBERONC, Madrid 28029, Spain; [Moreno, Beatriz] Univ Navarra, Sch Med, Dept Pathol Anat &amp; Physiol, Pamplona, Spain</t>
  </si>
  <si>
    <t>University of Navarra; University of Navarra; University of Navarra; CIBER - Centro de Investigacion Biomedica en Red; CIBERONC; University of Navarra</t>
  </si>
  <si>
    <t>Mammalian therapeutic riboswitches: Engineering and custom ligands</t>
  </si>
  <si>
    <t>GENE-EXPRESSION; SMALL MOLECULES; SYNTHETIC RIBOSWITCHES; LIVING CELLS; G-QUADRUPLEX; RNA; APTAMER; DESIGN; SELECTION; SWITCHES</t>
  </si>
  <si>
    <t>Fortes, Puri/J-7872-2016; Pastor, Fernando/T-6239-2017</t>
  </si>
  <si>
    <t>157</t>
  </si>
  <si>
    <t>103000</t>
  </si>
  <si>
    <t>10.1016/j.omtn.2026.103000</t>
  </si>
  <si>
    <t>http://dx.doi.org/10.1016/j.omtn.2026.103000</t>
  </si>
  <si>
    <t>LP5WV</t>
  </si>
  <si>
    <t>42494497</t>
  </si>
  <si>
    <t>WOS:001830193600001</t>
  </si>
  <si>
    <t>Nowroozi, MR; Madani, MH; Farzin, A; Mazdak, M; Niroomand, H; Hajiasadi, E; Torkamani, ZT; Sharifi, L; Aminsharifi, A</t>
  </si>
  <si>
    <t>Neoadjuvant chemotherapy (NAC) followed by radical cystectomy is the standard of care for muscle-invasive bladder cancer (MIBC), yet treatment response is highly variable and current clinical predictors are inadequate. Deep learning (DL) offers a data-driven approach for modeling complex medical data and may improve response prediction. The objective of this systematic review was to systematically evaluate the performance, methodological rigor, and clinical applicability of DL models for predicting treatment response to NAC in patients with MIBC. Following PRISMA 2020 guidelines, we systematically searched 14 databases and clinical trial registries for studies applying DL models to predict NAC response in MIBC. Eligible studies included those using imaging or omics data and reporting quantitative performance metrics. Methodological quality was assessed using Prediction model Of Bias Assessment Tool (PROBAST) and APPRAISE-AI framework. Twelve studies comprising at least 1,575 unique patients were included. Most employed convolutional neural networks (CNNs), with some integrating radiomics, transcriptomics, or large language models. Reported area under the receiver operating characteristic curves ranged from 0.69 to 0.89, with hybrid models consistently outperforming standard CNNs. While clinical relevance and data quality were generally strong, as assessed by APPRAISE-AI, reproducibility and external validation were frequently limited. Using PROBAST, risk of bias was low in several domains, but concerns persisted regarding outcome definition and analytical rigor. DL models, particularly those integrating imaging with radiomics or clinical features, demonstrate promising potential for predicting response to NAC in MIBC. However, methodological inconsistencies and limited external validation currently constrain their clinical translation. Future research should prioritize prospective, multi-center validation, and standardized multi-modal integration to enable safe and effective clinical deployment. (c) 2026 Elsevier Inc. All rights are reserved, including those for text and data mining, AI training, and similar technologies.</t>
  </si>
  <si>
    <t>Nowroozi, Mohammad Reza; Madani, Mohammad Hamidi; Farzin, Amirreza; Mazdak, Mehrdad; Niroomand, Hassan; Hajiasadi, Ehsan; Torkamani, Zahra Tahamtani; Sharifi, Laleh; Aminsharifi, Alireza</t>
  </si>
  <si>
    <t>Aminsharifi, A (corresponding author), Penn State Univ, Milton S Hershey Med Ctr, Dept Urol, Hershey, PA 17033 USA.</t>
  </si>
  <si>
    <t>aaminsharifi@pennstatehealth.psu.edu</t>
  </si>
  <si>
    <t>[Nowroozi, Mohammad Reza; Madani, Mohammad Hamidi; Farzin, Amirreza; Niroomand, Hassan; Hajiasadi, Ehsan; Torkamani, Zahra Tahamtani; Sharifi, Laleh] Univ Tehran Med Sci, Uro Oncol Res Ctr, Dept Urol, Tehran, Iran; [Mazdak, Mehrdad] St Bernward Hosp Hildesheim, Dept Urol, Hildesheim, Germany; [Hajiasadi, Ehsan] Qazvin Univ Med Sci, Student Res Comm, Qazvin, Iran; [Hajiasadi, Ehsan] Qazvin Univ Med Sci, Sch Med, Dept Urol, Qazvin, Iran; [Torkamani, Zahra Tahamtani] Univ Tehran Med Sci, Sch Med, Tehran, Iran; [Aminsharifi, Alireza] Penn State Univ, Milton S Hershey Med Ctr, Dept Urol, Hershey, PA 17033 USA</t>
  </si>
  <si>
    <t>Tehran University of Medical Sciences; Qazvin University of Medical Sciences (QUMS); Qazvin University of Medical Sciences (QUMS); Tehran University of Medical Sciences; Pennsylvania Commonwealth System of Higher Education (PCSHE); Pennsylvania State University; Penn State Health</t>
  </si>
  <si>
    <t>Deep learning approaches for predicting response to neoadjuvant chemotherapy in muscle invasive bladder cancer: A systematic review</t>
  </si>
  <si>
    <t>UROLOGIC ONCOLOGY-SEMINARS AND ORIGINAL INVESTIGATIONS</t>
  </si>
  <si>
    <t>Muscle invasive bladder cancer; Neoadjuvant chemotherapy; Deep learning; Treatment response prediction; Radiomics; Convolutional Neural Networks (CNNs); Machine learning; Artificial intelligence; Bladder cancer</t>
  </si>
  <si>
    <t>HETEROGENEITY; SURVIVAL; RISK; CT</t>
  </si>
  <si>
    <t>36</t>
  </si>
  <si>
    <t>1078-1439</t>
  </si>
  <si>
    <t>1873-2496</t>
  </si>
  <si>
    <t>UROL ONCOL-SEMIN ORI</t>
  </si>
  <si>
    <t>Urol. Oncol.-Semin. Orig. Investig.</t>
  </si>
  <si>
    <t>SEP 2026</t>
  </si>
  <si>
    <t>44</t>
  </si>
  <si>
    <t>305</t>
  </si>
  <si>
    <t>316</t>
  </si>
  <si>
    <t>10.1016/j.urolonc.2026.06.008</t>
  </si>
  <si>
    <t>http://dx.doi.org/10.1016/j.urolonc.2026.06.008</t>
  </si>
  <si>
    <t>Oncology; Urology &amp; Nephrology</t>
  </si>
  <si>
    <t>MZ0QZ</t>
  </si>
  <si>
    <t>42481282</t>
  </si>
  <si>
    <t>WOS:001854286400001</t>
  </si>
  <si>
    <t>Ra, Y; Kim, YS; Jun, Y; Hwang, S; Chae, J; Yu, S; Kim, H; Jang, S; Cho, S; Lee, Y; Hwang, HJ; Choi, D</t>
  </si>
  <si>
    <t>Wearable and biomedical electronics are shifting from intermittent, user-activated devices toward continuously operating, context-aware systems for long-term monitoring and therapy. This paradigm shift exposes fundamental limitations of conventional battery-centered architectures in terms of bulk, rigidity, maintenance burden, and compatibility with chronic skin/tissue integration. Triboelectric nanogenerators (TENGs), which convert low-frequency mechanical stimuli into electrical outputs through triboelectrification and electrostatic induction, have emerged as a compelling platform for intelligent self-powered healthcare because they can harvest biomechanical energy while simultaneously generating information-rich sensing signals in soft, conformal, and biointerface-compatible formats. This review presents a multi-scale and translational perspective on triboelectricity-based intelligent self-powered healthcare, spanning from bio-interfaced fundamental mechanisms to system integration. First, the operating physics of TENGs are analyzed from the viewpoint of mechanically driven electromechanical transduction. Key design strategies for wearable platforms are also discussed, including mode selection, biointerface engineering, skin compatibility, and strategies to enhance performance under low-frequency, irregular human motion through materials modulation and mechanical/kinematic design. On top of that, wearable healthcare applications in which triboelectric systems function as self-powered sensors and/or energy harvesting modules are discussed. The application scope covers across three major directions: human-machine interfaces and rehabilitation assistance, autonomous wireless monitoring and multimodal biosignal sensing, and wearable therapeutic platforms. Then, the implantable and bio-integrated triboelectric systems are discussed with classification of them according to the origin of biomechanical excitation-voluntary musculoskeletal motion versus autonomic visceral organ motion. Furthermore, this review examines system-level opportunities and challenges. These include power management for intermittent outputs and dual-signal utilization for concurrent energy extraction and sensing. Machine-learning-based analytics for nonlinear triboelectric waveforms are also addressed, along with translational barriers related to regulation, standardization, ethics, and long-term reliability. By connecting device physics, biointerface design, application architectures, and clinical translation requirements, this review delineates the critical pathways toward deployable TENG-enabled biointerface systems for personalized, continuous, and minimally invasive intelligent healthcare.</t>
  </si>
  <si>
    <t>Ra, Yoonsang; Kim, Yu-seop; Jun, Yusang; Hwang, Seonghun; Chae, Joonmin; Yu, Seonmin; Kim, Hayoung; Jang, Sunmin; Cho, Sumin; Lee, Younghoon; Hwang, Hee Jae; Choi, Dongwhi</t>
  </si>
  <si>
    <t>Lee, Y; Choi, D (corresponding author), Kyung Hee Univ, Dept Mech Engn, 1732 Deogyeong Daero, Yongin 17104, South Korea.; Hwang, HJ (corresponding author), Kumoh Natl Inst Technol, Sch Mech Syst Engn, 61 Daehak Ro, Gumi Si 39177, Gyeongsangbuk D, South Korea.</t>
  </si>
  <si>
    <t>hjhwang@kumoh.ac.kr; lyh@khu.ac.kr; dongwhi.choi@khu.ac.kr</t>
  </si>
  <si>
    <t>National Research Foundation of Korea (NRF) - Korea government (MSIT) [RS-2024-00344920]; Korea Institute of Energy Technology Evaluation and Planning (KETEP); Ministry of Climate, Energy &amp; Environment (MCEE) of the Republic of Korea [RS-2023-00244330]</t>
  </si>
  <si>
    <t>National Research Foundation of Korea (NRF) - Korea government (MSIT); Korea Institute of Energy Technology Evaluation and Planning (KETEP); Ministry of Climate, Energy &amp; Environment (MCEE) of the Republic of Korea</t>
  </si>
  <si>
    <t>This work was supported by the National Research Foundation of Korea (NRF) grant funded by the Korea government (MSIT) (RS-2024-00344920) . This work was also supported by the Korea Institute of Energy Technology Evaluation and Planning (KETEP) and the Ministry of Climate, Energy &amp; Environment (MCEE) of the Republic of Korea (No. RS-2023-00244330) . This work was supported by the Korea Institute of Energy Technology Evaluation and Planning (KETEP) and the Ministry of Climate, Energy &amp; Environment (MCEE) of the Republic of Korea (No. RS-2023-00244330) .</t>
  </si>
  <si>
    <t>[Ra, Yoonsang] Chonnam Natl Univ, Sch Mech Engn, 77 Yongbong Ro, Gwangju 61186, South Korea; [Kim, Yu-seop; Jun, Yusang; Hwang, Seonghun; Chae, Joonmin; Yu, Seonmin; Kim, Hayoung; Lee, Younghoon; Choi, Dongwhi] Kyung Hee Univ, Dept Mech Engn, 1732 Deogyeong Daero, Yongin 17104, South Korea; [Jang, Sunmin; Cho, Sumin; Choi, Dongwhi] Kyung Hee Univ, Dept Mech Engn, Integrated Engn Program, 1732 Deogyeong Daero, Yongin 17104, South Korea; [Jang, Sunmin] North Carolina State Univ, Dept Chem &amp; Biomol Engn, Raleigh, NC 27695 USA; [Cho, Sumin] Univ Calif Los Angeles, Dept Bioengn, Los Angeles, CA USA; [Hwang, Hee Jae] Kumoh Natl Inst Technol, Sch Mech Syst Engn, 61 Daehak Ro, Gumi Si 39177, Gyeongsangbuk D, South Korea</t>
  </si>
  <si>
    <t>Chonnam National University; Kyung Hee University; Kyung Hee University; North Carolina State University; University of California System; University of California Los Angeles</t>
  </si>
  <si>
    <t>Triboelectricity-driven intelligent self-powered healthcare: From fundamental bio-Interface mechanisms to system integration</t>
  </si>
  <si>
    <t>CURRENT OPINION IN SOLID STATE &amp; MATERIALS SCIENCE</t>
  </si>
  <si>
    <t>Triboelectric nanogenerators; Self-powered healthcare; Biointerface engineering; Machine-learning-based analytics; Bio-interface systems</t>
  </si>
  <si>
    <t>BIOMECHANICAL ENERGY; NANOGENERATORS; SENSOR; DESIGN; SOFT</t>
  </si>
  <si>
    <t>258</t>
  </si>
  <si>
    <t>1359-0286</t>
  </si>
  <si>
    <t>1879-0348</t>
  </si>
  <si>
    <t>CURR OPIN SOLID ST M</t>
  </si>
  <si>
    <t>Curr. Opin. Solid State Mat. Sci.</t>
  </si>
  <si>
    <t>101290</t>
  </si>
  <si>
    <t>10.1016/j.cossms.2026.101290</t>
  </si>
  <si>
    <t>http://dx.doi.org/10.1016/j.cossms.2026.101290</t>
  </si>
  <si>
    <t>Materials Science, Multidisciplinary; Physics, Applied; Physics, Condensed Matter</t>
  </si>
  <si>
    <t>Materials Science; Physics</t>
  </si>
  <si>
    <t>MY6FM</t>
  </si>
  <si>
    <t>WOS:001853986100001</t>
  </si>
  <si>
    <t>Yu, ZH; Zhao, HX; Zhang, WC; Song, W; Zheng, Y; Nappi, M; Chen, JX</t>
  </si>
  <si>
    <t>As a fundamental task in restoring continuous visual signals, image inpainting plays a critical role in autonomous driving perception, medical imaging, video editing and digital heritage preservation. Driven by deep learning and large-scale generative models, the field has transitioned from low-level texture synthesis to high-level semantic generation, yielding major breakthroughs in structural fidelity and visual realism. Centring on the generative paradigm as the architectural trajectory, this survey systematically categorizes the 30-year evolution of image inpainting into three distinct technological generations: traditional prior-driven synthesis, deep learning data-driven reconstruction and modern foundation model-driven generation. Despite this progress, highly competitive methods still struggle with large-scale missing regions, global consistency in complex scenes, fine-grained micro-details and alignment with human visual perception. To address these gaps, we critically evaluate the technical paradigms and main bottlenecks within each of these evolutionary stages. We categorize and compare mainstream breakthroughs across high-resolution restoration, text-guided synthesis and complex scene generation. Furthermore, we compile standard benchmarks, evaluation metrics and quantitative performance comparisons of representative algorithms. Finally, we dissect open challenges-focusing on cross-scene generalization and evaluation metric alignment-and outline future trajectories, particularly the integration of inpainting with text-guided foundation models, providing a definitive reference for future theoretical and engineering advancements.</t>
  </si>
  <si>
    <t>Yu, Zhenhua; Zhao, Hengxiang; Zhang, Wenchao; Song, Wei; Zheng, Yu; Nappi, Michele; Chen, Junxin</t>
  </si>
  <si>
    <t>Zhang, WC (corresponding author), Xian Univ Sci &amp; Technol, Coll Artificial Intelligence &amp; Comp Sci, Xian, Peoples R China.</t>
  </si>
  <si>
    <t>zhangwenchao@xust.edu.cn</t>
  </si>
  <si>
    <t>Fundamental Research Funds for the Central Universities [DUT25YG229, N25LPY007, N25LPY024]; Key Research and Development Projects of Shaanxi Province [2024CY2-GJHX-43]; Xiaomi Young Talents Program</t>
  </si>
  <si>
    <t>Fundamental Research Funds for the Central Universities (Fundamental Research Funds for the Central Universities); Key Research and Development Projects of Shaanxi Province; Xiaomi Young Talents Program</t>
  </si>
  <si>
    <t>This work was supported by Key Research and Development Projects of Shaanxi Province (2024CY2-GJHX-43); Fundamental Research Funds for the Central Universities (Nos. DUT25YG229, N25LPY007, N25LPY024); Xiaomi Young Talents Program.</t>
  </si>
  <si>
    <t>[Yu, Zhenhua; Zhao, Hengxiang; Zhang, Wenchao] Xian Univ Sci &amp; Technol, Coll Artificial Intelligence &amp; Comp Sci, Xian, Peoples R China; [Song, Wei] Northeastern Univ, Sch Comp Sci &amp; Engn, Shenyang, Peoples R China; [Zheng, Yu] Univ Calif Irvine, Dept Elect Engn &amp; Comp Sci, Irvine, CA USA; [Nappi, Michele] Univ Salerno, Dept Comp Sci, Fisciano, Italy; [Chen, Junxin] Dalian Univ Technol, Sch Software, Dalian, Peoples R China</t>
  </si>
  <si>
    <t>Xi'an University of Science &amp; Technology; Northeastern University - China; University of California System; University of California Irvine; University of Salerno; Dalian University of Technology</t>
  </si>
  <si>
    <t>Image Inpainting in 30 Years: A Survey</t>
  </si>
  <si>
    <t>EXPERT SYSTEMS</t>
  </si>
  <si>
    <t>autoencoders; diffusion models; generative adversarial networks; image inpainting; semantic reconstruction</t>
  </si>
  <si>
    <t>OBJECT REMOVAL; COMPLETION; MODELS</t>
  </si>
  <si>
    <t>WILEY</t>
  </si>
  <si>
    <t>HOBOKEN</t>
  </si>
  <si>
    <t>111 RIVER ST, HOBOKEN 07030-5774, NJ USA</t>
  </si>
  <si>
    <t>0266-4720</t>
  </si>
  <si>
    <t>1468-0394</t>
  </si>
  <si>
    <t>EXPERT SYST</t>
  </si>
  <si>
    <t>Expert Syst.</t>
  </si>
  <si>
    <t>e70386</t>
  </si>
  <si>
    <t>10.1111/exsy.70386</t>
  </si>
  <si>
    <t>http://dx.doi.org/10.1111/exsy.70386</t>
  </si>
  <si>
    <t>Computer Science, Artificial Intelligence; Computer Science, Theory &amp; Methods</t>
  </si>
  <si>
    <t>MY9DE</t>
  </si>
  <si>
    <t>WOS:001854182900018</t>
  </si>
  <si>
    <t>Lee, Y; Nadalin, P; Onemli, E; Hadad, R; Yu, FY; Greenbaum, L; Greenbaum, A; Ahn, J</t>
  </si>
  <si>
    <t>Dementia and cognitive impairment due to Alzheimer's disease (AD), are common in the elderly population worldwide. Diagnosis of AD is based on clinical evaluation, neuropsychological assessment tools, biomarkers and imaging modalities such as brain Magnetic Resonance Imaging (MRI) and Positron Emission Tomography (PET) scan. Since anti-amyloid monoclonal antibodies for AD have been recently introduced, early diagnosis is essential for timely treatment initiation. To address diagnostic needs and monitor treatment related side effects, increasingly sophisticated imaging techniques have been developed and integrated into clinical practice. Despite these advancements, effectively integrating multimodal data across several timepoints continues to be a major obstacle in clinical practice. In recent years, Artificial intelligence (AI) has benefited healthcare in many ways, through automated decision-making, diagnosis, patient monitoring and more. In the field of dementia and AD specifically, the application of AI tools to data collected through neuroimaging leads to significant advances in diagnostic process and patients' surveillance. The current narrative review examines recent studies that apply deep learning methods to commonly used diagnostic neuroimaging techniques, focusing on the early stages of AD and its diagnosis. We highlight both the advantages and limitations of these approaches, thereby providing an overview of current AI implementation in diagnostic neuroimaging. We also suggest a direction for future research to overcome the limitations of currently employed tools and further advance early diagnosis and treatment of AD.</t>
  </si>
  <si>
    <t>Lee, Yeonwoo; Nadalin, Priscilla; Onemli, Emre; Hadad, Rafi; Yu, Fengyi; Greenbaum, Lior; Greenbaum, Alon; Ahn, Jinhyun</t>
  </si>
  <si>
    <t>Ahn, J (corresponding author), Jeju Natl Univ, Fac Data Sci Sustainable Growth Management Informa, Jeju, South Korea.</t>
  </si>
  <si>
    <t>eonemli@ncsu.edu; ywoo818@stu.jejunu.ac.kr; lior.greenbaum@sheba.health.gov.il; jha@jejunu.ac.kr; fyu7@ncsu.edu; nadalinpriscilla@gmail.com; greenbaum@ncsu.edu; rafi.hadad@gbhi.org</t>
  </si>
  <si>
    <t>National Research Foundation of Korea (NRF) - Korea government (MSIT) [RS-2024-00348897]; North Carolina State University Goodnight Early Career Innovators Award</t>
  </si>
  <si>
    <t>National Research Foundation of Korea (NRF) - Korea government (MSIT); North Carolina State University Goodnight Early Career Innovators Award</t>
  </si>
  <si>
    <t>This research was supported by a grant from the National Research Foundation of Korea (NRF) grant funded by the Korea government (MSIT) (RS-2024-00348897) , and North Carolina State University Goodnight Early Career Innovators Award.</t>
  </si>
  <si>
    <t>[Lee, Yeonwoo; Nadalin, Priscilla; Ahn, Jinhyun] Jeju Natl Univ, Fac Data Sci Sustainable Growth Management Informa, Jeju, South Korea; [Ahn, Jinhyun] Jeju Natl Univ, Dept Management Informat Syst, Jeju, South Korea; [Onemli, Emre; Greenbaum, Alon] Univ North Carolina Chapel Hill, Lampe Joint Dept Biomed Engn, Raleigh, NC USA; [Onemli, Emre; Greenbaum, Alon] North Carolina State Univ, Raleigh, NC USA; [Hadad, Rafi] Rambam Hlth Care Campus, Stroke &amp; Cognit Inst, Dept Neurol, Haifa, Israel; [Hadad, Rafi] Univ Calif San Francisco, Global Brain Hlth Inst, Dept Neurol, San Francisco, CA USA; [Yu, Fengyi] North Carolina State Univ, Coll Vet Med, Comparat Biomed Sci, Raleigh, NC USA; [Greenbaum, Lior] Sheba Med Ctr, Danek Gertner Inst Human Genet, Tel Hashomer, Ramat Gan, Israel; [Greenbaum, Lior] Tel Aviv Univ, Gray Fac Med &amp; Hlth Sci, Tel Aviv, Israel</t>
  </si>
  <si>
    <t>Jeju National University; Jeju National University; North Carolina State University; Technion Israel Institute of Technology; Rambam Health Care Campus; University of California System; University of California San Francisco; North Carolina State University; Tel Aviv University; Chaim Sheba Medical Center; Tel Aviv University</t>
  </si>
  <si>
    <t>AI-aided neuroimaging for the diagnosis of Alzheimer's disease: A concise review of recent studies</t>
  </si>
  <si>
    <t>HELIYON</t>
  </si>
  <si>
    <t>Cognitive impairment; Dementia; Alzheimer's disease; Neuroimaging; AI; Deep learning</t>
  </si>
  <si>
    <t>IMAGE REGISTRATION; ASSOCIATION WORKGROUPS; NATIONAL INSTITUTE; DEMENTIA; RECOMMENDATIONS; GUIDELINES</t>
  </si>
  <si>
    <t>2405-8440</t>
  </si>
  <si>
    <t>Heliyon</t>
  </si>
  <si>
    <t>e45308</t>
  </si>
  <si>
    <t>10.1016/j.heliyon.2026.e45308</t>
  </si>
  <si>
    <t>http://dx.doi.org/10.1016/j.heliyon.2026.e45308</t>
  </si>
  <si>
    <t>MY7RY</t>
  </si>
  <si>
    <t>WOS:001854086100001</t>
  </si>
  <si>
    <t>Yang, SH; Huang, XY; Bernardo, D; Ding, JE; Michael, A; Wang, GA; Yang, JM; Anderson, A; Giritharan, D; Kwan, P; Raj, A; Zhang, Y; Liu, F</t>
  </si>
  <si>
    <t>The development of large-scale artificial intelligence (AI) models is influencing neuroscience research by enabling end-to-end learning from raw brain signals and neural data. In this paper, we review applications of large-scale AI models across four major neuroscience domains: neuroimaging and data processing, braincomputer interfaces and neural decoding, clinical decision support and translational frameworks, and diseasespecific applications across neurological and psychiatric disorders. These models show great potential for addressing major computational neuroscience challenges, including multimodal neural data integration, spatiotemporal pattern interpretation, and the development of translational frameworks for clinical research. Moreover, the interaction between neuroscience and AI has become increasingly reciprocal, as biologically informed architectural constraints are now incorporated to develop more interpretable and computationally efficient models. This review highlights both the promise of such technologies and critical implementation considerations, with particular emphasis on rigorous evaluation frameworks, effective integration of domain knowledge, prospective clinical validation, and comprehensive ethical guidelines. Finally, we provide a systematic listing of critical neuroscience datasets used to develop and evaluate large-scale AI models across diverse research applications.</t>
  </si>
  <si>
    <t>Yang, Shihao; Huang, Xiying; Bernardo, Danilo; Ding, Jun-En; Michael, Andrew; Wang, Guoan; Yang, Jingmei; Anderson, Alison; Giritharan, Dinesh; Kwan, Patrick; Raj, Ashish; Zhang, Yu; Liu, Feng</t>
  </si>
  <si>
    <t>Liu, F (corresponding author), Stevens Inst Technol, Dept Syst Engn, Hoboken, NJ 07030 USA.</t>
  </si>
  <si>
    <t>feng.liu@rutgers.edu</t>
  </si>
  <si>
    <t>National Institute of Neurological Disorders and Stroke of the National Institutes of Health, United States [R21NS135482]</t>
  </si>
  <si>
    <t>National Institute of Neurological Disorders and Stroke of the National Institutes of Health, United States</t>
  </si>
  <si>
    <t>The efforts of the authors from Stevens Institute of Technology was partially supported by the National Institute of Neurological Disorders and Stroke of the National Institutes of Health, United States under Award Number R21NS135482 (PI: Liu). The content is solely the responsibility of the authors and does not necessarily represent the official views of the National Institutes of Health.</t>
  </si>
  <si>
    <t>[Yang, Shihao; Huang, Xiying; Ding, Jun-En; Wang, Guoan; Liu, Feng] Stevens Inst Technol, Dept Syst Engn, Hoboken, NJ 07030 USA; [Bernardo, Danilo] Univ Calif San Francisco, Dept Neurol, San Francisco, CA 94143 USA; [Bernardo, Danilo] Weill Inst Neurosci, San Francisco, CA 94143 USA; [Michael, Andrew] Duke Univ, Duke Inst Brain Sci, Durham, NC 27708 USA; [Yang, Jingmei] Boston Univ, Div Syst Engn, Boston, MA 02215 USA; [Yang, Jingmei] Dept Elect &amp; Comp Engn, Boston, MA 02215 USA; [Anderson, Alison; Giritharan, Dinesh; Kwan, Patrick] Monash Univ, Sch Translat Med, Dept Neurosci, Melbourne, Vic 3800, Australia; [Kwan, Patrick] Alfred Hosp, Dept Neurol, Melbourne, Vic 3004, Australia; [Raj, Ashish] Univ Calif San Francisco, Dept Radiol &amp; Biomed Imaging, San Francisco, CA 94143 USA; [Zhang, Yu] Stanford Univ, Sch Med, Dept Psychiat &amp; Behav Sci, Stanford, CA 94305 USA; [Zhang, Yu] Stanford Univ, Wu Tsai Neurosci Inst, Stanford, CA 94305 USA; [Zhang, Yu] Stanford Univ, Stanford Inst Human Ctr AI, Stanford, CA 94305 USA</t>
  </si>
  <si>
    <t>Stevens Institute of Technology; University of California System; University of California San Francisco; Duke University; Boston University; Monash University; Florey Institute of Neuroscience &amp; Mental Health; Howard Florey Institute Affiliates; University of California System; University of California San Francisco; Stanford University; Stanford University; Stanford University</t>
  </si>
  <si>
    <t>Large-scale AI and foundation models for neuroscience: A comprehensive review</t>
  </si>
  <si>
    <t>META-RADIOLOGY</t>
  </si>
  <si>
    <t>Foundation model; Brain imaging; Computational neuroscience brain disorders; Artificial intelligence</t>
  </si>
  <si>
    <t>BRAIN; COMMUNICATION; DISORDERS; RESOURCE; LANGUAGE; DATASET; DESIGN</t>
  </si>
  <si>
    <t>277</t>
  </si>
  <si>
    <t>KEAI PUBLISHING LTD</t>
  </si>
  <si>
    <t>BEIJING</t>
  </si>
  <si>
    <t>16 DONGHUANGCHENGGEN NORTH ST, Building 5, Room 411, BEIJING, DONGCHENG DISTRICT 100009, PEOPLES R CHINA</t>
  </si>
  <si>
    <t>2950-1628</t>
  </si>
  <si>
    <t>Meta-Radiology</t>
  </si>
  <si>
    <t>100224</t>
  </si>
  <si>
    <t>10.1016/j.metrad.2026.100224</t>
  </si>
  <si>
    <t>http://dx.doi.org/10.1016/j.metrad.2026.100224</t>
  </si>
  <si>
    <t>Computer Science, Artificial Intelligence; Computer Science, Interdisciplinary Applications; Radiology, Nuclear Medicine &amp; Medical Imaging</t>
  </si>
  <si>
    <t>Computer Science; Radiology, Nuclear Medicine &amp; Medical Imaging</t>
  </si>
  <si>
    <t>MX4UM</t>
  </si>
  <si>
    <t>WOS:001853206700001</t>
  </si>
  <si>
    <t>Brar, K; Chattha, I; Gobraeil, S; Mocanu, V; Corcelles, R; Kroh, M; Shin, T; Dang, JT; Lee, Y</t>
  </si>
  <si>
    <t>Background: The use of artificial intelligence (AI) has rapidly increased in metabolic and bariatric surgery (MBS) in recent years, necessitating a comprehensive review characterizing the landscape of AI across the perioperative pathway of MBS care.Objectives: In this scoping review, we report on the applications of AI in the preoperative, intraoperative, and postoperative phases of care in MBS.Setting: Scoping review including articles published internationally.Methods: We systematically searched MEDLINE, Embase, Web of Science, and the Cochrane Database from inception until November 2024 for studies evaluating AI in any area of MBS. Studies were screened and extracted in duplicate, and a narrative synthesis of included studies was performed following the Preferred Reporting Items for Systematic Reviews and Meta-Analyses Extension for Scoping Reviews checklist.Results: We identified 58 studies for inclusion, with the majority of studies evaluating the applications of AI in the postoperative (35/58, 60.3%) phase, followed by the intraoperative (7/58, 12.1%) and preoperative (4/58, 6.9%) phases. A further 11/58 (18.9%) of studies evaluated large language models (LLMs) in MBS. Neural networks were the most frequently described algorithm (used in 26/47, 55.3% of studies), with LLM studies most frequently evaluating ChatGPT (10/11, 90.9%). Studies demonstrated significant promise in the ability of AIto accurately predict postoperative outcomes and support preoperative and intraoperative decision-making, and LLM studies showed the promise of AI in improving patient education and clinical decision support. However, the vast majority of studies were limited by minimal external validation and lack of direct prospective clinical evaluation.Conclusions: While AI shows significant promise in MBS, the existing literature is limited by minimal clinical evaluation and lack of external validation. Future prospective large-scale studies of AI across the perioperative pathway in MBS are required to demonstrate the utility of these algorithms in improving MBS care and patient outcomes. (Surg Obes Relat Dis 2026;22:1025-1034.) (C) 2026 American Society for Metabolic and Bariatric Surgery. Published by Elsevier Inc. This is an open access article under the CC BY-NC-ND license (http://creativecommons.org/licenses/by-nc-nd/4.0/).</t>
  </si>
  <si>
    <t>Brar, Karanbir; Chattha, Inaam; Gobraeil, Samuel; Mocanu, Valentin; Corcelles, Ricard; Kroh, Matthew; Shin, Thomas; Dang, Jerry T.; Lee, Yung</t>
  </si>
  <si>
    <t>Lee, Y (corresponding author), Cleveland Clin, M83-9500 Euclid Av, Cleveland, OH 44195 USA.</t>
  </si>
  <si>
    <t>yung.lee@medportal.ca</t>
  </si>
  <si>
    <t>[Brar, Karanbir] Univ Toronto, Dept Surg, Div Gen Surg, Toronto, ON, Canada; [Chattha, Inaam; Gobraeil, Samuel] Univ Toronto, Temerty Fac Med, Toronto, ON, Canada; [Mocanu, Valentin; Corcelles, Ricard; Kroh, Matthew; Dang, Jerry T.; Lee, Yung] Cleveland Clin, Digest Dis &amp; Surg Inst, Cleveland, OH USA; [Shin, Thomas] Univ Virginia, Div Gen Surg, Charlottesville, VA USA; [Lee, Yung] McMaster Univ, Div Gen Surg, Hamilton, ON, Canada</t>
  </si>
  <si>
    <t>University of Toronto; University of Toronto; Cleveland Clinic Foundation; University of Virginia; McMaster University</t>
  </si>
  <si>
    <t>Applications of artificial intelligence along the perioperative pathway in metabolic and bariatric surgery</t>
  </si>
  <si>
    <t>SURGERY FOR OBESITY AND RELATED DISEASES</t>
  </si>
  <si>
    <t>Artificial intelligence; Large language models; Machine learning; Metabolic and bariatric surgery; Perioperative care</t>
  </si>
  <si>
    <t>RISK; COMPLICATIONS; READMISSION; CALCULATOR; PREDICTION; REDUCTION; QUALITY; SYSTEM</t>
  </si>
  <si>
    <t>84</t>
  </si>
  <si>
    <t>1550-7289</t>
  </si>
  <si>
    <t>1878-7533</t>
  </si>
  <si>
    <t>SURG OBES RELAT DIS</t>
  </si>
  <si>
    <t>Surg. Obes. Relat. Dis.</t>
  </si>
  <si>
    <t>1025</t>
  </si>
  <si>
    <t>1034</t>
  </si>
  <si>
    <t>10.1016/j.soard.2026.05.002</t>
  </si>
  <si>
    <t>http://dx.doi.org/10.1016/j.soard.2026.05.002</t>
  </si>
  <si>
    <t>MV6FV</t>
  </si>
  <si>
    <t>42230262</t>
  </si>
  <si>
    <t>WOS:001851947200001</t>
  </si>
  <si>
    <t>Alrazeeni, DM; Alharrasi, M; Rony, MKK; Biswas, RK; Tama, IJ; Saha, S</t>
  </si>
  <si>
    <t>Background: Hospital readmission following emergency care remains a persistent challenge, reflecting gaps in care continuity, discharge planning, and risk stratification. Conventional prediction methods often fail to capture complex clinical interactions. The emergence of artificial intelligence offers new opportunities to enhance predictive accuracy by analyzing large, multidimensional healthcare datasets. Aim: This umbrella review aimed to synthesize existing evidence on the role, performance, and clinical applicability of artificial intelligence in predicting readmission risk among emergency patients. Methods: An umbrella review design was adopted following established evidence synthesis guidelines. Systematic reviews and meta-analyses examining artificial intelligence-based readmission prediction in emergency settings were identified through comprehensive database searches. Data were extracted on study characteristics, model types, performance metrics, and clinical implications. Methodological quality was assessed using standardized appraisal tools, and findings were integrated through narrative synthesis. Results: The findings revealed consistent evidence that artificial intelligence enhances readmission risk prediction by effectively analyzing complex and multidimensional healthcare data. Machine learning and deep learning approaches were widely applied, with ensemble and neural network models frequently demonstrating strong predictive capability. The integration of electronic health records and diverse patient level variables emerged as a critical factor in improving model performance. Across the evidence, artificial intelligence was shown to support early risk stratification and inform clinical decision making in emergency settings. However, important challenges were identified, including variability in study design, limited external validation, concerns regarding interpretability, and barriers to integration within existing healthcare systems. Conclusion: Artificial intelligence holds substantial potential to improve readmission prediction in emergency care by enabling more personalized and data driven decision making. Addressing issues related to validation, transparency, and system integration is essential to support its translation into routine clinical practice.</t>
  </si>
  <si>
    <t>Alrazeeni, Daifallah M.; Alharrasi, Maryam; Rony, Moustaq Karim Khan; Biswas, Rajib Kumar; Tama, Israth Jahan; Saha, Sajal</t>
  </si>
  <si>
    <t>Rony, MKK (corresponding author), Int Univ Business Agr &amp; Technol, Miyan Res Inst, Dhaka, Bangladesh.</t>
  </si>
  <si>
    <t>mkkrony@yahoo.com; rajib.biswas@emory.edu; maryam22@squ.edu.om; dalrazeeni@ksu.edu.sa; sajal.saha@iubat.edu</t>
  </si>
  <si>
    <t>[Alrazeeni, Daifallah M.] King Saud Univ, Dept Prince Sultan Bin Abdul Aziz Coll Emergency M, Riyadh, Saudi Arabia; [Alharrasi, Maryam] Sultan Qaboos Univ, Coll Nursing, Muscat, Oman; [Rony, Moustaq Karim Khan] Int Univ Business Agr &amp; Technol, Miyan Res Inst, Dhaka, Bangladesh; [Rony, Moustaq Karim Khan] Univ Kelaniya, Fac Grad Studies, Colombo, Sri Lanka; [Biswas, Rajib Kumar] Emory Univ, Nell Hodgson Woodruff Sch Nursing, Atlanta, GA USA; [Tama, Israth Jahan] Hiroshima Univ, Grad Sch Biomed &amp; Hlth Sci, Higashihiroshima, Japan; [Saha, Sajal] Int Univ Business Agr &amp; Technol, Dept Math, Dhaka, Bangladesh</t>
  </si>
  <si>
    <t>King Saud University; Sultan Qaboos University; International University of Business Agriculture &amp; Technology (IUBAT); University Kelaniya; Emory University; Hiroshima University; International University of Business Agriculture &amp; Technology (IUBAT)</t>
  </si>
  <si>
    <t>The role of artificial intelligence in predicting readmission risk in emergency patients: An umbrella review</t>
  </si>
  <si>
    <t>INTERNATIONAL EMERGENCY NURSING</t>
  </si>
  <si>
    <t>Artificial intelligence; Readmission prediction; Emergency care; Machine learning; Risk stratification</t>
  </si>
  <si>
    <t>1755-599X</t>
  </si>
  <si>
    <t>1878-013X</t>
  </si>
  <si>
    <t>INT EMERG NURS</t>
  </si>
  <si>
    <t>Int. Emerg. Nurs.</t>
  </si>
  <si>
    <t>101890</t>
  </si>
  <si>
    <t>10.1016/j.ienj.2026.101890</t>
  </si>
  <si>
    <t>http://dx.doi.org/10.1016/j.ienj.2026.101890</t>
  </si>
  <si>
    <t>Nursing</t>
  </si>
  <si>
    <t>MW1ZR</t>
  </si>
  <si>
    <t>42607540</t>
  </si>
  <si>
    <t>WOS:001852339100001</t>
  </si>
  <si>
    <t>Wu, HLA; Le Floch, P; Duverdier, A; Irvine, AD; Dubrac, S; Tanaka, RJ</t>
  </si>
  <si>
    <t>Atopic dermatitis (AD) is a chronic, multifactorial inflammatory skin disease with a complex, heterogeneous pathogenesis. Understanding its mechanisms, stratifying patients into biologically relevant endotypes, and predicting treatment responses remain challenging if we use empirical approaches alone. In silico approaches, including mathematical modeling, statistical and machine learning methods, enable the dissection of molecular and cellular interactions, the identification of key clinical and biological drivers, and the extraction of meaningful insights from high-dimensional, noisy datasets, while preserving a systems-level perspective. This review summarizes recent advancements in in silico approaches for AD and outlines strategies to enhance their translational and clinical utility in AD research.</t>
  </si>
  <si>
    <t>Wu, Hiu Lam Athena; Le Floch, Pierre; Duverdier, Ariane; Irvine, Alan D.; Dubrac, Sandrine; Tanaka, Reiko J.</t>
  </si>
  <si>
    <t>Tanaka, RJ (corresponding author), Imperial Coll London, Dept Bioengn, South Kensington Campus, London SW7 2AZ, England.</t>
  </si>
  <si>
    <t>r.tanaka@imperial.ac.uk</t>
  </si>
  <si>
    <t>COST [CA21108]; Innovate UK; EIC pathfinder [101098826]; UKRI AI Centre for Doctoral Training in Digital Healthcare [EP/Y030974/1]; UKRI Centre for Doctoral Training in AI for Healthcare [EP/S023283/1]; Austrian Science Fund (FWF) [PAT4420825]</t>
  </si>
  <si>
    <t>COST (European Cooperation in Science and Technology (COST)); Innovate UK (UK Research &amp; Innovation (UKRI), Innovate UK); EIC pathfinder; UKRI AI Centre for Doctoral Training in Digital Healthcare; UKRI Centre for Doctoral Training in AI for Healthcare; Austrian Science Fund (FWF) (Austrian Science Fund (FWF))</t>
  </si>
  <si>
    <t>This review article is based upon work from European Cooperation in Science and Technology (COST) Action CA21108 NETSKINMODELS, supported by COST. This work was supported by Innovate UK and the EIC pathfinder (SKINDEV "Skin microbial devices", 101098826), the UKRI AI Centre for Doctoral Training in Digital Healthcare (EP/Y030974/1) and the UKRI Centre for Doctoral Training in AI for Healthcare (http://ai4health.io, EP/S023283/1). SD received support from the Austrian Science Fund (FWF) (PAT4420825).</t>
  </si>
  <si>
    <t>[Wu, Hiu Lam Athena; Le Floch, Pierre; Duverdier, Ariane; Tanaka, Reiko J.] Imperial Coll London, Dept Bioengn, South Kensington Campus, London SW7 2AZ, England; [Le Floch, Pierre; Duverdier, Ariane] Imperial Coll London, Dept Comp, London, England; [Le Floch, Pierre; Duverdier, Ariane] Imperial Coll London, UKRI Ctr Doctoral Training Artificial Intelligence, London, England; [Irvine, Alan D.] Trinity Coll Dublin, Clin Med, Dublin, Ireland; [Dubrac, Sandrine] Med Univ Innsbruck, Dept Dermatol Venereol &amp; Allergol, Innsbruck, Austria</t>
  </si>
  <si>
    <t>Imperial College London; Imperial College London; Imperial College London; Trinity College Dublin; Medical University of Innsbruck</t>
  </si>
  <si>
    <t>Current research landscape and future prospects of in silico modeling approaches for atopic dermatitis</t>
  </si>
  <si>
    <t>JID INNOVATIONS</t>
  </si>
  <si>
    <t>3R; Atopic dermatitis; In silico models; Machine learning</t>
  </si>
  <si>
    <t>2667-0267</t>
  </si>
  <si>
    <t>JID INNOV</t>
  </si>
  <si>
    <t>JID Innov.</t>
  </si>
  <si>
    <t>100513</t>
  </si>
  <si>
    <t>10.1016/j.xjidi.2026.100513</t>
  </si>
  <si>
    <t>http://dx.doi.org/10.1016/j.xjidi.2026.100513</t>
  </si>
  <si>
    <t>Dermatology</t>
  </si>
  <si>
    <t>MV2YH</t>
  </si>
  <si>
    <t>WOS:001851724200001</t>
  </si>
  <si>
    <t>Sinonquel, P; Antonelli, G</t>
  </si>
  <si>
    <t>Artificial intelligence (AI) has rapidly evolved into a transformative adjunct to gastrointestinal (GI) endoscopy, particularly through deep-learning-based computer-aided detection (CADe) and diagnosis (CADx) systems. Early randomized controlled trials demonstrated substantial improvements in adenoma and polyp detection, fueling high expectations for AI-enhanced screening performance. However, realworld evidence has since revealed more modest and heterogeneous benefits, underscoring the challenges of generalizability, algorithmic transparency, workflow integration, and user engagement. This review synthesizes the current state of AI in colorectal cancer screening and polyp assessment, outlining both its strengths-including improved lesion recognition, enhanced quality assurance, and potential for real-time optical diagnosis and its limitations, such as false positives, variable clinical impact, medicolegal uncertainties, and the risk of cognitive offloading. Positioned along the "slope of enlightenment" of the Gartner Hype Cycle, AI in endoscopy is entering a phase of maturation characterized by pragmatic adoption, refined human-AI interaction and development of multimodal, explainable systems. Continued multicenter validation, standardized reporting, and responsible integration are essential to assess the technology's long-term value and achieving sustainable improvements in endoscopic quality and future colorectal cancer prevention. (c) 2026 The Author(s). Published by Elsevier B.V. on behalf of Editrice Gastroenterologica Italiana S.r.l. This is an open access article under the CC BY-NC-ND license (http://creativecommons.org/licenses/by-nc-nd/4.0/)</t>
  </si>
  <si>
    <t>Sinonquel, Pieter; Antonelli, Giulio</t>
  </si>
  <si>
    <t>Sinonquel, P (corresponding author), UZ Leuven, Dept Gastroenterol &amp; Hepatol, Herestr 49, B-3000 Leuven, Belgium.</t>
  </si>
  <si>
    <t>pieter.sinonquel@uzleuven.be</t>
  </si>
  <si>
    <t>Research Foundation Flanders (FWO) [V456625N]</t>
  </si>
  <si>
    <t>Research Foundation Flanders (FWO) (FWO)</t>
  </si>
  <si>
    <t>PS is supported by a grant of Research Foundation Flanders (FWO, V456625N) . GA does not report funding.</t>
  </si>
  <si>
    <t>[Sinonquel, Pieter] UZ Leuven, Dept Gastroenterol &amp; Hepatol, Herestr 49, B-3000 Leuven, Belgium; [Sinonquel, Pieter] Katholieke Univ Leuven, Translat Res Gastrointestinal Dis TARGID, Leuven, Belgium; [Antonelli, Giulio] Osped Castelli, Gastroenterol &amp; Digest Endoscopy Unit, Rome, Italy</t>
  </si>
  <si>
    <t>KU Leuven; University Hospital Leuven; KU Leuven</t>
  </si>
  <si>
    <t>The slope of enlightenment: Towards a more realistic understanding of the strengths and weaknesses of artificial intelligence for colorectal polyp assessment</t>
  </si>
  <si>
    <t>DIGESTIVE AND LIVER DISEASE</t>
  </si>
  <si>
    <t>Computer-aided detection; Computer-aided diagnosis; Real-world; Evolution</t>
  </si>
  <si>
    <t>COST-EFFECTIVENESS; OPTICAL DIAGNOSIS; COLONOSCOPY</t>
  </si>
  <si>
    <t>1590-8658</t>
  </si>
  <si>
    <t>1878-3562</t>
  </si>
  <si>
    <t>DIGEST LIVER DIS</t>
  </si>
  <si>
    <t>Dig. Liver Dis.</t>
  </si>
  <si>
    <t>1117</t>
  </si>
  <si>
    <t>1123</t>
  </si>
  <si>
    <t>10.1016/j.dld.2026.06.017</t>
  </si>
  <si>
    <t>http://dx.doi.org/10.1016/j.dld.2026.06.017</t>
  </si>
  <si>
    <t>Gastroenterology &amp; Hepatology</t>
  </si>
  <si>
    <t>MU6KA</t>
  </si>
  <si>
    <t>42442968</t>
  </si>
  <si>
    <t>WOS:001851272300001</t>
  </si>
  <si>
    <t>Bronze</t>
  </si>
  <si>
    <t>Pamporaki, C; Angelousi, A; Lenders, JWM; Eisenhofer, G</t>
  </si>
  <si>
    <t>Primary aldosteronism is a common and potentially curable cause of secondary hypertension, yet it remains substantially underdiagnosed. Current diagnostic pathways rely on the aldosterone-to-renin ratio, confirmatory tests, and subtype classification by imaging and adrenal venous sampling. However, these approaches are limited by assay variability, medication effects, imperfect diagnostic accuracy, and the absence of a true reference standard, particularly for bilateral disease. Recent molecular imaging and histopathologic data further challenge the traditional binary distinction between unilateral and bilateral primary aldosteronism and instead support a biological continuum of renin-independent aldosteronism. In this context, novel biomarkers may improve both detection and biological subtyping. Steroidomics is currently the most clinically advanced approach, with plasma and urinary steroid profiles showing promise for primary aldosteronism detection, identification of KCNJ5-mutated adenomas, and subtype prediction. Proteomics and circulating microRNAs provide complementary information on systemic effects, upstream regulation, and lesion biology, while multiomics strategies increasingly demonstrate that integrated models outperform single-modality approaches. Nevertheless, translation into clinical practice remains constrained by small and selected cohorts, heterogeneous analytical platforms, inconsistent reference standards, and limited external validation. Future progress will depend on standardized assays, interpretable machine learning models, and prospective multicenter implementation studies linking biomarker-guided diagnosis to improved clinical outcomes.</t>
  </si>
  <si>
    <t>Pamporaki, Christina; Angelousi, Anna; Lenders, Jacques W. M.; Eisenhofer, Graeme</t>
  </si>
  <si>
    <t>Pamporaki, C (corresponding author), Tech Univ Dresden, Univ Hosp Carl Gustav Carus, Med Clin 3, Fetscherstr 74, D-01307 Dresden, Germany.; Pamporaki, C (corresponding author), Tech Univ Dresden, Med Fac, Fetscherstr 74, D-01307 Dresden, Germany.</t>
  </si>
  <si>
    <t>christina.pamporaki@ukdd.de</t>
  </si>
  <si>
    <t>Deutsche Forschungsgemeinschaft [314061271-TRR/CRC 205]</t>
  </si>
  <si>
    <t>Deutsche Forschungsgemeinschaft (German Research Foundation (DFG))</t>
  </si>
  <si>
    <t>This work was supported by the Deutsche Forschungsgemeinschaft (314061271-TRR/CRC 205; to C. Pamporaki and G. Eisenhofer).</t>
  </si>
  <si>
    <t>[Pamporaki, Christina; Eisenhofer, Graeme] Tech Univ Dresden, Univ Hosp Carl Gustav Carus, Med Clin 3, Fetscherstr 74, D-01307 Dresden, Germany; [Pamporaki, Christina; Eisenhofer, Graeme] Tech Univ Dresden, Med Fac, Fetscherstr 74, D-01307 Dresden, Germany; [Angelousi, Anna] Natl &amp; Kapodistrian Univ Athens, Laiko Hosp Athens, Dept Med 1, Endocrinol Unit, Athens, Greece; [Lenders, Jacques W. M.] Radboud Univ Nijmegen, Dept Internal Med, Med Ctr, Nijmegen, Netherlands</t>
  </si>
  <si>
    <t>Technische Universitat Dresden; Carl Gustav Carus University Hospital; Technische Universitat Dresden; National &amp; Kapodistrian University of Athens; Radboud University Nijmegen</t>
  </si>
  <si>
    <t>Current and Novel Biomarkers for Diagnosis and Subtyping of Primary Aldosteronism</t>
  </si>
  <si>
    <t>HYPERTENSION</t>
  </si>
  <si>
    <t>adenoma; biomarkers; hypertension; machine learning; primary aldosteronism; proteomics; steroidomics</t>
  </si>
  <si>
    <t>BILATERAL PRIMARY ALDOSTERONISM; K+ CHANNEL MUTATIONS; SOMATIC MUTATIONS; CORTISOL PRODUCTION; MASS-SPECTROMETRY; ANGIOTENSIN-II; PLASMA; ADENOMAS; PREVALENCE; STEROIDOGENESIS</t>
  </si>
  <si>
    <t>99</t>
  </si>
  <si>
    <t>LIPPINCOTT WILLIAMS &amp; WILKINS</t>
  </si>
  <si>
    <t>TWO COMMERCE SQ, 2001 MARKET ST, PHILADELPHIA, PA 19103 USA</t>
  </si>
  <si>
    <t>0194-911X</t>
  </si>
  <si>
    <t>1524-4563</t>
  </si>
  <si>
    <t>Hypertension</t>
  </si>
  <si>
    <t>e26233</t>
  </si>
  <si>
    <t>10.1161/HYPERTENSIONAHA.126.26233</t>
  </si>
  <si>
    <t>http://dx.doi.org/10.1161/HYPERTENSIONAHA.126.26233</t>
  </si>
  <si>
    <t>Peripheral Vascular Disease</t>
  </si>
  <si>
    <t>MT2HR</t>
  </si>
  <si>
    <t>42454396</t>
  </si>
  <si>
    <t>WOS:001850313800010</t>
  </si>
  <si>
    <t>Nair, RP; Du, W; Mei, L; Koga, S</t>
  </si>
  <si>
    <t>. Artificial intelligence (AI) has been transforming many aspects of medical care. In prostate cancer, ongoing progress in AI has improved research and patient care. Recent advances in machine learning and deep learning have produced tools that help diagnose cancer, assess risk, and predict outcomes. In screening, AI-based risk calculators improve detection and help avoid unnecessary biopsies. Deep learning algorithms, particularly convolutional neural networks, have demonstrated expert-level performance in pathology, identifying malignancy and assigning Gleason grades with high accuracy. These tools also streamline workflow, flagging challenging cases for review and quantifying prognostic markers, such as Ki-67 and cribriform patterns. In addition, AI-based models can predict molecular alterations, microsatellite instability, and lymph node metastasis directly from histology images, providing cost-effective alternatives to traditional assays. The development of multimodal models integrates digital pathology and clinical parameters, enabling personalized treatment recommendations and improved outcome prediction. Natural language processing and large language models further expand AI's potential, facilitating information extraction from clinical notes and enhancing patient education. Despite these advances, most studies remain retrospective with heterogeneous endpoints. Performance often drops when models are tested at new sites because of differences in patient populations and slide preparation. Access to large, well-annotated datasets is limited, and technical variation hampers reproducibility. To move toward clinical use, the field needs prospective, multicenter validation, preanalytical and analytical standardization, and clear reporting of failure modes and human oversight. Emerging approaches, including self-supervised pretraining, transformer-based image models, and language-vision systems, are likely to improve generalization and support more personalized care.</t>
  </si>
  <si>
    <t>Nair, Ranjitha Pratap; Du, Wei; Mei, Lin; Koga, Shunsuke</t>
  </si>
  <si>
    <t>Koga, S (corresponding author), Hosp Univ Penn, Dept Pathol &amp; Lab Med, 3400 Spruce St, Philadelphia, PA 19104 USA.</t>
  </si>
  <si>
    <t>shunsuke.koga@pennmedicine.upenn.edu</t>
  </si>
  <si>
    <t>[Nair, Ranjitha Pratap; Du, Wei; Mei, Lin; Koga, Shunsuke] Hosp Univ Penn, Dept Hematol Oncol, Philadelphia, PA USA; [Koga, Shunsuke] Hosp Univ Penn, Dept Pathol &amp; Lab Med, 3400 Spruce St, Philadelphia, PA 19104 USA</t>
  </si>
  <si>
    <t>University of Pennsylvania; University of Pennsylvania</t>
  </si>
  <si>
    <t>Artificial intelligence for detection , grading, and prognostication in prostate cancer pathology: A scoping review</t>
  </si>
  <si>
    <t>HISTOLOGY AND HISTOPATHOLOGY</t>
  </si>
  <si>
    <t>Deep learning; Computational pathology; Whole-slide imaging; Prostate cancer; Gleason grading; Transformer; Multiple instance learning; Multimodal models; Clinical implementation; Large language models</t>
  </si>
  <si>
    <t>DIAGNOSIS; VALIDATION; BIOPSIES; MEDICINE; IMAGES</t>
  </si>
  <si>
    <t>F HERNANDEZ</t>
  </si>
  <si>
    <t>MURCIA</t>
  </si>
  <si>
    <t>PLAZA FUENSANTA 2-7 C, 30008 MURCIA, SPAIN</t>
  </si>
  <si>
    <t>0213-3911</t>
  </si>
  <si>
    <t>1699-5848</t>
  </si>
  <si>
    <t>HISTOL HISTOPATHOL</t>
  </si>
  <si>
    <t>Histol. Histopath.</t>
  </si>
  <si>
    <t>1493</t>
  </si>
  <si>
    <t>1506</t>
  </si>
  <si>
    <t>10.14670/HH-25-059</t>
  </si>
  <si>
    <t>http://dx.doi.org/10.14670/HH-25-059</t>
  </si>
  <si>
    <t>Cell Biology; Pathology</t>
  </si>
  <si>
    <t>MR7AE</t>
  </si>
  <si>
    <t>41808601</t>
  </si>
  <si>
    <t>WOS:001849276000004</t>
  </si>
  <si>
    <t>Saggu, JS; Herrera, HR; Meng, ZD; Wieruszewski, PM; Ursoleo, JD; Al-Ani, RI; Nabzdyk, CG; Comfere, TB; Bignami, EG; Wollborn, J; Ramakrishna, H; Ripoll, JG</t>
  </si>
  <si>
    <t>Postcardiotomy shock (PCS) is a distinct form of cardiogenic shock that occurs after cardiac surgery and necessitates rapid decisions regarding temporary mechanical circulatory support (tMCS), including escalation, device configuration, and weaning. Machine learning (ML) has emerged as a strategy to integrate high-dimensional perioperative data and augment clinical decision-making beyond traditional risk scores. This narrative expert review evaluates ML applications across the PCS continuum, including early risk recognition and phenotyping, tMCS initiation, management and liberation, and prognostication. This study also summarizes key aspects of ML model development, including feature selection, outcome definition, external validation, and clinical implementation. Current evidence is strongest for risk stratification, mortality prediction, and weaning support, particularly in venoarterial extracorporeal membrane oxygenation cohorts. However, most models are retrospective, derived from heterogeneous shock populations, and lack prospective validation in PCS-specific cohorts. Emerging work on automated device titration is promising but remains preclinical. ML should be considered an adjunct to clinician judgment rather than a substitute for it. Future progress will depend on high-quality PCS datasets, prospective validation, seamless workflow integration, and governance frameworks that ensure safe, transparent, and equitable implementation. (c) 2026 Elsevier Inc. All rights are reserved, including those for text and data mining, AI training, and similar technologies.</t>
  </si>
  <si>
    <t>Saggu, Jay S.; Herrera, Harrison R.; Meng, Zhide; Wieruszewski, Patrick M.; Ursoleo, Jacopo D'Andria; Al-Ani, Rusul I.; Nabzdyk, Christoph G.; Comfere, Thomas B.; Bignami, Elena Giovanna; Wollborn, Jakob; Ramakrishna, Harish; Ripoll, Juan G.</t>
  </si>
  <si>
    <t>Ramakrishna, H (corresponding author), Mayo Clin, Dept Anesthesiol &amp; Perioperat Med, 200 1st SW, Rochester, MN 55905 USA.</t>
  </si>
  <si>
    <t>ramakrishna.harish@mayo.edu</t>
  </si>
  <si>
    <t>[Saggu, Jay S.; Meng, Zhide; Wollborn, Jakob] Brigham &amp; Womens Hosp, Dept Anesthesiol Perioperat &amp; Pain Med, Boston, MA USA; [Herrera, Harrison R.; Wieruszewski, Patrick M.; Al-Ani, Rusul I.; Nabzdyk, Christoph G.; Comfere, Thomas B.; Ramakrishna, Harish; Ripoll, Juan G.] Mayo Clin, Dept Anesthesiol &amp; Perioperat Med, 200 1st SW, Rochester, MN 55905 USA; [Ursoleo, Jacopo D'Andria] IRCCS San Raffaele Sci Inst, Dept Anesthesia &amp; Intens Care, Milan, Italy; [Bignami, Elena Giovanna] Univ Parma, Dept Anesthesiol Crit Care &amp; Pain Med, Parma, Italy</t>
  </si>
  <si>
    <t>Harvard University; Harvard University Medical Affiliates; Brigham &amp; Women's Hospital; Mayo Clinic; Vita-Salute San Raffaele University; IRCCS Ospedale San Raffaele; University of Parma</t>
  </si>
  <si>
    <t>Machine Learning in Postcardiotomy Shock: Implications for Temporary Mechanical Circulatory Support</t>
  </si>
  <si>
    <t>JOURNAL OF CARDIOTHORACIC AND VASCULAR ANESTHESIA</t>
  </si>
  <si>
    <t>cardiogenic shock; machine learning; perioperative critical care; postcardiotomy shock; temporary mechanical circulatory support; V-A ECMO</t>
  </si>
  <si>
    <t>OUTCOMES; SCORE; ECMO</t>
  </si>
  <si>
    <t>80</t>
  </si>
  <si>
    <t>W B SAUNDERS CO-ELSEVIER INC</t>
  </si>
  <si>
    <t>1600 JOHN F KENNEDY BOULEVARD, STE 1800, PHILADELPHIA, PA 19103-2899 USA</t>
  </si>
  <si>
    <t>1053-0770</t>
  </si>
  <si>
    <t>1532-8422</t>
  </si>
  <si>
    <t>J CARDIOTHOR VASC AN</t>
  </si>
  <si>
    <t>J. Cardiothorac. Vasc. Anesth.</t>
  </si>
  <si>
    <t>3007</t>
  </si>
  <si>
    <t>3018</t>
  </si>
  <si>
    <t>10.1053/j.jvca.2026.05.005</t>
  </si>
  <si>
    <t>http://dx.doi.org/10.1053/j.jvca.2026.05.005</t>
  </si>
  <si>
    <t>Anesthesiology; Cardiac &amp; Cardiovascular Systems; Respiratory System; Peripheral Vascular Disease</t>
  </si>
  <si>
    <t>Anesthesiology; Cardiovascular System &amp; Cardiology; Respiratory System</t>
  </si>
  <si>
    <t>MR8RI</t>
  </si>
  <si>
    <t>42191520</t>
  </si>
  <si>
    <t>WOS:001849388300001</t>
  </si>
  <si>
    <t>Priya, K; Rajesh, R; Abhishek, T; Ankitha, M; Kumar, R</t>
  </si>
  <si>
    <t>The identification of biomarkers and therapeutic targets is essential to the success of precision medicine. However, to reliably identify them, one must employ a combination of analytical and computational methods. This article describes the importance of high-quality study design, strict adherence to preanalytical and quality assurance practices and high levels of quality assurance as well as the performance characteristics of multiple types of chromatography/mass spectrometry to achieve the best possible results for sensitive, selective biomarker profiling in various biological fluids such as plasma, serum, urine, cerebrospinal fluid (CSF), and tissues. In addition, it explores the key workflows used in preparing biological samples (i.e., solid-phase extraction/specialised physical or chemical extractions/derivatisation), software/data processing pipelines for peak analysis (i.e., XCMS/MZmine/OpenMS/MS-DIAL) and processes for the identification of compounds by combining spectral libraries (e.g., Human Metabolome Database [HMDB], National Institute of Standards and Technology [NIST] and FiehnLib) with in silico tools (e.g., SIRIUS, CSI: FingerID, CANOPUS). Finally, it discusses several ways in which artificial intelligence/machine learning can be applied to the field of mass spectrometry for peak detection and provides a comprehensive review of the requirements for regulatory-grade validation and the workflow for targeted/multiplexed/quantitative liquid chromatography/mass spectrometry (LC/MS) and gas chromatography/mass spectrometry (GC-MS) using stable isotope-labelled internal standards.</t>
  </si>
  <si>
    <t>Priya, K.; Rajesh, R.; Abhishek, T.; Ankitha, M.; Kumar, Ramesh</t>
  </si>
  <si>
    <t>Rajesh, R (corresponding author), Acharya &amp; BM Reddy Coll Pharm, Ctr Excellence Drug Anal, Dept Pharmaceut Anal, Bengaluru, Karnataka, India.</t>
  </si>
  <si>
    <t>rajeshr@acharya.ac.in</t>
  </si>
  <si>
    <t>[Priya, K.; Rajesh, R.; Abhishek, T.; Ankitha, M.; Kumar, Ramesh] Acharya &amp; BM Reddy Coll Pharm, Ctr Excellence Drug Anal, Dept Pharmaceut Anal, Bengaluru, Karnataka, India</t>
  </si>
  <si>
    <t>Mass Spectrometry-Based Chromatographic and Computational Workflows for Biomarker and Therapeutic Target Discovery: A Comprehensive Review</t>
  </si>
  <si>
    <t>BIOMEDICAL CHROMATOGRAPHY</t>
  </si>
  <si>
    <t>biomarker discovery; chromatography-mass spectrometry; computational workflows; data processing; regulatory-grade method validation</t>
  </si>
  <si>
    <t>LC-MS; SAMPLE PREPARATION; HIGH-RESOLUTION; QUANTITATION; VALIDATION; ANNOTATION; STRATEGY; DRUGS; ION; GC</t>
  </si>
  <si>
    <t>Kumar, Ramesh/0009-0000-1266-2376; K, Priya/0009-0000-7080-9348</t>
  </si>
  <si>
    <t>0269-3879</t>
  </si>
  <si>
    <t>1099-0801</t>
  </si>
  <si>
    <t>BIOMED CHROMATOGR</t>
  </si>
  <si>
    <t>Biomed. Chromatogr.</t>
  </si>
  <si>
    <t>e70575</t>
  </si>
  <si>
    <t>10.1002/bmc.70575</t>
  </si>
  <si>
    <t>http://dx.doi.org/10.1002/bmc.70575</t>
  </si>
  <si>
    <t>Biochemical Research Methods; Biochemistry &amp; Molecular Biology; Chemistry, Analytical; Pharmacology &amp; Pharmacy</t>
  </si>
  <si>
    <t>Biochemistry &amp; Molecular Biology; Chemistry; Pharmacology &amp; Pharmacy</t>
  </si>
  <si>
    <t>MS3NJ</t>
  </si>
  <si>
    <t>42503463</t>
  </si>
  <si>
    <t>WOS:001849717900001</t>
  </si>
  <si>
    <t>Green Submitted</t>
  </si>
  <si>
    <t>Cifuentes-González, C; Singer, MB; Rojas-Carabali, W; Mejía-Salgado, G; Cicinelli, MV; Biswas, J; Gangaputra, S; de-la-Torre, A; Gupta, V; Pulido, JS; Agrawal, R</t>
  </si>
  <si>
    <t>Purpose To evaluate the classification performance of UveAItis, a domain-specific large language model (LLM) fine-tuned for automated title and abstract screening in systematic reviews, using retinal vasculitis as a prototype. Design Comparative evaluation study embedded within a registered systematic review and meta-analysis (PROSPERO: CRD42023489232). Subjects A total of 1030 randomly selected articles from an initial search of 5533 records related to retinal vasculitis. Methods Articles were independently screened by 2 uveitis experts (gold standard), final-year medical students, and 3 LLMs: UveAItis (fine-tuned Generative Pre-trained Transformer [GPT]-4o), base GPT-4o, and Claude Sonnet 3.5. Screening followed a 2-question binary logic regarding human subjects and primary empirical research design. Discrepancies were resolved through expert adjudication. Main Outcome Measures Classification accuracy, sensitivity, specificity, area under the receiver operating characteristic curve, and Cohen Kappa coefficient for inter-rater agreement. Results UveAItis achieved the highest performance with an accuracy of 93.3%, area under the curve (AUC) of 0.887, and Kappa of 0.77. It significantly outperformed base GPT-4o (AUC: 0.805, P = 0.021), Claude Sonnet 3.5 (AUC: 0.669, P &lt; 0.0001), and medical students (AUC: 0.585, P &lt; 0.00001). The fine-tuned model correctly identified 65.4% of expert-included articles postconsensus, whereas students only identified 22.3%. UveAItis also demonstrated the lowest rate of ambiguous "Need Consensus" outputs (3.4%) compared to experts (16.7%). Conclusions UveAItis demonstrated expert-level performance, significantly outperforming general-purpose LLMs and nonexpert human reviewers. These findings validate the potential of domain-specific fine-tuning to enhance the efficiency, scalability, and reproducibility of evidence synthesis in specialized medical fields like ophthalmology. (c) 2026 American Academy of Ophthalmology, Inc. Published by Elsevier Inc. This is an open access article under the CC BY-NC-ND license (http://creativecommons.org/ licenses/by-nc-nd/4.0/).</t>
  </si>
  <si>
    <t>Cifuentes-Gonzalez, Carlos; Singer, Maxwell B.; Rojas-Carabali, William; Mejia-Salgado, German; Cicinelli, Maria Vittoria; Biswas, Jyotirmay; Gangaputra, Sapna; de-la-Torre, Alejandra; Gupta, Vishali; Pulido, Jose S.; Agrawal, Rupesh</t>
  </si>
  <si>
    <t>Agrawal, R (corresponding author), Tan Tock Seng Hosp, Natl Healthcare Grp, Eye Inst, 11 Jalan Tan Tock Seng, Singapore 308433, Singapore.; Agrawal, R (corresponding author), Tan Tock Seng Hosp, Natl Healthcare Grp Eye Inst, 11 Jalan Tan Tock Seng, Singapore 308433, Singapore.</t>
  </si>
  <si>
    <t>rupeshttsh@gmail.com</t>
  </si>
  <si>
    <t>National Medical Research Council (NMRC) [NRMC/CSAINV22jul-0004, NMRC/CSAINV19nov-0007, NMRC/CIRG21nov-0023]; Ministry of Health, Republic of Singapore [NRMC/CSAINV22jul-0004, NMRC/CSAINV19nov-0007, NMRC/CIRG21nov-0023]</t>
  </si>
  <si>
    <t>National Medical Research Council (NMRC); Ministry of Health, Republic of Singapore</t>
  </si>
  <si>
    <t>This study was conducted without specific funding. R.A. receives support from grants awarded by the National Medical Research Council (NMRC) , Ministry of Health, Republic of Singapore grant number NRMC/CSAINV22jul-0004, NMRC/CSAINV19nov-0007, and NMRC/CIRG21nov-0023. The funders had no role in study design, data collection and analysis, publication decisions, or manuscript preparation.</t>
  </si>
  <si>
    <t>[Cifuentes-Gonzalez, Carlos; Rojas-Carabali, William; Agrawal, Rupesh] Tan Tock Seng Hosp, Natl Healthcare Grp, Eye Inst, 11 Jalan Tan Tock Seng, Singapore 308433, Singapore; [Cifuentes-Gonzalez, Carlos; Rojas-Carabali, William; Agrawal, Rupesh] Natl Healthcare Grp Eye Inst, Programme Ocular Inflammat &amp; Infect Translat Res P, Singapore, Singapore; [Cifuentes-Gonzalez, Carlos] SIGMA Clin, Ophthalmol Res Ctr, Ocular Immunol Dept, Cali, Colombia; [Singer, Maxwell B.] Yale Sch Med, Dept Ophthalmol &amp; Visual Sci, New Haven, CT USA; [Rojas-Carabali, William; Agrawal, Rupesh] Nanyang Technol Univ Singapore, Lee Kong Chian Sch Med, Singapore, Singapore; [Mejia-Salgado, German; de-la-Torre, Alejandra] Univ Rosario, Escuela Med &amp; Ciencias Salud, Neurosci Res Grp NEUROS, Neurovitae Ctr Neurosci,Inst Translat Med IMT, Bogota, Colombia; [Mejia-Salgado, German] Colombian Visual Sci &amp; Translat Eye Res Inst CERI, Bogota, Colombia; [Cicinelli, Maria Vittoria] Univ Vita Salute San Raffaele, Sch Med, Milan, Italy; [Cicinelli, Maria Vittoria] IRCCS San Raffaele Sci Inst, Dept Ophthalmol, Milan, Italy; [Biswas, Jyotirmay] Sankara Nethralaya, Dept Uveitis Serv, Chennai, India; [Biswas, Jyotirmay] Sankara Nethralaya, Dept Uveitis Serv, Kolkata, India; [Gangaputra, Sapna] Vanderbilt Univ, Vanderbilt Eye Inst, Med Ctr, Nashville, TN USA; [Gupta, Vishali] Postgrad Inst Med Educ &amp; Res, Adv Eye Ctr, Chandigarh, India; [Pulido, Jose S.] Thomas Jefferson Univ, Wills Eye Hosp, Retina Serv, Philadelphia, PA USA; [Agrawal, Rupesh] Singapore Eye Res Inst, Dept Ocular Antiinfect &amp; Antimicrobials, Singapore, Singapore; [Agrawal, Rupesh] Duke NUS Med Sch, Eye ACP Program, Singapore, Singapore; [Agrawal, Rupesh] Tan Tock Seng Hosp, Natl Healthcare Grp Eye Inst, 11 Jalan Tan Tock Seng, Singapore 308433, Singapore</t>
  </si>
  <si>
    <t>Transforming Systematic Reviews: Evaluating a Fine-Tuned Large Language Model for Abstract Screening in Uveitis and Retinal Vasculitis Fine-Tuned LLM for Review Screening</t>
  </si>
  <si>
    <t>OPHTHALMOLOGY SCIENCE</t>
  </si>
  <si>
    <t>Large language model; Systematic review; Uveitis; Artificial intelligence; Retinal vasculitis</t>
  </si>
  <si>
    <t>2666-9145</t>
  </si>
  <si>
    <t>OPHTHALMOL SCI</t>
  </si>
  <si>
    <t>Ophthalmol. Sci.</t>
  </si>
  <si>
    <t>101296</t>
  </si>
  <si>
    <t>10.1016/j.xops.2026.101296</t>
  </si>
  <si>
    <t>http://dx.doi.org/10.1016/j.xops.2026.101296</t>
  </si>
  <si>
    <t>Ophthalmology</t>
  </si>
  <si>
    <t>MP0TO</t>
  </si>
  <si>
    <t>WOS:001847498700001</t>
  </si>
  <si>
    <t>Vitturi, BK</t>
  </si>
  <si>
    <t>Minimally conscious state (MCS) is characterized by inconsistent but clearly discernible clinical and behavioral evidence of consciousness. Cognitive motor dissociation (CMD) or covert consciousness refers to a condition characterized by a marked dissociation in which a preserved but unacknowledged (covert) cognitive capacity exists in some patients with severe brain injury who show absent or non-purposeful behavioral responses. Traditionally underrecognized by standard neurological examination, this condition may carry significant implications for prognostication and critical care decision-making. Early identification of preserved cognitive processing challenges reductionist views of coma and may help prevent premature withdrawal of life-sustaining therapies. This review synthesizes the principal clinical, electrophysiological, and neuroimaging tools capable of detecting CMD, including advanced bedside examination strategies, behavioral rating scales, structural and functional MRI, EEG reactivity and complexity metrics, machine-learning-based analyses, and multimodal approaches. Although novel technologies - such as task-based fMRI, TMS-EEG, and FDG-PET - offer promising means to infer preserved network connectivity, expert clinical examination and validated scales such as the Coma Recovery Scale-Revised (CRS-R) remain critically important and continue to be among the most widely supported diagnostic methods. Integrating repeated behavioral assessments with quantitative neurophysiological data yields a more comprehensive understanding of residual cognitive function, yet challenges persist, including high false-negative rates, susceptibility to sedation and arousal fluctuations, and limited standardization across modalities. Ethical considerations surrounding the diagnosis of CMD are equally significant, especially in relation to goals-of-care decisions, neuro-palliative strategies, and family communication. Ultimately, while the detection of CMD is essential to contemporary neurocritical practice, its practical implications for therapeutic decision-making remain incompletely defined, mandating individualized, cautious interpretation within a patient-centered clinical framework. (c) 2026 Elsevier Masson SAS. All rights are reserved, including those for text and data mining, AI training, and similar technologies.</t>
  </si>
  <si>
    <t>Vitturi, B. k.</t>
  </si>
  <si>
    <t>Vitturi, BK (corresponding author), Univ Milan, Dept Neurol, Milan, Italy.</t>
  </si>
  <si>
    <t>z_azul@hotmail.com</t>
  </si>
  <si>
    <t>[Vitturi, B. k.] Univ Milan, Dept Neurol, Milan, Italy</t>
  </si>
  <si>
    <t>University of Milan</t>
  </si>
  <si>
    <t>Multimodal assessment of minimally conscious state and cognitive motor dissociation in neurocritical care: A critical review</t>
  </si>
  <si>
    <t>REVUE NEUROLOGIQUE</t>
  </si>
  <si>
    <t>Minimally conscious state; Cognitive motor dissociation; Disorders of consciousness; Coma; Neurological examination</t>
  </si>
  <si>
    <t>CARDIAC-ARREST; UNRESPONSIVE PATIENTS; PROLONGED DISORDERS; BRAIN; CONNECTIVITY; DIFFUSION; MULTICENTER; INJURY; SCALE; ACTIVATION</t>
  </si>
  <si>
    <t>0035-3787</t>
  </si>
  <si>
    <t>2213-0004</t>
  </si>
  <si>
    <t>REV NEUROL-FRANCE</t>
  </si>
  <si>
    <t>Rev. Neurol.</t>
  </si>
  <si>
    <t>182</t>
  </si>
  <si>
    <t>577</t>
  </si>
  <si>
    <t>10.1016/j.neurol.2026.04.010</t>
  </si>
  <si>
    <t>http://dx.doi.org/10.1016/j.neurol.2026.04.010</t>
  </si>
  <si>
    <t>MS0BY</t>
  </si>
  <si>
    <t>42276905</t>
  </si>
  <si>
    <t>WOS:001849483900001</t>
  </si>
  <si>
    <t>Atherton, D; Cueto, SMA; Bodduluri, S</t>
  </si>
  <si>
    <t>Artificial intelligence (AI) has rapidly expanded across medicine, demonstrating value in image analysis, risk prediction, and data interpretation. In forensic science, AI has been explored or implemented in areas such as fingerprint examination, facial recognition, and ballistics; applications specific to medicolegal death investigation and forensic pathology (FP) remain largely experimental. This review summarizes current and emerging research on AI in FP, including studies focused on gunshot wound classification, postmortem interval estimation, toxicological analysis, cause and manner of death determination, and postmortem imaging. Several proof-of-concept investigations demonstrate promising performance, though most rely on limited data sets and lack external validation. Despite its potential to enhance efficiency, consistency, and reproducibility, widespread adoption of AI in FP is constrained by significant challenges. These include limited data access, potential model bias, limited generalizability, difficulties in validation, ethical concerns surrounding decedent data, and medicolegal concerns related to transparency and admissibility in court. AI-related governance frameworks offer guidance for mitigating these risks, but will need to be adapted to the FP context. Overall, AI should be viewed as a complementary tool rather than a replacement for forensic pathologists. Thoughtful development, rigorous validation, transparent implementation, and robust oversight will be essential for integrating AI into FP in a scientifically sound and legally defensible manner.</t>
  </si>
  <si>
    <t>Atherton, Daniel; Cueto, Stephanie Marie Aguilera; Bodduluri, Sandeep</t>
  </si>
  <si>
    <t>Atherton, D (corresponding author), Univ Alabama Birmingham, Heersink Sch Med, Dept Pathol, Div Forens Pathol, Birmingham, AL 35294 USA.</t>
  </si>
  <si>
    <t>sbodduluri@uabmc.edu; saguiler@uab.edu; datherton@uabmc.edu</t>
  </si>
  <si>
    <t>National Heart, Lung, and Blood Institute (NHLBI) [K01HL163249]</t>
  </si>
  <si>
    <t>National Heart, Lung, and Blood Institute (NHLBI)</t>
  </si>
  <si>
    <t>This work was supported by grants from the National Heart, Lung, and Blood Institute (NHLBI) K01HL163249 (S.B.).</t>
  </si>
  <si>
    <t>[Atherton, Daniel] Univ Alabama Birmingham, Heersink Sch Med, Dept Pathol, Div Forens Pathol, Birmingham, AL 35294 USA; [Atherton, Daniel] Jefferson Cty Coroner Med Examiners Off, Birmingham, AL USA; [Cueto, Stephanie Marie Aguilera] Univ Alabama Birmingham, Biomed Engn, Birmingham, AL USA; [Cueto, Stephanie Marie Aguilera; Bodduluri, Sandeep] Univ Alabama Birmingham, Ctr Lung Analyt &amp; Imaging Res CLAIR, Birmingham, AL USA; [Bodduluri, Sandeep] Univ Alabama Birmingham, Heersink Sch Med, Pulm Allergy &amp; Crit Care, Birmingham, AL USA</t>
  </si>
  <si>
    <t>University of Alabama System; University of Alabama Birmingham; University of Alabama System; University of Alabama Birmingham; University of Alabama System; University of Alabama Birmingham; University of Alabama System; University of Alabama Birmingham</t>
  </si>
  <si>
    <t>Emerging Applications and Key Considerations on the Use of Artificial Intelligence in Forensic Medicine and Pathology</t>
  </si>
  <si>
    <t>AMERICAN JOURNAL OF FORENSIC MEDICINE AND PATHOLOGY</t>
  </si>
  <si>
    <t>artificial intelligence; machine learning; forensic pathology; gunshot wound classification; computer vision; image classification</t>
  </si>
  <si>
    <t>0195-7910</t>
  </si>
  <si>
    <t>1533-404X</t>
  </si>
  <si>
    <t>AM J FOREN MED PATH</t>
  </si>
  <si>
    <t>Am. J. Forensic Med. Pathol.</t>
  </si>
  <si>
    <t>223</t>
  </si>
  <si>
    <t>230</t>
  </si>
  <si>
    <t>10.1097/PAF.0000000000001135</t>
  </si>
  <si>
    <t>http://dx.doi.org/10.1097/PAF.0000000000001135</t>
  </si>
  <si>
    <t>Medicine, Legal; Pathology</t>
  </si>
  <si>
    <t>Legal Medicine; Pathology</t>
  </si>
  <si>
    <t>MM5UT</t>
  </si>
  <si>
    <t>42087315</t>
  </si>
  <si>
    <t>WOS:001845809000013</t>
  </si>
  <si>
    <t>Farajpour, M</t>
  </si>
  <si>
    <t>Medicinal and aromatic plants are vital for global healthcare and drug discovery, but their sustainable use is challenged by inefficient cultivation, inconsistent quality, and energy-intensive processing. Artificial intelligence offers powerful tools to address these problems. This review provides a comprehensive and accessible synthesis of AI applications across the entire value chain of these plants. Major application domains include cultivation, where AI assists in species identification, disease diagnosis, and optimization of water, nutrient, and energy inputs; phytochemical profiling, where machine learning models predict bioactive compound concentrations, authenticate geographical origins, and optimize extraction protocols; drug discovery, where AI enables virtual screening of phytochemicals, network pharmacology, and decoding of synergistic effects in herbal formulations; and processing energy, where AI is applied to reduce energy consumption in drying, distillation, and solvent extraction, with quantitative data on energy intensities and savings. The review also covers AI integration with traditional knowledge and in vitro biotechnology. Performance claims are critically evaluated, including dataset sizes, validation methods, and real-world applicability. Key challenges such as data scarcity, model interpretability, and ethical concerns are discussed, and a future roadmap is outlined. By synthesizing the current state of AI in medicinal and aromatic plant research, this review serves as a practical resource for researchers, farmers, and industry professionals seeking to harness AI for more sustainable and efficient production of high-value botanical products.</t>
  </si>
  <si>
    <t>Farajpour, Mostafa</t>
  </si>
  <si>
    <t>Farajpour, M (corresponding author), AREEO, Mazandaran Agr &amp; Nat Resources Res &amp; Educ Ctr, Crop &amp; Hort Sci Res Dept, Sari, Iran.</t>
  </si>
  <si>
    <t>m.farajpour@areeo.ac.ir</t>
  </si>
  <si>
    <t>[Farajpour, Mostafa] AREEO, Mazandaran Agr &amp; Nat Resources Res &amp; Educ Ctr, Crop &amp; Hort Sci Res Dept, Sari, Iran</t>
  </si>
  <si>
    <t>Artificial intelligence applications in medicinal and aromatic plants: a review of cultivation, phytochemical profiling, drug discovery, and processing energy</t>
  </si>
  <si>
    <t>ENERGY NEXUS</t>
  </si>
  <si>
    <t>Machine learning; Optimization; Precision agriculture; Sustainable production</t>
  </si>
  <si>
    <t>STEAM DISTILLATION; AI</t>
  </si>
  <si>
    <t>2772-4271</t>
  </si>
  <si>
    <t>Energy Nexus</t>
  </si>
  <si>
    <t>100800</t>
  </si>
  <si>
    <t>10.1016/j.nexus.2026.100800</t>
  </si>
  <si>
    <t>http://dx.doi.org/10.1016/j.nexus.2026.100800</t>
  </si>
  <si>
    <t>Energy &amp; Fuels; Environmental Sciences</t>
  </si>
  <si>
    <t>Energy &amp; Fuels; Environmental Sciences &amp; Ecology</t>
  </si>
  <si>
    <t>MN0IU</t>
  </si>
  <si>
    <t>WOS:001846116100001</t>
  </si>
  <si>
    <t>Al-Ani, A; Alkhawaja, M; Yang, L; Mikhail, D; Connors, L; Milad, D; Ambikkumar, A; Hill, V; Punja, K; Costello, F; Al-Ghoul, A; Gooi, P</t>
  </si>
  <si>
    <t>Topic: Artificial intelligence (AI) is increasingly applied to support decision-making in ophthalmology. This review evaluates the ability of AI to predict postoperative outcomes after anterior segment and ocular adnexal procedures. Clinical Relevance: The prognostic application of AI algorithms, capable of handling multimodal, complex data, and modeling nonlinear relationships, may enhance perioperative patient counseling, surgical planning, and outcomes. Methods: A comprehensive search was conducted across MEDLINE, Embase, the Cochrane Library, Compendex, Web of Science, Scopus, ProQuest Dissertations and Theses, and gray literature. Studies that investigated only intraocular lens power calculation and refractive outcomes were excluded. Methodological quality was assessed using the Prediction Model Risk of Bias Assessment Tool. Results: Twenty-eight studies were included (n = 2 871 898 eyes). Most procedures were corneal and ocular surface (50%), followed by glaucoma (25%) and cataract/oculoplastic procedures (25%). Tree-based algorithms (57%) dominated the representation layer, followed by deep learning algorithms (43%). Fourteen studies examined how AI performance compared with traditional prediction paradigms; in 13 (93%), AI outperformed traditional methods. Areas under the curve ranged from 0.33 to 0.99, reflecting substantial variation in outcome definitions and model design. The Prediction Model Risk of Bias Assessment Tool assessment indicated that 75% of studies had high risk of bias, primarily due to insufficient reporting of model transparency and calibration metrics. Only 11% of studies incorporated external validation. Conclusions: Artificial intelligence models are promising in predicting anterior segment and adnexal ophthalmic surgical outcomes. While these models generally outperform conventional methods, methodological limitations persist. Future studies should incorporate external validation, standardized reporting, and assessment of workflow integration. Financial Disclosure(s): The author has no/the authors have no proprietary or commercial interest in any materials discussed in this article. Ophthalmology Science 2026;6:101324 (c) 2026 American Academy of Ophthalmology, Inc. Published by Elsevier Inc. This is an open access article under the CC BY-NC-ND license (http://creativecommons. org/licenses/by-nc-nd/4.0/).</t>
  </si>
  <si>
    <t>Al-Ani, Abdullah; Alkhawaja, Mayar; Yang, Lucy; Mikhail, David; Connors, Liam; Milad, Daniel; Ambikkumar, Athithan; Hill, Vivian; Punja, Karim; Costello, Fiona; Al-Ghoul, Ahmed; Gooi, Patrick</t>
  </si>
  <si>
    <t>Al-Ani, A (corresponding author), Univ Calgary, Cumming Sch Med, Dept Surg, Sect Ophthalmol, 2500 Univ Dr NW, Calgary, AB T2N 1N4, Canada.</t>
  </si>
  <si>
    <t>aalani@ucalgary.ca</t>
  </si>
  <si>
    <t>[Al-Ani, Abdullah; Ambikkumar, Athithan; Hill, Vivian; Punja, Karim; Costello, Fiona; Al-Ghoul, Ahmed; Gooi, Patrick] Univ Calgary, Cumming Sch Med, Dept Surg, Sect Ophthalmol, 2500 Univ Dr NW, Calgary, AB T2N 1N4, Canada; [Alkhawaja, Mayar; Mikhail, David] Univ Toronto, Temerty Fac Med, Toronto, ON, Canada; [Yang, Lucy] Univ Alberta, Dept Ophthalmol, Edmonton, AB, Canada; [Connors, Liam] McMaster Univ, Dept Family Med, Collingwood, ON, Canada; [Milad, Daniel] Univ Montreal, Dept Ophthalmol, Montreal, PQ, Canada; [Costello, Fiona] Univ Calgary, Cumming Sch Med, Dept Clin Neurosci, Calgary, AB, Canada</t>
  </si>
  <si>
    <t>University of Calgary; University of Toronto; University of Alberta; Universite de Montreal; University of Calgary</t>
  </si>
  <si>
    <t>Artificial Intelligence for Predicting Postoperative Outcomes in Anterior Segment and Ocular Adnexa Surgery: A Systematic Review</t>
  </si>
  <si>
    <t>Anterior segment; Ocular adnexa; Artificial intelligence; Predictive modeling</t>
  </si>
  <si>
    <t>RISK</t>
  </si>
  <si>
    <t>101324</t>
  </si>
  <si>
    <t>10.1016/j.xops.2026.101324</t>
  </si>
  <si>
    <t>http://dx.doi.org/10.1016/j.xops.2026.101324</t>
  </si>
  <si>
    <t>MO6LG</t>
  </si>
  <si>
    <t>WOS:001847206700001</t>
  </si>
  <si>
    <t>Sun, XY; He, Y; Xia, MR</t>
  </si>
  <si>
    <t>Major depressive disorder (MDD) is a highly heterogeneous condition that limits the reliability of symptom-based diagnosis and treatment selection. In response, neuroimaging-based subtyping has emerged as a promising strategy to address this heterogeneity and advance precision psychiatry. Here, we provide a critical synthesis of neuroimaging-based subtyping research in MDD with 4 central contributions. First, we integrate recent methodological advances, including unsupervised and semisupervised clustering, deep learning, and normative modeling, that move the field beyond group-level averages toward individualized deviation profiles. Second, we compare convergent and divergent subtype patterns across functional, structural, diffusion, and multimodal imaging, highlighting both shared organizational principles and modality-specific dimensions of heterogeneity. Third, we evaluate emerging evidence linking neurophysiological subtypes to symptom dimensions, illness trajectories, and treatment responses and outline a translational framework for clinical implementation. Finally, we identify key challenges and actionable future directions, including the creation of large-scale harmonized datasets, rigorous validation, and integration with physiological, genetic, and environmental data. Together, this review clarifies the current state of the neuroimaging-based subtyping of MDD and delineates a road map for translating brain-based heterogeneity into clinically meaningful advances.</t>
  </si>
  <si>
    <t>Sun, Xiaoyi; He, Yong; Xia, Mingrui</t>
  </si>
  <si>
    <t>Xia, MR (corresponding author), Beijing Normal Univ, State Key Lab Cognit Neurosci &amp; Learning, Beijing, Peoples R China.; Xia, MR (corresponding author), Beijing Normal Univ, Beijing Key Lab Brain Imaging &amp; Connect, Beijing, Peoples R China.; Xia, MR (corresponding author), Beijing Normal Univ, McGovern Inst Brain Res, Int Data Grp, Beijing, Peoples R China.</t>
  </si>
  <si>
    <t>mxia@bnu.edu.cn</t>
  </si>
  <si>
    <t>Beijing Natural Science Foundation [JQ23033]; Brain Science and Brain-like Intelligence Technology-National Science and Technology Major Project [2022ZD0211500, 2021ZD0200500]; National Natural Science Foundation of China [82402368, 82021004, 82071998]</t>
  </si>
  <si>
    <t>Beijing Natural Science Foundation (Beijing Natural Science Foundation); Brain Science and Brain-like Intelligence Technology-National Science and Technology Major Project; National Natural Science Foundation of China (National Natural Science Foundation of China (NSFC))</t>
  </si>
  <si>
    <t>This work was supported by the Beijing Natural Science Foundation (Grant No. JQ23033 [to MX] ) , the Brain Science and Brain-like Intelligence Technology-National Science and Technology Major Project (Grant Nos. 2022ZD0211500 and 2021ZD0200500 [to MX] ) , and the National Natural Science Foundation of China (Grant No. 82402368 [to XS] , Grant No. 82021004 [to YH] , and Grant No. 82071998 [to MX] ) . The authors report no biomedical financial interests or potential conflicts of interest.</t>
  </si>
  <si>
    <t>[Sun, Xiaoyi; He, Yong; Xia, Mingrui] Beijing Normal Univ, State Key Lab Cognit Neurosci &amp; Learning, Beijing, Peoples R China; [Sun, Xiaoyi; He, Yong; Xia, Mingrui] Beijing Normal Univ, Beijing Key Lab Brain Imaging &amp; Connect, Beijing, Peoples R China; [Sun, Xiaoyi; He, Yong; Xia, Mingrui] Beijing Normal Univ, McGovern Inst Brain Res, Int Data Grp, Beijing, Peoples R China; [Sun, Xiaoyi] Beijing Normal Univ, Sch Syst Sci, Beijing, Peoples R China; [Sun, Xiaoyi] Beijing Univ Technol, Coll Chem &amp; Life Sci, Dept Biomed Engn, Beijing, Peoples R China; [He, Yong] Chinese Inst Brain Res, Beijing, Peoples R China</t>
  </si>
  <si>
    <t>Beijing Normal University; Beijing Normal University; Beijing Normal University; Beijing Normal University; Beijing University of Technology; Chinese Institute for Brain Research, Beijing</t>
  </si>
  <si>
    <t>Neuroimaging Insights Into the Neurophysiological Subtypes of Major Depressive Disorder</t>
  </si>
  <si>
    <t>BIOLOGICAL PSYCHIATRY</t>
  </si>
  <si>
    <t>FUNCTIONAL CONNECTIVITY; NORMATIVE MODELS; BRAIN; HETEROGENEITY; CONNECTOMICS; METAANALYSIS; NETWORKS; PATTERNS; ONSET; IDENTIFICATION</t>
  </si>
  <si>
    <t>129</t>
  </si>
  <si>
    <t>0006-3223</t>
  </si>
  <si>
    <t>1873-2402</t>
  </si>
  <si>
    <t>BIOL PSYCHIAT</t>
  </si>
  <si>
    <t>Biol. Psychiatry</t>
  </si>
  <si>
    <t>SEP 1 2026</t>
  </si>
  <si>
    <t>100</t>
  </si>
  <si>
    <t>508</t>
  </si>
  <si>
    <t>524</t>
  </si>
  <si>
    <t>10.1016/j.biopsych.2026.02.018</t>
  </si>
  <si>
    <t>http://dx.doi.org/10.1016/j.biopsych.2026.02.018</t>
  </si>
  <si>
    <t>Neurosciences; Psychiatry</t>
  </si>
  <si>
    <t>MJ8JG</t>
  </si>
  <si>
    <t>41794061</t>
  </si>
  <si>
    <t>WOS:001843948700001</t>
  </si>
  <si>
    <t>Tius, V; Arcieri, M; Restaino, S; Vizzielli, G</t>
  </si>
  <si>
    <t>Purpose of review This review examines the current role of deep learning in the surgical management of gynecologic cancers. It aims to evaluate applications across surgical training, intraoperative guidance, and outcome prediction, while identifying limitations that hinder translation into routine clinical practice.Recent findings Deep learning-based systems show promising performance in enhancing surgical skills through objective assessment and simulation platforms. Intraoperatively, deep learning models can recognize anatomical structures, surgical phases, and tumor tissue, with high diagnostic accuracy in selected settings. Emerging techniques such as surgical optomics and hyperspectral imaging may further improve tumor detection. Additionally, predictive models integrating clinical, imaging, and intraoperative data demonstrate potential in estimating complications, resource utilization, and survival outcomes. However, most studies are retrospective, based on limited datasets, and lack external validation, with minimal evidence of real-world clinical impact.Summary Artificial intelligence, particularly deep learning algorithms, represents a rapidly evolving tool in gynecologic oncologic surgery, with potential to standardize and personalize care. Nevertheless, significant gaps remain between experimental performance and clinical implementation.</t>
  </si>
  <si>
    <t>Tius, Veronica; Arcieri, Martina; Restaino, Stefano; Vizzielli, Giuseppe</t>
  </si>
  <si>
    <t>Vizzielli, G (corresponding author), Univ Udine, Med Area Dept DAME, Dept Med DMED, Piazzale S Maria Misericordia 15, I-33100 Udine, Italy.</t>
  </si>
  <si>
    <t>giuseppe.vizzielli@uniud.it</t>
  </si>
  <si>
    <t>[Tius, Veronica; Arcieri, Martina; Restaino, Stefano; Vizzielli, Giuseppe] S Maria Misericordia Univ Hosp, Clin Obstet &amp; Gynecol, Azienda Sanit Univ Friuli Cent ASUFC, Udine, Italy; [Vizzielli, Giuseppe] Univ Udine, Med Area Dept DAME, Dept Med DMED, Udine, Italy</t>
  </si>
  <si>
    <t>Hospital Santa Maria della Misericordia; University of Udine</t>
  </si>
  <si>
    <t>Deep learning assisting the surgical management of gynecologic cancers</t>
  </si>
  <si>
    <t>CURRENT OPINION IN ONCOLOGY</t>
  </si>
  <si>
    <t>artificial intelligence; deep learning; gynecology; oncology; surgery</t>
  </si>
  <si>
    <t>PREDICTION</t>
  </si>
  <si>
    <t>1040-8746</t>
  </si>
  <si>
    <t>1531-703X</t>
  </si>
  <si>
    <t>CURR OPIN ONCOL</t>
  </si>
  <si>
    <t>Curr. Opin. Oncol.</t>
  </si>
  <si>
    <t>406</t>
  </si>
  <si>
    <t>411</t>
  </si>
  <si>
    <t>10.1097/CCO.0000000000001254</t>
  </si>
  <si>
    <t>http://dx.doi.org/10.1097/CCO.0000000000001254</t>
  </si>
  <si>
    <t>MK3DX</t>
  </si>
  <si>
    <t>42343709</t>
  </si>
  <si>
    <t>WOS:001844274700001</t>
  </si>
  <si>
    <t>Gracia, M; Espias-Alonso, M; Zapardiel, I</t>
  </si>
  <si>
    <t>Purpose of review Artificial intelligence (AI) is increasingly integrated into robotic-assisted surgery, transforming digital surgical platforms into data-driven environments capable of supporting intraoperative decision-making. In gynecologic oncology, where procedures require high precision and follow relatively standardized workflows, AI technologies may improve surgical quality, reduce variability, and enable safer surgical treatment strategies. This review summarizes recent advances in AI-augmented robotic-assisted surgery, focusing on intraoperative guidance, surgical analytics, and predictive decision support.Recent findings Recent literature demonstrates rapid progress in computer vision models capable of recognizing surgical phases, anatomical landmarks, and procedural steps in real time. Integration of augmented reality, fluorescence imaging, and multimodal imaging platforms is enhancing intraoperative visualization and anatomical orientation. Surgical data science approaches enable objective assessment of technical performance through video-based metrics and machine learning algorithms. Predictive analytics models integrating clinical and imaging data show promising results for risk stratification and outcome prediction, although most applications remain in early stages of validation.Summary AI-augmented robotic surgery has the potential to improve precision, standardization, and decision-making in gynecologic oncology. However, clinical implementation requires prospective validation, standardized datasets, and integration into routine workflows. Future developments will likely focus on multimodal data integration and context-aware decision support systems.</t>
  </si>
  <si>
    <t>Gracia, Myriam; Espias-Alonso, Maria; Zapardiel, Ignacio</t>
  </si>
  <si>
    <t>Espias-Alonso, M (corresponding author), Paseo Castellana 261, Madrid 28046, Spain.</t>
  </si>
  <si>
    <t>mariaalonsoespias@gmail.com</t>
  </si>
  <si>
    <t>[Gracia, Myriam; Espias-Alonso, Maria; Zapardiel, Ignacio] La Paz Univ Hosp, Gynecol Oncol Dept, Madrid, Spain</t>
  </si>
  <si>
    <t>Artificial intelligence-augmented robotic surgery in gynecologic oncology: intraoperative assistance and analytics</t>
  </si>
  <si>
    <t>artificial intelligence; gynecologic cancer; image-guided surgery; robotic-assisted surgery</t>
  </si>
  <si>
    <t>COMPETENCE; SKILL</t>
  </si>
  <si>
    <t>59</t>
  </si>
  <si>
    <t>421</t>
  </si>
  <si>
    <t>10.1097/CCO.0000000000001256</t>
  </si>
  <si>
    <t>http://dx.doi.org/10.1097/CCO.0000000000001256</t>
  </si>
  <si>
    <t>42348711</t>
  </si>
  <si>
    <t>WOS:001844274700003</t>
  </si>
  <si>
    <t>Di Maio, ND; Carducci, A; Dante, A</t>
  </si>
  <si>
    <t>Background: Artificial intelligence is increasingly explored in prehospital emergency medical services to support clinical and organisational decision-making, yet its real-world application remains unclear. Objective: To map the use of artificial intelligence in prehospital emergency medical services, focusing on decision-making processes including dispatch, triage, and transport coordination. Methods: A scoping review was conducted following Joanna Briggs Institute methodology and reported according to PRISMA-ScR guidelines. PubMed, CINAHL, Scopus, Engineering Source, and INSPEC were searched (March 2025) without time restrictions. Empirical studies addressing the development, validation, or application of artificial intelligence in prehospital settings were included. Data were synthesised using descriptive analysis and iterative thematic grouping. Results: Thirty-seven studies were included, mainly published between 2020 and 2024. Most were observational or proof-of-concept, with machine learning as the predominant approach. Five application domains were identified: time-sensitive conditions, complex emergency management, dispatch and transport coordination, predictive analytics, and organisational efficiency. Artificial intelligence showed potential to improve early diagnosis and operational decision-making; however, most systems lacked external validation and real-world implementation. Conclusions: Artificial intelligence represents a promising decision-support tool in prehospital emergency care. Nevertheless, evidence remains preliminary, highlighting the need for rigorous validation, integration into clinical workflows, and training to support safe and effective adoption.</t>
  </si>
  <si>
    <t>Di Maio, Nina Di Nardo; Carducci, Augusto; Dante, Angelo</t>
  </si>
  <si>
    <t>Dante, A (corresponding author), Univ Aquila, Dept Life Hlth &amp; Environm Sci, Laquila, Italy.</t>
  </si>
  <si>
    <t>angelo.dante@univaq.it; augusto.carducci@graduate.univaq.it</t>
  </si>
  <si>
    <t>[Di Maio, Nina Di Nardo] ASL 1 Abruzzo Avezzano Sulmona Aquila, Dept Emergency Med, Via Lorenzo Natali 1, I-67100 Laquila, Italy; [Di Maio, Nina Di Nardo] ASL 1 Abruzzo Avezzano Sulmona Aquila, Dept Emergency Med, Via G Petrini, I-67100 Laquila, Italy; [Carducci, Augusto; Dante, Angelo] Univ Aquila, Dept Life Hlth &amp; Environm Sci, Laquila, Italy</t>
  </si>
  <si>
    <t>University of L'Aquila</t>
  </si>
  <si>
    <t>Mapping artificial intelligence applications for clinical and operational decision support in prehospital emergency medical services: A scoping review</t>
  </si>
  <si>
    <t>Artificial intelligence; Machine learning; Prehospital emergency care; Emergency medical services; Clinical decision support; Triage; Emergency nursing</t>
  </si>
  <si>
    <t>SYSTEM</t>
  </si>
  <si>
    <t>101887</t>
  </si>
  <si>
    <t>10.1016/j.ienj.2026.101887</t>
  </si>
  <si>
    <t>http://dx.doi.org/10.1016/j.ienj.2026.101887</t>
  </si>
  <si>
    <t>MJ6ZE</t>
  </si>
  <si>
    <t>42561610</t>
  </si>
  <si>
    <t>WOS:001843852900001</t>
  </si>
  <si>
    <t>Cara, I; Erdmann, FH; Attanasio, C; van't Hof, N; Vidal-Itriago, AA; Geleijnse, G; van Laarhoven, HWM; Verhoeven, RHA</t>
  </si>
  <si>
    <t>Objective: Repeated measurements capture the progression of health over time and may inform survival prediction. The goal of this review is to identify and compare how the presented methodologies for survival prediction with repeated measurements have been applied to predict survival outcomes with multivariate structured repeated measurements and cluster them into families of methodologies. Methods: We performed a search on MEDLINE via Ovid, PubMed, Web of Science, and Embase. We included original peer-reviewed publications where a Time-To-Event (TTE) prediction model was developed, based on multivariate repeated measurements of health data. The protocol was registered in PROSPERO (CRD42024529572). The main outcome of interest was the strategy used for dealing with repeated measurements. We assigned a score to each methodology in terms of temporal modelling, ease of implementation, interpretability and explainability, flexibility, computational power, scalability, ability to deal with irregular sampling and dynamic prediction, based on the data extracted from the corresponding studies. Results: After screening 4029 records, we included 58 studies in the review. The studies were categorized based on the underlying survival models into traditional statistics and machine learning methodologies. In parallel, four families of methodologies to deal with repeated measurements were identified: joint models (statistics n = 18), deep learning based methods (machine learning n = 9), landmarking (statistics n = 13, machine learning n = 6) and data manipulation (statistics n = 3, machine learning n = 9). Statistical studies had a higher risk of bias, reported models trained on less longitudinal covariates and were based on smaller sample sizes, while machine learning could deal less often with irregular sampling of measurements. Joint models and deep learning were generally more suitable when dealing with complex temporal dependencies, while landmarking and data manipulation were simpler and computationally lighter options. Conclusions: This systematic review identified and compared published studies that developed TTE prediction methodologies using repeated covariate measurements to predict clinical outcomes. Greater emphasis on external validation, transparent reporting, interpretability and explainability, and multimodal data integration is crucial to advance the field and enhance its impact on health outcomes.</t>
  </si>
  <si>
    <t>Cara, Irene; Erdmann, Frederik H.; Attanasio, Chiara; van't Hof, Nynke; Vidal-Itriago, Andres A.; Geleijnse, Gijs; van Laarhoven, Hanneke W. M.; Verhoeven, Rob H. A.</t>
  </si>
  <si>
    <t>Cara, I; Verhoeven, RHA (corresponding author), Netherlands Comprehens Canc Org IKNL, Rijnkade 5, NL-3511 CV Utrecht, Netherlands.</t>
  </si>
  <si>
    <t>i.cara@iknl.nl; r.verhoeven@iknl.nl</t>
  </si>
  <si>
    <t>[Cara, Irene; Erdmann, Frederik H.; van't Hof, Nynke; van Laarhoven, Hanneke W. M.; Verhoeven, Rob H. A.] Amsterdam UMC Locat Univ Amsterdam, Dept Med Oncol, Amsterdam, Netherlands; [Cara, Irene; Erdmann, Frederik H.; van Laarhoven, Hanneke W. M.; Verhoeven, Rob H. A.] Canc Ctr Amsterdam, Canc Treatment &amp; Qual Life, Amsterdam, Netherlands; [Cara, Irene; Erdmann, Frederik H.; Attanasio, Chiara; van't Hof, Nynke; Geleijnse, Gijs; Verhoeven, Rob H. A.] Netherlands Comprehens Canc Org IKNL, Dept Res &amp; Dev, Utrecht, Netherlands; [Vidal-Itriago, Andres A.] Vrije Univ Amsterdam, Med Lib, Amsterdam, Netherlands; [Geleijnse, Gijs] Norwegian Inst Publ Hlth, Canc Registry Norway, Oslo, Norway</t>
  </si>
  <si>
    <t>University of Amsterdam; Vrije Universiteit Amsterdam; Vrije Universiteit Amsterdam; Norwegian Institute of Public Health (NIPH); University of Oslo</t>
  </si>
  <si>
    <t>Predicting time-to-event clinical outcomes with multivariate repeated measurements of patient-level covariates: A systematic review</t>
  </si>
  <si>
    <t>JOURNAL OF BIOMEDICAL INFORMATICS</t>
  </si>
  <si>
    <t>Prediction; Survival prediction; Repeated measurements; Time-varying covariates; Longitudinal survival analysis; Time-to-event</t>
  </si>
  <si>
    <t>TRANSFORMATION MODELS; SURVIVAL ANALYSIS; REGRESSION; LIKELIHOOD</t>
  </si>
  <si>
    <t>1532-0464</t>
  </si>
  <si>
    <t>1532-0480</t>
  </si>
  <si>
    <t>J BIOMED INFORM</t>
  </si>
  <si>
    <t>J. Biomed. Inform.</t>
  </si>
  <si>
    <t>105087</t>
  </si>
  <si>
    <t>10.1016/j.jbi.2026.105087</t>
  </si>
  <si>
    <t>http://dx.doi.org/10.1016/j.jbi.2026.105087</t>
  </si>
  <si>
    <t>Computer Science, Interdisciplinary Applications; Medical Informatics</t>
  </si>
  <si>
    <t>Computer Science; Medical Informatics</t>
  </si>
  <si>
    <t>MK5ST</t>
  </si>
  <si>
    <t>42547001</t>
  </si>
  <si>
    <t>WOS:001844448900001</t>
  </si>
  <si>
    <t>Liang, DK; He, L</t>
  </si>
  <si>
    <t>Background: Endometriosis affects approximately 15% of women of reproductive age and is associated with diagnostic delays of up to 12 years due to reliance on surgical confirmation. Radiomics and artificial intelligence (AI) applied to medical imaging offer a pathway toward non-invasive, biologically informed diagnosis, but the evidence base has not been systematically appraised. Methods: A systematic search for PubMed/MEDLINE, Scopus and Web of Science databases was performed following the PRISMA 2020 criteria. All original studies involving the use of MRI and/or ultrasound for endometriosis diagnosis, classification, segmentation or phenotyping, using radiomics, were included. Data were extracted according to a pre-specified form and methodological quality was evaluated with QUADAS-2. Results: There were 18 studies (2020-2026) that included 4381 patients, mostly with a single-center, retrospective design. In ovarian lesion differentiation, deep learning achieved high Area under the curve (AUC) values (up to 0.987); for non-invasive rASRM staging, the accuracy was 87.8% and for detection of pouch of Douglas (POD), AUC values reached up to 96.5%. Across the reader study experiments reported, AI assistance was generally associated with improved sensitivity and inter-observer agreement among radiologists. The risk of bias was variable, with patient selection and reference standard being the most common areas of concern. There was a small number of studies that were externally validated. Given substantial clinical and methodological heterogeneity across studies, findings were synthesized narratively rather than pooled meta-analytically, and reported performance figures should be interpreted as individual study estimates rather than generalizable pooled measures. Conclusions: Radiomics and AI show potential for diagnosis for various phenotypes of endometriosis, but their clinical application will need prospective multicenter validation, standardization of protocols, and extending this to less represented phenotypes such as superficial peritoneal disease and monitoring treatment response.</t>
  </si>
  <si>
    <t>Liang, Deku; He, Li</t>
  </si>
  <si>
    <t>He, L (corresponding author), Univ Elect Sci &amp; Technol China, Chengdu Womens &amp; Childrens Cent Hosp, Sch Med, Dept Obstet &amp; Gynecol, Chengdu 611731, Peoples R China.</t>
  </si>
  <si>
    <t>heli_02@sina.com</t>
  </si>
  <si>
    <t>[Liang, Deku; He, Li] Univ Elect Sci &amp; Technol China, Chengdu Womens &amp; Childrens Cent Hosp, Sch Med, Dept Obstet &amp; Gynecol, Chengdu 611731, Peoples R China</t>
  </si>
  <si>
    <t>University of Electronic Science &amp; Technology of China</t>
  </si>
  <si>
    <t>Radiomics and artificial intelligence for imaging-based non-invasive diagnosis and phenotyping of endometriosis: A systematic review</t>
  </si>
  <si>
    <t>JOURNAL OF RADIATION RESEARCH AND APPLIED SCIENCES</t>
  </si>
  <si>
    <t>Endometriosis; Radiomics; Transvaginal ultrasound; Magnetic resonance imaging; Artificial intelligence</t>
  </si>
  <si>
    <t>CHALLENGES; ULTRASOUND; DEEP</t>
  </si>
  <si>
    <t>1687-8507</t>
  </si>
  <si>
    <t>J RADIAT RES APPL SC</t>
  </si>
  <si>
    <t>J. Radiat. Res. Appl. Sci.</t>
  </si>
  <si>
    <t>102601</t>
  </si>
  <si>
    <t>10.1016/j.jrras.2026.102601</t>
  </si>
  <si>
    <t>http://dx.doi.org/10.1016/j.jrras.2026.102601</t>
  </si>
  <si>
    <t>Multidisciplinary Sciences; Radiology, Nuclear Medicine &amp; Medical Imaging</t>
  </si>
  <si>
    <t>Science &amp; Technology - Other Topics; Radiology, Nuclear Medicine &amp; Medical Imaging</t>
  </si>
  <si>
    <t>MK3HP</t>
  </si>
  <si>
    <t>WOS:001844284300001</t>
  </si>
  <si>
    <t>Grenne, B; Ostvik, A; Dalen, H; Lovstakken, L</t>
  </si>
  <si>
    <t>Purpose of review To review recent advances in artificial intelligence (AI) for left ventricular (LV) strain echocardiography, with emphasis on studies published during the preceding 18 months, and to assess current evidence for measurement performance, workflow integration, emerging AI-based approaches, disease-specific applications and barriers to widespread clinical adoption.Recent findings The most mature evidence relates to automated global longitudinal strain (GLS) measurement, where recent studies show high feasibility, improved reproducibility and reduced operator dependence compared with conventional analysis. AI-based tools have also moved beyond retrospective post-processing towards real-time acquisition support and workflow integration, with evidence of shorter analysis time and more standardized image acquisition. Emerging approaches suggest a shift from single-task GLS automation towards multitask and phenotyping-oriented models in which strain is integrated with broader echocardiographic interpretation. Disease-specific applications are most studied in acute ischaemic heart disease and cardio-oncology, where AI-based strain has shown promise for risk stratification, surveillance and clinical triage. However, agreement with conventional methods remains imperfect and varies substantially across models, decision thresholds are uncertain, and prospective evidence for improved clinical outcomes is still limited.Summary AI for LV strain is evolving from single-task automated measurement towards broader support for reproducibility, workflow integration and clinical interpretation. Current priorities are robust external validation, transparent reporting of feasibility and unsuccessful analyses, and prospective evaluation of clinical utility and workflow impact in routine practice, with clinician oversight as a critical component of safe implementation.</t>
  </si>
  <si>
    <t>Grenne, Bjornar; Ostvik, Andreas; Dalen, Havard; Lovstakken, Lasse</t>
  </si>
  <si>
    <t>Grenne, B (corresponding author), NTNU Norwegian Univ Sci &amp; Technol, Fac Med &amp; Hlth Sci, Dept Circulat &amp; Med Imaging, Postbox 8905, N-7491 Trondheim, Norway.</t>
  </si>
  <si>
    <t>bjornar.grenne@ntnu.no</t>
  </si>
  <si>
    <t>[Grenne, Bjornar; Ostvik, Andreas; Dalen, Havard; Lovstakken, Lasse] Norwegian Univ Sci &amp; Technol NTNU, Dept Circulat &amp; Med Imaging, Trondheim, Norway; [Grenne, Bjornar; Ostvik, Andreas; Dalen, Havard] St Olavs Univ Hosp, Dept Cardiol &amp; Thorac Surg, Trondheim, Norway; [Ostvik, Andreas] SINTEF Digital, Med Image Anal, Hlth Res, Trondheim, Norway; [Dalen, Havard] Nord Trondelag Hosp Trust, Levanger Hosp, Dept Med, Levanger, Norway</t>
  </si>
  <si>
    <t>Norwegian University of Science &amp; Technology (NTNU); Norwegian University of Science &amp; Technology (NTNU); SINTEF</t>
  </si>
  <si>
    <t>Artificial intelligence for left ventricular strain</t>
  </si>
  <si>
    <t>CURRENT OPINION IN CARDIOLOGY</t>
  </si>
  <si>
    <t>artificial intelligence; automated measurement; deep learning; echocardiography; global longitudinal strain</t>
  </si>
  <si>
    <t>0268-4705</t>
  </si>
  <si>
    <t>1531-7080</t>
  </si>
  <si>
    <t>CURR OPIN CARDIOL</t>
  </si>
  <si>
    <t>Curr. Opin. Cardiol.</t>
  </si>
  <si>
    <t>377</t>
  </si>
  <si>
    <t>383</t>
  </si>
  <si>
    <t>10.1097/HCO.0000000000001302</t>
  </si>
  <si>
    <t>http://dx.doi.org/10.1097/HCO.0000000000001302</t>
  </si>
  <si>
    <t>MH5VX</t>
  </si>
  <si>
    <t>42130319</t>
  </si>
  <si>
    <t>WOS:001842420400006</t>
  </si>
  <si>
    <t>Tsang, TSM; Yeung, DF</t>
  </si>
  <si>
    <t>Purpose of review Assessment of left ventricular diastolic function remains one of the most challenging aspects of echocardiography. Artificial intelligence (AI) has emerged as a transformative tool capable of automating data acquisition, analysis, and interpretation. This review summarizes recent advances in the use of AI to facilitate diastolic function assessment.Recent findings An increasing number of studies have shown the potential for AI-based models to equal or exceed expert-guideline approaches for evaluating diastolic function while improving reproducibility and workflow. Recent trends include the use of more deep learning techniques, reliance on fewer input variables, validation with relevant clinical outcomes, and shift in diastolic function classification from a categorical grading system to a more continuous probabilistic score.Summary Current guideline-based approaches integrate multiple Doppler, structural, and hemodynamic variables to classify diastolic function. Although these algorithms have improved standardization, they remain limited by interobserver variability, discordant parameters, indeterminate classifications, incomplete datasets, and reduced applicability in complex clinical settings. Machine learning and deep learning approaches can integrate multidimensional echocardiographic features, electrocardiographic signals, and clinical variables to identify latent physiologic patterns beyond conventional rule-based algorithms. Future work will focus on addressing limitations of AI including explainability, generalizability, regulatory considerations, and integration into clinical workflows.</t>
  </si>
  <si>
    <t>Tsang, Teresa S. M.; Yeung, Darwin F.</t>
  </si>
  <si>
    <t>Tsang, TSM (corresponding author), Univ British Columbia, Fac Med, VGH UBC Echo Dept, 2775 Laurel St,9th Floor, Vancouver, BC V5Z 1M9, Canada.; Tsang, TSM (corresponding author), Univ British Columbia, Fac Med, AI Echo Core Lab, 2775 Laurel St,9th Floor, Vancouver, BC V5Z 1M9, Canada.; Tsang, TSM (corresponding author), Univ British Columbia, Vancouver Coastal Hlth Res Inst Hub, Fac Med, 2775 Laurel St,9th Floor, Vancouver, BC V5Z 1M9, Canada.; Tsang, TSM (corresponding author), Univ British Columbia, Dilawri Cardiovasc Inst, Fac Med, AI Data &amp; Imaging, 2775 Laurel St,9th Floor, Vancouver, BC V5Z 1M9, Canada.; Tsang, TSM (corresponding author), Univ British Columbia, Fac Med, Cardiol, 2775 Laurel St,9th Floor, Vancouver, BC V5Z 1M9, Canada.</t>
  </si>
  <si>
    <t>t.tsang@ubc.ca</t>
  </si>
  <si>
    <t>Univ British Columbia, Vancouver Gen Hosp, Echo Dept, Vancouver, BC, Canada; AI Echo Core Lab, Vancouver, BC, Canada</t>
  </si>
  <si>
    <t>University of British Columbia</t>
  </si>
  <si>
    <t>Artificial intelligence for the assessment of diastolic function</t>
  </si>
  <si>
    <t>artificial intelligence; diastolic function; echocardiography; machine learning</t>
  </si>
  <si>
    <t>HEART-FAILURE; EJECTION FRACTION</t>
  </si>
  <si>
    <t>384</t>
  </si>
  <si>
    <t>392</t>
  </si>
  <si>
    <t>10.1097/HCO.0000000000001324</t>
  </si>
  <si>
    <t>http://dx.doi.org/10.1097/HCO.0000000000001324</t>
  </si>
  <si>
    <t>42495989</t>
  </si>
  <si>
    <t>WOS:001842420400013</t>
  </si>
  <si>
    <t>Lipat, K; Booth, T; Sengupta, PP</t>
  </si>
  <si>
    <t>Purpose of review Constrictive pericarditis is a complex disease whose distinction from clinical mimickers remains challenging yet critically important. Diagnosis frequently requires integration of findings across multiple imaging modalities. Artificial intelligence (AI) applications in cardiac imaging are rapidly evolving and may play an increasingly important role in the diagnosis of constrictive pericarditis.Recent findings Most established evidence supporting AI in diagnosis of constrictive pericarditis involves machine learning and deep learning applied to echocardiography, particularly for differentiating constrictive pericarditis from restrictive cardiomyopathy. Newer approaches incorporate multiple echocardiographic views and emphasize model generalizability. Emerging applications span cardiac computed tomography (CT)-for automated pericardial thickening and calcification quantification-large language models (LLMs) in cardiac magnetic resonance interpretation, and deep learning electrocardiogram analysis.Summary Applications of AI for diagnosis of constrictive pericarditis are being studied across multiple imaging modalities, but remain in early stages of development. Emerging AI concepts, including multimodal LLMs and foundation models leveraging transfer learning, show promise for further advances and eventual meaningful implementation. Cardiac CT, though underrepresented in the current AI literature for constrictive pericarditis, represents an important target for future investigation given its established role in surgical planning.</t>
  </si>
  <si>
    <t>Lipat, Kevin; Booth, Tyler; Sengupta, Partho P.</t>
  </si>
  <si>
    <t>Sengupta, PP (corresponding author), Rutgers Robert Wood Johnson Med Sch, Div Cardiovasc Dis &amp; Hypertens, Robert Wood Johnson Pl, New Brunswick, NJ 08901 USA.</t>
  </si>
  <si>
    <t>partho.sengupta@rutgers.edu</t>
  </si>
  <si>
    <t>[Lipat, Kevin; Booth, Tyler; Sengupta, Partho P.] Rutgers Robert Wood Johnson Med Sch, New Brunswick, NJ USA; [Lipat, Kevin] Newark Beth Israel Med Ctr, Newark, NJ USA</t>
  </si>
  <si>
    <t>Rutgers University System; Rutgers University New Brunswick; Rutgers University Biomedical &amp; Health Sciences</t>
  </si>
  <si>
    <t>The role of artificial intelligence in the diagnosis of pericardial constriction</t>
  </si>
  <si>
    <t>artificial intelligence; constrictive pericarditis; deep learning; large language model</t>
  </si>
  <si>
    <t>393</t>
  </si>
  <si>
    <t>399</t>
  </si>
  <si>
    <t>10.1097/HCO.0000000000001325</t>
  </si>
  <si>
    <t>http://dx.doi.org/10.1097/HCO.0000000000001325</t>
  </si>
  <si>
    <t>42544099</t>
  </si>
  <si>
    <t>WOS:001842420400005</t>
  </si>
  <si>
    <t>Tan, X; Fowler, J; Li, M; Guha, A</t>
  </si>
  <si>
    <t>Purpose of review Right ventricular size and function are vital to risk stratification in pulmonary hypertension, valvular disease, and congenital heart disease, yet right ventricular assessment remains technically demanding and subject to interpreter variability. This review aims to synthesize the rapidly expanding evidence on the application of artificial intelligence to RV structural and functional assessment across echocardiography, cardiac magnetic resonance (CMR), and computed tomography.Recent findings Artificial intelligence has demonstrated accuracy approaching interobserver variability for automated right ventricular segmentation and chamber quantification across imaging modalities. Functional applications include artificial intelligence derived fractional area change, tricuspid annular plane systolic excursion, free-wall strain, and ejection fraction estimation compared against CMR. Emerging applications address right ventricular-pulmonary artery coupling and hemodynamic phenotyping through afterload-aware, physiology-centered models.Summary Current artificial intelligence tools can standardize and accelerate established right ventricular measurements, with the strongest performance in echocardiographic segmentation, annular tracking, and ejection fraction surrogates. Translation into clinical practice will require robust external validation across disease phenotypes, hybrid artificial intelligence workflows that loop in humans, and prospective studies that display measurable impact on clinical efficiency and patient outcomes.</t>
  </si>
  <si>
    <t>Tan, Xin; Fowler, Jarrett; Li, Meng; Guha, Ashrith</t>
  </si>
  <si>
    <t>Guha, A (corresponding author), Houston Methodist Hosp, Houston Methodist DeBakey Heart &amp; Vasc Ctr, Dept Cardiol, Cardiol, 6550 Fannin St, Houston, TX 77030 USA.</t>
  </si>
  <si>
    <t>gashrith@houstonmethodist.org</t>
  </si>
  <si>
    <t>[Tan, Xin; Li, Meng] Rice Univ, Dept Stat, Houston, TX USA; [Fowler, Jarrett; Guha, Ashrith] Houston Methodist JC Walter Transplant Ctr, Houston, TX USA; [Li, Meng; Guha, Ashrith] Houston Methodist DeBakey Heart &amp; Vasc Ctr, Dept Cardiol, Houston, TX USA</t>
  </si>
  <si>
    <t>Rice University; Houston Methodist; Houston Methodist</t>
  </si>
  <si>
    <t>Artificial intelligence for right ventricular assessment: current evidence and future directions</t>
  </si>
  <si>
    <t>artificial intelligence; deep learning; echocardiography; pulmonary hypertension; right ventricle</t>
  </si>
  <si>
    <t>RIGHT HEART</t>
  </si>
  <si>
    <t>400</t>
  </si>
  <si>
    <t>10.1097/HCO.0000000000001320</t>
  </si>
  <si>
    <t>http://dx.doi.org/10.1097/HCO.0000000000001320</t>
  </si>
  <si>
    <t>42267489</t>
  </si>
  <si>
    <t>WOS:001842420400014</t>
  </si>
  <si>
    <t>Sanchez, AA; Sadeghpour, A; Asch, FM</t>
  </si>
  <si>
    <t>Purpose of review The diagnostic evaluation of mitral regurgitation (MR) is complex, time-intensive, and prone to significant interobserver variability. This review examines the current evidence on artificial intelligence (AI) applications across the full MR diagnostic pathway, from pre-imaging screening to advanced multimodality imaging, and explores future directions for clinical integration.Recent findings AI-enabled digital stethoscopes and deep learning-based electrocardiographic models provide scalable upstream strategies for early detection and population-level risk stratification, although they currently function as enrichment tools rather than standalone diagnostics. In echocardiography, AI has demonstrated strong performance for automated valve segmentation, Doppler analysis, severity grading, and phenotypic classification. In cardiac magnetic resonance, AI enables automated valve tracking, ventricular segmentation, and tissue characterization, although dedicated algorithms for direct MR quantification remain under development. Beyond automation, AI-driven approaches have identified clinically meaningful phenotypes linking valvular dysfunction and cardiac remodeling with myocardial fibrosis and increased cardiovascular risk.Summary AI holds significant promise to improve reproducibility, consistency, and clinical integration of MR assessment. Widespread implementation, however, requires prospective validation, standardized acquisition protocols, improved model interpretability and, most importantly, proper regulations driven by a culture of safety.</t>
  </si>
  <si>
    <t>Sanchez, Agostina A.; Sadeghpour, Anita; Asch, Federico M.</t>
  </si>
  <si>
    <t>Asch, FM (corresponding author), MedStar Hlth Res Inst, Cardiovasc Core Labs, 110 Irving St NW, Washington, DC 20010 USA.</t>
  </si>
  <si>
    <t>Federico.Asch@MedStar.net</t>
  </si>
  <si>
    <t>[Sanchez, Agostina A.; Sadeghpour, Anita; Asch, Federico M.] MedStar Hlth Res Inst, Cardiovasc Core Labs, 110 Irving St NW, Washington, DC 20010 USA; [Sadeghpour, Anita; Asch, Federico M.] Georgetown Univ, Sch Med, Washington, DC USA</t>
  </si>
  <si>
    <t>Georgetown University</t>
  </si>
  <si>
    <t>Advances in artificial intelligence for the evaluation of mitral regurgitation</t>
  </si>
  <si>
    <t>artificial intelligence; cardiac magnetic resonance; deep learning; echocardiography; mitral regurgitation</t>
  </si>
  <si>
    <t>407</t>
  </si>
  <si>
    <t>413</t>
  </si>
  <si>
    <t>10.1097/HCO.0000000000001317</t>
  </si>
  <si>
    <t>http://dx.doi.org/10.1097/HCO.0000000000001317</t>
  </si>
  <si>
    <t>42301221</t>
  </si>
  <si>
    <t>WOS:001842420400007</t>
  </si>
  <si>
    <t>Perlman, G; Leroux, J; Sharma, A</t>
  </si>
  <si>
    <t>Purpose of review While pharmacologic and device therapies have improved heart failure care in recent decades, age-adjusted rehospitalization rates remain largely stable. While the adoption of many implanted devices shown to reduce heart failure hospitalizations has been slow due to their invasive nature and limited insurance coverage, wearable devices such as smartwatches are noninvasive and increasingly accessible for the general population. In this review, we discuss novel developments in clinical applications of wearable devices for heart failure.Recent findings While no wearable is currently recommended for heart failure monitoring or screening, recent studies have shown promising preliminary results that suggest wearables may be used to screen for prevalent heart failure, monitor congestion levels, predict acute exacerbation events, and evaluate response to interventions. We highlight research on smartwatch-based prediction of acute exacerbations and screening for heart failure, and patch-based pulmonary capillary wedge pressure estimation.Summary This review aims to serve as a primer for healthcare providers and researchers on advances for use of wearable devices in patients with heart failure. If properly validated and implemented, wearables offer potential to improve quality of life and self-efficacy of patients with heart failure while reducing their hospitalization risk.</t>
  </si>
  <si>
    <t>Perlman, George; Leroux, Janie; Sharma, Abhinav</t>
  </si>
  <si>
    <t>Sharma, A (corresponding author), 1001 Decarie Blvd, Montreal, PQ H4A 3J1, Canada.</t>
  </si>
  <si>
    <t>Abhinav.sharma@mcgill.ca</t>
  </si>
  <si>
    <t>Fonds de Recherche du Quebec-Doctoral Award [365691]; Mitacs Accelerate Award [IT45411]</t>
  </si>
  <si>
    <t>Fonds de Recherche du Quebec-Doctoral Award; Mitacs Accelerate Award</t>
  </si>
  <si>
    <t>G.P. is the recipient of a Fonds de Recherche du Quebec-Doctoral Award (#365691). J.L. is the recipient of a Mitacs Accelerate Award (#IT45411).</t>
  </si>
  <si>
    <t>[Perlman, George; Leroux, Janie; Sharma, Abhinav] McGill Univ, Res Inst, Hlth Ctr, Montreal, PQ, Canada</t>
  </si>
  <si>
    <t>McGill University</t>
  </si>
  <si>
    <t>Advancements in wearable technology for heart failure patients</t>
  </si>
  <si>
    <t>digital health; heart failure; hospitalization; machine learning; wearables</t>
  </si>
  <si>
    <t>483</t>
  </si>
  <si>
    <t>490</t>
  </si>
  <si>
    <t>10.1097/HCO.0000000000001326</t>
  </si>
  <si>
    <t>http://dx.doi.org/10.1097/HCO.0000000000001326</t>
  </si>
  <si>
    <t>42388093</t>
  </si>
  <si>
    <t>WOS:001842420400012</t>
  </si>
  <si>
    <t>Kumar, AR; Singh, S; Ishii, M</t>
  </si>
  <si>
    <t>Artificial intelligence (AI) and machine learning (ML) are increasingly being applied to preoperative risk prediction in plastic surgery; however, the methodological quality and clinical readiness of these models are yet to be systematically evaluated. This systematic review assessed the quality, risk of bias, and predictive performance of AI/ML preoperative risk prediction models in plastic surgery using the PROBAST+AI framework. Five databases were searched from inception through October 2025. Ten studies met the inclusion criteria, encompassing autologous breast reconstruction (n = 2), alloplastic breast reconstruction (n = 5), head and neck reconstruction (n = 1), burn surgery (n = 1), and aesthetic surgery (n = 1). Random forest was the most frequently used algorithm (n = 4), followed by neural networks (n = 2), deep forest with RUSBoost (n = 1), support vector machine (n = 1), and logistic regression (n = 1). AUC ranged from 0.66 to 0.82 among the 8 studies reporting discrimination. Critical methodological limitations were identified: only 2 studies (20%) performed external validation, 5 of 7 development studies (71.4%) had events per variable &lt; 10 indicating inadequate sample size, and 7 studies (70%) did not report model calibration. Pre-reconciliation inter-rater reliability across 102 paired domain-level ratings yielded a Cohen's kappa of 0.240 and Prevalence-Adjusted Bias-Adjusted Kappa of 0.039, consistent with published benchmarks for PROBAST-based systematic reviews. All discrepancies were resolved via structured consensus. Current AI/ML models for preoperative risk prediction in plastic surgery demonstrate variable performance and substantial methodological limitations that preclude clinical implementation. Multi-institutional prospective validation studies with rigorous methodology are needed before clinical adoption. (c) 2026 British Association of Plastic, Reconstructive and Aesthetic Surgeons. Published by Elsevier Ltd. All rights are reserved, including those for text and data mining, AI training, and similar technologies.</t>
  </si>
  <si>
    <t>Kumar, Anisha R.; Singh, Suryakant; Ishii, Masaru</t>
  </si>
  <si>
    <t>Kumar, AR (corresponding author), SUNY Stony Brook, Dept Surg, Div Otolaryngol, Sch Med, Stony Brook, NY 11794 USA.</t>
  </si>
  <si>
    <t>arkumar@post.harvard.edu</t>
  </si>
  <si>
    <t>[Kumar, Anisha R.] SUNY Stony Brook, Dept Surg, Div Otolaryngol, Sch Med, Stony Brook, NY 11794 USA; [Kumar, Anisha R.] SUNY Stony Brook, AI Innovat Inst, Stony Brook, NY USA; [Singh, Suryakant] SUNY Stony Brook, Dept Biomed Informat, Stony Brook, NY USA; [Ishii, Masaru] Johns Hopkins Univ, Dept Otolaryngol Head &amp; Neck Surg, Sch Med, Baltimore, MD USA</t>
  </si>
  <si>
    <t>State University of New York (SUNY) System; Stony Brook University; Stony Brook University Hospital; State University of New York (SUNY) System; Stony Brook University; State University of New York (SUNY) System; Stony Brook University; Johns Hopkins University; Johns Hopkins Medicine</t>
  </si>
  <si>
    <t>Methodological quality and performance of artificial intelligence and machine learning models for preoperative risk prediction in plastic surgery: A systematic review</t>
  </si>
  <si>
    <t>JOURNAL OF PLASTIC RECONSTRUCTIVE AND AESTHETIC SURGERY</t>
  </si>
  <si>
    <t>Artificial intelligence; Machine learning; Preoperative risk prediction; Plastic surgery; Systematic review; PROBAST plus AI</t>
  </si>
  <si>
    <t>34</t>
  </si>
  <si>
    <t>1748-6815</t>
  </si>
  <si>
    <t>1878-0539</t>
  </si>
  <si>
    <t>J PLAST RECONSTR AES</t>
  </si>
  <si>
    <t>J. Plast. Reconstr. Aesthet. Surg.</t>
  </si>
  <si>
    <t>120</t>
  </si>
  <si>
    <t>266</t>
  </si>
  <si>
    <t>279</t>
  </si>
  <si>
    <t>10.1016/j.bjps.2026.07.015</t>
  </si>
  <si>
    <t>http://dx.doi.org/10.1016/j.bjps.2026.07.015</t>
  </si>
  <si>
    <t>MF0BO</t>
  </si>
  <si>
    <t>42537558</t>
  </si>
  <si>
    <t>WOS:001840667300001</t>
  </si>
  <si>
    <t>Kaburu, FM; Zhu, P; Kudiza, A; McDonnell, D; da Veiga, CP; Nie, JB; Xiang, YT; Su, ZH</t>
  </si>
  <si>
    <t>Background: The comorbidity of mental disorders and diabetes is on the rise, presenting a significant global public health challenge that gravely impacts the physical and psychological health of patients and presents obstacles to their effective management. The coronavirus disease 2019 (COVID-19) pandemic, in particular, aggravated these challenges owing to restrictions on in-person care. Artificial intelligence (AI) interventions have emerged as a promising solution to alleviate this burden. Thus, we conducted a scoping review to map the current evidence in the literature and provide a clear understanding of AI for mental disorders and comorbid diabetes. Methods: This scoping review utilized the Arksey &amp; O'Malley framework. Five electronic databases were systematically searched for studies published in the post-COVID era, focusing on AI-assisted approaches for individuals with mental disorders and comorbid diabetes. Results: Twenty-four studies were reviewed. Supervised learning algorithms were most commonly employed, with studies reporting positive performance metrics, while generative AI was essentially absent. The findings demonstrated promising outcomes in four functional domains: Risk assessment, Prediction, Diagnosis, and Personalised care. AI applications are predominantly at the capability stage of translation maturity, focusing mainly on model development and validation, with limited adoption in existing clinical workflows. Other limitations include little demographic reporting, limited external validation, scarce intervention-focused research, and ethical concerns. Conclusion: AI shows promise in enhancing support for individuals with mental disorders and diabetes through targeted, data-driven strategies. Future studies should prioritize clinically integrated, patient-centred AI interventions and evaluate their effectiveness in improving functional outcomes, while addressing ethical considerations.</t>
  </si>
  <si>
    <t>Kaburu, Francis Mungai; Zhu, Ping; Kudiza, Abdulswabul; McDonnell, Dean; da Veiga, Claudimar Pereira; Nie, Jing-Bao; Xiang, Yu-Tao; Su, Zhaohui</t>
  </si>
  <si>
    <t>Su, ZH (corresponding author), Southeast Univ, Sch Publ Hlth, Nanjing 210009, Peoples R China.; da Veiga, CP (corresponding author), Fundacao Dom Cabral FDC, Av Princesa Diana 760, BR-34018006 Nova Lima, MG, Brazil.; Nie, JB (corresponding author), Univ Otago, Fac Med, Dept Bioeth, Dunedin 9054, New Zealand.; Xiang, YT (corresponding author), Univ Macau, Fac Hlth Sci, Dept Publ Hlth, Unit Psychiat, Macau, Peoples R China.; Xiang, YT (corresponding author), Univ Macau, Ctr Cognit &amp; Brain Sci, Macau, Peoples R China.</t>
  </si>
  <si>
    <t>jing-bao.nie@otago.ac.nz; claudimar.veiga@fdc.org.br; dean.mcdonnell@setu.ie; ytxiang@um.edu.mo; szh@seu.edu.cn</t>
  </si>
  <si>
    <t>Fundamental Research Funds for the Central Universities [4025002306]; Jiangsu Provincial Institute of Health Emergency, Research Centre for Medical and Health Emergency Rescue, Xuzhou Medical University Research Projects [JSWSYJ-20240102]; The 2026 Special Research Project on AI-Empowered Graduate Education and Teaching Reform [YJGAI2605]</t>
  </si>
  <si>
    <t>Fundamental Research Funds for the Central Universities (Fundamental Research Funds for the Central Universities); Jiangsu Provincial Institute of Health Emergency, Research Centre for Medical and Health Emergency Rescue, Xuzhou Medical University Research Projects; The 2026 Special Research Project on AI-Empowered Graduate Education and Teaching Reform</t>
  </si>
  <si>
    <t>The Fundamental Research Funds for the Central Universities (4025002306) ; Jiangsu Provincial Institute of Health Emergency, Research Centre for Medical and Health Emergency Rescue, Xuzhou Medical University Research Projects (JSWSYJ-20240102) . 2026 Special Research Project on AI-Empowered Graduate Education and Teaching Reform (YJGAI2605) .</t>
  </si>
  <si>
    <t>[Kaburu, Francis Mungai; Zhu, Ping; Kudiza, Abdulswabul; Su, Zhaohui] Southeast Univ, Sch Publ Hlth, Nanjing 210009, Peoples R China; [Zhu, Ping] Nanjing Med Univ, Jiangsu Canc Hosp, Affiliated Canc Hosp, Jiangsu Inst Canc Res,Breast Dis Ctr, Nanjing, Peoples R China; [McDonnell, Dean] South East Technol Univ, Dept Humanities, Carlow R93V960, Ireland; [da Veiga, Claudimar Pereira] Fundacao Dom Cabral FDC, Av Princesa Diana 760, BR-34018006 Nova Lima, MG, Brazil; [Nie, Jing-Bao] Univ Otago, Fac Med, Dept Bioeth, Dunedin 9054, New Zealand; [Xiang, Yu-Tao] Univ Macau, Fac Hlth Sci, Dept Publ Hlth, Unit Psychiat, Macau, Peoples R China; [Xiang, Yu-Tao] Univ Macau, Ctr Cognit &amp; Brain Sci, Macau, Peoples R China</t>
  </si>
  <si>
    <t>Southeast University - China; Nanjing Medical University; University of Otago</t>
  </si>
  <si>
    <t>AI for mental disorders and diabetes comorbidity management: A scoping review</t>
  </si>
  <si>
    <t>GENERAL HOSPITAL PSYCHIATRY</t>
  </si>
  <si>
    <t>Artificial intelligence; Mental disorders; Diabetes mellitus; Comorbidity; Scoping review</t>
  </si>
  <si>
    <t>DEPRESSION; PREDICTION</t>
  </si>
  <si>
    <t>McDonnell, Dean/ABE-7199-2021</t>
  </si>
  <si>
    <t>McDonnell, Dean/0000-0001-6043-8272</t>
  </si>
  <si>
    <t>0163-8343</t>
  </si>
  <si>
    <t>1873-7714</t>
  </si>
  <si>
    <t>GEN HOSP PSYCHIAT</t>
  </si>
  <si>
    <t>Gen. Hosp. Psych.</t>
  </si>
  <si>
    <t>SEP-OCT 2026</t>
  </si>
  <si>
    <t>114</t>
  </si>
  <si>
    <t>10.1016/j.genhosppsych.2026.06.009</t>
  </si>
  <si>
    <t>http://dx.doi.org/10.1016/j.genhosppsych.2026.06.009</t>
  </si>
  <si>
    <t>Psychiatry</t>
  </si>
  <si>
    <t>MB2IH</t>
  </si>
  <si>
    <t>42526183</t>
  </si>
  <si>
    <t>WOS:001838102800001</t>
  </si>
  <si>
    <t>Rastogi, A</t>
  </si>
  <si>
    <t>Metabolic dysfunction-associated steatotic liver disease (MASLD) is emerging as the most common chronic liver disorder worldwide. However, most of the candidate drugs, except resmetirom, have failed in the metabolic dysfunction-associated steatohepatitis (MASH) trials. The diagnosis of MASH relies on the assessment of key histological features: steatosis, ballooning, lobular inflammation, and fibrosis. Additionally, the current regulatory guidelines consider histological scores as the essential surrogate for the entry and efficacy endpoint decisions in phase IIb and phase III clinical drug trials. The reproducibility of histological scoring systems is increasingly being questioned in clinical trials. Inconsistencies in histopathological reporting, reflected by low inter-observer agreement, are largely attributable to the lack of standardized definitions, ordinal scoring structure with inadequate number of categories, use of variable criteria, ill-defined terminologies, and subjectivity in interpretation, which are further influenced by pre-analytical lab factors. These limitations result in high screen failure rates, poor risk stratification, increased placebo response, and reduced study power in drug trials, making this a serious concern. Liver pathologists are well aware of the urgent need to harmonize definitions and terminology and to transition from semi-quantitative to quantitative measurements using digital pathology (DP) integrated with computer vision and artificial intelligence (AI). Furthermore, standardized, objective, reproducible, and reliable histology-based ground truth is essential for the development and validation of non-invasive diagnostic tests for MASH. Several deep learning (DL) models and architectures, trained on stained or unstained digitized tissue slides using supervised and unsupervised approaches, have been developed, tested, and validated in MASH clinical studies. Liver fibrosis, the strongest primary prognostic determinant of clinical outcomes, has been the most extensively studied histologic feature in MASH. The AI models have demonstrated superior performance with respect to reproducibility and granularity, quantification of fibrosis progression and regression, improved confidence and concordance in Pathologists' scoring, standardization of consensus-based scoring systems, validation of AI-based tools to assist pathologists, and prediction of clinical outcomes. However, several challenges remain in the implementation of DP-enabled AI models in MASLD clinical practice and drug trials. These include ethical and legal considerations, model explainability, patient data privacy and confidentiality, financial investment, and regulatory approvals required for clinical adoption. Nevertheless, digital pathology-coupled DL models have the potential to augment current histopathological assessment in MASH. ( J CLIN EXP HEPATOL 2026;16:103608)</t>
  </si>
  <si>
    <t>Rastogi, Archana</t>
  </si>
  <si>
    <t>Rastogi, A (corresponding author), Inst Liver &amp; Biliary Sci, Dept Pathol, D-1 Vasant Kunj, New Delhi 110070, India.</t>
  </si>
  <si>
    <t>drarchanarastogi@gmail.com</t>
  </si>
  <si>
    <t>[Rastogi, Archana] Inst Liver &amp; Biliary Sci, Dept Pathol, D-1 Vasant Kunj, New Delhi 110070, India</t>
  </si>
  <si>
    <t>Institute of Liver &amp; Biliary Sciences (ILBS)</t>
  </si>
  <si>
    <t>Digital Pathology-Enabled Artificial Intelligence for Fibrosis Assessment in Metabolic Dysfunction-Associated Steatohepatitis: Needs, Current Progress, and Barriers</t>
  </si>
  <si>
    <t>JOURNAL OF CLINICAL AND EXPERIMENTAL HEPATOLOGY</t>
  </si>
  <si>
    <t>metabolic dysfunction-associated steatohepatitis; fibrosis; histopathological scoring; digital pathology; artificial intelligence</t>
  </si>
  <si>
    <t>CLINICAL-TRIALS; SCORING SYSTEM; CRN SCORES; NASH; VALIDATION; CHALLENGES; STEATOSIS; ALGORITHM; BIOPSIES; DISEASE</t>
  </si>
  <si>
    <t>0973-6883</t>
  </si>
  <si>
    <t>2213-3453</t>
  </si>
  <si>
    <t>J CLIN EXP HEPATOL</t>
  </si>
  <si>
    <t>J. Clin. Exp. Hepatol.</t>
  </si>
  <si>
    <t>103608</t>
  </si>
  <si>
    <t>10.1016/j.jceh.2026.103608</t>
  </si>
  <si>
    <t>http://dx.doi.org/10.1016/j.jceh.2026.103608</t>
  </si>
  <si>
    <t>MC4IJ</t>
  </si>
  <si>
    <t>WOS:001838919100001</t>
  </si>
  <si>
    <t>Ridha, A; Vijay, A; Monem, M; Kader, DF</t>
  </si>
  <si>
    <t>Patellofemoral instability is a spectrum of disorders in which the patella loses normal tracking within the trochlear groove, presenting as subluxation or dislocation. Accurate quantification is essential for guiding treatment, yet no unified clinical and imaging scoring system exists. Patient-reported outcome measures remain inconsistent, with frequent reliance on general knee scores rather than tools specifically designed for patellofemoral instability. Imaging assessment requires multiple parameters, including patellar height, tibial tuberosity-trochlear groove distance, and trochlear morphology, but these are limited by static measurement and interobserver variability. This review examines current challenges in the diagnosis and management of patellofemoral instability and also highlights how artificial intelligence and machine learning models may support clinicians by improving diagnostic accuracy, risk stratification, and personalized treatment strategies.</t>
  </si>
  <si>
    <t>Ridha, Ali; Vijay, Aditya; Monem, Mohammad; Kader, Deiary F.</t>
  </si>
  <si>
    <t>Ridha, A (corresponding author), South West London Elective Orthopaed Ctr, Dorking Rd, Epsom KT18 7EG, England.</t>
  </si>
  <si>
    <t>deiary.kader@gmail.com; mmonem@nhs.net; aliridha1994@outlook.com; aditya.vijay2@nhs.net</t>
  </si>
  <si>
    <t>[Ridha, Ali; Vijay, Aditya; Monem, Mohammad; Kader, Deiary F.] South West London Elective Orthopaed Ctr, Dorking Rd, Epsom KT18 7EG, England</t>
  </si>
  <si>
    <t>Quantifying Patellofemoral Instability in a Sea of Metrics</t>
  </si>
  <si>
    <t>SPORTS MEDICINE AND ARTHROSCOPY REVIEW</t>
  </si>
  <si>
    <t>patellofemoral instability; MPFL reconstruction; anatomic reconstruction; postoperative rehabilitation; PROMS; patient-reported outcomes</t>
  </si>
  <si>
    <t>TROCHLEAR GROOVE DISTANCE; TIBIAL TUBEROSITY; ANGLE; CT</t>
  </si>
  <si>
    <t>1062-8592</t>
  </si>
  <si>
    <t>1538-1951</t>
  </si>
  <si>
    <t>SPORTS MED ARTHROSC</t>
  </si>
  <si>
    <t>Sports Med. Arthrosc. Rev.</t>
  </si>
  <si>
    <t>10.1097/JSA.0000000000000449</t>
  </si>
  <si>
    <t>http://dx.doi.org/10.1097/JSA.0000000000000449</t>
  </si>
  <si>
    <t>Sport Sciences</t>
  </si>
  <si>
    <t>MB6EE</t>
  </si>
  <si>
    <t>42543514</t>
  </si>
  <si>
    <t>WOS:001838364000002</t>
  </si>
  <si>
    <t>Li, XL; Yin, C; Mpofu, E; Liu, XY</t>
  </si>
  <si>
    <t>Background: Generative artificial intelligence (GAI) has rapidly expanded into health and social care, offering new opportunities for communication, clinical support, and personalized interventions. Long-term care (LTC) represents a critical application area for improved health related quality of life (HRQoL) due to workforce shortages, increasing care complexity, and the need for scalable, person-centered solutions. A systematic assessment of current evidence is needed to inform safe, effective, and ethical implementation. Methods: A mixed-methods systematic review was conducted using searches of major academic databases and literature sources. Twenty-three studies met inclusion criteria. Data was analyzed using narrative synthesis, to evaluate the current evidence base on the use, benefits, risks, and implementation considerations of GAI for older adults HRQoL in LTC services. Results: GAI applications included conversational agents, virtual companions, decision-support systems, documentation tools, and training platforms. Reported benefits included enhanced emotional engagement, cognitive stimulation, improved communication, and reduced administrative burden for caregivers. However, studies were early stage, with small samples, short implementation periods, and limited evaluation of clinical outcomes of fall risk prevention, medical adherence, hydration, and nutrition for improved HRQoL. Ethical and practical concerns were prominent, including data privacy, transparency, algorithmic bias, and potential erosion of human interaction. Conclusions: GAI shows promise as an emerging technology that may enhance quality, efficiency, and personalization in LTC. However, substantial evidence gaps remain regarding effectiveness, cost-effectiveness, safety, and organizational impact. Robust evaluation frameworks and participatory design processes are essential to guide responsible adoption and ensure that GAI complements the human-centered foundation of LTC. (c) 2026 Elsevier Inc. All rights are reserved, including those for text and data mining, AI training, and similar technologies.</t>
  </si>
  <si>
    <t>Li, Xiaoli; Yin, Cheng; Mpofu, Elias; Liu, Xiaoyu</t>
  </si>
  <si>
    <t>Li, XL (corresponding author), Southern Illinois Univ Carbondale, Sch Hlth Sci, Appl Sci &amp; Arts, Mail Code 6615, Carbondale, IL 62901 USA.</t>
  </si>
  <si>
    <t>xiaoli.li@siu.edu; elias.mpofu@unt.edu; cheyin@iu.edu; xiaoyu.liu@slu.edu</t>
  </si>
  <si>
    <t>[Li, Xiaoli] Southern Illinois Univ Carbondale, Sch Hlth Sci, Carbondale, IL USA; [Yin, Cheng] Indiana Univ Sch Med, Dept Med, Div Gen Internal Med &amp; Geriatr, Indianapolis, IN USA; [Mpofu, Elias] Univ North Texas, Rehabil &amp; Hlth Serv, Denton, TX USA; [Mpofu, Elias] Univ Sydney, Sch Hlth Sci, Sydney, Australia; [Mpofu, Elias] Univ Johannesburg, Educ Psychol, Johannesburg, South Africa; [Liu, Xiaoyu] St Louis Univ, Coll Publ Hlth &amp; Social Justice, St Louis, MO USA</t>
  </si>
  <si>
    <t>Southern Illinois University System; Southern Illinois University; Indiana University System; Indiana University Bloomington; University of North Texas System; University of North Texas Denton; University of Sydney; University of Johannesburg; Saint Louis University</t>
  </si>
  <si>
    <t>Applications of generative artificial intelligence in long-term care services: A systematic review of the evidence on efficacy for improving resident health related quality of life</t>
  </si>
  <si>
    <t>GERIATRIC NURSING</t>
  </si>
  <si>
    <t>Generative artificial intelligence; Long-term care services; Ethics; Resident health related quality of life</t>
  </si>
  <si>
    <t>MIXED METHODS; ROBOT; DEMENTIA; PARO</t>
  </si>
  <si>
    <t>0197-4572</t>
  </si>
  <si>
    <t>1528-3984</t>
  </si>
  <si>
    <t>GERIATR NURS</t>
  </si>
  <si>
    <t>Geriatr. Nurs.</t>
  </si>
  <si>
    <t>104195</t>
  </si>
  <si>
    <t>10.1016/j.gerinurse.2026.104195</t>
  </si>
  <si>
    <t>http://dx.doi.org/10.1016/j.gerinurse.2026.104195</t>
  </si>
  <si>
    <t>Geriatrics &amp; Gerontology; Gerontology; Nursing</t>
  </si>
  <si>
    <t>Geriatrics &amp; Gerontology; Nursing</t>
  </si>
  <si>
    <t>LX2GI</t>
  </si>
  <si>
    <t>42497596</t>
  </si>
  <si>
    <t>WOS:001835375400002</t>
  </si>
  <si>
    <t>Yeni, DK; Güven, D; Büyük, F; Gokmen, MC</t>
  </si>
  <si>
    <t>Microbiology laboratories play a critical role in the diagnosis and management of infectious diseases. However, recent advancements aimed at reducing human workload and minimizing time loss are gaining popularity. Artificial intelligence (AI) technologies, particularly machine learning (ML) and deep learning (DL), have been reported to contribute significantly to microbial laboratory diagnostics. Through this approach, molecular methods, genetic sequencing, microbiological meta-analyses, and related fields benefit from faster and more accurate analytic capabilities. In addition to diagnostic applications, AI is increasingly used in genomics, metagenomics, antimicrobial resistance (AMR) prediction, and drug and vaccine discovery, enabling more comprehensive and data-driven microbiological analysis. This review comprehensively evaluates current AI applications in microbiology, highlighting their advantages, limitations, and implementation challenges. It further examines the suitability of different AI methodologies for specific laboratory tasks and compares AI-driven approaches with conventional expert-based practices. Finally, the study emphasizes the complementary roles of AI systems and human expertise, underscoring their synergistic potential to improve diagnostic accuracy, efficiency, and clinical decision-making.</t>
  </si>
  <si>
    <t>Yeni, Derya Karatas; Guven, Deniz; Buyuk, Fatih; Gokmen, Muhammed Can</t>
  </si>
  <si>
    <t>Yeni, DK (corresponding author), Necmettin Erbakan Univ, Fac Vet Med, Dept Microbiol, TR-42310 Konya, Turkiye.</t>
  </si>
  <si>
    <t>derya.karatasyeni@erbakan.edu.tr</t>
  </si>
  <si>
    <t>[Yeni, Derya Karatas; Gokmen, Muhammed Can] Necmettin Erbakan Univ, Fac Vet Med, Dept Microbiol, TR-42310 Konya, Turkiye; [Guven, Deniz] Ankara Etlik City Hosp, Dept Pediat, TR-06010 Ankara, Turkiye; [Buyuk, Fatih] Kafkas Univ, Fac Vet Med, Dept Microbiol, TR-36100 Kars, Turkiye</t>
  </si>
  <si>
    <t>Necmettin Erbakan University; Kafkas University</t>
  </si>
  <si>
    <t>Artificial intelligence-based methods and applications in clinical and diagnostic microbiology: Current challenges and future perspectives</t>
  </si>
  <si>
    <t>JOURNAL OF MICROBIOLOGICAL METHODS</t>
  </si>
  <si>
    <t>Antimicrobial resistance; Deep learning; Machine learning; Metagenomics; Pathogen detection; Clinical microbiology; Precision medicine</t>
  </si>
  <si>
    <t>140</t>
  </si>
  <si>
    <t>0167-7012</t>
  </si>
  <si>
    <t>1872-8359</t>
  </si>
  <si>
    <t>J MICROBIOL METH</t>
  </si>
  <si>
    <t>J. Microbiol. Methods</t>
  </si>
  <si>
    <t>248</t>
  </si>
  <si>
    <t>107638</t>
  </si>
  <si>
    <t>10.1016/j.mimet.2026.107638</t>
  </si>
  <si>
    <t>http://dx.doi.org/10.1016/j.mimet.2026.107638</t>
  </si>
  <si>
    <t>Biochemical Research Methods; Microbiology</t>
  </si>
  <si>
    <t>Biochemistry &amp; Molecular Biology; Microbiology</t>
  </si>
  <si>
    <t>LX1CS</t>
  </si>
  <si>
    <t>42492779</t>
  </si>
  <si>
    <t>WOS:001835298100001</t>
  </si>
  <si>
    <t>Christensen, JMM; Nyheim-Tommeras, M; Hansen, BK; Haulrig, MB; Manolache, M; Lovendorf, MB; Dyring-Andersen, B</t>
  </si>
  <si>
    <t>Artificial intelligence is emerging as a transformative and rapidly developing technology, with growing implications for the healthcare sector, including dermatology. We conducted a literature review using PubMed and EMBASE. Included studies primarily focused on the application of artificial intelligence for image-based classification. These artificial intelligence systems showed remarkable performance in controlled settings, even matching dermatologist-level accuracy for specific narrow tasks. Several common limitations were identified, including restricted dataset sizes, limited diagnostic diversity, potential selection bias, and inconsistencies in model evaluation. Clinical implementation should require careful attention to validation rigor, dataset diversity, implementation strategies, ethical considerations, and evidence of real-world impact.</t>
  </si>
  <si>
    <t>Christensen, Jacob Morck Munch; Nyheim-Tommeras, Marielle; Hansen, Bjorn Kromann; Haulrig, Morten Bahrt; Manolache, Mihai; Lovendorf, Marianne Bengtson; Dyring-Andersen, Beatrice</t>
  </si>
  <si>
    <t>Dyring-Andersen, B (corresponding author), Zealand Univ Hosp, Dept Dermatol, Roskilde, Denmark.</t>
  </si>
  <si>
    <t>beatriceda@sund.ku.dk</t>
  </si>
  <si>
    <t>Novo Nordisk Foundation [NNF21OC0066694]</t>
  </si>
  <si>
    <t>Novo Nordisk Foundation (Novo Nordisk Foundation)</t>
  </si>
  <si>
    <t>ACKNOWLEDGMENTS This study was funded by the Novo Nordisk Foundation (NNF21OC0066694) .</t>
  </si>
  <si>
    <t>[Christensen, Jacob Morck Munch; Nyheim-Tommeras, Marielle; Hansen, Bjorn Kromann; Haulrig, Morten Bahrt; Manolache, Mihai; Lovendorf, Marianne Bengtson; Dyring-Andersen, Beatrice] Zealand Univ Hosp, Dept Dermatol, Roskilde, Denmark; [Lovendorf, Marianne Bengtson; Dyring-Andersen, Beatrice] Univ Copenhagen, Leo Fdn Skin Immunol Res Ctr, Dept Immunol &amp; Microbiol, Copenhagen, Denmark; [Dyring-Andersen, Beatrice] Harvard Med Sch, Mass Gen Brigham, Dept Dermatol, Boston, MA USA</t>
  </si>
  <si>
    <t>University of Copenhagen; Harvard University; Harvard Medical School</t>
  </si>
  <si>
    <t>Artificial intelligence in dermatology: A literature review of current evidence and clinical implementation</t>
  </si>
  <si>
    <t>Artificial intelligence; Convolutional neural network; Dermatology; Federated learning; Machine learning</t>
  </si>
  <si>
    <t>Haulrig, Morten Bahrt/LZG-3810-2025</t>
  </si>
  <si>
    <t>100497</t>
  </si>
  <si>
    <t>10.1016/j.xjidi.2026.100497</t>
  </si>
  <si>
    <t>http://dx.doi.org/10.1016/j.xjidi.2026.100497</t>
  </si>
  <si>
    <t>LR0PI</t>
  </si>
  <si>
    <t>42540394</t>
  </si>
  <si>
    <t>WOS:001831195400001</t>
  </si>
  <si>
    <t>Do, T; Pecukonis, M; Parker, M; Grabell, A</t>
  </si>
  <si>
    <t>Background: Wearable devices have been utilized to detect real-time physiological changes, allowing for a better understanding of the mechanisms underlying behavioral and cognitive processes in humans. However, little is known about the efficacy of wearable devices in measuring emotional processes in youth with autism, who may experience challenges with social communication and emotion dysregulation. Method: This systematic review analyzed 14 peer-reviewed journal articles published over the past 10 years. Search terms were categorized into "wearable," "emotion," "autism," and "youth." Body-worn wearable devices, such as smartwatches and wristbands, were the most frequently used, while cardiovascular signals were the most measured. Results: Findings from the reviewed articles indicate the potential of interventions using wearable technology to improve emotion recognition, decrease emotional outbursts, and reduce stress or anxiety levels. Based on wearable data, machine learning approaches were also utilized to predict challenging behaviors or aggressive episodes before they occurred in autistic youth. Conclusion: This review discusses clinical implications and ethical considerations for improving socio-emotional development and emotion regulation in autistic youth. Future research should include more studies using wearable technology in naturalistic settings, such as homes or schools, to better understand emotion regulation strategies across diverse autistic populations.</t>
  </si>
  <si>
    <t>Do, Truc; Pecukonis, Meredith; Parker, Michele; Grabell, Adam</t>
  </si>
  <si>
    <t>Do, T (corresponding author), Univ Massachusetts, Dept Psychol &amp; Brain Sci, 135 Hicks Way, Amherst, MA 01002 USA.</t>
  </si>
  <si>
    <t>tndo@umass.edu</t>
  </si>
  <si>
    <t>[Do, Truc; Grabell, Adam] Univ Massachusetts, Dept Psychol &amp; Brain Sci, 135 Hicks Way, Amherst, MA 01002 USA; [Pecukonis, Meredith] Smith Coll, Psychol Dept, Northampton, MA 01063 USA; [Parker, Michele] Fairfield Univ, Sch Educ &amp; Human Dev, Fairfield, CT 06824 USA</t>
  </si>
  <si>
    <t>University of Massachusetts Amherst; University of Massachusetts System; University of Massachusetts Amherst; Smith College; Fairfield University</t>
  </si>
  <si>
    <t>Wearable technology and early socio-emotional processes in youth with autism: A systematic review</t>
  </si>
  <si>
    <t>RESEARCH IN AUTISM</t>
  </si>
  <si>
    <t>Autism; Wearable technology; Emotion; Youth; Systematic review</t>
  </si>
  <si>
    <t>HEART-RATE-VARIABILITY; EMOTION REGULATION; SPECTRUM DISORDER; SENSORY EXPERIENCES; CHILDREN; ADULTS; INDIVIDUALS; ANXIETY; STATE</t>
  </si>
  <si>
    <t>106</t>
  </si>
  <si>
    <t>3050-6573</t>
  </si>
  <si>
    <t>3050-6565</t>
  </si>
  <si>
    <t>RES AUTISM</t>
  </si>
  <si>
    <t>Res. Autism</t>
  </si>
  <si>
    <t>202976</t>
  </si>
  <si>
    <t>10.1016/j.reia.2026.202976</t>
  </si>
  <si>
    <t>http://dx.doi.org/10.1016/j.reia.2026.202976</t>
  </si>
  <si>
    <t>Education, Special; Psychology, Developmental; Psychiatry; Rehabilitation</t>
  </si>
  <si>
    <t>Education &amp; Educational Research; Psychology; Psychiatry; Rehabilitation</t>
  </si>
  <si>
    <t>LP2OD</t>
  </si>
  <si>
    <t>WOS:001829967900001</t>
  </si>
  <si>
    <t>Grach, S; Badawi, A; Ahmad, F; Dolatabadi, E</t>
  </si>
  <si>
    <t>Background: The rapid digitization of healthcare has positioned transformer-based natural language processing (NLP) models as powerful tools for managing clinical textual data. However, their integration into practice raises unresolved questions regarding equity and inclusivity. Objective: This scoping review examines how equity is addressed in transformer-based clinical NLP, with a focus on algorithmic equity, data diversity and representativeness, and participatory design. Methods: A scoping review was conducted, synthesizing 56 studies published between 2017 and 2024. Guided by an intersectionality approach and the Digital Health Equity framework, studies were analyzed to assess how equity-related considerations are operationalized in transformer-based clinical NLP research. Results: Most equity audits were post hoc and fragmented, with limited influence on model development. Persistent underrepresentation of linguistic, demographic, and clinical subgroups was identified, giving rise to what we define as Data Diversity Debt. Participatory design was observed in 11% of studies, indicating limited stakeholder inclusion beyond clinicians. Fairness metrics were inconsistently defined, limiting comparability and accountability across studies. Discussion: These findings highlight the need to move beyond descriptive equity audits toward equity-by-design approaches. We translate the synthesized evidence into an equity-by-design roadmap that embeds fairness, inclusivity, and accountability across the full lifecycle of healthcare NLP systems. We argue that equity must shift from reactive evaluation to proactive design, incorporating participatory governance, fairness-aware training objectives, and continuous monitoring to address Data Diversity Debt and reduce the risk of reproducing health disparities.</t>
  </si>
  <si>
    <t>Grach, Sheri; Badawi, Abeer; Ahmad, Farah; Dolatabadi, Elham</t>
  </si>
  <si>
    <t>Dolatabadi, E (corresponding author), York Univ, Fac Hlth, Toronto, ON, Canada.</t>
  </si>
  <si>
    <t>abeerbadawi@yorku.ca; sherigra@my.yorku.ca; edolatab@yorku.ca; farahmad@yorku.ca</t>
  </si>
  <si>
    <t>Province of Ontario; Government of Canada through CIFAR; Connected Minds Program; Vector Institute</t>
  </si>
  <si>
    <t>This research was supported by the Province of Ontario, the Government of Canada through CIFAR, the Connected Minds Program, and Vector Institute.</t>
  </si>
  <si>
    <t>[Grach, Sheri; Badawi, Abeer; Ahmad, Farah; Dolatabadi, Elham] York Univ, Fac Hlth, Toronto, ON, Canada; [Badawi, Abeer; Dolatabadi, Elham] Vector Inst Artificial Intelligence, Toronto, ON, Canada</t>
  </si>
  <si>
    <t>York University - Canada; Vector Institute for Artificial Intelligence</t>
  </si>
  <si>
    <t>A scoping review of algorithmic equity, data diversity, and inclusive design in the transformer era of clinical NLP</t>
  </si>
  <si>
    <t>Transformer models; Algorithmic equity; Data diversity debt; Digital health equity; Participatory design; Responsible AI</t>
  </si>
  <si>
    <t>MODELS</t>
  </si>
  <si>
    <t>Ahmad, Farah/B-4261-2008</t>
  </si>
  <si>
    <t>105077</t>
  </si>
  <si>
    <t>10.1016/j.jbi.2026.105077</t>
  </si>
  <si>
    <t>http://dx.doi.org/10.1016/j.jbi.2026.105077</t>
  </si>
  <si>
    <t>LL7EY</t>
  </si>
  <si>
    <t>42435828</t>
  </si>
  <si>
    <t>WOS:001827568900001</t>
  </si>
  <si>
    <t>Torres-Costa, S; Machado, S; Barbosa, G; Carvalho, E; Guerra, A; Ramiao, N; Penas, S; Parente, M; Falcao, M</t>
  </si>
  <si>
    <t>Retinal vein occlusion (RVO) is a leading cause of visual impairment worldwide, underscoring the need for earlier detection, objective risk stratification and more personalized management. Recent advances in artificial intelligence (AI), particularly deep learning, have enabled automated analysis of retinal imaging modalities routinely used in RVO, including color fundus photography, optical coherence tomography (OCT), OCT angiography, and fluorescein angiography. We critically examine current AI applications in RVO, with a focus on disease detection, subtype classification, ischemia assessment, prognostic modeling and treatment-related decision support. Using a synthesis-oriented framework, we identify unifying methodological trends across studies and evaluate their clinical relevance and translational maturity. AI models demonstrate strong performance in experimental settings, particularly when leveraging lesion-centric representations and multimodal inputs, although most evidence remains limited to retrospective research environments. We further highlight key barriers to clinical adoption, including small and predominantly single-center datasets, limited external and prospective validation, inconsistent annotation and reporting standards. Ethical, regulatory and workflow integration challenges are also discussed. Finally, we outline future directions for RVO-specific AI development, emphasizing the need for multicenter validation, interpretability and clinically deployable tools that support, rather than replace, clinical decision-making.</t>
  </si>
  <si>
    <t>Torres-Costa, Sonia; Machado, Sofia; Barbosa, Guilherme; Carvalho, Eduardo; Guerra, Ana; Ramiao, Nilza; Penas, Susana; Parente, Marco; Falcao, Manuel</t>
  </si>
  <si>
    <t>Torres-Costa, S (corresponding author), Unidade Local Saude Saude Joao, Alameda Prof Hernani Monteiro, P-4200319 Porto, Portugal.</t>
  </si>
  <si>
    <t>sonia.costa@ulssaojoao.min-saude.pt</t>
  </si>
  <si>
    <t>Portuguese Ophthalmology Society</t>
  </si>
  <si>
    <t>This work was supported by a grant from the Portuguese Ophthalmology Society (Sociedade Portuguesa de Oftalmologia, SPO) , awarded to S.T.C. for her PhD research.</t>
  </si>
  <si>
    <t>[Torres-Costa, Sonia; Machado, Sofia; Penas, Susana; Falcao, Manuel] Unidade Saude Local Sao Joao, Ophthalmol Dept, Porto, Portugal; [Torres-Costa, Sonia; Penas, Susana; Falcao, Manuel] Univ Porto, Fac Med, Dept Surg &amp; Physiol, Porto, Portugal; [Barbosa, Guilherme; Carvalho, Eduardo; Guerra, Ana; Ramiao, Nilza; Parente, Marco] Inst Ciencia &amp; Inovacao Engn Mecan &amp; Engn Ind INEG, Porto, Portugal; [Parente, Marco] Univ Porto, Fac Engn, Dept Mech Engn, Porto, Portugal</t>
  </si>
  <si>
    <t>Artificial intelligence in retinal vein occlusion: Current applications, challenges, and future directions</t>
  </si>
  <si>
    <t>SURVEY OF OPHTHALMOLOGY</t>
  </si>
  <si>
    <t>Artificial intelligence; Deep learning; Retinal vein occlusion; Fundus color photography; OCT; Screening</t>
  </si>
  <si>
    <t>COHERENCE TOMOGRAPHY ANGIOGRAPHY; RISK-FACTORS; POPULATION; EPIDEMIOLOGY; PREVALENCE; THERAPIES</t>
  </si>
  <si>
    <t>Falcao, Manuel/AAQ-8509-2020; Carvalho, Eduardo/PTF-9130-2026; /ABI-7856-2022</t>
  </si>
  <si>
    <t>Machado, Sofia/0009-0004-9802-9975; Carvalho, Eduardo/0009-0005-0729-7008</t>
  </si>
  <si>
    <t>0039-6257</t>
  </si>
  <si>
    <t>1879-3304</t>
  </si>
  <si>
    <t>SURV OPHTHALMOL</t>
  </si>
  <si>
    <t>Surv. Ophthalmol.</t>
  </si>
  <si>
    <t>1287</t>
  </si>
  <si>
    <t>1299</t>
  </si>
  <si>
    <t>10.1016/j.survophthal.2026.03.016</t>
  </si>
  <si>
    <t>http://dx.doi.org/10.1016/j.survophthal.2026.03.016</t>
  </si>
  <si>
    <t>LL2MF</t>
  </si>
  <si>
    <t>41921862</t>
  </si>
  <si>
    <t>WOS:001827249800001</t>
  </si>
  <si>
    <t>Klasa-Mazurkiewicz, D; Koronowicz, M; Zaczek, AJ; Supernat, A</t>
  </si>
  <si>
    <t>Background: Neoadjuvant chemotherapy (NACT) is an established treatment strategy for advanced epithelial ovarian cancer, particularly for patients with high tumour burden or poor surgical fitness. Despite improvement in resectability and reducing perioperative morbidity, current methods for evaluating response, namely imaging, serum biomarkers and histopathology, lack sensitivity and fail to provide timely insights for treatment adaptation. Objectives: This review critically examines how advances in molecular diagnostics and computational analytics are reshaping the assessment of therapeutic response during NACT in ovarian cancer. The work focuses on the translational potential of liquid biopsy-derived analytes as dynamic biomarkers of treatment efficacy. In parallel, we evaluate the contribution of machine learning and digital twin technologies in refining response prediction, surgical planning, and personalized therapy design. Content: This review synthesizes established and emerging approaches for monitoring response to neoadjuvant chemotherapy in ovarian cancer. We begin by summarizing current clinical tools and highlighting key developments in response-guided treatment strategies. We then examine the potential of liquid biopsy biomarkers, particularly circulating tumour DNA (ctDNA), to provide real-time insights into treatment response. Next, we discuss how clinical and molecular diagnostics combined with computational methods, including machine learning and digital twin technologies, could support personalized treatment design. Conclusions: Future management of ovarian cancer during NACT is likely to move toward real-time, integrated assessment platforms that merge molecular, imaging, and clinical information. While these multimodal approaches show strong promise for enabling precision-guided neoadjuvant care and more individualized therapy, their clinical adoption will depend on robust prospective validation, standardization, and demonstration of meaningful benefit in patient outcomes.</t>
  </si>
  <si>
    <t>Klasa-Mazurkiewicz, Dagmara; Koronowicz, Martyna; Zaczek, Anna J.; Supernat, Anna</t>
  </si>
  <si>
    <t>Klasa-Mazurkiewicz, D (corresponding author), Med Univ Gdansk, Univ Clin Ctr, Dept Gynecol Obstet Gynecol Oncol &amp; Gynecol Endocr, Gdansk, Poland.; Supernat, A (corresponding author), Med Univ Gdansk, Univ Gdansk, Intercollegiate Fac Biotechnol, Lab Translat Oncol, Gdansk, Poland.</t>
  </si>
  <si>
    <t>dagmara.klasa-mazurkiewicz@gumed.edu.pl; anna.supernat@gumed.edu.pl</t>
  </si>
  <si>
    <t>National Recovery Plan grant of Medical Research Agency [KPOD.07.07-IW.07-0007/24]</t>
  </si>
  <si>
    <t>National Recovery Plan grant of Medical Research Agency</t>
  </si>
  <si>
    <t>The author (s) declare financial support was received for the research and/or publication of this article. This research was supported by the National Recovery Plan grant of Medical Research Agency (KPOD.07.07-IW.07-0007/24) .</t>
  </si>
  <si>
    <t>[Klasa-Mazurkiewicz, Dagmara] Med Univ Gdansk, Univ Clin Ctr, Dept Gynecol Obstet Gynecol Oncol &amp; Gynecol Endocr, Gdansk, Poland; [Koronowicz, Martyna; Zaczek, Anna J.; Supernat, Anna] Med Univ Gdansk, Univ Gdansk, Intercollegiate Fac Biotechnol, Lab Translat Oncol, Gdansk, Poland; [Supernat, Anna] Med Univ Gdansk, Ctr Biostat &amp; Bioinformat, Gdansk, Poland</t>
  </si>
  <si>
    <t>Medical University Gdansk; Fahrenheit Universities; Medical University Gdansk; Fahrenheit Universities; University of Gdansk; Medical University Gdansk; Fahrenheit Universities; Medical University Gdansk</t>
  </si>
  <si>
    <t>Reframing response in neoadjuvant chemotherapy for ovarian cancer: Integrating molecular and functional biomarkers</t>
  </si>
  <si>
    <t>Ovarian cancer; Neoadjuvant chemotherapy; Therapy response monitoring; Liquid biopsy; Machine learning; Digital twins</t>
  </si>
  <si>
    <t>SERUM HE-4; PHASE-III; CA125; SURGERY; PROGRESSION; RESISTANCE; SURVIVAL; MRI</t>
  </si>
  <si>
    <t>Klasa-Mazurkiewicz, Dagmara/AAK-6437-2021; Zaczek, Anna/T-8894-2017</t>
  </si>
  <si>
    <t>75</t>
  </si>
  <si>
    <t>225</t>
  </si>
  <si>
    <t>105488</t>
  </si>
  <si>
    <t>10.1016/j.critrevonc.2026.105488</t>
  </si>
  <si>
    <t>http://dx.doi.org/10.1016/j.critrevonc.2026.105488</t>
  </si>
  <si>
    <t>LH3VT</t>
  </si>
  <si>
    <t>42437630</t>
  </si>
  <si>
    <t>WOS:001824632300001</t>
  </si>
  <si>
    <t>Buyck, D; Wethington, M; Wethington, A; Gorbaty, B; Iaizzo, PA</t>
  </si>
  <si>
    <t>Extended reality (XR) is increasingly used in medical education to teach physiology. Physiology instruction has evolved from lectures and laboratories to simulation and computer-based models, yet traditional approaches do not fully represent the dynamic nature of physiological processes. XR offers a way to visualize these processes in motion and allows learners to interact with them. Some studies report improved engagement, conceptual understanding, and short-term skill retention, though results are inconsistent and long-term benefits remain unclear. Adoption is limited by cost, equipment access, faculty training, and a lack of standardized assessment tools. Questions about user comfort and cognitive load also require further study. Future research should include stronger study designs, clearer outcome measures, and guidance for integrating XR into curricula. Generative AI may support more adaptive learning experiences, but its educational value has not been established. At present, XR appears most useful as a supplement to traditional physiology teaching rather than a replacement.</t>
  </si>
  <si>
    <t>Buyck, David; Wethington, Madeline; Wethington, Audrey; Gorbaty, Benjamin; Iaizzo, Paul A.</t>
  </si>
  <si>
    <t>Iaizzo, PA (corresponding author), Inst Engn Med, Visible Heart Labs, Minneapolis, MN 55455 USA.; Iaizzo, PA (corresponding author), Univ Minnesota, Med Sch, Minneapolis, MN 55455 USA.; Iaizzo, PA (corresponding author), Univ Minnesota, Dept Surg, Minneapolis, MN 55455 USA.; Iaizzo, PA (corresponding author), Univ Minnesota, Dept Biomed Engn, Minneapolis, MN 55455 USA.</t>
  </si>
  <si>
    <t>iaizz001@umn.edu</t>
  </si>
  <si>
    <t>Medtronic (Minneapolis, MN, USA); University of Minnesota's Institute for Engineering in Medicine</t>
  </si>
  <si>
    <t>Medtronic (Minneapolis, MN, USA) (Medtronic); University of Minnesota's Institute for Engineering in Medicine</t>
  </si>
  <si>
    <t>Funding This work was supported in part by a research contract from Medtronic (Minneapolis, MN, USA) and the University of Minnesota's Institute for Engineering in Medicine. The sponsors had no role in the study design, data collection, analysis, interpretation, manuscript preparation, or the decision to submit this article for publication.</t>
  </si>
  <si>
    <t>[Buyck, David; Wethington, Madeline; Wethington, Audrey; Iaizzo, Paul A.] Inst Engn Med, Visible Heart Labs, Minneapolis, MN 55455 USA; [Buyck, David] Univ Minnesota, Dept Bioinformat &amp; Computat Biol, Minneapolis, MN USA; [Wethington, Madeline; Wethington, Audrey; Gorbaty, Benjamin; Iaizzo, Paul A.] Univ Minnesota, Med Sch, Minneapolis, MN 55455 USA; [Gorbaty, Benjamin] Univ Minnesota, Dept Anesthesiol, Minneapolis, MN USA; [Iaizzo, Paul A.] Univ Minnesota, Dept Surg, Minneapolis, MN 55455 USA; [Iaizzo, Paul A.] Univ Minnesota, Dept Biomed Engn, Minneapolis, MN 55455 USA</t>
  </si>
  <si>
    <t>University of Minnesota System; University of Minnesota Twin Cities; University of Minnesota System; University of Minnesota Twin Cities; University of Minnesota System; University of Minnesota Twin Cities; University of Minnesota System; University of Minnesota Twin Cities; University of Minnesota Twin Cities; University of Minnesota System; University of Minnesota Twin Cities</t>
  </si>
  <si>
    <t>Extended reality in medical physiology education: opportunities, challenges, and future directions</t>
  </si>
  <si>
    <t>CURRENT OPINION IN PHYSIOLOGY</t>
  </si>
  <si>
    <t>2468-8673</t>
  </si>
  <si>
    <t>CURR OPIN PHYSIOL</t>
  </si>
  <si>
    <t>Curr. Opin. Physiol.</t>
  </si>
  <si>
    <t>100969</t>
  </si>
  <si>
    <t>10.1016/j.cophys.2026.100969</t>
  </si>
  <si>
    <t>http://dx.doi.org/10.1016/j.cophys.2026.100969</t>
  </si>
  <si>
    <t>Physiology</t>
  </si>
  <si>
    <t>KO7RK</t>
  </si>
  <si>
    <t>WOS:001812006600001</t>
  </si>
  <si>
    <t>Lee, JS; Cha, JH; Kim, BS</t>
  </si>
  <si>
    <t>Three-dimensional bioprinting and biofabrication increasingly use artificial intelligence (AI) and machine learning (ML) for bioink formulation, printability assessment, process monitoring, and post-print maturation. However, most studies train and test their models within a single batch, printer, or laboratory, leaving model behavior under changing conditions unclear. In this review, we address this gap with two complementary frameworks. First, we introduce a three-tier taxonomy of AI methods, classifying them by how they learn, what model is used, and what task is performed. Second, we apply a five-level validation Ladder, conceptually related to staged-maturity frameworks used in engineering and clinical AI, that grades evaluation rigor from random internal splits (Level 0) to real-time deployment with predefined acceptance criteria (Level 4). We apply both frameworks to 40 primary studies across the bioprinting pipeline and discuss their implications across seven tissue systems: bone/cartilage, cardiac, hepatic, neural, skin, vascular, and tumor. Approximately 83% of these studies remain at Level 0, boundary Level 0-1, or Level 1; 15% reach Level 2 cross-condition testing, only one study (2.5%) reaches Level 3 multi-laboratory testing, and none reach Level 4. This pattern reflects experimental scope rather than method immaturity, since higher levels require data from multiple independent batches and printer configurations. We conclude that community benchmark datasets for printability prediction, defect detection, and organoid phenotyping-annotated with their tier and validation level-are the most direct route toward bioprinting AI that can be reproduced beyond a single laboratory.</t>
  </si>
  <si>
    <t>Lee, Jae-Seong; Cha, Ju-Hee; Kim, Byoung Soo</t>
  </si>
  <si>
    <t>Kim, BS (corresponding author), Pusan Natl Univ, Dept Informat Convergence Engn Biomed Convergence, Yangsan 50612, South Korea.; Kim, BS (corresponding author), Pusan Natl Univ, Sch Biomed Convergence Engn, Yangsan 50612, South Korea.; Kim, BS (corresponding author), Pusan Natl Univ, Med Res Inst, Yangsan 50612, South Korea.; Kim, BS (corresponding author), Pusan Natl Univ, Yangsan Hosp, Res Inst Convergence Biomed Sci &amp; Technol, Yangsan 50612, South Korea.</t>
  </si>
  <si>
    <t>bskim7@pusan.ac.kr</t>
  </si>
  <si>
    <t>Ministry of Trade, Industry and Energy [2410012609]; Korea Basic Science Institute [RS-2025-00564729]; National Research Foundation of Korea [2022R1A5A2027161]</t>
  </si>
  <si>
    <t>Ministry of Trade, Industry and Energy; Korea Basic Science Institute; National Research Foundation of Korea (National Research Foundation of Korea)</t>
  </si>
  <si>
    <t>This work was supported by the National Research Foundation of Korea (NRF) grant funded by the Korean Government (MSIT) (No. 2022R1A5A2027161), the Alchemist Project funded by the Ministry of Trade, Industry &amp; Energy (MOTIE, Korea) (No. 2410012609, 20012378; Development of Meta Soft Organ Module Manufacturing Technology without Immunity Rejection and Module Assembly Robot System), and the Korea Basic Science Institute (National Research Facilities and Equipment Center) grant funded by the Ministry of Science and ICT (No. RS-2025-00564729).</t>
  </si>
  <si>
    <t>[Lee, Jae-Seong; Cha, Ju-Hee; Kim, Byoung Soo] Pusan Natl Univ, Dept Informat Convergence Engn Biomed Convergence, Yangsan 50612, South Korea; [Kim, Byoung Soo] Pusan Natl Univ, Sch Biomed Convergence Engn, Yangsan 50612, South Korea; [Kim, Byoung Soo] Pusan Natl Univ, Med Res Inst, Yangsan 50612, South Korea; [Kim, Byoung Soo] Pusan Natl Univ, Yangsan Hosp, Res Inst Convergence Biomed Sci &amp; Technol, Yangsan 50612, South Korea</t>
  </si>
  <si>
    <t>Pusan National University; Pusan National University; Pusan National University; Pusan National University; Pusan National University Hospital</t>
  </si>
  <si>
    <t>Artificial intelligence in 3D bioprinting and biofabrication: a validation-stringency assessment</t>
  </si>
  <si>
    <t>BIOFABRICATION</t>
  </si>
  <si>
    <t>artificial intelligence, 3D bioprinting, biofabrication, validation framework, foundation models, translational readiness</t>
  </si>
  <si>
    <t>IOP Publishing Ltd</t>
  </si>
  <si>
    <t>Bristol</t>
  </si>
  <si>
    <t>No.2 The Distillery, Glassfields, Avon Street, Bristol, ENGLAND</t>
  </si>
  <si>
    <t>1758-5082</t>
  </si>
  <si>
    <t>1758-5090</t>
  </si>
  <si>
    <t>Biofabrication</t>
  </si>
  <si>
    <t>032003</t>
  </si>
  <si>
    <t>10.1088/1758-5090/ae7b07</t>
  </si>
  <si>
    <t>http://dx.doi.org/10.1088/1758-5090/ae7b07</t>
  </si>
  <si>
    <t>Engineering, Biomedical; Materials Science, Biomaterials</t>
  </si>
  <si>
    <t>Engineering; Materials Science</t>
  </si>
  <si>
    <t>KI4YK</t>
  </si>
  <si>
    <t>42263756</t>
  </si>
  <si>
    <t>WOS:001807748600001</t>
  </si>
  <si>
    <t>Mehmood, A; Shah, AZ; Juarez, JAM; Liu, XH; Jiang, H; Wang, XM</t>
  </si>
  <si>
    <t>Heparan sulfate (HS) proteoglycans are abundant, sulfation-patterned glycosaminoglycans on brain cells and the neurovascular unit that interact with amyloid-beta (A beta) and tau, aggregate and propagate proteopathic species, and modulate cellular uptake pathways. Aptamers are short, chemically synthesized single-stranded nucleic acids that fold to form high-affinity ligands. Novel aptamers bind specific HS motifs for targeting ligands to deliver RNA therapeutics (siRNA, antisense oligonucleotides, mRNA, RNA aptamer-cargo hybrids) into the brain and diseased cells in Alzheimer's disease (AD). We cover diagnostic aptamers, systematic evolution of ligands by exponential enrichment (SELEX) approaches adapted for glycans and HS, chemistry, optimization (AI/machine-learning-enabled design), novel therapeutic applications, delivery vehicles and conjugation strategies, catalytic aptamers/ribozymes, and challenges for clinical translation. We propose a workflow-in silico HS motif mapping and machine learning-guided sequence design through microfluidic/in-vivo SELEX, site-specific chemical modification for nuclease resistance and blood-brain barrier transcytosis, to scalable GMP manufacture. Aptamer-HS technology could enable the precision delivery of RNA therapeutics in AD.</t>
  </si>
  <si>
    <t>Mehmood, Arshad; Shah, Amir Zaman; Martinez Juarez, Jesus Alejandro; Liu, Xiaohui; Jiang, Hui; Wang, Xuemei</t>
  </si>
  <si>
    <t>Wang, XM (corresponding author), Southeast Univ, Sch Biol Sci &amp; Med Engn, State Key Lab Digital Med Engn, Nanjing 210096, Peoples R China.</t>
  </si>
  <si>
    <t>xuewang@seu.edu.cn</t>
  </si>
  <si>
    <t>National Natural Science Foundation of China [82027806, 92461308, U25A20566]</t>
  </si>
  <si>
    <t>The authors would like to acknowledge the technical support provided by the National Natural Science Foundation of China.</t>
  </si>
  <si>
    <t>[Mehmood, Arshad; Martinez Juarez, Jesus Alejandro; Liu, Xiaohui; Jiang, Hui; Wang, Xuemei] Southeast Univ, Sch Biol Sci &amp; Med Engn, State Key Lab Digital Med Engn, Nanjing 210096, Peoples R China; [Shah, Amir Zaman] Yangzhou Univ, Coll Plant Protect, Yangzhou 225009, Peoples R China</t>
  </si>
  <si>
    <t>Southeast University - China; Yangzhou University</t>
  </si>
  <si>
    <t>Novel aptamers targeting heparan sulfate for delivery of RNA therapeutics in Alzheimer's disease</t>
  </si>
  <si>
    <t>PROGRESS IN BIOMEDICAL ENGINEERING</t>
  </si>
  <si>
    <t>aptamer; heparan sulfate; RNA therapeutics; SELEX; machine learning</t>
  </si>
  <si>
    <t>PROTEOGLYCANS</t>
  </si>
  <si>
    <t>2516-1091</t>
  </si>
  <si>
    <t>PROG BIOMED ENG</t>
  </si>
  <si>
    <t>Prog. Biomed. Eng.</t>
  </si>
  <si>
    <t>032008</t>
  </si>
  <si>
    <t>10.1088/2516-1091/ae7eb9</t>
  </si>
  <si>
    <t>http://dx.doi.org/10.1088/2516-1091/ae7eb9</t>
  </si>
  <si>
    <t>KK1MH</t>
  </si>
  <si>
    <t>42309126</t>
  </si>
  <si>
    <t>WOS:001808870200001</t>
  </si>
  <si>
    <t>Kumar, P; Srivastava, S</t>
  </si>
  <si>
    <t>This review gives a critical analysis of recent advances in PoC technologies for cancer diagnosis with a focus on their potential to transform cancer detection and clinical management. Here, we present the drawbacks of current centralised diagnostic system in practice (conventional technologies) as opposed to patient-centeric PoC platforms that can improve early diagnosis, prognosis, and clinical decision-making. PoC devices employing liquid biopsy based biomarkers, molecular PoC devices and their performance characteristics have been described. Further, the PoC devices that have been approved and are in market have been reviewed. Finally, we present the technical and regulatory challenges in developing the PoC devices. Moreover, the future of PoC diagnostics lies in integrating multi-omics data with AI and machine learning to enable personalized risk stratification, prognosis, and treatment, thereby facilitating the translation of laboratory innovations into scalable and clinically actionable cancer care.</t>
  </si>
  <si>
    <t>Kumar, Piyush; Srivastava, Sudha</t>
  </si>
  <si>
    <t>Srivastava, S (corresponding author), Jaypee Inst Informat Technol, Dept Chem, A10,Sect 62, Noida, Uttar Pradesh, India.</t>
  </si>
  <si>
    <t>sudha.srivastava@mail.jiit.ac.in</t>
  </si>
  <si>
    <t>[Kumar, Piyush; Srivastava, Sudha] Jaypee Inst Informat Technol, Dept Biotechnol, A10,Sect 62, Noida, Uttar Pradesh, India; [Srivastava, Sudha] Jaypee Inst Informat Technol, Dept Chem, A10,Sect 62, Noida, Uttar Pradesh, India</t>
  </si>
  <si>
    <t>Jaypee Institute of Information Technology (JIIT); Jaypee Institute of Information Technology (JIIT)</t>
  </si>
  <si>
    <t>From bench to bedside: Progress and prospects in point-of-care cancer diagnostics</t>
  </si>
  <si>
    <t>Point-of-care diagnostics; Cancer detection; Biosensors; Liquid biopsy; Artificial intelligence; Multi-omics; Personalized medicine; Wearable devices; Clinical translation; Early cancer diagnosis</t>
  </si>
  <si>
    <t>GUIDED PROSTATE BIOPSY; ON-A-CHIP; LIQUID-BIOPSY; OVARIAN-CANCER; COLORECTAL-CANCER; ELECTROCHEMICAL IMMUNOSENSORS; EXTRACELLULAR VESICLES; MULTIPLE-MYELOMA; NEXT-GENERATION; SENSITIVITY</t>
  </si>
  <si>
    <t>280</t>
  </si>
  <si>
    <t>118956</t>
  </si>
  <si>
    <t>10.1016/j.trac.2026.118956</t>
  </si>
  <si>
    <t>http://dx.doi.org/10.1016/j.trac.2026.118956</t>
  </si>
  <si>
    <t>JY1ZZ</t>
  </si>
  <si>
    <t>WOS:001800777600001</t>
  </si>
  <si>
    <t>Park, DW</t>
  </si>
  <si>
    <t>Wall shear stress (WSS) drives vascular pathologies (e.g., atherosclerosis and aneurysm progression), necessitating precise in vivo quantification for clinical diagnostics. This review systematically evaluates current and emerging in vivo WSS measurement modalities, analyzing the mathematical principles and technical frameworks of vector Doppler imaging (VDI), ultrasound imaging velocimetry (UIV), speckle decorrelation (SDC), fourdimensional flow magnetic resonance imaging (4D flow MRI), and deep learning-enhanced 4D flow MRI. Each method is benchmarked based on spatial resolution, temporal resolution, and boundary-layer estimation accuracy. Ultrasound-based techniques offer superior temporal resolution but suffer from limited acoustic windows. Conversely, standard 4D flow MRI provides comprehensive volumetric data but suffers from underestimation errors near vessel walls due to partial volume effects. Integrating physics-informed neural networks into 4D flow MRI enhances near-wall spatial resolution. However, precise vascular wall boundary detection remains the primary universal bottleneck limiting clinical translation. In summary, this work establishes a benchmarking framework mapping clinical diagnostic needs to optimal imaging modalities. By highlighting the synergistic potential of combining fluid dynamics physics with deep learning, this review provides actionable optimization pathways to overcome current resolution limits, accelerating non-invasive WSS assessment tools in personalized cardiovascular medicine.</t>
  </si>
  <si>
    <t>Park, Dae Woo</t>
  </si>
  <si>
    <t>Park, DW (corresponding author), Natl Canc Ctr, Res Inst &amp; Hosp, Div Convergence Technol, Goyang 10408, South Korea.</t>
  </si>
  <si>
    <t>bigrain@ncc.re.kr</t>
  </si>
  <si>
    <t>[Park, Dae Woo] Natl Canc Ctr, Res Inst &amp; Hosp, Div Convergence Technol, Goyang 10408, South Korea</t>
  </si>
  <si>
    <t>National Cancer Center - Korea (NCC)</t>
  </si>
  <si>
    <t>Recent advances in velocity gradient-based vascular wall shear stress measurement</t>
  </si>
  <si>
    <t>Ultrasound; Magnetic resonance imaging; Blood flow; Wall shear rate; Wall shear stress</t>
  </si>
  <si>
    <t>ULTRASOUND IMAGING VELOCIMETRY; NON-NEWTONIAN PROPERTIES; IN-VIVO; BLOOD-FLOW; LEARNING FRAMEWORK; DOPPLER; VESSEL; MRI; QUANTIFICATION; HEMODYNAMICS</t>
  </si>
  <si>
    <t>111533</t>
  </si>
  <si>
    <t>10.1016/j.rineng.2026.111533</t>
  </si>
  <si>
    <t>http://dx.doi.org/10.1016/j.rineng.2026.111533</t>
  </si>
  <si>
    <t>JY3LC</t>
  </si>
  <si>
    <t>WOS:001800874100001</t>
  </si>
  <si>
    <t>Gouazé, T; Musso, A; Delotte, J; Maccagnan, S; Autret, A; Contu, S; Hovhannisyan, A; Garrido, A; Gal, J; Schiappa, R; Ducray, J; Chamorey, E</t>
  </si>
  <si>
    <t>Objective: This systematic review aimed to identify and evaluate prediction models developed to estimate the duration of labour induction, to support individualized clinical decision-making and optimise obstetric resource planning.&lt;br /&gt; Design and methods: A comprehensive search of MEDLINE (PubMed), Scopus, and Google Scholar identified studies published from 1 January 2000 up to 5 January 2025. Eligible studies were original research articles that developed or validated a model predicting labour induction duration, expressed either as a continuous measure or as a predefined time interval. Risk of bias was assessed using the PROBAST tool.&lt;br /&gt; Setting and participants: Nine studies, conducted primarily in high-income countries, were included. Sample sizes ranged from 204 to 8466 women undergoing labour induction.&lt;br /&gt; Findings: Models used clinical and demographic predictors such as Bishop score, parity, body mass index, and gestational age. Logistic regression was the predominant modelling method, followed by linear regression and machine learning. Reported discriminative performance (area under the ROC curve) ranged from 0.73 to 0.88. The highest externally validated model reported an AUROC of 0.81 (95% CI 0.78-0.83). Calibration was assessed in only two studies. Using standard PROBAST categories, all models were judged at high or unclear risk of bias, primarily due to limitations in the analysis domain.&lt;br /&gt; Key conclusions and implications for practice: Despite moderate-to-good internal performance, current models have limited clinical applicability due to methodological weaknesses and lack of external validation. Future studies should prioritise calibration, transparent reporting, and usability testing to ensure reliable clinical implementation.</t>
  </si>
  <si>
    <t>Gouaze, Toni; Musso, Alexandra; Delotte, Jerome; Maccagnan, Sandra; Autret, Aurelie; Contu, Sara; Hovhannisyan, Aram; Garrido, Amanda; Gal, Jocelyn; Schiappa, Renaud; Ducray, Julie; Chamorey, Emmanuel</t>
  </si>
  <si>
    <t>Gouazé, T (corresponding author), Univ Cote Azur, Ctr Hosp Univ Nice, Midwifery Sch, Fdn Bellet, 10 Ave Banco, F-06300 Nice, France.; Gouazé, T (corresponding author), Univ Cote Azur, RETINES, Nice, France.</t>
  </si>
  <si>
    <t>gouaze.t@chu-nice.fr</t>
  </si>
  <si>
    <t>GIRCIMED through the Valodata program</t>
  </si>
  <si>
    <t>No specific funding was received for conducting this systematic review itself. The DELIVRAI project, initiated in response to the findings of this review, is supported by GIRCIMED through the Valodata program.</t>
  </si>
  <si>
    <t>[Gouaze, Toni; Musso, Alexandra; Maccagnan, Sandra] Univ Cote Azur, Ctr Hosp Univ Nice, Midwifery Sch, Fdn Bellet, 10 Ave Banco, F-06300 Nice, France; [Gouaze, Toni; Autret, Aurelie; Ducray, Julie; Chamorey, Emmanuel] Univ Cote Azur, RETINES, Nice, France; [Delotte, Jerome] Univ Cote Azur, Ctr Hosp Univ Nice, Hop Archet 2, Pole Femme Mere Enfant, 151 Route St Antoine de Ginestiere,CS 23079, F-06202 Mere 3, France; [Contu, Sara; Hovhannisyan, Aram; Gal, Jocelyn; Schiappa, Renaud; Chamorey, Emmanuel] Ctr Antoine Lacassagne, Dept Epidemiol Biostat &amp; Donnees Sante, 33 Ave Valombrose, F-06189 Nice 2, France; [Garrido, Amanda] ISPB, UMR 5246, ICBMS Inst Chim &amp; Biochim Mol &amp; Supramol, Fac Pharm,Equipe COSSBA COncept &amp; Synth Subst Biol, Bat Rockefeller,4eme Etage,Couloir AD,8 Ave Rockef, F-69373 Lyon 8, France</t>
  </si>
  <si>
    <t>Universite Cote d'Azur; CHU Nice; Universite Cote d'Azur; Universite Cote d'Azur; CHU Nice; Institut National des Sciences Appliquees de Lyon - INSA Lyon</t>
  </si>
  <si>
    <t>Predictive models for estimating the duration of labour induction: A systematic review and critical appraisal</t>
  </si>
  <si>
    <t>MIDWIFERY</t>
  </si>
  <si>
    <t>Labour induction; Prediction model; Induction duration; Obstetric care; Clinical decision support</t>
  </si>
  <si>
    <t>CESAREAN DELIVERY; BISHOP SCORE; RISK; PROGRESSION</t>
  </si>
  <si>
    <t>SCHIAPPA, Renaud/K-8192-2019; Gouaze, Toni/QPB-6148-2026; Garrido, Amanda/JWA-1037-2024</t>
  </si>
  <si>
    <t>0266-6138</t>
  </si>
  <si>
    <t>1532-3099</t>
  </si>
  <si>
    <t>Midwifery</t>
  </si>
  <si>
    <t>160</t>
  </si>
  <si>
    <t>104884</t>
  </si>
  <si>
    <t>10.1016/j.midw.2026.104884</t>
  </si>
  <si>
    <t>http://dx.doi.org/10.1016/j.midw.2026.104884</t>
  </si>
  <si>
    <t>JN9SE</t>
  </si>
  <si>
    <t>42250450</t>
  </si>
  <si>
    <t>WOS:001793838700001</t>
  </si>
  <si>
    <t>Gui, K; Li, Q; Xie, ZY; Zhan, T; Long, XS; Yang, GY; Luo, K; Liu, HD</t>
  </si>
  <si>
    <t>Gliomas are heterogeneous primary central nervous system tumors with diverse molecular subtypes and variable prognosis. A paradigm shift in histopathology is underway as samples are digitized into whole-slide images (WSIs). Deep learning (DL) shows great potential for glioma diagnosis, subtyping, grading, and prognosis. This review summarizes recent advances in WSI-based DL models, covering data preprocessing, model architectures, and translational performance. Model evolution has progressed from CNNs (e.g. ResNet, capturing local features via convolution) to Transformers (e.g. Vision transformer, modeling global dependencies via self-attention), hybrid architectures, and large language model. Typical pipelines include quality control, stain normalization, patch extraction, feature integration, and prediction. Public datasets such as The Cancer Genome Atlas and Clinical Proteomic Tumor Analysis Consortium serve as key resources. On various datasets (public and institutional), a glioma-specific model ResNet-50 achieved AUC 0.983 for subtype classification; a Vision Transformer model reached AUC 0.960 for molecular typing; a hybrid model, ROAM, attained AUC 0.990; and the pan-cancer hybrid model called CHIEF achieved AUC 0.9397 for diagnosis. Attention heatmaps and Shapley Additive exPlanations provide interpretability by linking model outputs to histologic regions. Novel multimodal fusion integrates genomic, proteomic, radiologic, and clinical data to enhance prediction and uncover biological relevance. Future research may focus on enhancing model generalizability and predictive accuracy via advanced architectures, developing lightweight models for resource-limited settings to facilitate clinical translation.</t>
  </si>
  <si>
    <t>Gui, Ke; Li, Qiong; Xie, Zongyu; Zhan, Tong; Long, Xiaosheng; Yang, Guanyu; Luo, Kun; Liu, Hongde</t>
  </si>
  <si>
    <t>Liu, HD (corresponding author), Southeast Univ, Sch Biol Sci &amp; Med Engn, State Key Lab Digital Med Engn, Nanjing 210096, Peoples R China.; Luo, K (corresponding author), Xinjiang Med Univ, Affiliated Hosp 1, Dept Neurosurg, Urumqi 830054, Peoples R China.</t>
  </si>
  <si>
    <t>liuhongde@seu.edu.cn; luokun_2822@sohu.com</t>
  </si>
  <si>
    <t>Key R&amp;D Program of the Xinjiang Uygur Autonomous Region [2025B03015]; The 'Tianshan Talent' Training Program [2023TSYCLJ0030]; National Natural Science Foundation of China [6509009750]</t>
  </si>
  <si>
    <t>Key R&amp;D Program of the Xinjiang Uygur Autonomous Region; The 'Tianshan Talent' Training Program; National Natural Science Foundation of China (National Natural Science Foundation of China (NSFC))</t>
  </si>
  <si>
    <t>This work was supported by the Key R&amp;D Program of the Xinjiang Uygur Autonomous Region (2025B03015), the 'Tianshan Talent' Training Program (2023TSYCLJ0030) and the National Natural Science Foundation of China (6509009750).</t>
  </si>
  <si>
    <t>[Gui, Ke; Li, Qiong; Xie, Zongyu; Zhan, Tong; Long, Xiaosheng; Liu, Hongde] Southeast Univ, Sch Biol Sci &amp; Med Engn, State Key Lab Digital Med Engn, Nanjing 210096, Peoples R China; [Xie, Zongyu] Bengbu Med Coll, Affiliated Hosp 1, Dept Radiol, Bengbu 233004, Anhui, Peoples R China; [Yang, Guanyu] Southeast Univ, Sch Comp Sci &amp; Engn, Nanjing 211189, Peoples R China; [Luo, Kun] Xinjiang Med Univ, Affiliated Hosp 1, Dept Neurosurg, Urumqi 830054, Peoples R China</t>
  </si>
  <si>
    <t>Southeast University - China; Bengbu Medical University; Southeast University - China; Xinjiang Medical University</t>
  </si>
  <si>
    <t>Advancement of deep learning models with whole slide image in diagnosis, subtyping and prognosis for glioma</t>
  </si>
  <si>
    <t>glioma; whole slide images (WSIs); deep learning (DL); transformer; subtypes; prognosis</t>
  </si>
  <si>
    <t>CLASSIFICATION; NORMALIZATION</t>
  </si>
  <si>
    <t>Gui, Ke/0009-0007-1531-6701</t>
  </si>
  <si>
    <t>10.1088/2516-1091/ae7860</t>
  </si>
  <si>
    <t>http://dx.doi.org/10.1088/2516-1091/ae7860</t>
  </si>
  <si>
    <t>JO9QL</t>
  </si>
  <si>
    <t>42246131</t>
  </si>
  <si>
    <t>WOS:001794512300001</t>
  </si>
  <si>
    <t>Giovannoni, C; Metta, C; Monreale, A; Rinzivillo, S</t>
  </si>
  <si>
    <t>The integration of multiple modalities, such as visual and textual, in Artificial Intelligence (AI) models improves efficiency by exploiting the complementary information in the data. This leads to significant advancements in high-impact domains including healthcare, education and mobility. However, the opacity of modern black box models raises trust and accountability concerns, limiting their adoption. Explainable AI (XAI) mitigates these issues by helping users and domain experts understand and audit the outputs produced by multimodal representations. In this systematic survey, we query major editorial databases, collecting and analyzing 155 publications and 54 datasets spanning 2018-2025, to provide a structured overview of the emerging field of multimodal explainability. Unlike other surveys, we organize the current literature by non-mutuallyexclusive, multi-label dimensions comprising multimodal fusion strategies, XAI scopes and techniques, data modalities, model types and application domains. We derive novel conceptualizations specific to multimodal explainability, introducing the distinction between intrinsically and extrinsically multimodal processes. Our quantitative synthesis highlights a field dominated by healthcare applications (48%), with widespread use of intrinsic processes (87.7%), visual or quantitative-based techniques (88.4%), and Neural Network black boxes, while extrinsic processes, white box models, probabilistic or concept-based techniques remain under-explored. Moreover, the public availability of code and human evaluation remains limited. These findings identify critical open gaps and outline directions for developing reproducible and trustworthy multimodal intelligent systems.</t>
  </si>
  <si>
    <t>Giovannoni, Claudio; Metta, Carlo; Monreale, Anna; Rinzivillo, Salvatore</t>
  </si>
  <si>
    <t>Giovannoni, C (corresponding author), Univ Pisa, Dept Comp Sci, Lungarno Pacinotti 43, I-56126 Pisa, Italy.</t>
  </si>
  <si>
    <t>claudio.giovannoni@phd.unipi.it</t>
  </si>
  <si>
    <t>European Union [101120763-TANGO]; Italian Project Fondo Italiano per la Scienza [FIS00001966]</t>
  </si>
  <si>
    <t>European Union (European Union (EU)); Italian Project Fondo Italiano per la Scienza</t>
  </si>
  <si>
    <t>This work was funded by the European Union under Grant Agreement No. 101120763-TANGO. This work was also funded by PNRR-M4C2-Investimento 1.3, Partenariato Esteso PE00000013-"FAIR-Future Artificial Intelligence Research" - Spoke 1 "Human-centered AI". This work was partially supported by the Italian Project Fondo Italiano per la Scienza FIS00001966 "MIMOSA".</t>
  </si>
  <si>
    <t>[Giovannoni, Claudio; Monreale, Anna] Univ Pisa, Dept Comp Sci, Lungarno Pacinotti 43, I-56126 Pisa, Italy; [Giovannoni, Claudio; Metta, Carlo; Rinzivillo, Salvatore] ISTI CNR, Via Moruzzi 1, I-56124 Pisa, Italy; [Giovannoni, Claudio; Metta, Carlo; Monreale, Anna; Rinzivillo, Salvatore] KDD Lab, Via G Moruzzi 1, I-56127 Pisa, Italy</t>
  </si>
  <si>
    <t>University of Pisa; Consiglio Nazionale delle Ricerche (CNR); Istituto di Scienza e Tecnologie dell'Informazione Alessandro Faedo (ISTI-CNR)</t>
  </si>
  <si>
    <t>A survey on multimodal explainable Artificial Intelligence</t>
  </si>
  <si>
    <t>INTELLIGENT SYSTEMS WITH APPLICATIONS</t>
  </si>
  <si>
    <t>Deep learning; XAI; Multimodal learning; Multimodal explainability; Survey</t>
  </si>
  <si>
    <t>PROSTATE-CANCER; FUSION; PREDICTION; ATTENTION; DATASET; INTERPRETABILITY; RECOGNITION; CHALLENGES; NETWORK; SPEECH</t>
  </si>
  <si>
    <t>Giovannoni, Claudio/KMA-2300-2024; Metta, Carlo/AEC-6067-2022; MONREALE, ANNA/AAL-7456-2020; RINZIVILLO, SALVATORE/AAY-2422-2020</t>
  </si>
  <si>
    <t>301</t>
  </si>
  <si>
    <t>2667-3053</t>
  </si>
  <si>
    <t>INTELL SYST APPL</t>
  </si>
  <si>
    <t>Intell. Syst. Appl.</t>
  </si>
  <si>
    <t>200671</t>
  </si>
  <si>
    <t>10.1016/j.iswa.2026.200671</t>
  </si>
  <si>
    <t>http://dx.doi.org/10.1016/j.iswa.2026.200671</t>
  </si>
  <si>
    <t>Computer Science, Artificial Intelligence; Computer Science, Information Systems; Computer Science, Interdisciplinary Applications</t>
  </si>
  <si>
    <t>JK5SP</t>
  </si>
  <si>
    <t>WOS:001791532400001</t>
  </si>
  <si>
    <t>Yuan, YN; Fadzil, AFA; Choi, C; Jeon, TJ; Hu, YQ; Wu, JH; Kachouie, NN; Kang, LF</t>
  </si>
  <si>
    <t>Among additive manufacturing (AM), 3D inkjet technology, materials extrusion (ME), and digital light processing (DLP), which are from dot and line to face printing, have been extensively investigated for biological and pharmaceutical applications. These techniques are valued for their ability to create customised, complex, drug-laden devices and tissue engineering scaffolds. However, testing new bioinks or filament designs can be both expensive and time-consuming. To this end, numerical simulation offers a useful solution by reducing costs and saving time. Both machine learning (ML) and theory-based models can be used for simulation. ML excels in handling complex data but faces challenges with data availability and overfitting, while theory-based models provide a more interpretable and data-efficient framework. This review explores how theory-based numerical simulation can be used to assess and optimise factors such as bioink printability, technique mechanism, printing parameters, and post-printing outcomes. By using simulation, key parameters can be understood and optimised without performing extensive physical experiments. The review highlights current models and discusses opportunities and challenges in using simulations to enhance the AM process, potentially advancing regenerative medicine and personalised treatments.</t>
  </si>
  <si>
    <t>Yuan, Yunong; Anwar Fadzil, Ahmad Fahmi; Choi, Chloe; Jeon, Tae-Joon; Hu, Yiqiao; Wu, Jinhui; Kachouie, Nezamoddin N.; Kang, Lifeng</t>
  </si>
  <si>
    <t>Kang, LF (corresponding author), Univ Sydney, Fac Med &amp; Hlth, Sch Pharm, Pharm &amp; Bank Bldg A15, Sydney, NSW 2006, Australia.; Kang, LF (corresponding author), Univ Sydney, Sydney Nano Inst, Sydney, NSW 2006, Australia.</t>
  </si>
  <si>
    <t>lifeng.kang@sydney.edu.au</t>
  </si>
  <si>
    <t>National Research Foundation of Korea (NRF); Biomanufacturing Incubator in The University of Sydney; University of Sydney [202008320366]; Ministry of Science and Technology Information and Communication (MSIT) [RS-2024-00353900]</t>
  </si>
  <si>
    <t>National Research Foundation of Korea (NRF) (National Research Foundation of Korea); Biomanufacturing Incubator in The University of Sydney; University of Sydney (University of Sydney); Ministry of Science and Technology Information and Communication (MSIT)</t>
  </si>
  <si>
    <t>The National Research Foundation of Korea (NRF), the Ministry of Science and Technology Information and Communication (MSIT) (no. RS-2024-00353900). Yunong Yuan is a recipient of The University of Sydney-China Scholarship Council scholarship (No. 202008320366). The authors thank Biomanufacturing Incubator in The University of Sydney for their funding support.</t>
  </si>
  <si>
    <t>[Yuan, Yunong; Anwar Fadzil, Ahmad Fahmi; Choi, Chloe; Jeon, Tae-Joon; Kang, Lifeng] Univ Sydney, Fac Med &amp; Hlth, Sch Pharm, Pharm &amp; Bank Bldg A15, Sydney, NSW 2006, Australia; [Yuan, Yunong; Kang, Lifeng] Univ Sydney, Sydney Nano Inst, Sydney, NSW 2006, Australia; [Jeon, Tae-Joon] Inha Univ, Dept Biol Sci &amp; Bioengn, 100 Inha Ro, Incheon 22212, South Korea; [Hu, Yiqiao; Wu, Jinhui] Nanjing Univ, Med Sch, State Key Lab Pharmaceut Biotechnol, Nanjing, Peoples R China; [Kachouie, Nezamoddin N.] Florida Inst Technol, Dept Math &amp; Syst Engn, Melbourne, FL 32901 USA</t>
  </si>
  <si>
    <t>University of Sydney; University of Sydney; Inha University; Nanjing University; Florida Institute of Technology</t>
  </si>
  <si>
    <t>Principle-based multiphysics simulation for 3D bioprinting systems: modelling inkjet, extrusion, and DLP processes</t>
  </si>
  <si>
    <t>3D printing; simulation; inkjet printing; materials extrusion; digital light processing</t>
  </si>
  <si>
    <t>PREDICTION; FABRICATION; DESIGN</t>
  </si>
  <si>
    <t>Yuan, Yunong/LXA-9220-2024; Jeon, Tae-Joon/D-4725-2013; Kachouie, Nezamoddin/LDF-0849-2024; Wu, Jinhui/J-9476-2012; Kang, Lifeng/ADX-2931-2022</t>
  </si>
  <si>
    <t>132</t>
  </si>
  <si>
    <t>032001</t>
  </si>
  <si>
    <t>10.1088/1758-5090/ae6ad0</t>
  </si>
  <si>
    <t>http://dx.doi.org/10.1088/1758-5090/ae6ad0</t>
  </si>
  <si>
    <t>JJ9AG</t>
  </si>
  <si>
    <t>42102834</t>
  </si>
  <si>
    <t>WOS:001791076700001</t>
  </si>
  <si>
    <t>Devkar, SP; Deshmukh, SA; Otari, SS</t>
  </si>
  <si>
    <t>Phytochemicals, also known as plant secondary metabolites, are natural compounds that play important roles in medicine, nutrition, and industry. Traditionally, phytochemical research depended on methods such as solvent extraction, chromatography, and bioassay-guided studies. While these techniques have been useful where they are often time-consuming and limited in their ability to capture the full diversity of plant metabolites. The development of omics technologies like genomics, transcriptomics, proteomics and metabolomics has greatly improved phytochemical research by allowing large-scale and integrated analysis of plant metabolic systems. The present review aims to discuss how integrated omics approaches are being applied in phytochemical investigations, particularly for the discovery, biosynthesis, regulation and validation of plant-derived bioactive compounds. Genomics and transcriptomics help identify genes and regulatory networks involved in secondary metabolite biosynthesis, whereas proteomics and metabolomics provide direct information on enzymes and metabolite diversity. The integration of multi-omics data has accelerated the discovery of bioactive compounds with therapeutic potential. Despite these advances, several challenges remain, including difficulties in data integration, reproducibility, bioavailability of phytochemicals and translating laboratory findings into real-world applications. Omics datasets are often large and complex, requiring advanced bioinformatics and machine learning tools for effective analysis. Future research should be focus on improved multi-omics integration, data standardization and the use of emerging technologies such as single-cell and spatial omics, as well as genomeediting tools like CRISPR/Cas. Strong collaboration between academia and industry will be essential for the sustainable development of phytochemical-based medicines and functional foods.</t>
  </si>
  <si>
    <t>Devkar, Suraj P.; Deshmukh, Sagar A.; Otari, Shreedhar S.</t>
  </si>
  <si>
    <t>Otari, SS (corresponding author), Shivaji Univ, Dept Bot, Kolhapur 416004, Maharashtra, India.</t>
  </si>
  <si>
    <t>shreeotari94@gmail.com</t>
  </si>
  <si>
    <t>Department of Botany, Shivaji University</t>
  </si>
  <si>
    <t>SSO is thankful to the Head, Department of Botany, Shivaji University, for providing the necessary facilities and support through DST-FIST programmes. SPD and SAD are also thankful to the Principal and Head, Department of Botany, New College, Kolhapur, for providing the required facilities.</t>
  </si>
  <si>
    <t>[Devkar, Suraj P.; Deshmukh, Sagar A.] New Coll, Dept Bot, Kolhapur 416004, Maharashtra, India; [Otari, Shreedhar S.] Shivaji Univ, Dept Bot, Kolhapur 416004, Maharashtra, India</t>
  </si>
  <si>
    <t>Shivaji University</t>
  </si>
  <si>
    <t>Phytochemical investigations in omics era: Opportunities and challenges - A review</t>
  </si>
  <si>
    <t>GENE REPORTS</t>
  </si>
  <si>
    <t>Phytochemicals; Omics; Emerging field; Data analysis; new avenues</t>
  </si>
  <si>
    <t>MASS-SPECTROMETRY; BIOSYNTHESIS; PEPTIDE; PROTEIN</t>
  </si>
  <si>
    <t>Otari, Shreedhar/PUF-2089-2026</t>
  </si>
  <si>
    <t>2452-0144</t>
  </si>
  <si>
    <t>GENE REP</t>
  </si>
  <si>
    <t>Gene Rep.</t>
  </si>
  <si>
    <t>102545</t>
  </si>
  <si>
    <t>10.1016/j.genrep.2026.102545</t>
  </si>
  <si>
    <t>http://dx.doi.org/10.1016/j.genrep.2026.102545</t>
  </si>
  <si>
    <t>Genetics &amp; Heredity</t>
  </si>
  <si>
    <t>JJ8PA</t>
  </si>
  <si>
    <t>WOS:001791047500001</t>
  </si>
  <si>
    <t>Ribeiro, JCD; Sousa, JCP; Vitório, JG; Bevilaqua, GB; Acioli, BMMG; Nascimento, ALF; Gontijo, B</t>
  </si>
  <si>
    <t>Ambient mass spectrometry (AMS) enables rapid, preparation-free molecular profiling and is increasingly impacting clinical diagnostics and point-of-care (POC) testing. Advances in soft/ambient ionization (DESI, DART, paper spray, MasSpec Pen, REIMS, PESI, and related hybrid sources) broaden analyte coverage, enabling realtime detection of metabolites, lipids, proteins, pathogens, drugs, and other biomarkers directly from tissues, biofluids, and swabs. In parallel, portable and miniaturized mass spectrometers have improved the feasibility of selected bedside, intraoperative, and field workflows, particularly for targeted screening and quantification. Machine-learning integration increasingly automates spectral interpretation for tissue classification, disease diagnosis, and therapeutic drug monitoring. However, routine clinical adoption remains constrained by standardization requirements, multicenter validation, and regulatory pathways. This review summarizes the evolution of AMS and portable MS, surveys emerging clinical applications, and outlines priorities for broader implementation. We also discuss workflow integration, quality assurance, data sharing, and training needs for non-specialist users.</t>
  </si>
  <si>
    <t>Ribeiro, Julio Cesar de Oliveira; Sousa, Jean Carlos Pereira; Vitorio, Jessica Gardone; Bevilaqua, Giovanni Bonatti; Acioli, Bianca Micaela Macario Gonsalves; Nascimento, Ayrton L. F.; Gontijo, Boniek</t>
  </si>
  <si>
    <t>Gontijo, B (corresponding author), Univ Fed Goias, Inst Chem, BR-74690900 Goiania, GO, Brazil.</t>
  </si>
  <si>
    <t>boniek@ufg.br</t>
  </si>
  <si>
    <t>Coordination for the Improvement of Higher Education Personnel (CAPES); National Council for Scientific and Technological Development (CNPq); Goias State Research Support Foundation (FAPEG); PETROBRAS</t>
  </si>
  <si>
    <t>Coordination for the Improvement of Higher Education Personnel (CAPES) (Coordenacao de Aperfeicoamento de Pessoal de Nivel Superior (CAPES)); National Council for Scientific and Technological Development (CNPq) (Conselho Nacional de Desenvolvimento Cientifico e Tecnologico (CNPQ)); Goias State Research Support Foundation (FAPEG); PETROBRAS (Fundacao de Amparo a Pesquisa do Amapa (FAPEAP), Petrobras)</t>
  </si>
  <si>
    <t>The authors gratefully acknowledge the financial support provided by the Coordination for the Improvement of Higher Education Personnel (CAPES) , the National Council for Scientific and Technological Development (CNPq) , the Goias State Research Support Foundation (FAPEG) and PETROBRAS.</t>
  </si>
  <si>
    <t>[Ribeiro, Julio Cesar de Oliveira; Vitorio, Jessica Gardone; Bevilaqua, Giovanni Bonatti; Acioli, Bianca Micaela Macario Gonsalves; Nascimento, Ayrton L. F.; Gontijo, Boniek] Univ Fed Goias, Inst Chem, BR-74690900 Goiania, GO, Brazil; [Sousa, Jean Carlos Pereira] Univ Fed Goias, Fac Pharm, BR-74605170 Goiania, GO, Brazil</t>
  </si>
  <si>
    <t>Universidade Federal de Goias; Universidade Federal de Goias</t>
  </si>
  <si>
    <t>Towards instant diagnostics: The role of ambient mass spectrometry devices in point-of-care clinical practice</t>
  </si>
  <si>
    <t>New ambient mass spectrometry sources; Portable MS instrumentation; Regulatory landscape for clinical MS; Real-time tissue diagnostics; Regulatory challenges</t>
  </si>
  <si>
    <t>PROBE ELECTROSPRAY-IONIZATION; INTELLIGENT KNIFE; MINIATURE; CANCER; BRAIN; IDENTIFICATION; QUANTITATION; BACTERIA; SYSTEM</t>
  </si>
  <si>
    <t>Bevilaqua, Giovanni/AAZ-4350-2021; Gontijo, Boniek/AFM-2401-2022</t>
  </si>
  <si>
    <t>163</t>
  </si>
  <si>
    <t>118930</t>
  </si>
  <si>
    <t>10.1016/j.trac.2026.118930</t>
  </si>
  <si>
    <t>http://dx.doi.org/10.1016/j.trac.2026.118930</t>
  </si>
  <si>
    <t>JC1PC</t>
  </si>
  <si>
    <t>WOS:001785823400001</t>
  </si>
  <si>
    <t>Acquaviva, G; Lensen, IS; Peri, E; van der van der Jagt, MB; van Laar, J; Galli, A; Mischi, M</t>
  </si>
  <si>
    <t>Uterine activity analysis is valuable for monitoring pregnancy progression and detecting contractions to assess the risk of preterm birth and enable timely intervention in case of adverse events. Traditional monitoring tools, such as external palpation, tocography, and intrauterine pressure catheters, are limited by factors like invasiveness, lack of accuracy, or suitability only during labor. Electrohysterography (EHG) is a novel promising, non-invasive alternative; nonetheless, distinguishing contractions from basal uterine activity within EHG signals remains significantly challenging. This systematic review describes and compares automatic uterine contraction detection methods proposed in the literature so far. Following a structured screening process, studies published in English up to March 2026 that address the topic under investigation were considered eligible, while review articles and inaccessible studies were excluded. The search was conducted in accordance with the protocol CRD42025611340 registered in PROSPERO, using PubMed, Scopus, and Web of Science databases. In total, 50 studies were included and evaluated for risk of bias using the QUADAS-2 tool. The employed datasets, pre-processing steps, and data preparation methods were examined, followed by a categorization of all detection techniques into three main groups: thresholding methods, Machine Learning classifiers, and Deep Learning approaches. These were analyzed and qualitatively compared to highlight strengths, limitations, and areas for improvement in EHG-based contraction detection research. Findings indicated that adaptive thresholding methods, especially those based on peak detection and RMSenvelope extraction, achieved high performance values. Machine Learning and Deep Learning approaches also demonstrated strong potential, but required training with large annotated datasets to achieve sufficient robustness and generalizability, which may limit their clinical applicability. However, the interpretation of these results is partly constrained by limitations in the underlying evidence, including the absence of a reliable reference for validating detected contractions, restrictive patient selection criteria, potential bias due to lack of blinding during signal analysis, and substantial heterogeneity across studies precluding direct quantitative comparison.</t>
  </si>
  <si>
    <t>Acquaviva, Giulia; Lensen, Irene S.; Peri, Elisabetta; van der van der Jagt, M. Beatrijs; van Laar, Judith; Galli, Alessandra; Mischi, Massimo</t>
  </si>
  <si>
    <t>Acquaviva, G (corresponding author), Eindhoven Univ Technol, Dept Elect Engn, Eindhoven, Netherlands.</t>
  </si>
  <si>
    <t>g.acquaviva@tue.nl</t>
  </si>
  <si>
    <t>European project NewLife: New remote non-invasive monitoring solutions for ensuring the health of mothers and babies before and after birth [101095792]; Dutch Research Council (NWO) under the project Monitoring cardiovascular maternal-fetal coupling for Improving perinatal and pregnancy outcome (MAPPING) [20615]; European Union's Horizon Europe research and innovation programme under the Marie Sklodowska-Curie Postdoctoral Fellowship [101063008]</t>
  </si>
  <si>
    <t>European project NewLife: New remote non-invasive monitoring solutions for ensuring the health of mothers and babies before and after birth; Dutch Research Council (NWO) under the project Monitoring cardiovascular maternal-fetal coupling for Improving perinatal and pregnancy outcome (MAPPING); European Union's Horizon Europe research and innovation programme under the Marie Sklodowska-Curie Postdoctoral Fellowship (European Union (EU), Marie Curie Actions)</t>
  </si>
  <si>
    <t>1 G. Acquaviva is supported by the European project NewLife: New remote non-invasive monitoring solutions for ensuring the health of mothers and babies before and after birth, project no. 101095792.2 I.S. Lensen is supported by Dutch Research Council (NWO) under the project Monitoring cardiovascular maternal-fetal coupling for Improving perinatal and pregnancy outcome (MAPPING), project no. 20615.3 A. Galli is supported by the European Union's Horizon Europe research and innovation programme under the Marie Sklodowska-Curie Postdoctoral Fellowship, project no. 101063008.</t>
  </si>
  <si>
    <t>[Acquaviva, Giulia; Lensen, Irene S.; Peri, Elisabetta; van der van der Jagt, M. Beatrijs; van Laar, Judith; Galli, Alessandra; Mischi, Massimo] Eindhoven Univ Technol, Dept Elect Engn, Eindhoven, Netherlands; [van der van der Jagt, M. Beatrijs; van Laar, Judith] Maxima Med Ctr, Dept Obstet &amp; Gynaecol, Veldhoven, Netherlands</t>
  </si>
  <si>
    <t>Eindhoven University of Technology; Maxima Medical Center</t>
  </si>
  <si>
    <t>Automatic detection of uterine contractions before and during labor using EHG: A systematic review</t>
  </si>
  <si>
    <t>Automatic detection; EHG; Labor; Pregnancy monitoring; Uterine contraction</t>
  </si>
  <si>
    <t>ELECTRICAL-ACTIVITY; PRETERM DELIVERY; PRESSURE; ELECTROHYSTEROGRAPHY; PREDICTION</t>
  </si>
  <si>
    <t>284</t>
  </si>
  <si>
    <t>109460</t>
  </si>
  <si>
    <t>10.1016/j.cmpb.2026.109460</t>
  </si>
  <si>
    <t>http://dx.doi.org/10.1016/j.cmpb.2026.109460</t>
  </si>
  <si>
    <t>IX6FT</t>
  </si>
  <si>
    <t>42190447</t>
  </si>
  <si>
    <t>WOS:001782745800001</t>
  </si>
  <si>
    <t>hybrid; Green Published</t>
  </si>
  <si>
    <t>Antonsen, A; Cadili, L; Webb, M; Connolly, S; Tam, R; Segedi, M</t>
  </si>
  <si>
    <t>Background: Given the interplay of cirrhosis with malignancy, management of hepatocellular carcinoma (HCC) relies on multidisciplinary clinician judgement to guide treatment. Accurate survival prediction would facilitate decision-making and resource allocation while maintaining patient-centred care with optimized survival outcomes while avoiding futility, particularly regarding liver transplant. Machine learning may offer innovative support in clinical decision making. This systematic review is the first to our knowledge to summarize existing machine learning algorithms predicting survival in patients treated for HCC. Methods: Studies describing a machine learning algorithm predicting survival in patients treated for HCC were included. Studies investigating only genetic or molecular factors, imaging, or disease recurrence were excluded. EMBASE, Medline and Web of Science were searched on December 4th, 2023. Included algorithms were analyzed based on input variables, sample size, algorithm type and performance as measured by the area under the receiver operating characteristic curve and concordance index. Results: Twelve studies including 43 algorithms were included. The algorithm type, input variables and their selection method, sample size and performance varied widely. Algorithms did not perform differently based on sample size or number of variables. Algorithms using a gradient boosting algorithm tended to perform better across short-and long-term prediction. Short-term predictions tended to perform better than long-term predictions. The area under the receiver operating characteristic curves ranged from 0.66 to 0.92. Conclusion: Machine learning may offer an invaluable tool in survival prediction and individualized treatment in HCC. Existing algorithms show favourable, yet early, results. Standardized reporting, external validation and equity-focused model development are required before clinical implementation.</t>
  </si>
  <si>
    <t>Antonsen, Amy; Cadili, Lina; Webb, Mitchell; Connolly, Sam; Tam, Roger; Segedi, Maja</t>
  </si>
  <si>
    <t>Segedi, M (corresponding author), Univ British Columbia, Dept Surg, 2775 Laurel St,11th Floor, Vancouver, BC V5Z 1M9, Canada.</t>
  </si>
  <si>
    <t>maja.segedi@vch.ca</t>
  </si>
  <si>
    <t>[Antonsen, Amy; Webb, Mitchell; Segedi, Maja] Univ British Columbia, Dept Surg, 2775 Laurel St,11th Floor, Vancouver, BC V5Z 1M9, Canada; [Cadili, Lina] Univ Toronto, Dept Surg, 149 Coll St,5th Floor, Toronto, ON M5T 1P5, Canada; [Connolly, Sam] Univ British Columbia, Dept Phys &amp; Astron, 325-6224 Agr Rd, Vancouver, BC V6T 1Z1, Canada; [Tam, Roger] Univ British Columbia, Sch Biomed Engn, 6088 Univ Blvd, Vancouver, BC V6T 1Z3, Canada</t>
  </si>
  <si>
    <t>University of British Columbia; University of Toronto; University of British Columbia; University of British Columbia</t>
  </si>
  <si>
    <t>Machine learning to predict survival in patients treated for hepatocellular carcinoma: a systematic review</t>
  </si>
  <si>
    <t>AMERICAN JOURNAL OF SURGERY</t>
  </si>
  <si>
    <t>Machine learning; Hepatocellular carcinoma; Survival prediction; Artificial intelligence; Systematic review</t>
  </si>
  <si>
    <t>EXCERPTA MEDICA INC-ELSEVIER SCIENCE INC</t>
  </si>
  <si>
    <t>BRIDGEWATER</t>
  </si>
  <si>
    <t>685 ROUTE 202-206 STE 3, BRIDGEWATER, NJ 08807 USA</t>
  </si>
  <si>
    <t>0002-9610</t>
  </si>
  <si>
    <t>1879-1883</t>
  </si>
  <si>
    <t>AM J SURG</t>
  </si>
  <si>
    <t>Am. J. Surg.</t>
  </si>
  <si>
    <t>259</t>
  </si>
  <si>
    <t>117029</t>
  </si>
  <si>
    <t>10.1016/j.amjsurg.2026.117029</t>
  </si>
  <si>
    <t>http://dx.doi.org/10.1016/j.amjsurg.2026.117029</t>
  </si>
  <si>
    <t>IS6CK</t>
  </si>
  <si>
    <t>42155307</t>
  </si>
  <si>
    <t>WOS:001779341600001</t>
  </si>
  <si>
    <t>Ilenwabor, R; Mohammed, M; Martini, N</t>
  </si>
  <si>
    <t>Introduction: Conventional pain management strategies often fall short in addressing the complex needs of older adults with pain. Artificial intelligence (AI) represents a significant potential for advancing personalized, datadriven approaches. This review explores the literature on AI in pain management for older adults, showing trends and existing gaps. Methods: Following the PRISMA-ScR guidelines, five databases were searched using terms related to older adults, pain management, and artificial intelligence in peer-reviewed articles published between 2014 and 2025. Included studies were synthesized and reported using descriptive and narrative analyses. Results: A total of 96 studies were included. Machine learning was the most common AI method used (71, 74%), followed by deep learning (14, 14.6%), robotics (7, 7.3%), natural language processing (3, 3%), and rule-based systems (1, 1%). AI was primarily used for pain prediction (40, 41.7%) and classification (33, 34.4%), with fewer studies focusing on pain detection (6, 6.3%) or treatment optimisation (17, 17.7%). Input data types included clinical records (29, 30.2%), facial analysis (18, 18.8%), imaging (7, 7.3%), and video sequences (4, 4.2%). The most frequently studied pain types were chronic secondary musculoskeletal pain (30, 31%), chronic primary pain (13, 13.8%), and visceral pain (11, 11.7%). Conclusion: AI applications for pain management in older adults are growing rapidly, with machine learning dominating prediction and classification tasks. Despite technical progress, most tools remain early-stage, rely on limited datasets, and lack aging-specific dynamics. Future research should prioritize diverse cohorts and inclusive algorithms to ensure these innovations translate into targeted pain care for older adults.</t>
  </si>
  <si>
    <t>Ilenwabor, Rhoda; Mohammed, Mohammed; Martini, Nataly</t>
  </si>
  <si>
    <t>Ilenwabor, R (corresponding author), Univ Auckland, Fac Med &amp; Hlth Sci, Sch Pharm, M&amp;HS Bldg 505,85 Pk Rd, Auckland, New Zealand.</t>
  </si>
  <si>
    <t>rhoda.ilenwabor@auckland.ac.nz</t>
  </si>
  <si>
    <t>[Ilenwabor, Rhoda; Mohammed, Mohammed; Martini, Nataly] Univ Auckland, Fac Med &amp; Hlth Sci, Sch Pharm, M&amp;HS Bldg 505,85 Pk Rd, Auckland, New Zealand</t>
  </si>
  <si>
    <t>Artificial intelligence in pain assessment and management for older adults: A scoping review</t>
  </si>
  <si>
    <t>Aged; Artificial intelligence; Clinical decision support systems; Frailty; Health equity; Machine learning; Older adults; Pain management</t>
  </si>
  <si>
    <t>LOW-BACK-PAIN; RISK; CANCER; IMPACT; CLASSIFICATION; DISABILITY; PREDICTION; PROFILES; DEMENTIA; OUTCOMES</t>
  </si>
  <si>
    <t>Martini, Nataly/H-8872-2019</t>
  </si>
  <si>
    <t>179</t>
  </si>
  <si>
    <t>103455</t>
  </si>
  <si>
    <t>10.1016/j.artmed.2026.103455</t>
  </si>
  <si>
    <t>http://dx.doi.org/10.1016/j.artmed.2026.103455</t>
  </si>
  <si>
    <t>IT1NX</t>
  </si>
  <si>
    <t>42160993</t>
  </si>
  <si>
    <t>WOS:001779709500001</t>
  </si>
  <si>
    <t>Chen, MY; Tai, WA; Fu, LM</t>
  </si>
  <si>
    <t>Microfluidic technologies and paper-based analytical devices are increasingly expected to deliver laboratorygrade decisions from microliter samples, often under field conditions rather than controlled environments. This demand exposes a central bottleneck: signals are multiplexed and noisy, device-to-device variation is consequential, and manual readout cannot scale. Artificial intelligence and machine learning address these limits by linking platform design, data generation, and inference into a single development loop-the organizing principle of this review. Device architecture and materials selection are discussed alongside data-efficient optimization of channel geometry, droplet operations, and digital actuation. Scenario-specific pipelines are then synthesized for image-based readout, surface-enhanced Raman spectroscopy decoding, and electrochemical or impedance quantification, with emphasis placed on calibration and distribution-shift performance instead of single-cohort accuracy. Biomedical diagnostics and biological analysis are treated as demanding proving grounds, where automated readout and robustness determine whether performance translates beyond demonstration. Deployment is positioned as an upfront design requirement rather than an afterthought. Accordingly, edge-capable inference, disciplined benchmarking, dataset governance, and tamper-evident provenance are treated as practical prerequisites for translation. In combination, these elements move microdevices beyond passive hardware and toward intelligent analytical systems that deliver reproducible, decision-ready evidence.</t>
  </si>
  <si>
    <t>Chen, Mu-Yen; Tai, Wei-An; Fu, Lung-Ming</t>
  </si>
  <si>
    <t>Fu, LM (corresponding author), Natl Cheng Kung Univ, Dept Engn Sci, Tainan 701, Taiwan.</t>
  </si>
  <si>
    <t>loudyfu@mail.ncku.edu.tw</t>
  </si>
  <si>
    <t>National Science and Technology Council, Taiwan [NSTC 113-2314-B-006-018-MY3, NSTC 114-2221-E-020-012, NSTC 114-2640-B-006-002, NSTC 114-2314-B-006-048-MY3]</t>
  </si>
  <si>
    <t>National Science and Technology Council, Taiwan</t>
  </si>
  <si>
    <t>The authors acknowledge financial support from the National Science and Technology Council, Taiwan, under Grant Nos. NSTC 113-2314-B-006-018-MY3, NSTC 114-2221-E-020-012, NSTC 114-2640-B-006-002, and NSTC 114-2314-B-006-048-MY3.</t>
  </si>
  <si>
    <t>[Chen, Mu-Yen; Fu, Lung-Ming] Natl Cheng Kung Univ, Dept Engn Sci, Tainan 701, Taiwan; [Tai, Wei-An] Taipei Vet Gen Hosp, Dept Radiol, Taipei 112201, Taiwan; [Tai, Wei-An] Natl Yang Ming Chiao Tung Univ, Sch Med, Taipei 112304, Taiwan</t>
  </si>
  <si>
    <t>National Cheng Kung University; Taipei Veterans General Hospital; National Yang Ming Chiao Tung University</t>
  </si>
  <si>
    <t>From passive chips to intelligent platforms: AI-enabled design, control, and signal decoding in microfluidic and paper-based analytical devices</t>
  </si>
  <si>
    <t>Microfluidics; Paper-based analytical devices; Lab-on-a-chip; Artificial intelligence; Machine learning; Deep learning; Surface-enhanced Raman spectroscopy</t>
  </si>
  <si>
    <t>176</t>
  </si>
  <si>
    <t>118899</t>
  </si>
  <si>
    <t>10.1016/j.trac.2026.118899</t>
  </si>
  <si>
    <t>http://dx.doi.org/10.1016/j.trac.2026.118899</t>
  </si>
  <si>
    <t>IS5GK</t>
  </si>
  <si>
    <t>WOS:001779284400001</t>
  </si>
  <si>
    <t>Niu, JQ; Zhang, ZY; Wu, WQ; Liu, JH; Du, M; Guo, P; Cheng, J</t>
  </si>
  <si>
    <t>Molecularly imprinted polymers (MIPs) have become important recognition materials in the field of chemical sensing due to their high selectivity, stability and ease of preparation. However, traditional single-template MIPs face limitations such as low efficiency and cumbersome procedures when simultaneously detecting multiple targets in complex samples. Multitemplate molecular imprinting technology, which introduces multiple template molecules into the same polymerization system, enables simultaneous recognition of various analytes, and significantly enhances the detection efficiency and the analytical throughput. This approach has become a current research hotspot. This review systematically summarizes the latest advances in multitemplate molecularly imprinted sensors, focusing on their cooperative recognition mechanisms and signal interpretation principles. Firstly, from template selection strategies, the design principles of multi-template imprinted polymers are elaborated, followed by detailed descriptions of the key preparation methods, such as Simultaneous imprinting. Combined with adsorption kinetics and computational simulations, their microscopic recognition mechanisms are thoroughly explored. Secondly, in signal analysis, three mainstream strategies-spatial separation, signal labeling, and chemometric analysis-are summarized, elucidating their principles and applications in distinguishing and quantifying multicomponent signals. Despite the promising prospects of multi-template molecularly imprinted sensors in environmental monitoring, clinical diagnostics and food safety, challenges remain, including template leakage, matrix interference and inter-batch reproducibility. Finally, future development directions are explored, including virtual templates, degradable templates, machine learning-assisted design and microfluidic synthesis. These advancements aim to provide theoretical foundations and technical references for constructing high-performance, multi-template molecularly imprinted sensors for practical applications.</t>
  </si>
  <si>
    <t>Niu, Jiaqi; Zhang, Ziyang; Wu, Wanqing; Liu, Jinhui; Du, Min; Guo, Ping; Cheng, Jing</t>
  </si>
  <si>
    <t>Wu, WQ (corresponding author), Dalian Maritime Univ, Marine Engn Coll, Dalian 116026, Peoples R China.</t>
  </si>
  <si>
    <t>wuwanqingdmu@sina.com</t>
  </si>
  <si>
    <t>Science Foundation of Dalian Maritime University [17210222]</t>
  </si>
  <si>
    <t>Science Foundation of Dalian Maritime University</t>
  </si>
  <si>
    <t>This work was substantially supported by the Science Foundation of Dalian Maritime University (grant number 17210222) , which is gratefully acknowledged.</t>
  </si>
  <si>
    <t>[Niu, Jiaqi; Zhang, Ziyang; Wu, Wanqing; Liu, Jinhui; Du, Min; Guo, Ping; Cheng, Jing] Dalian Maritime Univ, Marine Engn Coll, Dalian 116026, Peoples R China; [Wu, Wanqing] Engn Technol Ctr Ship Safety &amp; Pollut Control, Dalian 116026, Liaoning, Peoples R China</t>
  </si>
  <si>
    <t>Dalian Maritime University</t>
  </si>
  <si>
    <t>Cooperative recognition mechanisms and signal analysis principles of multi-template molecularly imprinted sensors: A review</t>
  </si>
  <si>
    <t>Multi-template; Molecularly imprinted sensor; Cooperative recognition mechanisms; Computational chemistry; Signal decoding strategies</t>
  </si>
  <si>
    <t>SOLID-PHASE EXTRACTION; POLYMERS; REMOVAL</t>
  </si>
  <si>
    <t>118900</t>
  </si>
  <si>
    <t>10.1016/j.trac.2026.118900</t>
  </si>
  <si>
    <t>http://dx.doi.org/10.1016/j.trac.2026.118900</t>
  </si>
  <si>
    <t>IU8YY</t>
  </si>
  <si>
    <t>WOS:001780891500001</t>
  </si>
  <si>
    <t>Yu, H; Mu, QY; Liu, C; Wang, S; Sun, JL</t>
  </si>
  <si>
    <t>Electroencephalography-based brain-computer interfaces have revolutionized the integration of neural signals with technological systems, offering transformative solutions across neuroscience, biomedical engineering, and clinical practice. This review systematically analyzes advancements in electroencephalography-based brain-computer interface architectures, emphasizing four pillars, namely signal acquisition, paradigm design, decoding algorithms, and diverse applications. The aim is to bridge the gap between technology and application and guide future research. In signal acquisition, noninvasive systems using wet, dry, and semi-dry electrodes are more comfortable and gentler on the skin compared to traditional methods. However, ensuring stable signal quality over long periods of time remains a challenge. Minimally invasive approaches, such as microneedle arrays and endovascular probes, achieve near-invasive signal fidelity without major surgery. Paradigm design explores task-specific neural encoders. Although motor imagery paradigms are widely used in rehabilitation, they require weeks of user training. Steady-state visually evoked potential and P300 speller paradigms enable rapid calibration, but cause visual and cognitive fatigue. Advanced systems currently combine electroencephalography with electromyography or eye-tracking to better handle real-world tasks. Decoding algorithms have advanced through Riemannian geometry for improved noise filtering, deep learning architectures for automated spatiotemporal feature extraction, and transfer learning frameworks to minimize cross-subject calibration. However, challenges remain in managing inconsistent electroencephalography, reducing processing demands, and ensuring compatibility across different electroencephalography devices. Clinical trials reveal a predominant focus on stroke rehabilitation, while emerging frontiers include astronaut neuro-monitoring in space exploration. Challenges include improving signal accuracy, minimizing movement interference, addressing ethical data concerns, and ensuring real-world use. Future advancements focus on biocompatible nanomaterials, adaptive algorithms, and multimodal integration, positioning electroencephalography-based brain-computer interfaces as pivotal tools in next-generation neurotechnology.</t>
  </si>
  <si>
    <t>Yu, Hui; Mu, Qiyue; Liu, Chong; Wang, Shuo; Sun, Jinglai</t>
  </si>
  <si>
    <t>Wang, S; Sun, JL (corresponding author), Tianjin Univ Sch Med, Dept Biomed Engn, Tianjin, Peoples R China.; Sun, JL (corresponding author), Tianjin Univ, State Key Lab Adv Med Mat &amp; Devices, Sch Med, Tianjin, Peoples R China.; Sun, JL (corresponding author), Tianjin Univ Sch Med, Haihe Lab Brain Comp Interact &amp; Human Machine Inte, Tianjin, Peoples R China.</t>
  </si>
  <si>
    <t>sunjinglai@tju.edu.cn; ws111@tju.edu.cn</t>
  </si>
  <si>
    <t>Health and Wellness Science and Technology Project of Tianjin [RC20013]; Integrated Traditional Chinese and Western Medicine Research Projects of Tianjin [2019129]; Scientific Research Project of Tianjin Education Commission [2024ZXZD005]; Natural Science Foundation of Tianjin Science and Technology Bureau [25JCZDSN00010]</t>
  </si>
  <si>
    <t>Health and Wellness Science and Technology Project of Tianjin; Integrated Traditional Chinese and Western Medicine Research Projects of Tianjin; Scientific Research Project of Tianjin Education Commission; Natural Science Foundation of Tianjin Science and Technology Bureau</t>
  </si>
  <si>
    <t>This work was supported by the Health and Wellness Science and Technology Project of Tianjin, No. RC20013 (to CL); the Integrated Traditional Chinese and Western Medicine Research Projects of Tianjin, No. 2019129 (to CL); the Scientific Research Project of Tianjin Education Commission, No. 2024ZXZD005 (to JS); and the Natural Science Foundation of Tianjin Science and Technology Bureau, No. 25JCZDSN00010 (to JS).</t>
  </si>
  <si>
    <t>[Yu, Hui; Mu, Qiyue; Wang, Shuo; Sun, Jinglai] Tianjin Univ Sch Med, Dept Biomed Engn, Tianjin, Peoples R China; [Yu, Hui; Sun, Jinglai] Tianjin Univ, State Key Lab Adv Med Mat &amp; Devices, Sch Med, Tianjin, Peoples R China; [Yu, Hui; Sun, Jinglai] Tianjin Univ Sch Med, Haihe Lab Brain Comp Interact &amp; Human Machine Inte, Tianjin, Peoples R China; [Liu, Chong] Tianjin Med Univ, Tianjin Ctr Hosp 4, Dept Anesthesiol, Ctr Clin Coll 4, Tianjin, Peoples R China; [Liu, Chong] Tiangong Univ, Sch Elect &amp; Informat Engn, Tianjin, Peoples R China</t>
  </si>
  <si>
    <t>Tianjin University; Tianjin Medical University; Tiangong University</t>
  </si>
  <si>
    <t>Technical system of electroencephalography-based brain-computer interface: Advances, applications, and challenges</t>
  </si>
  <si>
    <t>NEURAL REGENERATION RESEARCH</t>
  </si>
  <si>
    <t>clinical trial; deep learning; diagnosis; electroencephalography paradigms; electrode; motor imagery; rehabilitation; sensor; steady-state visually evoked potential; transfer learning</t>
  </si>
  <si>
    <t>MOTOR IMAGERY CLASSIFICATION; QUASI-DRY ELECTRODE; TRAINING SYSTEM; EEG; BCI; STATE; STIMULATION; SIGNALS; DISEASE; DESIGN</t>
  </si>
  <si>
    <t>Sun, Jing/JHV-0352-2023</t>
  </si>
  <si>
    <t>332</t>
  </si>
  <si>
    <t>WOLTERS KLUWER MEDKNOW PUBLICATIONS</t>
  </si>
  <si>
    <t>Pune</t>
  </si>
  <si>
    <t>Wolters Kluwer India Private LTD, Smartworks, Marisoft, Wing -C, Wadgaon Sheri, Kalyani Nagar Annex, Pune, Maharashtra, INDIA</t>
  </si>
  <si>
    <t>1673-5374</t>
  </si>
  <si>
    <t>1876-7958</t>
  </si>
  <si>
    <t>NEURAL REGEN RES</t>
  </si>
  <si>
    <t>Neural Regen. Res.</t>
  </si>
  <si>
    <t>3885</t>
  </si>
  <si>
    <t>3907</t>
  </si>
  <si>
    <t>10.4103/NRR.NRR-D-25-00217</t>
  </si>
  <si>
    <t>http://dx.doi.org/10.4103/NRR.NRR-D-25-00217</t>
  </si>
  <si>
    <t>Cell Biology; Neurosciences</t>
  </si>
  <si>
    <t>Cell Biology; Neurosciences &amp; Neurology</t>
  </si>
  <si>
    <t>IC7TO</t>
  </si>
  <si>
    <t>40903968</t>
  </si>
  <si>
    <t>WOS:001768603900050</t>
  </si>
  <si>
    <t>Zhang, ZX; Yao, Y; Wang, ZT; Bai, HY; Jiang, MR; Cai, M; Yao, DB</t>
  </si>
  <si>
    <t>Traditional repair methods for peripheral neuropathies, such as autologous and allogeneic nerve grafts, face limitations, while peripheral nerve regeneration materials have emerged as a promising alternative. However, current biomaterials are mostly single-functional and insufficient in modulating the regenerative microenvironment. This review explores the application of artificial intelligence in the development of neural regenerative biomaterials, focusing on material design, performance prediction, and virtual experiments. Artificial intelligence has the potential to optimize material properties through machine learning and deep learning, predict material performance, and enhance nerve regeneration. Recent studies have demonstrated the ability of artificial intelligence to design biomaterials with improved biocompatibility and mechanical properties, as well as to accurately predict outcomes of nerve regeneration. However, several challenges remain, such as data integration, algorithm complexity, and ensuring clinical translation. The promising future of intelligent research and development in biomaterials lies in personalized treatment strategies, coupled with the integration of advanced technologies such as artificial intelligence and 3D bioprinting, to create more efficient neural repair materials. This review highlights the transformative potential of artificial intelligence in advancing peripheral nerve repair and improving patient outcomes.</t>
  </si>
  <si>
    <t>Zhang, Zixu; Yao, Yi; Wang, Zitao; Bai, Huiyuan; Jiang, Maorong; Cai, Min; Yao, Dengbing</t>
  </si>
  <si>
    <t>Yao, DB (corresponding author), Nantong Univ, Coinnovat Ctr Neuroregenerat, Sch Life Sci, Key Lab Neuroregenerat Jiangsu, Nantong, Jiangsu, Peoples R China.</t>
  </si>
  <si>
    <t>yaodb@ntu.edu.cn</t>
  </si>
  <si>
    <t>National Natural Science Foundation of China [31971277, 31950410551]; Scientific Research Foundation for Returned Scholars, Ministry of Education of China; Priority Academic Program Development of Jiangsu Higher Education Institutions</t>
  </si>
  <si>
    <t>National Natural Science Foundation of China (National Natural Science Foundation of China (NSFC)); Scientific Research Foundation for Returned Scholars, Ministry of Education of China; Priority Academic Program Development of Jiangsu Higher Education Institutions (Priority Academic Program Development of Jiangsu Higher Education Institutions)</t>
  </si>
  <si>
    <t>This work was supported by the National Natural Science Foundation of China, Nos. 31971277, 31950410551; Scientific Research Foundation for Returned Scholars, Ministry of Education of China; a project funded by the Priority Academic Program Development of Jiangsu Higher Education Institutions (all to DY).</t>
  </si>
  <si>
    <t>[Zhang, Zixu; Bai, Huiyuan; Jiang, Maorong; Yao, Dengbing] Nantong Univ, Coinnovat Ctr Neuroregenerat, Sch Life Sci, Key Lab Neuroregenerat Jiangsu, Nantong, Jiangsu, Peoples R China; [Yao, Yi] Nantong Univ, Sch Publ Hlth, Nantong, Jiangsu, Peoples R China; [Wang, Zitao; Cai, Min] Med Sch Nantong Univ, Med Sch, Nantong, Jiangsu, Peoples R China</t>
  </si>
  <si>
    <t>Nantong University; Nantong University; Nantong University</t>
  </si>
  <si>
    <t>Artificial intelligence and peripheral neuropathies: Strategies for the development, application, and repair of regenerative biomaterials</t>
  </si>
  <si>
    <t>3D printing; artificial intelligence; biomaterials; bioresorbable scaffolds; deep learning; machine learning; nerve conduits; nerve regeneration; peripheral nerve injuries; tissue engineering</t>
  </si>
  <si>
    <t>NERVE GUIDANCE CONDUIT; EXTRACELLULAR-MATRIX; SCHWANN-CELLS; SCIATIC-NERVE; NEUROTROPHIC FACTORS; HUMAN FOREARM; ULNAR NERVE; SCAFFOLDS; BDNF; MICROENVIRONMENT</t>
  </si>
  <si>
    <t>158</t>
  </si>
  <si>
    <t>3952</t>
  </si>
  <si>
    <t>3963</t>
  </si>
  <si>
    <t>10.4103/NRR.NRR-D-25-00561</t>
  </si>
  <si>
    <t>http://dx.doi.org/10.4103/NRR.NRR-D-25-00561</t>
  </si>
  <si>
    <t>41017675</t>
  </si>
  <si>
    <t>WOS:001768603900006</t>
  </si>
  <si>
    <t>Xu, QQ; Lu, JW; Zhang, ZF; Xu, DS; Guo, CX</t>
  </si>
  <si>
    <t>Cognitive impairment arising from ischemic stroke, Alzheimer's disease, and Parkinson's disease presents distinct structural and network-level alterations. Brain magnetic resonance imaging offers a non-invasive and high-resolution approach to assess these changes, while deep learning provides powerful tools for automated analysis. Given that accurate lesion delineation, precise localization of abnormal regions, and reliable disease classification are fundamental to clinical decision-making. This review aims to explore the application of deep learning techniques to brain magnetic resonance imaging analysis of cognitive impairments caused by these disorders, with a focus on three core tasks: lesion segmentation, object detection, and image classification. Recent widely accepted findings indicate that ischemic stroke studies have achieved state-of-the-art lesion segmentation performance, with optimized U-shaped convolutional network (U-Net) and hybrid convolutional neural network-transformer models reaching Dice scores up to 0.911 in delineating focal damage. Alzheimer's disease research has advanced classification and staging accuracy by more than 10% compared with unimodal baselines through three-dimensional convolutional neural network, Transformers, and multimodal fusion, enabling more precise detection of diffuse cortical atrophy. Parkinson's disease imaging, despite lacking overt structural lesions, has leveraged ResNet and Vision Transformer backbones to identify subtle and spatially distributed abnormalities, improving early-stage differentiation. Persistent challenges include the scarcity of large, high-quality annotated datasets, substantial inter-site variability, high annotation costs, and limited interpretability, hindering clinical integration. Addressing these barriers will require advances in federated learning to mitigate data scarcity while preserving privacy, domain adaptation techniques to reduce inter-site variability, automated annotation, and low-resource training strategies to lower labeling costs, and explainable artificial intelligence to improve interpretability, thereby ensuring model robustness, privacy, and transparency. This review highlights emerging methods, innovative technologies, and novel paradigms that are redefining brain imaging analysis in cognitive impairment. Mechanistically, deep learning improves cognitive impairment analysis by integrating hierarchical and multiscale spatial features, modeling long-range functional connectivity disruptions, and fusing structural with functional imaging to better represent network-level pathology. In conclusion, aligning network architectures with disease-specific imaging characteristics and task requirements can greatly enhance the accuracy, robustness, and generalizability of magnetic resonance imaging analyses for cognitive impairment. Future work should focus on multimodal fusion, structure-function coupling, cross-disease evaluations, and embedding artificial intelligence tools into clinical workflows to support early detection, individualized treatment planning, and large-scale clinical adoption.</t>
  </si>
  <si>
    <t>Xu, Qingqin; Lu, Jianwei; Zhang, Zhongfu; Xu, Dongsheng; Guo, Chengxiang</t>
  </si>
  <si>
    <t>Xu, DS (corresponding author), Shanghai Univ Tradit Chinese Med, Coll Rehabil Sci, Shanghai, Peoples R China.; Xu, DS (corresponding author), Minist Educ, Engn Res Ctr Tradit Chinese Med Intelligent Rehabi, Shanghai, Peoples R China.; Guo, CX (corresponding author), Guangxi Univ Chinese Med, Informat Technol Ctr, Nanning, Guangxi Zhuang, Peoples R China.</t>
  </si>
  <si>
    <t>dxu0927@shutcm.edu.cn; guocx2019@gxtcmu.edu.cn</t>
  </si>
  <si>
    <t>National Key R&amp;D Program of China (Key Program) [2024YFC3507100]; National Natural Science Foundation of China [82472623]; Shanghai Oriental Scholar Top Talent Program; High-Quality Development Project of Shanghai Economic and Information Commission [2023-GZL-RGZN-01012]; Ministry of Education of China [2023ZY028]</t>
  </si>
  <si>
    <t>National Key R&amp;D Program of China (Key Program); National Natural Science Foundation of China (National Natural Science Foundation of China (NSFC)); Shanghai Oriental Scholar Top Talent Program; High-Quality Development Project of Shanghai Economic and Information Commission; Ministry of Education of China</t>
  </si>
  <si>
    <t>This work was supported by the National Key R&amp;D Program of China (Key Program), No. 2024YFC3507100; the National Natural Science Foundation of China, No. 82472623; the Shanghai Oriental Scholar Top Talent Program; the High-Quality Development Project of Shanghai Economic and Information Commission, No. 2023-GZL-RGZN-01012; a grant from Ministry of Education of China, No. 2023ZY028 (all to JL).</t>
  </si>
  <si>
    <t>[Xu, Qingqin; Lu, Jianwei; Zhang, Zhongfu; Xu, Dongsheng] Shanghai Univ Tradit Chinese Med, Coll Rehabil Sci, Shanghai, Peoples R China; [Xu, Qingqin; Lu, Jianwei; Zhang, Zhongfu; Xu, Dongsheng] Minist Educ, Engn Res Ctr Tradit Chinese Med Intelligent Rehabi, Shanghai, Peoples R China; [Guo, Chengxiang] Guangxi Univ Chinese Med, Informat Technol Ctr, Nanning, Guangxi Zhuang, Peoples R China</t>
  </si>
  <si>
    <t>Shanghai University of Traditional Chinese Medicine; Guangxi University of Chinese Medicine</t>
  </si>
  <si>
    <t>Deep learning-based cognitive impairment brain imaging analysis: New methods, new technologies, and new paradigms</t>
  </si>
  <si>
    <t>Alzheimer's disease; cognitive dysfunction; deep learning; image classification; ischemic stroke; lesion segmentation; magnetic resonance imaging; neuroimaging; object detection; Parkinson's disease</t>
  </si>
  <si>
    <t>ALZHEIMERS-DISEASE; LESION SEGMENTATION; STROKE; CLASSIFICATION; ARCHITECTURE; MODEL; MECHANISM; NETWORK</t>
  </si>
  <si>
    <t>199</t>
  </si>
  <si>
    <t>4135</t>
  </si>
  <si>
    <t>4147</t>
  </si>
  <si>
    <t>10.4103/NRR.NRR-D-25-00332</t>
  </si>
  <si>
    <t>http://dx.doi.org/10.4103/NRR.NRR-D-25-00332</t>
  </si>
  <si>
    <t>42148603</t>
  </si>
  <si>
    <t>WOS:001768603900039</t>
  </si>
  <si>
    <t>Zheng, GC; Gao, ZY; Ren, PY; Wu, Y; Sun, H; Wang, SJ; Li, YB; Liu, XY; Zou, Y; Zhou, K; Lu, Y; Wang, HW; Wang, HZ</t>
  </si>
  <si>
    <t>Biological structures are often composed of multi-materials and hierarchical features to realize functional properties uniquely programmed by nature. Mature additive manufacturing technology has offered us the potential to translate these functional architectures to artificial structures. These structures can exhibit carefully engineered spatial combinations of distinct multi-scale materials and geometry structures. Despite the emerging research efforts in developing these functional hierarchical structures, there lacks the systematic summarization of the fundamental design and functional knowledge. Here, we review hierarchical structures from the perspective of multi-material and structural metamaterial, providing a significant understanding of multi-material models, manufacturing technologies, and hierarchies, as well as metamaterials derived from empirical, biometric, and machine learning approach. This paper explores the functional properties across mechanics, vibration, acoustics, electromagnetics, thermodynamics, and multifunction. The functional hierarchical structure shows versatile applications, exemplified by biomedical, light weight engineering, and smart devices. Finally, conclusions of existing researches and outlooks for future are presented. This work not only offers fundamental design guidelines and in-depth insights of multi-functional properties, but also reveals broad application potentials and provides valuable inspiration for innovation and conceptual design.</t>
  </si>
  <si>
    <t>Zheng, Gengchen; Gao, Zhenyang; Ren, Pengyuan; Wu, Yi; Sun, Hua; Wang, Shaojia; Li, Yongbing; Liu, Xinyu; Zou, Yu; Zhou, Kun; Lu, Yang; Wang, Haowei; Wang, Hongze</t>
  </si>
  <si>
    <t>Wu, Y; Sun, H; Wang, HZ (corresponding author), Shanghai Jiao Tong Univ, State Key Lab Met Matrix Composites, Shanghai 200240, Peoples R China.</t>
  </si>
  <si>
    <t>eagle51@sjtu.edu.cn; sunhua89@sjtu.edu.cn; hz.wang@sjtu.edu.cn</t>
  </si>
  <si>
    <t>National Key Research and Development Program of China [2023YFB3712001]; National Natural Science Foundation of China [52025058, 52441503, 523B2048, 52075327, 52105469]; Shanghai Science and Technology Development Funds [23YF1419400]; China Postdoctoral Science Foundation [2021M692038, 2022T150399]; University Synergy Innovation Program of Anhui Province [GXXT-2022-086, GXXT-2023-029]; Research Grants Council (RGC) grants [C7074-23G, 11200623]</t>
  </si>
  <si>
    <t>National Key Research and Development Program of China; National Natural Science Foundation of China (National Natural Science Foundation of China (NSFC)); Shanghai Science and Technology Development Funds; China Postdoctoral Science Foundation (China Postdoctoral Science Foundation); University Synergy Innovation Program of Anhui Province; Research Grants Council (RGC) grants</t>
  </si>
  <si>
    <t>The authors from Shanghai Jiao Tong University acknowledge the support from National Key Research and Development Program of China (No. 2023YFB3712001) , National Natural Science Foundation of China (52025058, 52441503, 523B2048, 52075327 and 52105469) , Shanghai Science and Technology Development Funds (23YF1419400) , China Postdoctoral Science Foundation (2021M692038 and 2022T150399) , the University Synergy Innovation Program of Anhui Province (GXXT-2022-086 and GXXT-2023-029) . Yang Lu acknowledges the support from Research Grants Council (RGC) grants C7074-23G and 11200623.</t>
  </si>
  <si>
    <t>[Zheng, Gengchen; Gao, Zhenyang; Ren, Pengyuan; Wu, Yi; Sun, Hua; Wang, Haowei; Wang, Hongze] Shanghai Jiao Tong Univ, State Key Lab Met Matrix Composites, Shanghai 200240, Peoples R China; [Zheng, Gengchen; Gao, Zhenyang; Ren, Pengyuan; Wu, Yi; Sun, Hua; Wang, Haowei; Wang, Hongze] Shanghai Jiao Tong Univ, Sch Mat Sci &amp; Engn, Shanghai 200240, Peoples R China; [Wu, Yi; Sun, Hua; Wang, Haowei; Wang, Hongze] Shanghai Jiao Tong Univ Anhui, Inst Alum Mat, Huaibei 235000, Peoples R China; [Wang, Shaojia; Zou, Yu] Univ Toronto, Dept Mat Sci &amp; Engn, Toronto, ON M5S 3E4, Canada; [Wang, Shaojia; Liu, Xinyu] Univ Toronto, Dept Mech &amp; Ind Engn, Toronto, ON M5S E44, Canada; [Li, Yongbing] Shanghai Jiao Tong Univ, Key Lab Digital Manufacture Thin Walled Struct, Shanghai 200240, Peoples R China; [Li, Yongbing] Shanghai Jiao Tong Univ, State Key Lab Mech Syst &amp; Vibrat, Shanghai 200240, Peoples R China; [Zhou, Kun] Nanyang Technol Univ, Sch Mech &amp; Aerosp Engn, Singapore 639789, Singapore; [Lu, Yang] Univ Hong Kong, Dept Mech Engn, Hong Kong 999077, Peoples R China; [Wang, Hongze] Shanghai Key Lab Mat Laser Proc &amp; Modificat, Shanghai 200240, Peoples R China</t>
  </si>
  <si>
    <t>Shanghai Jiao Tong University; Shanghai Jiao Tong University; University of Toronto; University of Toronto; Shanghai Jiao Tong University; Shanghai Jiao Tong University; Nanyang Technological University; University of Hong Kong</t>
  </si>
  <si>
    <t>Design, properties and applications of additively-manufactured functional hierarchical structure</t>
  </si>
  <si>
    <t>Functional hierarchical structure; Additive manufacturing; Multi-material; Metamaterial; Machine learning</t>
  </si>
  <si>
    <t>GRADED LATTICE STRUCTURES; POWDER BED FUSION; MECHANICAL-PROPERTIES; ENERGY-ABSORPTION; MULTI-MATERIALS; SINGLE-CRYSTAL; BONE SCAFFOLDS; TOPOLOGY OPTIMIZATION; ARCHITECTED MATERIALS; THERMAL-CONDUCTIVITY</t>
  </si>
  <si>
    <t>Wang, Hongze/ABE-7533-2020; Zou, Yu/A-9770-2017</t>
  </si>
  <si>
    <t>920</t>
  </si>
  <si>
    <t>161</t>
  </si>
  <si>
    <t>101725</t>
  </si>
  <si>
    <t>10.1016/j.pmatsci.2026.101725</t>
  </si>
  <si>
    <t>http://dx.doi.org/10.1016/j.pmatsci.2026.101725</t>
  </si>
  <si>
    <t>HB9RL</t>
  </si>
  <si>
    <t>WOS:001750415100001</t>
  </si>
  <si>
    <t>Ganguly, S; Raj, K</t>
  </si>
  <si>
    <t>The hydrodynamic behavior of biomicroswimmers has become a central theme in soft matter physics, bioengineering, and nanotechnology, motivated by the need for precise locomotion control in complex microenvironments. At low Reynolds numbers, microorganisms employ strategies such as cilia beating, flagellar undulation, and body deformations, inspiring artificial microswimmer design. This review bridges the gap between core mechanical concepts, microswimmer locomotion in various scenarios, and emerging technologies. Starting from the physics of Stokes flow, the scallop theorem, and multipole representations, canonical models-including the Vic swimmer, squirmer formulations, and dipolar swimmers are introduced as foundations for understanding propulsion and swimmer-fluid interactions. Biological modes of locomotion are examined, covering ciliary transport, flagellated motion, and slender-body dynamics, along with their behavior in environments such as viscoelastic fluids, confined geometries, and highly viscous media. Several numerical approaches are discussed as tools for quantitative prediction and design. Recent advances in biohybrid and biointelligent microswimmers are highlighted, where synthetic materials integrate with living cells or machine-learning algorithms to enable adaptive navigation, targeted drug delivery, and responsive biomedical actuation. By linking hydrodynamic theory with developing technologies, this review emphasizes the mechanical principles underlying biological locomotion, established mathematical models for swimmer dynamics, and the rapidly emerging fields of biohybrid and biointelligent microswimmers from an application-oriented perspective.</t>
  </si>
  <si>
    <t>Ganguly, Sourav; Raj, Kiran</t>
  </si>
  <si>
    <t>Raj, K (corresponding author), Indian Inst Technol Madras, Dept Appl Mech &amp; Biomed Engn, Chennai 600036, Tamil Nadu, India.</t>
  </si>
  <si>
    <t>kiran@iitm.ac.in</t>
  </si>
  <si>
    <t>Indian Institute of Technology, Madras New Faculty Initiation Grant [RF22231052AMNFIG009035]; Science and Engineering Research Board (SERB) , India [SRG/2023/000495]</t>
  </si>
  <si>
    <t>Indian Institute of Technology, Madras New Faculty Initiation Grant; Science and Engineering Research Board (SERB) , India (Department of Science &amp; Technology (India), Science Engineering Research Board (SERB), India)</t>
  </si>
  <si>
    <t>This work was supported by the Indian Institute of Technology, Madras New Faculty Initiation Grant (RF22231052AMNFIG009035) and the Startup Research Grant from Science and Engineering Research Board (SERB) , India (SRG/2023/000495) .</t>
  </si>
  <si>
    <t>[Ganguly, Sourav; Raj, Kiran] Indian Inst Technol Madras, Dept Appl Mech &amp; Biomed Engn, Chennai 600036, Tamil Nadu, India</t>
  </si>
  <si>
    <t>Indian Institute of Technology System (IIT System); Indian Institute of Technology (IIT) - Madras</t>
  </si>
  <si>
    <t>Hydrodynamics of biomicroswimmers: A Comprehensive review of theoretical foundations, locomotion strategies, and emerging frontiers</t>
  </si>
  <si>
    <t>EUROPEAN JOURNAL OF MECHANICS B-FLUIDS</t>
  </si>
  <si>
    <t>Biomicroswimmers; Hydrodynamics; Squirmer model; Collective dynamics; Confinement; Low Reynolds number</t>
  </si>
  <si>
    <t>METACHRONAL WAVES; PROPULSION; SPERM; DYNAMICS; MICROORGANISMS; FLAGELLAR; DRIVEN; BOUNDARY; BACTERIA; MODEL</t>
  </si>
  <si>
    <t>Ganguly, Sourav/LDG-3436-2024</t>
  </si>
  <si>
    <t>350</t>
  </si>
  <si>
    <t>0997-7546</t>
  </si>
  <si>
    <t>1873-7390</t>
  </si>
  <si>
    <t>EUR J MECH B-FLUID</t>
  </si>
  <si>
    <t>Eur. J. Mech. B-Fluids</t>
  </si>
  <si>
    <t>119</t>
  </si>
  <si>
    <t>204529</t>
  </si>
  <si>
    <t>10.1016/j.euromechflu.2026.204529</t>
  </si>
  <si>
    <t>http://dx.doi.org/10.1016/j.euromechflu.2026.204529</t>
  </si>
  <si>
    <t>Mechanics; Physics, Fluids &amp; Plasmas</t>
  </si>
  <si>
    <t>Mechanics; Physics</t>
  </si>
  <si>
    <t>GF0VW</t>
  </si>
  <si>
    <t>WOS:001734876600001</t>
  </si>
  <si>
    <t>Puszkarski, B</t>
  </si>
  <si>
    <t>Wearable and mobile electrocardiography (ECG) has rapidly expanded access to rhythm monitoring outside of clinical settings, but the single- or few-lead nature of these recordings and their susceptibility to motion artefacts complicate clinical-grade interpretation. This review synthesises recent machine learning approaches for wearable ECG across three problem domains-signal-quality assessment (SQA), single-lead interpretation, and multi-lead interpretation-and covers preprocessing pipelines, quality-handling strategies, and 18 benchmark datasets. Across studies, no single architectural paradigm consistently outperforms others when evaluated fairly: classical feature-based methods remain competitive for rhythm tasks under resource constraints, while deep discriminative models show stronger cross-database generalisation when training data are sufficient. The most consistent predictor of reported performance is dataset characteristics-particularly scale, demographic composition, and whether signals were acquired from wearable devices in free-living conditions-rather than architectural choice. Three recurring evaluation deficiencies are identified: subject-level data leakage inflating classification metrics, SQA performance reported without acceptance rates, and reconstructed ECG leads validated solely by waveform similarity, without downstream diagnostic concordance. A structured comparative summary of all the methods reviewed is provided. The analysis clarifies that future progress depends primarily on evaluation rigour, representative datasets, and reproducible preprocessing rather than on architectural novelty alone.</t>
  </si>
  <si>
    <t>Puszkarski, Bartosz</t>
  </si>
  <si>
    <t>Puszkarski, B (corresponding author), Warsaw Univ Technol, Fac Elect Engn, Control Div, Warsaw, Poland.</t>
  </si>
  <si>
    <t>bartosz.puszkarski.dokt@pw.edu.pl</t>
  </si>
  <si>
    <t>[Puszkarski, Bartosz] Warsaw Univ Technol, Fac Elect Engn, Control Div, Warsaw, Poland</t>
  </si>
  <si>
    <t>Warsaw University of Technology</t>
  </si>
  <si>
    <t>Automated analysis of wearable ECG: machine learning methods, preprocessing pipelines, and benchmark datasets</t>
  </si>
  <si>
    <t>PHYSIOLOGICAL MEASUREMENT</t>
  </si>
  <si>
    <t>wearable ECG; signal quality assessment; deep learning; arrhythmia detection; edge deployment; ECG preprocessing</t>
  </si>
  <si>
    <t>96</t>
  </si>
  <si>
    <t>0967-3334</t>
  </si>
  <si>
    <t>1361-6579</t>
  </si>
  <si>
    <t>PHYSIOL MEAS</t>
  </si>
  <si>
    <t>Physiol. Meas.</t>
  </si>
  <si>
    <t>AUG 31 2026</t>
  </si>
  <si>
    <t>08TR02</t>
  </si>
  <si>
    <t>10.1088/1361-6579/ae8b71</t>
  </si>
  <si>
    <t>http://dx.doi.org/10.1088/1361-6579/ae8b71</t>
  </si>
  <si>
    <t>Biophysics; Engineering, Biomedical; Physiology</t>
  </si>
  <si>
    <t>Biophysics; Engineering; Physiology</t>
  </si>
  <si>
    <t>MM7PH</t>
  </si>
  <si>
    <t>42456763</t>
  </si>
  <si>
    <t>WOS:001845930000001</t>
  </si>
  <si>
    <t>Raheem, K; Shafi, I; Ahmed, N; Ashraf, I</t>
  </si>
  <si>
    <t>Depression is a widespread mental illness in which there is a noticeable difference in the quality of life of people. Electroencephalography (EEG) seems to be a promising non-invasive measurement for depression detection based on brain activity patterns. Recently, various deep learning approaches have been widely utilized in EEG data, enhancing accuracy and automation in depression detection. However, the inherent nature of deep learning models as a black box poses a challenge for their implementation in clinical practice, and thus interpretability would be a crucial part. This systematic review of the literature discusses more than 100 peerreviewed selected studies published between 2017 and 2026, focusing on EEG-based depression detection using deep learning and interpretability methods. The review addresses multiple kinds of models, like convolutional neural networks, long short-term memory networks, and hybrid architectures, as well as interpretability approaches like Shapley additive explanations (SHAP), local interpretable model-agnostic explanation (LIME), and attention mechanisms. Deep learning models are mostly identified to efficiently capture spatio-temporal EEG features without proper development in the adoption of interpretability techniques. Further challenges, however, are found in dataset limitations, non-uniformity in preparation and evaluation conditions, and barriers towards eventual clinical integration. Thus, this review serves as a complete synthesis of the current scenario and future perspectives on data availability towards enhanced reliability, transparency, and applicability of AI-driven depression diagnostics.</t>
  </si>
  <si>
    <t>Raheem, Kashaf; Shafi, Imran; Ahmed, Nauman; Ashraf, Imran</t>
  </si>
  <si>
    <t>Ashraf, I (corresponding author), Yeungnam Univ, Sch Comp Sci &amp; Engn, Gyongsan 38541, South Korea.</t>
  </si>
  <si>
    <t>nauman.ahmed@ceme.nust.edu.pk; imranshafi@ceme.nust.edu.pk; kashafraheem324@gmail.com; imranashraf@yu.ac.kr</t>
  </si>
  <si>
    <t>[Raheem, Kashaf; Shafi, Imran; Ahmed, Nauman] Natl Univ Sci &amp; Technol NUST, Coll Elect &amp; Mech Engn, Islamabad 44000, Pakistan; [Ashraf, Imran] Yeungnam Univ, Sch Comp Sci &amp; Engn, Gyongsan 38541, South Korea</t>
  </si>
  <si>
    <t>National University of Sciences &amp; Technology - Pakistan; Yeungnam University</t>
  </si>
  <si>
    <t>Deep learning for EEG-based depression detection: A systematic literature review of methods and interpretability techniques</t>
  </si>
  <si>
    <t>PROGRESS IN NEURO-PSYCHOPHARMACOLOGY &amp; BIOLOGICAL PSYCHIATRY</t>
  </si>
  <si>
    <t>Depression detection; Electroencephalography; Deep learning; Explainable artificial intelligence identification</t>
  </si>
  <si>
    <t>CLASSIFICATION; DIAGNOSIS; NETWORKS; FEATURES; HYBRID; LSTM</t>
  </si>
  <si>
    <t>0278-5846</t>
  </si>
  <si>
    <t>1878-4216</t>
  </si>
  <si>
    <t>PROG NEURO-PSYCHOPH</t>
  </si>
  <si>
    <t>Prog. Neuro-Psychopharmacol. Biol. Psychiatry</t>
  </si>
  <si>
    <t>AUG 30 2026</t>
  </si>
  <si>
    <t>111872</t>
  </si>
  <si>
    <t>10.1016/j.pnpbp.2026.111872</t>
  </si>
  <si>
    <t>http://dx.doi.org/10.1016/j.pnpbp.2026.111872</t>
  </si>
  <si>
    <t>Clinical Neurology; Neurosciences; Pharmacology &amp; Pharmacy; Psychiatry</t>
  </si>
  <si>
    <t>Neurosciences &amp; Neurology; Pharmacology &amp; Pharmacy; Psychiatry</t>
  </si>
  <si>
    <t>MP0BY</t>
  </si>
  <si>
    <t>42556553</t>
  </si>
  <si>
    <t>WOS:001847452900001</t>
  </si>
  <si>
    <t>Zhou, ZD; Bian, YX</t>
  </si>
  <si>
    <t>Cortisol, a steroid hormone, is critical in regulating the stress response, metabolic homeostasis, and immune balance in the human body. Since cortisol is widely distributed in body fluids, the use of easily accessible fluids, such as sweat, makes continuous health assessment possible. Wearable sensors support the non-invasive and in situ collection of biomarkers, while electrochemical sensing methods have been widely used for the analysis of biomarkers due to their low cost, easy operation, high sensitivity, and fast response. The development and application of wearable electrochemical sensors provide essential support for non-invasive, real-time, and continuous monitoring of cortisol. This review systematically covers the recent progress in wearable electrochemical sensors, focusing particularly on sensing strategies of different recognition elements and critically evaluating their performance and limitations in complex biological fluids. Additionally, this review introduces the innovative applications of graphene, MXene, metal nanoparticles, and other functional materials in wearable electrochemical sensors, systematically comparing the sensing abilities of each material. Subsequently, in view of the challenges encountered in practical applications, this work discusses microfluidic integration strategies, multilayer interference-resistant interface designs, and machine learning-based data calibration methods. Finally, future prospects for interdisciplinary approaches in advancing precision medicine and real-time health monitoring are reviewed.</t>
  </si>
  <si>
    <t>Zhou, Zeda; Bian, Yixuan</t>
  </si>
  <si>
    <t>Bian, YX (corresponding author), Beijing Sport Univ, Sch Sport Sci, Lab Sports Stress &amp; Adaptat Gen Adm Sport, Beijing 100084, Peoples R China.</t>
  </si>
  <si>
    <t>yixuanbian@bsu.edu.cn</t>
  </si>
  <si>
    <t>National Natural Science Foundation of China [No.22304014]; General Basic Research Projects [2026QN025]</t>
  </si>
  <si>
    <t>National Natural Science Foundation of China (National Natural Science Foundation of China (NSFC)); General Basic Research Projects</t>
  </si>
  <si>
    <t>We appreciate the National Natural Science Foundation of China (No. 22304014) and General Basic Research Projects (2026QN025) for financial support.</t>
  </si>
  <si>
    <t>[Zhou, Zeda; Bian, Yixuan] Beijing Sport Univ, Sch Sport Sci, Lab Sports Stress &amp; Adaptat Gen Adm Sport, Beijing 100084, Peoples R China</t>
  </si>
  <si>
    <t>Beijing Sport University</t>
  </si>
  <si>
    <t>Wearable Electrochemical Sensors for Cortisol Monitoring in Body Fluids: From Materials to Applications</t>
  </si>
  <si>
    <t>JOURNAL OF THE ELECTROCHEMICAL SOCIETY</t>
  </si>
  <si>
    <t>CUSHINGS-SYNDROME; SERUM CORTISOL; SWEAT; STRESS; BIOSENSORS; SALIVA; TRANSLATION; LACTATE; DISEASE; GLUCOSE</t>
  </si>
  <si>
    <t>ELECTROCHEMICAL SOC INC</t>
  </si>
  <si>
    <t>PENNINGTON</t>
  </si>
  <si>
    <t>65 SOUTH MAIN STREET, PENNINGTON, NJ 08534 USA</t>
  </si>
  <si>
    <t>0013-4651</t>
  </si>
  <si>
    <t>1945-7111</t>
  </si>
  <si>
    <t>J ELECTROCHEM SOC</t>
  </si>
  <si>
    <t>J. Electrochem. Soc.</t>
  </si>
  <si>
    <t>AUG 28 2026</t>
  </si>
  <si>
    <t>167503</t>
  </si>
  <si>
    <t>10.1149/1945-7111/ae9647</t>
  </si>
  <si>
    <t>http://dx.doi.org/10.1149/1945-7111/ae9647</t>
  </si>
  <si>
    <t>Electrochemistry; Materials Science, Coatings &amp; Films</t>
  </si>
  <si>
    <t>Electrochemistry; Materials Science</t>
  </si>
  <si>
    <t>MZ3UV</t>
  </si>
  <si>
    <t>WOS:001854500700001</t>
  </si>
  <si>
    <t>Uddin, KN; Ghose, P; Njie, E; Mahmood, N; Kumar, N; Haque, MN; Gaur, L; Li, AM; Mallik, S</t>
  </si>
  <si>
    <t>Artificial Intelligence (AI) has become integral to the research of neurological diseases due to the rapid expansion of neuroimaging, clinical, physiological, and wearable data. However, the concise synthesis of recent machine learning (ML) and deep learning (DL) remains limited. This systematic review analyzes studies published between January 2021 and March 2026 on five major conditions-Alzheimer's disease, stroke, Parkinson's disease, brain tumors, and traumatic brain injury (TBI)-following the PRISMA 2020 guidelines and a structured search of PubMed, Scopus, and Web of Science, yielding 206 eligible articles. The results show that convolutional and encoder-decoder architectures dominate imaging tasks, whereas hybrid and multimodal approaches increasingly combine imaging with clinical and sensor data. Emerging paradigms, including federated learning, self-supervised learning, and foundation models, address data scarcity, privacy, and cross-institutional variability. Key advances include high-performing transformer-based models for Alzheimer's diagnosis, real-time stroke detection by CT/MRI, improved Parkinson's detection by multimodal fusion, hybrid models for brain tumor classification, and outcome prediction in TBI. Despite these gains, challenges in generalizability, interpretability, and clinical translation persist, underscoring the need for more robust and clinically reliable AI systems to address these issues.</t>
  </si>
  <si>
    <t>Uddin, Kazi Nur; Ghose, Partho; Njie, Ebrima; Mahmood, Nafees; Kumar, Niloy; Haque, Md Nazmul; Gaur, Loveleen; Li, Aimin; Mallik, Saurav</t>
  </si>
  <si>
    <t>Gaur, L (corresponding author), Alliance Univ, Bengaluru, Karnataka, India.; Mallik, S (corresponding author), Univ Arizona, Dept Pharmacol &amp; Toxicol, Tucson, AZ 85721 USA.</t>
  </si>
  <si>
    <t>partho.ghose@tamu.edu; enjie1@kent.edu; nmahmoo1@kent.edu; smallik@hsph.harvard.edu; kuddin@kent.edu; nkumar8@kent.edu; liaiminmail@gmail.com; gaurloveleen@yahoo.com; mhaque6@kent.edu</t>
  </si>
  <si>
    <t>[Uddin, Kazi Nur; Njie, Ebrima; Haque, Md Nazmul] Kent State Univ, Dept Math Sci, Kent, OH 44242 USA; [Ghose, Partho] Texas A&amp;M Univ, Dept Biol &amp; Agr Engn, College Stn, TX 77843 USA; [Mahmood, Nafees; Kumar, Niloy] Kent State Univ, Dept Comp Sci, Kent, OH 44242 USA; [Gaur, Loveleen] Alliance Univ, Bengaluru, Karnataka, India; [Gaur, Loveleen] Golden Gate Univ Worldwide, San Francisco, CA USA; [Li, Aimin] Xian Univ Technol, Sch Comp Sci &amp; Engn, Xian 710048, Shaanxi, Peoples R China; [Mallik, Saurav] Harvard TH Chan Sch Publ Hlth, Dept Environm Hlth, Boston, MA 02115 USA; [Mallik, Saurav] Univ Arizona, Dept Pharmacol &amp; Toxicol, Tucson, AZ 85721 USA</t>
  </si>
  <si>
    <t>University System of Ohio; Kent State University; Kent State University Kent; Kent State University Salem; Texas A&amp;M University System; Texas A&amp;M University College Station; University System of Ohio; Kent State University; Kent State University Kent; Kent State University Salem; Alliance University; Xi'an University of Technology; Harvard University; Harvard T.H. Chan School of Public Health; University of Arizona; University of Arizona Health Sciences</t>
  </si>
  <si>
    <t>Machine Learning and Deep Learning for Neurological Disease Analysis: A Systematic Review Across Five Major Disorders</t>
  </si>
  <si>
    <t>Neurological disease; Machine learning (ML); Deep learning (DL); Hybrid and multimodal frameworks; Alzheimer's disease (AD); Brain tumor (BT)</t>
  </si>
  <si>
    <t>NETWORK; MODEL; SEGMENTATION</t>
  </si>
  <si>
    <t>Uddin, Kazi Nur/QUS-6093-2026; Mallik, Saurav/D-1608-2014; Ghose, Partho/MAI-5029-2025</t>
  </si>
  <si>
    <t>Kumar, Niloy/0000-0001-6127-7570; Mahmood, Nafees/0009-0000-8346-3104</t>
  </si>
  <si>
    <t>262</t>
  </si>
  <si>
    <t>610</t>
  </si>
  <si>
    <t>10.1016/j.neuroscience.2026.05.036</t>
  </si>
  <si>
    <t>http://dx.doi.org/10.1016/j.neuroscience.2026.05.036</t>
  </si>
  <si>
    <t>JT6RV</t>
  </si>
  <si>
    <t>42250854</t>
  </si>
  <si>
    <t>WOS:001797701800001</t>
  </si>
  <si>
    <t>Rahimzadeh, F; Khanli, LM; Salehpour, P; Golabi, F</t>
  </si>
  <si>
    <t>The exponential growth of protein sequence data has created a critical translational gap: despite remarkable advances from heuristic aligners to deep generative models, integration of these tools into Clinical Decision Support Systems (CDSS) remains impeded by unresolved tensions between accuracy, interpretability, biosecurity, and clinical scalability. This review provides a critical, architecture-centric evaluation of protein sequence analysis methods-from alignment-based heuristics and profile HMMs to protein language models (PLMs), multi-track attention, and generative diffusion frameworks-systematically mapping each paradigm to core CDSS components. We identify that the field's shift toward multimodal representation learning and generative AI, while transformative for structure prediction and de novo design, introduces three interconnected translational barriers: prohibitive computational cost, black-box opacity, and emerging dual-use biosecurity risks that current benchmarks fail to capture. As our central contribution, we propose a novel two-tiered Decision Support System (DSS) architecture engineered to overcome these barriers. First, a comprehensive decision-making framework enables rational tool selection based on biological objective, data availability, computational resources, and interpretability requirements. Second, a corresponding operational architecture integrates four innovations: (i) a mandatory Proactive Biosafety Screening module enforcing computational toxicity risk assessment for all de novo designs; (ii) a Fuzzy Uncertainty Module designed to quantify ambiguity and noise in high-throughput omics data; (iii) a Multimodal Standardization Layer that resolves data friction by unifying heterogeneous signals; and (iv) a Dual-Mode Interpretability (DMI) module bridging algorithmic explanations with biologically grounded mechanistic justification. We further introduce CDSS-aware evaluation criteria-including metrics to measure interpretability and trust, biosafety and ethical design, clinical efficiency and scalability, and generative design validation-addressing critical limitations of community benchmarks (CASP, CAFA, CAMEO). By reframing protein informatics through the lens of responsible clinical translation, this review provides both a conceptual roadmap and practical blueprint for accelerating precision medicine, drug discovery, and synthetic biology.</t>
  </si>
  <si>
    <t>Rahimzadeh, Faezeh; Khanli, Leyli Mohammad; Salehpour, Pedram; Golabi, Faegheh</t>
  </si>
  <si>
    <t>Khanli, LM (corresponding author), Univ Tabriz, Dept Elect &amp; Comp Engn, Tabriz, Iran.</t>
  </si>
  <si>
    <t>l-khanli@tabrizu.ac.ir</t>
  </si>
  <si>
    <t>[Rahimzadeh, Faezeh; Khanli, Leyli Mohammad; Salehpour, Pedram] Univ Tabriz, Dept Elect &amp; Comp Engn, Tabriz, Iran; [Golabi, Faegheh] Tabriz Univ Med Sci, Fac Adv Med Sci, Dept Biomed Engn, Tabriz, Iran</t>
  </si>
  <si>
    <t>University of Tabriz; Tabriz University of Medical Science</t>
  </si>
  <si>
    <t>From Heuristics to Deep Generative Models: A Critical Review of Protein Sequence Analysis Architectures for Clinical Decision Support Systems (CDSS)</t>
  </si>
  <si>
    <t>Protein sequence analysis; clinical decision support system (CDSS); Dual-mode interpretability; Multi-modal standardization; Fuzzy uncertainty; Biosafety screening</t>
  </si>
  <si>
    <t>SECONDARY STRUCTURE PREDICTION; ALIGNMENT; IDENTIFICATION; ANNOTATION; DISCOVERY; MEDICINE; RESOURCE; DATABASE; NETWORKS; TIGRFAMS</t>
  </si>
  <si>
    <t>/AAD-9834-2019; Khanli, Leyli/D-7377-2017</t>
  </si>
  <si>
    <t>156</t>
  </si>
  <si>
    <t>AUG 25 2026</t>
  </si>
  <si>
    <t>324</t>
  </si>
  <si>
    <t>132559</t>
  </si>
  <si>
    <t>10.1016/j.eswa.2026.132559</t>
  </si>
  <si>
    <t>http://dx.doi.org/10.1016/j.eswa.2026.132559</t>
  </si>
  <si>
    <t>HP2ZN</t>
  </si>
  <si>
    <t>WOS:001759464700001</t>
  </si>
  <si>
    <t>He, HZ; Wang, YY; Yao, FH; Huang, Y; Jiang, Y; Jiang, N; Geng, B; Zeng, B</t>
  </si>
  <si>
    <t>Surface-enhanced Raman scattering (SERS) and surface-enhanced resonance Raman scattering (SERRS) offer molecular fingerprint specificity, high sensitivity, narrow spectral bandwidths, and multiplex readout capability for biosensing and biomedical analysis. In reporter-encoded SERS/SERRS nanotags, Raman reporters are key signal-generating molecules that define spectral identity, context-dependent brightness, stability, multiplexing capacity, and quantitative reliability. However, existing reviews have mainly focused on plasmonic substrates, nanotag architectures, assay formats, imaging applications, or spectral-analysis workflows, whereas reporter molecules themselves have been less systematically discussed as molecular and interfacial design variables. This review provides a focused, reporter-centered synthesis of conventional, aromatic thiol/disulfide, Raman-silent-region, near-infrared-resonant/SERRS, responsive, and library-based reporters. We discuss reporter selection principles, reporter-core interactions, immobilization chemistry, surface coverage and orientation, spectral orthogonality, responsive-reporter metrics, multiplex unmixing, machine-learning-assisted spectral decoding, biomolecular scaffolds, and whole-nanoprobe safety. By integrating molecular design, interfacial stability, quantitative performance evaluation, and translational constraints, this review aims to support rational Raman reporter selection, benchmarking, and application-specific deployment.</t>
  </si>
  <si>
    <t>He, Hengzhou; Wang, Yanyang; Yao, Feihao; Huang, Ying; Jiang, Yuan; Jiang, Ning; Geng, Bo; Zeng, Bo</t>
  </si>
  <si>
    <t>Zeng, B (corresponding author), Chongqing Med Univ, Affiliated Yongchuan Hosp, Dept Gastroenterol, Chongqing, Peoples R China.; Zeng, B (corresponding author), Chongqing Med Univ, Gen Practice Sch, Chongqing, Peoples R China.; Geng, B (corresponding author), Peoples Hosp Chongqing Hechuan, Dept Hepatobiliary Surg, Chongqing, Peoples R China.</t>
  </si>
  <si>
    <t>zengbo@hospital.cqmu.edu.cn; gengbo421782411@163.com</t>
  </si>
  <si>
    <t>National Natural Science Foundation of China [82203310]</t>
  </si>
  <si>
    <t>This work was funded by National Natural Science Foundation of China (Grant No. 82203310), Technological Innovation and Application Project of Chongqing (Grant No. CSTB2024TIAD-LUX0003), Natural Science Foundation of Yuzhong District of Chongqing City (Grant No. 20240124), and Program for Youth Innovation in Future Medicine from Chongqing Medical University.</t>
  </si>
  <si>
    <t>[He, Hengzhou; Zeng, Bo] Chongqing Med Univ, Affiliated Yongchuan Hosp, Dept Gastroenterol, Chongqing, Peoples R China; [He, Hengzhou; Zeng, Bo] Chongqing Med Univ, Gen Practice Sch, Chongqing, Peoples R China; [He, Hengzhou; Huang, Ying] Chongqing Med Univ, Affiliated Hosp 1, Chongqing, Peoples R China; [Wang, Yanyang] Chongqing Med Univ, Affiliated Hosp 2, Dept Plast &amp; Maxillofacial Surg, Chongqing, Peoples R China; [Yao, Feihao] Chongqing Med Univ, Affiliated Hosp 1, Dept Gastroenterol, Chongqing, Peoples R China; [Jiang, Yuan; Jiang, Ning] Chongqing Med Univ, Sch Basic Med Sci, Chongqing, Peoples R China; [Geng, Bo] Peoples Hosp Chongqing Hechuan, Dept Hepatobiliary Surg, Chongqing, Peoples R China</t>
  </si>
  <si>
    <t>Chongqing Medical University; Chongqing Medical University; Chongqing Medical University; Chongqing Medical University; Chongqing Medical University; Chongqing Medical University</t>
  </si>
  <si>
    <t>Raman reporters for SERS/SERRS biosensing and biomedicine: design, applications, and challenges</t>
  </si>
  <si>
    <t>MICROCHIMICA ACTA</t>
  </si>
  <si>
    <t>Surface-enhanced Raman scattering (SERS); Surface-enhanced resonance Raman scattering (SERRS); Raman reporters; SERS nanotags; Biosensing; Bioimaging; Multiplex detection</t>
  </si>
  <si>
    <t>CHARGED SILVER NANOPARTICLES; GOLD NANOPARTICLES; SERS DETECTION; QUANTITATIVE DETECTION; FREQUENCY-SHIFT; SURFACE; SCATTERING; SPECTROSCOPY; TAGS; NANOTAGS</t>
  </si>
  <si>
    <t>178</t>
  </si>
  <si>
    <t>SPRINGER WIEN</t>
  </si>
  <si>
    <t>Vienna</t>
  </si>
  <si>
    <t>Prinz-Eugen-Strasse 8-10, A-1040 Vienna, AUSTRIA</t>
  </si>
  <si>
    <t>0026-3672</t>
  </si>
  <si>
    <t>1436-5073</t>
  </si>
  <si>
    <t>MICROCHIM ACTA</t>
  </si>
  <si>
    <t>Microchim. Acta</t>
  </si>
  <si>
    <t>AUG 21 2026</t>
  </si>
  <si>
    <t>193</t>
  </si>
  <si>
    <t>625</t>
  </si>
  <si>
    <t>10.1007/s00604-026-08257-3</t>
  </si>
  <si>
    <t>http://dx.doi.org/10.1007/s00604-026-08257-3</t>
  </si>
  <si>
    <t>MZ1KF</t>
  </si>
  <si>
    <t>42625097</t>
  </si>
  <si>
    <t>WOS:001854336400001</t>
  </si>
  <si>
    <t>Wu, LW; Le-Dang, MA; Okoye, BI; Park, C</t>
  </si>
  <si>
    <t>Introduction Cardiovascular (CV) adverse events are increasingly recognized in patients with cancer. Previous reviews of AI/ML have focused on single cancer types, imaging-based data, and lacked evaluation of methodological rigor. This systematic review synthesized AI/ML models developed to predict CV adverse events from patient-level clinical data across diverse cancer populations.Methods This review followed the PRISMA 2020 guidelines. PubMed and Web of Science were searched through 26 October 2025. Study characteristics, model development, and handling of features and missing data were extracted. Study quality was assessed using the IJMEDI checklist.Results Of 32 included studies, 18 compared multiple algorithms and 14 used a single algorithm. Random forest and XGBoost were the most common methods (n = 17, respectively), and XGBoost was most often the best-performing model in multi-algorithm studies, although substantial study heterogeneity precludes concluding general algorithmic superiority. Common limitations were unreported missing data handling (n = 17), limited external validation (n = 8), and rare calibration assessment (n = 4). Most studies were rated medium quality (n = 28).Conclusions AI/ML models show promise for predicting CV adverse events in patients with cancer; however, clinical applicability is constrained by insufficient preprocessing transparency, limited external validation, and inadequate calibration reporting.</t>
  </si>
  <si>
    <t>Wu, Li-Wei; Le-Dang, Minh-Anh; Okoye, Blessing Ijeoma; Park, Chanhyun</t>
  </si>
  <si>
    <t>Park, C (corresponding author), Univ Texas Austin, Coll Pharm, Hlth Outcomes Div, 2409 Univ Ave, Austin, TX 78712 USA.</t>
  </si>
  <si>
    <t>chanhyun.park@austin.utexas.edu</t>
  </si>
  <si>
    <t>[Wu, Li-Wei; Le-Dang, Minh-Anh; Okoye, Blessing Ijeoma; Park, Chanhyun] Univ Texas Austin, Coll Pharm, Hlth Outcomes Div, 2409 Univ Ave, Austin, TX 78712 USA</t>
  </si>
  <si>
    <t>University of Texas System; University of Texas Austin</t>
  </si>
  <si>
    <t>Machine learning-based prediction of cardiovascular adverse events in patients with cancer: a systematic review</t>
  </si>
  <si>
    <t>EXPERT REVIEW OF PHARMACOECONOMICS &amp; OUTCOMES RESEARCH</t>
  </si>
  <si>
    <t>Review; Early Access</t>
  </si>
  <si>
    <t>Artificial intelligence; cancer; cardio-oncology; cardiotoxicity; cardiovascular adverse events; machine learning; predictive modeling; systematic review</t>
  </si>
  <si>
    <t>ARTIFICIAL-INTELLIGENCE; RISK; HEALTH</t>
  </si>
  <si>
    <t>1473-7167</t>
  </si>
  <si>
    <t>1744-8379</t>
  </si>
  <si>
    <t>EXPERT REV PHARM OUT</t>
  </si>
  <si>
    <t>Expert Rev. Pharmacoecon. Outcomes Res.</t>
  </si>
  <si>
    <t>10.1080/14737167.2026.2719628</t>
  </si>
  <si>
    <t>http://dx.doi.org/10.1080/14737167.2026.2719628</t>
  </si>
  <si>
    <t>AUG 2026</t>
  </si>
  <si>
    <t>Health Care Sciences &amp; Services; Health Policy &amp; Services; Pharmacology &amp; Pharmacy</t>
  </si>
  <si>
    <t>Health Care Sciences &amp; Services; Pharmacology &amp; Pharmacy</t>
  </si>
  <si>
    <t>MY6HU</t>
  </si>
  <si>
    <t>42601818</t>
  </si>
  <si>
    <t>WOS:001853992100001</t>
  </si>
  <si>
    <t>Wu, YT; Shi, YL; Xie, XY; Ma, J; Dang, YQ; Hu, D</t>
  </si>
  <si>
    <t>Extracellular vesicles (EVs) have emerged as promising non-invasive biomarkers for metabolic dysfunction-associated steatotic liver disease (MASLD). Recent advances in machine learning and explainable artificial intelligence (AI) have further expanded their diagnostic potential. Recent studies explored the potential of circulating EVs as biomarkers for staging MASLD. By employing machine learning and explainable AI methodologies, the study captured non-linear relationships between EV characteristics and MASLD progression. Furthermore, combining EV features with clinical and anthropometric data significantly improves the diagnostic accuracy for identifying severe steatosis (S3). However, the study has limitations, including a high attrition rate and limited sample size, and the model performance across different MASLD subgroups remains uncertain, especially lean MASLD patients, may be associated with high uncertainty. This opinion review offers a comprehensive analysis of the methodological innovations, clinical implications, and limitations, while also suggesting avenues for future research.</t>
  </si>
  <si>
    <t>Wu, Yu-Tong; Shi, Yi-Lin; Xie, Xiao-Ying; Ma, Jing; Dang, Yan-Qi; Hu, Dan</t>
  </si>
  <si>
    <t>Dang, YQ (corresponding author), Shanghai Univ Tradit Chinese Med, Longhua Hosp, Inst Digest Dis, China Canada Ctr Res Digest Dis ccCRDD, Shanghai 200032, Peoples R China.</t>
  </si>
  <si>
    <t>dangyanqi9022@126.com</t>
  </si>
  <si>
    <t>Science and Technology Development Fund of Shanghai Pudong New Area [PKJ2024-Y19]; Investigator-Initiated Trial Program of Shanghai Pudong New Area Health Commission [2025-PWDL-03]; National Pilot Zone for Inheritance, Innovation and Development of Traditional Chinese Medicine in Pudong New Area [PDZY-2026-0318]; Science and Technology Development Project of Shanghai University of Traditional Chinese Medicine [25KFL82]</t>
  </si>
  <si>
    <t>Science and Technology Development Fund of Shanghai Pudong New Area; Investigator-Initiated Trial Program of Shanghai Pudong New Area Health Commission; National Pilot Zone for Inheritance, Innovation and Development of Traditional Chinese Medicine in Pudong New Area; Science and Technology Development Project of Shanghai University of Traditional Chinese Medicine</t>
  </si>
  <si>
    <t>Supported by Science and Technology Development Fund of Shanghai Pudong New Area, No. PKJ2024-Y19; Investigator-Initiated Trial Program of Shanghai Pudong New Area Health Commission, No. 2025-PWDL-03; National Pilot Zone for Inheritance, Innovation and Development of Traditional Chinese Medicine in Pudong New Area, No. PDZY-2026-0318; and Science and Technology Development Project of Shanghai University of Traditional Chinese Medicine, No. 25KFL82.</t>
  </si>
  <si>
    <t>[Wu, Yu-Tong; Dang, Yan-Qi] Shanghai Univ Tradit Chinese Med, Longhua Hosp, Inst Digest Dis, China Canada Ctr Res Digest Dis ccCRDD, Shanghai 200032, Peoples R China; [Shi, Yi-Lin; Ma, Jing; Dang, Yan-Qi; Hu, Dan] Shanghai Univ Tradit Chinese Med, Peoples Hosp 7, Shanghai 200137, Peoples R China; [Xie, Xiao-Ying] Fudan Univ, Zhongshan Hosp, Dept Hepatobiliary Oncol, Shanghai 200032, Peoples R China; [Dang, Yan-Qi] Shanghai Univ Tradit Chinese Med, State Key Lab Integrat &amp; Innovat Class Formula &amp; M, Shanghai 200032, Peoples R China</t>
  </si>
  <si>
    <t>Shanghai University of Traditional Chinese Medicine; Shanghai University of Traditional Chinese Medicine; Fudan University; Shanghai University of Traditional Chinese Medicine</t>
  </si>
  <si>
    <t>Extracellular vesicles as biomarkers for metabolic dysfunction-associated steatotic liver disease staging: Methodological innovations and future perspectives</t>
  </si>
  <si>
    <t>WORLD JOURNAL OF GASTROENTEROLOGY</t>
  </si>
  <si>
    <t>Metabolic dysfunction-associated steatotic liver disease; Extracellular vesicles; Non-invasive biomarkers; Machine learning; Explainable artificial intelligence</t>
  </si>
  <si>
    <t>NONALCOHOLIC STEATOHEPATITIS; PROSPECTIVE DERIVATION; NONINVASIVE DIAGNOSIS; LEAN PATIENTS; FIBROSIS; NASH; IDENTIFICATION; INFLAMMATION; SEVERITY; SCORE</t>
  </si>
  <si>
    <t>BAISHIDENG PUBLISHING GROUP INC</t>
  </si>
  <si>
    <t>PLEASANTON</t>
  </si>
  <si>
    <t>7041 Koll Center Parkway, Suite 160, PLEASANTON, CA, UNITED STATES</t>
  </si>
  <si>
    <t>1007-9327</t>
  </si>
  <si>
    <t>2219-2840</t>
  </si>
  <si>
    <t>WORLD J GASTROENTERO</t>
  </si>
  <si>
    <t>World J. Gastroenterol.</t>
  </si>
  <si>
    <t>117869</t>
  </si>
  <si>
    <t>10.3748/wjg.117869</t>
  </si>
  <si>
    <t>http://dx.doi.org/10.3748/wjg.117869</t>
  </si>
  <si>
    <t>MY3IR</t>
  </si>
  <si>
    <t>WOS:001853790600010</t>
  </si>
  <si>
    <t>Costa, DN; McCoy, RG; Mukherjee, D; Salvatori, R</t>
  </si>
  <si>
    <t>Pituitary disorders often include complex radiology imaging, rare clinical presentations, and need for multidisciplinary decision-making and prolonged follow-up, all features that make them a natural target for artificial intelligence (AI). The resulting literature is expanding rapidly, but carries an unfamiliar vocabulary and set of methods, which can leave clinicians without a clear entry point. This short perspective offers such an entry point, succinctly outlining how AI learns from data, how a clinical AI application moves from question to deployment, providing examples, and addressing how to read the field critically.</t>
  </si>
  <si>
    <t>Costa, Damla N.; McCoy, Rozalina G.; Mukherjee, Debraj; Salvatori, Roberto</t>
  </si>
  <si>
    <t>Salvatori, R (corresponding author), Johns Hopkins Univ, Sch Med, Div Endocrinol Diabet &amp; Metab, Dept Med,Pituitary Ctr, 1830 East Monument St,Suite 333, Baltimore, MD 21287 USA.</t>
  </si>
  <si>
    <t>salvator@jhmi.edu</t>
  </si>
  <si>
    <t>[Costa, Damla N.] Univ Maryland, Dept Med, Midtown Campus, Baltimore, MD 21201 USA; [McCoy, Rozalina G.] Univ Maryland, Sch Med, Dept Med, Div Endocrinol Diabet &amp; Nutr, Baltimore, MD USA; [McCoy, Rozalina G.] Univ Maryland, Inst Hlth Comp, North Bethesda, MD USA; [Mukherjee, Debraj] Johns Hopkins Univ, Dept Neurosurg, Sch Med, Baltimore, MD USA; [Mukherjee, Debraj] Johns Hopkins Univ, Pituitary Ctr, Sch Med, Baltimore, MD USA; [Salvatori, Roberto] Johns Hopkins Univ, Sch Med, Div Endocrinol Diabet &amp; Metab, Dept Med,Pituitary Ctr, 1830 East Monument St,Suite 333, Baltimore, MD 21287 USA</t>
  </si>
  <si>
    <t>University System of Maryland; University of Maryland Baltimore; University System of Maryland; University of Maryland Baltimore; Johns Hopkins University; Johns Hopkins University; Johns Hopkins University</t>
  </si>
  <si>
    <t>Artificial intelligence in pituitary medicine: what should an endocrinologist know?</t>
  </si>
  <si>
    <t>PITUITARY</t>
  </si>
  <si>
    <t>Artificial intelligence; Deep learning; Endocrinology; Machine learning; Pituitary medicine</t>
  </si>
  <si>
    <t>SPRINGER</t>
  </si>
  <si>
    <t>ONE NEW YORK PLAZA, SUITE 4600, NEW YORK, NY, UNITED STATES</t>
  </si>
  <si>
    <t>1386-341X</t>
  </si>
  <si>
    <t>1573-7403</t>
  </si>
  <si>
    <t>Pituitary</t>
  </si>
  <si>
    <t>AUG 20 2026</t>
  </si>
  <si>
    <t>10.1007/s11102-026-01747-w</t>
  </si>
  <si>
    <t>http://dx.doi.org/10.1007/s11102-026-01747-w</t>
  </si>
  <si>
    <t>Endocrinology &amp; Metabolism</t>
  </si>
  <si>
    <t>MZ6LV</t>
  </si>
  <si>
    <t>42622965</t>
  </si>
  <si>
    <t>WOS:001854681600002</t>
  </si>
  <si>
    <t>Lukianenko, D; Ragimova, A; Mukhorina, AK; Tyukina, T; Zakharov, D</t>
  </si>
  <si>
    <t>Electronic health records (EHRs) contain vast volumes of clinical information that encode complex relationships between diseases. Traditional approaches to the analysis of interrelated or co-occurring diseases have focused on pairwise associations between diagnoses, missing the higher-order structures that characterise multimorbid patients. The present paper offers a narrative review of existing statistical, machine-learning, and artificial intelligence methods for extracting and analysing complex interrelated or co-occurring diseases from EHRs. The application of diverse approaches based on the analysis of diagnostic codes, of textual data, and of combinations of sources of different modalities within hybrid methods makes it possible to uncover emergent interactions between diseases. The work shows the critical role of natural-language processing of narrative text in extracting clinically relevant information absent from structured codes, which in turn motivates the integrated application of deep-learning methods with graph-based analysis for the identification of disease clusters and patient stratification. The analysis shows that going beyond pairwise comorbidity models enables the discovery of collective disease-progression trajectories, offering new opportunities for personalised medicine.</t>
  </si>
  <si>
    <t>Lukianenko, Daria; Ragimova, Ainur; Mukhorina, Anna K.; Tyukina, Tatiana; Zakharov, Denis</t>
  </si>
  <si>
    <t>Zakharov, D (corresponding author), HSE Univ, Ctr Cognit &amp; Decis Making, Moscow, Russia.</t>
  </si>
  <si>
    <t>dgzakharov@hse.ru; ms.dluk@gmail.com; ttyukina@hse.ru; annamukhorina@gmail.com; ragimovaasia@gmail.com</t>
  </si>
  <si>
    <t>Institute for Cognitive Neuroscience, National Research University Higher School of Economics [HSE-BR-2025-26]</t>
  </si>
  <si>
    <t>Institute for Cognitive Neuroscience, National Research University Higher School of Economics</t>
  </si>
  <si>
    <t>This article is an output of a research project HSE-BR-2025-26 implemented an output of the Basic Research Program at HSE University.</t>
  </si>
  <si>
    <t>[Lukianenko, Daria] Natl Res Nucl Univ MEPhI, Comp Sci &amp; Engn, Moscow, Russia; [Ragimova, Ainur] HSE Univ, Russian Ctr Neurol &amp; Neurosci, Moscow, Russia; [Mukhorina, Anna K.] Med Ctr Chaika Kuntsevo, Neurol &amp; Mental Hlth Div, Moscow, Russia; [Mukhorina, Anna K.] Med Ctr Spravitsya Prosche, Neurol &amp; Mental Hlth Div, Moscow, Russia; [Lukianenko, Daria; Ragimova, Ainur; Tyukina, Tatiana; Zakharov, Denis] HSE Univ, Ctr Cognit &amp; Decis Making, Moscow, Russia</t>
  </si>
  <si>
    <t>National Research Nuclear University MEPhI (Moscow Engineering Physics Institute); HSE University (National Research University Higher School of Economics); HSE University (National Research University Higher School of Economics)</t>
  </si>
  <si>
    <t>From data to knowledge: artificial intelligence methods for studying comorbidity in electronic health records</t>
  </si>
  <si>
    <t>EUROPEAN PHYSICAL JOURNAL-SPECIAL TOPICS</t>
  </si>
  <si>
    <t>SUBSTANCE USE; DISORDERS; DEPRESSION</t>
  </si>
  <si>
    <t>SPRINGER HEIDELBERG</t>
  </si>
  <si>
    <t>HEIDELBERG</t>
  </si>
  <si>
    <t>Europaplatz 3, HEIDELBERG, GERMANY</t>
  </si>
  <si>
    <t>1951-6355</t>
  </si>
  <si>
    <t>1951-6401</t>
  </si>
  <si>
    <t>EUR PHYS J-SPEC TOP</t>
  </si>
  <si>
    <t>Eur. Phys. J.-Spec. Top.</t>
  </si>
  <si>
    <t>10.1140/epjs/s11734-026-02571-w</t>
  </si>
  <si>
    <t>http://dx.doi.org/10.1140/epjs/s11734-026-02571-w</t>
  </si>
  <si>
    <t>Physics, Multidisciplinary</t>
  </si>
  <si>
    <t>Physics</t>
  </si>
  <si>
    <t>MY8RR</t>
  </si>
  <si>
    <t>WOS:001854153000001</t>
  </si>
  <si>
    <t>Zhang, FF; Shao, PP; Wei, DD; Wang, CH</t>
  </si>
  <si>
    <t>Diabetic retinopathy (DR) is a leading cause of preventable blindness worldwide. The rising prevalence of diabetes has strained conventional screening pathways, which are labor-intensive and depend on specialist image interpretation, limiting access, particularly in resource-limited settings. Artificial intelligence (AI) offers a promising approach to improve the scalability, consistency, and reach of DR detection and management. This review examines AI applications in DR, spanning automated screening, grading, lesion segmentation, multimodal imaging integration, personalized risk prediction, and AI-driven metabolomics, while also addressing translational challenges and future directions. We conducted a narrative review using major biomedical databases and targeted searches of peer-reviewed literature, prioritizing recent systematic reviews, meta-analyses, clinical trials, implementation studies, and seminal technical reports. Current evidence shows that AI systems can detect referable DR with diagnostic performance approaching or exceeding expert human graders. Deep learning methods have improved lesion detection, severity grading, and risk assessment. Multimodal approaches integrating fundus photography with OCT, OCTA, and clinical data may enhance disease characterization and risk stratification, but most evidence remains developmental or early translational. Likewise, AI-guided personalized follow-up, treatment modeling, and metabolomics-based biomarker discovery are promising but less clinically validated than screening and grading applications. Real-world studies support implementation feasibility, with gains in screening uptake and workflow efficiency. Key barriers to broader adoption include external validation, heterogeneous reference standards, management of ungradable images, domain shift across devices and populations, workflow integration, and regulatory and ethical considerations. AI is poised to strengthen scalable DR care, but personalized applications require further validation before routine clinical use.</t>
  </si>
  <si>
    <t>Zhang, Fenfen; Shao, Panpan; Wei, Dongdong; Wang, Chunhua</t>
  </si>
  <si>
    <t>Wei, DD (corresponding author), Shandong Univ, Qilu Hosp, Dezhou Hosp, Dept Ophthalmol, Dezhou 253000, Peoples R China.; Wang, CH (corresponding author), Shandong Univ, Qilu Hosp, Dezhou Hosp, Dept Gen Practice, Dezhou 253000, Peoples R China.</t>
  </si>
  <si>
    <t>yp98176@outlook.com; wangchunhua198718@outlook.com</t>
  </si>
  <si>
    <t>[Zhang, Fenfen; Shao, Panpan; Wei, Dongdong] Shandong Univ, Qilu Hosp, Dezhou Hosp, Dept Ophthalmol, Dezhou 253000, Peoples R China; [Wang, Chunhua] Shandong Univ, Qilu Hosp, Dezhou Hosp, Dept Gen Practice, Dezhou 253000, Peoples R China</t>
  </si>
  <si>
    <t>Artificial intelligence in diabetic retinopathy: from automated screening to risk-stratified care</t>
  </si>
  <si>
    <t>GRAEFES ARCHIVE FOR CLINICAL AND EXPERIMENTAL OPHTHALMOLOGY</t>
  </si>
  <si>
    <t>Diabetic retinopathy; Artificial intelligence; Deep learning; Machine learning; Retinal imaging; Risk stratification</t>
  </si>
  <si>
    <t>DEEP LEARNING-SYSTEM; DISEASE DETECTION; VALIDATION</t>
  </si>
  <si>
    <t>0721-832X</t>
  </si>
  <si>
    <t>1435-702X</t>
  </si>
  <si>
    <t>GRAEF ARCH CLIN EXP</t>
  </si>
  <si>
    <t>Graefes Arch. Clin. Exp. Ophthalmol.</t>
  </si>
  <si>
    <t>10.1007/s00417-026-07390-2</t>
  </si>
  <si>
    <t>http://dx.doi.org/10.1007/s00417-026-07390-2</t>
  </si>
  <si>
    <t>MY9FB</t>
  </si>
  <si>
    <t>42622662</t>
  </si>
  <si>
    <t>WOS:001854187800001</t>
  </si>
  <si>
    <t>Garrido, GS; Acosta, NT; Ramírez, JAU; Rincón, EHH</t>
  </si>
  <si>
    <t>Perioperative anaesthetic complications are a major public health concern, as they are associated with increased mortality, prolonged hospital stay, higher healthcare costs, and compromised patient safety. Despite advances in perioperative monitoring and risk stratification, early and personalised identification of patients at risk remains limited. Artificial intelligence (AI) has emerged as a promising approach to improve prediction of perioperative anaesthetic complications, although current evidence is heterogeneous. To synthesise the available evidence on the use of artificial intelligence models to predict perioperative anaesthetic complications in adult surgical patients. A scoping review was conducted following Joanna Briggs Institute methodology and reported according to PRISMA-ScR guidelines. The protocol was registered in the Open Science Framework (DOI: ). PubMed, Scopus, and Web of Science were searched for studies published between 2015 and 2025. Studies applying machine learning, deep learning, or hybrid models to predict perioperative anaesthetic complications were included. Evidence was synthesised using conceptual mapping and thematic analysis. Fifty-one studies were included. Haemodynamic and cardiovascular outcomes, particularly intraoperative hypotension, were most frequently studied, followed by renal, neurological, and respiratory complications, postoperative pain, and perioperative resource utilisation. Most models showed moderate to high predictive performance, while external validation and evaluation of clinical impact were uncommon. Artificial intelligence has substantial potential to support prediction of perioperative anaesthetic complications. However, clinical implementation is limited by methodological weaknesses, including predominantly retrospective designs, limited external validation, and scarce assessment of real-world impact. Prospective multicentre studies are required.</t>
  </si>
  <si>
    <t>Garrido, Gabriela Salcedo; Acosta, Nicole Tovar; Ramirez, Juan Alejandro Uruena; Rincon, Erwin Hernando Hernandez</t>
  </si>
  <si>
    <t>Rincón, EHH (corresponding author), Univ La Sabana, Dept Family Med &amp; Publ Hlth, Univ Campus Puente Comun,Km 7 Autopista Norte, Chia, Colombia.</t>
  </si>
  <si>
    <t>erwinhr@unisabana.edu.co; juanurura@unisabana.edu.co; nicoletoac@unisabana.edu.co; gabrielasaga@unisabana.edu.co</t>
  </si>
  <si>
    <t>Universidad de La Sabana, Colombia [MED-341-2023]</t>
  </si>
  <si>
    <t>Universidad de La Sabana, Colombia</t>
  </si>
  <si>
    <t>This research was supported by Universidad de La Sabana, Colombia, through the MED-341-2023 project (Telehealth in Colombia).</t>
  </si>
  <si>
    <t>[Garrido, Gabriela Salcedo; Acosta, Nicole Tovar; Ramirez, Juan Alejandro Uruena] Univ La Sabana, Chia, Colombia; [Rincon, Erwin Hernando Hernandez] Univ La Sabana, Dept Family Med &amp; Publ Hlth, Univ Campus Puente Comun,Km 7 Autopista Norte, Chia, Colombia</t>
  </si>
  <si>
    <t>Universidad de La Sabana; Universidad de La Sabana</t>
  </si>
  <si>
    <t>Artificial intelligence for predicting perioperative anaesthetic complications and supporting clinical decision-making: a scoping review</t>
  </si>
  <si>
    <t>JOURNAL OF CLINICAL MONITORING AND COMPUTING</t>
  </si>
  <si>
    <t>Anaesthesia; Perioperative complications; Artificial intelligence; Machine learning; Risk assessment; Predictive models</t>
  </si>
  <si>
    <t>MACHINE LEARNING APPROACH; INTRAOPERATIVE HYPOTENSION; POSTINDUCTION HYPOTENSION; NONCARDIAC SURGERY; MODEL; PRESSURE; RISK</t>
  </si>
  <si>
    <t>1387-1307</t>
  </si>
  <si>
    <t>1573-2614</t>
  </si>
  <si>
    <t>J CLIN MONIT COMPUT</t>
  </si>
  <si>
    <t>J. Clin. Monitor. Comp.</t>
  </si>
  <si>
    <t>10.1007/s10877-026-01449-5</t>
  </si>
  <si>
    <t>http://dx.doi.org/10.1007/s10877-026-01449-5</t>
  </si>
  <si>
    <t>Anesthesiology</t>
  </si>
  <si>
    <t>MY9FV</t>
  </si>
  <si>
    <t>42622976</t>
  </si>
  <si>
    <t>WOS:001854189800001</t>
  </si>
  <si>
    <t>Clusmann, J; Freyer, O; Ostermann, M; Ferber, D; Laleh, NG; Hilgers, L; Kolbinger, FR; Schneider, CV; Downing, A; Wekenborg, MK; Gilbert, S; Foersch, S; Truhn, D; Wiest, IC; Kather, JN</t>
  </si>
  <si>
    <t>Integration of artificial intelligence methods into clinical care is proceeding rapidly, driven by advances in generative artificial intelligence, most notably large language models. Large language models trained on large amounts of text have shown potential across nearly every domain of healthcare. However, their broad applicability also comes with new responsibilities, vulnerabilities and threats. These need to be assessed and mitigated before widespread clinical adoption. Here we review the available literature on security and safety of large language models themselves as well as their integration with hospital workflows and interactions with human healthcare providers. We systematically map security hazards to development stages of clinical artificial intelligence systems (design, data, model, inference and environment), identify safety layers, from core optimization objectives, knowledge integrity and alignment, to interaction with humans and systems, and classify threats by their current clinical relevance. Finally, we provide a perspective on current mitigation techniques, illustrating respective stakeholders' responsibilities.</t>
  </si>
  <si>
    <t>Clusmann, Jan; Freyer, Oscar; Ostermann, Max; Ferber, Dyke; Ghaffari Laleh, Narmin; Hilgers, Lars; Kolbinger, Fiona R.; Schneider, Carolin V.; Downing, Andrea; Wekenborg, Magdalena Katharina; Gilbert, Stephen; Foersch, Sebastian; Truhn, Daniel; Wiest, Isabella C.; Kather, Jakob Nikolas</t>
  </si>
  <si>
    <t>Kather, JN (corresponding author), TUD Dresden Univ Technol, Fac Med, Else Kroener Fresenius Ctr Digital Hlth, Dresden, Germany.; Kather, JN (corresponding author), TUD Dresden Univ Technol, Univ Hosp Carl Gustav Carus, Dresden, Germany.; Kather, JN (corresponding author), TUD Dresden Univ Technol, Fac Med, Dept Med 1, Dresden, Germany.; Kather, JN (corresponding author), Heidelberg Univ Hosp, Natl Ctr Tumor Dis NCT, Dept Med Oncol, Heidelberg, Germany.</t>
  </si>
  <si>
    <t>kather.jn@tu-dresden.de</t>
  </si>
  <si>
    <t>Mildred-Scheel-Postdoktorandenprogramm of the German Cancer Aid [70115730]; DZG-overarching translational research project grant; German Cancer Aid DKH [70115166]; German Federal Ministry of Research, Technology and Space BMFTR [01KD2104C, 01EO2101, 031L0312A, 01KT2302, 16DKZ2044A, 031L0315A, 01KD2420A, 01ZU2402A]; German Research Foundation DFG [TRR 412/1, 535081457, SFB 1709/1 2025, 533056198]; German Academic Exchange Service DAAD [57616814]; German Federal Joint Committee G-BA [01VSF21048]; European Union EU's Horizon Europe research and innovation programme [101057091, 101096312]; European Research Council ERC [101114631]; Breast cancer Research Foundation [BCRF-25-225]; National Institute for Health and Care Research NIHR (Leeds Biomedical Research Centre) [NIHR203331]; European Union; German Federal Ministry of Education and Research [01KD2215A]; European Union's Horizon Europe and innovation programme [101057091]; Interdisciplinary Centre for Clinical Research within the faculty of Medicine at the RWTH Aachen University [PTD 1-13/IA 532313]; Junior Principal Investigator Fellowship programme of RWTH Aachen Excellence strategy; NRW Rueckkehr Programme of the Ministry of Culture and Science of the German State of North Rhine-Westphalia; Deutsche Forschungsgesellschaft (DFG) [403224013, SFB 1382]; German Federal Ministry of Research, Technology and Space [01KD2215C, 01KD2420E]; German Cancer Aid [70115166, 70115995]; German Research Foundation [504101714]; German Federal Ministry of Research, Technology and Space (BMFTR) [16KISA100K]; European Union-Next GenerationEU; German Federal Ministry of Research, Technology and Space (BMFTR) as part of the Zukunftscluster SEMECO [03ZU1210BA]; European Commission [101094218]; Light Collective through funding from the Gordon &amp; Betty Moore Foundation (GBMF); German Cancer Research Center (CoBot 2.0); Joachim Herz Foundation (Add-On Fellowship for Interdisciplinary Life Science); Central Indiana Corporate Partnership AnalytiXIN Initiative; Evan and Sue Ann Werling Pancreatic Cancer Research Fund; Indiana Clinical and Translational Sciences Institute [EPAR4157]; National Institutes of Health, National Center for Advancing Translational Sciences, Clinical and Translational Sciences Award [UM1TR004402]</t>
  </si>
  <si>
    <t>Mildred-Scheel-Postdoktorandenprogramm of the German Cancer Aid; DZG-overarching translational research project grant; German Cancer Aid DKH; German Federal Ministry of Research, Technology and Space BMFTR; German Research Foundation DFG (German Research Foundation (DFG)); German Academic Exchange Service DAAD; German Federal Joint Committee G-BA; European Union EU's Horizon Europe research and innovation programme; European Research Council ERC; Breast cancer Research Foundation (Breast Cancer Research Foundation); National Institute for Health and Care Research NIHR (Leeds Biomedical Research Centre); European Union (European Union (EU)); German Federal Ministry of Education and Research; European Union's Horizon Europe and innovation programme; Interdisciplinary Centre for Clinical Research within the faculty of Medicine at the RWTH Aachen University; Junior Principal Investigator Fellowship programme of RWTH Aachen Excellence strategy; NRW Rueckkehr Programme of the Ministry of Culture and Science of the German State of North Rhine-Westphalia; Deutsche Forschungsgesellschaft (DFG) (German Research Foundation (DFG)); German Federal Ministry of Research, Technology and Space; German Cancer Aid; German Research Foundation (German Research Foundation (DFG)); German Federal Ministry of Research, Technology and Space (BMFTR); European Union-Next GenerationEU; German Federal Ministry of Research, Technology and Space (BMFTR) as part of the Zukunftscluster SEMECO; European Commission; Light Collective through funding from the Gordon &amp; Betty Moore Foundation (GBMF); German Cancer Research Center (CoBot 2.0); Joachim Herz Foundation (Add-On Fellowship for Interdisciplinary Life Science); Central Indiana Corporate Partnership AnalytiXIN Initiative; Evan and Sue Ann Werling Pancreatic Cancer Research Fund; Indiana Clinical and Translational Sciences Institute; National Institutes of Health, National Center for Advancing Translational Sciences, Clinical and Translational Sciences Award</t>
  </si>
  <si>
    <t>J.C. is supported by the Mildred-Scheel-Postdoktorandenprogramm of the German Cancer Aid (grant 70115730) and has received a DZG-overarching translational research project grant. J.N.K. is supported by the German Cancer Aid DKH (DECADE, 70115166), the German Federal Ministry of Research, Technology and Space BMFTR (PEARL, 01KD2104C; CAMINO, 01EO2101; TRANSFORM LIVER, 031L0312A; TANGERINE, 01KT2302 through ERA-NET Transcan; Come2Data, 16DKZ2044A; DEEP-HCC, 031L0315A; DECIPHER-M, 01KD2420A; NextBIG, 01ZU2402A), the German Research Foundation DFG (TRR 412/1, 535081457; SFB 1709/1 2025, 533056198), the German Academic Exchange Service DAAD (SECAI, 57616814), the German Federal Joint Committee G-BA (TransplantKI, 01VSF21048), the European Union EU's Horizon Europe research and innovation programme (ODELIA, 101057091; GENIAL, 101096312), the European Research Council ERC (NADIR, 101114631), the Breast cancer Research Foundation (BELLADONNA, BCRF-25-225) and the National Institute for Health and Care Research NIHR (Leeds Biomedical Research Centre, NIHR203331). The views expressed are those of the author(s) and not necessarily those of the NHS, the NIHR or the Department of Health and Social Care. This work was funded by the European Union. Views and opinions expressed are, however, those of the author(s) only and do not necessarily reflect those of the European Union. Neither the European Union nor the granting authority can be held responsible for them. D.T. is supported by the German Federal Ministry of Education and Research (SWAG, 01KD2215A; TRANSFORM LIVER), the European Union's Horizon Europe and innovation programme (ODELIA, 101057091). C.V.S. is supported by a grant from the Interdisciplinary Centre for Clinical Research within the faculty of Medicine at the RWTH Aachen University (PTD 1-13/IA 532313), the Junior Principal Investigator Fellowship programme of RWTH Aachen Excellence strategy and the NRW Rueckkehr Programme of the Ministry of Culture and Science of the German State of North Rhine-Westphalia, by the CRC 1382 project A11 and B09 funded by Deutsche Forschungsgesellschaft (DFG) project ID 403224013, SFB 1382. S.F. is supported by the German Federal Ministry of Research, Technology and Space (SWAG, 01KD2215C and DECIPHER-M, 01KD2420E), the German Cancer Aid (DECADE, 70115166 and TargHet, 70115995), and the German Research Foundation (504101714). S.G. was supported by the German Federal Ministry of Research, Technology and Space (BMFTR) under grant number 16KISA100K "PATH-Personal Mastery of Health and Wellness Data" and by the European Union-Next GenerationEU. S.G., O.F. and M.O. were supported by the German Federal Ministry of Research, Technology and Space (BMFTR) as part of the Zukunftscluster SEMECO (03ZU1210BA) and by the European Commission under the Horizon Europe programme as part of the Enhanced cybersecurity for networked medical devices through optimization of guidelines, standards, risk management and security by design (CYMEDSEC) project (grant 101094218). The views and opinions expressed are those of the authors only and do not necessarily reflect those of the European Union. Neither the European Union nor the granting authorities can be held responsible for them. Responsibility for the information and views expressed herein lies entirely with the authors. A.D. was supported by The Light Collective, a USA-based nonprofit advocating for patient privacy and digital rights in healthcare, through funding from the Gordon &amp; Betty Moore Foundation (GBMF) and small public donations. The views and opinions expressed are those of the authors only and do not necessarily reflect those of The Light Collective. Neither GBMF nor the granting authorities can be held responsible for them. Responsibility for the information and views expressed herein lies entirely with the authors. F.R.K. receives support from the German Cancer Research Center (CoBot 2.0), the Joachim Herz Foundation (Add-On Fellowship for Interdisciplinary Life Science), the Central Indiana Corporate Partnership AnalytiXIN Initiative, the Evan and Sue Ann Werling Pancreatic Cancer Research Fund, and the Indiana Clinical and Translational Sciences Institute (EPAR4157) funded, in part, by grant UM1TR004402 from the National Institutes of Health, National Center for Advancing Translational Sciences, Clinical and Translational Sciences Award. The content is solely the responsibility of the authors and does not necessarily represent the official views of the National Institutes of Health.</t>
  </si>
  <si>
    <t>[Clusmann, Jan; Freyer, Oscar; Ostermann, Max; Ferber, Dyke; Ghaffari Laleh, Narmin; Hilgers, Lars; Schneider, Carolin V.; Wekenborg, Magdalena Katharina; Gilbert, Stephen; Wiest, Isabella C.; Kather, Jakob Nikolas] TUD Dresden Univ Technol, Fac Med, Else Kroener Fresenius Ctr Digital Hlth, Dresden, Germany; [Clusmann, Jan; Freyer, Oscar; Ostermann, Max; Ferber, Dyke; Ghaffari Laleh, Narmin; Hilgers, Lars; Schneider, Carolin V.; Wekenborg, Magdalena Katharina; Gilbert, Stephen; Wiest, Isabella C.; Kather, Jakob Nikolas] TUD Dresden Univ Technol, Univ Hosp Carl Gustav Carus, Dresden, Germany; [Clusmann, Jan; Hilgers, Lars; Kather, Jakob Nikolas] TUD Dresden Univ Technol, Fac Med, Dept Med 1, Dresden, Germany; [Clusmann, Jan; Schneider, Carolin V.] Univ Hosp RWTH Aachen, Dept Med 3, Aachen, Germany; [Clusmann, Jan; Wiest, Isabella C.] German Canc Consortium DKTK, Partner Site Dresden &amp; German Canc Res Ctr DKFZ, Heidelberg, Germany; [Ferber, Dyke; Ghaffari Laleh, Narmin; Kather, Jakob Nikolas] Heidelberg Univ Hosp, Natl Ctr Tumor Dis NCT, Dept Med Oncol, Heidelberg, Germany; [Kolbinger, Fiona R.] Purdue Univ, Weldon Sch Biomed Engn, W Lafayette, IN USA; [Kolbinger, Fiona R.] TUD Dresden Univ Technol, Univ Hosp, Dept Visceral Thorac &amp; Vasc Surg, Dresden, Germany; [Kolbinger, Fiona R.] TUD Dresden Univ Technol, Fac Med Carl Gustav Carus, Dresden, Germany; [Schneider, Carolin V.] Univ Penn, Inst Translat Med &amp; Therapeut, Perelman Sch Med, Philadelphia, PA USA; [Downing, Andrea] Light Collect, Eugene, OR USA; [Gilbert, Stephen] TUD Dresden Univ Technol, Fac Business &amp; Econ, Dresden, Germany; [Foersch, Sebastian] Univ Med Ctr Mainz, Inst Pathol, Mainz, Germany; [Truhn, Daniel] Univ Hosp RWTH Aachen, Dept Diagnost &amp; Intervent Radiol, Aachen, Germany; [Wiest, Isabella C.] Heidelberg Univ, Med Fac Mannheim, Dept Med 2, Mannheim, Germany</t>
  </si>
  <si>
    <t>Technische Universitat Dresden; Technische Universitat Dresden; Carl Gustav Carus University Hospital; Technische Universitat Dresden; RWTH Aachen University; RWTH Aachen University Hospital; Helmholtz Association; German Cancer Research Center (DKFZ); Ruprecht Karls University Heidelberg; Helmholtz Association; National Center for Tumor Diseases; German Cancer Research Center (DKFZ); Purdue University System; Purdue University; Technische Universitat Dresden; Carl Gustav Carus University Hospital; Technische Universitat Dresden; University of Pennsylvania; Pennsylvania Medicine; Johannes Gutenberg University of Mainz; RWTH Aachen University; RWTH Aachen University Hospital; Ruprecht Karls University Heidelberg</t>
  </si>
  <si>
    <t>Safety and security of large language models in healthcare</t>
  </si>
  <si>
    <t>NATURE</t>
  </si>
  <si>
    <t>AI; FRAMEWORK; LLMS</t>
  </si>
  <si>
    <t>190</t>
  </si>
  <si>
    <t>NATURE PORTFOLIO</t>
  </si>
  <si>
    <t>BERLIN</t>
  </si>
  <si>
    <t>HEIDELBERGER PLATZ 3, BERLIN, 14197, GERMANY</t>
  </si>
  <si>
    <t>0028-0836</t>
  </si>
  <si>
    <t>1476-4687</t>
  </si>
  <si>
    <t>Nature</t>
  </si>
  <si>
    <t>8128</t>
  </si>
  <si>
    <t>589</t>
  </si>
  <si>
    <t>10.1038/s41586-026-10687-1</t>
  </si>
  <si>
    <t>http://dx.doi.org/10.1038/s41586-026-10687-1</t>
  </si>
  <si>
    <t>MY7MS</t>
  </si>
  <si>
    <t>42618758</t>
  </si>
  <si>
    <t>WOS:001854072500034</t>
  </si>
  <si>
    <t>Foula, MS; Bamalan, OA; Foula, A; Eldamati, AM; Alratrout, HA; AlQatari, AA; Alsaleem, HA; Aldabaeab, AE; Foula, H; Zakaria, HM; Alarfaj, MA; Sharroufna, MJ; Nwesar, FA</t>
  </si>
  <si>
    <t>Background Artificial intelligence (AI) uses in the field of bariatric and metabolic surgery (BMS) have evolved over the past few years. However, published evidence remains limited. AI generally refers to computer systems capable of performing tasks that require human intelligence and cognitive functions.Objective This systematic review aims to evaluate the utility of AI tools in BMS and summarize current applications to establish a common language for bariatric surgeons.Methods A systematic review was conducted according to the Preferred Reporting Items for Systematic Reviews and Meta-Analyses (PRISMA) and Cochrane Handbook for Systematic Reviews of Interventions guidelines. Studies indexed in PubMed, Cochrane, and Web of Science databases were identified using appropriate keywords related to obesity, bariatric procedures, and AI tools from inception until October 2025. Relevant studies' reference lists were also screened. The quality of included studies was assessed using the Joanna Briggs Institute critical appraisal tools.Results The literature search identified 840 studies, with an additional 25 studies identified through citation screening. After removing duplicates and screening, 88 studies were included, categorized into preoperative, intraoperative, and postoperative AI uses as well as large language models uses. Quality assessment showed overall moderate to high quality.Conclusion AI uses in BMS remains a supportive rather than a decisive tool. When applied appropriately, AI can assist surgeons and patients. LLMs should be used cautiously for preliminary health education. Societal initiatives should direct future efforts to address research gaps. Improving surgeon AI literacy, collaboration with AI specialists, and establishing national registries will maximize AI's potential.</t>
  </si>
  <si>
    <t>Foula, Mohammed S.; Bamalan, Omar A.; Foula, Ahmed; Eldamati, Ahmed M.; Alratrout, Hefzi A.; AlQatari, Abdullah A.; Alsaleem, Hassan A.; Aldabaeab, Abdulaziz E.; Foula, Hassan; Zakaria, Hazem M.; Alarfaj, Mosab A.; Sharroufna, Mohammed J.; Nwesar, Fayrouz A.</t>
  </si>
  <si>
    <t>Foula, MS (corresponding author), Imam Abdulrahman Bin Faisal Univ, Dept Surg, Dammam, Saudi Arabia.</t>
  </si>
  <si>
    <t>mjsharroufna@iau.edu.sa; hasaleem@iau.edu.sa; dr.ahmed.foula@gmail.com; dr.hassan.foula@gmail.com; hratrout@iau.edu.sa; aaqatari@iau.edu.sa; adabaeab@iau.edu.sa; hmmahmood@iau.edu.sa; marfaj@iau.edu.sa; mohamed.foula@gmail.com; obamalan@moi.med.sa; ahmedeldamati@gmail.com; drfayrouznwesar@yahoo.com</t>
  </si>
  <si>
    <t>[Foula, Mohammed S.; Alratrout, Hefzi A.; AlQatari, Abdullah A.; Alsaleem, Hassan A.; Aldabaeab, Abdulaziz E.; Zakaria, Hazem M.; Alarfaj, Mosab A.; Sharroufna, Mohammed J.] Imam Abdulrahman Bin Faisal Univ, Dept Surg, Dammam, Saudi Arabia; [Bamalan, Omar A.] Secur Forces Hosp, Gen Surg Dept, Dammam, Saudi Arabia; [Foula, Ahmed] King Fahad Specialist Hosp Dammam, Dept Anesthesia &amp; Perioperat Med, Dammam, Saudi Arabia; [Eldamati, Ahmed M.] Alexandria Univ, Fac Med, Dept Surg, Alexandria, Egypt; [Foula, Hassan] Alqabbary Specialist Hosp, Dept Nephrol, Alexandria, Egypt; [Nwesar, Fayrouz A.] Mouwasat Hosp, Dept Obstet &amp; Gynecol, Dammam, Saudi Arabia</t>
  </si>
  <si>
    <t>Imam Abdulrahman Bin Faisal University; Security Forces Hospital - Saudi Arabia; Egyptian Knowledge Bank (EKB); Alexandria University</t>
  </si>
  <si>
    <t>The Evolution of Bariatric and Metabolic Surgery in the Artificial Intelligence Era: A Comprehensive Systematic Review of Current Applications and Clinical Implications</t>
  </si>
  <si>
    <t>OBESITY SURGERY</t>
  </si>
  <si>
    <t>Bariatric surgery; Obesity; Artificial intelligence; Machine learning; Deep learning; Generative AI; Gastric bypass</t>
  </si>
  <si>
    <t>COMPLICATIONS; PREDICTION; REDUCTION; ALGORITHM; RISK</t>
  </si>
  <si>
    <t>0960-8923</t>
  </si>
  <si>
    <t>1708-0428</t>
  </si>
  <si>
    <t>OBES SURG</t>
  </si>
  <si>
    <t>Obes. Surg.</t>
  </si>
  <si>
    <t>10.1007/s11695-026-08908-7</t>
  </si>
  <si>
    <t>http://dx.doi.org/10.1007/s11695-026-08908-7</t>
  </si>
  <si>
    <t>MY9FU</t>
  </si>
  <si>
    <t>42622983</t>
  </si>
  <si>
    <t>WOS:001854189700001</t>
  </si>
  <si>
    <t>El Majzoub, R; Wehbe, R; El Said, H; Fneish, A; Nasrallah, A; Rachidi, W; Fayyad-Kazan, H; Badran, B; Fayyad-Kazan, M</t>
  </si>
  <si>
    <t>Micropeptides are emerging as a previously hidden layer of the human proteome, redefining the long-standing separation between coding and noncoding genomic regions. Once dismissed as translational noise, sORFs embedded within lncRNAs, circRNAs, pseudogenes, and UTRs are now recognized as a reservoir of functional peptides that regulate core cellular programs, including metabolism, mitochondrial function, immune signaling, and stress adaptation. In cancer, micropeptides exert dual and context-dependent roles: oncogenic micropeptides such as SMIM30, circPDHK1-241aa, and PDL1P41 promote proliferation, angiogenesis, immune escape, and therapeutic resistance, whereas tumor-suppressive peptides, including HOXB-AS3, CIP2A-BP, SPAR, and ASRPS, restore metabolic homeostasis, reactivate the PP2A axis, inhibit mTORC1, and block tumor vascularization. Their small size, modular structure, and tissue specificity make them ideal biomarkers for liquid biopsies and attractive substrates for peptide-based and mRNA-encoded therapeutics. Emerging frameworks integrating single-cell proteogenomics, Ribo-seq, mass spectrometry, and deep-learning-based structural inference are accelerating micropeptide discovery and annotation. Synthetic biology now enables the rational design of micropeptide-based therapeutic constructs, including tumor-specific mRNA-encoded peptides, CRISPR-activated peptide circuits, and targeted peptide chimeras. Collectively, micropeptides represent a transformative paradigm, bridging genomics and proteomics, and establishing the hidden proteome as a new frontier in precision oncology, immunotherapy development, and programmable cancer therapeutics.</t>
  </si>
  <si>
    <t>El Majzoub, Rania; Wehbe, Racha; El Said, Hassan; Fneish, Amal; Nasrallah, Ali; Rachidi, Walid; Fayyad-Kazan, Hussein; Badran, Bassam; Fayyad-Kazan, Mohammad</t>
  </si>
  <si>
    <t>Fayyad-Kazan, M (corresponding author), Amer Univ Iraq Baghdad, Sch Arts &amp; Sci, Dept Nat &amp; Appl Sci, Baghdad, Iraq.</t>
  </si>
  <si>
    <t>mfayyadk@gmail.com</t>
  </si>
  <si>
    <t>[El Majzoub, Rania] Lebanese Int Univ, Sch Pharm, Dept Biomed Sci, Beirut, Lebanon; [Wehbe, Racha; Fneish, Amal; Fayyad-Kazan, Hussein; Badran, Bassam] Lebanese Univ, Fac Sci I, Lab Canc Biol &amp; Mol Immunol, Beirut, Lebanon; [El Said, Hassan] Lebanese Int Univ Beirut LIU, Sch Arts &amp; Sci, Dept Biol &amp; Chem Sci, Beirut 14640, Lebanon; [Nasrallah, Ali] Univ Grenoble Alpes, CEA, Inserm, IRIG BGE UA13, F-38000 Grenoble, France; [Nasrallah, Ali; Rachidi, Walid] Univ Bordeaux, INSERM, UMR 1312, BRIC, F-33076 Bordeaux, France; [Fayyad-Kazan, Mohammad] Amer Univ Iraq Baghdad, Sch Arts &amp; Sci, Dept Nat &amp; Appl Sci, Baghdad, Iraq</t>
  </si>
  <si>
    <t>Lebanese University; CEA; Communaute Universite Grenoble Alpes; Universite Grenoble Alpes (UGA); Institut National de la Sante et de la Recherche Medicale (Inserm); Universite de Bordeaux; Institut National de la Sante et de la Recherche Medicale (Inserm); American University of Iraq Sulaimani</t>
  </si>
  <si>
    <t>Micropeptides in Cancer and Immunity: Diagnostic, Therapeutic, and Synthetic Biology Frontiers</t>
  </si>
  <si>
    <t>GENE</t>
  </si>
  <si>
    <t>Micropeptides; small open reading frames (sORFs); long noncoding RNAs (lncRNAs); circular RNAs (circRNAs); immunoregulation; precision medicine</t>
  </si>
  <si>
    <t>SMALL ORFS; ENCODED PEPTIDES; NONCODING RNAS; TRANSLATION; DISCOVERY; GENES; IDENTIFICATION; MICROPROTEIN; REPOSITORY; HALLMARKS</t>
  </si>
  <si>
    <t>Elsaid, Hassan/HNJ-3847-2023; Rachidi, Walid/U-6423-2019; Fayyad-Kazan, Mohammad/ADL-3327-2022</t>
  </si>
  <si>
    <t>111</t>
  </si>
  <si>
    <t>0378-1119</t>
  </si>
  <si>
    <t>1879-0038</t>
  </si>
  <si>
    <t>Gene</t>
  </si>
  <si>
    <t>1002</t>
  </si>
  <si>
    <t>150217</t>
  </si>
  <si>
    <t>10.1016/j.gene.2026.150217</t>
  </si>
  <si>
    <t>http://dx.doi.org/10.1016/j.gene.2026.150217</t>
  </si>
  <si>
    <t>IQ8BB</t>
  </si>
  <si>
    <t>42140456</t>
  </si>
  <si>
    <t>WOS:001778120100001</t>
  </si>
  <si>
    <t>Goverdhan, PV; Murthugudde, G</t>
  </si>
  <si>
    <t>Recently, one of the most powerful areas in computer science is Artificial Intelligence (AI). AI can transform the practice of medicine and the delivery of Healthcare (HC) organizations. Machine Learning (ML) and Deep Learning (DL) are subsets of AI that employ approaches for learning patterns from data. These ML and DL algorithms focus on analyzing and interpreting patterns to solve numerous challenges, like disease predictions, drug discovery, and so on, in intelligent HC applications. In intelligent HC, ML and DL algorithms mainly predict outcomes more accurately and help to solve efficient and robust diagnostics challenges. Here, Predictive Analytics (PA) is explored to overcome the challenges in HC, showing the importance of ML and DL. PA risk assessment plays a crucial role in appraising an individual's risk of developing certain diseases. The risk assessment makes significant contributions to ML and PA for enhancing the ability to enable early detection and diagnosis of diseases. Therefore, ML, DL, and PA can reveal complex patterns and identify intelligent indicators that are complex for human clinicians. Thus, this review explains the Healthcare Services (HCS), the role of ML and DL in improving HCS, the role of PA, and HCSs' performance with ML and DL in optimizing HCSs.</t>
  </si>
  <si>
    <t>Goverdhan, P. V.; Murthugudde, Gururaj</t>
  </si>
  <si>
    <t>Goverdhan, PV (corresponding author), REVA Univ, Sch Comp Sci &amp; Engn, Rukmini Knowledge Pk, Bengaluru 560064, Karnataka, India.</t>
  </si>
  <si>
    <t>gururaj.murtugudde@reva.edu.in; goverdhanpv@gmail.com</t>
  </si>
  <si>
    <t>[Goverdhan, P. V.; Murthugudde, Gururaj] REVA Univ, Sch Comp Sci &amp; Engn, Rukmini Knowledge Pk, Bengaluru 560064, Karnataka, India</t>
  </si>
  <si>
    <t>REVA University</t>
  </si>
  <si>
    <t>The role of machine learning and predictive analysis in enhancing healthcare services</t>
  </si>
  <si>
    <t>INTERNATIONAL JOURNAL OF SYSTEM ASSURANCE ENGINEERING AND MANAGEMENT</t>
  </si>
  <si>
    <t>Machine learning; Deep learning; Healthcare; Artificial intelligence; Predictive analysis; Healthcare services</t>
  </si>
  <si>
    <t>66</t>
  </si>
  <si>
    <t>SPRINGER INDIA</t>
  </si>
  <si>
    <t>7TH FLOOR, VIJAYA BUILDING, 17, BARAKHAMBA ROAD, NEW DELHI, 110 001, INDIA</t>
  </si>
  <si>
    <t>0975-6809</t>
  </si>
  <si>
    <t>0976-4348</t>
  </si>
  <si>
    <t>INT J SYST ASSUR ENG</t>
  </si>
  <si>
    <t>Int. J. Syst. Assur. Eng. Manag.</t>
  </si>
  <si>
    <t>10.1007/s13198-026-03379-6</t>
  </si>
  <si>
    <t>http://dx.doi.org/10.1007/s13198-026-03379-6</t>
  </si>
  <si>
    <t>MX2HB</t>
  </si>
  <si>
    <t>WOS:001853036600001</t>
  </si>
</sst>
</file>

<file path=xl/styles.xml><?xml version="1.0" encoding="utf-8"?>
<styleSheet xmlns="http://schemas.openxmlformats.org/spreadsheetml/2006/main">
  <numFmts count="0"/>
  <fonts count="401">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401">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080%2F01902148.2026.2712149" TargetMode="External" Type="http://schemas.openxmlformats.org/officeDocument/2006/relationships/hyperlink"/><Relationship Id="rId10" Target="https%3A%2F%2Fwww.webofscience.com%2Fwos%2Fwoscc%2Ffull-record%2FWOS%3A001841353500001" TargetMode="External" Type="http://schemas.openxmlformats.org/officeDocument/2006/relationships/hyperlink"/><Relationship Id="rId100" Target="https%3A%2F%2Fwww.webofscience.com%2Fwos%2Fwoscc%2Ffull-record%2FWOS%3A001841006600001" TargetMode="External" Type="http://schemas.openxmlformats.org/officeDocument/2006/relationships/hyperlink"/><Relationship Id="rId101" Target="http%3A%2F%2Fdx.doi.org%2F10.1016%2Fj.ccr.2026.218336" TargetMode="External" Type="http://schemas.openxmlformats.org/officeDocument/2006/relationships/hyperlink"/><Relationship Id="rId102" Target="https%3A%2F%2Fwww.webofscience.com%2Fwos%2Fwoscc%2Ffull-record%2FWOS%3A001835658400001" TargetMode="External" Type="http://schemas.openxmlformats.org/officeDocument/2006/relationships/hyperlink"/><Relationship Id="rId103" Target="http%3A%2F%2Fdx.doi.org%2F10.1016%2Fj.neucom.2026.134613" TargetMode="External" Type="http://schemas.openxmlformats.org/officeDocument/2006/relationships/hyperlink"/><Relationship Id="rId104" Target="https%3A%2F%2Fwww.webofscience.com%2Fwos%2Fwoscc%2Ffull-record%2FWOS%3A001839908900001" TargetMode="External" Type="http://schemas.openxmlformats.org/officeDocument/2006/relationships/hyperlink"/><Relationship Id="rId105" Target="http%3A%2F%2Fdx.doi.org%2F10.1016%2Fj.forsciint.2026.113110" TargetMode="External" Type="http://schemas.openxmlformats.org/officeDocument/2006/relationships/hyperlink"/><Relationship Id="rId106" Target="https%3A%2F%2Fwww.webofscience.com%2Fwos%2Fwoscc%2Ffull-record%2FWOS%3A001854091300001" TargetMode="External" Type="http://schemas.openxmlformats.org/officeDocument/2006/relationships/hyperlink"/><Relationship Id="rId107" Target="http%3A%2F%2Fdx.doi.org%2F10.1016%2Fj.jcms.2026.109855" TargetMode="External" Type="http://schemas.openxmlformats.org/officeDocument/2006/relationships/hyperlink"/><Relationship Id="rId108" Target="https%3A%2F%2Fwww.webofscience.com%2Fwos%2Fwoscc%2Ffull-record%2FWOS%3A001852072600001" TargetMode="External" Type="http://schemas.openxmlformats.org/officeDocument/2006/relationships/hyperlink"/><Relationship Id="rId109" Target="http%3A%2F%2Fdx.doi.org%2F10.1016%2Fj.trac.2026.119086" TargetMode="External" Type="http://schemas.openxmlformats.org/officeDocument/2006/relationships/hyperlink"/><Relationship Id="rId11" Target="http%3A%2F%2Fdx.doi.org%2F10.1080%2F07853890.2026.2659984" TargetMode="External" Type="http://schemas.openxmlformats.org/officeDocument/2006/relationships/hyperlink"/><Relationship Id="rId110" Target="https%3A%2F%2Fwww.webofscience.com%2Fwos%2Fwoscc%2Ffull-record%2FWOS%3A001851812900001" TargetMode="External" Type="http://schemas.openxmlformats.org/officeDocument/2006/relationships/hyperlink"/><Relationship Id="rId111" Target="http%3A%2F%2Fdx.doi.org%2F10.1016%2Fj.artmed.2026.103501" TargetMode="External" Type="http://schemas.openxmlformats.org/officeDocument/2006/relationships/hyperlink"/><Relationship Id="rId112" Target="https%3A%2F%2Fwww.webofscience.com%2Fwos%2Fwoscc%2Ffull-record%2FWOS%3A001850063200001" TargetMode="External" Type="http://schemas.openxmlformats.org/officeDocument/2006/relationships/hyperlink"/><Relationship Id="rId113" Target="http%3A%2F%2Fdx.doi.org%2F10.1016%2Fj.biotechadv.2026.109002" TargetMode="External" Type="http://schemas.openxmlformats.org/officeDocument/2006/relationships/hyperlink"/><Relationship Id="rId114" Target="https%3A%2F%2Fwww.webofscience.com%2Fwos%2Fwoscc%2Ffull-record%2FWOS%3A001850922400001" TargetMode="External" Type="http://schemas.openxmlformats.org/officeDocument/2006/relationships/hyperlink"/><Relationship Id="rId115" Target="http%3A%2F%2Fdx.doi.org%2F10.1016%2Fj.trac.2026.119054" TargetMode="External" Type="http://schemas.openxmlformats.org/officeDocument/2006/relationships/hyperlink"/><Relationship Id="rId116" Target="https%3A%2F%2Fwww.webofscience.com%2Fwos%2Fwoscc%2Ffull-record%2FWOS%3A001851249200001" TargetMode="External" Type="http://schemas.openxmlformats.org/officeDocument/2006/relationships/hyperlink"/><Relationship Id="rId117" Target="http%3A%2F%2Fdx.doi.org%2F10.1016%2Fj.trac.2026.119075" TargetMode="External" Type="http://schemas.openxmlformats.org/officeDocument/2006/relationships/hyperlink"/><Relationship Id="rId118" Target="https%3A%2F%2Fwww.webofscience.com%2Fwos%2Fwoscc%2Ffull-record%2FWOS%3A001849972300002" TargetMode="External" Type="http://schemas.openxmlformats.org/officeDocument/2006/relationships/hyperlink"/><Relationship Id="rId119" Target="http%3A%2F%2Fdx.doi.org%2F10.1016%2Fj.cptl.2026.102752" TargetMode="External" Type="http://schemas.openxmlformats.org/officeDocument/2006/relationships/hyperlink"/><Relationship Id="rId12" Target="https%3A%2F%2Fwww.webofscience.com%2Fwos%2Fwoscc%2Ffull-record%2FWOS%3A001840061100001" TargetMode="External" Type="http://schemas.openxmlformats.org/officeDocument/2006/relationships/hyperlink"/><Relationship Id="rId120" Target="https%3A%2F%2Fwww.webofscience.com%2Fwos%2Fwoscc%2Ffull-record%2FWOS%3A001847199600001" TargetMode="External" Type="http://schemas.openxmlformats.org/officeDocument/2006/relationships/hyperlink"/><Relationship Id="rId121" Target="http%3A%2F%2Fdx.doi.org%2F10.1016%2Fj.trac.2026.119061" TargetMode="External" Type="http://schemas.openxmlformats.org/officeDocument/2006/relationships/hyperlink"/><Relationship Id="rId122" Target="https%3A%2F%2Fwww.webofscience.com%2Fwos%2Fwoscc%2Ffull-record%2FWOS%3A001846595000001" TargetMode="External" Type="http://schemas.openxmlformats.org/officeDocument/2006/relationships/hyperlink"/><Relationship Id="rId123" Target="http%3A%2F%2Fdx.doi.org%2F10.1016%2Fj.bspc.2026.111207" TargetMode="External" Type="http://schemas.openxmlformats.org/officeDocument/2006/relationships/hyperlink"/><Relationship Id="rId124" Target="https%3A%2F%2Fwww.webofscience.com%2Fwos%2Fwoscc%2Ffull-record%2FWOS%3A001844928100001" TargetMode="External" Type="http://schemas.openxmlformats.org/officeDocument/2006/relationships/hyperlink"/><Relationship Id="rId125" Target="http%3A%2F%2Fdx.doi.org%2F10.1016%2Fj.ijmedinf.2026.106648" TargetMode="External" Type="http://schemas.openxmlformats.org/officeDocument/2006/relationships/hyperlink"/><Relationship Id="rId126" Target="https%3A%2F%2Fwww.webofscience.com%2Fwos%2Fwoscc%2Ffull-record%2FWOS%3A001844517800001" TargetMode="External" Type="http://schemas.openxmlformats.org/officeDocument/2006/relationships/hyperlink"/><Relationship Id="rId127" Target="http%3A%2F%2Fdx.doi.org%2F10.1016%2Fj.ijmedinf.2026.106638" TargetMode="External" Type="http://schemas.openxmlformats.org/officeDocument/2006/relationships/hyperlink"/><Relationship Id="rId128" Target="https%3A%2F%2Fwww.webofscience.com%2Fwos%2Fwoscc%2Ffull-record%2FWOS%3A001845599400001" TargetMode="External" Type="http://schemas.openxmlformats.org/officeDocument/2006/relationships/hyperlink"/><Relationship Id="rId129" Target="http%3A%2F%2Fdx.doi.org%2F10.1016%2Fj.trac.2026.119060" TargetMode="External" Type="http://schemas.openxmlformats.org/officeDocument/2006/relationships/hyperlink"/><Relationship Id="rId13" Target="http%3A%2F%2Fdx.doi.org%2F10.1080%2F08839514.2026.2690801" TargetMode="External" Type="http://schemas.openxmlformats.org/officeDocument/2006/relationships/hyperlink"/><Relationship Id="rId130" Target="https%3A%2F%2Fwww.webofscience.com%2Fwos%2Fwoscc%2Ffull-record%2FWOS%3A001843447000001" TargetMode="External" Type="http://schemas.openxmlformats.org/officeDocument/2006/relationships/hyperlink"/><Relationship Id="rId131" Target="http%3A%2F%2Fdx.doi.org%2F10.1016%2Fj.trac.2026.119040" TargetMode="External" Type="http://schemas.openxmlformats.org/officeDocument/2006/relationships/hyperlink"/><Relationship Id="rId132" Target="https%3A%2F%2Fwww.webofscience.com%2Fwos%2Fwoscc%2Ffull-record%2FWOS%3A001840531800001" TargetMode="External" Type="http://schemas.openxmlformats.org/officeDocument/2006/relationships/hyperlink"/><Relationship Id="rId133" Target="http%3A%2F%2Fdx.doi.org%2F10.1016%2Fj.ejrad.2026.113101" TargetMode="External" Type="http://schemas.openxmlformats.org/officeDocument/2006/relationships/hyperlink"/><Relationship Id="rId134" Target="https%3A%2F%2Fwww.webofscience.com%2Fwos%2Fwoscc%2Ffull-record%2FWOS%3A001840522700001" TargetMode="External" Type="http://schemas.openxmlformats.org/officeDocument/2006/relationships/hyperlink"/><Relationship Id="rId135" Target="http%3A%2F%2Fdx.doi.org%2F10.1016%2Fj.cmpb.2026.109565" TargetMode="External" Type="http://schemas.openxmlformats.org/officeDocument/2006/relationships/hyperlink"/><Relationship Id="rId136" Target="https%3A%2F%2Fwww.webofscience.com%2Fwos%2Fwoscc%2Ffull-record%2FWOS%3A001837361800001" TargetMode="External" Type="http://schemas.openxmlformats.org/officeDocument/2006/relationships/hyperlink"/><Relationship Id="rId137" Target="http%3A%2F%2Fdx.doi.org%2F10.1016%2Fj.ejrad.2026.113114" TargetMode="External" Type="http://schemas.openxmlformats.org/officeDocument/2006/relationships/hyperlink"/><Relationship Id="rId138" Target="https%3A%2F%2Fwww.webofscience.com%2Fwos%2Fwoscc%2Ffull-record%2FWOS%3A001838176800001" TargetMode="External" Type="http://schemas.openxmlformats.org/officeDocument/2006/relationships/hyperlink"/><Relationship Id="rId139" Target="http%3A%2F%2Fdx.doi.org%2F10.1016%2Fj.artmed.2026.103495" TargetMode="External" Type="http://schemas.openxmlformats.org/officeDocument/2006/relationships/hyperlink"/><Relationship Id="rId14" Target="https%3A%2F%2Fwww.webofscience.com%2Fwos%2Fwoscc%2Ffull-record%2FWOS%3A001823945900001" TargetMode="External" Type="http://schemas.openxmlformats.org/officeDocument/2006/relationships/hyperlink"/><Relationship Id="rId140" Target="https%3A%2F%2Fwww.webofscience.com%2Fwos%2Fwoscc%2Ffull-record%2FWOS%3A001834287800001" TargetMode="External" Type="http://schemas.openxmlformats.org/officeDocument/2006/relationships/hyperlink"/><Relationship Id="rId141" Target="http%3A%2F%2Fdx.doi.org%2F10.1016%2Fj.ijmedinf.2026.106630" TargetMode="External" Type="http://schemas.openxmlformats.org/officeDocument/2006/relationships/hyperlink"/><Relationship Id="rId142" Target="https%3A%2F%2Fwww.webofscience.com%2Fwos%2Fwoscc%2Ffull-record%2FWOS%3A001833449200001" TargetMode="External" Type="http://schemas.openxmlformats.org/officeDocument/2006/relationships/hyperlink"/><Relationship Id="rId143" Target="http%3A%2F%2Fdx.doi.org%2F10.1016%2Fj.compeleceng.2026.111386" TargetMode="External" Type="http://schemas.openxmlformats.org/officeDocument/2006/relationships/hyperlink"/><Relationship Id="rId144" Target="https%3A%2F%2Fwww.webofscience.com%2Fwos%2Fwoscc%2Ffull-record%2FWOS%3A001834361400001" TargetMode="External" Type="http://schemas.openxmlformats.org/officeDocument/2006/relationships/hyperlink"/><Relationship Id="rId145" Target="http%3A%2F%2Fdx.doi.org%2F10.1016%2Fj.biotechadv.2026.108985" TargetMode="External" Type="http://schemas.openxmlformats.org/officeDocument/2006/relationships/hyperlink"/><Relationship Id="rId146" Target="https%3A%2F%2Fwww.webofscience.com%2Fwos%2Fwoscc%2Ffull-record%2FWOS%3A001829424800001" TargetMode="External" Type="http://schemas.openxmlformats.org/officeDocument/2006/relationships/hyperlink"/><Relationship Id="rId147" Target="http%3A%2F%2Fdx.doi.org%2F10.1016%2Fj.ijmedinf.2026.106629" TargetMode="External" Type="http://schemas.openxmlformats.org/officeDocument/2006/relationships/hyperlink"/><Relationship Id="rId148" Target="https%3A%2F%2Fwww.webofscience.com%2Fwos%2Fwoscc%2Ffull-record%2FWOS%3A001830137800001" TargetMode="External" Type="http://schemas.openxmlformats.org/officeDocument/2006/relationships/hyperlink"/><Relationship Id="rId149" Target="http%3A%2F%2Fdx.doi.org%2F10.1016%2Fj.jddst.2026.108722" TargetMode="External" Type="http://schemas.openxmlformats.org/officeDocument/2006/relationships/hyperlink"/><Relationship Id="rId15" Target="http%3A%2F%2Fdx.doi.org%2F10.1080%2F07853890.2026.2684358" TargetMode="External" Type="http://schemas.openxmlformats.org/officeDocument/2006/relationships/hyperlink"/><Relationship Id="rId150" Target="https%3A%2F%2Fwww.webofscience.com%2Fwos%2Fwoscc%2Ffull-record%2FWOS%3A001831193300001" TargetMode="External" Type="http://schemas.openxmlformats.org/officeDocument/2006/relationships/hyperlink"/><Relationship Id="rId151" Target="http%3A%2F%2Fdx.doi.org%2F10.1016%2Fj.porgcoat.2026.110455" TargetMode="External" Type="http://schemas.openxmlformats.org/officeDocument/2006/relationships/hyperlink"/><Relationship Id="rId152" Target="https%3A%2F%2Fwww.webofscience.com%2Fwos%2Fwoscc%2Ffull-record%2FWOS%3A001829394400001" TargetMode="External" Type="http://schemas.openxmlformats.org/officeDocument/2006/relationships/hyperlink"/><Relationship Id="rId153" Target="http%3A%2F%2Fdx.doi.org%2F10.1016%2Fj.ijmedinf.2026.106588" TargetMode="External" Type="http://schemas.openxmlformats.org/officeDocument/2006/relationships/hyperlink"/><Relationship Id="rId154" Target="https%3A%2F%2Fwww.webofscience.com%2Fwos%2Fwoscc%2Ffull-record%2FWOS%3A001828883200001" TargetMode="External" Type="http://schemas.openxmlformats.org/officeDocument/2006/relationships/hyperlink"/><Relationship Id="rId155" Target="http%3A%2F%2Fdx.doi.org%2F10.1016%2Fj.jocn.2026.112210" TargetMode="External" Type="http://schemas.openxmlformats.org/officeDocument/2006/relationships/hyperlink"/><Relationship Id="rId156" Target="https%3A%2F%2Fwww.webofscience.com%2Fwos%2Fwoscc%2Ffull-record%2FWOS%3A001828204900001" TargetMode="External" Type="http://schemas.openxmlformats.org/officeDocument/2006/relationships/hyperlink"/><Relationship Id="rId157" Target="http%3A%2F%2Fdx.doi.org%2F10.1016%2Fj.ijmedinf.2026.106583" TargetMode="External" Type="http://schemas.openxmlformats.org/officeDocument/2006/relationships/hyperlink"/><Relationship Id="rId158" Target="https%3A%2F%2Fwww.webofscience.com%2Fwos%2Fwoscc%2Ffull-record%2FWOS%3A001825136200001" TargetMode="External" Type="http://schemas.openxmlformats.org/officeDocument/2006/relationships/hyperlink"/><Relationship Id="rId159" Target="http%3A%2F%2Fdx.doi.org%2F10.1016%2Fj.accpm.2026.101861" TargetMode="External" Type="http://schemas.openxmlformats.org/officeDocument/2006/relationships/hyperlink"/><Relationship Id="rId16" Target="https%3A%2F%2Fwww.webofscience.com%2Fwos%2Fwoscc%2Ffull-record%2FWOS%3A001804544900001" TargetMode="External" Type="http://schemas.openxmlformats.org/officeDocument/2006/relationships/hyperlink"/><Relationship Id="rId160" Target="https%3A%2F%2Fwww.webofscience.com%2Fwos%2Fwoscc%2Ffull-record%2FWOS%3A001799643200001" TargetMode="External" Type="http://schemas.openxmlformats.org/officeDocument/2006/relationships/hyperlink"/><Relationship Id="rId161" Target="http%3A%2F%2Fdx.doi.org%2F10.1016%2Fj.jad.2026.122054" TargetMode="External" Type="http://schemas.openxmlformats.org/officeDocument/2006/relationships/hyperlink"/><Relationship Id="rId162" Target="https%3A%2F%2Fwww.webofscience.com%2Fwos%2Fwoscc%2Ffull-record%2FWOS%3A001798377000001" TargetMode="External" Type="http://schemas.openxmlformats.org/officeDocument/2006/relationships/hyperlink"/><Relationship Id="rId163" Target="http%3A%2F%2Fdx.doi.org%2F10.1016%2Fj.cosrev.2026.101005" TargetMode="External" Type="http://schemas.openxmlformats.org/officeDocument/2006/relationships/hyperlink"/><Relationship Id="rId164" Target="https%3A%2F%2Fwww.webofscience.com%2Fwos%2Fwoscc%2Ffull-record%2FWOS%3A001789087200001" TargetMode="External" Type="http://schemas.openxmlformats.org/officeDocument/2006/relationships/hyperlink"/><Relationship Id="rId165" Target="http%3A%2F%2Fdx.doi.org%2F10.1016%2Fj.pmatsci.2026.101732" TargetMode="External" Type="http://schemas.openxmlformats.org/officeDocument/2006/relationships/hyperlink"/><Relationship Id="rId166" Target="https%3A%2F%2Fwww.webofscience.com%2Fwos%2Fwoscc%2Ffull-record%2FWOS%3A001759722300001" TargetMode="External" Type="http://schemas.openxmlformats.org/officeDocument/2006/relationships/hyperlink"/><Relationship Id="rId167" Target="http%3A%2F%2Fdx.doi.org%2F10.1016%2Fj.foodres.2026.120000" TargetMode="External" Type="http://schemas.openxmlformats.org/officeDocument/2006/relationships/hyperlink"/><Relationship Id="rId168" Target="https%3A%2F%2Fwww.webofscience.com%2Fwos%2Fwoscc%2Ffull-record%2FWOS%3A001824244100001" TargetMode="External" Type="http://schemas.openxmlformats.org/officeDocument/2006/relationships/hyperlink"/><Relationship Id="rId169" Target="http%3A%2F%2Fdx.doi.org%2F10.1016%2Fj.jconrel.2026.115214" TargetMode="External" Type="http://schemas.openxmlformats.org/officeDocument/2006/relationships/hyperlink"/><Relationship Id="rId17" Target="http%3A%2F%2Fdx.doi.org%2F10.1080%2F15384047.2026.2680347" TargetMode="External" Type="http://schemas.openxmlformats.org/officeDocument/2006/relationships/hyperlink"/><Relationship Id="rId170" Target="https%3A%2F%2Fwww.webofscience.com%2Fwos%2Fwoscc%2Ffull-record%2FWOS%3A001843365900001" TargetMode="External" Type="http://schemas.openxmlformats.org/officeDocument/2006/relationships/hyperlink"/><Relationship Id="rId171" Target="http%3A%2F%2Fdx.doi.org%2F10.1016%2Fj.ajpe.2026.102060" TargetMode="External" Type="http://schemas.openxmlformats.org/officeDocument/2006/relationships/hyperlink"/><Relationship Id="rId172" Target="https%3A%2F%2Fwww.webofscience.com%2Fwos%2Fwoscc%2Ffull-record%2FWOS%3A001852286600001" TargetMode="External" Type="http://schemas.openxmlformats.org/officeDocument/2006/relationships/hyperlink"/><Relationship Id="rId173" Target="http%3A%2F%2Fdx.doi.org%2F10.1016%2Fj.coi.2026.102835" TargetMode="External" Type="http://schemas.openxmlformats.org/officeDocument/2006/relationships/hyperlink"/><Relationship Id="rId174" Target="https%3A%2F%2Fwww.webofscience.com%2Fwos%2Fwoscc%2Ffull-record%2FWOS%3A001851054500001" TargetMode="External" Type="http://schemas.openxmlformats.org/officeDocument/2006/relationships/hyperlink"/><Relationship Id="rId175" Target="http%3A%2F%2Fdx.doi.org%2F10.1016%2Fj.jss.2026.07.039" TargetMode="External" Type="http://schemas.openxmlformats.org/officeDocument/2006/relationships/hyperlink"/><Relationship Id="rId176" Target="https%3A%2F%2Fwww.webofscience.com%2Fwos%2Fwoscc%2Ffull-record%2FWOS%3A001851145700001" TargetMode="External" Type="http://schemas.openxmlformats.org/officeDocument/2006/relationships/hyperlink"/><Relationship Id="rId177" Target="http%3A%2F%2Fdx.doi.org%2F10.1016%2Fj.nxmate.2026.103081" TargetMode="External" Type="http://schemas.openxmlformats.org/officeDocument/2006/relationships/hyperlink"/><Relationship Id="rId178" Target="https%3A%2F%2Fwww.webofscience.com%2Fwos%2Fwoscc%2Ffull-record%2FWOS%3A001849627700001" TargetMode="External" Type="http://schemas.openxmlformats.org/officeDocument/2006/relationships/hyperlink"/><Relationship Id="rId179" Target="http%3A%2F%2Fdx.doi.org%2F10.1016%2Fj.nxmate.2026.103125" TargetMode="External" Type="http://schemas.openxmlformats.org/officeDocument/2006/relationships/hyperlink"/><Relationship Id="rId18" Target="https%3A%2F%2Fwww.webofscience.com%2Fwos%2Fwoscc%2Ffull-record%2FWOS%3A001796098000001" TargetMode="External" Type="http://schemas.openxmlformats.org/officeDocument/2006/relationships/hyperlink"/><Relationship Id="rId180" Target="https%3A%2F%2Fwww.webofscience.com%2Fwos%2Fwoscc%2Ffull-record%2FWOS%3A001848640000001" TargetMode="External" Type="http://schemas.openxmlformats.org/officeDocument/2006/relationships/hyperlink"/><Relationship Id="rId181" Target="http%3A%2F%2Fdx.doi.org%2F10.1016%2Fj.tranon.2026.102961" TargetMode="External" Type="http://schemas.openxmlformats.org/officeDocument/2006/relationships/hyperlink"/><Relationship Id="rId182" Target="https%3A%2F%2Fwww.webofscience.com%2Fwos%2Fwoscc%2Ffull-record%2FWOS%3A001847280400001" TargetMode="External" Type="http://schemas.openxmlformats.org/officeDocument/2006/relationships/hyperlink"/><Relationship Id="rId183" Target="http%3A%2F%2Fdx.doi.org%2F10.1016%2Fj.identj.2026.109798" TargetMode="External" Type="http://schemas.openxmlformats.org/officeDocument/2006/relationships/hyperlink"/><Relationship Id="rId184" Target="https%3A%2F%2Fwww.webofscience.com%2Fwos%2Fwoscc%2Ffull-record%2FWOS%3A001844135000002" TargetMode="External" Type="http://schemas.openxmlformats.org/officeDocument/2006/relationships/hyperlink"/><Relationship Id="rId185" Target="http%3A%2F%2Fdx.doi.org%2F10.3892%2Fijmm.2026.5940" TargetMode="External" Type="http://schemas.openxmlformats.org/officeDocument/2006/relationships/hyperlink"/><Relationship Id="rId186" Target="https%3A%2F%2Fwww.webofscience.com%2Fwos%2Fwoscc%2Ffull-record%2FWOS%3A001842291100001" TargetMode="External" Type="http://schemas.openxmlformats.org/officeDocument/2006/relationships/hyperlink"/><Relationship Id="rId187" Target="http%3A%2F%2Fdx.doi.org%2F10.1016%2Fj.knee.2026.104581" TargetMode="External" Type="http://schemas.openxmlformats.org/officeDocument/2006/relationships/hyperlink"/><Relationship Id="rId188" Target="https%3A%2F%2Fwww.webofscience.com%2Fwos%2Fwoscc%2Ffull-record%2FWOS%3A001839274700001" TargetMode="External" Type="http://schemas.openxmlformats.org/officeDocument/2006/relationships/hyperlink"/><Relationship Id="rId189" Target="http%3A%2F%2Fdx.doi.org%2F10.1016%2Fj.nxmate.2026.102947" TargetMode="External" Type="http://schemas.openxmlformats.org/officeDocument/2006/relationships/hyperlink"/><Relationship Id="rId19" Target="http%3A%2F%2Fdx.doi.org%2F10.1080%2F21642583.2026.2672168" TargetMode="External" Type="http://schemas.openxmlformats.org/officeDocument/2006/relationships/hyperlink"/><Relationship Id="rId190" Target="https%3A%2F%2Fwww.webofscience.com%2Fwos%2Fwoscc%2Ffull-record%2FWOS%3A001839089500001" TargetMode="External" Type="http://schemas.openxmlformats.org/officeDocument/2006/relationships/hyperlink"/><Relationship Id="rId191" Target="http%3A%2F%2Fdx.doi.org%2F10.1016%2Fj.nxmate.2026.102940" TargetMode="External" Type="http://schemas.openxmlformats.org/officeDocument/2006/relationships/hyperlink"/><Relationship Id="rId192" Target="https%3A%2F%2Fwww.webofscience.com%2Fwos%2Fwoscc%2Ffull-record%2FWOS%3A001837295000001" TargetMode="External" Type="http://schemas.openxmlformats.org/officeDocument/2006/relationships/hyperlink"/><Relationship Id="rId193" Target="http%3A%2F%2Fdx.doi.org%2F10.1016%2Fj.nxmate.2026.102860" TargetMode="External" Type="http://schemas.openxmlformats.org/officeDocument/2006/relationships/hyperlink"/><Relationship Id="rId194" Target="https%3A%2F%2Fwww.webofscience.com%2Fwos%2Fwoscc%2Ffull-record%2FWOS%3A001837290900001" TargetMode="External" Type="http://schemas.openxmlformats.org/officeDocument/2006/relationships/hyperlink"/><Relationship Id="rId195" Target="http%3A%2F%2Fdx.doi.org%2F10.1016%2Fj.healthpol.2026.105715" TargetMode="External" Type="http://schemas.openxmlformats.org/officeDocument/2006/relationships/hyperlink"/><Relationship Id="rId196" Target="https%3A%2F%2Fwww.webofscience.com%2Fwos%2Fwoscc%2Ffull-record%2FWOS%3A001835329700001" TargetMode="External" Type="http://schemas.openxmlformats.org/officeDocument/2006/relationships/hyperlink"/><Relationship Id="rId197" Target="http%3A%2F%2Fdx.doi.org%2F10.1016%2Fj.cmpb.2026.109560" TargetMode="External" Type="http://schemas.openxmlformats.org/officeDocument/2006/relationships/hyperlink"/><Relationship Id="rId198" Target="https%3A%2F%2Fwww.webofscience.com%2Fwos%2Fwoscc%2Ffull-record%2FWOS%3A001833998000001" TargetMode="External" Type="http://schemas.openxmlformats.org/officeDocument/2006/relationships/hyperlink"/><Relationship Id="rId199" Target="http%3A%2F%2Fdx.doi.org%2F10.1016%2Fj.identj.2026.109758" TargetMode="External" Type="http://schemas.openxmlformats.org/officeDocument/2006/relationships/hyperlink"/><Relationship Id="rId2" Target="https%3A%2F%2Fwww.webofscience.com%2Fwos%2Fwoscc%2Ffull-record%2FWOS%3A001852603400001" TargetMode="External" Type="http://schemas.openxmlformats.org/officeDocument/2006/relationships/hyperlink"/><Relationship Id="rId20" Target="https%3A%2F%2Fwww.webofscience.com%2Fwos%2Fwoscc%2Ffull-record%2FWOS%3A001772821600001" TargetMode="External" Type="http://schemas.openxmlformats.org/officeDocument/2006/relationships/hyperlink"/><Relationship Id="rId200" Target="https%3A%2F%2Fwww.webofscience.com%2Fwos%2Fwoscc%2Ffull-record%2FWOS%3A001832307900001" TargetMode="External" Type="http://schemas.openxmlformats.org/officeDocument/2006/relationships/hyperlink"/><Relationship Id="rId201" Target="http%3A%2F%2Fdx.doi.org%2F10.1016%2Fj.coi.2026.102818" TargetMode="External" Type="http://schemas.openxmlformats.org/officeDocument/2006/relationships/hyperlink"/><Relationship Id="rId202" Target="https%3A%2F%2Fwww.webofscience.com%2Fwos%2Fwoscc%2Ffull-record%2FWOS%3A001829322800001" TargetMode="External" Type="http://schemas.openxmlformats.org/officeDocument/2006/relationships/hyperlink"/><Relationship Id="rId203" Target="http%3A%2F%2Fdx.doi.org%2F10.1016%2Fj.trac.2026.119037" TargetMode="External" Type="http://schemas.openxmlformats.org/officeDocument/2006/relationships/hyperlink"/><Relationship Id="rId204" Target="https%3A%2F%2Fwww.webofscience.com%2Fwos%2Fwoscc%2Ffull-record%2FWOS%3A001829285100001" TargetMode="External" Type="http://schemas.openxmlformats.org/officeDocument/2006/relationships/hyperlink"/><Relationship Id="rId205" Target="http%3A%2F%2Fdx.doi.org%2F10.1016%2Fj.cie.2026.112230" TargetMode="External" Type="http://schemas.openxmlformats.org/officeDocument/2006/relationships/hyperlink"/><Relationship Id="rId206" Target="https%3A%2F%2Fwww.webofscience.com%2Fwos%2Fwoscc%2Ffull-record%2FWOS%3A001824671500001" TargetMode="External" Type="http://schemas.openxmlformats.org/officeDocument/2006/relationships/hyperlink"/><Relationship Id="rId207" Target="http%3A%2F%2Fdx.doi.org%2F10.1016%2Fj.engappai.2026.115647" TargetMode="External" Type="http://schemas.openxmlformats.org/officeDocument/2006/relationships/hyperlink"/><Relationship Id="rId208" Target="https%3A%2F%2Fwww.webofscience.com%2Fwos%2Fwoscc%2Ffull-record%2FWOS%3A001824749800001" TargetMode="External" Type="http://schemas.openxmlformats.org/officeDocument/2006/relationships/hyperlink"/><Relationship Id="rId209" Target="http%3A%2F%2Fdx.doi.org%2F10.1016%2Fj.smrv.2026.102308" TargetMode="External" Type="http://schemas.openxmlformats.org/officeDocument/2006/relationships/hyperlink"/><Relationship Id="rId21" Target="http%3A%2F%2Fdx.doi.org%2F10.1080%2F08839514.2026.2668204" TargetMode="External" Type="http://schemas.openxmlformats.org/officeDocument/2006/relationships/hyperlink"/><Relationship Id="rId210" Target="https%3A%2F%2Fwww.webofscience.com%2Fwos%2Fwoscc%2Ffull-record%2FWOS%3A001807960400001" TargetMode="External" Type="http://schemas.openxmlformats.org/officeDocument/2006/relationships/hyperlink"/><Relationship Id="rId211" Target="http%3A%2F%2Fdx.doi.org%2F10.1016%2Fj.critrevonc.2026.105433" TargetMode="External" Type="http://schemas.openxmlformats.org/officeDocument/2006/relationships/hyperlink"/><Relationship Id="rId212" Target="https%3A%2F%2Fwww.webofscience.com%2Fwos%2Fwoscc%2Ffull-record%2FWOS%3A001801979800001" TargetMode="External" Type="http://schemas.openxmlformats.org/officeDocument/2006/relationships/hyperlink"/><Relationship Id="rId213" Target="http%3A%2F%2Fdx.doi.org%2F10.1016%2Fj.ijmedinf.2026.106526" TargetMode="External" Type="http://schemas.openxmlformats.org/officeDocument/2006/relationships/hyperlink"/><Relationship Id="rId214" Target="https%3A%2F%2Fwww.webofscience.com%2Fwos%2Fwoscc%2Ffull-record%2FWOS%3A001800341600001" TargetMode="External" Type="http://schemas.openxmlformats.org/officeDocument/2006/relationships/hyperlink"/><Relationship Id="rId215" Target="http%3A%2F%2Fdx.doi.org%2F10.1016%2Fj.jddst.2026.108587" TargetMode="External" Type="http://schemas.openxmlformats.org/officeDocument/2006/relationships/hyperlink"/><Relationship Id="rId216" Target="https%3A%2F%2Fwww.webofscience.com%2Fwos%2Fwoscc%2Ffull-record%2FWOS%3A001799942600001" TargetMode="External" Type="http://schemas.openxmlformats.org/officeDocument/2006/relationships/hyperlink"/><Relationship Id="rId217" Target="http%3A%2F%2Fdx.doi.org%2F10.1016%2Fj.jece.2026.123531" TargetMode="External" Type="http://schemas.openxmlformats.org/officeDocument/2006/relationships/hyperlink"/><Relationship Id="rId218" Target="https%3A%2F%2Fwww.webofscience.com%2Fwos%2Fwoscc%2Ffull-record%2FWOS%3A001798304200001" TargetMode="External" Type="http://schemas.openxmlformats.org/officeDocument/2006/relationships/hyperlink"/><Relationship Id="rId219" Target="http%3A%2F%2Fdx.doi.org%2F10.1016%2Fj.artmed.2026.103463" TargetMode="External" Type="http://schemas.openxmlformats.org/officeDocument/2006/relationships/hyperlink"/><Relationship Id="rId22" Target="https%3A%2F%2Fwww.webofscience.com%2Fwos%2Fwoscc%2Ffull-record%2FWOS%3A001765359600001" TargetMode="External" Type="http://schemas.openxmlformats.org/officeDocument/2006/relationships/hyperlink"/><Relationship Id="rId220" Target="https%3A%2F%2Fwww.webofscience.com%2Fwos%2Fwoscc%2Ffull-record%2FWOS%3A001793952500001" TargetMode="External" Type="http://schemas.openxmlformats.org/officeDocument/2006/relationships/hyperlink"/><Relationship Id="rId221" Target="http%3A%2F%2Fdx.doi.org%2F10.1016%2Fj.engappai.2026.115349" TargetMode="External" Type="http://schemas.openxmlformats.org/officeDocument/2006/relationships/hyperlink"/><Relationship Id="rId222" Target="https%3A%2F%2Fwww.webofscience.com%2Fwos%2Fwoscc%2Ffull-record%2FWOS%3A001793221400001" TargetMode="External" Type="http://schemas.openxmlformats.org/officeDocument/2006/relationships/hyperlink"/><Relationship Id="rId223" Target="http%3A%2F%2Fdx.doi.org%2F10.1016%2Fj.artmed.2026.103460" TargetMode="External" Type="http://schemas.openxmlformats.org/officeDocument/2006/relationships/hyperlink"/><Relationship Id="rId224" Target="https%3A%2F%2Fwww.webofscience.com%2Fwos%2Fwoscc%2Ffull-record%2FWOS%3A001790774500001" TargetMode="External" Type="http://schemas.openxmlformats.org/officeDocument/2006/relationships/hyperlink"/><Relationship Id="rId225" Target="http%3A%2F%2Fdx.doi.org%2F10.1016%2Fj.cpcardiol.2026.103371" TargetMode="External" Type="http://schemas.openxmlformats.org/officeDocument/2006/relationships/hyperlink"/><Relationship Id="rId226" Target="https%3A%2F%2Fwww.webofscience.com%2Fwos%2Fwoscc%2Ffull-record%2FWOS%3A001781712500001" TargetMode="External" Type="http://schemas.openxmlformats.org/officeDocument/2006/relationships/hyperlink"/><Relationship Id="rId227" Target="http%3A%2F%2Fdx.doi.org%2F10.1016%2Fj.future.2026.108524" TargetMode="External" Type="http://schemas.openxmlformats.org/officeDocument/2006/relationships/hyperlink"/><Relationship Id="rId228" Target="https%3A%2F%2Fwww.webofscience.com%2Fwos%2Fwoscc%2Ffull-record%2FWOS%3A001748936800001" TargetMode="External" Type="http://schemas.openxmlformats.org/officeDocument/2006/relationships/hyperlink"/><Relationship Id="rId229" Target="http%3A%2F%2Fdx.doi.org%2F10.1016%2Fj.canlet.2026.218579" TargetMode="External" Type="http://schemas.openxmlformats.org/officeDocument/2006/relationships/hyperlink"/><Relationship Id="rId23" Target="http%3A%2F%2Fdx.doi.org%2F10.1080%2F23311916.2026.2664254" TargetMode="External" Type="http://schemas.openxmlformats.org/officeDocument/2006/relationships/hyperlink"/><Relationship Id="rId230" Target="https%3A%2F%2Fwww.webofscience.com%2Fwos%2Fwoscc%2Ffull-record%2FWOS%3A001795426000001" TargetMode="External" Type="http://schemas.openxmlformats.org/officeDocument/2006/relationships/hyperlink"/><Relationship Id="rId231" Target="http%3A%2F%2Fdx.doi.org%2F10.1016%2Fj.ijmedinf.2026.106527" TargetMode="External" Type="http://schemas.openxmlformats.org/officeDocument/2006/relationships/hyperlink"/><Relationship Id="rId232" Target="https%3A%2F%2Fwww.webofscience.com%2Fwos%2Fwoscc%2Ffull-record%2FWOS%3A001793391000001" TargetMode="External" Type="http://schemas.openxmlformats.org/officeDocument/2006/relationships/hyperlink"/><Relationship Id="rId233" Target="http%3A%2F%2Fdx.doi.org%2F10.1016%2Fj.ijmedinf.2026.106525" TargetMode="External" Type="http://schemas.openxmlformats.org/officeDocument/2006/relationships/hyperlink"/><Relationship Id="rId234" Target="https%3A%2F%2Fwww.webofscience.com%2Fwos%2Fwoscc%2Ffull-record%2FWOS%3A001793393600001" TargetMode="External" Type="http://schemas.openxmlformats.org/officeDocument/2006/relationships/hyperlink"/><Relationship Id="rId235" Target="http%3A%2F%2Fdx.doi.org%2F10.1016%2Fj.eswa.2026.132549" TargetMode="External" Type="http://schemas.openxmlformats.org/officeDocument/2006/relationships/hyperlink"/><Relationship Id="rId236" Target="https%3A%2F%2Fwww.webofscience.com%2Fwos%2Fwoscc%2Ffull-record%2FWOS%3A001771020900001" TargetMode="External" Type="http://schemas.openxmlformats.org/officeDocument/2006/relationships/hyperlink"/><Relationship Id="rId237" Target="http%3A%2F%2Fdx.doi.org%2F10.1016%2Fj.eswa.2026.132709" TargetMode="External" Type="http://schemas.openxmlformats.org/officeDocument/2006/relationships/hyperlink"/><Relationship Id="rId238" Target="https%3A%2F%2Fwww.webofscience.com%2Fwos%2Fwoscc%2Ffull-record%2FWOS%3A001766322800001" TargetMode="External" Type="http://schemas.openxmlformats.org/officeDocument/2006/relationships/hyperlink"/><Relationship Id="rId239" Target="http%3A%2F%2Fdx.doi.org%2F10.1016%2Fj.neuroscience.2026.07.014" TargetMode="External" Type="http://schemas.openxmlformats.org/officeDocument/2006/relationships/hyperlink"/><Relationship Id="rId24" Target="https%3A%2F%2Fwww.webofscience.com%2Fwos%2Fwoscc%2Ffull-record%2FWOS%3A001754093700001" TargetMode="External" Type="http://schemas.openxmlformats.org/officeDocument/2006/relationships/hyperlink"/><Relationship Id="rId240" Target="https%3A%2F%2Fwww.webofscience.com%2Fwos%2Fwoscc%2Ffull-record%2FWOS%3A001825672100001" TargetMode="External" Type="http://schemas.openxmlformats.org/officeDocument/2006/relationships/hyperlink"/><Relationship Id="rId241" Target="http%3A%2F%2Fdx.doi.org%2F10.1016%2Fj.omtn.2026.103003" TargetMode="External" Type="http://schemas.openxmlformats.org/officeDocument/2006/relationships/hyperlink"/><Relationship Id="rId242" Target="https%3A%2F%2Fwww.webofscience.com%2Fwos%2Fwoscc%2Ffull-record%2FWOS%3A001830175900001" TargetMode="External" Type="http://schemas.openxmlformats.org/officeDocument/2006/relationships/hyperlink"/><Relationship Id="rId243" Target="http%3A%2F%2Fdx.doi.org%2F10.1016%2Fj.omtn.2026.103000" TargetMode="External" Type="http://schemas.openxmlformats.org/officeDocument/2006/relationships/hyperlink"/><Relationship Id="rId244" Target="https%3A%2F%2Fwww.webofscience.com%2Fwos%2Fwoscc%2Ffull-record%2FWOS%3A001830193600001" TargetMode="External" Type="http://schemas.openxmlformats.org/officeDocument/2006/relationships/hyperlink"/><Relationship Id="rId245" Target="http%3A%2F%2Fdx.doi.org%2F10.1016%2Fj.urolonc.2026.06.008" TargetMode="External" Type="http://schemas.openxmlformats.org/officeDocument/2006/relationships/hyperlink"/><Relationship Id="rId246" Target="https%3A%2F%2Fwww.webofscience.com%2Fwos%2Fwoscc%2Ffull-record%2FWOS%3A001854286400001" TargetMode="External" Type="http://schemas.openxmlformats.org/officeDocument/2006/relationships/hyperlink"/><Relationship Id="rId247" Target="http%3A%2F%2Fdx.doi.org%2F10.1016%2Fj.cossms.2026.101290" TargetMode="External" Type="http://schemas.openxmlformats.org/officeDocument/2006/relationships/hyperlink"/><Relationship Id="rId248" Target="https%3A%2F%2Fwww.webofscience.com%2Fwos%2Fwoscc%2Ffull-record%2FWOS%3A001853986100001" TargetMode="External" Type="http://schemas.openxmlformats.org/officeDocument/2006/relationships/hyperlink"/><Relationship Id="rId249" Target="http%3A%2F%2Fdx.doi.org%2F10.1111%2Fexsy.70386" TargetMode="External" Type="http://schemas.openxmlformats.org/officeDocument/2006/relationships/hyperlink"/><Relationship Id="rId25" Target="http%3A%2F%2Fdx.doi.org%2F10.1080%2F07853890.2026.2658879" TargetMode="External" Type="http://schemas.openxmlformats.org/officeDocument/2006/relationships/hyperlink"/><Relationship Id="rId250" Target="https%3A%2F%2Fwww.webofscience.com%2Fwos%2Fwoscc%2Ffull-record%2FWOS%3A001854182900018" TargetMode="External" Type="http://schemas.openxmlformats.org/officeDocument/2006/relationships/hyperlink"/><Relationship Id="rId251" Target="http%3A%2F%2Fdx.doi.org%2F10.1016%2Fj.heliyon.2026.e45308" TargetMode="External" Type="http://schemas.openxmlformats.org/officeDocument/2006/relationships/hyperlink"/><Relationship Id="rId252" Target="https%3A%2F%2Fwww.webofscience.com%2Fwos%2Fwoscc%2Ffull-record%2FWOS%3A001854086100001" TargetMode="External" Type="http://schemas.openxmlformats.org/officeDocument/2006/relationships/hyperlink"/><Relationship Id="rId253" Target="http%3A%2F%2Fdx.doi.org%2F10.1016%2Fj.metrad.2026.100224" TargetMode="External" Type="http://schemas.openxmlformats.org/officeDocument/2006/relationships/hyperlink"/><Relationship Id="rId254" Target="https%3A%2F%2Fwww.webofscience.com%2Fwos%2Fwoscc%2Ffull-record%2FWOS%3A001853206700001" TargetMode="External" Type="http://schemas.openxmlformats.org/officeDocument/2006/relationships/hyperlink"/><Relationship Id="rId255" Target="http%3A%2F%2Fdx.doi.org%2F10.1016%2Fj.soard.2026.05.002" TargetMode="External" Type="http://schemas.openxmlformats.org/officeDocument/2006/relationships/hyperlink"/><Relationship Id="rId256" Target="https%3A%2F%2Fwww.webofscience.com%2Fwos%2Fwoscc%2Ffull-record%2FWOS%3A001851947200001" TargetMode="External" Type="http://schemas.openxmlformats.org/officeDocument/2006/relationships/hyperlink"/><Relationship Id="rId257" Target="http%3A%2F%2Fdx.doi.org%2F10.1016%2Fj.ienj.2026.101890" TargetMode="External" Type="http://schemas.openxmlformats.org/officeDocument/2006/relationships/hyperlink"/><Relationship Id="rId258" Target="https%3A%2F%2Fwww.webofscience.com%2Fwos%2Fwoscc%2Ffull-record%2FWOS%3A001852339100001" TargetMode="External" Type="http://schemas.openxmlformats.org/officeDocument/2006/relationships/hyperlink"/><Relationship Id="rId259" Target="http%3A%2F%2Fdx.doi.org%2F10.1016%2Fj.xjidi.2026.100513" TargetMode="External" Type="http://schemas.openxmlformats.org/officeDocument/2006/relationships/hyperlink"/><Relationship Id="rId26" Target="https%3A%2F%2Fwww.webofscience.com%2Fwos%2Fwoscc%2Ffull-record%2FWOS%3A001746514900001" TargetMode="External" Type="http://schemas.openxmlformats.org/officeDocument/2006/relationships/hyperlink"/><Relationship Id="rId260" Target="https%3A%2F%2Fwww.webofscience.com%2Fwos%2Fwoscc%2Ffull-record%2FWOS%3A001851724200001" TargetMode="External" Type="http://schemas.openxmlformats.org/officeDocument/2006/relationships/hyperlink"/><Relationship Id="rId261" Target="http%3A%2F%2Fdx.doi.org%2F10.1016%2Fj.dld.2026.06.017" TargetMode="External" Type="http://schemas.openxmlformats.org/officeDocument/2006/relationships/hyperlink"/><Relationship Id="rId262" Target="https%3A%2F%2Fwww.webofscience.com%2Fwos%2Fwoscc%2Ffull-record%2FWOS%3A001851272300001" TargetMode="External" Type="http://schemas.openxmlformats.org/officeDocument/2006/relationships/hyperlink"/><Relationship Id="rId263" Target="http%3A%2F%2Fdx.doi.org%2F10.1161%2FHYPERTENSIONAHA.126.26233" TargetMode="External" Type="http://schemas.openxmlformats.org/officeDocument/2006/relationships/hyperlink"/><Relationship Id="rId264" Target="https%3A%2F%2Fwww.webofscience.com%2Fwos%2Fwoscc%2Ffull-record%2FWOS%3A001850313800010" TargetMode="External" Type="http://schemas.openxmlformats.org/officeDocument/2006/relationships/hyperlink"/><Relationship Id="rId265" Target="http%3A%2F%2Fdx.doi.org%2F10.14670%2FHH-25-059" TargetMode="External" Type="http://schemas.openxmlformats.org/officeDocument/2006/relationships/hyperlink"/><Relationship Id="rId266" Target="https%3A%2F%2Fwww.webofscience.com%2Fwos%2Fwoscc%2Ffull-record%2FWOS%3A001849276000004" TargetMode="External" Type="http://schemas.openxmlformats.org/officeDocument/2006/relationships/hyperlink"/><Relationship Id="rId267" Target="http%3A%2F%2Fdx.doi.org%2F10.1053%2Fj.jvca.2026.05.005" TargetMode="External" Type="http://schemas.openxmlformats.org/officeDocument/2006/relationships/hyperlink"/><Relationship Id="rId268" Target="https%3A%2F%2Fwww.webofscience.com%2Fwos%2Fwoscc%2Ffull-record%2FWOS%3A001849388300001" TargetMode="External" Type="http://schemas.openxmlformats.org/officeDocument/2006/relationships/hyperlink"/><Relationship Id="rId269" Target="http%3A%2F%2Fdx.doi.org%2F10.1002%2Fbmc.70575" TargetMode="External" Type="http://schemas.openxmlformats.org/officeDocument/2006/relationships/hyperlink"/><Relationship Id="rId27" Target="http%3A%2F%2Fdx.doi.org%2F10.1080%2F19490976.2026.2644677" TargetMode="External" Type="http://schemas.openxmlformats.org/officeDocument/2006/relationships/hyperlink"/><Relationship Id="rId270" Target="https%3A%2F%2Fwww.webofscience.com%2Fwos%2Fwoscc%2Ffull-record%2FWOS%3A001849717900001" TargetMode="External" Type="http://schemas.openxmlformats.org/officeDocument/2006/relationships/hyperlink"/><Relationship Id="rId271" Target="http%3A%2F%2Fdx.doi.org%2F10.1016%2Fj.xops.2026.101296" TargetMode="External" Type="http://schemas.openxmlformats.org/officeDocument/2006/relationships/hyperlink"/><Relationship Id="rId272" Target="https%3A%2F%2Fwww.webofscience.com%2Fwos%2Fwoscc%2Ffull-record%2FWOS%3A001847498700001" TargetMode="External" Type="http://schemas.openxmlformats.org/officeDocument/2006/relationships/hyperlink"/><Relationship Id="rId273" Target="http%3A%2F%2Fdx.doi.org%2F10.1016%2Fj.neurol.2026.04.010" TargetMode="External" Type="http://schemas.openxmlformats.org/officeDocument/2006/relationships/hyperlink"/><Relationship Id="rId274" Target="https%3A%2F%2Fwww.webofscience.com%2Fwos%2Fwoscc%2Ffull-record%2FWOS%3A001849483900001" TargetMode="External" Type="http://schemas.openxmlformats.org/officeDocument/2006/relationships/hyperlink"/><Relationship Id="rId275" Target="http%3A%2F%2Fdx.doi.org%2F10.1097%2FPAF.0000000000001135" TargetMode="External" Type="http://schemas.openxmlformats.org/officeDocument/2006/relationships/hyperlink"/><Relationship Id="rId276" Target="https%3A%2F%2Fwww.webofscience.com%2Fwos%2Fwoscc%2Ffull-record%2FWOS%3A001845809000013" TargetMode="External" Type="http://schemas.openxmlformats.org/officeDocument/2006/relationships/hyperlink"/><Relationship Id="rId277" Target="http%3A%2F%2Fdx.doi.org%2F10.1016%2Fj.nexus.2026.100800" TargetMode="External" Type="http://schemas.openxmlformats.org/officeDocument/2006/relationships/hyperlink"/><Relationship Id="rId278" Target="https%3A%2F%2Fwww.webofscience.com%2Fwos%2Fwoscc%2Ffull-record%2FWOS%3A001846116100001" TargetMode="External" Type="http://schemas.openxmlformats.org/officeDocument/2006/relationships/hyperlink"/><Relationship Id="rId279" Target="http%3A%2F%2Fdx.doi.org%2F10.1016%2Fj.xops.2026.101324" TargetMode="External" Type="http://schemas.openxmlformats.org/officeDocument/2006/relationships/hyperlink"/><Relationship Id="rId28" Target="https%3A%2F%2Fwww.webofscience.com%2Fwos%2Fwoscc%2Ffull-record%2FWOS%3A001746021900001" TargetMode="External" Type="http://schemas.openxmlformats.org/officeDocument/2006/relationships/hyperlink"/><Relationship Id="rId280" Target="https%3A%2F%2Fwww.webofscience.com%2Fwos%2Fwoscc%2Ffull-record%2FWOS%3A001847206700001" TargetMode="External" Type="http://schemas.openxmlformats.org/officeDocument/2006/relationships/hyperlink"/><Relationship Id="rId281" Target="http%3A%2F%2Fdx.doi.org%2F10.1016%2Fj.biopsych.2026.02.018" TargetMode="External" Type="http://schemas.openxmlformats.org/officeDocument/2006/relationships/hyperlink"/><Relationship Id="rId282" Target="https%3A%2F%2Fwww.webofscience.com%2Fwos%2Fwoscc%2Ffull-record%2FWOS%3A001843948700001" TargetMode="External" Type="http://schemas.openxmlformats.org/officeDocument/2006/relationships/hyperlink"/><Relationship Id="rId283" Target="http%3A%2F%2Fdx.doi.org%2F10.1097%2FCCO.0000000000001254" TargetMode="External" Type="http://schemas.openxmlformats.org/officeDocument/2006/relationships/hyperlink"/><Relationship Id="rId284" Target="https%3A%2F%2Fwww.webofscience.com%2Fwos%2Fwoscc%2Ffull-record%2FWOS%3A001844274700001" TargetMode="External" Type="http://schemas.openxmlformats.org/officeDocument/2006/relationships/hyperlink"/><Relationship Id="rId285" Target="http%3A%2F%2Fdx.doi.org%2F10.1097%2FCCO.0000000000001256" TargetMode="External" Type="http://schemas.openxmlformats.org/officeDocument/2006/relationships/hyperlink"/><Relationship Id="rId286" Target="https%3A%2F%2Fwww.webofscience.com%2Fwos%2Fwoscc%2Ffull-record%2FWOS%3A001844274700003" TargetMode="External" Type="http://schemas.openxmlformats.org/officeDocument/2006/relationships/hyperlink"/><Relationship Id="rId287" Target="http%3A%2F%2Fdx.doi.org%2F10.1016%2Fj.ienj.2026.101887" TargetMode="External" Type="http://schemas.openxmlformats.org/officeDocument/2006/relationships/hyperlink"/><Relationship Id="rId288" Target="https%3A%2F%2Fwww.webofscience.com%2Fwos%2Fwoscc%2Ffull-record%2FWOS%3A001843852900001" TargetMode="External" Type="http://schemas.openxmlformats.org/officeDocument/2006/relationships/hyperlink"/><Relationship Id="rId289" Target="http%3A%2F%2Fdx.doi.org%2F10.1016%2Fj.jbi.2026.105087" TargetMode="External" Type="http://schemas.openxmlformats.org/officeDocument/2006/relationships/hyperlink"/><Relationship Id="rId29" Target="http%3A%2F%2Fdx.doi.org%2F10.1080%2F23311916.2026.2653310" TargetMode="External" Type="http://schemas.openxmlformats.org/officeDocument/2006/relationships/hyperlink"/><Relationship Id="rId290" Target="https%3A%2F%2Fwww.webofscience.com%2Fwos%2Fwoscc%2Ffull-record%2FWOS%3A001844448900001" TargetMode="External" Type="http://schemas.openxmlformats.org/officeDocument/2006/relationships/hyperlink"/><Relationship Id="rId291" Target="http%3A%2F%2Fdx.doi.org%2F10.1016%2Fj.jrras.2026.102601" TargetMode="External" Type="http://schemas.openxmlformats.org/officeDocument/2006/relationships/hyperlink"/><Relationship Id="rId292" Target="https%3A%2F%2Fwww.webofscience.com%2Fwos%2Fwoscc%2Ffull-record%2FWOS%3A001844284300001" TargetMode="External" Type="http://schemas.openxmlformats.org/officeDocument/2006/relationships/hyperlink"/><Relationship Id="rId293" Target="http%3A%2F%2Fdx.doi.org%2F10.1097%2FHCO.0000000000001302" TargetMode="External" Type="http://schemas.openxmlformats.org/officeDocument/2006/relationships/hyperlink"/><Relationship Id="rId294" Target="https%3A%2F%2Fwww.webofscience.com%2Fwos%2Fwoscc%2Ffull-record%2FWOS%3A001842420400006" TargetMode="External" Type="http://schemas.openxmlformats.org/officeDocument/2006/relationships/hyperlink"/><Relationship Id="rId295" Target="http%3A%2F%2Fdx.doi.org%2F10.1097%2FHCO.0000000000001324" TargetMode="External" Type="http://schemas.openxmlformats.org/officeDocument/2006/relationships/hyperlink"/><Relationship Id="rId296" Target="https%3A%2F%2Fwww.webofscience.com%2Fwos%2Fwoscc%2Ffull-record%2FWOS%3A001842420400013" TargetMode="External" Type="http://schemas.openxmlformats.org/officeDocument/2006/relationships/hyperlink"/><Relationship Id="rId297" Target="http%3A%2F%2Fdx.doi.org%2F10.1097%2FHCO.0000000000001325" TargetMode="External" Type="http://schemas.openxmlformats.org/officeDocument/2006/relationships/hyperlink"/><Relationship Id="rId298" Target="https%3A%2F%2Fwww.webofscience.com%2Fwos%2Fwoscc%2Ffull-record%2FWOS%3A001842420400005" TargetMode="External" Type="http://schemas.openxmlformats.org/officeDocument/2006/relationships/hyperlink"/><Relationship Id="rId299" Target="http%3A%2F%2Fdx.doi.org%2F10.1097%2FHCO.0000000000001320" TargetMode="External" Type="http://schemas.openxmlformats.org/officeDocument/2006/relationships/hyperlink"/><Relationship Id="rId3" Target="http%3A%2F%2Fdx.doi.org%2F10.1080%2F14796708.2026.2716256" TargetMode="External" Type="http://schemas.openxmlformats.org/officeDocument/2006/relationships/hyperlink"/><Relationship Id="rId30" Target="https%3A%2F%2Fwww.webofscience.com%2Fwos%2Fwoscc%2Ffull-record%2FWOS%3A001737942000001" TargetMode="External" Type="http://schemas.openxmlformats.org/officeDocument/2006/relationships/hyperlink"/><Relationship Id="rId300" Target="https%3A%2F%2Fwww.webofscience.com%2Fwos%2Fwoscc%2Ffull-record%2FWOS%3A001842420400014" TargetMode="External" Type="http://schemas.openxmlformats.org/officeDocument/2006/relationships/hyperlink"/><Relationship Id="rId301" Target="http%3A%2F%2Fdx.doi.org%2F10.1097%2FHCO.0000000000001317" TargetMode="External" Type="http://schemas.openxmlformats.org/officeDocument/2006/relationships/hyperlink"/><Relationship Id="rId302" Target="https%3A%2F%2Fwww.webofscience.com%2Fwos%2Fwoscc%2Ffull-record%2FWOS%3A001842420400007" TargetMode="External" Type="http://schemas.openxmlformats.org/officeDocument/2006/relationships/hyperlink"/><Relationship Id="rId303" Target="http%3A%2F%2Fdx.doi.org%2F10.1097%2FHCO.0000000000001326" TargetMode="External" Type="http://schemas.openxmlformats.org/officeDocument/2006/relationships/hyperlink"/><Relationship Id="rId304" Target="https%3A%2F%2Fwww.webofscience.com%2Fwos%2Fwoscc%2Ffull-record%2FWOS%3A001842420400012" TargetMode="External" Type="http://schemas.openxmlformats.org/officeDocument/2006/relationships/hyperlink"/><Relationship Id="rId305" Target="http%3A%2F%2Fdx.doi.org%2F10.1016%2Fj.bjps.2026.07.015" TargetMode="External" Type="http://schemas.openxmlformats.org/officeDocument/2006/relationships/hyperlink"/><Relationship Id="rId306" Target="https%3A%2F%2Fwww.webofscience.com%2Fwos%2Fwoscc%2Ffull-record%2FWOS%3A001840667300001" TargetMode="External" Type="http://schemas.openxmlformats.org/officeDocument/2006/relationships/hyperlink"/><Relationship Id="rId307" Target="http%3A%2F%2Fdx.doi.org%2F10.1016%2Fj.genhosppsych.2026.06.009" TargetMode="External" Type="http://schemas.openxmlformats.org/officeDocument/2006/relationships/hyperlink"/><Relationship Id="rId308" Target="https%3A%2F%2Fwww.webofscience.com%2Fwos%2Fwoscc%2Ffull-record%2FWOS%3A001838102800001" TargetMode="External" Type="http://schemas.openxmlformats.org/officeDocument/2006/relationships/hyperlink"/><Relationship Id="rId309" Target="http%3A%2F%2Fdx.doi.org%2F10.1016%2Fj.jceh.2026.103608" TargetMode="External" Type="http://schemas.openxmlformats.org/officeDocument/2006/relationships/hyperlink"/><Relationship Id="rId31" Target="http%3A%2F%2Fdx.doi.org%2F10.1080%2F0886022X.2026.2640720" TargetMode="External" Type="http://schemas.openxmlformats.org/officeDocument/2006/relationships/hyperlink"/><Relationship Id="rId310" Target="https%3A%2F%2Fwww.webofscience.com%2Fwos%2Fwoscc%2Ffull-record%2FWOS%3A001838919100001" TargetMode="External" Type="http://schemas.openxmlformats.org/officeDocument/2006/relationships/hyperlink"/><Relationship Id="rId311" Target="http%3A%2F%2Fdx.doi.org%2F10.1097%2FJSA.0000000000000449" TargetMode="External" Type="http://schemas.openxmlformats.org/officeDocument/2006/relationships/hyperlink"/><Relationship Id="rId312" Target="https%3A%2F%2Fwww.webofscience.com%2Fwos%2Fwoscc%2Ffull-record%2FWOS%3A001838364000002" TargetMode="External" Type="http://schemas.openxmlformats.org/officeDocument/2006/relationships/hyperlink"/><Relationship Id="rId313" Target="http%3A%2F%2Fdx.doi.org%2F10.1016%2Fj.gerinurse.2026.104195" TargetMode="External" Type="http://schemas.openxmlformats.org/officeDocument/2006/relationships/hyperlink"/><Relationship Id="rId314" Target="https%3A%2F%2Fwww.webofscience.com%2Fwos%2Fwoscc%2Ffull-record%2FWOS%3A001835375400002" TargetMode="External" Type="http://schemas.openxmlformats.org/officeDocument/2006/relationships/hyperlink"/><Relationship Id="rId315" Target="http%3A%2F%2Fdx.doi.org%2F10.1016%2Fj.mimet.2026.107638" TargetMode="External" Type="http://schemas.openxmlformats.org/officeDocument/2006/relationships/hyperlink"/><Relationship Id="rId316" Target="https%3A%2F%2Fwww.webofscience.com%2Fwos%2Fwoscc%2Ffull-record%2FWOS%3A001835298100001" TargetMode="External" Type="http://schemas.openxmlformats.org/officeDocument/2006/relationships/hyperlink"/><Relationship Id="rId317" Target="http%3A%2F%2Fdx.doi.org%2F10.1016%2Fj.xjidi.2026.100497" TargetMode="External" Type="http://schemas.openxmlformats.org/officeDocument/2006/relationships/hyperlink"/><Relationship Id="rId318" Target="https%3A%2F%2Fwww.webofscience.com%2Fwos%2Fwoscc%2Ffull-record%2FWOS%3A001831195400001" TargetMode="External" Type="http://schemas.openxmlformats.org/officeDocument/2006/relationships/hyperlink"/><Relationship Id="rId319" Target="http%3A%2F%2Fdx.doi.org%2F10.1016%2Fj.reia.2026.202976" TargetMode="External" Type="http://schemas.openxmlformats.org/officeDocument/2006/relationships/hyperlink"/><Relationship Id="rId32" Target="https%3A%2F%2Fwww.webofscience.com%2Fwos%2Fwoscc%2Ffull-record%2FWOS%3A001719195300001" TargetMode="External" Type="http://schemas.openxmlformats.org/officeDocument/2006/relationships/hyperlink"/><Relationship Id="rId320" Target="https%3A%2F%2Fwww.webofscience.com%2Fwos%2Fwoscc%2Ffull-record%2FWOS%3A001829967900001" TargetMode="External" Type="http://schemas.openxmlformats.org/officeDocument/2006/relationships/hyperlink"/><Relationship Id="rId321" Target="http%3A%2F%2Fdx.doi.org%2F10.1016%2Fj.jbi.2026.105077" TargetMode="External" Type="http://schemas.openxmlformats.org/officeDocument/2006/relationships/hyperlink"/><Relationship Id="rId322" Target="https%3A%2F%2Fwww.webofscience.com%2Fwos%2Fwoscc%2Ffull-record%2FWOS%3A001827568900001" TargetMode="External" Type="http://schemas.openxmlformats.org/officeDocument/2006/relationships/hyperlink"/><Relationship Id="rId323" Target="http%3A%2F%2Fdx.doi.org%2F10.1016%2Fj.survophthal.2026.03.016" TargetMode="External" Type="http://schemas.openxmlformats.org/officeDocument/2006/relationships/hyperlink"/><Relationship Id="rId324" Target="https%3A%2F%2Fwww.webofscience.com%2Fwos%2Fwoscc%2Ffull-record%2FWOS%3A001827249800001" TargetMode="External" Type="http://schemas.openxmlformats.org/officeDocument/2006/relationships/hyperlink"/><Relationship Id="rId325" Target="http%3A%2F%2Fdx.doi.org%2F10.1016%2Fj.critrevonc.2026.105488" TargetMode="External" Type="http://schemas.openxmlformats.org/officeDocument/2006/relationships/hyperlink"/><Relationship Id="rId326" Target="https%3A%2F%2Fwww.webofscience.com%2Fwos%2Fwoscc%2Ffull-record%2FWOS%3A001824632300001" TargetMode="External" Type="http://schemas.openxmlformats.org/officeDocument/2006/relationships/hyperlink"/><Relationship Id="rId327" Target="http%3A%2F%2Fdx.doi.org%2F10.1016%2Fj.cophys.2026.100969" TargetMode="External" Type="http://schemas.openxmlformats.org/officeDocument/2006/relationships/hyperlink"/><Relationship Id="rId328" Target="https%3A%2F%2Fwww.webofscience.com%2Fwos%2Fwoscc%2Ffull-record%2FWOS%3A001812006600001" TargetMode="External" Type="http://schemas.openxmlformats.org/officeDocument/2006/relationships/hyperlink"/><Relationship Id="rId329" Target="http%3A%2F%2Fdx.doi.org%2F10.1088%2F1758-5090%2Fae7b07" TargetMode="External" Type="http://schemas.openxmlformats.org/officeDocument/2006/relationships/hyperlink"/><Relationship Id="rId33" Target="http%3A%2F%2Fdx.doi.org%2F10.1080%2F23311975.2026.2622721" TargetMode="External" Type="http://schemas.openxmlformats.org/officeDocument/2006/relationships/hyperlink"/><Relationship Id="rId330" Target="https%3A%2F%2Fwww.webofscience.com%2Fwos%2Fwoscc%2Ffull-record%2FWOS%3A001807748600001" TargetMode="External" Type="http://schemas.openxmlformats.org/officeDocument/2006/relationships/hyperlink"/><Relationship Id="rId331" Target="http%3A%2F%2Fdx.doi.org%2F10.1088%2F2516-1091%2Fae7eb9" TargetMode="External" Type="http://schemas.openxmlformats.org/officeDocument/2006/relationships/hyperlink"/><Relationship Id="rId332" Target="https%3A%2F%2Fwww.webofscience.com%2Fwos%2Fwoscc%2Ffull-record%2FWOS%3A001808870200001" TargetMode="External" Type="http://schemas.openxmlformats.org/officeDocument/2006/relationships/hyperlink"/><Relationship Id="rId333" Target="http%3A%2F%2Fdx.doi.org%2F10.1016%2Fj.trac.2026.118956" TargetMode="External" Type="http://schemas.openxmlformats.org/officeDocument/2006/relationships/hyperlink"/><Relationship Id="rId334" Target="https%3A%2F%2Fwww.webofscience.com%2Fwos%2Fwoscc%2Ffull-record%2FWOS%3A001800777600001" TargetMode="External" Type="http://schemas.openxmlformats.org/officeDocument/2006/relationships/hyperlink"/><Relationship Id="rId335" Target="http%3A%2F%2Fdx.doi.org%2F10.1016%2Fj.rineng.2026.111533" TargetMode="External" Type="http://schemas.openxmlformats.org/officeDocument/2006/relationships/hyperlink"/><Relationship Id="rId336" Target="https%3A%2F%2Fwww.webofscience.com%2Fwos%2Fwoscc%2Ffull-record%2FWOS%3A001800874100001" TargetMode="External" Type="http://schemas.openxmlformats.org/officeDocument/2006/relationships/hyperlink"/><Relationship Id="rId337" Target="http%3A%2F%2Fdx.doi.org%2F10.1016%2Fj.midw.2026.104884" TargetMode="External" Type="http://schemas.openxmlformats.org/officeDocument/2006/relationships/hyperlink"/><Relationship Id="rId338" Target="https%3A%2F%2Fwww.webofscience.com%2Fwos%2Fwoscc%2Ffull-record%2FWOS%3A001793838700001" TargetMode="External" Type="http://schemas.openxmlformats.org/officeDocument/2006/relationships/hyperlink"/><Relationship Id="rId339" Target="http%3A%2F%2Fdx.doi.org%2F10.1088%2F2516-1091%2Fae7860" TargetMode="External" Type="http://schemas.openxmlformats.org/officeDocument/2006/relationships/hyperlink"/><Relationship Id="rId34" Target="https%3A%2F%2Fwww.webofscience.com%2Fwos%2Fwoscc%2Ffull-record%2FWOS%3A001716129600001" TargetMode="External" Type="http://schemas.openxmlformats.org/officeDocument/2006/relationships/hyperlink"/><Relationship Id="rId340" Target="https%3A%2F%2Fwww.webofscience.com%2Fwos%2Fwoscc%2Ffull-record%2FWOS%3A001794512300001" TargetMode="External" Type="http://schemas.openxmlformats.org/officeDocument/2006/relationships/hyperlink"/><Relationship Id="rId341" Target="http%3A%2F%2Fdx.doi.org%2F10.1016%2Fj.iswa.2026.200671" TargetMode="External" Type="http://schemas.openxmlformats.org/officeDocument/2006/relationships/hyperlink"/><Relationship Id="rId342" Target="https%3A%2F%2Fwww.webofscience.com%2Fwos%2Fwoscc%2Ffull-record%2FWOS%3A001791532400001" TargetMode="External" Type="http://schemas.openxmlformats.org/officeDocument/2006/relationships/hyperlink"/><Relationship Id="rId343" Target="http%3A%2F%2Fdx.doi.org%2F10.1088%2F1758-5090%2Fae6ad0" TargetMode="External" Type="http://schemas.openxmlformats.org/officeDocument/2006/relationships/hyperlink"/><Relationship Id="rId344" Target="https%3A%2F%2Fwww.webofscience.com%2Fwos%2Fwoscc%2Ffull-record%2FWOS%3A001791076700001" TargetMode="External" Type="http://schemas.openxmlformats.org/officeDocument/2006/relationships/hyperlink"/><Relationship Id="rId345" Target="http%3A%2F%2Fdx.doi.org%2F10.1016%2Fj.genrep.2026.102545" TargetMode="External" Type="http://schemas.openxmlformats.org/officeDocument/2006/relationships/hyperlink"/><Relationship Id="rId346" Target="https%3A%2F%2Fwww.webofscience.com%2Fwos%2Fwoscc%2Ffull-record%2FWOS%3A001791047500001" TargetMode="External" Type="http://schemas.openxmlformats.org/officeDocument/2006/relationships/hyperlink"/><Relationship Id="rId347" Target="http%3A%2F%2Fdx.doi.org%2F10.1016%2Fj.trac.2026.118930" TargetMode="External" Type="http://schemas.openxmlformats.org/officeDocument/2006/relationships/hyperlink"/><Relationship Id="rId348" Target="https%3A%2F%2Fwww.webofscience.com%2Fwos%2Fwoscc%2Ffull-record%2FWOS%3A001785823400001" TargetMode="External" Type="http://schemas.openxmlformats.org/officeDocument/2006/relationships/hyperlink"/><Relationship Id="rId349" Target="http%3A%2F%2Fdx.doi.org%2F10.1016%2Fj.cmpb.2026.109460" TargetMode="External" Type="http://schemas.openxmlformats.org/officeDocument/2006/relationships/hyperlink"/><Relationship Id="rId35" Target="http%3A%2F%2Fdx.doi.org%2F10.1080%2F21642583.2026.2640267" TargetMode="External" Type="http://schemas.openxmlformats.org/officeDocument/2006/relationships/hyperlink"/><Relationship Id="rId350" Target="https%3A%2F%2Fwww.webofscience.com%2Fwos%2Fwoscc%2Ffull-record%2FWOS%3A001782745800001" TargetMode="External" Type="http://schemas.openxmlformats.org/officeDocument/2006/relationships/hyperlink"/><Relationship Id="rId351" Target="http%3A%2F%2Fdx.doi.org%2F10.1016%2Fj.amjsurg.2026.117029" TargetMode="External" Type="http://schemas.openxmlformats.org/officeDocument/2006/relationships/hyperlink"/><Relationship Id="rId352" Target="https%3A%2F%2Fwww.webofscience.com%2Fwos%2Fwoscc%2Ffull-record%2FWOS%3A001779341600001" TargetMode="External" Type="http://schemas.openxmlformats.org/officeDocument/2006/relationships/hyperlink"/><Relationship Id="rId353" Target="http%3A%2F%2Fdx.doi.org%2F10.1016%2Fj.artmed.2026.103455" TargetMode="External" Type="http://schemas.openxmlformats.org/officeDocument/2006/relationships/hyperlink"/><Relationship Id="rId354" Target="https%3A%2F%2Fwww.webofscience.com%2Fwos%2Fwoscc%2Ffull-record%2FWOS%3A001779709500001" TargetMode="External" Type="http://schemas.openxmlformats.org/officeDocument/2006/relationships/hyperlink"/><Relationship Id="rId355" Target="http%3A%2F%2Fdx.doi.org%2F10.1016%2Fj.trac.2026.118899" TargetMode="External" Type="http://schemas.openxmlformats.org/officeDocument/2006/relationships/hyperlink"/><Relationship Id="rId356" Target="https%3A%2F%2Fwww.webofscience.com%2Fwos%2Fwoscc%2Ffull-record%2FWOS%3A001779284400001" TargetMode="External" Type="http://schemas.openxmlformats.org/officeDocument/2006/relationships/hyperlink"/><Relationship Id="rId357" Target="http%3A%2F%2Fdx.doi.org%2F10.1016%2Fj.trac.2026.118900" TargetMode="External" Type="http://schemas.openxmlformats.org/officeDocument/2006/relationships/hyperlink"/><Relationship Id="rId358" Target="https%3A%2F%2Fwww.webofscience.com%2Fwos%2Fwoscc%2Ffull-record%2FWOS%3A001780891500001" TargetMode="External" Type="http://schemas.openxmlformats.org/officeDocument/2006/relationships/hyperlink"/><Relationship Id="rId359" Target="http%3A%2F%2Fdx.doi.org%2F10.4103%2FNRR.NRR-D-25-00217" TargetMode="External" Type="http://schemas.openxmlformats.org/officeDocument/2006/relationships/hyperlink"/><Relationship Id="rId36" Target="https%3A%2F%2Fwww.webofscience.com%2Fwos%2Fwoscc%2Ffull-record%2FWOS%3A001708011500001" TargetMode="External" Type="http://schemas.openxmlformats.org/officeDocument/2006/relationships/hyperlink"/><Relationship Id="rId360" Target="https%3A%2F%2Fwww.webofscience.com%2Fwos%2Fwoscc%2Ffull-record%2FWOS%3A001768603900050" TargetMode="External" Type="http://schemas.openxmlformats.org/officeDocument/2006/relationships/hyperlink"/><Relationship Id="rId361" Target="http%3A%2F%2Fdx.doi.org%2F10.4103%2FNRR.NRR-D-25-00561" TargetMode="External" Type="http://schemas.openxmlformats.org/officeDocument/2006/relationships/hyperlink"/><Relationship Id="rId362" Target="https%3A%2F%2Fwww.webofscience.com%2Fwos%2Fwoscc%2Ffull-record%2FWOS%3A001768603900006" TargetMode="External" Type="http://schemas.openxmlformats.org/officeDocument/2006/relationships/hyperlink"/><Relationship Id="rId363" Target="http%3A%2F%2Fdx.doi.org%2F10.4103%2FNRR.NRR-D-25-00332" TargetMode="External" Type="http://schemas.openxmlformats.org/officeDocument/2006/relationships/hyperlink"/><Relationship Id="rId364" Target="https%3A%2F%2Fwww.webofscience.com%2Fwos%2Fwoscc%2Ffull-record%2FWOS%3A001768603900039" TargetMode="External" Type="http://schemas.openxmlformats.org/officeDocument/2006/relationships/hyperlink"/><Relationship Id="rId365" Target="http%3A%2F%2Fdx.doi.org%2F10.1016%2Fj.pmatsci.2026.101725" TargetMode="External" Type="http://schemas.openxmlformats.org/officeDocument/2006/relationships/hyperlink"/><Relationship Id="rId366" Target="https%3A%2F%2Fwww.webofscience.com%2Fwos%2Fwoscc%2Ffull-record%2FWOS%3A001750415100001" TargetMode="External" Type="http://schemas.openxmlformats.org/officeDocument/2006/relationships/hyperlink"/><Relationship Id="rId367" Target="http%3A%2F%2Fdx.doi.org%2F10.1016%2Fj.euromechflu.2026.204529" TargetMode="External" Type="http://schemas.openxmlformats.org/officeDocument/2006/relationships/hyperlink"/><Relationship Id="rId368" Target="https%3A%2F%2Fwww.webofscience.com%2Fwos%2Fwoscc%2Ffull-record%2FWOS%3A001734876600001" TargetMode="External" Type="http://schemas.openxmlformats.org/officeDocument/2006/relationships/hyperlink"/><Relationship Id="rId369" Target="http%3A%2F%2Fdx.doi.org%2F10.1088%2F1361-6579%2Fae8b71" TargetMode="External" Type="http://schemas.openxmlformats.org/officeDocument/2006/relationships/hyperlink"/><Relationship Id="rId37" Target="http%3A%2F%2Fdx.doi.org%2F10.1080%2F21642583.2026.2634452" TargetMode="External" Type="http://schemas.openxmlformats.org/officeDocument/2006/relationships/hyperlink"/><Relationship Id="rId370" Target="https%3A%2F%2Fwww.webofscience.com%2Fwos%2Fwoscc%2Ffull-record%2FWOS%3A001845930000001" TargetMode="External" Type="http://schemas.openxmlformats.org/officeDocument/2006/relationships/hyperlink"/><Relationship Id="rId371" Target="http%3A%2F%2Fdx.doi.org%2F10.1016%2Fj.pnpbp.2026.111872" TargetMode="External" Type="http://schemas.openxmlformats.org/officeDocument/2006/relationships/hyperlink"/><Relationship Id="rId372" Target="https%3A%2F%2Fwww.webofscience.com%2Fwos%2Fwoscc%2Ffull-record%2FWOS%3A001847452900001" TargetMode="External" Type="http://schemas.openxmlformats.org/officeDocument/2006/relationships/hyperlink"/><Relationship Id="rId373" Target="http%3A%2F%2Fdx.doi.org%2F10.1149%2F1945-7111%2Fae9647" TargetMode="External" Type="http://schemas.openxmlformats.org/officeDocument/2006/relationships/hyperlink"/><Relationship Id="rId374" Target="https%3A%2F%2Fwww.webofscience.com%2Fwos%2Fwoscc%2Ffull-record%2FWOS%3A001854500700001" TargetMode="External" Type="http://schemas.openxmlformats.org/officeDocument/2006/relationships/hyperlink"/><Relationship Id="rId375" Target="http%3A%2F%2Fdx.doi.org%2F10.1016%2Fj.neuroscience.2026.05.036" TargetMode="External" Type="http://schemas.openxmlformats.org/officeDocument/2006/relationships/hyperlink"/><Relationship Id="rId376" Target="https%3A%2F%2Fwww.webofscience.com%2Fwos%2Fwoscc%2Ffull-record%2FWOS%3A001797701800001" TargetMode="External" Type="http://schemas.openxmlformats.org/officeDocument/2006/relationships/hyperlink"/><Relationship Id="rId377" Target="http%3A%2F%2Fdx.doi.org%2F10.1016%2Fj.eswa.2026.132559" TargetMode="External" Type="http://schemas.openxmlformats.org/officeDocument/2006/relationships/hyperlink"/><Relationship Id="rId378" Target="https%3A%2F%2Fwww.webofscience.com%2Fwos%2Fwoscc%2Ffull-record%2FWOS%3A001759464700001" TargetMode="External" Type="http://schemas.openxmlformats.org/officeDocument/2006/relationships/hyperlink"/><Relationship Id="rId379" Target="http%3A%2F%2Fdx.doi.org%2F10.1007%2Fs00604-026-08257-3" TargetMode="External" Type="http://schemas.openxmlformats.org/officeDocument/2006/relationships/hyperlink"/><Relationship Id="rId38" Target="https%3A%2F%2Fwww.webofscience.com%2Fwos%2Fwoscc%2Ffull-record%2FWOS%3A001703157900001" TargetMode="External" Type="http://schemas.openxmlformats.org/officeDocument/2006/relationships/hyperlink"/><Relationship Id="rId380" Target="https%3A%2F%2Fwww.webofscience.com%2Fwos%2Fwoscc%2Ffull-record%2FWOS%3A001854336400001" TargetMode="External" Type="http://schemas.openxmlformats.org/officeDocument/2006/relationships/hyperlink"/><Relationship Id="rId381" Target="http%3A%2F%2Fdx.doi.org%2F10.1080%2F14737167.2026.2719628" TargetMode="External" Type="http://schemas.openxmlformats.org/officeDocument/2006/relationships/hyperlink"/><Relationship Id="rId382" Target="https%3A%2F%2Fwww.webofscience.com%2Fwos%2Fwoscc%2Ffull-record%2FWOS%3A001853992100001" TargetMode="External" Type="http://schemas.openxmlformats.org/officeDocument/2006/relationships/hyperlink"/><Relationship Id="rId383" Target="http%3A%2F%2Fdx.doi.org%2F10.3748%2Fwjg.117869" TargetMode="External" Type="http://schemas.openxmlformats.org/officeDocument/2006/relationships/hyperlink"/><Relationship Id="rId384" Target="https%3A%2F%2Fwww.webofscience.com%2Fwos%2Fwoscc%2Ffull-record%2FWOS%3A001853790600010" TargetMode="External" Type="http://schemas.openxmlformats.org/officeDocument/2006/relationships/hyperlink"/><Relationship Id="rId385" Target="http%3A%2F%2Fdx.doi.org%2F10.1007%2Fs11102-026-01747-w" TargetMode="External" Type="http://schemas.openxmlformats.org/officeDocument/2006/relationships/hyperlink"/><Relationship Id="rId386" Target="https%3A%2F%2Fwww.webofscience.com%2Fwos%2Fwoscc%2Ffull-record%2FWOS%3A001854681600002" TargetMode="External" Type="http://schemas.openxmlformats.org/officeDocument/2006/relationships/hyperlink"/><Relationship Id="rId387" Target="http%3A%2F%2Fdx.doi.org%2F10.1140%2Fepjs%2Fs11734-026-02571-w" TargetMode="External" Type="http://schemas.openxmlformats.org/officeDocument/2006/relationships/hyperlink"/><Relationship Id="rId388" Target="https%3A%2F%2Fwww.webofscience.com%2Fwos%2Fwoscc%2Ffull-record%2FWOS%3A001854153000001" TargetMode="External" Type="http://schemas.openxmlformats.org/officeDocument/2006/relationships/hyperlink"/><Relationship Id="rId389" Target="http%3A%2F%2Fdx.doi.org%2F10.1007%2Fs00417-026-07390-2" TargetMode="External" Type="http://schemas.openxmlformats.org/officeDocument/2006/relationships/hyperlink"/><Relationship Id="rId39" Target="http%3A%2F%2Fdx.doi.org%2F10.1080%2F26895293.2026.2634576" TargetMode="External" Type="http://schemas.openxmlformats.org/officeDocument/2006/relationships/hyperlink"/><Relationship Id="rId390" Target="https%3A%2F%2Fwww.webofscience.com%2Fwos%2Fwoscc%2Ffull-record%2FWOS%3A001854187800001" TargetMode="External" Type="http://schemas.openxmlformats.org/officeDocument/2006/relationships/hyperlink"/><Relationship Id="rId391" Target="http%3A%2F%2Fdx.doi.org%2F10.1007%2Fs10877-026-01449-5" TargetMode="External" Type="http://schemas.openxmlformats.org/officeDocument/2006/relationships/hyperlink"/><Relationship Id="rId392" Target="https%3A%2F%2Fwww.webofscience.com%2Fwos%2Fwoscc%2Ffull-record%2FWOS%3A001854189800001" TargetMode="External" Type="http://schemas.openxmlformats.org/officeDocument/2006/relationships/hyperlink"/><Relationship Id="rId393" Target="http%3A%2F%2Fdx.doi.org%2F10.1038%2Fs41586-026-10687-1" TargetMode="External" Type="http://schemas.openxmlformats.org/officeDocument/2006/relationships/hyperlink"/><Relationship Id="rId394" Target="https%3A%2F%2Fwww.webofscience.com%2Fwos%2Fwoscc%2Ffull-record%2FWOS%3A001854072500034" TargetMode="External" Type="http://schemas.openxmlformats.org/officeDocument/2006/relationships/hyperlink"/><Relationship Id="rId395" Target="http%3A%2F%2Fdx.doi.org%2F10.1007%2Fs11695-026-08908-7" TargetMode="External" Type="http://schemas.openxmlformats.org/officeDocument/2006/relationships/hyperlink"/><Relationship Id="rId396" Target="https%3A%2F%2Fwww.webofscience.com%2Fwos%2Fwoscc%2Ffull-record%2FWOS%3A001854189700001" TargetMode="External" Type="http://schemas.openxmlformats.org/officeDocument/2006/relationships/hyperlink"/><Relationship Id="rId397" Target="http%3A%2F%2Fdx.doi.org%2F10.1016%2Fj.gene.2026.150217" TargetMode="External" Type="http://schemas.openxmlformats.org/officeDocument/2006/relationships/hyperlink"/><Relationship Id="rId398" Target="https%3A%2F%2Fwww.webofscience.com%2Fwos%2Fwoscc%2Ffull-record%2FWOS%3A001778120100001" TargetMode="External" Type="http://schemas.openxmlformats.org/officeDocument/2006/relationships/hyperlink"/><Relationship Id="rId399" Target="http%3A%2F%2Fdx.doi.org%2F10.1007%2Fs13198-026-03379-6" TargetMode="External" Type="http://schemas.openxmlformats.org/officeDocument/2006/relationships/hyperlink"/><Relationship Id="rId4" Target="https%3A%2F%2Fwww.webofscience.com%2Fwos%2Fwoscc%2Ffull-record%2FWOS%3A001852347300001" TargetMode="External" Type="http://schemas.openxmlformats.org/officeDocument/2006/relationships/hyperlink"/><Relationship Id="rId40" Target="https%3A%2F%2Fwww.webofscience.com%2Fwos%2Fwoscc%2Ffull-record%2FWOS%3A001696573000001" TargetMode="External" Type="http://schemas.openxmlformats.org/officeDocument/2006/relationships/hyperlink"/><Relationship Id="rId400" Target="https%3A%2F%2Fwww.webofscience.com%2Fwos%2Fwoscc%2Ffull-record%2FWOS%3A001853036600001" TargetMode="External" Type="http://schemas.openxmlformats.org/officeDocument/2006/relationships/hyperlink"/><Relationship Id="rId41" Target="http%3A%2F%2Fdx.doi.org%2F10.1080%2F14767058.2025.2582375" TargetMode="External" Type="http://schemas.openxmlformats.org/officeDocument/2006/relationships/hyperlink"/><Relationship Id="rId42" Target="https%3A%2F%2Fwww.webofscience.com%2Fwos%2Fwoscc%2Ffull-record%2FWOS%3A001685465100001" TargetMode="External" Type="http://schemas.openxmlformats.org/officeDocument/2006/relationships/hyperlink"/><Relationship Id="rId43" Target="http%3A%2F%2Fdx.doi.org%2F10.1080%2F0886022X.2026.2613606" TargetMode="External" Type="http://schemas.openxmlformats.org/officeDocument/2006/relationships/hyperlink"/><Relationship Id="rId44" Target="https%3A%2F%2Fwww.webofscience.com%2Fwos%2Fwoscc%2Ffull-record%2FWOS%3A001683454400001" TargetMode="External" Type="http://schemas.openxmlformats.org/officeDocument/2006/relationships/hyperlink"/><Relationship Id="rId45" Target="http%3A%2F%2Fdx.doi.org%2F10.1080%2F07853890.2026.2620191" TargetMode="External" Type="http://schemas.openxmlformats.org/officeDocument/2006/relationships/hyperlink"/><Relationship Id="rId46" Target="https%3A%2F%2Fwww.webofscience.com%2Fwos%2Fwoscc%2Ffull-record%2FWOS%3A001673401200001" TargetMode="External" Type="http://schemas.openxmlformats.org/officeDocument/2006/relationships/hyperlink"/><Relationship Id="rId47" Target="http%3A%2F%2Fdx.doi.org%2F10.1080%2F07853890.2025.2594356" TargetMode="External" Type="http://schemas.openxmlformats.org/officeDocument/2006/relationships/hyperlink"/><Relationship Id="rId48" Target="https%3A%2F%2Fwww.webofscience.com%2Fwos%2Fwoscc%2Ffull-record%2FWOS%3A001650523200001" TargetMode="External" Type="http://schemas.openxmlformats.org/officeDocument/2006/relationships/hyperlink"/><Relationship Id="rId49" Target="http%3A%2F%2Fdx.doi.org%2F10.1080%2F24699322.2025.2597553" TargetMode="External" Type="http://schemas.openxmlformats.org/officeDocument/2006/relationships/hyperlink"/><Relationship Id="rId5" Target="http%3A%2F%2Fdx.doi.org%2F10.1080%2F10717544.2026.2713415" TargetMode="External" Type="http://schemas.openxmlformats.org/officeDocument/2006/relationships/hyperlink"/><Relationship Id="rId50" Target="https%3A%2F%2Fwww.webofscience.com%2Fwos%2Fwoscc%2Ffull-record%2FWOS%3A001649096500001" TargetMode="External" Type="http://schemas.openxmlformats.org/officeDocument/2006/relationships/hyperlink"/><Relationship Id="rId51" Target="http%3A%2F%2Fdx.doi.org%2F10.1080%2F23311916.2025.2605950" TargetMode="External" Type="http://schemas.openxmlformats.org/officeDocument/2006/relationships/hyperlink"/><Relationship Id="rId52" Target="https%3A%2F%2Fwww.webofscience.com%2Fwos%2Fwoscc%2Ffull-record%2FWOS%3A001648351400001" TargetMode="External" Type="http://schemas.openxmlformats.org/officeDocument/2006/relationships/hyperlink"/><Relationship Id="rId53" Target="http%3A%2F%2Fdx.doi.org%2F10.3174%2Fajnr.A8943" TargetMode="External" Type="http://schemas.openxmlformats.org/officeDocument/2006/relationships/hyperlink"/><Relationship Id="rId54" Target="https%3A%2F%2Fwww.webofscience.com%2Fwos%2Fwoscc%2Ffull-record%2FWOS%3A001651210300001" TargetMode="External" Type="http://schemas.openxmlformats.org/officeDocument/2006/relationships/hyperlink"/><Relationship Id="rId55" Target="http%3A%2F%2Fdx.doi.org%2F10.1016%2Fj.jestch.2025.102264" TargetMode="External" Type="http://schemas.openxmlformats.org/officeDocument/2006/relationships/hyperlink"/><Relationship Id="rId56" Target="https%3A%2F%2Fwww.webofscience.com%2Fwos%2Fwoscc%2Ffull-record%2FWOS%3A001650190600001" TargetMode="External" Type="http://schemas.openxmlformats.org/officeDocument/2006/relationships/hyperlink"/><Relationship Id="rId57" Target="http%3A%2F%2Fdx.doi.org%2F10.1016%2Fj.eswa.2026.133320" TargetMode="External" Type="http://schemas.openxmlformats.org/officeDocument/2006/relationships/hyperlink"/><Relationship Id="rId58" Target="https%3A%2F%2Fwww.webofscience.com%2Fwos%2Fwoscc%2Ffull-record%2FWOS%3A001807840800003" TargetMode="External" Type="http://schemas.openxmlformats.org/officeDocument/2006/relationships/hyperlink"/><Relationship Id="rId59" Target="http%3A%2F%2Fdx.doi.org%2F10.1108%2FATSIP-02-2026-005" TargetMode="External" Type="http://schemas.openxmlformats.org/officeDocument/2006/relationships/hyperlink"/><Relationship Id="rId6" Target="https%3A%2F%2Fwww.webofscience.com%2Fwos%2Fwoscc%2Ffull-record%2FWOS%3A001849407900001" TargetMode="External" Type="http://schemas.openxmlformats.org/officeDocument/2006/relationships/hyperlink"/><Relationship Id="rId60" Target="https%3A%2F%2Fwww.webofscience.com%2Fwos%2Fwoscc%2Ffull-record%2FWOS%3A001718313400001" TargetMode="External" Type="http://schemas.openxmlformats.org/officeDocument/2006/relationships/hyperlink"/><Relationship Id="rId61" Target="http%3A%2F%2Fdx.doi.org%2F10.1016%2Fj.bspc.2026.111230" TargetMode="External" Type="http://schemas.openxmlformats.org/officeDocument/2006/relationships/hyperlink"/><Relationship Id="rId62" Target="https%3A%2F%2Fwww.webofscience.com%2Fwos%2Fwoscc%2Ffull-record%2FWOS%3A001850922800001" TargetMode="External" Type="http://schemas.openxmlformats.org/officeDocument/2006/relationships/hyperlink"/><Relationship Id="rId63" Target="http%3A%2F%2Fdx.doi.org%2F10.1016%2Fj.lpm.2026.104376" TargetMode="External" Type="http://schemas.openxmlformats.org/officeDocument/2006/relationships/hyperlink"/><Relationship Id="rId64" Target="https%3A%2F%2Fwww.webofscience.com%2Fwos%2Fwoscc%2Ffull-record%2FWOS%3A001847577500001" TargetMode="External" Type="http://schemas.openxmlformats.org/officeDocument/2006/relationships/hyperlink"/><Relationship Id="rId65" Target="http%3A%2F%2Fdx.doi.org%2F10.1016%2Fj.caeai.2026.100654" TargetMode="External" Type="http://schemas.openxmlformats.org/officeDocument/2006/relationships/hyperlink"/><Relationship Id="rId66" Target="https%3A%2F%2Fwww.webofscience.com%2Fwos%2Fwoscc%2Ffull-record%2FWOS%3A001846525600001" TargetMode="External" Type="http://schemas.openxmlformats.org/officeDocument/2006/relationships/hyperlink"/><Relationship Id="rId67" Target="http%3A%2F%2Fdx.doi.org%2F10.1016%2Fj.bioadv.2026.215097" TargetMode="External" Type="http://schemas.openxmlformats.org/officeDocument/2006/relationships/hyperlink"/><Relationship Id="rId68" Target="https%3A%2F%2Fwww.webofscience.com%2Fwos%2Fwoscc%2Ffull-record%2FWOS%3A001843970600001" TargetMode="External" Type="http://schemas.openxmlformats.org/officeDocument/2006/relationships/hyperlink"/><Relationship Id="rId69" Target="http%3A%2F%2Fdx.doi.org%2F10.1016%2Fj.jdent.2026.106944" TargetMode="External" Type="http://schemas.openxmlformats.org/officeDocument/2006/relationships/hyperlink"/><Relationship Id="rId7" Target="http%3A%2F%2Fdx.doi.org%2F10.1080%2F24699322.2026.2692844" TargetMode="External" Type="http://schemas.openxmlformats.org/officeDocument/2006/relationships/hyperlink"/><Relationship Id="rId70" Target="https%3A%2F%2Fwww.webofscience.com%2Fwos%2Fwoscc%2Ffull-record%2FWOS%3A001844943100001" TargetMode="External" Type="http://schemas.openxmlformats.org/officeDocument/2006/relationships/hyperlink"/><Relationship Id="rId71" Target="http%3A%2F%2Fdx.doi.org%2F10.1016%2Fj.compbiolchem.2026.109280" TargetMode="External" Type="http://schemas.openxmlformats.org/officeDocument/2006/relationships/hyperlink"/><Relationship Id="rId72" Target="https%3A%2F%2Fwww.webofscience.com%2Fwos%2Fwoscc%2Ffull-record%2FWOS%3A001843234300001" TargetMode="External" Type="http://schemas.openxmlformats.org/officeDocument/2006/relationships/hyperlink"/><Relationship Id="rId73" Target="http%3A%2F%2Fdx.doi.org%2F10.1016%2Fj.rineng.2026.112247" TargetMode="External" Type="http://schemas.openxmlformats.org/officeDocument/2006/relationships/hyperlink"/><Relationship Id="rId74" Target="https%3A%2F%2Fwww.webofscience.com%2Fwos%2Fwoscc%2Ffull-record%2FWOS%3A001840089200001" TargetMode="External" Type="http://schemas.openxmlformats.org/officeDocument/2006/relationships/hyperlink"/><Relationship Id="rId75" Target="http%3A%2F%2Fdx.doi.org%2F10.1016%2Fj.nedt.2026.107299" TargetMode="External" Type="http://schemas.openxmlformats.org/officeDocument/2006/relationships/hyperlink"/><Relationship Id="rId76" Target="https%3A%2F%2Fwww.webofscience.com%2Fwos%2Fwoscc%2Ffull-record%2FWOS%3A001837448100001" TargetMode="External" Type="http://schemas.openxmlformats.org/officeDocument/2006/relationships/hyperlink"/><Relationship Id="rId77" Target="http%3A%2F%2Fdx.doi.org%2F10.1016%2Fj.rineng.2026.112050" TargetMode="External" Type="http://schemas.openxmlformats.org/officeDocument/2006/relationships/hyperlink"/><Relationship Id="rId78" Target="https%3A%2F%2Fwww.webofscience.com%2Fwos%2Fwoscc%2Ffull-record%2FWOS%3A001838793400001" TargetMode="External" Type="http://schemas.openxmlformats.org/officeDocument/2006/relationships/hyperlink"/><Relationship Id="rId79" Target="http%3A%2F%2Fdx.doi.org%2F10.1016%2Fj.nxnano.2026.100626" TargetMode="External" Type="http://schemas.openxmlformats.org/officeDocument/2006/relationships/hyperlink"/><Relationship Id="rId8" Target="https%3A%2F%2Fwww.webofscience.com%2Fwos%2Fwoscc%2Ffull-record%2FWOS%3A001849865100001" TargetMode="External" Type="http://schemas.openxmlformats.org/officeDocument/2006/relationships/hyperlink"/><Relationship Id="rId80" Target="https%3A%2F%2Fwww.webofscience.com%2Fwos%2Fwoscc%2Ffull-record%2FWOS%3A001834088200001" TargetMode="External" Type="http://schemas.openxmlformats.org/officeDocument/2006/relationships/hyperlink"/><Relationship Id="rId81" Target="http%3A%2F%2Fdx.doi.org%2F10.1016%2Fj.nxnano.2026.100618" TargetMode="External" Type="http://schemas.openxmlformats.org/officeDocument/2006/relationships/hyperlink"/><Relationship Id="rId82" Target="https%3A%2F%2Fwww.webofscience.com%2Fwos%2Fwoscc%2Ffull-record%2FWOS%3A001827629800001" TargetMode="External" Type="http://schemas.openxmlformats.org/officeDocument/2006/relationships/hyperlink"/><Relationship Id="rId83" Target="http%3A%2F%2Fdx.doi.org%2F10.1016%2Fj.trre.2026.101041" TargetMode="External" Type="http://schemas.openxmlformats.org/officeDocument/2006/relationships/hyperlink"/><Relationship Id="rId84" Target="https%3A%2F%2Fwww.webofscience.com%2Fwos%2Fwoscc%2Ffull-record%2FWOS%3A001828050400001" TargetMode="External" Type="http://schemas.openxmlformats.org/officeDocument/2006/relationships/hyperlink"/><Relationship Id="rId85" Target="http%3A%2F%2Fdx.doi.org%2F10.1016%2Fj.ortho.2026.101211" TargetMode="External" Type="http://schemas.openxmlformats.org/officeDocument/2006/relationships/hyperlink"/><Relationship Id="rId86" Target="https%3A%2F%2Fwww.webofscience.com%2Fwos%2Fwoscc%2Ffull-record%2FWOS%3A001825254800001" TargetMode="External" Type="http://schemas.openxmlformats.org/officeDocument/2006/relationships/hyperlink"/><Relationship Id="rId87" Target="http%3A%2F%2Fdx.doi.org%2F10.1016%2Fj.lpm.2026.104371" TargetMode="External" Type="http://schemas.openxmlformats.org/officeDocument/2006/relationships/hyperlink"/><Relationship Id="rId88" Target="https%3A%2F%2Fwww.webofscience.com%2Fwos%2Fwoscc%2Ffull-record%2FWOS%3A001825331000001" TargetMode="External" Type="http://schemas.openxmlformats.org/officeDocument/2006/relationships/hyperlink"/><Relationship Id="rId89" Target="http%3A%2F%2Fdx.doi.org%2F10.1016%2Fj.displa.2026.103544" TargetMode="External" Type="http://schemas.openxmlformats.org/officeDocument/2006/relationships/hyperlink"/><Relationship Id="rId9" Target="http%3A%2F%2Fdx.doi.org%2F10.1080%2F00049530.2026.2710168" TargetMode="External" Type="http://schemas.openxmlformats.org/officeDocument/2006/relationships/hyperlink"/><Relationship Id="rId90" Target="https%3A%2F%2Fwww.webofscience.com%2Fwos%2Fwoscc%2Ffull-record%2FWOS%3A001782744700001" TargetMode="External" Type="http://schemas.openxmlformats.org/officeDocument/2006/relationships/hyperlink"/><Relationship Id="rId91" Target="http%3A%2F%2Fdx.doi.org%2F10.1016%2Fj.jdsr.2026.03.001" TargetMode="External" Type="http://schemas.openxmlformats.org/officeDocument/2006/relationships/hyperlink"/><Relationship Id="rId92" Target="https%3A%2F%2Fwww.webofscience.com%2Fwos%2Fwoscc%2Ffull-record%2FWOS%3A001735336700001" TargetMode="External" Type="http://schemas.openxmlformats.org/officeDocument/2006/relationships/hyperlink"/><Relationship Id="rId93" Target="http%3A%2F%2Fdx.doi.org%2F10.1016%2Fj.ijmedinf.2026.106667" TargetMode="External" Type="http://schemas.openxmlformats.org/officeDocument/2006/relationships/hyperlink"/><Relationship Id="rId94" Target="https%3A%2F%2Fwww.webofscience.com%2Fwos%2Fwoscc%2Ffull-record%2FWOS%3A001854328800001" TargetMode="External" Type="http://schemas.openxmlformats.org/officeDocument/2006/relationships/hyperlink"/><Relationship Id="rId95" Target="http%3A%2F%2Fdx.doi.org%2F10.1016%2Fj.ijmedinf.2026.106645" TargetMode="External" Type="http://schemas.openxmlformats.org/officeDocument/2006/relationships/hyperlink"/><Relationship Id="rId96" Target="https%3A%2F%2Fwww.webofscience.com%2Fwos%2Fwoscc%2Ffull-record%2FWOS%3A001852384500002" TargetMode="External" Type="http://schemas.openxmlformats.org/officeDocument/2006/relationships/hyperlink"/><Relationship Id="rId97" Target="http%3A%2F%2Fdx.doi.org%2F10.1016%2Fj.ijmedinf.2026.106643" TargetMode="External" Type="http://schemas.openxmlformats.org/officeDocument/2006/relationships/hyperlink"/><Relationship Id="rId98" Target="https%3A%2F%2Fwww.webofscience.com%2Fwos%2Fwoscc%2Ffull-record%2FWOS%3A001851756400001" TargetMode="External" Type="http://schemas.openxmlformats.org/officeDocument/2006/relationships/hyperlink"/><Relationship Id="rId99" Target="http%3A%2F%2Fdx.doi.org%2F10.1016%2Fj.mssp.2026.11103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202"/>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77</v>
      </c>
      <c r="D2" t="s" s="0">
        <v>77</v>
      </c>
      <c r="E2" t="s" s="0">
        <v>78</v>
      </c>
      <c r="F2" t="s" s="0">
        <v>79</v>
      </c>
      <c r="G2" t="s" s="0">
        <v>80</v>
      </c>
      <c r="H2" t="s" s="0">
        <v>81</v>
      </c>
      <c r="I2" t="s" s="0">
        <v>82</v>
      </c>
      <c r="J2" t="s" s="0">
        <v>83</v>
      </c>
      <c r="K2" t="s" s="0">
        <v>84</v>
      </c>
      <c r="L2" t="s" s="0">
        <v>85</v>
      </c>
      <c r="M2" t="s" s="0">
        <v>86</v>
      </c>
      <c r="N2" t="s" s="0">
        <v>87</v>
      </c>
      <c r="O2" t="s" s="0">
        <v>88</v>
      </c>
      <c r="P2" t="s" s="0">
        <v>89</v>
      </c>
      <c r="Q2" t="s" s="0">
        <v>90</v>
      </c>
      <c r="R2" t="s" s="0">
        <v>81</v>
      </c>
      <c r="S2" t="s" s="0">
        <v>81</v>
      </c>
      <c r="T2" t="s" s="0">
        <v>81</v>
      </c>
      <c r="U2" t="s" s="0">
        <v>81</v>
      </c>
      <c r="V2" t="s" s="0">
        <v>91</v>
      </c>
      <c r="W2" t="s" s="0">
        <v>92</v>
      </c>
      <c r="X2" t="s" s="0">
        <v>81</v>
      </c>
      <c r="Y2" t="s" s="0">
        <v>81</v>
      </c>
      <c r="Z2" t="s" s="0">
        <v>93</v>
      </c>
      <c r="AA2" t="s" s="0">
        <v>94</v>
      </c>
      <c r="AB2" t="s" s="0">
        <v>81</v>
      </c>
      <c r="AC2" t="s" s="0">
        <v>81</v>
      </c>
      <c r="AD2" t="s" s="0">
        <v>81</v>
      </c>
      <c r="AE2" t="s" s="0">
        <v>81</v>
      </c>
      <c r="AF2" t="s" s="0">
        <v>81</v>
      </c>
      <c r="AG2" t="s" s="0">
        <v>95</v>
      </c>
      <c r="AH2" t="s" s="0">
        <v>96</v>
      </c>
      <c r="AI2" t="s" s="0">
        <v>81</v>
      </c>
      <c r="AJ2" t="s" s="0">
        <v>81</v>
      </c>
      <c r="AK2" t="s" s="0">
        <v>81</v>
      </c>
      <c r="AL2" t="s" s="0">
        <v>97</v>
      </c>
      <c r="AM2" t="s" s="0">
        <v>77</v>
      </c>
      <c r="AN2" t="s" s="0">
        <v>77</v>
      </c>
      <c r="AO2" t="s" s="0">
        <v>77</v>
      </c>
      <c r="AP2" t="s" s="0">
        <v>77</v>
      </c>
      <c r="AQ2" t="s" s="0">
        <v>98</v>
      </c>
      <c r="AR2" t="s" s="0">
        <v>99</v>
      </c>
      <c r="AS2" t="s" s="0">
        <v>100</v>
      </c>
      <c r="AT2" t="s" s="0">
        <v>101</v>
      </c>
      <c r="AU2" t="s" s="0">
        <v>102</v>
      </c>
      <c r="AV2" t="s" s="0">
        <v>81</v>
      </c>
      <c r="AW2" t="s" s="0">
        <v>103</v>
      </c>
      <c r="AX2" t="s" s="0">
        <v>104</v>
      </c>
      <c r="AY2" t="s" s="0">
        <v>105</v>
      </c>
      <c r="AZ2" t="s" s="0">
        <v>106</v>
      </c>
      <c r="BA2" t="s" s="0">
        <v>107</v>
      </c>
      <c r="BB2" t="s" s="0">
        <v>108</v>
      </c>
      <c r="BC2" t="s" s="0">
        <v>81</v>
      </c>
      <c r="BD2" t="s" s="0">
        <v>81</v>
      </c>
      <c r="BE2" t="s" s="0">
        <v>81</v>
      </c>
      <c r="BF2" t="s" s="0">
        <v>81</v>
      </c>
      <c r="BG2" t="s" s="0">
        <v>109</v>
      </c>
      <c r="BH2" t="s" s="0">
        <v>110</v>
      </c>
      <c r="BI2" t="s" s="0">
        <v>81</v>
      </c>
      <c r="BJ2" t="s" s="0">
        <v>111</v>
      </c>
      <c r="BK2" t="s" s="1">
        <f>HYPERLINK("http://dx.doi.org/10.1080/01902148.2026.2712149","http://dx.doi.org/10.1080/01902148.2026.2712149")</f>
        <v>112</v>
      </c>
      <c r="BL2" t="s" s="0">
        <v>81</v>
      </c>
      <c r="BM2" t="s" s="0">
        <v>81</v>
      </c>
      <c r="BN2" t="s" s="0">
        <v>113</v>
      </c>
      <c r="BO2" t="s" s="0">
        <v>114</v>
      </c>
      <c r="BP2" t="s" s="0">
        <v>114</v>
      </c>
      <c r="BQ2" t="s" s="0">
        <v>115</v>
      </c>
      <c r="BR2" t="s" s="0">
        <v>116</v>
      </c>
      <c r="BS2" t="s" s="0">
        <v>117</v>
      </c>
      <c r="BT2" t="s" s="2">
        <f>HYPERLINK("https://www.webofscience.com/wos/woscc/full-record/WOS:001852603400001","View Record in Web of Science")</f>
        <v>118</v>
      </c>
      <c r="BU2" t="s" s="0">
        <v>119</v>
      </c>
      <c r="BV2" t="s" s="0">
        <v>81</v>
      </c>
      <c r="BW2" t="s" s="0">
        <v>81</v>
      </c>
      <c r="BX2" t="s" s="0">
        <v>120</v>
      </c>
    </row>
    <row r="3">
      <c r="A3" t="s" s="0">
        <v>77</v>
      </c>
      <c r="B3" t="s" s="0">
        <v>77</v>
      </c>
      <c r="C3" t="s" s="0">
        <v>77</v>
      </c>
      <c r="D3" t="s" s="0">
        <v>77</v>
      </c>
      <c r="E3" t="s" s="0">
        <v>121</v>
      </c>
      <c r="F3" t="s" s="0">
        <v>122</v>
      </c>
      <c r="G3" t="s" s="0">
        <v>123</v>
      </c>
      <c r="H3" t="s" s="0">
        <v>81</v>
      </c>
      <c r="I3" t="s" s="0">
        <v>124</v>
      </c>
      <c r="J3" t="s" s="0">
        <v>125</v>
      </c>
      <c r="K3" t="s" s="0">
        <v>126</v>
      </c>
      <c r="L3" t="s" s="0">
        <v>81</v>
      </c>
      <c r="M3" t="s" s="0">
        <v>81</v>
      </c>
      <c r="N3" t="s" s="0">
        <v>81</v>
      </c>
      <c r="O3" t="s" s="0">
        <v>127</v>
      </c>
      <c r="P3" t="s" s="0">
        <v>81</v>
      </c>
      <c r="Q3" t="s" s="0">
        <v>90</v>
      </c>
      <c r="R3" t="s" s="0">
        <v>81</v>
      </c>
      <c r="S3" t="s" s="0">
        <v>81</v>
      </c>
      <c r="T3" t="s" s="0">
        <v>81</v>
      </c>
      <c r="U3" t="s" s="0">
        <v>81</v>
      </c>
      <c r="V3" t="s" s="0">
        <v>128</v>
      </c>
      <c r="W3" t="s" s="0">
        <v>129</v>
      </c>
      <c r="X3" t="s" s="0">
        <v>81</v>
      </c>
      <c r="Y3" t="s" s="0">
        <v>81</v>
      </c>
      <c r="Z3" t="s" s="0">
        <v>93</v>
      </c>
      <c r="AA3" t="s" s="0">
        <v>94</v>
      </c>
      <c r="AB3" t="s" s="0">
        <v>81</v>
      </c>
      <c r="AC3" t="s" s="0">
        <v>81</v>
      </c>
      <c r="AD3" t="s" s="0">
        <v>81</v>
      </c>
      <c r="AE3" t="s" s="0">
        <v>81</v>
      </c>
      <c r="AF3" t="s" s="0">
        <v>81</v>
      </c>
      <c r="AG3" t="s" s="0">
        <v>130</v>
      </c>
      <c r="AH3" t="s" s="0">
        <v>131</v>
      </c>
      <c r="AI3" t="s" s="0">
        <v>81</v>
      </c>
      <c r="AJ3" t="s" s="0">
        <v>81</v>
      </c>
      <c r="AK3" t="s" s="0">
        <v>81</v>
      </c>
      <c r="AL3" t="s" s="0">
        <v>132</v>
      </c>
      <c r="AM3" t="s" s="0">
        <v>77</v>
      </c>
      <c r="AN3" t="s" s="0">
        <v>77</v>
      </c>
      <c r="AO3" t="s" s="0">
        <v>77</v>
      </c>
      <c r="AP3" t="s" s="0">
        <v>77</v>
      </c>
      <c r="AQ3" t="s" s="0">
        <v>133</v>
      </c>
      <c r="AR3" t="s" s="0">
        <v>134</v>
      </c>
      <c r="AS3" t="s" s="0">
        <v>135</v>
      </c>
      <c r="AT3" t="s" s="0">
        <v>136</v>
      </c>
      <c r="AU3" t="s" s="0">
        <v>137</v>
      </c>
      <c r="AV3" t="s" s="0">
        <v>81</v>
      </c>
      <c r="AW3" t="s" s="0">
        <v>138</v>
      </c>
      <c r="AX3" t="s" s="0">
        <v>139</v>
      </c>
      <c r="AY3" t="s" s="0">
        <v>105</v>
      </c>
      <c r="AZ3" t="s" s="0">
        <v>106</v>
      </c>
      <c r="BA3" t="s" s="0">
        <v>140</v>
      </c>
      <c r="BB3" t="s" s="0">
        <v>108</v>
      </c>
      <c r="BC3" t="s" s="0">
        <v>81</v>
      </c>
      <c r="BD3" t="s" s="0">
        <v>81</v>
      </c>
      <c r="BE3" t="s" s="0">
        <v>81</v>
      </c>
      <c r="BF3" t="s" s="0">
        <v>81</v>
      </c>
      <c r="BG3" t="s" s="0">
        <v>81</v>
      </c>
      <c r="BH3" t="s" s="0">
        <v>81</v>
      </c>
      <c r="BI3" t="s" s="0">
        <v>141</v>
      </c>
      <c r="BJ3" t="s" s="0">
        <v>142</v>
      </c>
      <c r="BK3" t="s" s="3">
        <f>HYPERLINK("http://dx.doi.org/10.1080/14796708.2026.2716256","http://dx.doi.org/10.1080/14796708.2026.2716256")</f>
        <v>143</v>
      </c>
      <c r="BL3" t="s" s="0">
        <v>81</v>
      </c>
      <c r="BM3" t="s" s="0">
        <v>81</v>
      </c>
      <c r="BN3" t="s" s="0">
        <v>144</v>
      </c>
      <c r="BO3" t="s" s="0">
        <v>145</v>
      </c>
      <c r="BP3" t="s" s="0">
        <v>146</v>
      </c>
      <c r="BQ3" t="s" s="0">
        <v>147</v>
      </c>
      <c r="BR3" t="s" s="0">
        <v>81</v>
      </c>
      <c r="BS3" t="s" s="0">
        <v>148</v>
      </c>
      <c r="BT3" t="s" s="4">
        <f>HYPERLINK("https://www.webofscience.com/wos/woscc/full-record/WOS:001852347300001","View Record in Web of Science")</f>
        <v>118</v>
      </c>
      <c r="BU3" t="s" s="0">
        <v>119</v>
      </c>
      <c r="BV3" t="s" s="0">
        <v>81</v>
      </c>
      <c r="BW3" t="s" s="0">
        <v>81</v>
      </c>
      <c r="BX3" t="s" s="0">
        <v>120</v>
      </c>
    </row>
    <row r="4">
      <c r="A4" t="s" s="0">
        <v>77</v>
      </c>
      <c r="B4" t="s" s="0">
        <v>77</v>
      </c>
      <c r="C4" t="s" s="0">
        <v>77</v>
      </c>
      <c r="D4" t="s" s="0">
        <v>77</v>
      </c>
      <c r="E4" t="s" s="0">
        <v>149</v>
      </c>
      <c r="F4" t="s" s="0">
        <v>150</v>
      </c>
      <c r="G4" t="s" s="0">
        <v>151</v>
      </c>
      <c r="H4" t="s" s="0">
        <v>81</v>
      </c>
      <c r="I4" t="s" s="0">
        <v>82</v>
      </c>
      <c r="J4" t="s" s="0">
        <v>152</v>
      </c>
      <c r="K4" t="s" s="0">
        <v>153</v>
      </c>
      <c r="L4" t="s" s="0">
        <v>154</v>
      </c>
      <c r="M4" t="s" s="0">
        <v>155</v>
      </c>
      <c r="N4" t="s" s="0">
        <v>156</v>
      </c>
      <c r="O4" t="s" s="0">
        <v>157</v>
      </c>
      <c r="P4" t="s" s="0">
        <v>158</v>
      </c>
      <c r="Q4" t="s" s="0">
        <v>90</v>
      </c>
      <c r="R4" t="s" s="0">
        <v>81</v>
      </c>
      <c r="S4" t="s" s="0">
        <v>81</v>
      </c>
      <c r="T4" t="s" s="0">
        <v>81</v>
      </c>
      <c r="U4" t="s" s="0">
        <v>81</v>
      </c>
      <c r="V4" t="s" s="0">
        <v>159</v>
      </c>
      <c r="W4" t="s" s="0">
        <v>160</v>
      </c>
      <c r="X4" t="s" s="0">
        <v>81</v>
      </c>
      <c r="Y4" t="s" s="0">
        <v>81</v>
      </c>
      <c r="Z4" t="s" s="0">
        <v>93</v>
      </c>
      <c r="AA4" t="s" s="0">
        <v>94</v>
      </c>
      <c r="AB4" t="s" s="0">
        <v>81</v>
      </c>
      <c r="AC4" t="s" s="0">
        <v>81</v>
      </c>
      <c r="AD4" t="s" s="0">
        <v>81</v>
      </c>
      <c r="AE4" t="s" s="0">
        <v>81</v>
      </c>
      <c r="AF4" t="s" s="0">
        <v>81</v>
      </c>
      <c r="AG4" t="s" s="0">
        <v>161</v>
      </c>
      <c r="AH4" t="s" s="0">
        <v>162</v>
      </c>
      <c r="AI4" t="s" s="0">
        <v>81</v>
      </c>
      <c r="AJ4" t="s" s="0">
        <v>81</v>
      </c>
      <c r="AK4" t="s" s="0">
        <v>81</v>
      </c>
      <c r="AL4" t="s" s="0">
        <v>163</v>
      </c>
      <c r="AM4" t="s" s="0">
        <v>77</v>
      </c>
      <c r="AN4" t="s" s="0">
        <v>77</v>
      </c>
      <c r="AO4" t="s" s="0">
        <v>77</v>
      </c>
      <c r="AP4" t="s" s="0">
        <v>77</v>
      </c>
      <c r="AQ4" t="s" s="0">
        <v>133</v>
      </c>
      <c r="AR4" t="s" s="0">
        <v>134</v>
      </c>
      <c r="AS4" t="s" s="0">
        <v>135</v>
      </c>
      <c r="AT4" t="s" s="0">
        <v>164</v>
      </c>
      <c r="AU4" t="s" s="0">
        <v>165</v>
      </c>
      <c r="AV4" t="s" s="0">
        <v>81</v>
      </c>
      <c r="AW4" t="s" s="0">
        <v>166</v>
      </c>
      <c r="AX4" t="s" s="0">
        <v>167</v>
      </c>
      <c r="AY4" t="s" s="0">
        <v>105</v>
      </c>
      <c r="AZ4" t="s" s="0">
        <v>106</v>
      </c>
      <c r="BA4" t="s" s="0">
        <v>168</v>
      </c>
      <c r="BB4" t="s" s="0">
        <v>108</v>
      </c>
      <c r="BC4" t="s" s="0">
        <v>81</v>
      </c>
      <c r="BD4" t="s" s="0">
        <v>81</v>
      </c>
      <c r="BE4" t="s" s="0">
        <v>81</v>
      </c>
      <c r="BF4" t="s" s="0">
        <v>81</v>
      </c>
      <c r="BG4" t="s" s="0">
        <v>81</v>
      </c>
      <c r="BH4" t="s" s="0">
        <v>81</v>
      </c>
      <c r="BI4" t="s" s="0">
        <v>169</v>
      </c>
      <c r="BJ4" t="s" s="0">
        <v>170</v>
      </c>
      <c r="BK4" t="s" s="5">
        <f>HYPERLINK("http://dx.doi.org/10.1080/10717544.2026.2713415","http://dx.doi.org/10.1080/10717544.2026.2713415")</f>
        <v>171</v>
      </c>
      <c r="BL4" t="s" s="0">
        <v>81</v>
      </c>
      <c r="BM4" t="s" s="0">
        <v>81</v>
      </c>
      <c r="BN4" t="s" s="0">
        <v>172</v>
      </c>
      <c r="BO4" t="s" s="0">
        <v>173</v>
      </c>
      <c r="BP4" t="s" s="0">
        <v>173</v>
      </c>
      <c r="BQ4" t="s" s="0">
        <v>174</v>
      </c>
      <c r="BR4" t="s" s="0">
        <v>175</v>
      </c>
      <c r="BS4" t="s" s="0">
        <v>176</v>
      </c>
      <c r="BT4" t="s" s="6">
        <f>HYPERLINK("https://www.webofscience.com/wos/woscc/full-record/WOS:001849407900001","View Record in Web of Science")</f>
        <v>118</v>
      </c>
      <c r="BU4" t="s" s="0">
        <v>177</v>
      </c>
      <c r="BV4" t="s" s="0">
        <v>81</v>
      </c>
      <c r="BW4" t="s" s="0">
        <v>81</v>
      </c>
      <c r="BX4" t="s" s="0">
        <v>120</v>
      </c>
    </row>
    <row r="5">
      <c r="A5" t="s" s="0">
        <v>77</v>
      </c>
      <c r="B5" t="s" s="0">
        <v>77</v>
      </c>
      <c r="C5" t="s" s="0">
        <v>77</v>
      </c>
      <c r="D5" t="s" s="0">
        <v>77</v>
      </c>
      <c r="E5" t="s" s="0">
        <v>178</v>
      </c>
      <c r="F5" t="s" s="0">
        <v>179</v>
      </c>
      <c r="G5" t="s" s="0">
        <v>180</v>
      </c>
      <c r="H5" t="s" s="0">
        <v>81</v>
      </c>
      <c r="I5" t="s" s="0">
        <v>82</v>
      </c>
      <c r="J5" t="s" s="0">
        <v>181</v>
      </c>
      <c r="K5" t="s" s="0">
        <v>182</v>
      </c>
      <c r="L5" t="s" s="0">
        <v>183</v>
      </c>
      <c r="M5" t="s" s="0">
        <v>183</v>
      </c>
      <c r="N5" t="s" s="0">
        <v>184</v>
      </c>
      <c r="O5" t="s" s="0">
        <v>185</v>
      </c>
      <c r="P5" t="s" s="0">
        <v>81</v>
      </c>
      <c r="Q5" t="s" s="0">
        <v>90</v>
      </c>
      <c r="R5" t="s" s="0">
        <v>81</v>
      </c>
      <c r="S5" t="s" s="0">
        <v>81</v>
      </c>
      <c r="T5" t="s" s="0">
        <v>81</v>
      </c>
      <c r="U5" t="s" s="0">
        <v>81</v>
      </c>
      <c r="V5" t="s" s="0">
        <v>186</v>
      </c>
      <c r="W5" t="s" s="0">
        <v>187</v>
      </c>
      <c r="X5" t="s" s="0">
        <v>81</v>
      </c>
      <c r="Y5" t="s" s="0">
        <v>81</v>
      </c>
      <c r="Z5" t="s" s="0">
        <v>93</v>
      </c>
      <c r="AA5" t="s" s="0">
        <v>94</v>
      </c>
      <c r="AB5" t="s" s="0">
        <v>81</v>
      </c>
      <c r="AC5" t="s" s="0">
        <v>81</v>
      </c>
      <c r="AD5" t="s" s="0">
        <v>81</v>
      </c>
      <c r="AE5" t="s" s="0">
        <v>81</v>
      </c>
      <c r="AF5" t="s" s="0">
        <v>81</v>
      </c>
      <c r="AG5" t="s" s="0">
        <v>188</v>
      </c>
      <c r="AH5" t="s" s="0">
        <v>81</v>
      </c>
      <c r="AI5" t="s" s="0">
        <v>81</v>
      </c>
      <c r="AJ5" t="s" s="0">
        <v>81</v>
      </c>
      <c r="AK5" t="s" s="0">
        <v>81</v>
      </c>
      <c r="AL5" t="s" s="0">
        <v>189</v>
      </c>
      <c r="AM5" t="s" s="0">
        <v>77</v>
      </c>
      <c r="AN5" t="s" s="0">
        <v>77</v>
      </c>
      <c r="AO5" t="s" s="0">
        <v>77</v>
      </c>
      <c r="AP5" t="s" s="0">
        <v>77</v>
      </c>
      <c r="AQ5" t="s" s="0">
        <v>133</v>
      </c>
      <c r="AR5" t="s" s="0">
        <v>134</v>
      </c>
      <c r="AS5" t="s" s="0">
        <v>135</v>
      </c>
      <c r="AT5" t="s" s="0">
        <v>81</v>
      </c>
      <c r="AU5" t="s" s="0">
        <v>190</v>
      </c>
      <c r="AV5" t="s" s="0">
        <v>81</v>
      </c>
      <c r="AW5" t="s" s="0">
        <v>191</v>
      </c>
      <c r="AX5" t="s" s="0">
        <v>192</v>
      </c>
      <c r="AY5" t="s" s="0">
        <v>105</v>
      </c>
      <c r="AZ5" t="s" s="0">
        <v>106</v>
      </c>
      <c r="BA5" t="s" s="0">
        <v>193</v>
      </c>
      <c r="BB5" t="s" s="0">
        <v>108</v>
      </c>
      <c r="BC5" t="s" s="0">
        <v>81</v>
      </c>
      <c r="BD5" t="s" s="0">
        <v>81</v>
      </c>
      <c r="BE5" t="s" s="0">
        <v>81</v>
      </c>
      <c r="BF5" t="s" s="0">
        <v>81</v>
      </c>
      <c r="BG5" t="s" s="0">
        <v>81</v>
      </c>
      <c r="BH5" t="s" s="0">
        <v>81</v>
      </c>
      <c r="BI5" t="s" s="0">
        <v>194</v>
      </c>
      <c r="BJ5" t="s" s="0">
        <v>195</v>
      </c>
      <c r="BK5" t="s" s="7">
        <f>HYPERLINK("http://dx.doi.org/10.1080/24699322.2026.2692844","http://dx.doi.org/10.1080/24699322.2026.2692844")</f>
        <v>196</v>
      </c>
      <c r="BL5" t="s" s="0">
        <v>81</v>
      </c>
      <c r="BM5" t="s" s="0">
        <v>81</v>
      </c>
      <c r="BN5" t="s" s="0">
        <v>197</v>
      </c>
      <c r="BO5" t="s" s="0">
        <v>198</v>
      </c>
      <c r="BP5" t="s" s="0">
        <v>198</v>
      </c>
      <c r="BQ5" t="s" s="0">
        <v>199</v>
      </c>
      <c r="BR5" t="s" s="0">
        <v>200</v>
      </c>
      <c r="BS5" t="s" s="0">
        <v>201</v>
      </c>
      <c r="BT5" t="s" s="8">
        <f>HYPERLINK("https://www.webofscience.com/wos/woscc/full-record/WOS:001849865100001","View Record in Web of Science")</f>
        <v>118</v>
      </c>
      <c r="BU5" t="s" s="0">
        <v>119</v>
      </c>
      <c r="BV5" t="s" s="0">
        <v>81</v>
      </c>
      <c r="BW5" t="s" s="0">
        <v>81</v>
      </c>
      <c r="BX5" t="s" s="0">
        <v>120</v>
      </c>
    </row>
    <row r="6">
      <c r="A6" t="s" s="0">
        <v>77</v>
      </c>
      <c r="B6" t="s" s="0">
        <v>77</v>
      </c>
      <c r="C6" t="s" s="0">
        <v>77</v>
      </c>
      <c r="D6" t="s" s="0">
        <v>77</v>
      </c>
      <c r="E6" t="s" s="0">
        <v>202</v>
      </c>
      <c r="F6" t="s" s="0">
        <v>203</v>
      </c>
      <c r="G6" t="s" s="0">
        <v>204</v>
      </c>
      <c r="H6" t="s" s="0">
        <v>81</v>
      </c>
      <c r="I6" t="s" s="0">
        <v>205</v>
      </c>
      <c r="J6" t="s" s="0">
        <v>206</v>
      </c>
      <c r="K6" t="s" s="0">
        <v>207</v>
      </c>
      <c r="L6" t="s" s="0">
        <v>208</v>
      </c>
      <c r="M6" t="s" s="0">
        <v>209</v>
      </c>
      <c r="N6" t="s" s="0">
        <v>210</v>
      </c>
      <c r="O6" t="s" s="0">
        <v>211</v>
      </c>
      <c r="P6" t="s" s="0">
        <v>212</v>
      </c>
      <c r="Q6" t="s" s="0">
        <v>90</v>
      </c>
      <c r="R6" t="s" s="0">
        <v>81</v>
      </c>
      <c r="S6" t="s" s="0">
        <v>81</v>
      </c>
      <c r="T6" t="s" s="0">
        <v>81</v>
      </c>
      <c r="U6" t="s" s="0">
        <v>81</v>
      </c>
      <c r="V6" t="s" s="0">
        <v>213</v>
      </c>
      <c r="W6" t="s" s="0">
        <v>214</v>
      </c>
      <c r="X6" t="s" s="0">
        <v>81</v>
      </c>
      <c r="Y6" t="s" s="0">
        <v>81</v>
      </c>
      <c r="Z6" t="s" s="0">
        <v>93</v>
      </c>
      <c r="AA6" t="s" s="0">
        <v>94</v>
      </c>
      <c r="AB6" t="s" s="0">
        <v>81</v>
      </c>
      <c r="AC6" t="s" s="0">
        <v>81</v>
      </c>
      <c r="AD6" t="s" s="0">
        <v>81</v>
      </c>
      <c r="AE6" t="s" s="0">
        <v>81</v>
      </c>
      <c r="AF6" t="s" s="0">
        <v>81</v>
      </c>
      <c r="AG6" t="s" s="0">
        <v>215</v>
      </c>
      <c r="AH6" t="s" s="0">
        <v>81</v>
      </c>
      <c r="AI6" t="s" s="0">
        <v>81</v>
      </c>
      <c r="AJ6" t="s" s="0">
        <v>81</v>
      </c>
      <c r="AK6" t="s" s="0">
        <v>81</v>
      </c>
      <c r="AL6" t="s" s="0">
        <v>216</v>
      </c>
      <c r="AM6" t="s" s="0">
        <v>77</v>
      </c>
      <c r="AN6" t="s" s="0">
        <v>77</v>
      </c>
      <c r="AO6" t="s" s="0">
        <v>77</v>
      </c>
      <c r="AP6" t="s" s="0">
        <v>77</v>
      </c>
      <c r="AQ6" t="s" s="0">
        <v>133</v>
      </c>
      <c r="AR6" t="s" s="0">
        <v>134</v>
      </c>
      <c r="AS6" t="s" s="0">
        <v>135</v>
      </c>
      <c r="AT6" t="s" s="0">
        <v>217</v>
      </c>
      <c r="AU6" t="s" s="0">
        <v>218</v>
      </c>
      <c r="AV6" t="s" s="0">
        <v>81</v>
      </c>
      <c r="AW6" t="s" s="0">
        <v>219</v>
      </c>
      <c r="AX6" t="s" s="0">
        <v>220</v>
      </c>
      <c r="AY6" t="s" s="0">
        <v>105</v>
      </c>
      <c r="AZ6" t="s" s="0">
        <v>106</v>
      </c>
      <c r="BA6" t="s" s="0">
        <v>221</v>
      </c>
      <c r="BB6" t="s" s="0">
        <v>108</v>
      </c>
      <c r="BC6" t="s" s="0">
        <v>81</v>
      </c>
      <c r="BD6" t="s" s="0">
        <v>81</v>
      </c>
      <c r="BE6" t="s" s="0">
        <v>81</v>
      </c>
      <c r="BF6" t="s" s="0">
        <v>81</v>
      </c>
      <c r="BG6" t="s" s="0">
        <v>81</v>
      </c>
      <c r="BH6" t="s" s="0">
        <v>81</v>
      </c>
      <c r="BI6" t="s" s="0">
        <v>222</v>
      </c>
      <c r="BJ6" t="s" s="0">
        <v>223</v>
      </c>
      <c r="BK6" t="s" s="9">
        <f>HYPERLINK("http://dx.doi.org/10.1080/00049530.2026.2710168","http://dx.doi.org/10.1080/00049530.2026.2710168")</f>
        <v>224</v>
      </c>
      <c r="BL6" t="s" s="0">
        <v>81</v>
      </c>
      <c r="BM6" t="s" s="0">
        <v>81</v>
      </c>
      <c r="BN6" t="s" s="0">
        <v>225</v>
      </c>
      <c r="BO6" t="s" s="0">
        <v>226</v>
      </c>
      <c r="BP6" t="s" s="0">
        <v>227</v>
      </c>
      <c r="BQ6" t="s" s="0">
        <v>228</v>
      </c>
      <c r="BR6" t="s" s="0">
        <v>81</v>
      </c>
      <c r="BS6" t="s" s="0">
        <v>229</v>
      </c>
      <c r="BT6" t="s" s="10">
        <f>HYPERLINK("https://www.webofscience.com/wos/woscc/full-record/WOS:001841353500001","View Record in Web of Science")</f>
        <v>118</v>
      </c>
      <c r="BU6" t="s" s="0">
        <v>177</v>
      </c>
      <c r="BV6" t="s" s="0">
        <v>81</v>
      </c>
      <c r="BW6" t="s" s="0">
        <v>81</v>
      </c>
      <c r="BX6" t="s" s="0">
        <v>120</v>
      </c>
    </row>
    <row r="7">
      <c r="A7" t="s" s="0">
        <v>77</v>
      </c>
      <c r="B7" t="s" s="0">
        <v>77</v>
      </c>
      <c r="C7" t="s" s="0">
        <v>77</v>
      </c>
      <c r="D7" t="s" s="0">
        <v>77</v>
      </c>
      <c r="E7" t="s" s="0">
        <v>230</v>
      </c>
      <c r="F7" t="s" s="0">
        <v>231</v>
      </c>
      <c r="G7" t="s" s="0">
        <v>232</v>
      </c>
      <c r="H7" t="s" s="0">
        <v>81</v>
      </c>
      <c r="I7" t="s" s="0">
        <v>82</v>
      </c>
      <c r="J7" t="s" s="0">
        <v>233</v>
      </c>
      <c r="K7" t="s" s="0">
        <v>234</v>
      </c>
      <c r="L7" t="s" s="0">
        <v>235</v>
      </c>
      <c r="M7" t="s" s="0">
        <v>236</v>
      </c>
      <c r="N7" t="s" s="0">
        <v>237</v>
      </c>
      <c r="O7" t="s" s="0">
        <v>238</v>
      </c>
      <c r="P7" t="s" s="0">
        <v>239</v>
      </c>
      <c r="Q7" t="s" s="0">
        <v>90</v>
      </c>
      <c r="R7" t="s" s="0">
        <v>81</v>
      </c>
      <c r="S7" t="s" s="0">
        <v>81</v>
      </c>
      <c r="T7" t="s" s="0">
        <v>81</v>
      </c>
      <c r="U7" t="s" s="0">
        <v>81</v>
      </c>
      <c r="V7" t="s" s="0">
        <v>240</v>
      </c>
      <c r="W7" t="s" s="0">
        <v>241</v>
      </c>
      <c r="X7" t="s" s="0">
        <v>81</v>
      </c>
      <c r="Y7" t="s" s="0">
        <v>81</v>
      </c>
      <c r="Z7" t="s" s="0">
        <v>93</v>
      </c>
      <c r="AA7" t="s" s="0">
        <v>94</v>
      </c>
      <c r="AB7" t="s" s="0">
        <v>81</v>
      </c>
      <c r="AC7" t="s" s="0">
        <v>81</v>
      </c>
      <c r="AD7" t="s" s="0">
        <v>81</v>
      </c>
      <c r="AE7" t="s" s="0">
        <v>81</v>
      </c>
      <c r="AF7" t="s" s="0">
        <v>81</v>
      </c>
      <c r="AG7" t="s" s="0">
        <v>242</v>
      </c>
      <c r="AH7" t="s" s="0">
        <v>243</v>
      </c>
      <c r="AI7" t="s" s="0">
        <v>81</v>
      </c>
      <c r="AJ7" t="s" s="0">
        <v>81</v>
      </c>
      <c r="AK7" t="s" s="0">
        <v>81</v>
      </c>
      <c r="AL7" t="s" s="0">
        <v>244</v>
      </c>
      <c r="AM7" t="s" s="0">
        <v>77</v>
      </c>
      <c r="AN7" t="s" s="0">
        <v>77</v>
      </c>
      <c r="AO7" t="s" s="0">
        <v>77</v>
      </c>
      <c r="AP7" t="s" s="0">
        <v>77</v>
      </c>
      <c r="AQ7" t="s" s="0">
        <v>133</v>
      </c>
      <c r="AR7" t="s" s="0">
        <v>134</v>
      </c>
      <c r="AS7" t="s" s="0">
        <v>135</v>
      </c>
      <c r="AT7" t="s" s="0">
        <v>245</v>
      </c>
      <c r="AU7" t="s" s="0">
        <v>246</v>
      </c>
      <c r="AV7" t="s" s="0">
        <v>81</v>
      </c>
      <c r="AW7" t="s" s="0">
        <v>247</v>
      </c>
      <c r="AX7" t="s" s="0">
        <v>248</v>
      </c>
      <c r="AY7" t="s" s="0">
        <v>105</v>
      </c>
      <c r="AZ7" t="s" s="0">
        <v>106</v>
      </c>
      <c r="BA7" t="s" s="0">
        <v>249</v>
      </c>
      <c r="BB7" t="s" s="0">
        <v>108</v>
      </c>
      <c r="BC7" t="s" s="0">
        <v>81</v>
      </c>
      <c r="BD7" t="s" s="0">
        <v>81</v>
      </c>
      <c r="BE7" t="s" s="0">
        <v>81</v>
      </c>
      <c r="BF7" t="s" s="0">
        <v>81</v>
      </c>
      <c r="BG7" t="s" s="0">
        <v>81</v>
      </c>
      <c r="BH7" t="s" s="0">
        <v>81</v>
      </c>
      <c r="BI7" t="s" s="0">
        <v>250</v>
      </c>
      <c r="BJ7" t="s" s="0">
        <v>251</v>
      </c>
      <c r="BK7" t="s" s="11">
        <f>HYPERLINK("http://dx.doi.org/10.1080/07853890.2026.2659984","http://dx.doi.org/10.1080/07853890.2026.2659984")</f>
        <v>252</v>
      </c>
      <c r="BL7" t="s" s="0">
        <v>81</v>
      </c>
      <c r="BM7" t="s" s="0">
        <v>81</v>
      </c>
      <c r="BN7" t="s" s="0">
        <v>253</v>
      </c>
      <c r="BO7" t="s" s="0">
        <v>254</v>
      </c>
      <c r="BP7" t="s" s="0">
        <v>255</v>
      </c>
      <c r="BQ7" t="s" s="0">
        <v>256</v>
      </c>
      <c r="BR7" t="s" s="0">
        <v>257</v>
      </c>
      <c r="BS7" t="s" s="0">
        <v>258</v>
      </c>
      <c r="BT7" t="s" s="12">
        <f>HYPERLINK("https://www.webofscience.com/wos/woscc/full-record/WOS:001840061100001","View Record in Web of Science")</f>
        <v>118</v>
      </c>
      <c r="BU7" t="s" s="0">
        <v>259</v>
      </c>
      <c r="BV7" t="s" s="0">
        <v>81</v>
      </c>
      <c r="BW7" t="s" s="0">
        <v>81</v>
      </c>
      <c r="BX7" t="s" s="0">
        <v>120</v>
      </c>
    </row>
    <row r="8">
      <c r="A8" t="s" s="0">
        <v>77</v>
      </c>
      <c r="B8" t="s" s="0">
        <v>77</v>
      </c>
      <c r="C8" t="s" s="0">
        <v>77</v>
      </c>
      <c r="D8" t="s" s="0">
        <v>77</v>
      </c>
      <c r="E8" t="s" s="0">
        <v>260</v>
      </c>
      <c r="F8" t="s" s="0">
        <v>261</v>
      </c>
      <c r="G8" t="s" s="0">
        <v>262</v>
      </c>
      <c r="H8" t="s" s="0">
        <v>81</v>
      </c>
      <c r="I8" t="s" s="0">
        <v>82</v>
      </c>
      <c r="J8" t="s" s="0">
        <v>263</v>
      </c>
      <c r="K8" t="s" s="0">
        <v>264</v>
      </c>
      <c r="L8" t="s" s="0">
        <v>81</v>
      </c>
      <c r="M8" t="s" s="0">
        <v>81</v>
      </c>
      <c r="N8" t="s" s="0">
        <v>81</v>
      </c>
      <c r="O8" t="s" s="0">
        <v>265</v>
      </c>
      <c r="P8" t="s" s="0">
        <v>266</v>
      </c>
      <c r="Q8" t="s" s="0">
        <v>90</v>
      </c>
      <c r="R8" t="s" s="0">
        <v>81</v>
      </c>
      <c r="S8" t="s" s="0">
        <v>81</v>
      </c>
      <c r="T8" t="s" s="0">
        <v>81</v>
      </c>
      <c r="U8" t="s" s="0">
        <v>81</v>
      </c>
      <c r="V8" t="s" s="0">
        <v>267</v>
      </c>
      <c r="W8" t="s" s="0">
        <v>268</v>
      </c>
      <c r="X8" t="s" s="0">
        <v>81</v>
      </c>
      <c r="Y8" t="s" s="0">
        <v>81</v>
      </c>
      <c r="Z8" t="s" s="0">
        <v>93</v>
      </c>
      <c r="AA8" t="s" s="0">
        <v>94</v>
      </c>
      <c r="AB8" t="s" s="0">
        <v>81</v>
      </c>
      <c r="AC8" t="s" s="0">
        <v>81</v>
      </c>
      <c r="AD8" t="s" s="0">
        <v>81</v>
      </c>
      <c r="AE8" t="s" s="0">
        <v>81</v>
      </c>
      <c r="AF8" t="s" s="0">
        <v>81</v>
      </c>
      <c r="AG8" t="s" s="0">
        <v>81</v>
      </c>
      <c r="AH8" t="s" s="0">
        <v>81</v>
      </c>
      <c r="AI8" t="s" s="0">
        <v>81</v>
      </c>
      <c r="AJ8" t="s" s="0">
        <v>81</v>
      </c>
      <c r="AK8" t="s" s="0">
        <v>81</v>
      </c>
      <c r="AL8" t="s" s="0">
        <v>269</v>
      </c>
      <c r="AM8" t="s" s="0">
        <v>77</v>
      </c>
      <c r="AN8" t="s" s="0">
        <v>77</v>
      </c>
      <c r="AO8" t="s" s="0">
        <v>77</v>
      </c>
      <c r="AP8" t="s" s="0">
        <v>77</v>
      </c>
      <c r="AQ8" t="s" s="0">
        <v>98</v>
      </c>
      <c r="AR8" t="s" s="0">
        <v>99</v>
      </c>
      <c r="AS8" t="s" s="0">
        <v>100</v>
      </c>
      <c r="AT8" t="s" s="0">
        <v>270</v>
      </c>
      <c r="AU8" t="s" s="0">
        <v>271</v>
      </c>
      <c r="AV8" t="s" s="0">
        <v>81</v>
      </c>
      <c r="AW8" t="s" s="0">
        <v>272</v>
      </c>
      <c r="AX8" t="s" s="0">
        <v>273</v>
      </c>
      <c r="AY8" t="s" s="0">
        <v>105</v>
      </c>
      <c r="AZ8" t="s" s="0">
        <v>106</v>
      </c>
      <c r="BA8" t="s" s="0">
        <v>274</v>
      </c>
      <c r="BB8" t="s" s="0">
        <v>108</v>
      </c>
      <c r="BC8" t="s" s="0">
        <v>81</v>
      </c>
      <c r="BD8" t="s" s="0">
        <v>81</v>
      </c>
      <c r="BE8" t="s" s="0">
        <v>81</v>
      </c>
      <c r="BF8" t="s" s="0">
        <v>81</v>
      </c>
      <c r="BG8" t="s" s="0">
        <v>81</v>
      </c>
      <c r="BH8" t="s" s="0">
        <v>81</v>
      </c>
      <c r="BI8" t="s" s="0">
        <v>275</v>
      </c>
      <c r="BJ8" t="s" s="0">
        <v>276</v>
      </c>
      <c r="BK8" t="s" s="13">
        <f>HYPERLINK("http://dx.doi.org/10.1080/08839514.2026.2690801","http://dx.doi.org/10.1080/08839514.2026.2690801")</f>
        <v>277</v>
      </c>
      <c r="BL8" t="s" s="0">
        <v>81</v>
      </c>
      <c r="BM8" t="s" s="0">
        <v>81</v>
      </c>
      <c r="BN8" t="s" s="0">
        <v>197</v>
      </c>
      <c r="BO8" t="s" s="0">
        <v>278</v>
      </c>
      <c r="BP8" t="s" s="0">
        <v>279</v>
      </c>
      <c r="BQ8" t="s" s="0">
        <v>280</v>
      </c>
      <c r="BR8" t="s" s="0">
        <v>81</v>
      </c>
      <c r="BS8" t="s" s="0">
        <v>281</v>
      </c>
      <c r="BT8" t="s" s="14">
        <f>HYPERLINK("https://www.webofscience.com/wos/woscc/full-record/WOS:001823945900001","View Record in Web of Science")</f>
        <v>118</v>
      </c>
      <c r="BU8" t="s" s="0">
        <v>119</v>
      </c>
      <c r="BV8" t="s" s="0">
        <v>81</v>
      </c>
      <c r="BW8" t="s" s="0">
        <v>81</v>
      </c>
      <c r="BX8" t="s" s="0">
        <v>120</v>
      </c>
    </row>
    <row r="9">
      <c r="A9" t="s" s="0">
        <v>77</v>
      </c>
      <c r="B9" t="s" s="0">
        <v>77</v>
      </c>
      <c r="C9" t="s" s="0">
        <v>77</v>
      </c>
      <c r="D9" t="s" s="0">
        <v>77</v>
      </c>
      <c r="E9" t="s" s="0">
        <v>282</v>
      </c>
      <c r="F9" t="s" s="0">
        <v>283</v>
      </c>
      <c r="G9" t="s" s="0">
        <v>284</v>
      </c>
      <c r="H9" t="s" s="0">
        <v>81</v>
      </c>
      <c r="I9" t="s" s="0">
        <v>82</v>
      </c>
      <c r="J9" t="s" s="0">
        <v>285</v>
      </c>
      <c r="K9" t="s" s="0">
        <v>286</v>
      </c>
      <c r="L9" t="s" s="0">
        <v>81</v>
      </c>
      <c r="M9" t="s" s="0">
        <v>81</v>
      </c>
      <c r="N9" t="s" s="0">
        <v>287</v>
      </c>
      <c r="O9" t="s" s="0">
        <v>288</v>
      </c>
      <c r="P9" t="s" s="0">
        <v>289</v>
      </c>
      <c r="Q9" t="s" s="0">
        <v>90</v>
      </c>
      <c r="R9" t="s" s="0">
        <v>81</v>
      </c>
      <c r="S9" t="s" s="0">
        <v>81</v>
      </c>
      <c r="T9" t="s" s="0">
        <v>81</v>
      </c>
      <c r="U9" t="s" s="0">
        <v>81</v>
      </c>
      <c r="V9" t="s" s="0">
        <v>290</v>
      </c>
      <c r="W9" t="s" s="0">
        <v>241</v>
      </c>
      <c r="X9" t="s" s="0">
        <v>81</v>
      </c>
      <c r="Y9" t="s" s="0">
        <v>81</v>
      </c>
      <c r="Z9" t="s" s="0">
        <v>93</v>
      </c>
      <c r="AA9" t="s" s="0">
        <v>94</v>
      </c>
      <c r="AB9" t="s" s="0">
        <v>81</v>
      </c>
      <c r="AC9" t="s" s="0">
        <v>81</v>
      </c>
      <c r="AD9" t="s" s="0">
        <v>81</v>
      </c>
      <c r="AE9" t="s" s="0">
        <v>81</v>
      </c>
      <c r="AF9" t="s" s="0">
        <v>81</v>
      </c>
      <c r="AG9" t="s" s="0">
        <v>291</v>
      </c>
      <c r="AH9" t="s" s="0">
        <v>292</v>
      </c>
      <c r="AI9" t="s" s="0">
        <v>81</v>
      </c>
      <c r="AJ9" t="s" s="0">
        <v>81</v>
      </c>
      <c r="AK9" t="s" s="0">
        <v>81</v>
      </c>
      <c r="AL9" t="s" s="0">
        <v>293</v>
      </c>
      <c r="AM9" t="s" s="0">
        <v>77</v>
      </c>
      <c r="AN9" t="s" s="0">
        <v>77</v>
      </c>
      <c r="AO9" t="s" s="0">
        <v>77</v>
      </c>
      <c r="AP9" t="s" s="0">
        <v>77</v>
      </c>
      <c r="AQ9" t="s" s="0">
        <v>133</v>
      </c>
      <c r="AR9" t="s" s="0">
        <v>134</v>
      </c>
      <c r="AS9" t="s" s="0">
        <v>135</v>
      </c>
      <c r="AT9" t="s" s="0">
        <v>245</v>
      </c>
      <c r="AU9" t="s" s="0">
        <v>246</v>
      </c>
      <c r="AV9" t="s" s="0">
        <v>81</v>
      </c>
      <c r="AW9" t="s" s="0">
        <v>247</v>
      </c>
      <c r="AX9" t="s" s="0">
        <v>248</v>
      </c>
      <c r="AY9" t="s" s="0">
        <v>105</v>
      </c>
      <c r="AZ9" t="s" s="0">
        <v>106</v>
      </c>
      <c r="BA9" t="s" s="0">
        <v>249</v>
      </c>
      <c r="BB9" t="s" s="0">
        <v>108</v>
      </c>
      <c r="BC9" t="s" s="0">
        <v>81</v>
      </c>
      <c r="BD9" t="s" s="0">
        <v>81</v>
      </c>
      <c r="BE9" t="s" s="0">
        <v>81</v>
      </c>
      <c r="BF9" t="s" s="0">
        <v>81</v>
      </c>
      <c r="BG9" t="s" s="0">
        <v>81</v>
      </c>
      <c r="BH9" t="s" s="0">
        <v>81</v>
      </c>
      <c r="BI9" t="s" s="0">
        <v>294</v>
      </c>
      <c r="BJ9" t="s" s="0">
        <v>295</v>
      </c>
      <c r="BK9" t="s" s="15">
        <f>HYPERLINK("http://dx.doi.org/10.1080/07853890.2026.2684358","http://dx.doi.org/10.1080/07853890.2026.2684358")</f>
        <v>296</v>
      </c>
      <c r="BL9" t="s" s="0">
        <v>81</v>
      </c>
      <c r="BM9" t="s" s="0">
        <v>81</v>
      </c>
      <c r="BN9" t="s" s="0">
        <v>113</v>
      </c>
      <c r="BO9" t="s" s="0">
        <v>254</v>
      </c>
      <c r="BP9" t="s" s="0">
        <v>255</v>
      </c>
      <c r="BQ9" t="s" s="0">
        <v>297</v>
      </c>
      <c r="BR9" t="s" s="0">
        <v>298</v>
      </c>
      <c r="BS9" t="s" s="0">
        <v>299</v>
      </c>
      <c r="BT9" t="s" s="16">
        <f>HYPERLINK("https://www.webofscience.com/wos/woscc/full-record/WOS:001804544900001","View Record in Web of Science")</f>
        <v>118</v>
      </c>
      <c r="BU9" t="s" s="0">
        <v>259</v>
      </c>
      <c r="BV9" t="s" s="0">
        <v>81</v>
      </c>
      <c r="BW9" t="s" s="0">
        <v>81</v>
      </c>
      <c r="BX9" t="s" s="0">
        <v>120</v>
      </c>
    </row>
    <row r="10">
      <c r="A10" t="s" s="0">
        <v>77</v>
      </c>
      <c r="B10" t="s" s="0">
        <v>77</v>
      </c>
      <c r="C10" t="s" s="0">
        <v>77</v>
      </c>
      <c r="D10" t="s" s="0">
        <v>77</v>
      </c>
      <c r="E10" t="s" s="0">
        <v>300</v>
      </c>
      <c r="F10" t="s" s="0">
        <v>301</v>
      </c>
      <c r="G10" t="s" s="0">
        <v>302</v>
      </c>
      <c r="H10" t="s" s="0">
        <v>81</v>
      </c>
      <c r="I10" t="s" s="0">
        <v>82</v>
      </c>
      <c r="J10" t="s" s="0">
        <v>303</v>
      </c>
      <c r="K10" t="s" s="0">
        <v>304</v>
      </c>
      <c r="L10" t="s" s="0">
        <v>81</v>
      </c>
      <c r="M10" t="s" s="0">
        <v>81</v>
      </c>
      <c r="N10" t="s" s="0">
        <v>81</v>
      </c>
      <c r="O10" t="s" s="0">
        <v>305</v>
      </c>
      <c r="P10" t="s" s="0">
        <v>306</v>
      </c>
      <c r="Q10" t="s" s="0">
        <v>90</v>
      </c>
      <c r="R10" t="s" s="0">
        <v>81</v>
      </c>
      <c r="S10" t="s" s="0">
        <v>81</v>
      </c>
      <c r="T10" t="s" s="0">
        <v>81</v>
      </c>
      <c r="U10" t="s" s="0">
        <v>81</v>
      </c>
      <c r="V10" t="s" s="0">
        <v>307</v>
      </c>
      <c r="W10" t="s" s="0">
        <v>308</v>
      </c>
      <c r="X10" t="s" s="0">
        <v>81</v>
      </c>
      <c r="Y10" t="s" s="0">
        <v>81</v>
      </c>
      <c r="Z10" t="s" s="0">
        <v>93</v>
      </c>
      <c r="AA10" t="s" s="0">
        <v>94</v>
      </c>
      <c r="AB10" t="s" s="0">
        <v>81</v>
      </c>
      <c r="AC10" t="s" s="0">
        <v>81</v>
      </c>
      <c r="AD10" t="s" s="0">
        <v>81</v>
      </c>
      <c r="AE10" t="s" s="0">
        <v>81</v>
      </c>
      <c r="AF10" t="s" s="0">
        <v>81</v>
      </c>
      <c r="AG10" t="s" s="0">
        <v>309</v>
      </c>
      <c r="AH10" t="s" s="0">
        <v>310</v>
      </c>
      <c r="AI10" t="s" s="0">
        <v>81</v>
      </c>
      <c r="AJ10" t="s" s="0">
        <v>81</v>
      </c>
      <c r="AK10" t="s" s="0">
        <v>81</v>
      </c>
      <c r="AL10" t="s" s="0">
        <v>311</v>
      </c>
      <c r="AM10" t="s" s="0">
        <v>77</v>
      </c>
      <c r="AN10" t="s" s="0">
        <v>77</v>
      </c>
      <c r="AO10" t="s" s="0">
        <v>77</v>
      </c>
      <c r="AP10" t="s" s="0">
        <v>77</v>
      </c>
      <c r="AQ10" t="s" s="0">
        <v>98</v>
      </c>
      <c r="AR10" t="s" s="0">
        <v>99</v>
      </c>
      <c r="AS10" t="s" s="0">
        <v>100</v>
      </c>
      <c r="AT10" t="s" s="0">
        <v>312</v>
      </c>
      <c r="AU10" t="s" s="0">
        <v>313</v>
      </c>
      <c r="AV10" t="s" s="0">
        <v>81</v>
      </c>
      <c r="AW10" t="s" s="0">
        <v>314</v>
      </c>
      <c r="AX10" t="s" s="0">
        <v>315</v>
      </c>
      <c r="AY10" t="s" s="0">
        <v>105</v>
      </c>
      <c r="AZ10" t="s" s="0">
        <v>106</v>
      </c>
      <c r="BA10" t="s" s="0">
        <v>316</v>
      </c>
      <c r="BB10" t="s" s="0">
        <v>108</v>
      </c>
      <c r="BC10" t="s" s="0">
        <v>81</v>
      </c>
      <c r="BD10" t="s" s="0">
        <v>81</v>
      </c>
      <c r="BE10" t="s" s="0">
        <v>81</v>
      </c>
      <c r="BF10" t="s" s="0">
        <v>81</v>
      </c>
      <c r="BG10" t="s" s="0">
        <v>81</v>
      </c>
      <c r="BH10" t="s" s="0">
        <v>81</v>
      </c>
      <c r="BI10" t="s" s="0">
        <v>317</v>
      </c>
      <c r="BJ10" t="s" s="0">
        <v>318</v>
      </c>
      <c r="BK10" t="s" s="17">
        <f>HYPERLINK("http://dx.doi.org/10.1080/15384047.2026.2680347","http://dx.doi.org/10.1080/15384047.2026.2680347")</f>
        <v>319</v>
      </c>
      <c r="BL10" t="s" s="0">
        <v>81</v>
      </c>
      <c r="BM10" t="s" s="0">
        <v>81</v>
      </c>
      <c r="BN10" t="s" s="0">
        <v>225</v>
      </c>
      <c r="BO10" t="s" s="0">
        <v>320</v>
      </c>
      <c r="BP10" t="s" s="0">
        <v>320</v>
      </c>
      <c r="BQ10" t="s" s="0">
        <v>321</v>
      </c>
      <c r="BR10" t="s" s="0">
        <v>322</v>
      </c>
      <c r="BS10" t="s" s="0">
        <v>323</v>
      </c>
      <c r="BT10" t="s" s="18">
        <f>HYPERLINK("https://www.webofscience.com/wos/woscc/full-record/WOS:001796098000001","View Record in Web of Science")</f>
        <v>118</v>
      </c>
      <c r="BU10" t="s" s="0">
        <v>119</v>
      </c>
      <c r="BV10" t="s" s="0">
        <v>81</v>
      </c>
      <c r="BW10" t="s" s="0">
        <v>81</v>
      </c>
      <c r="BX10" t="s" s="0">
        <v>120</v>
      </c>
    </row>
    <row r="11">
      <c r="A11" t="s" s="0">
        <v>77</v>
      </c>
      <c r="B11" t="s" s="0">
        <v>77</v>
      </c>
      <c r="C11" t="s" s="0">
        <v>77</v>
      </c>
      <c r="D11" t="s" s="0">
        <v>77</v>
      </c>
      <c r="E11" t="s" s="0">
        <v>324</v>
      </c>
      <c r="F11" t="s" s="0">
        <v>325</v>
      </c>
      <c r="G11" t="s" s="0">
        <v>326</v>
      </c>
      <c r="H11" t="s" s="0">
        <v>81</v>
      </c>
      <c r="I11" t="s" s="0">
        <v>124</v>
      </c>
      <c r="J11" t="s" s="0">
        <v>327</v>
      </c>
      <c r="K11" t="s" s="0">
        <v>328</v>
      </c>
      <c r="L11" t="s" s="0">
        <v>329</v>
      </c>
      <c r="M11" t="s" s="0">
        <v>330</v>
      </c>
      <c r="N11" t="s" s="0">
        <v>331</v>
      </c>
      <c r="O11" t="s" s="0">
        <v>332</v>
      </c>
      <c r="P11" t="s" s="0">
        <v>333</v>
      </c>
      <c r="Q11" t="s" s="0">
        <v>90</v>
      </c>
      <c r="R11" t="s" s="0">
        <v>81</v>
      </c>
      <c r="S11" t="s" s="0">
        <v>81</v>
      </c>
      <c r="T11" t="s" s="0">
        <v>81</v>
      </c>
      <c r="U11" t="s" s="0">
        <v>81</v>
      </c>
      <c r="V11" t="s" s="0">
        <v>334</v>
      </c>
      <c r="W11" t="s" s="0">
        <v>335</v>
      </c>
      <c r="X11" t="s" s="0">
        <v>81</v>
      </c>
      <c r="Y11" t="s" s="0">
        <v>81</v>
      </c>
      <c r="Z11" t="s" s="0">
        <v>93</v>
      </c>
      <c r="AA11" t="s" s="0">
        <v>94</v>
      </c>
      <c r="AB11" t="s" s="0">
        <v>81</v>
      </c>
      <c r="AC11" t="s" s="0">
        <v>81</v>
      </c>
      <c r="AD11" t="s" s="0">
        <v>81</v>
      </c>
      <c r="AE11" t="s" s="0">
        <v>81</v>
      </c>
      <c r="AF11" t="s" s="0">
        <v>81</v>
      </c>
      <c r="AG11" t="s" s="0">
        <v>336</v>
      </c>
      <c r="AH11" t="s" s="0">
        <v>337</v>
      </c>
      <c r="AI11" t="s" s="0">
        <v>338</v>
      </c>
      <c r="AJ11" t="s" s="0">
        <v>81</v>
      </c>
      <c r="AK11" t="s" s="0">
        <v>81</v>
      </c>
      <c r="AL11" t="s" s="0">
        <v>339</v>
      </c>
      <c r="AM11" t="s" s="0">
        <v>77</v>
      </c>
      <c r="AN11" t="s" s="0">
        <v>77</v>
      </c>
      <c r="AO11" t="s" s="0">
        <v>340</v>
      </c>
      <c r="AP11" t="s" s="0">
        <v>340</v>
      </c>
      <c r="AQ11" t="s" s="0">
        <v>133</v>
      </c>
      <c r="AR11" t="s" s="0">
        <v>134</v>
      </c>
      <c r="AS11" t="s" s="0">
        <v>135</v>
      </c>
      <c r="AT11" t="s" s="0">
        <v>81</v>
      </c>
      <c r="AU11" t="s" s="0">
        <v>341</v>
      </c>
      <c r="AV11" t="s" s="0">
        <v>81</v>
      </c>
      <c r="AW11" t="s" s="0">
        <v>342</v>
      </c>
      <c r="AX11" t="s" s="0">
        <v>343</v>
      </c>
      <c r="AY11" t="s" s="0">
        <v>105</v>
      </c>
      <c r="AZ11" t="s" s="0">
        <v>106</v>
      </c>
      <c r="BA11" t="s" s="0">
        <v>113</v>
      </c>
      <c r="BB11" t="s" s="0">
        <v>108</v>
      </c>
      <c r="BC11" t="s" s="0">
        <v>81</v>
      </c>
      <c r="BD11" t="s" s="0">
        <v>81</v>
      </c>
      <c r="BE11" t="s" s="0">
        <v>81</v>
      </c>
      <c r="BF11" t="s" s="0">
        <v>81</v>
      </c>
      <c r="BG11" t="s" s="0">
        <v>81</v>
      </c>
      <c r="BH11" t="s" s="0">
        <v>81</v>
      </c>
      <c r="BI11" t="s" s="0">
        <v>344</v>
      </c>
      <c r="BJ11" t="s" s="0">
        <v>345</v>
      </c>
      <c r="BK11" t="s" s="19">
        <f>HYPERLINK("http://dx.doi.org/10.1080/21642583.2026.2672168","http://dx.doi.org/10.1080/21642583.2026.2672168")</f>
        <v>346</v>
      </c>
      <c r="BL11" t="s" s="0">
        <v>81</v>
      </c>
      <c r="BM11" t="s" s="0">
        <v>81</v>
      </c>
      <c r="BN11" t="s" s="0">
        <v>347</v>
      </c>
      <c r="BO11" t="s" s="0">
        <v>348</v>
      </c>
      <c r="BP11" t="s" s="0">
        <v>348</v>
      </c>
      <c r="BQ11" t="s" s="0">
        <v>349</v>
      </c>
      <c r="BR11" t="s" s="0">
        <v>81</v>
      </c>
      <c r="BS11" t="s" s="0">
        <v>350</v>
      </c>
      <c r="BT11" t="s" s="20">
        <f>HYPERLINK("https://www.webofscience.com/wos/woscc/full-record/WOS:001772821600001","View Record in Web of Science")</f>
        <v>118</v>
      </c>
      <c r="BU11" t="s" s="0">
        <v>177</v>
      </c>
      <c r="BV11" t="s" s="0">
        <v>81</v>
      </c>
      <c r="BW11" t="s" s="0">
        <v>81</v>
      </c>
      <c r="BX11" t="s" s="0">
        <v>120</v>
      </c>
    </row>
    <row r="12">
      <c r="A12" t="s" s="0">
        <v>77</v>
      </c>
      <c r="B12" t="s" s="0">
        <v>77</v>
      </c>
      <c r="C12" t="s" s="0">
        <v>77</v>
      </c>
      <c r="D12" t="s" s="0">
        <v>77</v>
      </c>
      <c r="E12" t="s" s="0">
        <v>351</v>
      </c>
      <c r="F12" t="s" s="0">
        <v>352</v>
      </c>
      <c r="G12" t="s" s="0">
        <v>353</v>
      </c>
      <c r="H12" t="s" s="0">
        <v>81</v>
      </c>
      <c r="I12" t="s" s="0">
        <v>82</v>
      </c>
      <c r="J12" t="s" s="0">
        <v>354</v>
      </c>
      <c r="K12" t="s" s="0">
        <v>355</v>
      </c>
      <c r="L12" t="s" s="0">
        <v>81</v>
      </c>
      <c r="M12" t="s" s="0">
        <v>81</v>
      </c>
      <c r="N12" t="s" s="0">
        <v>81</v>
      </c>
      <c r="O12" t="s" s="0">
        <v>356</v>
      </c>
      <c r="P12" t="s" s="0">
        <v>357</v>
      </c>
      <c r="Q12" t="s" s="0">
        <v>90</v>
      </c>
      <c r="R12" t="s" s="0">
        <v>81</v>
      </c>
      <c r="S12" t="s" s="0">
        <v>81</v>
      </c>
      <c r="T12" t="s" s="0">
        <v>81</v>
      </c>
      <c r="U12" t="s" s="0">
        <v>81</v>
      </c>
      <c r="V12" t="s" s="0">
        <v>358</v>
      </c>
      <c r="W12" t="s" s="0">
        <v>268</v>
      </c>
      <c r="X12" t="s" s="0">
        <v>81</v>
      </c>
      <c r="Y12" t="s" s="0">
        <v>81</v>
      </c>
      <c r="Z12" t="s" s="0">
        <v>93</v>
      </c>
      <c r="AA12" t="s" s="0">
        <v>94</v>
      </c>
      <c r="AB12" t="s" s="0">
        <v>81</v>
      </c>
      <c r="AC12" t="s" s="0">
        <v>81</v>
      </c>
      <c r="AD12" t="s" s="0">
        <v>81</v>
      </c>
      <c r="AE12" t="s" s="0">
        <v>81</v>
      </c>
      <c r="AF12" t="s" s="0">
        <v>81</v>
      </c>
      <c r="AG12" t="s" s="0">
        <v>81</v>
      </c>
      <c r="AH12" t="s" s="0">
        <v>359</v>
      </c>
      <c r="AI12" t="s" s="0">
        <v>360</v>
      </c>
      <c r="AJ12" t="s" s="0">
        <v>361</v>
      </c>
      <c r="AK12" t="s" s="0">
        <v>81</v>
      </c>
      <c r="AL12" t="s" s="0">
        <v>362</v>
      </c>
      <c r="AM12" t="s" s="0">
        <v>77</v>
      </c>
      <c r="AN12" t="s" s="0">
        <v>108</v>
      </c>
      <c r="AO12" t="s" s="0">
        <v>363</v>
      </c>
      <c r="AP12" t="s" s="0">
        <v>363</v>
      </c>
      <c r="AQ12" t="s" s="0">
        <v>98</v>
      </c>
      <c r="AR12" t="s" s="0">
        <v>99</v>
      </c>
      <c r="AS12" t="s" s="0">
        <v>100</v>
      </c>
      <c r="AT12" t="s" s="0">
        <v>270</v>
      </c>
      <c r="AU12" t="s" s="0">
        <v>271</v>
      </c>
      <c r="AV12" t="s" s="0">
        <v>81</v>
      </c>
      <c r="AW12" t="s" s="0">
        <v>272</v>
      </c>
      <c r="AX12" t="s" s="0">
        <v>273</v>
      </c>
      <c r="AY12" t="s" s="0">
        <v>105</v>
      </c>
      <c r="AZ12" t="s" s="0">
        <v>106</v>
      </c>
      <c r="BA12" t="s" s="0">
        <v>274</v>
      </c>
      <c r="BB12" t="s" s="0">
        <v>108</v>
      </c>
      <c r="BC12" t="s" s="0">
        <v>81</v>
      </c>
      <c r="BD12" t="s" s="0">
        <v>81</v>
      </c>
      <c r="BE12" t="s" s="0">
        <v>81</v>
      </c>
      <c r="BF12" t="s" s="0">
        <v>81</v>
      </c>
      <c r="BG12" t="s" s="0">
        <v>81</v>
      </c>
      <c r="BH12" t="s" s="0">
        <v>81</v>
      </c>
      <c r="BI12" t="s" s="0">
        <v>364</v>
      </c>
      <c r="BJ12" t="s" s="0">
        <v>365</v>
      </c>
      <c r="BK12" t="s" s="21">
        <f>HYPERLINK("http://dx.doi.org/10.1080/08839514.2026.2668204","http://dx.doi.org/10.1080/08839514.2026.2668204")</f>
        <v>366</v>
      </c>
      <c r="BL12" t="s" s="0">
        <v>81</v>
      </c>
      <c r="BM12" t="s" s="0">
        <v>81</v>
      </c>
      <c r="BN12" t="s" s="0">
        <v>363</v>
      </c>
      <c r="BO12" t="s" s="0">
        <v>278</v>
      </c>
      <c r="BP12" t="s" s="0">
        <v>279</v>
      </c>
      <c r="BQ12" t="s" s="0">
        <v>367</v>
      </c>
      <c r="BR12" t="s" s="0">
        <v>81</v>
      </c>
      <c r="BS12" t="s" s="0">
        <v>368</v>
      </c>
      <c r="BT12" t="s" s="22">
        <f>HYPERLINK("https://www.webofscience.com/wos/woscc/full-record/WOS:001765359600001","View Record in Web of Science")</f>
        <v>118</v>
      </c>
      <c r="BU12" t="s" s="0">
        <v>177</v>
      </c>
      <c r="BV12" t="s" s="0">
        <v>81</v>
      </c>
      <c r="BW12" t="s" s="0">
        <v>81</v>
      </c>
      <c r="BX12" t="s" s="0">
        <v>120</v>
      </c>
    </row>
    <row r="13">
      <c r="A13" t="s" s="0">
        <v>77</v>
      </c>
      <c r="B13" t="s" s="0">
        <v>77</v>
      </c>
      <c r="C13" t="s" s="0">
        <v>77</v>
      </c>
      <c r="D13" t="s" s="0">
        <v>77</v>
      </c>
      <c r="E13" t="s" s="0">
        <v>369</v>
      </c>
      <c r="F13" t="s" s="0">
        <v>370</v>
      </c>
      <c r="G13" t="s" s="0">
        <v>371</v>
      </c>
      <c r="H13" t="s" s="0">
        <v>81</v>
      </c>
      <c r="I13" t="s" s="0">
        <v>124</v>
      </c>
      <c r="J13" t="s" s="0">
        <v>372</v>
      </c>
      <c r="K13" t="s" s="0">
        <v>373</v>
      </c>
      <c r="L13" t="s" s="0">
        <v>374</v>
      </c>
      <c r="M13" t="s" s="0">
        <v>374</v>
      </c>
      <c r="N13" t="s" s="0">
        <v>375</v>
      </c>
      <c r="O13" t="s" s="0">
        <v>376</v>
      </c>
      <c r="P13" t="s" s="0">
        <v>377</v>
      </c>
      <c r="Q13" t="s" s="0">
        <v>90</v>
      </c>
      <c r="R13" t="s" s="0">
        <v>81</v>
      </c>
      <c r="S13" t="s" s="0">
        <v>81</v>
      </c>
      <c r="T13" t="s" s="0">
        <v>81</v>
      </c>
      <c r="U13" t="s" s="0">
        <v>81</v>
      </c>
      <c r="V13" t="s" s="0">
        <v>378</v>
      </c>
      <c r="W13" t="s" s="0">
        <v>379</v>
      </c>
      <c r="X13" t="s" s="0">
        <v>81</v>
      </c>
      <c r="Y13" t="s" s="0">
        <v>81</v>
      </c>
      <c r="Z13" t="s" s="0">
        <v>93</v>
      </c>
      <c r="AA13" t="s" s="0">
        <v>94</v>
      </c>
      <c r="AB13" t="s" s="0">
        <v>81</v>
      </c>
      <c r="AC13" t="s" s="0">
        <v>81</v>
      </c>
      <c r="AD13" t="s" s="0">
        <v>81</v>
      </c>
      <c r="AE13" t="s" s="0">
        <v>81</v>
      </c>
      <c r="AF13" t="s" s="0">
        <v>81</v>
      </c>
      <c r="AG13" t="s" s="0">
        <v>380</v>
      </c>
      <c r="AH13" t="s" s="0">
        <v>381</v>
      </c>
      <c r="AI13" t="s" s="0">
        <v>382</v>
      </c>
      <c r="AJ13" t="s" s="0">
        <v>81</v>
      </c>
      <c r="AK13" t="s" s="0">
        <v>81</v>
      </c>
      <c r="AL13" t="s" s="0">
        <v>383</v>
      </c>
      <c r="AM13" t="s" s="0">
        <v>77</v>
      </c>
      <c r="AN13" t="s" s="0">
        <v>77</v>
      </c>
      <c r="AO13" t="s" s="0">
        <v>340</v>
      </c>
      <c r="AP13" t="s" s="0">
        <v>340</v>
      </c>
      <c r="AQ13" t="s" s="0">
        <v>133</v>
      </c>
      <c r="AR13" t="s" s="0">
        <v>134</v>
      </c>
      <c r="AS13" t="s" s="0">
        <v>135</v>
      </c>
      <c r="AT13" t="s" s="0">
        <v>384</v>
      </c>
      <c r="AU13" t="s" s="0">
        <v>81</v>
      </c>
      <c r="AV13" t="s" s="0">
        <v>81</v>
      </c>
      <c r="AW13" t="s" s="0">
        <v>385</v>
      </c>
      <c r="AX13" t="s" s="0">
        <v>386</v>
      </c>
      <c r="AY13" t="s" s="0">
        <v>105</v>
      </c>
      <c r="AZ13" t="s" s="0">
        <v>106</v>
      </c>
      <c r="BA13" t="s" s="0">
        <v>387</v>
      </c>
      <c r="BB13" t="s" s="0">
        <v>108</v>
      </c>
      <c r="BC13" t="s" s="0">
        <v>81</v>
      </c>
      <c r="BD13" t="s" s="0">
        <v>81</v>
      </c>
      <c r="BE13" t="s" s="0">
        <v>81</v>
      </c>
      <c r="BF13" t="s" s="0">
        <v>81</v>
      </c>
      <c r="BG13" t="s" s="0">
        <v>81</v>
      </c>
      <c r="BH13" t="s" s="0">
        <v>81</v>
      </c>
      <c r="BI13" t="s" s="0">
        <v>388</v>
      </c>
      <c r="BJ13" t="s" s="0">
        <v>389</v>
      </c>
      <c r="BK13" t="s" s="23">
        <f>HYPERLINK("http://dx.doi.org/10.1080/23311916.2026.2664254","http://dx.doi.org/10.1080/23311916.2026.2664254")</f>
        <v>390</v>
      </c>
      <c r="BL13" t="s" s="0">
        <v>81</v>
      </c>
      <c r="BM13" t="s" s="0">
        <v>81</v>
      </c>
      <c r="BN13" t="s" s="0">
        <v>391</v>
      </c>
      <c r="BO13" t="s" s="0">
        <v>392</v>
      </c>
      <c r="BP13" t="s" s="0">
        <v>393</v>
      </c>
      <c r="BQ13" t="s" s="0">
        <v>394</v>
      </c>
      <c r="BR13" t="s" s="0">
        <v>81</v>
      </c>
      <c r="BS13" t="s" s="0">
        <v>395</v>
      </c>
      <c r="BT13" t="s" s="24">
        <f>HYPERLINK("https://www.webofscience.com/wos/woscc/full-record/WOS:001754093700001","View Record in Web of Science")</f>
        <v>118</v>
      </c>
      <c r="BU13" t="s" s="0">
        <v>177</v>
      </c>
      <c r="BV13" t="s" s="0">
        <v>81</v>
      </c>
      <c r="BW13" t="s" s="0">
        <v>81</v>
      </c>
      <c r="BX13" t="s" s="0">
        <v>120</v>
      </c>
    </row>
    <row r="14">
      <c r="A14" t="s" s="0">
        <v>77</v>
      </c>
      <c r="B14" t="s" s="0">
        <v>77</v>
      </c>
      <c r="C14" t="s" s="0">
        <v>77</v>
      </c>
      <c r="D14" t="s" s="0">
        <v>77</v>
      </c>
      <c r="E14" t="s" s="0">
        <v>396</v>
      </c>
      <c r="F14" t="s" s="0">
        <v>397</v>
      </c>
      <c r="G14" t="s" s="0">
        <v>398</v>
      </c>
      <c r="H14" t="s" s="0">
        <v>81</v>
      </c>
      <c r="I14" t="s" s="0">
        <v>82</v>
      </c>
      <c r="J14" t="s" s="0">
        <v>399</v>
      </c>
      <c r="K14" t="s" s="0">
        <v>400</v>
      </c>
      <c r="L14" t="s" s="0">
        <v>401</v>
      </c>
      <c r="M14" t="s" s="0">
        <v>402</v>
      </c>
      <c r="N14" t="s" s="0">
        <v>403</v>
      </c>
      <c r="O14" t="s" s="0">
        <v>404</v>
      </c>
      <c r="P14" t="s" s="0">
        <v>405</v>
      </c>
      <c r="Q14" t="s" s="0">
        <v>90</v>
      </c>
      <c r="R14" t="s" s="0">
        <v>81</v>
      </c>
      <c r="S14" t="s" s="0">
        <v>81</v>
      </c>
      <c r="T14" t="s" s="0">
        <v>81</v>
      </c>
      <c r="U14" t="s" s="0">
        <v>81</v>
      </c>
      <c r="V14" t="s" s="0">
        <v>406</v>
      </c>
      <c r="W14" t="s" s="0">
        <v>241</v>
      </c>
      <c r="X14" t="s" s="0">
        <v>81</v>
      </c>
      <c r="Y14" t="s" s="0">
        <v>81</v>
      </c>
      <c r="Z14" t="s" s="0">
        <v>93</v>
      </c>
      <c r="AA14" t="s" s="0">
        <v>94</v>
      </c>
      <c r="AB14" t="s" s="0">
        <v>81</v>
      </c>
      <c r="AC14" t="s" s="0">
        <v>81</v>
      </c>
      <c r="AD14" t="s" s="0">
        <v>81</v>
      </c>
      <c r="AE14" t="s" s="0">
        <v>81</v>
      </c>
      <c r="AF14" t="s" s="0">
        <v>81</v>
      </c>
      <c r="AG14" t="s" s="0">
        <v>407</v>
      </c>
      <c r="AH14" t="s" s="0">
        <v>408</v>
      </c>
      <c r="AI14" t="s" s="0">
        <v>81</v>
      </c>
      <c r="AJ14" t="s" s="0">
        <v>81</v>
      </c>
      <c r="AK14" t="s" s="0">
        <v>81</v>
      </c>
      <c r="AL14" t="s" s="0">
        <v>409</v>
      </c>
      <c r="AM14" t="s" s="0">
        <v>340</v>
      </c>
      <c r="AN14" t="s" s="0">
        <v>340</v>
      </c>
      <c r="AO14" t="s" s="0">
        <v>172</v>
      </c>
      <c r="AP14" t="s" s="0">
        <v>172</v>
      </c>
      <c r="AQ14" t="s" s="0">
        <v>133</v>
      </c>
      <c r="AR14" t="s" s="0">
        <v>134</v>
      </c>
      <c r="AS14" t="s" s="0">
        <v>135</v>
      </c>
      <c r="AT14" t="s" s="0">
        <v>245</v>
      </c>
      <c r="AU14" t="s" s="0">
        <v>246</v>
      </c>
      <c r="AV14" t="s" s="0">
        <v>81</v>
      </c>
      <c r="AW14" t="s" s="0">
        <v>247</v>
      </c>
      <c r="AX14" t="s" s="0">
        <v>248</v>
      </c>
      <c r="AY14" t="s" s="0">
        <v>105</v>
      </c>
      <c r="AZ14" t="s" s="0">
        <v>106</v>
      </c>
      <c r="BA14" t="s" s="0">
        <v>249</v>
      </c>
      <c r="BB14" t="s" s="0">
        <v>108</v>
      </c>
      <c r="BC14" t="s" s="0">
        <v>81</v>
      </c>
      <c r="BD14" t="s" s="0">
        <v>81</v>
      </c>
      <c r="BE14" t="s" s="0">
        <v>81</v>
      </c>
      <c r="BF14" t="s" s="0">
        <v>81</v>
      </c>
      <c r="BG14" t="s" s="0">
        <v>81</v>
      </c>
      <c r="BH14" t="s" s="0">
        <v>81</v>
      </c>
      <c r="BI14" t="s" s="0">
        <v>410</v>
      </c>
      <c r="BJ14" t="s" s="0">
        <v>411</v>
      </c>
      <c r="BK14" t="s" s="25">
        <f>HYPERLINK("http://dx.doi.org/10.1080/07853890.2026.2658879","http://dx.doi.org/10.1080/07853890.2026.2658879")</f>
        <v>412</v>
      </c>
      <c r="BL14" t="s" s="0">
        <v>81</v>
      </c>
      <c r="BM14" t="s" s="0">
        <v>81</v>
      </c>
      <c r="BN14" t="s" s="0">
        <v>413</v>
      </c>
      <c r="BO14" t="s" s="0">
        <v>254</v>
      </c>
      <c r="BP14" t="s" s="0">
        <v>255</v>
      </c>
      <c r="BQ14" t="s" s="0">
        <v>414</v>
      </c>
      <c r="BR14" t="s" s="0">
        <v>415</v>
      </c>
      <c r="BS14" t="s" s="0">
        <v>416</v>
      </c>
      <c r="BT14" t="s" s="26">
        <f>HYPERLINK("https://www.webofscience.com/wos/woscc/full-record/WOS:001746514900001","View Record in Web of Science")</f>
        <v>118</v>
      </c>
      <c r="BU14" t="s" s="0">
        <v>417</v>
      </c>
      <c r="BV14" t="s" s="0">
        <v>81</v>
      </c>
      <c r="BW14" t="s" s="0">
        <v>81</v>
      </c>
      <c r="BX14" t="s" s="0">
        <v>120</v>
      </c>
    </row>
    <row r="15">
      <c r="A15" t="s" s="0">
        <v>77</v>
      </c>
      <c r="B15" t="s" s="0">
        <v>77</v>
      </c>
      <c r="C15" t="s" s="0">
        <v>108</v>
      </c>
      <c r="D15" t="s" s="0">
        <v>77</v>
      </c>
      <c r="E15" t="s" s="0">
        <v>418</v>
      </c>
      <c r="F15" t="s" s="0">
        <v>419</v>
      </c>
      <c r="G15" t="s" s="0">
        <v>420</v>
      </c>
      <c r="H15" t="s" s="0">
        <v>81</v>
      </c>
      <c r="I15" t="s" s="0">
        <v>82</v>
      </c>
      <c r="J15" t="s" s="0">
        <v>421</v>
      </c>
      <c r="K15" t="s" s="0">
        <v>422</v>
      </c>
      <c r="L15" t="s" s="0">
        <v>81</v>
      </c>
      <c r="M15" t="s" s="0">
        <v>81</v>
      </c>
      <c r="N15" t="s" s="0">
        <v>423</v>
      </c>
      <c r="O15" t="s" s="0">
        <v>424</v>
      </c>
      <c r="P15" t="s" s="0">
        <v>425</v>
      </c>
      <c r="Q15" t="s" s="0">
        <v>90</v>
      </c>
      <c r="R15" t="s" s="0">
        <v>81</v>
      </c>
      <c r="S15" t="s" s="0">
        <v>81</v>
      </c>
      <c r="T15" t="s" s="0">
        <v>81</v>
      </c>
      <c r="U15" t="s" s="0">
        <v>81</v>
      </c>
      <c r="V15" t="s" s="0">
        <v>426</v>
      </c>
      <c r="W15" t="s" s="0">
        <v>427</v>
      </c>
      <c r="X15" t="s" s="0">
        <v>81</v>
      </c>
      <c r="Y15" t="s" s="0">
        <v>81</v>
      </c>
      <c r="Z15" t="s" s="0">
        <v>93</v>
      </c>
      <c r="AA15" t="s" s="0">
        <v>94</v>
      </c>
      <c r="AB15" t="s" s="0">
        <v>81</v>
      </c>
      <c r="AC15" t="s" s="0">
        <v>81</v>
      </c>
      <c r="AD15" t="s" s="0">
        <v>81</v>
      </c>
      <c r="AE15" t="s" s="0">
        <v>81</v>
      </c>
      <c r="AF15" t="s" s="0">
        <v>81</v>
      </c>
      <c r="AG15" t="s" s="0">
        <v>428</v>
      </c>
      <c r="AH15" t="s" s="0">
        <v>429</v>
      </c>
      <c r="AI15" t="s" s="0">
        <v>430</v>
      </c>
      <c r="AJ15" t="s" s="0">
        <v>431</v>
      </c>
      <c r="AK15" t="s" s="0">
        <v>81</v>
      </c>
      <c r="AL15" t="s" s="0">
        <v>432</v>
      </c>
      <c r="AM15" t="s" s="0">
        <v>433</v>
      </c>
      <c r="AN15" t="s" s="0">
        <v>434</v>
      </c>
      <c r="AO15" t="s" s="0">
        <v>253</v>
      </c>
      <c r="AP15" t="s" s="0">
        <v>253</v>
      </c>
      <c r="AQ15" t="s" s="0">
        <v>98</v>
      </c>
      <c r="AR15" t="s" s="0">
        <v>99</v>
      </c>
      <c r="AS15" t="s" s="0">
        <v>100</v>
      </c>
      <c r="AT15" t="s" s="0">
        <v>435</v>
      </c>
      <c r="AU15" t="s" s="0">
        <v>436</v>
      </c>
      <c r="AV15" t="s" s="0">
        <v>81</v>
      </c>
      <c r="AW15" t="s" s="0">
        <v>427</v>
      </c>
      <c r="AX15" t="s" s="0">
        <v>437</v>
      </c>
      <c r="AY15" t="s" s="0">
        <v>105</v>
      </c>
      <c r="AZ15" t="s" s="0">
        <v>106</v>
      </c>
      <c r="BA15" t="s" s="0">
        <v>438</v>
      </c>
      <c r="BB15" t="s" s="0">
        <v>108</v>
      </c>
      <c r="BC15" t="s" s="0">
        <v>81</v>
      </c>
      <c r="BD15" t="s" s="0">
        <v>81</v>
      </c>
      <c r="BE15" t="s" s="0">
        <v>81</v>
      </c>
      <c r="BF15" t="s" s="0">
        <v>81</v>
      </c>
      <c r="BG15" t="s" s="0">
        <v>81</v>
      </c>
      <c r="BH15" t="s" s="0">
        <v>81</v>
      </c>
      <c r="BI15" t="s" s="0">
        <v>439</v>
      </c>
      <c r="BJ15" t="s" s="0">
        <v>440</v>
      </c>
      <c r="BK15" t="s" s="27">
        <f>HYPERLINK("http://dx.doi.org/10.1080/19490976.2026.2644677","http://dx.doi.org/10.1080/19490976.2026.2644677")</f>
        <v>441</v>
      </c>
      <c r="BL15" t="s" s="0">
        <v>81</v>
      </c>
      <c r="BM15" t="s" s="0">
        <v>81</v>
      </c>
      <c r="BN15" t="s" s="0">
        <v>442</v>
      </c>
      <c r="BO15" t="s" s="0">
        <v>443</v>
      </c>
      <c r="BP15" t="s" s="0">
        <v>443</v>
      </c>
      <c r="BQ15" t="s" s="0">
        <v>444</v>
      </c>
      <c r="BR15" t="s" s="0">
        <v>445</v>
      </c>
      <c r="BS15" t="s" s="0">
        <v>446</v>
      </c>
      <c r="BT15" t="s" s="28">
        <f>HYPERLINK("https://www.webofscience.com/wos/woscc/full-record/WOS:001746021900001","View Record in Web of Science")</f>
        <v>118</v>
      </c>
      <c r="BU15" t="s" s="0">
        <v>177</v>
      </c>
      <c r="BV15" t="s" s="0">
        <v>81</v>
      </c>
      <c r="BW15" t="s" s="0">
        <v>81</v>
      </c>
      <c r="BX15" t="s" s="0">
        <v>120</v>
      </c>
    </row>
    <row r="16">
      <c r="A16" t="s" s="0">
        <v>77</v>
      </c>
      <c r="B16" t="s" s="0">
        <v>77</v>
      </c>
      <c r="C16" t="s" s="0">
        <v>77</v>
      </c>
      <c r="D16" t="s" s="0">
        <v>77</v>
      </c>
      <c r="E16" t="s" s="0">
        <v>447</v>
      </c>
      <c r="F16" t="s" s="0">
        <v>448</v>
      </c>
      <c r="G16" t="s" s="0">
        <v>449</v>
      </c>
      <c r="H16" t="s" s="0">
        <v>81</v>
      </c>
      <c r="I16" t="s" s="0">
        <v>124</v>
      </c>
      <c r="J16" t="s" s="0">
        <v>450</v>
      </c>
      <c r="K16" t="s" s="0">
        <v>451</v>
      </c>
      <c r="L16" t="s" s="0">
        <v>452</v>
      </c>
      <c r="M16" t="s" s="0">
        <v>452</v>
      </c>
      <c r="N16" t="s" s="0">
        <v>453</v>
      </c>
      <c r="O16" t="s" s="0">
        <v>454</v>
      </c>
      <c r="P16" t="s" s="0">
        <v>455</v>
      </c>
      <c r="Q16" t="s" s="0">
        <v>90</v>
      </c>
      <c r="R16" t="s" s="0">
        <v>81</v>
      </c>
      <c r="S16" t="s" s="0">
        <v>81</v>
      </c>
      <c r="T16" t="s" s="0">
        <v>81</v>
      </c>
      <c r="U16" t="s" s="0">
        <v>81</v>
      </c>
      <c r="V16" t="s" s="0">
        <v>456</v>
      </c>
      <c r="W16" t="s" s="0">
        <v>379</v>
      </c>
      <c r="X16" t="s" s="0">
        <v>81</v>
      </c>
      <c r="Y16" t="s" s="0">
        <v>81</v>
      </c>
      <c r="Z16" t="s" s="0">
        <v>93</v>
      </c>
      <c r="AA16" t="s" s="0">
        <v>94</v>
      </c>
      <c r="AB16" t="s" s="0">
        <v>81</v>
      </c>
      <c r="AC16" t="s" s="0">
        <v>81</v>
      </c>
      <c r="AD16" t="s" s="0">
        <v>81</v>
      </c>
      <c r="AE16" t="s" s="0">
        <v>81</v>
      </c>
      <c r="AF16" t="s" s="0">
        <v>81</v>
      </c>
      <c r="AG16" t="s" s="0">
        <v>457</v>
      </c>
      <c r="AH16" t="s" s="0">
        <v>458</v>
      </c>
      <c r="AI16" t="s" s="0">
        <v>459</v>
      </c>
      <c r="AJ16" t="s" s="0">
        <v>81</v>
      </c>
      <c r="AK16" t="s" s="0">
        <v>81</v>
      </c>
      <c r="AL16" t="s" s="0">
        <v>460</v>
      </c>
      <c r="AM16" t="s" s="0">
        <v>77</v>
      </c>
      <c r="AN16" t="s" s="0">
        <v>77</v>
      </c>
      <c r="AO16" t="s" s="0">
        <v>461</v>
      </c>
      <c r="AP16" t="s" s="0">
        <v>461</v>
      </c>
      <c r="AQ16" t="s" s="0">
        <v>133</v>
      </c>
      <c r="AR16" t="s" s="0">
        <v>134</v>
      </c>
      <c r="AS16" t="s" s="0">
        <v>135</v>
      </c>
      <c r="AT16" t="s" s="0">
        <v>384</v>
      </c>
      <c r="AU16" t="s" s="0">
        <v>81</v>
      </c>
      <c r="AV16" t="s" s="0">
        <v>81</v>
      </c>
      <c r="AW16" t="s" s="0">
        <v>385</v>
      </c>
      <c r="AX16" t="s" s="0">
        <v>386</v>
      </c>
      <c r="AY16" t="s" s="0">
        <v>105</v>
      </c>
      <c r="AZ16" t="s" s="0">
        <v>106</v>
      </c>
      <c r="BA16" t="s" s="0">
        <v>387</v>
      </c>
      <c r="BB16" t="s" s="0">
        <v>108</v>
      </c>
      <c r="BC16" t="s" s="0">
        <v>81</v>
      </c>
      <c r="BD16" t="s" s="0">
        <v>81</v>
      </c>
      <c r="BE16" t="s" s="0">
        <v>81</v>
      </c>
      <c r="BF16" t="s" s="0">
        <v>81</v>
      </c>
      <c r="BG16" t="s" s="0">
        <v>81</v>
      </c>
      <c r="BH16" t="s" s="0">
        <v>81</v>
      </c>
      <c r="BI16" t="s" s="0">
        <v>462</v>
      </c>
      <c r="BJ16" t="s" s="0">
        <v>463</v>
      </c>
      <c r="BK16" t="s" s="29">
        <f>HYPERLINK("http://dx.doi.org/10.1080/23311916.2026.2653310","http://dx.doi.org/10.1080/23311916.2026.2653310")</f>
        <v>464</v>
      </c>
      <c r="BL16" t="s" s="0">
        <v>81</v>
      </c>
      <c r="BM16" t="s" s="0">
        <v>81</v>
      </c>
      <c r="BN16" t="s" s="0">
        <v>465</v>
      </c>
      <c r="BO16" t="s" s="0">
        <v>392</v>
      </c>
      <c r="BP16" t="s" s="0">
        <v>393</v>
      </c>
      <c r="BQ16" t="s" s="0">
        <v>466</v>
      </c>
      <c r="BR16" t="s" s="0">
        <v>81</v>
      </c>
      <c r="BS16" t="s" s="0">
        <v>467</v>
      </c>
      <c r="BT16" t="s" s="30">
        <f>HYPERLINK("https://www.webofscience.com/wos/woscc/full-record/WOS:001737942000001","View Record in Web of Science")</f>
        <v>118</v>
      </c>
      <c r="BU16" t="s" s="0">
        <v>177</v>
      </c>
      <c r="BV16" t="s" s="0">
        <v>81</v>
      </c>
      <c r="BW16" t="s" s="0">
        <v>81</v>
      </c>
      <c r="BX16" t="s" s="0">
        <v>120</v>
      </c>
    </row>
    <row r="17">
      <c r="A17" t="s" s="0">
        <v>77</v>
      </c>
      <c r="B17" t="s" s="0">
        <v>77</v>
      </c>
      <c r="C17" t="s" s="0">
        <v>108</v>
      </c>
      <c r="D17" t="s" s="0">
        <v>77</v>
      </c>
      <c r="E17" t="s" s="0">
        <v>468</v>
      </c>
      <c r="F17" t="s" s="0">
        <v>469</v>
      </c>
      <c r="G17" t="s" s="0">
        <v>470</v>
      </c>
      <c r="H17" t="s" s="0">
        <v>81</v>
      </c>
      <c r="I17" t="s" s="0">
        <v>82</v>
      </c>
      <c r="J17" t="s" s="0">
        <v>471</v>
      </c>
      <c r="K17" t="s" s="0">
        <v>472</v>
      </c>
      <c r="L17" t="s" s="0">
        <v>473</v>
      </c>
      <c r="M17" t="s" s="0">
        <v>474</v>
      </c>
      <c r="N17" t="s" s="0">
        <v>475</v>
      </c>
      <c r="O17" t="s" s="0">
        <v>476</v>
      </c>
      <c r="P17" t="s" s="0">
        <v>477</v>
      </c>
      <c r="Q17" t="s" s="0">
        <v>90</v>
      </c>
      <c r="R17" t="s" s="0">
        <v>81</v>
      </c>
      <c r="S17" t="s" s="0">
        <v>81</v>
      </c>
      <c r="T17" t="s" s="0">
        <v>81</v>
      </c>
      <c r="U17" t="s" s="0">
        <v>81</v>
      </c>
      <c r="V17" t="s" s="0">
        <v>478</v>
      </c>
      <c r="W17" t="s" s="0">
        <v>479</v>
      </c>
      <c r="X17" t="s" s="0">
        <v>81</v>
      </c>
      <c r="Y17" t="s" s="0">
        <v>81</v>
      </c>
      <c r="Z17" t="s" s="0">
        <v>93</v>
      </c>
      <c r="AA17" t="s" s="0">
        <v>94</v>
      </c>
      <c r="AB17" t="s" s="0">
        <v>81</v>
      </c>
      <c r="AC17" t="s" s="0">
        <v>81</v>
      </c>
      <c r="AD17" t="s" s="0">
        <v>81</v>
      </c>
      <c r="AE17" t="s" s="0">
        <v>81</v>
      </c>
      <c r="AF17" t="s" s="0">
        <v>81</v>
      </c>
      <c r="AG17" t="s" s="0">
        <v>480</v>
      </c>
      <c r="AH17" t="s" s="0">
        <v>481</v>
      </c>
      <c r="AI17" t="s" s="0">
        <v>482</v>
      </c>
      <c r="AJ17" t="s" s="0">
        <v>81</v>
      </c>
      <c r="AK17" t="s" s="0">
        <v>81</v>
      </c>
      <c r="AL17" t="s" s="0">
        <v>483</v>
      </c>
      <c r="AM17" t="s" s="0">
        <v>484</v>
      </c>
      <c r="AN17" t="s" s="0">
        <v>484</v>
      </c>
      <c r="AO17" t="s" s="0">
        <v>485</v>
      </c>
      <c r="AP17" t="s" s="0">
        <v>485</v>
      </c>
      <c r="AQ17" t="s" s="0">
        <v>133</v>
      </c>
      <c r="AR17" t="s" s="0">
        <v>134</v>
      </c>
      <c r="AS17" t="s" s="0">
        <v>135</v>
      </c>
      <c r="AT17" t="s" s="0">
        <v>486</v>
      </c>
      <c r="AU17" t="s" s="0">
        <v>487</v>
      </c>
      <c r="AV17" t="s" s="0">
        <v>81</v>
      </c>
      <c r="AW17" t="s" s="0">
        <v>479</v>
      </c>
      <c r="AX17" t="s" s="0">
        <v>488</v>
      </c>
      <c r="AY17" t="s" s="0">
        <v>105</v>
      </c>
      <c r="AZ17" t="s" s="0">
        <v>106</v>
      </c>
      <c r="BA17" t="s" s="0">
        <v>489</v>
      </c>
      <c r="BB17" t="s" s="0">
        <v>108</v>
      </c>
      <c r="BC17" t="s" s="0">
        <v>81</v>
      </c>
      <c r="BD17" t="s" s="0">
        <v>81</v>
      </c>
      <c r="BE17" t="s" s="0">
        <v>81</v>
      </c>
      <c r="BF17" t="s" s="0">
        <v>81</v>
      </c>
      <c r="BG17" t="s" s="0">
        <v>81</v>
      </c>
      <c r="BH17" t="s" s="0">
        <v>81</v>
      </c>
      <c r="BI17" t="s" s="0">
        <v>490</v>
      </c>
      <c r="BJ17" t="s" s="0">
        <v>491</v>
      </c>
      <c r="BK17" t="s" s="31">
        <f>HYPERLINK("http://dx.doi.org/10.1080/0886022X.2026.2640720","http://dx.doi.org/10.1080/0886022X.2026.2640720")</f>
        <v>492</v>
      </c>
      <c r="BL17" t="s" s="0">
        <v>81</v>
      </c>
      <c r="BM17" t="s" s="0">
        <v>81</v>
      </c>
      <c r="BN17" t="s" s="0">
        <v>493</v>
      </c>
      <c r="BO17" t="s" s="0">
        <v>494</v>
      </c>
      <c r="BP17" t="s" s="0">
        <v>494</v>
      </c>
      <c r="BQ17" t="s" s="0">
        <v>495</v>
      </c>
      <c r="BR17" t="s" s="0">
        <v>496</v>
      </c>
      <c r="BS17" t="s" s="0">
        <v>497</v>
      </c>
      <c r="BT17" t="s" s="32">
        <f>HYPERLINK("https://www.webofscience.com/wos/woscc/full-record/WOS:001719195300001","View Record in Web of Science")</f>
        <v>118</v>
      </c>
      <c r="BU17" t="s" s="0">
        <v>177</v>
      </c>
      <c r="BV17" t="s" s="0">
        <v>81</v>
      </c>
      <c r="BW17" t="s" s="0">
        <v>81</v>
      </c>
      <c r="BX17" t="s" s="0">
        <v>120</v>
      </c>
    </row>
    <row r="18">
      <c r="A18" t="s" s="0">
        <v>77</v>
      </c>
      <c r="B18" t="s" s="0">
        <v>77</v>
      </c>
      <c r="C18" t="s" s="0">
        <v>77</v>
      </c>
      <c r="D18" t="s" s="0">
        <v>77</v>
      </c>
      <c r="E18" t="s" s="0">
        <v>498</v>
      </c>
      <c r="F18" t="s" s="0">
        <v>499</v>
      </c>
      <c r="G18" t="s" s="0">
        <v>500</v>
      </c>
      <c r="H18" t="s" s="0">
        <v>81</v>
      </c>
      <c r="I18" t="s" s="0">
        <v>124</v>
      </c>
      <c r="J18" t="s" s="0">
        <v>501</v>
      </c>
      <c r="K18" t="s" s="0">
        <v>502</v>
      </c>
      <c r="L18" t="s" s="0">
        <v>503</v>
      </c>
      <c r="M18" t="s" s="0">
        <v>503</v>
      </c>
      <c r="N18" t="s" s="0">
        <v>504</v>
      </c>
      <c r="O18" t="s" s="0">
        <v>505</v>
      </c>
      <c r="P18" t="s" s="0">
        <v>506</v>
      </c>
      <c r="Q18" t="s" s="0">
        <v>90</v>
      </c>
      <c r="R18" t="s" s="0">
        <v>81</v>
      </c>
      <c r="S18" t="s" s="0">
        <v>81</v>
      </c>
      <c r="T18" t="s" s="0">
        <v>81</v>
      </c>
      <c r="U18" t="s" s="0">
        <v>81</v>
      </c>
      <c r="V18" t="s" s="0">
        <v>507</v>
      </c>
      <c r="W18" t="s" s="0">
        <v>508</v>
      </c>
      <c r="X18" t="s" s="0">
        <v>81</v>
      </c>
      <c r="Y18" t="s" s="0">
        <v>81</v>
      </c>
      <c r="Z18" t="s" s="0">
        <v>93</v>
      </c>
      <c r="AA18" t="s" s="0">
        <v>94</v>
      </c>
      <c r="AB18" t="s" s="0">
        <v>81</v>
      </c>
      <c r="AC18" t="s" s="0">
        <v>81</v>
      </c>
      <c r="AD18" t="s" s="0">
        <v>81</v>
      </c>
      <c r="AE18" t="s" s="0">
        <v>81</v>
      </c>
      <c r="AF18" t="s" s="0">
        <v>81</v>
      </c>
      <c r="AG18" t="s" s="0">
        <v>509</v>
      </c>
      <c r="AH18" t="s" s="0">
        <v>81</v>
      </c>
      <c r="AI18" t="s" s="0">
        <v>81</v>
      </c>
      <c r="AJ18" t="s" s="0">
        <v>510</v>
      </c>
      <c r="AK18" t="s" s="0">
        <v>81</v>
      </c>
      <c r="AL18" t="s" s="0">
        <v>511</v>
      </c>
      <c r="AM18" t="s" s="0">
        <v>77</v>
      </c>
      <c r="AN18" t="s" s="0">
        <v>77</v>
      </c>
      <c r="AO18" t="s" s="0">
        <v>511</v>
      </c>
      <c r="AP18" t="s" s="0">
        <v>511</v>
      </c>
      <c r="AQ18" t="s" s="0">
        <v>133</v>
      </c>
      <c r="AR18" t="s" s="0">
        <v>134</v>
      </c>
      <c r="AS18" t="s" s="0">
        <v>135</v>
      </c>
      <c r="AT18" t="s" s="0">
        <v>512</v>
      </c>
      <c r="AU18" t="s" s="0">
        <v>81</v>
      </c>
      <c r="AV18" t="s" s="0">
        <v>81</v>
      </c>
      <c r="AW18" t="s" s="0">
        <v>513</v>
      </c>
      <c r="AX18" t="s" s="0">
        <v>514</v>
      </c>
      <c r="AY18" t="s" s="0">
        <v>105</v>
      </c>
      <c r="AZ18" t="s" s="0">
        <v>106</v>
      </c>
      <c r="BA18" t="s" s="0">
        <v>387</v>
      </c>
      <c r="BB18" t="s" s="0">
        <v>108</v>
      </c>
      <c r="BC18" t="s" s="0">
        <v>81</v>
      </c>
      <c r="BD18" t="s" s="0">
        <v>81</v>
      </c>
      <c r="BE18" t="s" s="0">
        <v>81</v>
      </c>
      <c r="BF18" t="s" s="0">
        <v>81</v>
      </c>
      <c r="BG18" t="s" s="0">
        <v>81</v>
      </c>
      <c r="BH18" t="s" s="0">
        <v>81</v>
      </c>
      <c r="BI18" t="s" s="0">
        <v>515</v>
      </c>
      <c r="BJ18" t="s" s="0">
        <v>516</v>
      </c>
      <c r="BK18" t="s" s="33">
        <f>HYPERLINK("http://dx.doi.org/10.1080/23311975.2026.2622721","http://dx.doi.org/10.1080/23311975.2026.2622721")</f>
        <v>517</v>
      </c>
      <c r="BL18" t="s" s="0">
        <v>81</v>
      </c>
      <c r="BM18" t="s" s="0">
        <v>81</v>
      </c>
      <c r="BN18" t="s" s="0">
        <v>438</v>
      </c>
      <c r="BO18" t="s" s="0">
        <v>518</v>
      </c>
      <c r="BP18" t="s" s="0">
        <v>519</v>
      </c>
      <c r="BQ18" t="s" s="0">
        <v>520</v>
      </c>
      <c r="BR18" t="s" s="0">
        <v>81</v>
      </c>
      <c r="BS18" t="s" s="0">
        <v>521</v>
      </c>
      <c r="BT18" t="s" s="34">
        <f>HYPERLINK("https://www.webofscience.com/wos/woscc/full-record/WOS:001716129600001","View Record in Web of Science")</f>
        <v>118</v>
      </c>
      <c r="BU18" t="s" s="0">
        <v>177</v>
      </c>
      <c r="BV18" t="s" s="0">
        <v>81</v>
      </c>
      <c r="BW18" t="s" s="0">
        <v>81</v>
      </c>
      <c r="BX18" t="s" s="0">
        <v>120</v>
      </c>
    </row>
    <row r="19">
      <c r="A19" t="s" s="0">
        <v>77</v>
      </c>
      <c r="B19" t="s" s="0">
        <v>77</v>
      </c>
      <c r="C19" t="s" s="0">
        <v>77</v>
      </c>
      <c r="D19" t="s" s="0">
        <v>77</v>
      </c>
      <c r="E19" t="s" s="0">
        <v>522</v>
      </c>
      <c r="F19" t="s" s="0">
        <v>523</v>
      </c>
      <c r="G19" t="s" s="0">
        <v>524</v>
      </c>
      <c r="H19" t="s" s="0">
        <v>81</v>
      </c>
      <c r="I19" t="s" s="0">
        <v>124</v>
      </c>
      <c r="J19" t="s" s="0">
        <v>525</v>
      </c>
      <c r="K19" t="s" s="0">
        <v>526</v>
      </c>
      <c r="L19" t="s" s="0">
        <v>81</v>
      </c>
      <c r="M19" t="s" s="0">
        <v>81</v>
      </c>
      <c r="N19" t="s" s="0">
        <v>81</v>
      </c>
      <c r="O19" t="s" s="0">
        <v>527</v>
      </c>
      <c r="P19" t="s" s="0">
        <v>528</v>
      </c>
      <c r="Q19" t="s" s="0">
        <v>90</v>
      </c>
      <c r="R19" t="s" s="0">
        <v>81</v>
      </c>
      <c r="S19" t="s" s="0">
        <v>81</v>
      </c>
      <c r="T19" t="s" s="0">
        <v>81</v>
      </c>
      <c r="U19" t="s" s="0">
        <v>81</v>
      </c>
      <c r="V19" t="s" s="0">
        <v>529</v>
      </c>
      <c r="W19" t="s" s="0">
        <v>335</v>
      </c>
      <c r="X19" t="s" s="0">
        <v>81</v>
      </c>
      <c r="Y19" t="s" s="0">
        <v>81</v>
      </c>
      <c r="Z19" t="s" s="0">
        <v>93</v>
      </c>
      <c r="AA19" t="s" s="0">
        <v>94</v>
      </c>
      <c r="AB19" t="s" s="0">
        <v>81</v>
      </c>
      <c r="AC19" t="s" s="0">
        <v>81</v>
      </c>
      <c r="AD19" t="s" s="0">
        <v>81</v>
      </c>
      <c r="AE19" t="s" s="0">
        <v>81</v>
      </c>
      <c r="AF19" t="s" s="0">
        <v>81</v>
      </c>
      <c r="AG19" t="s" s="0">
        <v>530</v>
      </c>
      <c r="AH19" t="s" s="0">
        <v>531</v>
      </c>
      <c r="AI19" t="s" s="0">
        <v>532</v>
      </c>
      <c r="AJ19" t="s" s="0">
        <v>81</v>
      </c>
      <c r="AK19" t="s" s="0">
        <v>81</v>
      </c>
      <c r="AL19" t="s" s="0">
        <v>533</v>
      </c>
      <c r="AM19" t="s" s="0">
        <v>77</v>
      </c>
      <c r="AN19" t="s" s="0">
        <v>77</v>
      </c>
      <c r="AO19" t="s" s="0">
        <v>316</v>
      </c>
      <c r="AP19" t="s" s="0">
        <v>316</v>
      </c>
      <c r="AQ19" t="s" s="0">
        <v>133</v>
      </c>
      <c r="AR19" t="s" s="0">
        <v>134</v>
      </c>
      <c r="AS19" t="s" s="0">
        <v>135</v>
      </c>
      <c r="AT19" t="s" s="0">
        <v>81</v>
      </c>
      <c r="AU19" t="s" s="0">
        <v>341</v>
      </c>
      <c r="AV19" t="s" s="0">
        <v>81</v>
      </c>
      <c r="AW19" t="s" s="0">
        <v>342</v>
      </c>
      <c r="AX19" t="s" s="0">
        <v>343</v>
      </c>
      <c r="AY19" t="s" s="0">
        <v>105</v>
      </c>
      <c r="AZ19" t="s" s="0">
        <v>106</v>
      </c>
      <c r="BA19" t="s" s="0">
        <v>113</v>
      </c>
      <c r="BB19" t="s" s="0">
        <v>108</v>
      </c>
      <c r="BC19" t="s" s="0">
        <v>81</v>
      </c>
      <c r="BD19" t="s" s="0">
        <v>81</v>
      </c>
      <c r="BE19" t="s" s="0">
        <v>81</v>
      </c>
      <c r="BF19" t="s" s="0">
        <v>81</v>
      </c>
      <c r="BG19" t="s" s="0">
        <v>81</v>
      </c>
      <c r="BH19" t="s" s="0">
        <v>81</v>
      </c>
      <c r="BI19" t="s" s="0">
        <v>534</v>
      </c>
      <c r="BJ19" t="s" s="0">
        <v>535</v>
      </c>
      <c r="BK19" t="s" s="35">
        <f>HYPERLINK("http://dx.doi.org/10.1080/21642583.2026.2640267","http://dx.doi.org/10.1080/21642583.2026.2640267")</f>
        <v>536</v>
      </c>
      <c r="BL19" t="s" s="0">
        <v>81</v>
      </c>
      <c r="BM19" t="s" s="0">
        <v>81</v>
      </c>
      <c r="BN19" t="s" s="0">
        <v>438</v>
      </c>
      <c r="BO19" t="s" s="0">
        <v>348</v>
      </c>
      <c r="BP19" t="s" s="0">
        <v>348</v>
      </c>
      <c r="BQ19" t="s" s="0">
        <v>537</v>
      </c>
      <c r="BR19" t="s" s="0">
        <v>81</v>
      </c>
      <c r="BS19" t="s" s="0">
        <v>538</v>
      </c>
      <c r="BT19" t="s" s="36">
        <f>HYPERLINK("https://www.webofscience.com/wos/woscc/full-record/WOS:001708011500001","View Record in Web of Science")</f>
        <v>118</v>
      </c>
      <c r="BU19" t="s" s="0">
        <v>177</v>
      </c>
      <c r="BV19" t="s" s="0">
        <v>81</v>
      </c>
      <c r="BW19" t="s" s="0">
        <v>81</v>
      </c>
      <c r="BX19" t="s" s="0">
        <v>120</v>
      </c>
    </row>
    <row r="20">
      <c r="A20" t="s" s="0">
        <v>77</v>
      </c>
      <c r="B20" t="s" s="0">
        <v>77</v>
      </c>
      <c r="C20" t="s" s="0">
        <v>77</v>
      </c>
      <c r="D20" t="s" s="0">
        <v>77</v>
      </c>
      <c r="E20" t="s" s="0">
        <v>539</v>
      </c>
      <c r="F20" t="s" s="0">
        <v>540</v>
      </c>
      <c r="G20" t="s" s="0">
        <v>541</v>
      </c>
      <c r="H20" t="s" s="0">
        <v>81</v>
      </c>
      <c r="I20" t="s" s="0">
        <v>124</v>
      </c>
      <c r="J20" t="s" s="0">
        <v>542</v>
      </c>
      <c r="K20" t="s" s="0">
        <v>543</v>
      </c>
      <c r="L20" t="s" s="0">
        <v>81</v>
      </c>
      <c r="M20" t="s" s="0">
        <v>81</v>
      </c>
      <c r="N20" t="s" s="0">
        <v>81</v>
      </c>
      <c r="O20" t="s" s="0">
        <v>544</v>
      </c>
      <c r="P20" t="s" s="0">
        <v>545</v>
      </c>
      <c r="Q20" t="s" s="0">
        <v>90</v>
      </c>
      <c r="R20" t="s" s="0">
        <v>81</v>
      </c>
      <c r="S20" t="s" s="0">
        <v>81</v>
      </c>
      <c r="T20" t="s" s="0">
        <v>81</v>
      </c>
      <c r="U20" t="s" s="0">
        <v>81</v>
      </c>
      <c r="V20" t="s" s="0">
        <v>546</v>
      </c>
      <c r="W20" t="s" s="0">
        <v>335</v>
      </c>
      <c r="X20" t="s" s="0">
        <v>81</v>
      </c>
      <c r="Y20" t="s" s="0">
        <v>81</v>
      </c>
      <c r="Z20" t="s" s="0">
        <v>93</v>
      </c>
      <c r="AA20" t="s" s="0">
        <v>94</v>
      </c>
      <c r="AB20" t="s" s="0">
        <v>81</v>
      </c>
      <c r="AC20" t="s" s="0">
        <v>81</v>
      </c>
      <c r="AD20" t="s" s="0">
        <v>81</v>
      </c>
      <c r="AE20" t="s" s="0">
        <v>81</v>
      </c>
      <c r="AF20" t="s" s="0">
        <v>81</v>
      </c>
      <c r="AG20" t="s" s="0">
        <v>547</v>
      </c>
      <c r="AH20" t="s" s="0">
        <v>81</v>
      </c>
      <c r="AI20" t="s" s="0">
        <v>81</v>
      </c>
      <c r="AJ20" t="s" s="0">
        <v>81</v>
      </c>
      <c r="AK20" t="s" s="0">
        <v>81</v>
      </c>
      <c r="AL20" t="s" s="0">
        <v>249</v>
      </c>
      <c r="AM20" t="s" s="0">
        <v>484</v>
      </c>
      <c r="AN20" t="s" s="0">
        <v>484</v>
      </c>
      <c r="AO20" t="s" s="0">
        <v>511</v>
      </c>
      <c r="AP20" t="s" s="0">
        <v>511</v>
      </c>
      <c r="AQ20" t="s" s="0">
        <v>133</v>
      </c>
      <c r="AR20" t="s" s="0">
        <v>134</v>
      </c>
      <c r="AS20" t="s" s="0">
        <v>135</v>
      </c>
      <c r="AT20" t="s" s="0">
        <v>81</v>
      </c>
      <c r="AU20" t="s" s="0">
        <v>341</v>
      </c>
      <c r="AV20" t="s" s="0">
        <v>81</v>
      </c>
      <c r="AW20" t="s" s="0">
        <v>342</v>
      </c>
      <c r="AX20" t="s" s="0">
        <v>343</v>
      </c>
      <c r="AY20" t="s" s="0">
        <v>105</v>
      </c>
      <c r="AZ20" t="s" s="0">
        <v>106</v>
      </c>
      <c r="BA20" t="s" s="0">
        <v>113</v>
      </c>
      <c r="BB20" t="s" s="0">
        <v>108</v>
      </c>
      <c r="BC20" t="s" s="0">
        <v>81</v>
      </c>
      <c r="BD20" t="s" s="0">
        <v>81</v>
      </c>
      <c r="BE20" t="s" s="0">
        <v>81</v>
      </c>
      <c r="BF20" t="s" s="0">
        <v>81</v>
      </c>
      <c r="BG20" t="s" s="0">
        <v>81</v>
      </c>
      <c r="BH20" t="s" s="0">
        <v>81</v>
      </c>
      <c r="BI20" t="s" s="0">
        <v>548</v>
      </c>
      <c r="BJ20" t="s" s="0">
        <v>549</v>
      </c>
      <c r="BK20" t="s" s="37">
        <f>HYPERLINK("http://dx.doi.org/10.1080/21642583.2026.2634452","http://dx.doi.org/10.1080/21642583.2026.2634452")</f>
        <v>550</v>
      </c>
      <c r="BL20" t="s" s="0">
        <v>81</v>
      </c>
      <c r="BM20" t="s" s="0">
        <v>81</v>
      </c>
      <c r="BN20" t="s" s="0">
        <v>551</v>
      </c>
      <c r="BO20" t="s" s="0">
        <v>348</v>
      </c>
      <c r="BP20" t="s" s="0">
        <v>348</v>
      </c>
      <c r="BQ20" t="s" s="0">
        <v>552</v>
      </c>
      <c r="BR20" t="s" s="0">
        <v>81</v>
      </c>
      <c r="BS20" t="s" s="0">
        <v>553</v>
      </c>
      <c r="BT20" t="s" s="38">
        <f>HYPERLINK("https://www.webofscience.com/wos/woscc/full-record/WOS:001703157900001","View Record in Web of Science")</f>
        <v>118</v>
      </c>
      <c r="BU20" t="s" s="0">
        <v>177</v>
      </c>
      <c r="BV20" t="s" s="0">
        <v>81</v>
      </c>
      <c r="BW20" t="s" s="0">
        <v>81</v>
      </c>
      <c r="BX20" t="s" s="0">
        <v>120</v>
      </c>
    </row>
    <row r="21">
      <c r="A21" t="s" s="0">
        <v>77</v>
      </c>
      <c r="B21" t="s" s="0">
        <v>77</v>
      </c>
      <c r="C21" t="s" s="0">
        <v>77</v>
      </c>
      <c r="D21" t="s" s="0">
        <v>77</v>
      </c>
      <c r="E21" t="s" s="0">
        <v>554</v>
      </c>
      <c r="F21" t="s" s="0">
        <v>555</v>
      </c>
      <c r="G21" t="s" s="0">
        <v>556</v>
      </c>
      <c r="H21" t="s" s="0">
        <v>81</v>
      </c>
      <c r="I21" t="s" s="0">
        <v>82</v>
      </c>
      <c r="J21" t="s" s="0">
        <v>557</v>
      </c>
      <c r="K21" t="s" s="0">
        <v>558</v>
      </c>
      <c r="L21" t="s" s="0">
        <v>559</v>
      </c>
      <c r="M21" t="s" s="0">
        <v>559</v>
      </c>
      <c r="N21" t="s" s="0">
        <v>560</v>
      </c>
      <c r="O21" t="s" s="0">
        <v>561</v>
      </c>
      <c r="P21" t="s" s="0">
        <v>81</v>
      </c>
      <c r="Q21" t="s" s="0">
        <v>90</v>
      </c>
      <c r="R21" t="s" s="0">
        <v>81</v>
      </c>
      <c r="S21" t="s" s="0">
        <v>81</v>
      </c>
      <c r="T21" t="s" s="0">
        <v>81</v>
      </c>
      <c r="U21" t="s" s="0">
        <v>81</v>
      </c>
      <c r="V21" t="s" s="0">
        <v>562</v>
      </c>
      <c r="W21" t="s" s="0">
        <v>563</v>
      </c>
      <c r="X21" t="s" s="0">
        <v>81</v>
      </c>
      <c r="Y21" t="s" s="0">
        <v>81</v>
      </c>
      <c r="Z21" t="s" s="0">
        <v>93</v>
      </c>
      <c r="AA21" t="s" s="0">
        <v>94</v>
      </c>
      <c r="AB21" t="s" s="0">
        <v>81</v>
      </c>
      <c r="AC21" t="s" s="0">
        <v>81</v>
      </c>
      <c r="AD21" t="s" s="0">
        <v>81</v>
      </c>
      <c r="AE21" t="s" s="0">
        <v>81</v>
      </c>
      <c r="AF21" t="s" s="0">
        <v>81</v>
      </c>
      <c r="AG21" t="s" s="0">
        <v>564</v>
      </c>
      <c r="AH21" t="s" s="0">
        <v>565</v>
      </c>
      <c r="AI21" t="s" s="0">
        <v>566</v>
      </c>
      <c r="AJ21" t="s" s="0">
        <v>567</v>
      </c>
      <c r="AK21" t="s" s="0">
        <v>81</v>
      </c>
      <c r="AL21" t="s" s="0">
        <v>568</v>
      </c>
      <c r="AM21" t="s" s="0">
        <v>77</v>
      </c>
      <c r="AN21" t="s" s="0">
        <v>77</v>
      </c>
      <c r="AO21" t="s" s="0">
        <v>461</v>
      </c>
      <c r="AP21" t="s" s="0">
        <v>461</v>
      </c>
      <c r="AQ21" t="s" s="0">
        <v>133</v>
      </c>
      <c r="AR21" t="s" s="0">
        <v>134</v>
      </c>
      <c r="AS21" t="s" s="0">
        <v>135</v>
      </c>
      <c r="AT21" t="s" s="0">
        <v>569</v>
      </c>
      <c r="AU21" t="s" s="0">
        <v>570</v>
      </c>
      <c r="AV21" t="s" s="0">
        <v>81</v>
      </c>
      <c r="AW21" t="s" s="0">
        <v>563</v>
      </c>
      <c r="AX21" t="s" s="0">
        <v>571</v>
      </c>
      <c r="AY21" t="s" s="0">
        <v>105</v>
      </c>
      <c r="AZ21" t="s" s="0">
        <v>106</v>
      </c>
      <c r="BA21" t="s" s="0">
        <v>253</v>
      </c>
      <c r="BB21" t="s" s="0">
        <v>108</v>
      </c>
      <c r="BC21" t="s" s="0">
        <v>81</v>
      </c>
      <c r="BD21" t="s" s="0">
        <v>81</v>
      </c>
      <c r="BE21" t="s" s="0">
        <v>81</v>
      </c>
      <c r="BF21" t="s" s="0">
        <v>81</v>
      </c>
      <c r="BG21" t="s" s="0">
        <v>81</v>
      </c>
      <c r="BH21" t="s" s="0">
        <v>81</v>
      </c>
      <c r="BI21" t="s" s="0">
        <v>572</v>
      </c>
      <c r="BJ21" t="s" s="0">
        <v>573</v>
      </c>
      <c r="BK21" t="s" s="39">
        <f>HYPERLINK("http://dx.doi.org/10.1080/26895293.2026.2634576","http://dx.doi.org/10.1080/26895293.2026.2634576")</f>
        <v>574</v>
      </c>
      <c r="BL21" t="s" s="0">
        <v>81</v>
      </c>
      <c r="BM21" t="s" s="0">
        <v>81</v>
      </c>
      <c r="BN21" t="s" s="0">
        <v>113</v>
      </c>
      <c r="BO21" t="s" s="0">
        <v>575</v>
      </c>
      <c r="BP21" t="s" s="0">
        <v>576</v>
      </c>
      <c r="BQ21" t="s" s="0">
        <v>577</v>
      </c>
      <c r="BR21" t="s" s="0">
        <v>81</v>
      </c>
      <c r="BS21" t="s" s="0">
        <v>578</v>
      </c>
      <c r="BT21" t="s" s="40">
        <f>HYPERLINK("https://www.webofscience.com/wos/woscc/full-record/WOS:001696573000001","View Record in Web of Science")</f>
        <v>118</v>
      </c>
      <c r="BU21" t="s" s="0">
        <v>177</v>
      </c>
      <c r="BV21" t="s" s="0">
        <v>81</v>
      </c>
      <c r="BW21" t="s" s="0">
        <v>81</v>
      </c>
      <c r="BX21" t="s" s="0">
        <v>120</v>
      </c>
    </row>
    <row r="22">
      <c r="A22" t="s" s="0">
        <v>77</v>
      </c>
      <c r="B22" t="s" s="0">
        <v>77</v>
      </c>
      <c r="C22" t="s" s="0">
        <v>77</v>
      </c>
      <c r="D22" t="s" s="0">
        <v>77</v>
      </c>
      <c r="E22" t="s" s="0">
        <v>579</v>
      </c>
      <c r="F22" t="s" s="0">
        <v>580</v>
      </c>
      <c r="G22" t="s" s="0">
        <v>581</v>
      </c>
      <c r="H22" t="s" s="0">
        <v>81</v>
      </c>
      <c r="I22" t="s" s="0">
        <v>82</v>
      </c>
      <c r="J22" t="s" s="0">
        <v>582</v>
      </c>
      <c r="K22" t="s" s="0">
        <v>583</v>
      </c>
      <c r="L22" t="s" s="0">
        <v>584</v>
      </c>
      <c r="M22" t="s" s="0">
        <v>585</v>
      </c>
      <c r="N22" t="s" s="0">
        <v>586</v>
      </c>
      <c r="O22" t="s" s="0">
        <v>587</v>
      </c>
      <c r="P22" t="s" s="0">
        <v>588</v>
      </c>
      <c r="Q22" t="s" s="0">
        <v>90</v>
      </c>
      <c r="R22" t="s" s="0">
        <v>81</v>
      </c>
      <c r="S22" t="s" s="0">
        <v>81</v>
      </c>
      <c r="T22" t="s" s="0">
        <v>81</v>
      </c>
      <c r="U22" t="s" s="0">
        <v>81</v>
      </c>
      <c r="V22" t="s" s="0">
        <v>589</v>
      </c>
      <c r="W22" t="s" s="0">
        <v>590</v>
      </c>
      <c r="X22" t="s" s="0">
        <v>81</v>
      </c>
      <c r="Y22" t="s" s="0">
        <v>81</v>
      </c>
      <c r="Z22" t="s" s="0">
        <v>93</v>
      </c>
      <c r="AA22" t="s" s="0">
        <v>94</v>
      </c>
      <c r="AB22" t="s" s="0">
        <v>81</v>
      </c>
      <c r="AC22" t="s" s="0">
        <v>81</v>
      </c>
      <c r="AD22" t="s" s="0">
        <v>81</v>
      </c>
      <c r="AE22" t="s" s="0">
        <v>81</v>
      </c>
      <c r="AF22" t="s" s="0">
        <v>81</v>
      </c>
      <c r="AG22" t="s" s="0">
        <v>591</v>
      </c>
      <c r="AH22" t="s" s="0">
        <v>592</v>
      </c>
      <c r="AI22" t="s" s="0">
        <v>593</v>
      </c>
      <c r="AJ22" t="s" s="0">
        <v>594</v>
      </c>
      <c r="AK22" t="s" s="0">
        <v>81</v>
      </c>
      <c r="AL22" t="s" s="0">
        <v>595</v>
      </c>
      <c r="AM22" t="s" s="0">
        <v>108</v>
      </c>
      <c r="AN22" t="s" s="0">
        <v>108</v>
      </c>
      <c r="AO22" t="s" s="0">
        <v>596</v>
      </c>
      <c r="AP22" t="s" s="0">
        <v>596</v>
      </c>
      <c r="AQ22" t="s" s="0">
        <v>133</v>
      </c>
      <c r="AR22" t="s" s="0">
        <v>134</v>
      </c>
      <c r="AS22" t="s" s="0">
        <v>135</v>
      </c>
      <c r="AT22" t="s" s="0">
        <v>597</v>
      </c>
      <c r="AU22" t="s" s="0">
        <v>598</v>
      </c>
      <c r="AV22" t="s" s="0">
        <v>81</v>
      </c>
      <c r="AW22" t="s" s="0">
        <v>599</v>
      </c>
      <c r="AX22" t="s" s="0">
        <v>600</v>
      </c>
      <c r="AY22" t="s" s="0">
        <v>105</v>
      </c>
      <c r="AZ22" t="s" s="0">
        <v>106</v>
      </c>
      <c r="BA22" t="s" s="0">
        <v>601</v>
      </c>
      <c r="BB22" t="s" s="0">
        <v>108</v>
      </c>
      <c r="BC22" t="s" s="0">
        <v>81</v>
      </c>
      <c r="BD22" t="s" s="0">
        <v>81</v>
      </c>
      <c r="BE22" t="s" s="0">
        <v>81</v>
      </c>
      <c r="BF22" t="s" s="0">
        <v>81</v>
      </c>
      <c r="BG22" t="s" s="0">
        <v>81</v>
      </c>
      <c r="BH22" t="s" s="0">
        <v>81</v>
      </c>
      <c r="BI22" t="s" s="0">
        <v>602</v>
      </c>
      <c r="BJ22" t="s" s="0">
        <v>603</v>
      </c>
      <c r="BK22" t="s" s="41">
        <f>HYPERLINK("http://dx.doi.org/10.1080/14767058.2025.2582375","http://dx.doi.org/10.1080/14767058.2025.2582375")</f>
        <v>604</v>
      </c>
      <c r="BL22" t="s" s="0">
        <v>81</v>
      </c>
      <c r="BM22" t="s" s="0">
        <v>81</v>
      </c>
      <c r="BN22" t="s" s="0">
        <v>438</v>
      </c>
      <c r="BO22" t="s" s="0">
        <v>605</v>
      </c>
      <c r="BP22" t="s" s="0">
        <v>605</v>
      </c>
      <c r="BQ22" t="s" s="0">
        <v>606</v>
      </c>
      <c r="BR22" t="s" s="0">
        <v>607</v>
      </c>
      <c r="BS22" t="s" s="0">
        <v>608</v>
      </c>
      <c r="BT22" t="s" s="42">
        <f>HYPERLINK("https://www.webofscience.com/wos/woscc/full-record/WOS:001685465100001","View Record in Web of Science")</f>
        <v>118</v>
      </c>
      <c r="BU22" t="s" s="0">
        <v>177</v>
      </c>
      <c r="BV22" t="s" s="0">
        <v>81</v>
      </c>
      <c r="BW22" t="s" s="0">
        <v>81</v>
      </c>
      <c r="BX22" t="s" s="0">
        <v>120</v>
      </c>
    </row>
    <row r="23">
      <c r="A23" t="s" s="0">
        <v>77</v>
      </c>
      <c r="B23" t="s" s="0">
        <v>77</v>
      </c>
      <c r="C23" t="s" s="0">
        <v>77</v>
      </c>
      <c r="D23" t="s" s="0">
        <v>77</v>
      </c>
      <c r="E23" t="s" s="0">
        <v>609</v>
      </c>
      <c r="F23" t="s" s="0">
        <v>610</v>
      </c>
      <c r="G23" t="s" s="0">
        <v>611</v>
      </c>
      <c r="H23" t="s" s="0">
        <v>81</v>
      </c>
      <c r="I23" t="s" s="0">
        <v>82</v>
      </c>
      <c r="J23" t="s" s="0">
        <v>612</v>
      </c>
      <c r="K23" t="s" s="0">
        <v>613</v>
      </c>
      <c r="L23" t="s" s="0">
        <v>614</v>
      </c>
      <c r="M23" t="s" s="0">
        <v>615</v>
      </c>
      <c r="N23" t="s" s="0">
        <v>616</v>
      </c>
      <c r="O23" t="s" s="0">
        <v>617</v>
      </c>
      <c r="P23" t="s" s="0">
        <v>618</v>
      </c>
      <c r="Q23" t="s" s="0">
        <v>90</v>
      </c>
      <c r="R23" t="s" s="0">
        <v>81</v>
      </c>
      <c r="S23" t="s" s="0">
        <v>81</v>
      </c>
      <c r="T23" t="s" s="0">
        <v>81</v>
      </c>
      <c r="U23" t="s" s="0">
        <v>81</v>
      </c>
      <c r="V23" t="s" s="0">
        <v>619</v>
      </c>
      <c r="W23" t="s" s="0">
        <v>479</v>
      </c>
      <c r="X23" t="s" s="0">
        <v>81</v>
      </c>
      <c r="Y23" t="s" s="0">
        <v>81</v>
      </c>
      <c r="Z23" t="s" s="0">
        <v>93</v>
      </c>
      <c r="AA23" t="s" s="0">
        <v>94</v>
      </c>
      <c r="AB23" t="s" s="0">
        <v>81</v>
      </c>
      <c r="AC23" t="s" s="0">
        <v>81</v>
      </c>
      <c r="AD23" t="s" s="0">
        <v>81</v>
      </c>
      <c r="AE23" t="s" s="0">
        <v>81</v>
      </c>
      <c r="AF23" t="s" s="0">
        <v>81</v>
      </c>
      <c r="AG23" t="s" s="0">
        <v>620</v>
      </c>
      <c r="AH23" t="s" s="0">
        <v>621</v>
      </c>
      <c r="AI23" t="s" s="0">
        <v>81</v>
      </c>
      <c r="AJ23" t="s" s="0">
        <v>81</v>
      </c>
      <c r="AK23" t="s" s="0">
        <v>81</v>
      </c>
      <c r="AL23" t="s" s="0">
        <v>622</v>
      </c>
      <c r="AM23" t="s" s="0">
        <v>108</v>
      </c>
      <c r="AN23" t="s" s="0">
        <v>108</v>
      </c>
      <c r="AO23" t="s" s="0">
        <v>363</v>
      </c>
      <c r="AP23" t="s" s="0">
        <v>363</v>
      </c>
      <c r="AQ23" t="s" s="0">
        <v>133</v>
      </c>
      <c r="AR23" t="s" s="0">
        <v>134</v>
      </c>
      <c r="AS23" t="s" s="0">
        <v>135</v>
      </c>
      <c r="AT23" t="s" s="0">
        <v>486</v>
      </c>
      <c r="AU23" t="s" s="0">
        <v>487</v>
      </c>
      <c r="AV23" t="s" s="0">
        <v>81</v>
      </c>
      <c r="AW23" t="s" s="0">
        <v>479</v>
      </c>
      <c r="AX23" t="s" s="0">
        <v>488</v>
      </c>
      <c r="AY23" t="s" s="0">
        <v>105</v>
      </c>
      <c r="AZ23" t="s" s="0">
        <v>106</v>
      </c>
      <c r="BA23" t="s" s="0">
        <v>489</v>
      </c>
      <c r="BB23" t="s" s="0">
        <v>108</v>
      </c>
      <c r="BC23" t="s" s="0">
        <v>81</v>
      </c>
      <c r="BD23" t="s" s="0">
        <v>81</v>
      </c>
      <c r="BE23" t="s" s="0">
        <v>81</v>
      </c>
      <c r="BF23" t="s" s="0">
        <v>81</v>
      </c>
      <c r="BG23" t="s" s="0">
        <v>81</v>
      </c>
      <c r="BH23" t="s" s="0">
        <v>81</v>
      </c>
      <c r="BI23" t="s" s="0">
        <v>623</v>
      </c>
      <c r="BJ23" t="s" s="0">
        <v>624</v>
      </c>
      <c r="BK23" t="s" s="43">
        <f>HYPERLINK("http://dx.doi.org/10.1080/0886022X.2026.2613606","http://dx.doi.org/10.1080/0886022X.2026.2613606")</f>
        <v>625</v>
      </c>
      <c r="BL23" t="s" s="0">
        <v>81</v>
      </c>
      <c r="BM23" t="s" s="0">
        <v>81</v>
      </c>
      <c r="BN23" t="s" s="0">
        <v>626</v>
      </c>
      <c r="BO23" t="s" s="0">
        <v>494</v>
      </c>
      <c r="BP23" t="s" s="0">
        <v>494</v>
      </c>
      <c r="BQ23" t="s" s="0">
        <v>627</v>
      </c>
      <c r="BR23" t="s" s="0">
        <v>628</v>
      </c>
      <c r="BS23" t="s" s="0">
        <v>629</v>
      </c>
      <c r="BT23" t="s" s="44">
        <f>HYPERLINK("https://www.webofscience.com/wos/woscc/full-record/WOS:001683454400001","View Record in Web of Science")</f>
        <v>118</v>
      </c>
      <c r="BU23" t="s" s="0">
        <v>259</v>
      </c>
      <c r="BV23" t="s" s="0">
        <v>81</v>
      </c>
      <c r="BW23" t="s" s="0">
        <v>81</v>
      </c>
      <c r="BX23" t="s" s="0">
        <v>120</v>
      </c>
    </row>
    <row r="24">
      <c r="A24" t="s" s="0">
        <v>77</v>
      </c>
      <c r="B24" t="s" s="0">
        <v>77</v>
      </c>
      <c r="C24" t="s" s="0">
        <v>77</v>
      </c>
      <c r="D24" t="s" s="0">
        <v>77</v>
      </c>
      <c r="E24" t="s" s="0">
        <v>630</v>
      </c>
      <c r="F24" t="s" s="0">
        <v>631</v>
      </c>
      <c r="G24" t="s" s="0">
        <v>632</v>
      </c>
      <c r="H24" t="s" s="0">
        <v>81</v>
      </c>
      <c r="I24" t="s" s="0">
        <v>82</v>
      </c>
      <c r="J24" t="s" s="0">
        <v>633</v>
      </c>
      <c r="K24" t="s" s="0">
        <v>634</v>
      </c>
      <c r="L24" t="s" s="0">
        <v>635</v>
      </c>
      <c r="M24" t="s" s="0">
        <v>636</v>
      </c>
      <c r="N24" t="s" s="0">
        <v>637</v>
      </c>
      <c r="O24" t="s" s="0">
        <v>638</v>
      </c>
      <c r="P24" t="s" s="0">
        <v>639</v>
      </c>
      <c r="Q24" t="s" s="0">
        <v>90</v>
      </c>
      <c r="R24" t="s" s="0">
        <v>81</v>
      </c>
      <c r="S24" t="s" s="0">
        <v>81</v>
      </c>
      <c r="T24" t="s" s="0">
        <v>81</v>
      </c>
      <c r="U24" t="s" s="0">
        <v>81</v>
      </c>
      <c r="V24" t="s" s="0">
        <v>640</v>
      </c>
      <c r="W24" t="s" s="0">
        <v>241</v>
      </c>
      <c r="X24" t="s" s="0">
        <v>81</v>
      </c>
      <c r="Y24" t="s" s="0">
        <v>81</v>
      </c>
      <c r="Z24" t="s" s="0">
        <v>93</v>
      </c>
      <c r="AA24" t="s" s="0">
        <v>94</v>
      </c>
      <c r="AB24" t="s" s="0">
        <v>81</v>
      </c>
      <c r="AC24" t="s" s="0">
        <v>81</v>
      </c>
      <c r="AD24" t="s" s="0">
        <v>81</v>
      </c>
      <c r="AE24" t="s" s="0">
        <v>81</v>
      </c>
      <c r="AF24" t="s" s="0">
        <v>81</v>
      </c>
      <c r="AG24" t="s" s="0">
        <v>641</v>
      </c>
      <c r="AH24" t="s" s="0">
        <v>642</v>
      </c>
      <c r="AI24" t="s" s="0">
        <v>81</v>
      </c>
      <c r="AJ24" t="s" s="0">
        <v>81</v>
      </c>
      <c r="AK24" t="s" s="0">
        <v>81</v>
      </c>
      <c r="AL24" t="s" s="0">
        <v>643</v>
      </c>
      <c r="AM24" t="s" s="0">
        <v>108</v>
      </c>
      <c r="AN24" t="s" s="0">
        <v>108</v>
      </c>
      <c r="AO24" t="s" s="0">
        <v>363</v>
      </c>
      <c r="AP24" t="s" s="0">
        <v>438</v>
      </c>
      <c r="AQ24" t="s" s="0">
        <v>133</v>
      </c>
      <c r="AR24" t="s" s="0">
        <v>134</v>
      </c>
      <c r="AS24" t="s" s="0">
        <v>135</v>
      </c>
      <c r="AT24" t="s" s="0">
        <v>245</v>
      </c>
      <c r="AU24" t="s" s="0">
        <v>246</v>
      </c>
      <c r="AV24" t="s" s="0">
        <v>81</v>
      </c>
      <c r="AW24" t="s" s="0">
        <v>247</v>
      </c>
      <c r="AX24" t="s" s="0">
        <v>248</v>
      </c>
      <c r="AY24" t="s" s="0">
        <v>105</v>
      </c>
      <c r="AZ24" t="s" s="0">
        <v>106</v>
      </c>
      <c r="BA24" t="s" s="0">
        <v>249</v>
      </c>
      <c r="BB24" t="s" s="0">
        <v>108</v>
      </c>
      <c r="BC24" t="s" s="0">
        <v>81</v>
      </c>
      <c r="BD24" t="s" s="0">
        <v>81</v>
      </c>
      <c r="BE24" t="s" s="0">
        <v>81</v>
      </c>
      <c r="BF24" t="s" s="0">
        <v>81</v>
      </c>
      <c r="BG24" t="s" s="0">
        <v>81</v>
      </c>
      <c r="BH24" t="s" s="0">
        <v>81</v>
      </c>
      <c r="BI24" t="s" s="0">
        <v>644</v>
      </c>
      <c r="BJ24" t="s" s="0">
        <v>645</v>
      </c>
      <c r="BK24" t="s" s="45">
        <f>HYPERLINK("http://dx.doi.org/10.1080/07853890.2026.2620191","http://dx.doi.org/10.1080/07853890.2026.2620191")</f>
        <v>646</v>
      </c>
      <c r="BL24" t="s" s="0">
        <v>81</v>
      </c>
      <c r="BM24" t="s" s="0">
        <v>81</v>
      </c>
      <c r="BN24" t="s" s="0">
        <v>647</v>
      </c>
      <c r="BO24" t="s" s="0">
        <v>254</v>
      </c>
      <c r="BP24" t="s" s="0">
        <v>255</v>
      </c>
      <c r="BQ24" t="s" s="0">
        <v>648</v>
      </c>
      <c r="BR24" t="s" s="0">
        <v>649</v>
      </c>
      <c r="BS24" t="s" s="0">
        <v>650</v>
      </c>
      <c r="BT24" t="s" s="46">
        <f>HYPERLINK("https://www.webofscience.com/wos/woscc/full-record/WOS:001673401200001","View Record in Web of Science")</f>
        <v>118</v>
      </c>
      <c r="BU24" t="s" s="0">
        <v>417</v>
      </c>
      <c r="BV24" t="s" s="0">
        <v>81</v>
      </c>
      <c r="BW24" t="s" s="0">
        <v>81</v>
      </c>
      <c r="BX24" t="s" s="0">
        <v>120</v>
      </c>
    </row>
    <row r="25">
      <c r="A25" t="s" s="0">
        <v>77</v>
      </c>
      <c r="B25" t="s" s="0">
        <v>77</v>
      </c>
      <c r="C25" t="s" s="0">
        <v>77</v>
      </c>
      <c r="D25" t="s" s="0">
        <v>77</v>
      </c>
      <c r="E25" t="s" s="0">
        <v>651</v>
      </c>
      <c r="F25" t="s" s="0">
        <v>652</v>
      </c>
      <c r="G25" t="s" s="0">
        <v>653</v>
      </c>
      <c r="H25" t="s" s="0">
        <v>81</v>
      </c>
      <c r="I25" t="s" s="0">
        <v>82</v>
      </c>
      <c r="J25" t="s" s="0">
        <v>654</v>
      </c>
      <c r="K25" t="s" s="0">
        <v>655</v>
      </c>
      <c r="L25" t="s" s="0">
        <v>656</v>
      </c>
      <c r="M25" t="s" s="0">
        <v>656</v>
      </c>
      <c r="N25" t="s" s="0">
        <v>657</v>
      </c>
      <c r="O25" t="s" s="0">
        <v>658</v>
      </c>
      <c r="P25" t="s" s="0">
        <v>659</v>
      </c>
      <c r="Q25" t="s" s="0">
        <v>90</v>
      </c>
      <c r="R25" t="s" s="0">
        <v>81</v>
      </c>
      <c r="S25" t="s" s="0">
        <v>81</v>
      </c>
      <c r="T25" t="s" s="0">
        <v>81</v>
      </c>
      <c r="U25" t="s" s="0">
        <v>81</v>
      </c>
      <c r="V25" t="s" s="0">
        <v>660</v>
      </c>
      <c r="W25" t="s" s="0">
        <v>241</v>
      </c>
      <c r="X25" t="s" s="0">
        <v>81</v>
      </c>
      <c r="Y25" t="s" s="0">
        <v>81</v>
      </c>
      <c r="Z25" t="s" s="0">
        <v>93</v>
      </c>
      <c r="AA25" t="s" s="0">
        <v>94</v>
      </c>
      <c r="AB25" t="s" s="0">
        <v>81</v>
      </c>
      <c r="AC25" t="s" s="0">
        <v>81</v>
      </c>
      <c r="AD25" t="s" s="0">
        <v>81</v>
      </c>
      <c r="AE25" t="s" s="0">
        <v>81</v>
      </c>
      <c r="AF25" t="s" s="0">
        <v>81</v>
      </c>
      <c r="AG25" t="s" s="0">
        <v>661</v>
      </c>
      <c r="AH25" t="s" s="0">
        <v>662</v>
      </c>
      <c r="AI25" t="s" s="0">
        <v>81</v>
      </c>
      <c r="AJ25" t="s" s="0">
        <v>663</v>
      </c>
      <c r="AK25" t="s" s="0">
        <v>81</v>
      </c>
      <c r="AL25" t="s" s="0">
        <v>664</v>
      </c>
      <c r="AM25" t="s" s="0">
        <v>484</v>
      </c>
      <c r="AN25" t="s" s="0">
        <v>484</v>
      </c>
      <c r="AO25" t="s" s="0">
        <v>197</v>
      </c>
      <c r="AP25" t="s" s="0">
        <v>438</v>
      </c>
      <c r="AQ25" t="s" s="0">
        <v>133</v>
      </c>
      <c r="AR25" t="s" s="0">
        <v>134</v>
      </c>
      <c r="AS25" t="s" s="0">
        <v>135</v>
      </c>
      <c r="AT25" t="s" s="0">
        <v>245</v>
      </c>
      <c r="AU25" t="s" s="0">
        <v>246</v>
      </c>
      <c r="AV25" t="s" s="0">
        <v>81</v>
      </c>
      <c r="AW25" t="s" s="0">
        <v>247</v>
      </c>
      <c r="AX25" t="s" s="0">
        <v>248</v>
      </c>
      <c r="AY25" t="s" s="0">
        <v>105</v>
      </c>
      <c r="AZ25" t="s" s="0">
        <v>106</v>
      </c>
      <c r="BA25" t="s" s="0">
        <v>249</v>
      </c>
      <c r="BB25" t="s" s="0">
        <v>108</v>
      </c>
      <c r="BC25" t="s" s="0">
        <v>81</v>
      </c>
      <c r="BD25" t="s" s="0">
        <v>81</v>
      </c>
      <c r="BE25" t="s" s="0">
        <v>81</v>
      </c>
      <c r="BF25" t="s" s="0">
        <v>81</v>
      </c>
      <c r="BG25" t="s" s="0">
        <v>81</v>
      </c>
      <c r="BH25" t="s" s="0">
        <v>81</v>
      </c>
      <c r="BI25" t="s" s="0">
        <v>665</v>
      </c>
      <c r="BJ25" t="s" s="0">
        <v>666</v>
      </c>
      <c r="BK25" t="s" s="47">
        <f>HYPERLINK("http://dx.doi.org/10.1080/07853890.2025.2594356","http://dx.doi.org/10.1080/07853890.2025.2594356")</f>
        <v>667</v>
      </c>
      <c r="BL25" t="s" s="0">
        <v>81</v>
      </c>
      <c r="BM25" t="s" s="0">
        <v>81</v>
      </c>
      <c r="BN25" t="s" s="0">
        <v>668</v>
      </c>
      <c r="BO25" t="s" s="0">
        <v>254</v>
      </c>
      <c r="BP25" t="s" s="0">
        <v>255</v>
      </c>
      <c r="BQ25" t="s" s="0">
        <v>669</v>
      </c>
      <c r="BR25" t="s" s="0">
        <v>670</v>
      </c>
      <c r="BS25" t="s" s="0">
        <v>671</v>
      </c>
      <c r="BT25" t="s" s="48">
        <f>HYPERLINK("https://www.webofscience.com/wos/woscc/full-record/WOS:001650523200001","View Record in Web of Science")</f>
        <v>118</v>
      </c>
      <c r="BU25" t="s" s="0">
        <v>417</v>
      </c>
      <c r="BV25" t="s" s="0">
        <v>81</v>
      </c>
      <c r="BW25" t="s" s="0">
        <v>81</v>
      </c>
      <c r="BX25" t="s" s="0">
        <v>120</v>
      </c>
    </row>
    <row r="26">
      <c r="A26" t="s" s="0">
        <v>77</v>
      </c>
      <c r="B26" t="s" s="0">
        <v>77</v>
      </c>
      <c r="C26" t="s" s="0">
        <v>77</v>
      </c>
      <c r="D26" t="s" s="0">
        <v>77</v>
      </c>
      <c r="E26" t="s" s="0">
        <v>672</v>
      </c>
      <c r="F26" t="s" s="0">
        <v>673</v>
      </c>
      <c r="G26" t="s" s="0">
        <v>674</v>
      </c>
      <c r="H26" t="s" s="0">
        <v>81</v>
      </c>
      <c r="I26" t="s" s="0">
        <v>82</v>
      </c>
      <c r="J26" t="s" s="0">
        <v>675</v>
      </c>
      <c r="K26" t="s" s="0">
        <v>676</v>
      </c>
      <c r="L26" t="s" s="0">
        <v>677</v>
      </c>
      <c r="M26" t="s" s="0">
        <v>678</v>
      </c>
      <c r="N26" t="s" s="0">
        <v>679</v>
      </c>
      <c r="O26" t="s" s="0">
        <v>680</v>
      </c>
      <c r="P26" t="s" s="0">
        <v>681</v>
      </c>
      <c r="Q26" t="s" s="0">
        <v>90</v>
      </c>
      <c r="R26" t="s" s="0">
        <v>81</v>
      </c>
      <c r="S26" t="s" s="0">
        <v>81</v>
      </c>
      <c r="T26" t="s" s="0">
        <v>81</v>
      </c>
      <c r="U26" t="s" s="0">
        <v>81</v>
      </c>
      <c r="V26" t="s" s="0">
        <v>682</v>
      </c>
      <c r="W26" t="s" s="0">
        <v>187</v>
      </c>
      <c r="X26" t="s" s="0">
        <v>81</v>
      </c>
      <c r="Y26" t="s" s="0">
        <v>81</v>
      </c>
      <c r="Z26" t="s" s="0">
        <v>93</v>
      </c>
      <c r="AA26" t="s" s="0">
        <v>94</v>
      </c>
      <c r="AB26" t="s" s="0">
        <v>81</v>
      </c>
      <c r="AC26" t="s" s="0">
        <v>81</v>
      </c>
      <c r="AD26" t="s" s="0">
        <v>81</v>
      </c>
      <c r="AE26" t="s" s="0">
        <v>81</v>
      </c>
      <c r="AF26" t="s" s="0">
        <v>81</v>
      </c>
      <c r="AG26" t="s" s="0">
        <v>683</v>
      </c>
      <c r="AH26" t="s" s="0">
        <v>684</v>
      </c>
      <c r="AI26" t="s" s="0">
        <v>685</v>
      </c>
      <c r="AJ26" t="s" s="0">
        <v>686</v>
      </c>
      <c r="AK26" t="s" s="0">
        <v>81</v>
      </c>
      <c r="AL26" t="s" s="0">
        <v>687</v>
      </c>
      <c r="AM26" t="s" s="0">
        <v>108</v>
      </c>
      <c r="AN26" t="s" s="0">
        <v>108</v>
      </c>
      <c r="AO26" t="s" s="0">
        <v>197</v>
      </c>
      <c r="AP26" t="s" s="0">
        <v>140</v>
      </c>
      <c r="AQ26" t="s" s="0">
        <v>133</v>
      </c>
      <c r="AR26" t="s" s="0">
        <v>134</v>
      </c>
      <c r="AS26" t="s" s="0">
        <v>135</v>
      </c>
      <c r="AT26" t="s" s="0">
        <v>81</v>
      </c>
      <c r="AU26" t="s" s="0">
        <v>190</v>
      </c>
      <c r="AV26" t="s" s="0">
        <v>81</v>
      </c>
      <c r="AW26" t="s" s="0">
        <v>191</v>
      </c>
      <c r="AX26" t="s" s="0">
        <v>192</v>
      </c>
      <c r="AY26" t="s" s="0">
        <v>105</v>
      </c>
      <c r="AZ26" t="s" s="0">
        <v>106</v>
      </c>
      <c r="BA26" t="s" s="0">
        <v>193</v>
      </c>
      <c r="BB26" t="s" s="0">
        <v>108</v>
      </c>
      <c r="BC26" t="s" s="0">
        <v>81</v>
      </c>
      <c r="BD26" t="s" s="0">
        <v>81</v>
      </c>
      <c r="BE26" t="s" s="0">
        <v>81</v>
      </c>
      <c r="BF26" t="s" s="0">
        <v>81</v>
      </c>
      <c r="BG26" t="s" s="0">
        <v>81</v>
      </c>
      <c r="BH26" t="s" s="0">
        <v>81</v>
      </c>
      <c r="BI26" t="s" s="0">
        <v>688</v>
      </c>
      <c r="BJ26" t="s" s="0">
        <v>689</v>
      </c>
      <c r="BK26" t="s" s="49">
        <f>HYPERLINK("http://dx.doi.org/10.1080/24699322.2025.2597553","http://dx.doi.org/10.1080/24699322.2025.2597553")</f>
        <v>690</v>
      </c>
      <c r="BL26" t="s" s="0">
        <v>81</v>
      </c>
      <c r="BM26" t="s" s="0">
        <v>81</v>
      </c>
      <c r="BN26" t="s" s="0">
        <v>493</v>
      </c>
      <c r="BO26" t="s" s="0">
        <v>198</v>
      </c>
      <c r="BP26" t="s" s="0">
        <v>198</v>
      </c>
      <c r="BQ26" t="s" s="0">
        <v>691</v>
      </c>
      <c r="BR26" t="s" s="0">
        <v>692</v>
      </c>
      <c r="BS26" t="s" s="0">
        <v>693</v>
      </c>
      <c r="BT26" t="s" s="50">
        <f>HYPERLINK("https://www.webofscience.com/wos/woscc/full-record/WOS:001649096500001","View Record in Web of Science")</f>
        <v>118</v>
      </c>
      <c r="BU26" t="s" s="0">
        <v>177</v>
      </c>
      <c r="BV26" t="s" s="0">
        <v>81</v>
      </c>
      <c r="BW26" t="s" s="0">
        <v>81</v>
      </c>
      <c r="BX26" t="s" s="0">
        <v>120</v>
      </c>
    </row>
    <row r="27">
      <c r="A27" t="s" s="0">
        <v>77</v>
      </c>
      <c r="B27" t="s" s="0">
        <v>77</v>
      </c>
      <c r="C27" t="s" s="0">
        <v>77</v>
      </c>
      <c r="D27" t="s" s="0">
        <v>77</v>
      </c>
      <c r="E27" t="s" s="0">
        <v>694</v>
      </c>
      <c r="F27" t="s" s="0">
        <v>695</v>
      </c>
      <c r="G27" t="s" s="0">
        <v>696</v>
      </c>
      <c r="H27" t="s" s="0">
        <v>81</v>
      </c>
      <c r="I27" t="s" s="0">
        <v>124</v>
      </c>
      <c r="J27" t="s" s="0">
        <v>697</v>
      </c>
      <c r="K27" t="s" s="0">
        <v>558</v>
      </c>
      <c r="L27" t="s" s="0">
        <v>81</v>
      </c>
      <c r="M27" t="s" s="0">
        <v>81</v>
      </c>
      <c r="N27" t="s" s="0">
        <v>81</v>
      </c>
      <c r="O27" t="s" s="0">
        <v>698</v>
      </c>
      <c r="P27" t="s" s="0">
        <v>81</v>
      </c>
      <c r="Q27" t="s" s="0">
        <v>90</v>
      </c>
      <c r="R27" t="s" s="0">
        <v>81</v>
      </c>
      <c r="S27" t="s" s="0">
        <v>81</v>
      </c>
      <c r="T27" t="s" s="0">
        <v>81</v>
      </c>
      <c r="U27" t="s" s="0">
        <v>81</v>
      </c>
      <c r="V27" t="s" s="0">
        <v>699</v>
      </c>
      <c r="W27" t="s" s="0">
        <v>379</v>
      </c>
      <c r="X27" t="s" s="0">
        <v>81</v>
      </c>
      <c r="Y27" t="s" s="0">
        <v>81</v>
      </c>
      <c r="Z27" t="s" s="0">
        <v>93</v>
      </c>
      <c r="AA27" t="s" s="0">
        <v>94</v>
      </c>
      <c r="AB27" t="s" s="0">
        <v>81</v>
      </c>
      <c r="AC27" t="s" s="0">
        <v>81</v>
      </c>
      <c r="AD27" t="s" s="0">
        <v>81</v>
      </c>
      <c r="AE27" t="s" s="0">
        <v>81</v>
      </c>
      <c r="AF27" t="s" s="0">
        <v>81</v>
      </c>
      <c r="AG27" t="s" s="0">
        <v>700</v>
      </c>
      <c r="AH27" t="s" s="0">
        <v>81</v>
      </c>
      <c r="AI27" t="s" s="0">
        <v>701</v>
      </c>
      <c r="AJ27" t="s" s="0">
        <v>567</v>
      </c>
      <c r="AK27" t="s" s="0">
        <v>81</v>
      </c>
      <c r="AL27" t="s" s="0">
        <v>702</v>
      </c>
      <c r="AM27" t="s" s="0">
        <v>77</v>
      </c>
      <c r="AN27" t="s" s="0">
        <v>77</v>
      </c>
      <c r="AO27" t="s" s="0">
        <v>340</v>
      </c>
      <c r="AP27" t="s" s="0">
        <v>340</v>
      </c>
      <c r="AQ27" t="s" s="0">
        <v>133</v>
      </c>
      <c r="AR27" t="s" s="0">
        <v>134</v>
      </c>
      <c r="AS27" t="s" s="0">
        <v>135</v>
      </c>
      <c r="AT27" t="s" s="0">
        <v>384</v>
      </c>
      <c r="AU27" t="s" s="0">
        <v>81</v>
      </c>
      <c r="AV27" t="s" s="0">
        <v>81</v>
      </c>
      <c r="AW27" t="s" s="0">
        <v>385</v>
      </c>
      <c r="AX27" t="s" s="0">
        <v>386</v>
      </c>
      <c r="AY27" t="s" s="0">
        <v>105</v>
      </c>
      <c r="AZ27" t="s" s="0">
        <v>106</v>
      </c>
      <c r="BA27" t="s" s="0">
        <v>387</v>
      </c>
      <c r="BB27" t="s" s="0">
        <v>108</v>
      </c>
      <c r="BC27" t="s" s="0">
        <v>81</v>
      </c>
      <c r="BD27" t="s" s="0">
        <v>81</v>
      </c>
      <c r="BE27" t="s" s="0">
        <v>81</v>
      </c>
      <c r="BF27" t="s" s="0">
        <v>81</v>
      </c>
      <c r="BG27" t="s" s="0">
        <v>81</v>
      </c>
      <c r="BH27" t="s" s="0">
        <v>81</v>
      </c>
      <c r="BI27" t="s" s="0">
        <v>703</v>
      </c>
      <c r="BJ27" t="s" s="0">
        <v>704</v>
      </c>
      <c r="BK27" t="s" s="51">
        <f>HYPERLINK("http://dx.doi.org/10.1080/23311916.2025.2605950","http://dx.doi.org/10.1080/23311916.2025.2605950")</f>
        <v>705</v>
      </c>
      <c r="BL27" t="s" s="0">
        <v>81</v>
      </c>
      <c r="BM27" t="s" s="0">
        <v>81</v>
      </c>
      <c r="BN27" t="s" s="0">
        <v>113</v>
      </c>
      <c r="BO27" t="s" s="0">
        <v>392</v>
      </c>
      <c r="BP27" t="s" s="0">
        <v>393</v>
      </c>
      <c r="BQ27" t="s" s="0">
        <v>706</v>
      </c>
      <c r="BR27" t="s" s="0">
        <v>81</v>
      </c>
      <c r="BS27" t="s" s="0">
        <v>707</v>
      </c>
      <c r="BT27" t="s" s="52">
        <f>HYPERLINK("https://www.webofscience.com/wos/woscc/full-record/WOS:001648351400001","View Record in Web of Science")</f>
        <v>118</v>
      </c>
      <c r="BU27" t="s" s="0">
        <v>177</v>
      </c>
      <c r="BV27" t="s" s="0">
        <v>81</v>
      </c>
      <c r="BW27" t="s" s="0">
        <v>81</v>
      </c>
      <c r="BX27" t="s" s="0">
        <v>120</v>
      </c>
    </row>
    <row r="28">
      <c r="A28" t="s" s="0">
        <v>77</v>
      </c>
      <c r="B28" t="s" s="0">
        <v>77</v>
      </c>
      <c r="C28" t="s" s="0">
        <v>340</v>
      </c>
      <c r="D28" t="s" s="0">
        <v>77</v>
      </c>
      <c r="E28" t="s" s="0">
        <v>708</v>
      </c>
      <c r="F28" t="s" s="0">
        <v>709</v>
      </c>
      <c r="G28" t="s" s="0">
        <v>710</v>
      </c>
      <c r="H28" t="s" s="0">
        <v>81</v>
      </c>
      <c r="I28" t="s" s="0">
        <v>82</v>
      </c>
      <c r="J28" t="s" s="0">
        <v>711</v>
      </c>
      <c r="K28" t="s" s="0">
        <v>712</v>
      </c>
      <c r="L28" t="s" s="0">
        <v>81</v>
      </c>
      <c r="M28" t="s" s="0">
        <v>81</v>
      </c>
      <c r="N28" t="s" s="0">
        <v>81</v>
      </c>
      <c r="O28" t="s" s="0">
        <v>713</v>
      </c>
      <c r="P28" t="s" s="0">
        <v>714</v>
      </c>
      <c r="Q28" t="s" s="0">
        <v>90</v>
      </c>
      <c r="R28" t="s" s="0">
        <v>81</v>
      </c>
      <c r="S28" t="s" s="0">
        <v>81</v>
      </c>
      <c r="T28" t="s" s="0">
        <v>81</v>
      </c>
      <c r="U28" t="s" s="0">
        <v>81</v>
      </c>
      <c r="V28" t="s" s="0">
        <v>715</v>
      </c>
      <c r="W28" t="s" s="0">
        <v>716</v>
      </c>
      <c r="X28" t="s" s="0">
        <v>81</v>
      </c>
      <c r="Y28" t="s" s="0">
        <v>81</v>
      </c>
      <c r="Z28" t="s" s="0">
        <v>93</v>
      </c>
      <c r="AA28" t="s" s="0">
        <v>94</v>
      </c>
      <c r="AB28" t="s" s="0">
        <v>81</v>
      </c>
      <c r="AC28" t="s" s="0">
        <v>81</v>
      </c>
      <c r="AD28" t="s" s="0">
        <v>81</v>
      </c>
      <c r="AE28" t="s" s="0">
        <v>81</v>
      </c>
      <c r="AF28" t="s" s="0">
        <v>81</v>
      </c>
      <c r="AG28" t="s" s="0">
        <v>81</v>
      </c>
      <c r="AH28" t="s" s="0">
        <v>717</v>
      </c>
      <c r="AI28" t="s" s="0">
        <v>718</v>
      </c>
      <c r="AJ28" t="s" s="0">
        <v>719</v>
      </c>
      <c r="AK28" t="s" s="0">
        <v>81</v>
      </c>
      <c r="AL28" t="s" s="0">
        <v>269</v>
      </c>
      <c r="AM28" t="s" s="0">
        <v>387</v>
      </c>
      <c r="AN28" t="s" s="0">
        <v>197</v>
      </c>
      <c r="AO28" t="s" s="0">
        <v>720</v>
      </c>
      <c r="AP28" t="s" s="0">
        <v>433</v>
      </c>
      <c r="AQ28" t="s" s="0">
        <v>721</v>
      </c>
      <c r="AR28" t="s" s="0">
        <v>722</v>
      </c>
      <c r="AS28" t="s" s="0">
        <v>723</v>
      </c>
      <c r="AT28" t="s" s="0">
        <v>724</v>
      </c>
      <c r="AU28" t="s" s="0">
        <v>725</v>
      </c>
      <c r="AV28" t="s" s="0">
        <v>81</v>
      </c>
      <c r="AW28" t="s" s="0">
        <v>726</v>
      </c>
      <c r="AX28" t="s" s="0">
        <v>727</v>
      </c>
      <c r="AY28" t="s" s="0">
        <v>728</v>
      </c>
      <c r="AZ28" t="s" s="0">
        <v>106</v>
      </c>
      <c r="BA28" t="s" s="0">
        <v>729</v>
      </c>
      <c r="BB28" t="s" s="0">
        <v>108</v>
      </c>
      <c r="BC28" t="s" s="0">
        <v>81</v>
      </c>
      <c r="BD28" t="s" s="0">
        <v>81</v>
      </c>
      <c r="BE28" t="s" s="0">
        <v>81</v>
      </c>
      <c r="BF28" t="s" s="0">
        <v>81</v>
      </c>
      <c r="BG28" t="s" s="0">
        <v>434</v>
      </c>
      <c r="BH28" t="s" s="0">
        <v>413</v>
      </c>
      <c r="BI28" t="s" s="0">
        <v>81</v>
      </c>
      <c r="BJ28" t="s" s="0">
        <v>730</v>
      </c>
      <c r="BK28" t="s" s="53">
        <f>HYPERLINK("http://dx.doi.org/10.3174/ajnr.A8943","http://dx.doi.org/10.3174/ajnr.A8943")</f>
        <v>731</v>
      </c>
      <c r="BL28" t="s" s="0">
        <v>81</v>
      </c>
      <c r="BM28" t="s" s="0">
        <v>81</v>
      </c>
      <c r="BN28" t="s" s="0">
        <v>485</v>
      </c>
      <c r="BO28" t="s" s="0">
        <v>732</v>
      </c>
      <c r="BP28" t="s" s="0">
        <v>733</v>
      </c>
      <c r="BQ28" t="s" s="0">
        <v>734</v>
      </c>
      <c r="BR28" t="s" s="0">
        <v>735</v>
      </c>
      <c r="BS28" t="s" s="0">
        <v>736</v>
      </c>
      <c r="BT28" t="s" s="54">
        <f>HYPERLINK("https://www.webofscience.com/wos/woscc/full-record/WOS:001651210300001","View Record in Web of Science")</f>
        <v>118</v>
      </c>
      <c r="BU28" t="s" s="0">
        <v>737</v>
      </c>
      <c r="BV28" t="s" s="0">
        <v>81</v>
      </c>
      <c r="BW28" t="s" s="0">
        <v>81</v>
      </c>
      <c r="BX28" t="s" s="0">
        <v>120</v>
      </c>
    </row>
    <row r="29">
      <c r="A29" t="s" s="0">
        <v>77</v>
      </c>
      <c r="B29" t="s" s="0">
        <v>77</v>
      </c>
      <c r="C29" t="s" s="0">
        <v>77</v>
      </c>
      <c r="D29" t="s" s="0">
        <v>77</v>
      </c>
      <c r="E29" t="s" s="0">
        <v>738</v>
      </c>
      <c r="F29" t="s" s="0">
        <v>739</v>
      </c>
      <c r="G29" t="s" s="0">
        <v>740</v>
      </c>
      <c r="H29" t="s" s="0">
        <v>81</v>
      </c>
      <c r="I29" t="s" s="0">
        <v>82</v>
      </c>
      <c r="J29" t="s" s="0">
        <v>741</v>
      </c>
      <c r="K29" t="s" s="0">
        <v>742</v>
      </c>
      <c r="L29" t="s" s="0">
        <v>81</v>
      </c>
      <c r="M29" t="s" s="0">
        <v>81</v>
      </c>
      <c r="N29" t="s" s="0">
        <v>81</v>
      </c>
      <c r="O29" t="s" s="0">
        <v>743</v>
      </c>
      <c r="P29" t="s" s="0">
        <v>744</v>
      </c>
      <c r="Q29" t="s" s="0">
        <v>90</v>
      </c>
      <c r="R29" t="s" s="0">
        <v>81</v>
      </c>
      <c r="S29" t="s" s="0">
        <v>81</v>
      </c>
      <c r="T29" t="s" s="0">
        <v>81</v>
      </c>
      <c r="U29" t="s" s="0">
        <v>81</v>
      </c>
      <c r="V29" t="s" s="0">
        <v>745</v>
      </c>
      <c r="W29" t="s" s="0">
        <v>746</v>
      </c>
      <c r="X29" t="s" s="0">
        <v>81</v>
      </c>
      <c r="Y29" t="s" s="0">
        <v>81</v>
      </c>
      <c r="Z29" t="s" s="0">
        <v>93</v>
      </c>
      <c r="AA29" t="s" s="0">
        <v>94</v>
      </c>
      <c r="AB29" t="s" s="0">
        <v>81</v>
      </c>
      <c r="AC29" t="s" s="0">
        <v>81</v>
      </c>
      <c r="AD29" t="s" s="0">
        <v>81</v>
      </c>
      <c r="AE29" t="s" s="0">
        <v>81</v>
      </c>
      <c r="AF29" t="s" s="0">
        <v>81</v>
      </c>
      <c r="AG29" t="s" s="0">
        <v>747</v>
      </c>
      <c r="AH29" t="s" s="0">
        <v>748</v>
      </c>
      <c r="AI29" t="s" s="0">
        <v>749</v>
      </c>
      <c r="AJ29" t="s" s="0">
        <v>750</v>
      </c>
      <c r="AK29" t="s" s="0">
        <v>81</v>
      </c>
      <c r="AL29" t="s" s="0">
        <v>751</v>
      </c>
      <c r="AM29" t="s" s="0">
        <v>434</v>
      </c>
      <c r="AN29" t="s" s="0">
        <v>511</v>
      </c>
      <c r="AO29" t="s" s="0">
        <v>752</v>
      </c>
      <c r="AP29" t="s" s="0">
        <v>753</v>
      </c>
      <c r="AQ29" t="s" s="0">
        <v>754</v>
      </c>
      <c r="AR29" t="s" s="0">
        <v>755</v>
      </c>
      <c r="AS29" t="s" s="0">
        <v>756</v>
      </c>
      <c r="AT29" t="s" s="0">
        <v>757</v>
      </c>
      <c r="AU29" t="s" s="0">
        <v>81</v>
      </c>
      <c r="AV29" t="s" s="0">
        <v>81</v>
      </c>
      <c r="AW29" t="s" s="0">
        <v>758</v>
      </c>
      <c r="AX29" t="s" s="0">
        <v>759</v>
      </c>
      <c r="AY29" t="s" s="0">
        <v>760</v>
      </c>
      <c r="AZ29" t="s" s="0">
        <v>106</v>
      </c>
      <c r="BA29" t="s" s="0">
        <v>269</v>
      </c>
      <c r="BB29" t="s" s="0">
        <v>81</v>
      </c>
      <c r="BC29" t="s" s="0">
        <v>81</v>
      </c>
      <c r="BD29" t="s" s="0">
        <v>81</v>
      </c>
      <c r="BE29" t="s" s="0">
        <v>81</v>
      </c>
      <c r="BF29" t="s" s="0">
        <v>81</v>
      </c>
      <c r="BG29" t="s" s="0">
        <v>81</v>
      </c>
      <c r="BH29" t="s" s="0">
        <v>81</v>
      </c>
      <c r="BI29" t="s" s="0">
        <v>761</v>
      </c>
      <c r="BJ29" t="s" s="0">
        <v>762</v>
      </c>
      <c r="BK29" t="s" s="55">
        <f>HYPERLINK("http://dx.doi.org/10.1016/j.jestch.2025.102264","http://dx.doi.org/10.1016/j.jestch.2025.102264")</f>
        <v>763</v>
      </c>
      <c r="BL29" t="s" s="0">
        <v>81</v>
      </c>
      <c r="BM29" t="s" s="0">
        <v>764</v>
      </c>
      <c r="BN29" t="s" s="0">
        <v>551</v>
      </c>
      <c r="BO29" t="s" s="0">
        <v>392</v>
      </c>
      <c r="BP29" t="s" s="0">
        <v>393</v>
      </c>
      <c r="BQ29" t="s" s="0">
        <v>765</v>
      </c>
      <c r="BR29" t="s" s="0">
        <v>81</v>
      </c>
      <c r="BS29" t="s" s="0">
        <v>766</v>
      </c>
      <c r="BT29" t="s" s="56">
        <f>HYPERLINK("https://www.webofscience.com/wos/woscc/full-record/WOS:001650190600001","View Record in Web of Science")</f>
        <v>118</v>
      </c>
      <c r="BU29" t="s" s="0">
        <v>177</v>
      </c>
      <c r="BV29" t="s" s="0">
        <v>81</v>
      </c>
      <c r="BW29" t="s" s="0">
        <v>81</v>
      </c>
      <c r="BX29" t="s" s="0">
        <v>120</v>
      </c>
    </row>
    <row r="30">
      <c r="A30" t="s" s="0">
        <v>77</v>
      </c>
      <c r="B30" t="s" s="0">
        <v>77</v>
      </c>
      <c r="C30" t="s" s="0">
        <v>77</v>
      </c>
      <c r="D30" t="s" s="0">
        <v>77</v>
      </c>
      <c r="E30" t="s" s="0">
        <v>767</v>
      </c>
      <c r="F30" t="s" s="0">
        <v>768</v>
      </c>
      <c r="G30" t="s" s="0">
        <v>769</v>
      </c>
      <c r="H30" t="s" s="0">
        <v>81</v>
      </c>
      <c r="I30" t="s" s="0">
        <v>82</v>
      </c>
      <c r="J30" t="s" s="0">
        <v>770</v>
      </c>
      <c r="K30" t="s" s="0">
        <v>771</v>
      </c>
      <c r="L30" t="s" s="0">
        <v>81</v>
      </c>
      <c r="M30" t="s" s="0">
        <v>81</v>
      </c>
      <c r="N30" t="s" s="0">
        <v>81</v>
      </c>
      <c r="O30" t="s" s="0">
        <v>772</v>
      </c>
      <c r="P30" t="s" s="0">
        <v>773</v>
      </c>
      <c r="Q30" t="s" s="0">
        <v>90</v>
      </c>
      <c r="R30" t="s" s="0">
        <v>81</v>
      </c>
      <c r="S30" t="s" s="0">
        <v>81</v>
      </c>
      <c r="T30" t="s" s="0">
        <v>81</v>
      </c>
      <c r="U30" t="s" s="0">
        <v>81</v>
      </c>
      <c r="V30" t="s" s="0">
        <v>774</v>
      </c>
      <c r="W30" t="s" s="0">
        <v>775</v>
      </c>
      <c r="X30" t="s" s="0">
        <v>81</v>
      </c>
      <c r="Y30" t="s" s="0">
        <v>81</v>
      </c>
      <c r="Z30" t="s" s="0">
        <v>93</v>
      </c>
      <c r="AA30" t="s" s="0">
        <v>94</v>
      </c>
      <c r="AB30" t="s" s="0">
        <v>81</v>
      </c>
      <c r="AC30" t="s" s="0">
        <v>81</v>
      </c>
      <c r="AD30" t="s" s="0">
        <v>81</v>
      </c>
      <c r="AE30" t="s" s="0">
        <v>81</v>
      </c>
      <c r="AF30" t="s" s="0">
        <v>81</v>
      </c>
      <c r="AG30" t="s" s="0">
        <v>776</v>
      </c>
      <c r="AH30" t="s" s="0">
        <v>777</v>
      </c>
      <c r="AI30" t="s" s="0">
        <v>81</v>
      </c>
      <c r="AJ30" t="s" s="0">
        <v>81</v>
      </c>
      <c r="AK30" t="s" s="0">
        <v>81</v>
      </c>
      <c r="AL30" t="s" s="0">
        <v>778</v>
      </c>
      <c r="AM30" t="s" s="0">
        <v>77</v>
      </c>
      <c r="AN30" t="s" s="0">
        <v>77</v>
      </c>
      <c r="AO30" t="s" s="0">
        <v>108</v>
      </c>
      <c r="AP30" t="s" s="0">
        <v>108</v>
      </c>
      <c r="AQ30" t="s" s="0">
        <v>779</v>
      </c>
      <c r="AR30" t="s" s="0">
        <v>780</v>
      </c>
      <c r="AS30" t="s" s="0">
        <v>781</v>
      </c>
      <c r="AT30" t="s" s="0">
        <v>782</v>
      </c>
      <c r="AU30" t="s" s="0">
        <v>783</v>
      </c>
      <c r="AV30" t="s" s="0">
        <v>81</v>
      </c>
      <c r="AW30" t="s" s="0">
        <v>784</v>
      </c>
      <c r="AX30" t="s" s="0">
        <v>785</v>
      </c>
      <c r="AY30" t="s" s="0">
        <v>786</v>
      </c>
      <c r="AZ30" t="s" s="0">
        <v>106</v>
      </c>
      <c r="BA30" t="s" s="0">
        <v>787</v>
      </c>
      <c r="BB30" t="s" s="0">
        <v>81</v>
      </c>
      <c r="BC30" t="s" s="0">
        <v>81</v>
      </c>
      <c r="BD30" t="s" s="0">
        <v>788</v>
      </c>
      <c r="BE30" t="s" s="0">
        <v>81</v>
      </c>
      <c r="BF30" t="s" s="0">
        <v>81</v>
      </c>
      <c r="BG30" t="s" s="0">
        <v>81</v>
      </c>
      <c r="BH30" t="s" s="0">
        <v>81</v>
      </c>
      <c r="BI30" t="s" s="0">
        <v>789</v>
      </c>
      <c r="BJ30" t="s" s="0">
        <v>790</v>
      </c>
      <c r="BK30" t="s" s="57">
        <f>HYPERLINK("http://dx.doi.org/10.1016/j.eswa.2026.133320","http://dx.doi.org/10.1016/j.eswa.2026.133320")</f>
        <v>791</v>
      </c>
      <c r="BL30" t="s" s="0">
        <v>81</v>
      </c>
      <c r="BM30" t="s" s="0">
        <v>81</v>
      </c>
      <c r="BN30" t="s" s="0">
        <v>752</v>
      </c>
      <c r="BO30" t="s" s="0">
        <v>792</v>
      </c>
      <c r="BP30" t="s" s="0">
        <v>793</v>
      </c>
      <c r="BQ30" t="s" s="0">
        <v>794</v>
      </c>
      <c r="BR30" t="s" s="0">
        <v>81</v>
      </c>
      <c r="BS30" t="s" s="0">
        <v>795</v>
      </c>
      <c r="BT30" t="s" s="58">
        <f>HYPERLINK("https://www.webofscience.com/wos/woscc/full-record/WOS:001807840800003","View Record in Web of Science")</f>
        <v>118</v>
      </c>
      <c r="BU30" t="s" s="0">
        <v>737</v>
      </c>
      <c r="BV30" t="s" s="0">
        <v>81</v>
      </c>
      <c r="BW30" t="s" s="0">
        <v>81</v>
      </c>
      <c r="BX30" t="s" s="0">
        <v>120</v>
      </c>
    </row>
    <row r="31">
      <c r="A31" t="s" s="0">
        <v>77</v>
      </c>
      <c r="B31" t="s" s="0">
        <v>77</v>
      </c>
      <c r="C31" t="s" s="0">
        <v>77</v>
      </c>
      <c r="D31" t="s" s="0">
        <v>77</v>
      </c>
      <c r="E31" t="s" s="0">
        <v>796</v>
      </c>
      <c r="F31" t="s" s="0">
        <v>797</v>
      </c>
      <c r="G31" t="s" s="0">
        <v>798</v>
      </c>
      <c r="H31" t="s" s="0">
        <v>81</v>
      </c>
      <c r="I31" t="s" s="0">
        <v>124</v>
      </c>
      <c r="J31" t="s" s="0">
        <v>799</v>
      </c>
      <c r="K31" t="s" s="0">
        <v>800</v>
      </c>
      <c r="L31" t="s" s="0">
        <v>801</v>
      </c>
      <c r="M31" t="s" s="0">
        <v>330</v>
      </c>
      <c r="N31" t="s" s="0">
        <v>802</v>
      </c>
      <c r="O31" t="s" s="0">
        <v>803</v>
      </c>
      <c r="P31" t="s" s="0">
        <v>804</v>
      </c>
      <c r="Q31" t="s" s="0">
        <v>90</v>
      </c>
      <c r="R31" t="s" s="0">
        <v>81</v>
      </c>
      <c r="S31" t="s" s="0">
        <v>81</v>
      </c>
      <c r="T31" t="s" s="0">
        <v>81</v>
      </c>
      <c r="U31" t="s" s="0">
        <v>81</v>
      </c>
      <c r="V31" t="s" s="0">
        <v>805</v>
      </c>
      <c r="W31" t="s" s="0">
        <v>806</v>
      </c>
      <c r="X31" t="s" s="0">
        <v>81</v>
      </c>
      <c r="Y31" t="s" s="0">
        <v>81</v>
      </c>
      <c r="Z31" t="s" s="0">
        <v>93</v>
      </c>
      <c r="AA31" t="s" s="0">
        <v>94</v>
      </c>
      <c r="AB31" t="s" s="0">
        <v>81</v>
      </c>
      <c r="AC31" t="s" s="0">
        <v>81</v>
      </c>
      <c r="AD31" t="s" s="0">
        <v>81</v>
      </c>
      <c r="AE31" t="s" s="0">
        <v>81</v>
      </c>
      <c r="AF31" t="s" s="0">
        <v>81</v>
      </c>
      <c r="AG31" t="s" s="0">
        <v>807</v>
      </c>
      <c r="AH31" t="s" s="0">
        <v>808</v>
      </c>
      <c r="AI31" t="s" s="0">
        <v>81</v>
      </c>
      <c r="AJ31" t="s" s="0">
        <v>81</v>
      </c>
      <c r="AK31" t="s" s="0">
        <v>81</v>
      </c>
      <c r="AL31" t="s" s="0">
        <v>809</v>
      </c>
      <c r="AM31" t="s" s="0">
        <v>77</v>
      </c>
      <c r="AN31" t="s" s="0">
        <v>77</v>
      </c>
      <c r="AO31" t="s" s="0">
        <v>434</v>
      </c>
      <c r="AP31" t="s" s="0">
        <v>434</v>
      </c>
      <c r="AQ31" t="s" s="0">
        <v>810</v>
      </c>
      <c r="AR31" t="s" s="0">
        <v>811</v>
      </c>
      <c r="AS31" t="s" s="0">
        <v>812</v>
      </c>
      <c r="AT31" t="s" s="0">
        <v>813</v>
      </c>
      <c r="AU31" t="s" s="0">
        <v>81</v>
      </c>
      <c r="AV31" t="s" s="0">
        <v>81</v>
      </c>
      <c r="AW31" t="s" s="0">
        <v>814</v>
      </c>
      <c r="AX31" t="s" s="0">
        <v>815</v>
      </c>
      <c r="AY31" t="s" s="0">
        <v>816</v>
      </c>
      <c r="AZ31" t="s" s="0">
        <v>106</v>
      </c>
      <c r="BA31" t="s" s="0">
        <v>197</v>
      </c>
      <c r="BB31" t="s" s="0">
        <v>108</v>
      </c>
      <c r="BC31" t="s" s="0">
        <v>81</v>
      </c>
      <c r="BD31" t="s" s="0">
        <v>81</v>
      </c>
      <c r="BE31" t="s" s="0">
        <v>81</v>
      </c>
      <c r="BF31" t="s" s="0">
        <v>81</v>
      </c>
      <c r="BG31" t="s" s="0">
        <v>817</v>
      </c>
      <c r="BH31" t="s" s="0">
        <v>818</v>
      </c>
      <c r="BI31" t="s" s="0">
        <v>81</v>
      </c>
      <c r="BJ31" t="s" s="0">
        <v>819</v>
      </c>
      <c r="BK31" t="s" s="59">
        <f>HYPERLINK("http://dx.doi.org/10.1108/ATSIP-02-2026-005","http://dx.doi.org/10.1108/ATSIP-02-2026-005")</f>
        <v>820</v>
      </c>
      <c r="BL31" t="s" s="0">
        <v>81</v>
      </c>
      <c r="BM31" t="s" s="0">
        <v>81</v>
      </c>
      <c r="BN31" t="s" s="0">
        <v>596</v>
      </c>
      <c r="BO31" t="s" s="0">
        <v>821</v>
      </c>
      <c r="BP31" t="s" s="0">
        <v>393</v>
      </c>
      <c r="BQ31" t="s" s="0">
        <v>822</v>
      </c>
      <c r="BR31" t="s" s="0">
        <v>81</v>
      </c>
      <c r="BS31" t="s" s="0">
        <v>823</v>
      </c>
      <c r="BT31" t="s" s="60">
        <f>HYPERLINK("https://www.webofscience.com/wos/woscc/full-record/WOS:001718313400001","View Record in Web of Science")</f>
        <v>118</v>
      </c>
      <c r="BU31" t="s" s="0">
        <v>119</v>
      </c>
      <c r="BV31" t="s" s="0">
        <v>81</v>
      </c>
      <c r="BW31" t="s" s="0">
        <v>81</v>
      </c>
      <c r="BX31" t="s" s="0">
        <v>120</v>
      </c>
    </row>
    <row r="32">
      <c r="A32" t="s" s="0">
        <v>77</v>
      </c>
      <c r="B32" t="s" s="0">
        <v>77</v>
      </c>
      <c r="C32" t="s" s="0">
        <v>77</v>
      </c>
      <c r="D32" t="s" s="0">
        <v>77</v>
      </c>
      <c r="E32" t="s" s="0">
        <v>824</v>
      </c>
      <c r="F32" t="s" s="0">
        <v>825</v>
      </c>
      <c r="G32" t="s" s="0">
        <v>826</v>
      </c>
      <c r="H32" t="s" s="0">
        <v>81</v>
      </c>
      <c r="I32" t="s" s="0">
        <v>82</v>
      </c>
      <c r="J32" t="s" s="0">
        <v>827</v>
      </c>
      <c r="K32" t="s" s="0">
        <v>828</v>
      </c>
      <c r="L32" t="s" s="0">
        <v>81</v>
      </c>
      <c r="M32" t="s" s="0">
        <v>81</v>
      </c>
      <c r="N32" t="s" s="0">
        <v>81</v>
      </c>
      <c r="O32" t="s" s="0">
        <v>829</v>
      </c>
      <c r="P32" t="s" s="0">
        <v>830</v>
      </c>
      <c r="Q32" t="s" s="0">
        <v>90</v>
      </c>
      <c r="R32" t="s" s="0">
        <v>81</v>
      </c>
      <c r="S32" t="s" s="0">
        <v>81</v>
      </c>
      <c r="T32" t="s" s="0">
        <v>81</v>
      </c>
      <c r="U32" t="s" s="0">
        <v>81</v>
      </c>
      <c r="V32" t="s" s="0">
        <v>831</v>
      </c>
      <c r="W32" t="s" s="0">
        <v>832</v>
      </c>
      <c r="X32" t="s" s="0">
        <v>81</v>
      </c>
      <c r="Y32" t="s" s="0">
        <v>81</v>
      </c>
      <c r="Z32" t="s" s="0">
        <v>93</v>
      </c>
      <c r="AA32" t="s" s="0">
        <v>94</v>
      </c>
      <c r="AB32" t="s" s="0">
        <v>81</v>
      </c>
      <c r="AC32" t="s" s="0">
        <v>81</v>
      </c>
      <c r="AD32" t="s" s="0">
        <v>81</v>
      </c>
      <c r="AE32" t="s" s="0">
        <v>81</v>
      </c>
      <c r="AF32" t="s" s="0">
        <v>81</v>
      </c>
      <c r="AG32" t="s" s="0">
        <v>833</v>
      </c>
      <c r="AH32" t="s" s="0">
        <v>834</v>
      </c>
      <c r="AI32" t="s" s="0">
        <v>81</v>
      </c>
      <c r="AJ32" t="s" s="0">
        <v>81</v>
      </c>
      <c r="AK32" t="s" s="0">
        <v>81</v>
      </c>
      <c r="AL32" t="s" s="0">
        <v>835</v>
      </c>
      <c r="AM32" t="s" s="0">
        <v>77</v>
      </c>
      <c r="AN32" t="s" s="0">
        <v>77</v>
      </c>
      <c r="AO32" t="s" s="0">
        <v>77</v>
      </c>
      <c r="AP32" t="s" s="0">
        <v>77</v>
      </c>
      <c r="AQ32" t="s" s="0">
        <v>836</v>
      </c>
      <c r="AR32" t="s" s="0">
        <v>837</v>
      </c>
      <c r="AS32" t="s" s="0">
        <v>838</v>
      </c>
      <c r="AT32" t="s" s="0">
        <v>839</v>
      </c>
      <c r="AU32" t="s" s="0">
        <v>840</v>
      </c>
      <c r="AV32" t="s" s="0">
        <v>81</v>
      </c>
      <c r="AW32" t="s" s="0">
        <v>841</v>
      </c>
      <c r="AX32" t="s" s="0">
        <v>842</v>
      </c>
      <c r="AY32" t="s" s="0">
        <v>843</v>
      </c>
      <c r="AZ32" t="s" s="0">
        <v>106</v>
      </c>
      <c r="BA32" t="s" s="0">
        <v>844</v>
      </c>
      <c r="BB32" t="s" s="0">
        <v>81</v>
      </c>
      <c r="BC32" t="s" s="0">
        <v>81</v>
      </c>
      <c r="BD32" t="s" s="0">
        <v>81</v>
      </c>
      <c r="BE32" t="s" s="0">
        <v>81</v>
      </c>
      <c r="BF32" t="s" s="0">
        <v>81</v>
      </c>
      <c r="BG32" t="s" s="0">
        <v>81</v>
      </c>
      <c r="BH32" t="s" s="0">
        <v>81</v>
      </c>
      <c r="BI32" t="s" s="0">
        <v>845</v>
      </c>
      <c r="BJ32" t="s" s="0">
        <v>846</v>
      </c>
      <c r="BK32" t="s" s="61">
        <f>HYPERLINK("http://dx.doi.org/10.1016/j.bspc.2026.111230","http://dx.doi.org/10.1016/j.bspc.2026.111230")</f>
        <v>847</v>
      </c>
      <c r="BL32" t="s" s="0">
        <v>81</v>
      </c>
      <c r="BM32" t="s" s="0">
        <v>81</v>
      </c>
      <c r="BN32" t="s" s="0">
        <v>363</v>
      </c>
      <c r="BO32" t="s" s="0">
        <v>848</v>
      </c>
      <c r="BP32" t="s" s="0">
        <v>393</v>
      </c>
      <c r="BQ32" t="s" s="0">
        <v>849</v>
      </c>
      <c r="BR32" t="s" s="0">
        <v>81</v>
      </c>
      <c r="BS32" t="s" s="0">
        <v>850</v>
      </c>
      <c r="BT32" t="s" s="62">
        <f>HYPERLINK("https://www.webofscience.com/wos/woscc/full-record/WOS:001850922800001","View Record in Web of Science")</f>
        <v>118</v>
      </c>
      <c r="BU32" t="s" s="0">
        <v>81</v>
      </c>
      <c r="BV32" t="s" s="0">
        <v>81</v>
      </c>
      <c r="BW32" t="s" s="0">
        <v>81</v>
      </c>
      <c r="BX32" t="s" s="0">
        <v>120</v>
      </c>
    </row>
    <row r="33">
      <c r="A33" t="s" s="0">
        <v>77</v>
      </c>
      <c r="B33" t="s" s="0">
        <v>77</v>
      </c>
      <c r="C33" t="s" s="0">
        <v>77</v>
      </c>
      <c r="D33" t="s" s="0">
        <v>77</v>
      </c>
      <c r="E33" t="s" s="0">
        <v>851</v>
      </c>
      <c r="F33" t="s" s="0">
        <v>852</v>
      </c>
      <c r="G33" t="s" s="0">
        <v>853</v>
      </c>
      <c r="H33" t="s" s="0">
        <v>81</v>
      </c>
      <c r="I33" t="s" s="0">
        <v>82</v>
      </c>
      <c r="J33" t="s" s="0">
        <v>854</v>
      </c>
      <c r="K33" t="s" s="0">
        <v>855</v>
      </c>
      <c r="L33" t="s" s="0">
        <v>81</v>
      </c>
      <c r="M33" t="s" s="0">
        <v>81</v>
      </c>
      <c r="N33" t="s" s="0">
        <v>81</v>
      </c>
      <c r="O33" t="s" s="0">
        <v>856</v>
      </c>
      <c r="P33" t="s" s="0">
        <v>857</v>
      </c>
      <c r="Q33" t="s" s="0">
        <v>90</v>
      </c>
      <c r="R33" t="s" s="0">
        <v>81</v>
      </c>
      <c r="S33" t="s" s="0">
        <v>81</v>
      </c>
      <c r="T33" t="s" s="0">
        <v>81</v>
      </c>
      <c r="U33" t="s" s="0">
        <v>81</v>
      </c>
      <c r="V33" t="s" s="0">
        <v>858</v>
      </c>
      <c r="W33" t="s" s="0">
        <v>859</v>
      </c>
      <c r="X33" t="s" s="0">
        <v>81</v>
      </c>
      <c r="Y33" t="s" s="0">
        <v>81</v>
      </c>
      <c r="Z33" t="s" s="0">
        <v>93</v>
      </c>
      <c r="AA33" t="s" s="0">
        <v>94</v>
      </c>
      <c r="AB33" t="s" s="0">
        <v>81</v>
      </c>
      <c r="AC33" t="s" s="0">
        <v>81</v>
      </c>
      <c r="AD33" t="s" s="0">
        <v>81</v>
      </c>
      <c r="AE33" t="s" s="0">
        <v>81</v>
      </c>
      <c r="AF33" t="s" s="0">
        <v>81</v>
      </c>
      <c r="AG33" t="s" s="0">
        <v>860</v>
      </c>
      <c r="AH33" t="s" s="0">
        <v>861</v>
      </c>
      <c r="AI33" t="s" s="0">
        <v>81</v>
      </c>
      <c r="AJ33" t="s" s="0">
        <v>81</v>
      </c>
      <c r="AK33" t="s" s="0">
        <v>81</v>
      </c>
      <c r="AL33" t="s" s="0">
        <v>862</v>
      </c>
      <c r="AM33" t="s" s="0">
        <v>77</v>
      </c>
      <c r="AN33" t="s" s="0">
        <v>77</v>
      </c>
      <c r="AO33" t="s" s="0">
        <v>77</v>
      </c>
      <c r="AP33" t="s" s="0">
        <v>77</v>
      </c>
      <c r="AQ33" t="s" s="0">
        <v>863</v>
      </c>
      <c r="AR33" t="s" s="0">
        <v>864</v>
      </c>
      <c r="AS33" t="s" s="0">
        <v>865</v>
      </c>
      <c r="AT33" t="s" s="0">
        <v>866</v>
      </c>
      <c r="AU33" t="s" s="0">
        <v>867</v>
      </c>
      <c r="AV33" t="s" s="0">
        <v>81</v>
      </c>
      <c r="AW33" t="s" s="0">
        <v>868</v>
      </c>
      <c r="AX33" t="s" s="0">
        <v>869</v>
      </c>
      <c r="AY33" t="s" s="0">
        <v>764</v>
      </c>
      <c r="AZ33" t="s" s="0">
        <v>106</v>
      </c>
      <c r="BA33" t="s" s="0">
        <v>870</v>
      </c>
      <c r="BB33" t="s" s="0">
        <v>596</v>
      </c>
      <c r="BC33" t="s" s="0">
        <v>81</v>
      </c>
      <c r="BD33" t="s" s="0">
        <v>81</v>
      </c>
      <c r="BE33" t="s" s="0">
        <v>81</v>
      </c>
      <c r="BF33" t="s" s="0">
        <v>81</v>
      </c>
      <c r="BG33" t="s" s="0">
        <v>81</v>
      </c>
      <c r="BH33" t="s" s="0">
        <v>81</v>
      </c>
      <c r="BI33" t="s" s="0">
        <v>871</v>
      </c>
      <c r="BJ33" t="s" s="0">
        <v>872</v>
      </c>
      <c r="BK33" t="s" s="63">
        <f>HYPERLINK("http://dx.doi.org/10.1016/j.lpm.2026.104376","http://dx.doi.org/10.1016/j.lpm.2026.104376")</f>
        <v>873</v>
      </c>
      <c r="BL33" t="s" s="0">
        <v>81</v>
      </c>
      <c r="BM33" t="s" s="0">
        <v>81</v>
      </c>
      <c r="BN33" t="s" s="0">
        <v>511</v>
      </c>
      <c r="BO33" t="s" s="0">
        <v>254</v>
      </c>
      <c r="BP33" t="s" s="0">
        <v>255</v>
      </c>
      <c r="BQ33" t="s" s="0">
        <v>874</v>
      </c>
      <c r="BR33" t="s" s="0">
        <v>875</v>
      </c>
      <c r="BS33" t="s" s="0">
        <v>876</v>
      </c>
      <c r="BT33" t="s" s="64">
        <f>HYPERLINK("https://www.webofscience.com/wos/woscc/full-record/WOS:001847577500001","View Record in Web of Science")</f>
        <v>118</v>
      </c>
      <c r="BU33" t="s" s="0">
        <v>877</v>
      </c>
      <c r="BV33" t="s" s="0">
        <v>81</v>
      </c>
      <c r="BW33" t="s" s="0">
        <v>81</v>
      </c>
      <c r="BX33" t="s" s="0">
        <v>120</v>
      </c>
    </row>
    <row r="34">
      <c r="A34" t="s" s="0">
        <v>77</v>
      </c>
      <c r="B34" t="s" s="0">
        <v>77</v>
      </c>
      <c r="C34" t="s" s="0">
        <v>77</v>
      </c>
      <c r="D34" t="s" s="0">
        <v>77</v>
      </c>
      <c r="E34" t="s" s="0">
        <v>878</v>
      </c>
      <c r="F34" t="s" s="0">
        <v>879</v>
      </c>
      <c r="G34" t="s" s="0">
        <v>880</v>
      </c>
      <c r="H34" t="s" s="0">
        <v>81</v>
      </c>
      <c r="I34" t="s" s="0">
        <v>124</v>
      </c>
      <c r="J34" t="s" s="0">
        <v>881</v>
      </c>
      <c r="K34" t="s" s="0">
        <v>882</v>
      </c>
      <c r="L34" t="s" s="0">
        <v>883</v>
      </c>
      <c r="M34" t="s" s="0">
        <v>884</v>
      </c>
      <c r="N34" t="s" s="0">
        <v>885</v>
      </c>
      <c r="O34" t="s" s="0">
        <v>886</v>
      </c>
      <c r="P34" t="s" s="0">
        <v>887</v>
      </c>
      <c r="Q34" t="s" s="0">
        <v>90</v>
      </c>
      <c r="R34" t="s" s="0">
        <v>81</v>
      </c>
      <c r="S34" t="s" s="0">
        <v>81</v>
      </c>
      <c r="T34" t="s" s="0">
        <v>81</v>
      </c>
      <c r="U34" t="s" s="0">
        <v>81</v>
      </c>
      <c r="V34" t="s" s="0">
        <v>888</v>
      </c>
      <c r="W34" t="s" s="0">
        <v>889</v>
      </c>
      <c r="X34" t="s" s="0">
        <v>81</v>
      </c>
      <c r="Y34" t="s" s="0">
        <v>81</v>
      </c>
      <c r="Z34" t="s" s="0">
        <v>93</v>
      </c>
      <c r="AA34" t="s" s="0">
        <v>94</v>
      </c>
      <c r="AB34" t="s" s="0">
        <v>81</v>
      </c>
      <c r="AC34" t="s" s="0">
        <v>81</v>
      </c>
      <c r="AD34" t="s" s="0">
        <v>81</v>
      </c>
      <c r="AE34" t="s" s="0">
        <v>81</v>
      </c>
      <c r="AF34" t="s" s="0">
        <v>81</v>
      </c>
      <c r="AG34" t="s" s="0">
        <v>890</v>
      </c>
      <c r="AH34" t="s" s="0">
        <v>891</v>
      </c>
      <c r="AI34" t="s" s="0">
        <v>81</v>
      </c>
      <c r="AJ34" t="s" s="0">
        <v>81</v>
      </c>
      <c r="AK34" t="s" s="0">
        <v>81</v>
      </c>
      <c r="AL34" t="s" s="0">
        <v>269</v>
      </c>
      <c r="AM34" t="s" s="0">
        <v>77</v>
      </c>
      <c r="AN34" t="s" s="0">
        <v>77</v>
      </c>
      <c r="AO34" t="s" s="0">
        <v>77</v>
      </c>
      <c r="AP34" t="s" s="0">
        <v>77</v>
      </c>
      <c r="AQ34" t="s" s="0">
        <v>892</v>
      </c>
      <c r="AR34" t="s" s="0">
        <v>893</v>
      </c>
      <c r="AS34" t="s" s="0">
        <v>894</v>
      </c>
      <c r="AT34" t="s" s="0">
        <v>895</v>
      </c>
      <c r="AU34" t="s" s="0">
        <v>81</v>
      </c>
      <c r="AV34" t="s" s="0">
        <v>81</v>
      </c>
      <c r="AW34" t="s" s="0">
        <v>896</v>
      </c>
      <c r="AX34" t="s" s="0">
        <v>897</v>
      </c>
      <c r="AY34" t="s" s="0">
        <v>764</v>
      </c>
      <c r="AZ34" t="s" s="0">
        <v>106</v>
      </c>
      <c r="BA34" t="s" s="0">
        <v>144</v>
      </c>
      <c r="BB34" t="s" s="0">
        <v>81</v>
      </c>
      <c r="BC34" t="s" s="0">
        <v>81</v>
      </c>
      <c r="BD34" t="s" s="0">
        <v>81</v>
      </c>
      <c r="BE34" t="s" s="0">
        <v>81</v>
      </c>
      <c r="BF34" t="s" s="0">
        <v>81</v>
      </c>
      <c r="BG34" t="s" s="0">
        <v>81</v>
      </c>
      <c r="BH34" t="s" s="0">
        <v>81</v>
      </c>
      <c r="BI34" t="s" s="0">
        <v>898</v>
      </c>
      <c r="BJ34" t="s" s="0">
        <v>899</v>
      </c>
      <c r="BK34" t="s" s="65">
        <f>HYPERLINK("http://dx.doi.org/10.1016/j.caeai.2026.100654","http://dx.doi.org/10.1016/j.caeai.2026.100654")</f>
        <v>900</v>
      </c>
      <c r="BL34" t="s" s="0">
        <v>81</v>
      </c>
      <c r="BM34" t="s" s="0">
        <v>81</v>
      </c>
      <c r="BN34" t="s" s="0">
        <v>438</v>
      </c>
      <c r="BO34" t="s" s="0">
        <v>901</v>
      </c>
      <c r="BP34" t="s" s="0">
        <v>902</v>
      </c>
      <c r="BQ34" t="s" s="0">
        <v>903</v>
      </c>
      <c r="BR34" t="s" s="0">
        <v>81</v>
      </c>
      <c r="BS34" t="s" s="0">
        <v>904</v>
      </c>
      <c r="BT34" t="s" s="66">
        <f>HYPERLINK("https://www.webofscience.com/wos/woscc/full-record/WOS:001846525600001","View Record in Web of Science")</f>
        <v>118</v>
      </c>
      <c r="BU34" t="s" s="0">
        <v>119</v>
      </c>
      <c r="BV34" t="s" s="0">
        <v>81</v>
      </c>
      <c r="BW34" t="s" s="0">
        <v>81</v>
      </c>
      <c r="BX34" t="s" s="0">
        <v>120</v>
      </c>
    </row>
    <row r="35">
      <c r="A35" t="s" s="0">
        <v>77</v>
      </c>
      <c r="B35" t="s" s="0">
        <v>77</v>
      </c>
      <c r="C35" t="s" s="0">
        <v>77</v>
      </c>
      <c r="D35" t="s" s="0">
        <v>77</v>
      </c>
      <c r="E35" t="s" s="0">
        <v>905</v>
      </c>
      <c r="F35" t="s" s="0">
        <v>906</v>
      </c>
      <c r="G35" t="s" s="0">
        <v>907</v>
      </c>
      <c r="H35" t="s" s="0">
        <v>81</v>
      </c>
      <c r="I35" t="s" s="0">
        <v>82</v>
      </c>
      <c r="J35" t="s" s="0">
        <v>908</v>
      </c>
      <c r="K35" t="s" s="0">
        <v>909</v>
      </c>
      <c r="L35" t="s" s="0">
        <v>910</v>
      </c>
      <c r="M35" t="s" s="0">
        <v>911</v>
      </c>
      <c r="N35" t="s" s="0">
        <v>912</v>
      </c>
      <c r="O35" t="s" s="0">
        <v>913</v>
      </c>
      <c r="P35" t="s" s="0">
        <v>914</v>
      </c>
      <c r="Q35" t="s" s="0">
        <v>90</v>
      </c>
      <c r="R35" t="s" s="0">
        <v>81</v>
      </c>
      <c r="S35" t="s" s="0">
        <v>81</v>
      </c>
      <c r="T35" t="s" s="0">
        <v>81</v>
      </c>
      <c r="U35" t="s" s="0">
        <v>81</v>
      </c>
      <c r="V35" t="s" s="0">
        <v>915</v>
      </c>
      <c r="W35" t="s" s="0">
        <v>916</v>
      </c>
      <c r="X35" t="s" s="0">
        <v>81</v>
      </c>
      <c r="Y35" t="s" s="0">
        <v>81</v>
      </c>
      <c r="Z35" t="s" s="0">
        <v>93</v>
      </c>
      <c r="AA35" t="s" s="0">
        <v>94</v>
      </c>
      <c r="AB35" t="s" s="0">
        <v>81</v>
      </c>
      <c r="AC35" t="s" s="0">
        <v>81</v>
      </c>
      <c r="AD35" t="s" s="0">
        <v>81</v>
      </c>
      <c r="AE35" t="s" s="0">
        <v>81</v>
      </c>
      <c r="AF35" t="s" s="0">
        <v>81</v>
      </c>
      <c r="AG35" t="s" s="0">
        <v>917</v>
      </c>
      <c r="AH35" t="s" s="0">
        <v>918</v>
      </c>
      <c r="AI35" t="s" s="0">
        <v>81</v>
      </c>
      <c r="AJ35" t="s" s="0">
        <v>81</v>
      </c>
      <c r="AK35" t="s" s="0">
        <v>81</v>
      </c>
      <c r="AL35" t="s" s="0">
        <v>919</v>
      </c>
      <c r="AM35" t="s" s="0">
        <v>77</v>
      </c>
      <c r="AN35" t="s" s="0">
        <v>77</v>
      </c>
      <c r="AO35" t="s" s="0">
        <v>77</v>
      </c>
      <c r="AP35" t="s" s="0">
        <v>77</v>
      </c>
      <c r="AQ35" t="s" s="0">
        <v>892</v>
      </c>
      <c r="AR35" t="s" s="0">
        <v>893</v>
      </c>
      <c r="AS35" t="s" s="0">
        <v>894</v>
      </c>
      <c r="AT35" t="s" s="0">
        <v>81</v>
      </c>
      <c r="AU35" t="s" s="0">
        <v>920</v>
      </c>
      <c r="AV35" t="s" s="0">
        <v>81</v>
      </c>
      <c r="AW35" t="s" s="0">
        <v>921</v>
      </c>
      <c r="AX35" t="s" s="0">
        <v>922</v>
      </c>
      <c r="AY35" t="s" s="0">
        <v>764</v>
      </c>
      <c r="AZ35" t="s" s="0">
        <v>106</v>
      </c>
      <c r="BA35" t="s" s="0">
        <v>923</v>
      </c>
      <c r="BB35" t="s" s="0">
        <v>81</v>
      </c>
      <c r="BC35" t="s" s="0">
        <v>81</v>
      </c>
      <c r="BD35" t="s" s="0">
        <v>81</v>
      </c>
      <c r="BE35" t="s" s="0">
        <v>81</v>
      </c>
      <c r="BF35" t="s" s="0">
        <v>81</v>
      </c>
      <c r="BG35" t="s" s="0">
        <v>81</v>
      </c>
      <c r="BH35" t="s" s="0">
        <v>81</v>
      </c>
      <c r="BI35" t="s" s="0">
        <v>924</v>
      </c>
      <c r="BJ35" t="s" s="0">
        <v>925</v>
      </c>
      <c r="BK35" t="s" s="67">
        <f>HYPERLINK("http://dx.doi.org/10.1016/j.bioadv.2026.215097","http://dx.doi.org/10.1016/j.bioadv.2026.215097")</f>
        <v>926</v>
      </c>
      <c r="BL35" t="s" s="0">
        <v>81</v>
      </c>
      <c r="BM35" t="s" s="0">
        <v>81</v>
      </c>
      <c r="BN35" t="s" s="0">
        <v>197</v>
      </c>
      <c r="BO35" t="s" s="0">
        <v>927</v>
      </c>
      <c r="BP35" t="s" s="0">
        <v>928</v>
      </c>
      <c r="BQ35" t="s" s="0">
        <v>929</v>
      </c>
      <c r="BR35" t="s" s="0">
        <v>930</v>
      </c>
      <c r="BS35" t="s" s="0">
        <v>931</v>
      </c>
      <c r="BT35" t="s" s="68">
        <f>HYPERLINK("https://www.webofscience.com/wos/woscc/full-record/WOS:001843970600001","View Record in Web of Science")</f>
        <v>118</v>
      </c>
      <c r="BU35" t="s" s="0">
        <v>81</v>
      </c>
      <c r="BV35" t="s" s="0">
        <v>81</v>
      </c>
      <c r="BW35" t="s" s="0">
        <v>81</v>
      </c>
      <c r="BX35" t="s" s="0">
        <v>120</v>
      </c>
    </row>
    <row r="36">
      <c r="A36" t="s" s="0">
        <v>77</v>
      </c>
      <c r="B36" t="s" s="0">
        <v>77</v>
      </c>
      <c r="C36" t="s" s="0">
        <v>77</v>
      </c>
      <c r="D36" t="s" s="0">
        <v>77</v>
      </c>
      <c r="E36" t="s" s="0">
        <v>932</v>
      </c>
      <c r="F36" t="s" s="0">
        <v>933</v>
      </c>
      <c r="G36" t="s" s="0">
        <v>934</v>
      </c>
      <c r="H36" t="s" s="0">
        <v>81</v>
      </c>
      <c r="I36" t="s" s="0">
        <v>82</v>
      </c>
      <c r="J36" t="s" s="0">
        <v>935</v>
      </c>
      <c r="K36" t="s" s="0">
        <v>936</v>
      </c>
      <c r="L36" t="s" s="0">
        <v>81</v>
      </c>
      <c r="M36" t="s" s="0">
        <v>81</v>
      </c>
      <c r="N36" t="s" s="0">
        <v>81</v>
      </c>
      <c r="O36" t="s" s="0">
        <v>937</v>
      </c>
      <c r="P36" t="s" s="0">
        <v>938</v>
      </c>
      <c r="Q36" t="s" s="0">
        <v>90</v>
      </c>
      <c r="R36" t="s" s="0">
        <v>81</v>
      </c>
      <c r="S36" t="s" s="0">
        <v>81</v>
      </c>
      <c r="T36" t="s" s="0">
        <v>81</v>
      </c>
      <c r="U36" t="s" s="0">
        <v>81</v>
      </c>
      <c r="V36" t="s" s="0">
        <v>939</v>
      </c>
      <c r="W36" t="s" s="0">
        <v>940</v>
      </c>
      <c r="X36" t="s" s="0">
        <v>81</v>
      </c>
      <c r="Y36" t="s" s="0">
        <v>81</v>
      </c>
      <c r="Z36" t="s" s="0">
        <v>93</v>
      </c>
      <c r="AA36" t="s" s="0">
        <v>94</v>
      </c>
      <c r="AB36" t="s" s="0">
        <v>81</v>
      </c>
      <c r="AC36" t="s" s="0">
        <v>81</v>
      </c>
      <c r="AD36" t="s" s="0">
        <v>81</v>
      </c>
      <c r="AE36" t="s" s="0">
        <v>81</v>
      </c>
      <c r="AF36" t="s" s="0">
        <v>81</v>
      </c>
      <c r="AG36" t="s" s="0">
        <v>941</v>
      </c>
      <c r="AH36" t="s" s="0">
        <v>942</v>
      </c>
      <c r="AI36" t="s" s="0">
        <v>81</v>
      </c>
      <c r="AJ36" t="s" s="0">
        <v>81</v>
      </c>
      <c r="AK36" t="s" s="0">
        <v>81</v>
      </c>
      <c r="AL36" t="s" s="0">
        <v>943</v>
      </c>
      <c r="AM36" t="s" s="0">
        <v>77</v>
      </c>
      <c r="AN36" t="s" s="0">
        <v>77</v>
      </c>
      <c r="AO36" t="s" s="0">
        <v>77</v>
      </c>
      <c r="AP36" t="s" s="0">
        <v>77</v>
      </c>
      <c r="AQ36" t="s" s="0">
        <v>836</v>
      </c>
      <c r="AR36" t="s" s="0">
        <v>837</v>
      </c>
      <c r="AS36" t="s" s="0">
        <v>838</v>
      </c>
      <c r="AT36" t="s" s="0">
        <v>944</v>
      </c>
      <c r="AU36" t="s" s="0">
        <v>945</v>
      </c>
      <c r="AV36" t="s" s="0">
        <v>81</v>
      </c>
      <c r="AW36" t="s" s="0">
        <v>946</v>
      </c>
      <c r="AX36" t="s" s="0">
        <v>947</v>
      </c>
      <c r="AY36" t="s" s="0">
        <v>764</v>
      </c>
      <c r="AZ36" t="s" s="0">
        <v>106</v>
      </c>
      <c r="BA36" t="s" s="0">
        <v>948</v>
      </c>
      <c r="BB36" t="s" s="0">
        <v>81</v>
      </c>
      <c r="BC36" t="s" s="0">
        <v>81</v>
      </c>
      <c r="BD36" t="s" s="0">
        <v>81</v>
      </c>
      <c r="BE36" t="s" s="0">
        <v>81</v>
      </c>
      <c r="BF36" t="s" s="0">
        <v>81</v>
      </c>
      <c r="BG36" t="s" s="0">
        <v>81</v>
      </c>
      <c r="BH36" t="s" s="0">
        <v>81</v>
      </c>
      <c r="BI36" t="s" s="0">
        <v>949</v>
      </c>
      <c r="BJ36" t="s" s="0">
        <v>950</v>
      </c>
      <c r="BK36" t="s" s="69">
        <f>HYPERLINK("http://dx.doi.org/10.1016/j.jdent.2026.106944","http://dx.doi.org/10.1016/j.jdent.2026.106944")</f>
        <v>951</v>
      </c>
      <c r="BL36" t="s" s="0">
        <v>81</v>
      </c>
      <c r="BM36" t="s" s="0">
        <v>81</v>
      </c>
      <c r="BN36" t="s" s="0">
        <v>144</v>
      </c>
      <c r="BO36" t="s" s="0">
        <v>952</v>
      </c>
      <c r="BP36" t="s" s="0">
        <v>952</v>
      </c>
      <c r="BQ36" t="s" s="0">
        <v>953</v>
      </c>
      <c r="BR36" t="s" s="0">
        <v>954</v>
      </c>
      <c r="BS36" t="s" s="0">
        <v>955</v>
      </c>
      <c r="BT36" t="s" s="70">
        <f>HYPERLINK("https://www.webofscience.com/wos/woscc/full-record/WOS:001844943100001","View Record in Web of Science")</f>
        <v>118</v>
      </c>
      <c r="BU36" t="s" s="0">
        <v>81</v>
      </c>
      <c r="BV36" t="s" s="0">
        <v>81</v>
      </c>
      <c r="BW36" t="s" s="0">
        <v>81</v>
      </c>
      <c r="BX36" t="s" s="0">
        <v>120</v>
      </c>
    </row>
    <row r="37">
      <c r="A37" t="s" s="0">
        <v>77</v>
      </c>
      <c r="B37" t="s" s="0">
        <v>77</v>
      </c>
      <c r="C37" t="s" s="0">
        <v>77</v>
      </c>
      <c r="D37" t="s" s="0">
        <v>77</v>
      </c>
      <c r="E37" t="s" s="0">
        <v>956</v>
      </c>
      <c r="F37" t="s" s="0">
        <v>957</v>
      </c>
      <c r="G37" t="s" s="0">
        <v>958</v>
      </c>
      <c r="H37" t="s" s="0">
        <v>81</v>
      </c>
      <c r="I37" t="s" s="0">
        <v>82</v>
      </c>
      <c r="J37" t="s" s="0">
        <v>959</v>
      </c>
      <c r="K37" t="s" s="0">
        <v>960</v>
      </c>
      <c r="L37" t="s" s="0">
        <v>81</v>
      </c>
      <c r="M37" t="s" s="0">
        <v>81</v>
      </c>
      <c r="N37" t="s" s="0">
        <v>81</v>
      </c>
      <c r="O37" t="s" s="0">
        <v>961</v>
      </c>
      <c r="P37" t="s" s="0">
        <v>962</v>
      </c>
      <c r="Q37" t="s" s="0">
        <v>90</v>
      </c>
      <c r="R37" t="s" s="0">
        <v>81</v>
      </c>
      <c r="S37" t="s" s="0">
        <v>81</v>
      </c>
      <c r="T37" t="s" s="0">
        <v>81</v>
      </c>
      <c r="U37" t="s" s="0">
        <v>81</v>
      </c>
      <c r="V37" t="s" s="0">
        <v>963</v>
      </c>
      <c r="W37" t="s" s="0">
        <v>964</v>
      </c>
      <c r="X37" t="s" s="0">
        <v>81</v>
      </c>
      <c r="Y37" t="s" s="0">
        <v>81</v>
      </c>
      <c r="Z37" t="s" s="0">
        <v>93</v>
      </c>
      <c r="AA37" t="s" s="0">
        <v>94</v>
      </c>
      <c r="AB37" t="s" s="0">
        <v>81</v>
      </c>
      <c r="AC37" t="s" s="0">
        <v>81</v>
      </c>
      <c r="AD37" t="s" s="0">
        <v>81</v>
      </c>
      <c r="AE37" t="s" s="0">
        <v>81</v>
      </c>
      <c r="AF37" t="s" s="0">
        <v>81</v>
      </c>
      <c r="AG37" t="s" s="0">
        <v>965</v>
      </c>
      <c r="AH37" t="s" s="0">
        <v>966</v>
      </c>
      <c r="AI37" t="s" s="0">
        <v>81</v>
      </c>
      <c r="AJ37" t="s" s="0">
        <v>81</v>
      </c>
      <c r="AK37" t="s" s="0">
        <v>81</v>
      </c>
      <c r="AL37" t="s" s="0">
        <v>967</v>
      </c>
      <c r="AM37" t="s" s="0">
        <v>77</v>
      </c>
      <c r="AN37" t="s" s="0">
        <v>77</v>
      </c>
      <c r="AO37" t="s" s="0">
        <v>108</v>
      </c>
      <c r="AP37" t="s" s="0">
        <v>108</v>
      </c>
      <c r="AQ37" t="s" s="0">
        <v>836</v>
      </c>
      <c r="AR37" t="s" s="0">
        <v>837</v>
      </c>
      <c r="AS37" t="s" s="0">
        <v>838</v>
      </c>
      <c r="AT37" t="s" s="0">
        <v>968</v>
      </c>
      <c r="AU37" t="s" s="0">
        <v>969</v>
      </c>
      <c r="AV37" t="s" s="0">
        <v>81</v>
      </c>
      <c r="AW37" t="s" s="0">
        <v>970</v>
      </c>
      <c r="AX37" t="s" s="0">
        <v>971</v>
      </c>
      <c r="AY37" t="s" s="0">
        <v>764</v>
      </c>
      <c r="AZ37" t="s" s="0">
        <v>106</v>
      </c>
      <c r="BA37" t="s" s="0">
        <v>972</v>
      </c>
      <c r="BB37" t="s" s="0">
        <v>81</v>
      </c>
      <c r="BC37" t="s" s="0">
        <v>81</v>
      </c>
      <c r="BD37" t="s" s="0">
        <v>81</v>
      </c>
      <c r="BE37" t="s" s="0">
        <v>81</v>
      </c>
      <c r="BF37" t="s" s="0">
        <v>81</v>
      </c>
      <c r="BG37" t="s" s="0">
        <v>81</v>
      </c>
      <c r="BH37" t="s" s="0">
        <v>81</v>
      </c>
      <c r="BI37" t="s" s="0">
        <v>973</v>
      </c>
      <c r="BJ37" t="s" s="0">
        <v>974</v>
      </c>
      <c r="BK37" t="s" s="71">
        <f>HYPERLINK("http://dx.doi.org/10.1016/j.compbiolchem.2026.109280","http://dx.doi.org/10.1016/j.compbiolchem.2026.109280")</f>
        <v>975</v>
      </c>
      <c r="BL37" t="s" s="0">
        <v>81</v>
      </c>
      <c r="BM37" t="s" s="0">
        <v>81</v>
      </c>
      <c r="BN37" t="s" s="0">
        <v>253</v>
      </c>
      <c r="BO37" t="s" s="0">
        <v>976</v>
      </c>
      <c r="BP37" t="s" s="0">
        <v>977</v>
      </c>
      <c r="BQ37" t="s" s="0">
        <v>978</v>
      </c>
      <c r="BR37" t="s" s="0">
        <v>979</v>
      </c>
      <c r="BS37" t="s" s="0">
        <v>980</v>
      </c>
      <c r="BT37" t="s" s="72">
        <f>HYPERLINK("https://www.webofscience.com/wos/woscc/full-record/WOS:001843234300001","View Record in Web of Science")</f>
        <v>118</v>
      </c>
      <c r="BU37" t="s" s="0">
        <v>81</v>
      </c>
      <c r="BV37" t="s" s="0">
        <v>81</v>
      </c>
      <c r="BW37" t="s" s="0">
        <v>81</v>
      </c>
      <c r="BX37" t="s" s="0">
        <v>120</v>
      </c>
    </row>
    <row r="38">
      <c r="A38" t="s" s="0">
        <v>77</v>
      </c>
      <c r="B38" t="s" s="0">
        <v>77</v>
      </c>
      <c r="C38" t="s" s="0">
        <v>77</v>
      </c>
      <c r="D38" t="s" s="0">
        <v>77</v>
      </c>
      <c r="E38" t="s" s="0">
        <v>981</v>
      </c>
      <c r="F38" t="s" s="0">
        <v>982</v>
      </c>
      <c r="G38" t="s" s="0">
        <v>983</v>
      </c>
      <c r="H38" t="s" s="0">
        <v>81</v>
      </c>
      <c r="I38" t="s" s="0">
        <v>124</v>
      </c>
      <c r="J38" t="s" s="0">
        <v>984</v>
      </c>
      <c r="K38" t="s" s="0">
        <v>985</v>
      </c>
      <c r="L38" t="s" s="0">
        <v>81</v>
      </c>
      <c r="M38" t="s" s="0">
        <v>81</v>
      </c>
      <c r="N38" t="s" s="0">
        <v>81</v>
      </c>
      <c r="O38" t="s" s="0">
        <v>986</v>
      </c>
      <c r="P38" t="s" s="0">
        <v>987</v>
      </c>
      <c r="Q38" t="s" s="0">
        <v>90</v>
      </c>
      <c r="R38" t="s" s="0">
        <v>81</v>
      </c>
      <c r="S38" t="s" s="0">
        <v>81</v>
      </c>
      <c r="T38" t="s" s="0">
        <v>81</v>
      </c>
      <c r="U38" t="s" s="0">
        <v>81</v>
      </c>
      <c r="V38" t="s" s="0">
        <v>988</v>
      </c>
      <c r="W38" t="s" s="0">
        <v>989</v>
      </c>
      <c r="X38" t="s" s="0">
        <v>81</v>
      </c>
      <c r="Y38" t="s" s="0">
        <v>81</v>
      </c>
      <c r="Z38" t="s" s="0">
        <v>93</v>
      </c>
      <c r="AA38" t="s" s="0">
        <v>94</v>
      </c>
      <c r="AB38" t="s" s="0">
        <v>81</v>
      </c>
      <c r="AC38" t="s" s="0">
        <v>81</v>
      </c>
      <c r="AD38" t="s" s="0">
        <v>81</v>
      </c>
      <c r="AE38" t="s" s="0">
        <v>81</v>
      </c>
      <c r="AF38" t="s" s="0">
        <v>81</v>
      </c>
      <c r="AG38" t="s" s="0">
        <v>990</v>
      </c>
      <c r="AH38" t="s" s="0">
        <v>991</v>
      </c>
      <c r="AI38" t="s" s="0">
        <v>81</v>
      </c>
      <c r="AJ38" t="s" s="0">
        <v>81</v>
      </c>
      <c r="AK38" t="s" s="0">
        <v>81</v>
      </c>
      <c r="AL38" t="s" s="0">
        <v>992</v>
      </c>
      <c r="AM38" t="s" s="0">
        <v>77</v>
      </c>
      <c r="AN38" t="s" s="0">
        <v>77</v>
      </c>
      <c r="AO38" t="s" s="0">
        <v>77</v>
      </c>
      <c r="AP38" t="s" s="0">
        <v>77</v>
      </c>
      <c r="AQ38" t="s" s="0">
        <v>892</v>
      </c>
      <c r="AR38" t="s" s="0">
        <v>893</v>
      </c>
      <c r="AS38" t="s" s="0">
        <v>894</v>
      </c>
      <c r="AT38" t="s" s="0">
        <v>81</v>
      </c>
      <c r="AU38" t="s" s="0">
        <v>993</v>
      </c>
      <c r="AV38" t="s" s="0">
        <v>81</v>
      </c>
      <c r="AW38" t="s" s="0">
        <v>994</v>
      </c>
      <c r="AX38" t="s" s="0">
        <v>995</v>
      </c>
      <c r="AY38" t="s" s="0">
        <v>764</v>
      </c>
      <c r="AZ38" t="s" s="0">
        <v>106</v>
      </c>
      <c r="BA38" t="s" s="0">
        <v>465</v>
      </c>
      <c r="BB38" t="s" s="0">
        <v>81</v>
      </c>
      <c r="BC38" t="s" s="0">
        <v>81</v>
      </c>
      <c r="BD38" t="s" s="0">
        <v>81</v>
      </c>
      <c r="BE38" t="s" s="0">
        <v>81</v>
      </c>
      <c r="BF38" t="s" s="0">
        <v>81</v>
      </c>
      <c r="BG38" t="s" s="0">
        <v>81</v>
      </c>
      <c r="BH38" t="s" s="0">
        <v>81</v>
      </c>
      <c r="BI38" t="s" s="0">
        <v>996</v>
      </c>
      <c r="BJ38" t="s" s="0">
        <v>997</v>
      </c>
      <c r="BK38" t="s" s="73">
        <f>HYPERLINK("http://dx.doi.org/10.1016/j.rineng.2026.112247","http://dx.doi.org/10.1016/j.rineng.2026.112247")</f>
        <v>998</v>
      </c>
      <c r="BL38" t="s" s="0">
        <v>81</v>
      </c>
      <c r="BM38" t="s" s="0">
        <v>81</v>
      </c>
      <c r="BN38" t="s" s="0">
        <v>140</v>
      </c>
      <c r="BO38" t="s" s="0">
        <v>392</v>
      </c>
      <c r="BP38" t="s" s="0">
        <v>393</v>
      </c>
      <c r="BQ38" t="s" s="0">
        <v>999</v>
      </c>
      <c r="BR38" t="s" s="0">
        <v>81</v>
      </c>
      <c r="BS38" t="s" s="0">
        <v>1000</v>
      </c>
      <c r="BT38" t="s" s="74">
        <f>HYPERLINK("https://www.webofscience.com/wos/woscc/full-record/WOS:001840089200001","View Record in Web of Science")</f>
        <v>118</v>
      </c>
      <c r="BU38" t="s" s="0">
        <v>119</v>
      </c>
      <c r="BV38" t="s" s="0">
        <v>81</v>
      </c>
      <c r="BW38" t="s" s="0">
        <v>81</v>
      </c>
      <c r="BX38" t="s" s="0">
        <v>120</v>
      </c>
    </row>
    <row r="39">
      <c r="A39" t="s" s="0">
        <v>77</v>
      </c>
      <c r="B39" t="s" s="0">
        <v>77</v>
      </c>
      <c r="C39" t="s" s="0">
        <v>77</v>
      </c>
      <c r="D39" t="s" s="0">
        <v>77</v>
      </c>
      <c r="E39" t="s" s="0">
        <v>1001</v>
      </c>
      <c r="F39" t="s" s="0">
        <v>1002</v>
      </c>
      <c r="G39" t="s" s="0">
        <v>1003</v>
      </c>
      <c r="H39" t="s" s="0">
        <v>81</v>
      </c>
      <c r="I39" t="s" s="0">
        <v>1004</v>
      </c>
      <c r="J39" t="s" s="0">
        <v>1005</v>
      </c>
      <c r="K39" t="s" s="0">
        <v>1006</v>
      </c>
      <c r="L39" t="s" s="0">
        <v>1007</v>
      </c>
      <c r="M39" t="s" s="0">
        <v>1008</v>
      </c>
      <c r="N39" t="s" s="0">
        <v>1009</v>
      </c>
      <c r="O39" t="s" s="0">
        <v>1010</v>
      </c>
      <c r="P39" t="s" s="0">
        <v>1011</v>
      </c>
      <c r="Q39" t="s" s="0">
        <v>90</v>
      </c>
      <c r="R39" t="s" s="0">
        <v>81</v>
      </c>
      <c r="S39" t="s" s="0">
        <v>81</v>
      </c>
      <c r="T39" t="s" s="0">
        <v>81</v>
      </c>
      <c r="U39" t="s" s="0">
        <v>81</v>
      </c>
      <c r="V39" t="s" s="0">
        <v>1012</v>
      </c>
      <c r="W39" t="s" s="0">
        <v>1013</v>
      </c>
      <c r="X39" t="s" s="0">
        <v>81</v>
      </c>
      <c r="Y39" t="s" s="0">
        <v>81</v>
      </c>
      <c r="Z39" t="s" s="0">
        <v>93</v>
      </c>
      <c r="AA39" t="s" s="0">
        <v>94</v>
      </c>
      <c r="AB39" t="s" s="0">
        <v>81</v>
      </c>
      <c r="AC39" t="s" s="0">
        <v>81</v>
      </c>
      <c r="AD39" t="s" s="0">
        <v>81</v>
      </c>
      <c r="AE39" t="s" s="0">
        <v>81</v>
      </c>
      <c r="AF39" t="s" s="0">
        <v>81</v>
      </c>
      <c r="AG39" t="s" s="0">
        <v>1014</v>
      </c>
      <c r="AH39" t="s" s="0">
        <v>1015</v>
      </c>
      <c r="AI39" t="s" s="0">
        <v>81</v>
      </c>
      <c r="AJ39" t="s" s="0">
        <v>81</v>
      </c>
      <c r="AK39" t="s" s="0">
        <v>81</v>
      </c>
      <c r="AL39" t="s" s="0">
        <v>1016</v>
      </c>
      <c r="AM39" t="s" s="0">
        <v>77</v>
      </c>
      <c r="AN39" t="s" s="0">
        <v>77</v>
      </c>
      <c r="AO39" t="s" s="0">
        <v>77</v>
      </c>
      <c r="AP39" t="s" s="0">
        <v>77</v>
      </c>
      <c r="AQ39" t="s" s="0">
        <v>1017</v>
      </c>
      <c r="AR39" t="s" s="0">
        <v>1018</v>
      </c>
      <c r="AS39" t="s" s="0">
        <v>1019</v>
      </c>
      <c r="AT39" t="s" s="0">
        <v>1020</v>
      </c>
      <c r="AU39" t="s" s="0">
        <v>1021</v>
      </c>
      <c r="AV39" t="s" s="0">
        <v>81</v>
      </c>
      <c r="AW39" t="s" s="0">
        <v>1022</v>
      </c>
      <c r="AX39" t="s" s="0">
        <v>1023</v>
      </c>
      <c r="AY39" t="s" s="0">
        <v>764</v>
      </c>
      <c r="AZ39" t="s" s="0">
        <v>106</v>
      </c>
      <c r="BA39" t="s" s="0">
        <v>1024</v>
      </c>
      <c r="BB39" t="s" s="0">
        <v>81</v>
      </c>
      <c r="BC39" t="s" s="0">
        <v>81</v>
      </c>
      <c r="BD39" t="s" s="0">
        <v>81</v>
      </c>
      <c r="BE39" t="s" s="0">
        <v>81</v>
      </c>
      <c r="BF39" t="s" s="0">
        <v>81</v>
      </c>
      <c r="BG39" t="s" s="0">
        <v>81</v>
      </c>
      <c r="BH39" t="s" s="0">
        <v>81</v>
      </c>
      <c r="BI39" t="s" s="0">
        <v>1025</v>
      </c>
      <c r="BJ39" t="s" s="0">
        <v>1026</v>
      </c>
      <c r="BK39" t="s" s="75">
        <f>HYPERLINK("http://dx.doi.org/10.1016/j.nedt.2026.107299","http://dx.doi.org/10.1016/j.nedt.2026.107299")</f>
        <v>1027</v>
      </c>
      <c r="BL39" t="s" s="0">
        <v>81</v>
      </c>
      <c r="BM39" t="s" s="0">
        <v>81</v>
      </c>
      <c r="BN39" t="s" s="0">
        <v>438</v>
      </c>
      <c r="BO39" t="s" s="0">
        <v>1028</v>
      </c>
      <c r="BP39" t="s" s="0">
        <v>1029</v>
      </c>
      <c r="BQ39" t="s" s="0">
        <v>1030</v>
      </c>
      <c r="BR39" t="s" s="0">
        <v>1031</v>
      </c>
      <c r="BS39" t="s" s="0">
        <v>1032</v>
      </c>
      <c r="BT39" t="s" s="76">
        <f>HYPERLINK("https://www.webofscience.com/wos/woscc/full-record/WOS:001837448100001","View Record in Web of Science")</f>
        <v>118</v>
      </c>
      <c r="BU39" t="s" s="0">
        <v>877</v>
      </c>
      <c r="BV39" t="s" s="0">
        <v>81</v>
      </c>
      <c r="BW39" t="s" s="0">
        <v>81</v>
      </c>
      <c r="BX39" t="s" s="0">
        <v>120</v>
      </c>
    </row>
    <row r="40">
      <c r="A40" t="s" s="0">
        <v>77</v>
      </c>
      <c r="B40" t="s" s="0">
        <v>77</v>
      </c>
      <c r="C40" t="s" s="0">
        <v>77</v>
      </c>
      <c r="D40" t="s" s="0">
        <v>77</v>
      </c>
      <c r="E40" t="s" s="0">
        <v>1033</v>
      </c>
      <c r="F40" t="s" s="0">
        <v>1034</v>
      </c>
      <c r="G40" t="s" s="0">
        <v>1035</v>
      </c>
      <c r="H40" t="s" s="0">
        <v>81</v>
      </c>
      <c r="I40" t="s" s="0">
        <v>124</v>
      </c>
      <c r="J40" t="s" s="0">
        <v>1036</v>
      </c>
      <c r="K40" t="s" s="0">
        <v>1037</v>
      </c>
      <c r="L40" t="s" s="0">
        <v>81</v>
      </c>
      <c r="M40" t="s" s="0">
        <v>81</v>
      </c>
      <c r="N40" t="s" s="0">
        <v>81</v>
      </c>
      <c r="O40" t="s" s="0">
        <v>1038</v>
      </c>
      <c r="P40" t="s" s="0">
        <v>1039</v>
      </c>
      <c r="Q40" t="s" s="0">
        <v>90</v>
      </c>
      <c r="R40" t="s" s="0">
        <v>81</v>
      </c>
      <c r="S40" t="s" s="0">
        <v>81</v>
      </c>
      <c r="T40" t="s" s="0">
        <v>81</v>
      </c>
      <c r="U40" t="s" s="0">
        <v>81</v>
      </c>
      <c r="V40" t="s" s="0">
        <v>1040</v>
      </c>
      <c r="W40" t="s" s="0">
        <v>989</v>
      </c>
      <c r="X40" t="s" s="0">
        <v>81</v>
      </c>
      <c r="Y40" t="s" s="0">
        <v>81</v>
      </c>
      <c r="Z40" t="s" s="0">
        <v>93</v>
      </c>
      <c r="AA40" t="s" s="0">
        <v>94</v>
      </c>
      <c r="AB40" t="s" s="0">
        <v>81</v>
      </c>
      <c r="AC40" t="s" s="0">
        <v>81</v>
      </c>
      <c r="AD40" t="s" s="0">
        <v>81</v>
      </c>
      <c r="AE40" t="s" s="0">
        <v>81</v>
      </c>
      <c r="AF40" t="s" s="0">
        <v>81</v>
      </c>
      <c r="AG40" t="s" s="0">
        <v>1041</v>
      </c>
      <c r="AH40" t="s" s="0">
        <v>1042</v>
      </c>
      <c r="AI40" t="s" s="0">
        <v>81</v>
      </c>
      <c r="AJ40" t="s" s="0">
        <v>81</v>
      </c>
      <c r="AK40" t="s" s="0">
        <v>81</v>
      </c>
      <c r="AL40" t="s" s="0">
        <v>1043</v>
      </c>
      <c r="AM40" t="s" s="0">
        <v>77</v>
      </c>
      <c r="AN40" t="s" s="0">
        <v>77</v>
      </c>
      <c r="AO40" t="s" s="0">
        <v>77</v>
      </c>
      <c r="AP40" t="s" s="0">
        <v>77</v>
      </c>
      <c r="AQ40" t="s" s="0">
        <v>892</v>
      </c>
      <c r="AR40" t="s" s="0">
        <v>893</v>
      </c>
      <c r="AS40" t="s" s="0">
        <v>894</v>
      </c>
      <c r="AT40" t="s" s="0">
        <v>81</v>
      </c>
      <c r="AU40" t="s" s="0">
        <v>993</v>
      </c>
      <c r="AV40" t="s" s="0">
        <v>81</v>
      </c>
      <c r="AW40" t="s" s="0">
        <v>994</v>
      </c>
      <c r="AX40" t="s" s="0">
        <v>995</v>
      </c>
      <c r="AY40" t="s" s="0">
        <v>764</v>
      </c>
      <c r="AZ40" t="s" s="0">
        <v>106</v>
      </c>
      <c r="BA40" t="s" s="0">
        <v>465</v>
      </c>
      <c r="BB40" t="s" s="0">
        <v>81</v>
      </c>
      <c r="BC40" t="s" s="0">
        <v>81</v>
      </c>
      <c r="BD40" t="s" s="0">
        <v>81</v>
      </c>
      <c r="BE40" t="s" s="0">
        <v>81</v>
      </c>
      <c r="BF40" t="s" s="0">
        <v>81</v>
      </c>
      <c r="BG40" t="s" s="0">
        <v>81</v>
      </c>
      <c r="BH40" t="s" s="0">
        <v>81</v>
      </c>
      <c r="BI40" t="s" s="0">
        <v>1044</v>
      </c>
      <c r="BJ40" t="s" s="0">
        <v>1045</v>
      </c>
      <c r="BK40" t="s" s="77">
        <f>HYPERLINK("http://dx.doi.org/10.1016/j.rineng.2026.112050","http://dx.doi.org/10.1016/j.rineng.2026.112050")</f>
        <v>1046</v>
      </c>
      <c r="BL40" t="s" s="0">
        <v>81</v>
      </c>
      <c r="BM40" t="s" s="0">
        <v>81</v>
      </c>
      <c r="BN40" t="s" s="0">
        <v>668</v>
      </c>
      <c r="BO40" t="s" s="0">
        <v>392</v>
      </c>
      <c r="BP40" t="s" s="0">
        <v>393</v>
      </c>
      <c r="BQ40" t="s" s="0">
        <v>1047</v>
      </c>
      <c r="BR40" t="s" s="0">
        <v>81</v>
      </c>
      <c r="BS40" t="s" s="0">
        <v>1048</v>
      </c>
      <c r="BT40" t="s" s="78">
        <f>HYPERLINK("https://www.webofscience.com/wos/woscc/full-record/WOS:001838793400001","View Record in Web of Science")</f>
        <v>118</v>
      </c>
      <c r="BU40" t="s" s="0">
        <v>119</v>
      </c>
      <c r="BV40" t="s" s="0">
        <v>81</v>
      </c>
      <c r="BW40" t="s" s="0">
        <v>81</v>
      </c>
      <c r="BX40" t="s" s="0">
        <v>120</v>
      </c>
    </row>
    <row r="41">
      <c r="A41" t="s" s="0">
        <v>77</v>
      </c>
      <c r="B41" t="s" s="0">
        <v>77</v>
      </c>
      <c r="C41" t="s" s="0">
        <v>77</v>
      </c>
      <c r="D41" t="s" s="0">
        <v>77</v>
      </c>
      <c r="E41" t="s" s="0">
        <v>1049</v>
      </c>
      <c r="F41" t="s" s="0">
        <v>1050</v>
      </c>
      <c r="G41" t="s" s="0">
        <v>1051</v>
      </c>
      <c r="H41" t="s" s="0">
        <v>81</v>
      </c>
      <c r="I41" t="s" s="0">
        <v>124</v>
      </c>
      <c r="J41" t="s" s="0">
        <v>1052</v>
      </c>
      <c r="K41" t="s" s="0">
        <v>1053</v>
      </c>
      <c r="L41" t="s" s="0">
        <v>81</v>
      </c>
      <c r="M41" t="s" s="0">
        <v>81</v>
      </c>
      <c r="N41" t="s" s="0">
        <v>81</v>
      </c>
      <c r="O41" t="s" s="0">
        <v>1054</v>
      </c>
      <c r="P41" t="s" s="0">
        <v>1055</v>
      </c>
      <c r="Q41" t="s" s="0">
        <v>90</v>
      </c>
      <c r="R41" t="s" s="0">
        <v>81</v>
      </c>
      <c r="S41" t="s" s="0">
        <v>81</v>
      </c>
      <c r="T41" t="s" s="0">
        <v>81</v>
      </c>
      <c r="U41" t="s" s="0">
        <v>81</v>
      </c>
      <c r="V41" t="s" s="0">
        <v>1056</v>
      </c>
      <c r="W41" t="s" s="0">
        <v>1057</v>
      </c>
      <c r="X41" t="s" s="0">
        <v>81</v>
      </c>
      <c r="Y41" t="s" s="0">
        <v>81</v>
      </c>
      <c r="Z41" t="s" s="0">
        <v>93</v>
      </c>
      <c r="AA41" t="s" s="0">
        <v>94</v>
      </c>
      <c r="AB41" t="s" s="0">
        <v>81</v>
      </c>
      <c r="AC41" t="s" s="0">
        <v>81</v>
      </c>
      <c r="AD41" t="s" s="0">
        <v>81</v>
      </c>
      <c r="AE41" t="s" s="0">
        <v>81</v>
      </c>
      <c r="AF41" t="s" s="0">
        <v>81</v>
      </c>
      <c r="AG41" t="s" s="0">
        <v>1058</v>
      </c>
      <c r="AH41" t="s" s="0">
        <v>1059</v>
      </c>
      <c r="AI41" t="s" s="0">
        <v>1060</v>
      </c>
      <c r="AJ41" t="s" s="0">
        <v>81</v>
      </c>
      <c r="AK41" t="s" s="0">
        <v>81</v>
      </c>
      <c r="AL41" t="s" s="0">
        <v>1061</v>
      </c>
      <c r="AM41" t="s" s="0">
        <v>77</v>
      </c>
      <c r="AN41" t="s" s="0">
        <v>77</v>
      </c>
      <c r="AO41" t="s" s="0">
        <v>108</v>
      </c>
      <c r="AP41" t="s" s="0">
        <v>108</v>
      </c>
      <c r="AQ41" t="s" s="0">
        <v>892</v>
      </c>
      <c r="AR41" t="s" s="0">
        <v>893</v>
      </c>
      <c r="AS41" t="s" s="0">
        <v>894</v>
      </c>
      <c r="AT41" t="s" s="0">
        <v>81</v>
      </c>
      <c r="AU41" t="s" s="0">
        <v>1062</v>
      </c>
      <c r="AV41" t="s" s="0">
        <v>81</v>
      </c>
      <c r="AW41" t="s" s="0">
        <v>1063</v>
      </c>
      <c r="AX41" t="s" s="0">
        <v>1064</v>
      </c>
      <c r="AY41" t="s" s="0">
        <v>764</v>
      </c>
      <c r="AZ41" t="s" s="0">
        <v>106</v>
      </c>
      <c r="BA41" t="s" s="0">
        <v>511</v>
      </c>
      <c r="BB41" t="s" s="0">
        <v>81</v>
      </c>
      <c r="BC41" t="s" s="0">
        <v>81</v>
      </c>
      <c r="BD41" t="s" s="0">
        <v>81</v>
      </c>
      <c r="BE41" t="s" s="0">
        <v>81</v>
      </c>
      <c r="BF41" t="s" s="0">
        <v>81</v>
      </c>
      <c r="BG41" t="s" s="0">
        <v>81</v>
      </c>
      <c r="BH41" t="s" s="0">
        <v>81</v>
      </c>
      <c r="BI41" t="s" s="0">
        <v>1065</v>
      </c>
      <c r="BJ41" t="s" s="0">
        <v>1066</v>
      </c>
      <c r="BK41" t="s" s="79">
        <f>HYPERLINK("http://dx.doi.org/10.1016/j.nxnano.2026.100626","http://dx.doi.org/10.1016/j.nxnano.2026.100626")</f>
        <v>1067</v>
      </c>
      <c r="BL41" t="s" s="0">
        <v>81</v>
      </c>
      <c r="BM41" t="s" s="0">
        <v>81</v>
      </c>
      <c r="BN41" t="s" s="0">
        <v>442</v>
      </c>
      <c r="BO41" t="s" s="0">
        <v>1068</v>
      </c>
      <c r="BP41" t="s" s="0">
        <v>1069</v>
      </c>
      <c r="BQ41" t="s" s="0">
        <v>1070</v>
      </c>
      <c r="BR41" t="s" s="0">
        <v>81</v>
      </c>
      <c r="BS41" t="s" s="0">
        <v>1071</v>
      </c>
      <c r="BT41" t="s" s="80">
        <f>HYPERLINK("https://www.webofscience.com/wos/woscc/full-record/WOS:001834088200001","View Record in Web of Science")</f>
        <v>118</v>
      </c>
      <c r="BU41" t="s" s="0">
        <v>119</v>
      </c>
      <c r="BV41" t="s" s="0">
        <v>81</v>
      </c>
      <c r="BW41" t="s" s="0">
        <v>81</v>
      </c>
      <c r="BX41" t="s" s="0">
        <v>120</v>
      </c>
    </row>
    <row r="42">
      <c r="A42" t="s" s="0">
        <v>77</v>
      </c>
      <c r="B42" t="s" s="0">
        <v>77</v>
      </c>
      <c r="C42" t="s" s="0">
        <v>77</v>
      </c>
      <c r="D42" t="s" s="0">
        <v>77</v>
      </c>
      <c r="E42" t="s" s="0">
        <v>1072</v>
      </c>
      <c r="F42" t="s" s="0">
        <v>1073</v>
      </c>
      <c r="G42" t="s" s="0">
        <v>1074</v>
      </c>
      <c r="H42" t="s" s="0">
        <v>81</v>
      </c>
      <c r="I42" t="s" s="0">
        <v>124</v>
      </c>
      <c r="J42" t="s" s="0">
        <v>1075</v>
      </c>
      <c r="K42" t="s" s="0">
        <v>1076</v>
      </c>
      <c r="L42" t="s" s="0">
        <v>1077</v>
      </c>
      <c r="M42" t="s" s="0">
        <v>1077</v>
      </c>
      <c r="N42" t="s" s="0">
        <v>1078</v>
      </c>
      <c r="O42" t="s" s="0">
        <v>1079</v>
      </c>
      <c r="P42" t="s" s="0">
        <v>1080</v>
      </c>
      <c r="Q42" t="s" s="0">
        <v>90</v>
      </c>
      <c r="R42" t="s" s="0">
        <v>81</v>
      </c>
      <c r="S42" t="s" s="0">
        <v>81</v>
      </c>
      <c r="T42" t="s" s="0">
        <v>81</v>
      </c>
      <c r="U42" t="s" s="0">
        <v>81</v>
      </c>
      <c r="V42" t="s" s="0">
        <v>1081</v>
      </c>
      <c r="W42" t="s" s="0">
        <v>1057</v>
      </c>
      <c r="X42" t="s" s="0">
        <v>81</v>
      </c>
      <c r="Y42" t="s" s="0">
        <v>81</v>
      </c>
      <c r="Z42" t="s" s="0">
        <v>93</v>
      </c>
      <c r="AA42" t="s" s="0">
        <v>94</v>
      </c>
      <c r="AB42" t="s" s="0">
        <v>81</v>
      </c>
      <c r="AC42" t="s" s="0">
        <v>81</v>
      </c>
      <c r="AD42" t="s" s="0">
        <v>81</v>
      </c>
      <c r="AE42" t="s" s="0">
        <v>81</v>
      </c>
      <c r="AF42" t="s" s="0">
        <v>81</v>
      </c>
      <c r="AG42" t="s" s="0">
        <v>1082</v>
      </c>
      <c r="AH42" t="s" s="0">
        <v>1083</v>
      </c>
      <c r="AI42" t="s" s="0">
        <v>1084</v>
      </c>
      <c r="AJ42" t="s" s="0">
        <v>81</v>
      </c>
      <c r="AK42" t="s" s="0">
        <v>81</v>
      </c>
      <c r="AL42" t="s" s="0">
        <v>1085</v>
      </c>
      <c r="AM42" t="s" s="0">
        <v>77</v>
      </c>
      <c r="AN42" t="s" s="0">
        <v>77</v>
      </c>
      <c r="AO42" t="s" s="0">
        <v>77</v>
      </c>
      <c r="AP42" t="s" s="0">
        <v>77</v>
      </c>
      <c r="AQ42" t="s" s="0">
        <v>892</v>
      </c>
      <c r="AR42" t="s" s="0">
        <v>893</v>
      </c>
      <c r="AS42" t="s" s="0">
        <v>894</v>
      </c>
      <c r="AT42" t="s" s="0">
        <v>81</v>
      </c>
      <c r="AU42" t="s" s="0">
        <v>1062</v>
      </c>
      <c r="AV42" t="s" s="0">
        <v>81</v>
      </c>
      <c r="AW42" t="s" s="0">
        <v>1063</v>
      </c>
      <c r="AX42" t="s" s="0">
        <v>1064</v>
      </c>
      <c r="AY42" t="s" s="0">
        <v>764</v>
      </c>
      <c r="AZ42" t="s" s="0">
        <v>106</v>
      </c>
      <c r="BA42" t="s" s="0">
        <v>511</v>
      </c>
      <c r="BB42" t="s" s="0">
        <v>81</v>
      </c>
      <c r="BC42" t="s" s="0">
        <v>81</v>
      </c>
      <c r="BD42" t="s" s="0">
        <v>81</v>
      </c>
      <c r="BE42" t="s" s="0">
        <v>81</v>
      </c>
      <c r="BF42" t="s" s="0">
        <v>81</v>
      </c>
      <c r="BG42" t="s" s="0">
        <v>81</v>
      </c>
      <c r="BH42" t="s" s="0">
        <v>81</v>
      </c>
      <c r="BI42" t="s" s="0">
        <v>1086</v>
      </c>
      <c r="BJ42" t="s" s="0">
        <v>1087</v>
      </c>
      <c r="BK42" t="s" s="81">
        <f>HYPERLINK("http://dx.doi.org/10.1016/j.nxnano.2026.100618","http://dx.doi.org/10.1016/j.nxnano.2026.100618")</f>
        <v>1088</v>
      </c>
      <c r="BL42" t="s" s="0">
        <v>81</v>
      </c>
      <c r="BM42" t="s" s="0">
        <v>81</v>
      </c>
      <c r="BN42" t="s" s="0">
        <v>225</v>
      </c>
      <c r="BO42" t="s" s="0">
        <v>1068</v>
      </c>
      <c r="BP42" t="s" s="0">
        <v>1069</v>
      </c>
      <c r="BQ42" t="s" s="0">
        <v>1089</v>
      </c>
      <c r="BR42" t="s" s="0">
        <v>81</v>
      </c>
      <c r="BS42" t="s" s="0">
        <v>1090</v>
      </c>
      <c r="BT42" t="s" s="82">
        <f>HYPERLINK("https://www.webofscience.com/wos/woscc/full-record/WOS:001827629800001","View Record in Web of Science")</f>
        <v>118</v>
      </c>
      <c r="BU42" t="s" s="0">
        <v>119</v>
      </c>
      <c r="BV42" t="s" s="0">
        <v>81</v>
      </c>
      <c r="BW42" t="s" s="0">
        <v>81</v>
      </c>
      <c r="BX42" t="s" s="0">
        <v>120</v>
      </c>
    </row>
    <row r="43">
      <c r="A43" t="s" s="0">
        <v>77</v>
      </c>
      <c r="B43" t="s" s="0">
        <v>77</v>
      </c>
      <c r="C43" t="s" s="0">
        <v>77</v>
      </c>
      <c r="D43" t="s" s="0">
        <v>77</v>
      </c>
      <c r="E43" t="s" s="0">
        <v>1091</v>
      </c>
      <c r="F43" t="s" s="0">
        <v>1092</v>
      </c>
      <c r="G43" t="s" s="0">
        <v>1093</v>
      </c>
      <c r="H43" t="s" s="0">
        <v>81</v>
      </c>
      <c r="I43" t="s" s="0">
        <v>82</v>
      </c>
      <c r="J43" t="s" s="0">
        <v>1094</v>
      </c>
      <c r="K43" t="s" s="0">
        <v>1095</v>
      </c>
      <c r="L43" t="s" s="0">
        <v>81</v>
      </c>
      <c r="M43" t="s" s="0">
        <v>81</v>
      </c>
      <c r="N43" t="s" s="0">
        <v>81</v>
      </c>
      <c r="O43" t="s" s="0">
        <v>1096</v>
      </c>
      <c r="P43" t="s" s="0">
        <v>1097</v>
      </c>
      <c r="Q43" t="s" s="0">
        <v>90</v>
      </c>
      <c r="R43" t="s" s="0">
        <v>81</v>
      </c>
      <c r="S43" t="s" s="0">
        <v>81</v>
      </c>
      <c r="T43" t="s" s="0">
        <v>81</v>
      </c>
      <c r="U43" t="s" s="0">
        <v>81</v>
      </c>
      <c r="V43" t="s" s="0">
        <v>1098</v>
      </c>
      <c r="W43" t="s" s="0">
        <v>1099</v>
      </c>
      <c r="X43" t="s" s="0">
        <v>81</v>
      </c>
      <c r="Y43" t="s" s="0">
        <v>81</v>
      </c>
      <c r="Z43" t="s" s="0">
        <v>93</v>
      </c>
      <c r="AA43" t="s" s="0">
        <v>94</v>
      </c>
      <c r="AB43" t="s" s="0">
        <v>81</v>
      </c>
      <c r="AC43" t="s" s="0">
        <v>81</v>
      </c>
      <c r="AD43" t="s" s="0">
        <v>81</v>
      </c>
      <c r="AE43" t="s" s="0">
        <v>81</v>
      </c>
      <c r="AF43" t="s" s="0">
        <v>81</v>
      </c>
      <c r="AG43" t="s" s="0">
        <v>1100</v>
      </c>
      <c r="AH43" t="s" s="0">
        <v>1101</v>
      </c>
      <c r="AI43" t="s" s="0">
        <v>1102</v>
      </c>
      <c r="AJ43" t="s" s="0">
        <v>81</v>
      </c>
      <c r="AK43" t="s" s="0">
        <v>81</v>
      </c>
      <c r="AL43" t="s" s="0">
        <v>489</v>
      </c>
      <c r="AM43" t="s" s="0">
        <v>77</v>
      </c>
      <c r="AN43" t="s" s="0">
        <v>77</v>
      </c>
      <c r="AO43" t="s" s="0">
        <v>77</v>
      </c>
      <c r="AP43" t="s" s="0">
        <v>77</v>
      </c>
      <c r="AQ43" t="s" s="0">
        <v>1103</v>
      </c>
      <c r="AR43" t="s" s="0">
        <v>1104</v>
      </c>
      <c r="AS43" t="s" s="0">
        <v>1105</v>
      </c>
      <c r="AT43" t="s" s="0">
        <v>1106</v>
      </c>
      <c r="AU43" t="s" s="0">
        <v>81</v>
      </c>
      <c r="AV43" t="s" s="0">
        <v>81</v>
      </c>
      <c r="AW43" t="s" s="0">
        <v>1107</v>
      </c>
      <c r="AX43" t="s" s="0">
        <v>1108</v>
      </c>
      <c r="AY43" t="s" s="0">
        <v>764</v>
      </c>
      <c r="AZ43" t="s" s="0">
        <v>106</v>
      </c>
      <c r="BA43" t="s" s="0">
        <v>274</v>
      </c>
      <c r="BB43" t="s" s="0">
        <v>596</v>
      </c>
      <c r="BC43" t="s" s="0">
        <v>81</v>
      </c>
      <c r="BD43" t="s" s="0">
        <v>81</v>
      </c>
      <c r="BE43" t="s" s="0">
        <v>81</v>
      </c>
      <c r="BF43" t="s" s="0">
        <v>81</v>
      </c>
      <c r="BG43" t="s" s="0">
        <v>81</v>
      </c>
      <c r="BH43" t="s" s="0">
        <v>81</v>
      </c>
      <c r="BI43" t="s" s="0">
        <v>1109</v>
      </c>
      <c r="BJ43" t="s" s="0">
        <v>1110</v>
      </c>
      <c r="BK43" t="s" s="83">
        <f>HYPERLINK("http://dx.doi.org/10.1016/j.trre.2026.101041","http://dx.doi.org/10.1016/j.trre.2026.101041")</f>
        <v>1111</v>
      </c>
      <c r="BL43" t="s" s="0">
        <v>81</v>
      </c>
      <c r="BM43" t="s" s="0">
        <v>81</v>
      </c>
      <c r="BN43" t="s" s="0">
        <v>511</v>
      </c>
      <c r="BO43" t="s" s="0">
        <v>1112</v>
      </c>
      <c r="BP43" t="s" s="0">
        <v>1112</v>
      </c>
      <c r="BQ43" t="s" s="0">
        <v>1113</v>
      </c>
      <c r="BR43" t="s" s="0">
        <v>1114</v>
      </c>
      <c r="BS43" t="s" s="0">
        <v>1115</v>
      </c>
      <c r="BT43" t="s" s="84">
        <f>HYPERLINK("https://www.webofscience.com/wos/woscc/full-record/WOS:001828050400001","View Record in Web of Science")</f>
        <v>118</v>
      </c>
      <c r="BU43" t="s" s="0">
        <v>877</v>
      </c>
      <c r="BV43" t="s" s="0">
        <v>81</v>
      </c>
      <c r="BW43" t="s" s="0">
        <v>81</v>
      </c>
      <c r="BX43" t="s" s="0">
        <v>120</v>
      </c>
    </row>
    <row r="44">
      <c r="A44" t="s" s="0">
        <v>77</v>
      </c>
      <c r="B44" t="s" s="0">
        <v>77</v>
      </c>
      <c r="C44" t="s" s="0">
        <v>77</v>
      </c>
      <c r="D44" t="s" s="0">
        <v>77</v>
      </c>
      <c r="E44" t="s" s="0">
        <v>1116</v>
      </c>
      <c r="F44" t="s" s="0">
        <v>1117</v>
      </c>
      <c r="G44" t="s" s="0">
        <v>1118</v>
      </c>
      <c r="H44" t="s" s="0">
        <v>81</v>
      </c>
      <c r="I44" t="s" s="0">
        <v>124</v>
      </c>
      <c r="J44" t="s" s="0">
        <v>1119</v>
      </c>
      <c r="K44" t="s" s="0">
        <v>1120</v>
      </c>
      <c r="L44" t="s" s="0">
        <v>81</v>
      </c>
      <c r="M44" t="s" s="0">
        <v>81</v>
      </c>
      <c r="N44" t="s" s="0">
        <v>81</v>
      </c>
      <c r="O44" t="s" s="0">
        <v>1121</v>
      </c>
      <c r="P44" t="s" s="0">
        <v>1122</v>
      </c>
      <c r="Q44" t="s" s="0">
        <v>90</v>
      </c>
      <c r="R44" t="s" s="0">
        <v>81</v>
      </c>
      <c r="S44" t="s" s="0">
        <v>81</v>
      </c>
      <c r="T44" t="s" s="0">
        <v>81</v>
      </c>
      <c r="U44" t="s" s="0">
        <v>81</v>
      </c>
      <c r="V44" t="s" s="0">
        <v>1123</v>
      </c>
      <c r="W44" t="s" s="0">
        <v>1124</v>
      </c>
      <c r="X44" t="s" s="0">
        <v>81</v>
      </c>
      <c r="Y44" t="s" s="0">
        <v>81</v>
      </c>
      <c r="Z44" t="s" s="0">
        <v>93</v>
      </c>
      <c r="AA44" t="s" s="0">
        <v>94</v>
      </c>
      <c r="AB44" t="s" s="0">
        <v>81</v>
      </c>
      <c r="AC44" t="s" s="0">
        <v>81</v>
      </c>
      <c r="AD44" t="s" s="0">
        <v>81</v>
      </c>
      <c r="AE44" t="s" s="0">
        <v>81</v>
      </c>
      <c r="AF44" t="s" s="0">
        <v>81</v>
      </c>
      <c r="AG44" t="s" s="0">
        <v>1125</v>
      </c>
      <c r="AH44" t="s" s="0">
        <v>1126</v>
      </c>
      <c r="AI44" t="s" s="0">
        <v>1127</v>
      </c>
      <c r="AJ44" t="s" s="0">
        <v>1128</v>
      </c>
      <c r="AK44" t="s" s="0">
        <v>81</v>
      </c>
      <c r="AL44" t="s" s="0">
        <v>391</v>
      </c>
      <c r="AM44" t="s" s="0">
        <v>77</v>
      </c>
      <c r="AN44" t="s" s="0">
        <v>77</v>
      </c>
      <c r="AO44" t="s" s="0">
        <v>77</v>
      </c>
      <c r="AP44" t="s" s="0">
        <v>77</v>
      </c>
      <c r="AQ44" t="s" s="0">
        <v>1129</v>
      </c>
      <c r="AR44" t="s" s="0">
        <v>1130</v>
      </c>
      <c r="AS44" t="s" s="0">
        <v>1131</v>
      </c>
      <c r="AT44" t="s" s="0">
        <v>1132</v>
      </c>
      <c r="AU44" t="s" s="0">
        <v>1133</v>
      </c>
      <c r="AV44" t="s" s="0">
        <v>81</v>
      </c>
      <c r="AW44" t="s" s="0">
        <v>1134</v>
      </c>
      <c r="AX44" t="s" s="0">
        <v>1135</v>
      </c>
      <c r="AY44" t="s" s="0">
        <v>764</v>
      </c>
      <c r="AZ44" t="s" s="0">
        <v>106</v>
      </c>
      <c r="BA44" t="s" s="0">
        <v>493</v>
      </c>
      <c r="BB44" t="s" s="0">
        <v>596</v>
      </c>
      <c r="BC44" t="s" s="0">
        <v>81</v>
      </c>
      <c r="BD44" t="s" s="0">
        <v>81</v>
      </c>
      <c r="BE44" t="s" s="0">
        <v>81</v>
      </c>
      <c r="BF44" t="s" s="0">
        <v>81</v>
      </c>
      <c r="BG44" t="s" s="0">
        <v>81</v>
      </c>
      <c r="BH44" t="s" s="0">
        <v>81</v>
      </c>
      <c r="BI44" t="s" s="0">
        <v>1136</v>
      </c>
      <c r="BJ44" t="s" s="0">
        <v>1137</v>
      </c>
      <c r="BK44" t="s" s="85">
        <f>HYPERLINK("http://dx.doi.org/10.1016/j.ortho.2026.101211","http://dx.doi.org/10.1016/j.ortho.2026.101211")</f>
        <v>1138</v>
      </c>
      <c r="BL44" t="s" s="0">
        <v>81</v>
      </c>
      <c r="BM44" t="s" s="0">
        <v>81</v>
      </c>
      <c r="BN44" t="s" s="0">
        <v>413</v>
      </c>
      <c r="BO44" t="s" s="0">
        <v>952</v>
      </c>
      <c r="BP44" t="s" s="0">
        <v>952</v>
      </c>
      <c r="BQ44" t="s" s="0">
        <v>1139</v>
      </c>
      <c r="BR44" t="s" s="0">
        <v>1140</v>
      </c>
      <c r="BS44" t="s" s="0">
        <v>1141</v>
      </c>
      <c r="BT44" t="s" s="86">
        <f>HYPERLINK("https://www.webofscience.com/wos/woscc/full-record/WOS:001825254800001","View Record in Web of Science")</f>
        <v>118</v>
      </c>
      <c r="BU44" t="s" s="0">
        <v>877</v>
      </c>
      <c r="BV44" t="s" s="0">
        <v>81</v>
      </c>
      <c r="BW44" t="s" s="0">
        <v>81</v>
      </c>
      <c r="BX44" t="s" s="0">
        <v>120</v>
      </c>
    </row>
    <row r="45">
      <c r="A45" t="s" s="0">
        <v>77</v>
      </c>
      <c r="B45" t="s" s="0">
        <v>77</v>
      </c>
      <c r="C45" t="s" s="0">
        <v>77</v>
      </c>
      <c r="D45" t="s" s="0">
        <v>77</v>
      </c>
      <c r="E45" t="s" s="0">
        <v>1142</v>
      </c>
      <c r="F45" t="s" s="0">
        <v>1143</v>
      </c>
      <c r="G45" t="s" s="0">
        <v>1144</v>
      </c>
      <c r="H45" t="s" s="0">
        <v>81</v>
      </c>
      <c r="I45" t="s" s="0">
        <v>82</v>
      </c>
      <c r="J45" t="s" s="0">
        <v>1145</v>
      </c>
      <c r="K45" t="s" s="0">
        <v>1146</v>
      </c>
      <c r="L45" t="s" s="0">
        <v>81</v>
      </c>
      <c r="M45" t="s" s="0">
        <v>81</v>
      </c>
      <c r="N45" t="s" s="0">
        <v>81</v>
      </c>
      <c r="O45" t="s" s="0">
        <v>1147</v>
      </c>
      <c r="P45" t="s" s="0">
        <v>1148</v>
      </c>
      <c r="Q45" t="s" s="0">
        <v>90</v>
      </c>
      <c r="R45" t="s" s="0">
        <v>81</v>
      </c>
      <c r="S45" t="s" s="0">
        <v>81</v>
      </c>
      <c r="T45" t="s" s="0">
        <v>81</v>
      </c>
      <c r="U45" t="s" s="0">
        <v>81</v>
      </c>
      <c r="V45" t="s" s="0">
        <v>1149</v>
      </c>
      <c r="W45" t="s" s="0">
        <v>859</v>
      </c>
      <c r="X45" t="s" s="0">
        <v>81</v>
      </c>
      <c r="Y45" t="s" s="0">
        <v>81</v>
      </c>
      <c r="Z45" t="s" s="0">
        <v>93</v>
      </c>
      <c r="AA45" t="s" s="0">
        <v>94</v>
      </c>
      <c r="AB45" t="s" s="0">
        <v>81</v>
      </c>
      <c r="AC45" t="s" s="0">
        <v>81</v>
      </c>
      <c r="AD45" t="s" s="0">
        <v>81</v>
      </c>
      <c r="AE45" t="s" s="0">
        <v>81</v>
      </c>
      <c r="AF45" t="s" s="0">
        <v>81</v>
      </c>
      <c r="AG45" t="s" s="0">
        <v>1150</v>
      </c>
      <c r="AH45" t="s" s="0">
        <v>1151</v>
      </c>
      <c r="AI45" t="s" s="0">
        <v>81</v>
      </c>
      <c r="AJ45" t="s" s="0">
        <v>81</v>
      </c>
      <c r="AK45" t="s" s="0">
        <v>81</v>
      </c>
      <c r="AL45" t="s" s="0">
        <v>347</v>
      </c>
      <c r="AM45" t="s" s="0">
        <v>77</v>
      </c>
      <c r="AN45" t="s" s="0">
        <v>77</v>
      </c>
      <c r="AO45" t="s" s="0">
        <v>108</v>
      </c>
      <c r="AP45" t="s" s="0">
        <v>108</v>
      </c>
      <c r="AQ45" t="s" s="0">
        <v>863</v>
      </c>
      <c r="AR45" t="s" s="0">
        <v>864</v>
      </c>
      <c r="AS45" t="s" s="0">
        <v>865</v>
      </c>
      <c r="AT45" t="s" s="0">
        <v>866</v>
      </c>
      <c r="AU45" t="s" s="0">
        <v>867</v>
      </c>
      <c r="AV45" t="s" s="0">
        <v>81</v>
      </c>
      <c r="AW45" t="s" s="0">
        <v>868</v>
      </c>
      <c r="AX45" t="s" s="0">
        <v>869</v>
      </c>
      <c r="AY45" t="s" s="0">
        <v>764</v>
      </c>
      <c r="AZ45" t="s" s="0">
        <v>106</v>
      </c>
      <c r="BA45" t="s" s="0">
        <v>870</v>
      </c>
      <c r="BB45" t="s" s="0">
        <v>596</v>
      </c>
      <c r="BC45" t="s" s="0">
        <v>81</v>
      </c>
      <c r="BD45" t="s" s="0">
        <v>81</v>
      </c>
      <c r="BE45" t="s" s="0">
        <v>81</v>
      </c>
      <c r="BF45" t="s" s="0">
        <v>81</v>
      </c>
      <c r="BG45" t="s" s="0">
        <v>81</v>
      </c>
      <c r="BH45" t="s" s="0">
        <v>81</v>
      </c>
      <c r="BI45" t="s" s="0">
        <v>1152</v>
      </c>
      <c r="BJ45" t="s" s="0">
        <v>1153</v>
      </c>
      <c r="BK45" t="s" s="87">
        <f>HYPERLINK("http://dx.doi.org/10.1016/j.lpm.2026.104371","http://dx.doi.org/10.1016/j.lpm.2026.104371")</f>
        <v>1154</v>
      </c>
      <c r="BL45" t="s" s="0">
        <v>81</v>
      </c>
      <c r="BM45" t="s" s="0">
        <v>81</v>
      </c>
      <c r="BN45" t="s" s="0">
        <v>485</v>
      </c>
      <c r="BO45" t="s" s="0">
        <v>254</v>
      </c>
      <c r="BP45" t="s" s="0">
        <v>255</v>
      </c>
      <c r="BQ45" t="s" s="0">
        <v>1155</v>
      </c>
      <c r="BR45" t="s" s="0">
        <v>1156</v>
      </c>
      <c r="BS45" t="s" s="0">
        <v>1157</v>
      </c>
      <c r="BT45" t="s" s="88">
        <f>HYPERLINK("https://www.webofscience.com/wos/woscc/full-record/WOS:001825331000001","View Record in Web of Science")</f>
        <v>118</v>
      </c>
      <c r="BU45" t="s" s="0">
        <v>81</v>
      </c>
      <c r="BV45" t="s" s="0">
        <v>81</v>
      </c>
      <c r="BW45" t="s" s="0">
        <v>81</v>
      </c>
      <c r="BX45" t="s" s="0">
        <v>120</v>
      </c>
    </row>
    <row r="46">
      <c r="A46" t="s" s="0">
        <v>77</v>
      </c>
      <c r="B46" t="s" s="0">
        <v>77</v>
      </c>
      <c r="C46" t="s" s="0">
        <v>77</v>
      </c>
      <c r="D46" t="s" s="0">
        <v>77</v>
      </c>
      <c r="E46" t="s" s="0">
        <v>1158</v>
      </c>
      <c r="F46" t="s" s="0">
        <v>1159</v>
      </c>
      <c r="G46" t="s" s="0">
        <v>1160</v>
      </c>
      <c r="H46" t="s" s="0">
        <v>81</v>
      </c>
      <c r="I46" t="s" s="0">
        <v>82</v>
      </c>
      <c r="J46" t="s" s="0">
        <v>1161</v>
      </c>
      <c r="K46" t="s" s="0">
        <v>1162</v>
      </c>
      <c r="L46" t="s" s="0">
        <v>1163</v>
      </c>
      <c r="M46" t="s" s="0">
        <v>1164</v>
      </c>
      <c r="N46" t="s" s="0">
        <v>1165</v>
      </c>
      <c r="O46" t="s" s="0">
        <v>1166</v>
      </c>
      <c r="P46" t="s" s="0">
        <v>1167</v>
      </c>
      <c r="Q46" t="s" s="0">
        <v>90</v>
      </c>
      <c r="R46" t="s" s="0">
        <v>81</v>
      </c>
      <c r="S46" t="s" s="0">
        <v>81</v>
      </c>
      <c r="T46" t="s" s="0">
        <v>81</v>
      </c>
      <c r="U46" t="s" s="0">
        <v>81</v>
      </c>
      <c r="V46" t="s" s="0">
        <v>1168</v>
      </c>
      <c r="W46" t="s" s="0">
        <v>1169</v>
      </c>
      <c r="X46" t="s" s="0">
        <v>81</v>
      </c>
      <c r="Y46" t="s" s="0">
        <v>81</v>
      </c>
      <c r="Z46" t="s" s="0">
        <v>93</v>
      </c>
      <c r="AA46" t="s" s="0">
        <v>94</v>
      </c>
      <c r="AB46" t="s" s="0">
        <v>81</v>
      </c>
      <c r="AC46" t="s" s="0">
        <v>81</v>
      </c>
      <c r="AD46" t="s" s="0">
        <v>81</v>
      </c>
      <c r="AE46" t="s" s="0">
        <v>81</v>
      </c>
      <c r="AF46" t="s" s="0">
        <v>81</v>
      </c>
      <c r="AG46" t="s" s="0">
        <v>1170</v>
      </c>
      <c r="AH46" t="s" s="0">
        <v>1171</v>
      </c>
      <c r="AI46" t="s" s="0">
        <v>81</v>
      </c>
      <c r="AJ46" t="s" s="0">
        <v>81</v>
      </c>
      <c r="AK46" t="s" s="0">
        <v>81</v>
      </c>
      <c r="AL46" t="s" s="0">
        <v>1172</v>
      </c>
      <c r="AM46" t="s" s="0">
        <v>77</v>
      </c>
      <c r="AN46" t="s" s="0">
        <v>77</v>
      </c>
      <c r="AO46" t="s" s="0">
        <v>596</v>
      </c>
      <c r="AP46" t="s" s="0">
        <v>596</v>
      </c>
      <c r="AQ46" t="s" s="0">
        <v>892</v>
      </c>
      <c r="AR46" t="s" s="0">
        <v>893</v>
      </c>
      <c r="AS46" t="s" s="0">
        <v>894</v>
      </c>
      <c r="AT46" t="s" s="0">
        <v>1173</v>
      </c>
      <c r="AU46" t="s" s="0">
        <v>1174</v>
      </c>
      <c r="AV46" t="s" s="0">
        <v>81</v>
      </c>
      <c r="AW46" t="s" s="0">
        <v>1169</v>
      </c>
      <c r="AX46" t="s" s="0">
        <v>1175</v>
      </c>
      <c r="AY46" t="s" s="0">
        <v>764</v>
      </c>
      <c r="AZ46" t="s" s="0">
        <v>106</v>
      </c>
      <c r="BA46" t="s" s="0">
        <v>1176</v>
      </c>
      <c r="BB46" t="s" s="0">
        <v>81</v>
      </c>
      <c r="BC46" t="s" s="0">
        <v>81</v>
      </c>
      <c r="BD46" t="s" s="0">
        <v>81</v>
      </c>
      <c r="BE46" t="s" s="0">
        <v>81</v>
      </c>
      <c r="BF46" t="s" s="0">
        <v>81</v>
      </c>
      <c r="BG46" t="s" s="0">
        <v>81</v>
      </c>
      <c r="BH46" t="s" s="0">
        <v>81</v>
      </c>
      <c r="BI46" t="s" s="0">
        <v>1177</v>
      </c>
      <c r="BJ46" t="s" s="0">
        <v>1178</v>
      </c>
      <c r="BK46" t="s" s="89">
        <f>HYPERLINK("http://dx.doi.org/10.1016/j.displa.2026.103544","http://dx.doi.org/10.1016/j.displa.2026.103544")</f>
        <v>1179</v>
      </c>
      <c r="BL46" t="s" s="0">
        <v>81</v>
      </c>
      <c r="BM46" t="s" s="0">
        <v>81</v>
      </c>
      <c r="BN46" t="s" s="0">
        <v>363</v>
      </c>
      <c r="BO46" t="s" s="0">
        <v>1180</v>
      </c>
      <c r="BP46" t="s" s="0">
        <v>1181</v>
      </c>
      <c r="BQ46" t="s" s="0">
        <v>1182</v>
      </c>
      <c r="BR46" t="s" s="0">
        <v>81</v>
      </c>
      <c r="BS46" t="s" s="0">
        <v>1183</v>
      </c>
      <c r="BT46" t="s" s="90">
        <f>HYPERLINK("https://www.webofscience.com/wos/woscc/full-record/WOS:001782744700001","View Record in Web of Science")</f>
        <v>118</v>
      </c>
      <c r="BU46" t="s" s="0">
        <v>81</v>
      </c>
      <c r="BV46" t="s" s="0">
        <v>81</v>
      </c>
      <c r="BW46" t="s" s="0">
        <v>81</v>
      </c>
      <c r="BX46" t="s" s="0">
        <v>120</v>
      </c>
    </row>
    <row r="47">
      <c r="A47" t="s" s="0">
        <v>77</v>
      </c>
      <c r="B47" t="s" s="0">
        <v>77</v>
      </c>
      <c r="C47" t="s" s="0">
        <v>77</v>
      </c>
      <c r="D47" t="s" s="0">
        <v>77</v>
      </c>
      <c r="E47" t="s" s="0">
        <v>1184</v>
      </c>
      <c r="F47" t="s" s="0">
        <v>1185</v>
      </c>
      <c r="G47" t="s" s="0">
        <v>1186</v>
      </c>
      <c r="H47" t="s" s="0">
        <v>81</v>
      </c>
      <c r="I47" t="s" s="0">
        <v>82</v>
      </c>
      <c r="J47" t="s" s="0">
        <v>1187</v>
      </c>
      <c r="K47" t="s" s="0">
        <v>1188</v>
      </c>
      <c r="L47" t="s" s="0">
        <v>81</v>
      </c>
      <c r="M47" t="s" s="0">
        <v>81</v>
      </c>
      <c r="N47" t="s" s="0">
        <v>1189</v>
      </c>
      <c r="O47" t="s" s="0">
        <v>1190</v>
      </c>
      <c r="P47" t="s" s="0">
        <v>1191</v>
      </c>
      <c r="Q47" t="s" s="0">
        <v>90</v>
      </c>
      <c r="R47" t="s" s="0">
        <v>81</v>
      </c>
      <c r="S47" t="s" s="0">
        <v>81</v>
      </c>
      <c r="T47" t="s" s="0">
        <v>81</v>
      </c>
      <c r="U47" t="s" s="0">
        <v>81</v>
      </c>
      <c r="V47" t="s" s="0">
        <v>1192</v>
      </c>
      <c r="W47" t="s" s="0">
        <v>1193</v>
      </c>
      <c r="X47" t="s" s="0">
        <v>81</v>
      </c>
      <c r="Y47" t="s" s="0">
        <v>81</v>
      </c>
      <c r="Z47" t="s" s="0">
        <v>93</v>
      </c>
      <c r="AA47" t="s" s="0">
        <v>94</v>
      </c>
      <c r="AB47" t="s" s="0">
        <v>81</v>
      </c>
      <c r="AC47" t="s" s="0">
        <v>81</v>
      </c>
      <c r="AD47" t="s" s="0">
        <v>81</v>
      </c>
      <c r="AE47" t="s" s="0">
        <v>81</v>
      </c>
      <c r="AF47" t="s" s="0">
        <v>81</v>
      </c>
      <c r="AG47" t="s" s="0">
        <v>1194</v>
      </c>
      <c r="AH47" t="s" s="0">
        <v>1195</v>
      </c>
      <c r="AI47" t="s" s="0">
        <v>1196</v>
      </c>
      <c r="AJ47" t="s" s="0">
        <v>1197</v>
      </c>
      <c r="AK47" t="s" s="0">
        <v>81</v>
      </c>
      <c r="AL47" t="s" s="0">
        <v>1198</v>
      </c>
      <c r="AM47" t="s" s="0">
        <v>484</v>
      </c>
      <c r="AN47" t="s" s="0">
        <v>484</v>
      </c>
      <c r="AO47" t="s" s="0">
        <v>433</v>
      </c>
      <c r="AP47" t="s" s="0">
        <v>433</v>
      </c>
      <c r="AQ47" t="s" s="0">
        <v>836</v>
      </c>
      <c r="AR47" t="s" s="0">
        <v>837</v>
      </c>
      <c r="AS47" t="s" s="0">
        <v>838</v>
      </c>
      <c r="AT47" t="s" s="0">
        <v>1199</v>
      </c>
      <c r="AU47" t="s" s="0">
        <v>1200</v>
      </c>
      <c r="AV47" t="s" s="0">
        <v>81</v>
      </c>
      <c r="AW47" t="s" s="0">
        <v>1201</v>
      </c>
      <c r="AX47" t="s" s="0">
        <v>1202</v>
      </c>
      <c r="AY47" t="s" s="0">
        <v>764</v>
      </c>
      <c r="AZ47" t="s" s="0">
        <v>106</v>
      </c>
      <c r="BA47" t="s" s="0">
        <v>568</v>
      </c>
      <c r="BB47" t="s" s="0">
        <v>81</v>
      </c>
      <c r="BC47" t="s" s="0">
        <v>81</v>
      </c>
      <c r="BD47" t="s" s="0">
        <v>81</v>
      </c>
      <c r="BE47" t="s" s="0">
        <v>81</v>
      </c>
      <c r="BF47" t="s" s="0">
        <v>81</v>
      </c>
      <c r="BG47" t="s" s="0">
        <v>311</v>
      </c>
      <c r="BH47" t="s" s="0">
        <v>1203</v>
      </c>
      <c r="BI47" t="s" s="0">
        <v>81</v>
      </c>
      <c r="BJ47" t="s" s="0">
        <v>1204</v>
      </c>
      <c r="BK47" t="s" s="91">
        <f>HYPERLINK("http://dx.doi.org/10.1016/j.jdsr.2026.03.001","http://dx.doi.org/10.1016/j.jdsr.2026.03.001")</f>
        <v>1205</v>
      </c>
      <c r="BL47" t="s" s="0">
        <v>81</v>
      </c>
      <c r="BM47" t="s" s="0">
        <v>81</v>
      </c>
      <c r="BN47" t="s" s="0">
        <v>668</v>
      </c>
      <c r="BO47" t="s" s="0">
        <v>952</v>
      </c>
      <c r="BP47" t="s" s="0">
        <v>952</v>
      </c>
      <c r="BQ47" t="s" s="0">
        <v>1206</v>
      </c>
      <c r="BR47" t="s" s="0">
        <v>1207</v>
      </c>
      <c r="BS47" t="s" s="0">
        <v>1208</v>
      </c>
      <c r="BT47" t="s" s="92">
        <f>HYPERLINK("https://www.webofscience.com/wos/woscc/full-record/WOS:001735336700001","View Record in Web of Science")</f>
        <v>118</v>
      </c>
      <c r="BU47" t="s" s="0">
        <v>177</v>
      </c>
      <c r="BV47" t="s" s="0">
        <v>81</v>
      </c>
      <c r="BW47" t="s" s="0">
        <v>81</v>
      </c>
      <c r="BX47" t="s" s="0">
        <v>120</v>
      </c>
    </row>
    <row r="48">
      <c r="A48" t="s" s="0">
        <v>77</v>
      </c>
      <c r="B48" t="s" s="0">
        <v>77</v>
      </c>
      <c r="C48" t="s" s="0">
        <v>77</v>
      </c>
      <c r="D48" t="s" s="0">
        <v>77</v>
      </c>
      <c r="E48" t="s" s="0">
        <v>1209</v>
      </c>
      <c r="F48" t="s" s="0">
        <v>1210</v>
      </c>
      <c r="G48" t="s" s="0">
        <v>1211</v>
      </c>
      <c r="H48" t="s" s="0">
        <v>81</v>
      </c>
      <c r="I48" t="s" s="0">
        <v>82</v>
      </c>
      <c r="J48" t="s" s="0">
        <v>1212</v>
      </c>
      <c r="K48" t="s" s="0">
        <v>1213</v>
      </c>
      <c r="L48" t="s" s="0">
        <v>1214</v>
      </c>
      <c r="M48" t="s" s="0">
        <v>1215</v>
      </c>
      <c r="N48" t="s" s="0">
        <v>1216</v>
      </c>
      <c r="O48" t="s" s="0">
        <v>1217</v>
      </c>
      <c r="P48" t="s" s="0">
        <v>1218</v>
      </c>
      <c r="Q48" t="s" s="0">
        <v>90</v>
      </c>
      <c r="R48" t="s" s="0">
        <v>81</v>
      </c>
      <c r="S48" t="s" s="0">
        <v>81</v>
      </c>
      <c r="T48" t="s" s="0">
        <v>81</v>
      </c>
      <c r="U48" t="s" s="0">
        <v>81</v>
      </c>
      <c r="V48" t="s" s="0">
        <v>1219</v>
      </c>
      <c r="W48" t="s" s="0">
        <v>1220</v>
      </c>
      <c r="X48" t="s" s="0">
        <v>81</v>
      </c>
      <c r="Y48" t="s" s="0">
        <v>81</v>
      </c>
      <c r="Z48" t="s" s="0">
        <v>93</v>
      </c>
      <c r="AA48" t="s" s="0">
        <v>94</v>
      </c>
      <c r="AB48" t="s" s="0">
        <v>81</v>
      </c>
      <c r="AC48" t="s" s="0">
        <v>81</v>
      </c>
      <c r="AD48" t="s" s="0">
        <v>81</v>
      </c>
      <c r="AE48" t="s" s="0">
        <v>81</v>
      </c>
      <c r="AF48" t="s" s="0">
        <v>81</v>
      </c>
      <c r="AG48" t="s" s="0">
        <v>1221</v>
      </c>
      <c r="AH48" t="s" s="0">
        <v>1222</v>
      </c>
      <c r="AI48" t="s" s="0">
        <v>81</v>
      </c>
      <c r="AJ48" t="s" s="0">
        <v>81</v>
      </c>
      <c r="AK48" t="s" s="0">
        <v>81</v>
      </c>
      <c r="AL48" t="s" s="0">
        <v>1223</v>
      </c>
      <c r="AM48" t="s" s="0">
        <v>77</v>
      </c>
      <c r="AN48" t="s" s="0">
        <v>77</v>
      </c>
      <c r="AO48" t="s" s="0">
        <v>77</v>
      </c>
      <c r="AP48" t="s" s="0">
        <v>77</v>
      </c>
      <c r="AQ48" t="s" s="0">
        <v>1224</v>
      </c>
      <c r="AR48" t="s" s="0">
        <v>1225</v>
      </c>
      <c r="AS48" t="s" s="0">
        <v>1226</v>
      </c>
      <c r="AT48" t="s" s="0">
        <v>1227</v>
      </c>
      <c r="AU48" t="s" s="0">
        <v>1228</v>
      </c>
      <c r="AV48" t="s" s="0">
        <v>81</v>
      </c>
      <c r="AW48" t="s" s="0">
        <v>1229</v>
      </c>
      <c r="AX48" t="s" s="0">
        <v>1230</v>
      </c>
      <c r="AY48" t="s" s="0">
        <v>1231</v>
      </c>
      <c r="AZ48" t="s" s="0">
        <v>106</v>
      </c>
      <c r="BA48" t="s" s="0">
        <v>1232</v>
      </c>
      <c r="BB48" t="s" s="0">
        <v>81</v>
      </c>
      <c r="BC48" t="s" s="0">
        <v>81</v>
      </c>
      <c r="BD48" t="s" s="0">
        <v>81</v>
      </c>
      <c r="BE48" t="s" s="0">
        <v>81</v>
      </c>
      <c r="BF48" t="s" s="0">
        <v>81</v>
      </c>
      <c r="BG48" t="s" s="0">
        <v>81</v>
      </c>
      <c r="BH48" t="s" s="0">
        <v>81</v>
      </c>
      <c r="BI48" t="s" s="0">
        <v>1233</v>
      </c>
      <c r="BJ48" t="s" s="0">
        <v>1234</v>
      </c>
      <c r="BK48" t="s" s="93">
        <f>HYPERLINK("http://dx.doi.org/10.1016/j.ijmedinf.2026.106667","http://dx.doi.org/10.1016/j.ijmedinf.2026.106667")</f>
        <v>1235</v>
      </c>
      <c r="BL48" t="s" s="0">
        <v>81</v>
      </c>
      <c r="BM48" t="s" s="0">
        <v>81</v>
      </c>
      <c r="BN48" t="s" s="0">
        <v>1236</v>
      </c>
      <c r="BO48" t="s" s="0">
        <v>1237</v>
      </c>
      <c r="BP48" t="s" s="0">
        <v>1238</v>
      </c>
      <c r="BQ48" t="s" s="0">
        <v>1239</v>
      </c>
      <c r="BR48" t="s" s="0">
        <v>1240</v>
      </c>
      <c r="BS48" t="s" s="0">
        <v>1241</v>
      </c>
      <c r="BT48" t="s" s="94">
        <f>HYPERLINK("https://www.webofscience.com/wos/woscc/full-record/WOS:001854328800001","View Record in Web of Science")</f>
        <v>118</v>
      </c>
      <c r="BU48" t="s" s="0">
        <v>877</v>
      </c>
      <c r="BV48" t="s" s="0">
        <v>81</v>
      </c>
      <c r="BW48" t="s" s="0">
        <v>81</v>
      </c>
      <c r="BX48" t="s" s="0">
        <v>120</v>
      </c>
    </row>
    <row r="49">
      <c r="A49" t="s" s="0">
        <v>77</v>
      </c>
      <c r="B49" t="s" s="0">
        <v>77</v>
      </c>
      <c r="C49" t="s" s="0">
        <v>77</v>
      </c>
      <c r="D49" t="s" s="0">
        <v>77</v>
      </c>
      <c r="E49" t="s" s="0">
        <v>1242</v>
      </c>
      <c r="F49" t="s" s="0">
        <v>1243</v>
      </c>
      <c r="G49" t="s" s="0">
        <v>1244</v>
      </c>
      <c r="H49" t="s" s="0">
        <v>81</v>
      </c>
      <c r="I49" t="s" s="0">
        <v>82</v>
      </c>
      <c r="J49" t="s" s="0">
        <v>1245</v>
      </c>
      <c r="K49" t="s" s="0">
        <v>1246</v>
      </c>
      <c r="L49" t="s" s="0">
        <v>81</v>
      </c>
      <c r="M49" t="s" s="0">
        <v>81</v>
      </c>
      <c r="N49" t="s" s="0">
        <v>81</v>
      </c>
      <c r="O49" t="s" s="0">
        <v>1247</v>
      </c>
      <c r="P49" t="s" s="0">
        <v>1248</v>
      </c>
      <c r="Q49" t="s" s="0">
        <v>90</v>
      </c>
      <c r="R49" t="s" s="0">
        <v>81</v>
      </c>
      <c r="S49" t="s" s="0">
        <v>81</v>
      </c>
      <c r="T49" t="s" s="0">
        <v>81</v>
      </c>
      <c r="U49" t="s" s="0">
        <v>81</v>
      </c>
      <c r="V49" t="s" s="0">
        <v>1249</v>
      </c>
      <c r="W49" t="s" s="0">
        <v>1220</v>
      </c>
      <c r="X49" t="s" s="0">
        <v>81</v>
      </c>
      <c r="Y49" t="s" s="0">
        <v>81</v>
      </c>
      <c r="Z49" t="s" s="0">
        <v>93</v>
      </c>
      <c r="AA49" t="s" s="0">
        <v>94</v>
      </c>
      <c r="AB49" t="s" s="0">
        <v>81</v>
      </c>
      <c r="AC49" t="s" s="0">
        <v>81</v>
      </c>
      <c r="AD49" t="s" s="0">
        <v>81</v>
      </c>
      <c r="AE49" t="s" s="0">
        <v>81</v>
      </c>
      <c r="AF49" t="s" s="0">
        <v>81</v>
      </c>
      <c r="AG49" t="s" s="0">
        <v>1250</v>
      </c>
      <c r="AH49" t="s" s="0">
        <v>1251</v>
      </c>
      <c r="AI49" t="s" s="0">
        <v>81</v>
      </c>
      <c r="AJ49" t="s" s="0">
        <v>81</v>
      </c>
      <c r="AK49" t="s" s="0">
        <v>81</v>
      </c>
      <c r="AL49" t="s" s="0">
        <v>1252</v>
      </c>
      <c r="AM49" t="s" s="0">
        <v>77</v>
      </c>
      <c r="AN49" t="s" s="0">
        <v>77</v>
      </c>
      <c r="AO49" t="s" s="0">
        <v>77</v>
      </c>
      <c r="AP49" t="s" s="0">
        <v>77</v>
      </c>
      <c r="AQ49" t="s" s="0">
        <v>1224</v>
      </c>
      <c r="AR49" t="s" s="0">
        <v>1225</v>
      </c>
      <c r="AS49" t="s" s="0">
        <v>1226</v>
      </c>
      <c r="AT49" t="s" s="0">
        <v>1227</v>
      </c>
      <c r="AU49" t="s" s="0">
        <v>1228</v>
      </c>
      <c r="AV49" t="s" s="0">
        <v>81</v>
      </c>
      <c r="AW49" t="s" s="0">
        <v>1229</v>
      </c>
      <c r="AX49" t="s" s="0">
        <v>1230</v>
      </c>
      <c r="AY49" t="s" s="0">
        <v>1231</v>
      </c>
      <c r="AZ49" t="s" s="0">
        <v>106</v>
      </c>
      <c r="BA49" t="s" s="0">
        <v>1232</v>
      </c>
      <c r="BB49" t="s" s="0">
        <v>81</v>
      </c>
      <c r="BC49" t="s" s="0">
        <v>81</v>
      </c>
      <c r="BD49" t="s" s="0">
        <v>81</v>
      </c>
      <c r="BE49" t="s" s="0">
        <v>81</v>
      </c>
      <c r="BF49" t="s" s="0">
        <v>81</v>
      </c>
      <c r="BG49" t="s" s="0">
        <v>81</v>
      </c>
      <c r="BH49" t="s" s="0">
        <v>81</v>
      </c>
      <c r="BI49" t="s" s="0">
        <v>1253</v>
      </c>
      <c r="BJ49" t="s" s="0">
        <v>1254</v>
      </c>
      <c r="BK49" t="s" s="95">
        <f>HYPERLINK("http://dx.doi.org/10.1016/j.ijmedinf.2026.106645","http://dx.doi.org/10.1016/j.ijmedinf.2026.106645")</f>
        <v>1255</v>
      </c>
      <c r="BL49" t="s" s="0">
        <v>81</v>
      </c>
      <c r="BM49" t="s" s="0">
        <v>81</v>
      </c>
      <c r="BN49" t="s" s="0">
        <v>433</v>
      </c>
      <c r="BO49" t="s" s="0">
        <v>1237</v>
      </c>
      <c r="BP49" t="s" s="0">
        <v>1238</v>
      </c>
      <c r="BQ49" t="s" s="0">
        <v>1256</v>
      </c>
      <c r="BR49" t="s" s="0">
        <v>1257</v>
      </c>
      <c r="BS49" t="s" s="0">
        <v>1258</v>
      </c>
      <c r="BT49" t="s" s="96">
        <f>HYPERLINK("https://www.webofscience.com/wos/woscc/full-record/WOS:001852384500002","View Record in Web of Science")</f>
        <v>118</v>
      </c>
      <c r="BU49" t="s" s="0">
        <v>877</v>
      </c>
      <c r="BV49" t="s" s="0">
        <v>81</v>
      </c>
      <c r="BW49" t="s" s="0">
        <v>81</v>
      </c>
      <c r="BX49" t="s" s="0">
        <v>120</v>
      </c>
    </row>
    <row r="50">
      <c r="A50" t="s" s="0">
        <v>77</v>
      </c>
      <c r="B50" t="s" s="0">
        <v>77</v>
      </c>
      <c r="C50" t="s" s="0">
        <v>77</v>
      </c>
      <c r="D50" t="s" s="0">
        <v>77</v>
      </c>
      <c r="E50" t="s" s="0">
        <v>1259</v>
      </c>
      <c r="F50" t="s" s="0">
        <v>1260</v>
      </c>
      <c r="G50" t="s" s="0">
        <v>1261</v>
      </c>
      <c r="H50" t="s" s="0">
        <v>81</v>
      </c>
      <c r="I50" t="s" s="0">
        <v>82</v>
      </c>
      <c r="J50" t="s" s="0">
        <v>1262</v>
      </c>
      <c r="K50" t="s" s="0">
        <v>1263</v>
      </c>
      <c r="L50" t="s" s="0">
        <v>1264</v>
      </c>
      <c r="M50" t="s" s="0">
        <v>1264</v>
      </c>
      <c r="N50" t="s" s="0">
        <v>1265</v>
      </c>
      <c r="O50" t="s" s="0">
        <v>1266</v>
      </c>
      <c r="P50" t="s" s="0">
        <v>1267</v>
      </c>
      <c r="Q50" t="s" s="0">
        <v>90</v>
      </c>
      <c r="R50" t="s" s="0">
        <v>81</v>
      </c>
      <c r="S50" t="s" s="0">
        <v>81</v>
      </c>
      <c r="T50" t="s" s="0">
        <v>81</v>
      </c>
      <c r="U50" t="s" s="0">
        <v>81</v>
      </c>
      <c r="V50" t="s" s="0">
        <v>1268</v>
      </c>
      <c r="W50" t="s" s="0">
        <v>1220</v>
      </c>
      <c r="X50" t="s" s="0">
        <v>81</v>
      </c>
      <c r="Y50" t="s" s="0">
        <v>81</v>
      </c>
      <c r="Z50" t="s" s="0">
        <v>93</v>
      </c>
      <c r="AA50" t="s" s="0">
        <v>94</v>
      </c>
      <c r="AB50" t="s" s="0">
        <v>81</v>
      </c>
      <c r="AC50" t="s" s="0">
        <v>81</v>
      </c>
      <c r="AD50" t="s" s="0">
        <v>81</v>
      </c>
      <c r="AE50" t="s" s="0">
        <v>81</v>
      </c>
      <c r="AF50" t="s" s="0">
        <v>81</v>
      </c>
      <c r="AG50" t="s" s="0">
        <v>1269</v>
      </c>
      <c r="AH50" t="s" s="0">
        <v>1270</v>
      </c>
      <c r="AI50" t="s" s="0">
        <v>81</v>
      </c>
      <c r="AJ50" t="s" s="0">
        <v>81</v>
      </c>
      <c r="AK50" t="s" s="0">
        <v>81</v>
      </c>
      <c r="AL50" t="s" s="0">
        <v>221</v>
      </c>
      <c r="AM50" t="s" s="0">
        <v>77</v>
      </c>
      <c r="AN50" t="s" s="0">
        <v>77</v>
      </c>
      <c r="AO50" t="s" s="0">
        <v>77</v>
      </c>
      <c r="AP50" t="s" s="0">
        <v>77</v>
      </c>
      <c r="AQ50" t="s" s="0">
        <v>1224</v>
      </c>
      <c r="AR50" t="s" s="0">
        <v>1225</v>
      </c>
      <c r="AS50" t="s" s="0">
        <v>1226</v>
      </c>
      <c r="AT50" t="s" s="0">
        <v>1227</v>
      </c>
      <c r="AU50" t="s" s="0">
        <v>1228</v>
      </c>
      <c r="AV50" t="s" s="0">
        <v>81</v>
      </c>
      <c r="AW50" t="s" s="0">
        <v>1229</v>
      </c>
      <c r="AX50" t="s" s="0">
        <v>1230</v>
      </c>
      <c r="AY50" t="s" s="0">
        <v>1231</v>
      </c>
      <c r="AZ50" t="s" s="0">
        <v>106</v>
      </c>
      <c r="BA50" t="s" s="0">
        <v>1232</v>
      </c>
      <c r="BB50" t="s" s="0">
        <v>81</v>
      </c>
      <c r="BC50" t="s" s="0">
        <v>81</v>
      </c>
      <c r="BD50" t="s" s="0">
        <v>81</v>
      </c>
      <c r="BE50" t="s" s="0">
        <v>81</v>
      </c>
      <c r="BF50" t="s" s="0">
        <v>81</v>
      </c>
      <c r="BG50" t="s" s="0">
        <v>81</v>
      </c>
      <c r="BH50" t="s" s="0">
        <v>81</v>
      </c>
      <c r="BI50" t="s" s="0">
        <v>1271</v>
      </c>
      <c r="BJ50" t="s" s="0">
        <v>1272</v>
      </c>
      <c r="BK50" t="s" s="97">
        <f>HYPERLINK("http://dx.doi.org/10.1016/j.ijmedinf.2026.106643","http://dx.doi.org/10.1016/j.ijmedinf.2026.106643")</f>
        <v>1273</v>
      </c>
      <c r="BL50" t="s" s="0">
        <v>81</v>
      </c>
      <c r="BM50" t="s" s="0">
        <v>81</v>
      </c>
      <c r="BN50" t="s" s="0">
        <v>391</v>
      </c>
      <c r="BO50" t="s" s="0">
        <v>1237</v>
      </c>
      <c r="BP50" t="s" s="0">
        <v>1238</v>
      </c>
      <c r="BQ50" t="s" s="0">
        <v>1274</v>
      </c>
      <c r="BR50" t="s" s="0">
        <v>1275</v>
      </c>
      <c r="BS50" t="s" s="0">
        <v>1276</v>
      </c>
      <c r="BT50" t="s" s="98">
        <f>HYPERLINK("https://www.webofscience.com/wos/woscc/full-record/WOS:001851756400001","View Record in Web of Science")</f>
        <v>118</v>
      </c>
      <c r="BU50" t="s" s="0">
        <v>877</v>
      </c>
      <c r="BV50" t="s" s="0">
        <v>81</v>
      </c>
      <c r="BW50" t="s" s="0">
        <v>81</v>
      </c>
      <c r="BX50" t="s" s="0">
        <v>120</v>
      </c>
    </row>
    <row r="51">
      <c r="A51" t="s" s="0">
        <v>77</v>
      </c>
      <c r="B51" t="s" s="0">
        <v>77</v>
      </c>
      <c r="C51" t="s" s="0">
        <v>77</v>
      </c>
      <c r="D51" t="s" s="0">
        <v>77</v>
      </c>
      <c r="E51" t="s" s="0">
        <v>1277</v>
      </c>
      <c r="F51" t="s" s="0">
        <v>1278</v>
      </c>
      <c r="G51" t="s" s="0">
        <v>1279</v>
      </c>
      <c r="H51" t="s" s="0">
        <v>81</v>
      </c>
      <c r="I51" t="s" s="0">
        <v>82</v>
      </c>
      <c r="J51" t="s" s="0">
        <v>1280</v>
      </c>
      <c r="K51" t="s" s="0">
        <v>1281</v>
      </c>
      <c r="L51" t="s" s="0">
        <v>81</v>
      </c>
      <c r="M51" t="s" s="0">
        <v>81</v>
      </c>
      <c r="N51" t="s" s="0">
        <v>81</v>
      </c>
      <c r="O51" t="s" s="0">
        <v>1282</v>
      </c>
      <c r="P51" t="s" s="0">
        <v>1283</v>
      </c>
      <c r="Q51" t="s" s="0">
        <v>90</v>
      </c>
      <c r="R51" t="s" s="0">
        <v>81</v>
      </c>
      <c r="S51" t="s" s="0">
        <v>81</v>
      </c>
      <c r="T51" t="s" s="0">
        <v>81</v>
      </c>
      <c r="U51" t="s" s="0">
        <v>81</v>
      </c>
      <c r="V51" t="s" s="0">
        <v>1284</v>
      </c>
      <c r="W51" t="s" s="0">
        <v>1285</v>
      </c>
      <c r="X51" t="s" s="0">
        <v>81</v>
      </c>
      <c r="Y51" t="s" s="0">
        <v>81</v>
      </c>
      <c r="Z51" t="s" s="0">
        <v>93</v>
      </c>
      <c r="AA51" t="s" s="0">
        <v>94</v>
      </c>
      <c r="AB51" t="s" s="0">
        <v>81</v>
      </c>
      <c r="AC51" t="s" s="0">
        <v>81</v>
      </c>
      <c r="AD51" t="s" s="0">
        <v>81</v>
      </c>
      <c r="AE51" t="s" s="0">
        <v>81</v>
      </c>
      <c r="AF51" t="s" s="0">
        <v>81</v>
      </c>
      <c r="AG51" t="s" s="0">
        <v>1286</v>
      </c>
      <c r="AH51" t="s" s="0">
        <v>81</v>
      </c>
      <c r="AI51" t="s" s="0">
        <v>81</v>
      </c>
      <c r="AJ51" t="s" s="0">
        <v>81</v>
      </c>
      <c r="AK51" t="s" s="0">
        <v>81</v>
      </c>
      <c r="AL51" t="s" s="0">
        <v>1287</v>
      </c>
      <c r="AM51" t="s" s="0">
        <v>77</v>
      </c>
      <c r="AN51" t="s" s="0">
        <v>77</v>
      </c>
      <c r="AO51" t="s" s="0">
        <v>108</v>
      </c>
      <c r="AP51" t="s" s="0">
        <v>108</v>
      </c>
      <c r="AQ51" t="s" s="0">
        <v>836</v>
      </c>
      <c r="AR51" t="s" s="0">
        <v>837</v>
      </c>
      <c r="AS51" t="s" s="0">
        <v>838</v>
      </c>
      <c r="AT51" t="s" s="0">
        <v>1288</v>
      </c>
      <c r="AU51" t="s" s="0">
        <v>1289</v>
      </c>
      <c r="AV51" t="s" s="0">
        <v>81</v>
      </c>
      <c r="AW51" t="s" s="0">
        <v>1290</v>
      </c>
      <c r="AX51" t="s" s="0">
        <v>1291</v>
      </c>
      <c r="AY51" t="s" s="0">
        <v>1231</v>
      </c>
      <c r="AZ51" t="s" s="0">
        <v>106</v>
      </c>
      <c r="BA51" t="s" s="0">
        <v>1292</v>
      </c>
      <c r="BB51" t="s" s="0">
        <v>81</v>
      </c>
      <c r="BC51" t="s" s="0">
        <v>81</v>
      </c>
      <c r="BD51" t="s" s="0">
        <v>81</v>
      </c>
      <c r="BE51" t="s" s="0">
        <v>81</v>
      </c>
      <c r="BF51" t="s" s="0">
        <v>81</v>
      </c>
      <c r="BG51" t="s" s="0">
        <v>81</v>
      </c>
      <c r="BH51" t="s" s="0">
        <v>81</v>
      </c>
      <c r="BI51" t="s" s="0">
        <v>1293</v>
      </c>
      <c r="BJ51" t="s" s="0">
        <v>1294</v>
      </c>
      <c r="BK51" t="s" s="99">
        <f>HYPERLINK("http://dx.doi.org/10.1016/j.mssp.2026.111038","http://dx.doi.org/10.1016/j.mssp.2026.111038")</f>
        <v>1295</v>
      </c>
      <c r="BL51" t="s" s="0">
        <v>81</v>
      </c>
      <c r="BM51" t="s" s="0">
        <v>81</v>
      </c>
      <c r="BN51" t="s" s="0">
        <v>668</v>
      </c>
      <c r="BO51" t="s" s="0">
        <v>1296</v>
      </c>
      <c r="BP51" t="s" s="0">
        <v>1297</v>
      </c>
      <c r="BQ51" t="s" s="0">
        <v>1298</v>
      </c>
      <c r="BR51" t="s" s="0">
        <v>81</v>
      </c>
      <c r="BS51" t="s" s="0">
        <v>1299</v>
      </c>
      <c r="BT51" t="s" s="100">
        <f>HYPERLINK("https://www.webofscience.com/wos/woscc/full-record/WOS:001841006600001","View Record in Web of Science")</f>
        <v>118</v>
      </c>
      <c r="BU51" t="s" s="0">
        <v>81</v>
      </c>
      <c r="BV51" t="s" s="0">
        <v>81</v>
      </c>
      <c r="BW51" t="s" s="0">
        <v>81</v>
      </c>
      <c r="BX51" t="s" s="0">
        <v>120</v>
      </c>
    </row>
    <row r="52">
      <c r="A52" t="s" s="0">
        <v>77</v>
      </c>
      <c r="B52" t="s" s="0">
        <v>77</v>
      </c>
      <c r="C52" t="s" s="0">
        <v>77</v>
      </c>
      <c r="D52" t="s" s="0">
        <v>77</v>
      </c>
      <c r="E52" t="s" s="0">
        <v>1300</v>
      </c>
      <c r="F52" t="s" s="0">
        <v>1301</v>
      </c>
      <c r="G52" t="s" s="0">
        <v>1302</v>
      </c>
      <c r="H52" t="s" s="0">
        <v>81</v>
      </c>
      <c r="I52" t="s" s="0">
        <v>82</v>
      </c>
      <c r="J52" t="s" s="0">
        <v>1303</v>
      </c>
      <c r="K52" t="s" s="0">
        <v>1304</v>
      </c>
      <c r="L52" t="s" s="0">
        <v>1305</v>
      </c>
      <c r="M52" t="s" s="0">
        <v>1306</v>
      </c>
      <c r="N52" t="s" s="0">
        <v>1307</v>
      </c>
      <c r="O52" t="s" s="0">
        <v>1308</v>
      </c>
      <c r="P52" t="s" s="0">
        <v>1309</v>
      </c>
      <c r="Q52" t="s" s="0">
        <v>90</v>
      </c>
      <c r="R52" t="s" s="0">
        <v>81</v>
      </c>
      <c r="S52" t="s" s="0">
        <v>81</v>
      </c>
      <c r="T52" t="s" s="0">
        <v>81</v>
      </c>
      <c r="U52" t="s" s="0">
        <v>81</v>
      </c>
      <c r="V52" t="s" s="0">
        <v>1310</v>
      </c>
      <c r="W52" t="s" s="0">
        <v>1311</v>
      </c>
      <c r="X52" t="s" s="0">
        <v>81</v>
      </c>
      <c r="Y52" t="s" s="0">
        <v>81</v>
      </c>
      <c r="Z52" t="s" s="0">
        <v>93</v>
      </c>
      <c r="AA52" t="s" s="0">
        <v>94</v>
      </c>
      <c r="AB52" t="s" s="0">
        <v>81</v>
      </c>
      <c r="AC52" t="s" s="0">
        <v>81</v>
      </c>
      <c r="AD52" t="s" s="0">
        <v>81</v>
      </c>
      <c r="AE52" t="s" s="0">
        <v>81</v>
      </c>
      <c r="AF52" t="s" s="0">
        <v>81</v>
      </c>
      <c r="AG52" t="s" s="0">
        <v>1312</v>
      </c>
      <c r="AH52" t="s" s="0">
        <v>1313</v>
      </c>
      <c r="AI52" t="s" s="0">
        <v>1314</v>
      </c>
      <c r="AJ52" t="s" s="0">
        <v>81</v>
      </c>
      <c r="AK52" t="s" s="0">
        <v>81</v>
      </c>
      <c r="AL52" t="s" s="0">
        <v>1315</v>
      </c>
      <c r="AM52" t="s" s="0">
        <v>77</v>
      </c>
      <c r="AN52" t="s" s="0">
        <v>77</v>
      </c>
      <c r="AO52" t="s" s="0">
        <v>484</v>
      </c>
      <c r="AP52" t="s" s="0">
        <v>484</v>
      </c>
      <c r="AQ52" t="s" s="0">
        <v>1316</v>
      </c>
      <c r="AR52" t="s" s="0">
        <v>1317</v>
      </c>
      <c r="AS52" t="s" s="0">
        <v>1318</v>
      </c>
      <c r="AT52" t="s" s="0">
        <v>1319</v>
      </c>
      <c r="AU52" t="s" s="0">
        <v>1320</v>
      </c>
      <c r="AV52" t="s" s="0">
        <v>81</v>
      </c>
      <c r="AW52" t="s" s="0">
        <v>1321</v>
      </c>
      <c r="AX52" t="s" s="0">
        <v>1322</v>
      </c>
      <c r="AY52" t="s" s="0">
        <v>1231</v>
      </c>
      <c r="AZ52" t="s" s="0">
        <v>106</v>
      </c>
      <c r="BA52" t="s" s="0">
        <v>1323</v>
      </c>
      <c r="BB52" t="s" s="0">
        <v>81</v>
      </c>
      <c r="BC52" t="s" s="0">
        <v>81</v>
      </c>
      <c r="BD52" t="s" s="0">
        <v>340</v>
      </c>
      <c r="BE52" t="s" s="0">
        <v>81</v>
      </c>
      <c r="BF52" t="s" s="0">
        <v>81</v>
      </c>
      <c r="BG52" t="s" s="0">
        <v>81</v>
      </c>
      <c r="BH52" t="s" s="0">
        <v>81</v>
      </c>
      <c r="BI52" t="s" s="0">
        <v>1324</v>
      </c>
      <c r="BJ52" t="s" s="0">
        <v>1325</v>
      </c>
      <c r="BK52" t="s" s="101">
        <f>HYPERLINK("http://dx.doi.org/10.1016/j.ccr.2026.218336","http://dx.doi.org/10.1016/j.ccr.2026.218336")</f>
        <v>1326</v>
      </c>
      <c r="BL52" t="s" s="0">
        <v>81</v>
      </c>
      <c r="BM52" t="s" s="0">
        <v>81</v>
      </c>
      <c r="BN52" t="s" s="0">
        <v>107</v>
      </c>
      <c r="BO52" t="s" s="0">
        <v>1327</v>
      </c>
      <c r="BP52" t="s" s="0">
        <v>1328</v>
      </c>
      <c r="BQ52" t="s" s="0">
        <v>1329</v>
      </c>
      <c r="BR52" t="s" s="0">
        <v>81</v>
      </c>
      <c r="BS52" t="s" s="0">
        <v>1330</v>
      </c>
      <c r="BT52" t="s" s="102">
        <f>HYPERLINK("https://www.webofscience.com/wos/woscc/full-record/WOS:001835658400001","View Record in Web of Science")</f>
        <v>118</v>
      </c>
      <c r="BU52" t="s" s="0">
        <v>81</v>
      </c>
      <c r="BV52" t="s" s="0">
        <v>81</v>
      </c>
      <c r="BW52" t="s" s="0">
        <v>81</v>
      </c>
      <c r="BX52" t="s" s="0">
        <v>120</v>
      </c>
    </row>
    <row r="53">
      <c r="A53" t="s" s="0">
        <v>77</v>
      </c>
      <c r="B53" t="s" s="0">
        <v>77</v>
      </c>
      <c r="C53" t="s" s="0">
        <v>77</v>
      </c>
      <c r="D53" t="s" s="0">
        <v>77</v>
      </c>
      <c r="E53" t="s" s="0">
        <v>1331</v>
      </c>
      <c r="F53" t="s" s="0">
        <v>1332</v>
      </c>
      <c r="G53" t="s" s="0">
        <v>1333</v>
      </c>
      <c r="H53" t="s" s="0">
        <v>81</v>
      </c>
      <c r="I53" t="s" s="0">
        <v>82</v>
      </c>
      <c r="J53" t="s" s="0">
        <v>1334</v>
      </c>
      <c r="K53" t="s" s="0">
        <v>1335</v>
      </c>
      <c r="L53" t="s" s="0">
        <v>1336</v>
      </c>
      <c r="M53" t="s" s="0">
        <v>1337</v>
      </c>
      <c r="N53" t="s" s="0">
        <v>1338</v>
      </c>
      <c r="O53" t="s" s="0">
        <v>1339</v>
      </c>
      <c r="P53" t="s" s="0">
        <v>887</v>
      </c>
      <c r="Q53" t="s" s="0">
        <v>90</v>
      </c>
      <c r="R53" t="s" s="0">
        <v>81</v>
      </c>
      <c r="S53" t="s" s="0">
        <v>81</v>
      </c>
      <c r="T53" t="s" s="0">
        <v>81</v>
      </c>
      <c r="U53" t="s" s="0">
        <v>81</v>
      </c>
      <c r="V53" t="s" s="0">
        <v>1340</v>
      </c>
      <c r="W53" t="s" s="0">
        <v>1341</v>
      </c>
      <c r="X53" t="s" s="0">
        <v>81</v>
      </c>
      <c r="Y53" t="s" s="0">
        <v>81</v>
      </c>
      <c r="Z53" t="s" s="0">
        <v>93</v>
      </c>
      <c r="AA53" t="s" s="0">
        <v>94</v>
      </c>
      <c r="AB53" t="s" s="0">
        <v>81</v>
      </c>
      <c r="AC53" t="s" s="0">
        <v>81</v>
      </c>
      <c r="AD53" t="s" s="0">
        <v>81</v>
      </c>
      <c r="AE53" t="s" s="0">
        <v>81</v>
      </c>
      <c r="AF53" t="s" s="0">
        <v>81</v>
      </c>
      <c r="AG53" t="s" s="0">
        <v>1342</v>
      </c>
      <c r="AH53" t="s" s="0">
        <v>1343</v>
      </c>
      <c r="AI53" t="s" s="0">
        <v>81</v>
      </c>
      <c r="AJ53" t="s" s="0">
        <v>81</v>
      </c>
      <c r="AK53" t="s" s="0">
        <v>81</v>
      </c>
      <c r="AL53" t="s" s="0">
        <v>1344</v>
      </c>
      <c r="AM53" t="s" s="0">
        <v>77</v>
      </c>
      <c r="AN53" t="s" s="0">
        <v>77</v>
      </c>
      <c r="AO53" t="s" s="0">
        <v>77</v>
      </c>
      <c r="AP53" t="s" s="0">
        <v>77</v>
      </c>
      <c r="AQ53" t="s" s="0">
        <v>892</v>
      </c>
      <c r="AR53" t="s" s="0">
        <v>893</v>
      </c>
      <c r="AS53" t="s" s="0">
        <v>894</v>
      </c>
      <c r="AT53" t="s" s="0">
        <v>1345</v>
      </c>
      <c r="AU53" t="s" s="0">
        <v>1346</v>
      </c>
      <c r="AV53" t="s" s="0">
        <v>81</v>
      </c>
      <c r="AW53" t="s" s="0">
        <v>1341</v>
      </c>
      <c r="AX53" t="s" s="0">
        <v>1347</v>
      </c>
      <c r="AY53" t="s" s="0">
        <v>1348</v>
      </c>
      <c r="AZ53" t="s" s="0">
        <v>106</v>
      </c>
      <c r="BA53" t="s" s="0">
        <v>1349</v>
      </c>
      <c r="BB53" t="s" s="0">
        <v>81</v>
      </c>
      <c r="BC53" t="s" s="0">
        <v>81</v>
      </c>
      <c r="BD53" t="s" s="0">
        <v>81</v>
      </c>
      <c r="BE53" t="s" s="0">
        <v>81</v>
      </c>
      <c r="BF53" t="s" s="0">
        <v>81</v>
      </c>
      <c r="BG53" t="s" s="0">
        <v>81</v>
      </c>
      <c r="BH53" t="s" s="0">
        <v>81</v>
      </c>
      <c r="BI53" t="s" s="0">
        <v>1350</v>
      </c>
      <c r="BJ53" t="s" s="0">
        <v>1351</v>
      </c>
      <c r="BK53" t="s" s="103">
        <f>HYPERLINK("http://dx.doi.org/10.1016/j.neucom.2026.134613","http://dx.doi.org/10.1016/j.neucom.2026.134613")</f>
        <v>1352</v>
      </c>
      <c r="BL53" t="s" s="0">
        <v>81</v>
      </c>
      <c r="BM53" t="s" s="0">
        <v>81</v>
      </c>
      <c r="BN53" t="s" s="0">
        <v>442</v>
      </c>
      <c r="BO53" t="s" s="0">
        <v>1353</v>
      </c>
      <c r="BP53" t="s" s="0">
        <v>1354</v>
      </c>
      <c r="BQ53" t="s" s="0">
        <v>1355</v>
      </c>
      <c r="BR53" t="s" s="0">
        <v>81</v>
      </c>
      <c r="BS53" t="s" s="0">
        <v>1356</v>
      </c>
      <c r="BT53" t="s" s="104">
        <f>HYPERLINK("https://www.webofscience.com/wos/woscc/full-record/WOS:001839908900001","View Record in Web of Science")</f>
        <v>118</v>
      </c>
      <c r="BU53" t="s" s="0">
        <v>81</v>
      </c>
      <c r="BV53" t="s" s="0">
        <v>81</v>
      </c>
      <c r="BW53" t="s" s="0">
        <v>81</v>
      </c>
      <c r="BX53" t="s" s="0">
        <v>120</v>
      </c>
    </row>
    <row r="54">
      <c r="A54" t="s" s="0">
        <v>77</v>
      </c>
      <c r="B54" t="s" s="0">
        <v>77</v>
      </c>
      <c r="C54" t="s" s="0">
        <v>77</v>
      </c>
      <c r="D54" t="s" s="0">
        <v>77</v>
      </c>
      <c r="E54" t="s" s="0">
        <v>1357</v>
      </c>
      <c r="F54" t="s" s="0">
        <v>1358</v>
      </c>
      <c r="G54" t="s" s="0">
        <v>1359</v>
      </c>
      <c r="H54" t="s" s="0">
        <v>81</v>
      </c>
      <c r="I54" t="s" s="0">
        <v>82</v>
      </c>
      <c r="J54" t="s" s="0">
        <v>1360</v>
      </c>
      <c r="K54" t="s" s="0">
        <v>1361</v>
      </c>
      <c r="L54" t="s" s="0">
        <v>81</v>
      </c>
      <c r="M54" t="s" s="0">
        <v>81</v>
      </c>
      <c r="N54" t="s" s="0">
        <v>81</v>
      </c>
      <c r="O54" t="s" s="0">
        <v>1362</v>
      </c>
      <c r="P54" t="s" s="0">
        <v>1363</v>
      </c>
      <c r="Q54" t="s" s="0">
        <v>90</v>
      </c>
      <c r="R54" t="s" s="0">
        <v>81</v>
      </c>
      <c r="S54" t="s" s="0">
        <v>81</v>
      </c>
      <c r="T54" t="s" s="0">
        <v>81</v>
      </c>
      <c r="U54" t="s" s="0">
        <v>81</v>
      </c>
      <c r="V54" t="s" s="0">
        <v>1364</v>
      </c>
      <c r="W54" t="s" s="0">
        <v>1365</v>
      </c>
      <c r="X54" t="s" s="0">
        <v>81</v>
      </c>
      <c r="Y54" t="s" s="0">
        <v>81</v>
      </c>
      <c r="Z54" t="s" s="0">
        <v>93</v>
      </c>
      <c r="AA54" t="s" s="0">
        <v>94</v>
      </c>
      <c r="AB54" t="s" s="0">
        <v>81</v>
      </c>
      <c r="AC54" t="s" s="0">
        <v>81</v>
      </c>
      <c r="AD54" t="s" s="0">
        <v>81</v>
      </c>
      <c r="AE54" t="s" s="0">
        <v>81</v>
      </c>
      <c r="AF54" t="s" s="0">
        <v>81</v>
      </c>
      <c r="AG54" t="s" s="0">
        <v>1366</v>
      </c>
      <c r="AH54" t="s" s="0">
        <v>1367</v>
      </c>
      <c r="AI54" t="s" s="0">
        <v>81</v>
      </c>
      <c r="AJ54" t="s" s="0">
        <v>81</v>
      </c>
      <c r="AK54" t="s" s="0">
        <v>81</v>
      </c>
      <c r="AL54" t="s" s="0">
        <v>1223</v>
      </c>
      <c r="AM54" t="s" s="0">
        <v>77</v>
      </c>
      <c r="AN54" t="s" s="0">
        <v>77</v>
      </c>
      <c r="AO54" t="s" s="0">
        <v>77</v>
      </c>
      <c r="AP54" t="s" s="0">
        <v>77</v>
      </c>
      <c r="AQ54" t="s" s="0">
        <v>1224</v>
      </c>
      <c r="AR54" t="s" s="0">
        <v>1225</v>
      </c>
      <c r="AS54" t="s" s="0">
        <v>1226</v>
      </c>
      <c r="AT54" t="s" s="0">
        <v>1368</v>
      </c>
      <c r="AU54" t="s" s="0">
        <v>1369</v>
      </c>
      <c r="AV54" t="s" s="0">
        <v>81</v>
      </c>
      <c r="AW54" t="s" s="0">
        <v>1370</v>
      </c>
      <c r="AX54" t="s" s="0">
        <v>1371</v>
      </c>
      <c r="AY54" t="s" s="0">
        <v>1372</v>
      </c>
      <c r="AZ54" t="s" s="0">
        <v>106</v>
      </c>
      <c r="BA54" t="s" s="0">
        <v>1373</v>
      </c>
      <c r="BB54" t="s" s="0">
        <v>81</v>
      </c>
      <c r="BC54" t="s" s="0">
        <v>81</v>
      </c>
      <c r="BD54" t="s" s="0">
        <v>81</v>
      </c>
      <c r="BE54" t="s" s="0">
        <v>81</v>
      </c>
      <c r="BF54" t="s" s="0">
        <v>81</v>
      </c>
      <c r="BG54" t="s" s="0">
        <v>81</v>
      </c>
      <c r="BH54" t="s" s="0">
        <v>81</v>
      </c>
      <c r="BI54" t="s" s="0">
        <v>1374</v>
      </c>
      <c r="BJ54" t="s" s="0">
        <v>1375</v>
      </c>
      <c r="BK54" t="s" s="105">
        <f>HYPERLINK("http://dx.doi.org/10.1016/j.forsciint.2026.113110","http://dx.doi.org/10.1016/j.forsciint.2026.113110")</f>
        <v>1376</v>
      </c>
      <c r="BL54" t="s" s="0">
        <v>81</v>
      </c>
      <c r="BM54" t="s" s="0">
        <v>81</v>
      </c>
      <c r="BN54" t="s" s="0">
        <v>144</v>
      </c>
      <c r="BO54" t="s" s="0">
        <v>1377</v>
      </c>
      <c r="BP54" t="s" s="0">
        <v>1378</v>
      </c>
      <c r="BQ54" t="s" s="0">
        <v>1379</v>
      </c>
      <c r="BR54" t="s" s="0">
        <v>1380</v>
      </c>
      <c r="BS54" t="s" s="0">
        <v>1381</v>
      </c>
      <c r="BT54" t="s" s="106">
        <f>HYPERLINK("https://www.webofscience.com/wos/woscc/full-record/WOS:001854091300001","View Record in Web of Science")</f>
        <v>118</v>
      </c>
      <c r="BU54" t="s" s="0">
        <v>81</v>
      </c>
      <c r="BV54" t="s" s="0">
        <v>81</v>
      </c>
      <c r="BW54" t="s" s="0">
        <v>81</v>
      </c>
      <c r="BX54" t="s" s="0">
        <v>120</v>
      </c>
    </row>
    <row r="55">
      <c r="A55" t="s" s="0">
        <v>77</v>
      </c>
      <c r="B55" t="s" s="0">
        <v>77</v>
      </c>
      <c r="C55" t="s" s="0">
        <v>77</v>
      </c>
      <c r="D55" t="s" s="0">
        <v>77</v>
      </c>
      <c r="E55" t="s" s="0">
        <v>1382</v>
      </c>
      <c r="F55" t="s" s="0">
        <v>1383</v>
      </c>
      <c r="G55" t="s" s="0">
        <v>1384</v>
      </c>
      <c r="H55" t="s" s="0">
        <v>81</v>
      </c>
      <c r="I55" t="s" s="0">
        <v>82</v>
      </c>
      <c r="J55" t="s" s="0">
        <v>1385</v>
      </c>
      <c r="K55" t="s" s="0">
        <v>1386</v>
      </c>
      <c r="L55" t="s" s="0">
        <v>1387</v>
      </c>
      <c r="M55" t="s" s="0">
        <v>1388</v>
      </c>
      <c r="N55" t="s" s="0">
        <v>1389</v>
      </c>
      <c r="O55" t="s" s="0">
        <v>1390</v>
      </c>
      <c r="P55" t="s" s="0">
        <v>1391</v>
      </c>
      <c r="Q55" t="s" s="0">
        <v>90</v>
      </c>
      <c r="R55" t="s" s="0">
        <v>81</v>
      </c>
      <c r="S55" t="s" s="0">
        <v>81</v>
      </c>
      <c r="T55" t="s" s="0">
        <v>81</v>
      </c>
      <c r="U55" t="s" s="0">
        <v>81</v>
      </c>
      <c r="V55" t="s" s="0">
        <v>1392</v>
      </c>
      <c r="W55" t="s" s="0">
        <v>1393</v>
      </c>
      <c r="X55" t="s" s="0">
        <v>81</v>
      </c>
      <c r="Y55" t="s" s="0">
        <v>81</v>
      </c>
      <c r="Z55" t="s" s="0">
        <v>93</v>
      </c>
      <c r="AA55" t="s" s="0">
        <v>94</v>
      </c>
      <c r="AB55" t="s" s="0">
        <v>81</v>
      </c>
      <c r="AC55" t="s" s="0">
        <v>81</v>
      </c>
      <c r="AD55" t="s" s="0">
        <v>81</v>
      </c>
      <c r="AE55" t="s" s="0">
        <v>81</v>
      </c>
      <c r="AF55" t="s" s="0">
        <v>81</v>
      </c>
      <c r="AG55" t="s" s="0">
        <v>1394</v>
      </c>
      <c r="AH55" t="s" s="0">
        <v>1395</v>
      </c>
      <c r="AI55" t="s" s="0">
        <v>81</v>
      </c>
      <c r="AJ55" t="s" s="0">
        <v>81</v>
      </c>
      <c r="AK55" t="s" s="0">
        <v>81</v>
      </c>
      <c r="AL55" t="s" s="0">
        <v>1176</v>
      </c>
      <c r="AM55" t="s" s="0">
        <v>77</v>
      </c>
      <c r="AN55" t="s" s="0">
        <v>77</v>
      </c>
      <c r="AO55" t="s" s="0">
        <v>77</v>
      </c>
      <c r="AP55" t="s" s="0">
        <v>77</v>
      </c>
      <c r="AQ55" t="s" s="0">
        <v>1017</v>
      </c>
      <c r="AR55" t="s" s="0">
        <v>1018</v>
      </c>
      <c r="AS55" t="s" s="0">
        <v>1019</v>
      </c>
      <c r="AT55" t="s" s="0">
        <v>1396</v>
      </c>
      <c r="AU55" t="s" s="0">
        <v>1397</v>
      </c>
      <c r="AV55" t="s" s="0">
        <v>81</v>
      </c>
      <c r="AW55" t="s" s="0">
        <v>1398</v>
      </c>
      <c r="AX55" t="s" s="0">
        <v>1399</v>
      </c>
      <c r="AY55" t="s" s="0">
        <v>1372</v>
      </c>
      <c r="AZ55" t="s" s="0">
        <v>106</v>
      </c>
      <c r="BA55" t="s" s="0">
        <v>1400</v>
      </c>
      <c r="BB55" t="s" s="0">
        <v>144</v>
      </c>
      <c r="BC55" t="s" s="0">
        <v>81</v>
      </c>
      <c r="BD55" t="s" s="0">
        <v>81</v>
      </c>
      <c r="BE55" t="s" s="0">
        <v>81</v>
      </c>
      <c r="BF55" t="s" s="0">
        <v>81</v>
      </c>
      <c r="BG55" t="s" s="0">
        <v>81</v>
      </c>
      <c r="BH55" t="s" s="0">
        <v>81</v>
      </c>
      <c r="BI55" t="s" s="0">
        <v>1401</v>
      </c>
      <c r="BJ55" t="s" s="0">
        <v>1402</v>
      </c>
      <c r="BK55" t="s" s="107">
        <f>HYPERLINK("http://dx.doi.org/10.1016/j.jcms.2026.109855","http://dx.doi.org/10.1016/j.jcms.2026.109855")</f>
        <v>1403</v>
      </c>
      <c r="BL55" t="s" s="0">
        <v>81</v>
      </c>
      <c r="BM55" t="s" s="0">
        <v>81</v>
      </c>
      <c r="BN55" t="s" s="0">
        <v>387</v>
      </c>
      <c r="BO55" t="s" s="0">
        <v>1404</v>
      </c>
      <c r="BP55" t="s" s="0">
        <v>1404</v>
      </c>
      <c r="BQ55" t="s" s="0">
        <v>1405</v>
      </c>
      <c r="BR55" t="s" s="0">
        <v>1406</v>
      </c>
      <c r="BS55" t="s" s="0">
        <v>1407</v>
      </c>
      <c r="BT55" t="s" s="108">
        <f>HYPERLINK("https://www.webofscience.com/wos/woscc/full-record/WOS:001852072600001","View Record in Web of Science")</f>
        <v>118</v>
      </c>
      <c r="BU55" t="s" s="0">
        <v>81</v>
      </c>
      <c r="BV55" t="s" s="0">
        <v>81</v>
      </c>
      <c r="BW55" t="s" s="0">
        <v>81</v>
      </c>
      <c r="BX55" t="s" s="0">
        <v>120</v>
      </c>
    </row>
    <row r="56">
      <c r="A56" t="s" s="0">
        <v>77</v>
      </c>
      <c r="B56" t="s" s="0">
        <v>77</v>
      </c>
      <c r="C56" t="s" s="0">
        <v>77</v>
      </c>
      <c r="D56" t="s" s="0">
        <v>77</v>
      </c>
      <c r="E56" t="s" s="0">
        <v>1408</v>
      </c>
      <c r="F56" t="s" s="0">
        <v>1409</v>
      </c>
      <c r="G56" t="s" s="0">
        <v>1410</v>
      </c>
      <c r="H56" t="s" s="0">
        <v>81</v>
      </c>
      <c r="I56" t="s" s="0">
        <v>82</v>
      </c>
      <c r="J56" t="s" s="0">
        <v>1411</v>
      </c>
      <c r="K56" t="s" s="0">
        <v>1412</v>
      </c>
      <c r="L56" t="s" s="0">
        <v>81</v>
      </c>
      <c r="M56" t="s" s="0">
        <v>81</v>
      </c>
      <c r="N56" t="s" s="0">
        <v>81</v>
      </c>
      <c r="O56" t="s" s="0">
        <v>1413</v>
      </c>
      <c r="P56" t="s" s="0">
        <v>1414</v>
      </c>
      <c r="Q56" t="s" s="0">
        <v>90</v>
      </c>
      <c r="R56" t="s" s="0">
        <v>81</v>
      </c>
      <c r="S56" t="s" s="0">
        <v>81</v>
      </c>
      <c r="T56" t="s" s="0">
        <v>81</v>
      </c>
      <c r="U56" t="s" s="0">
        <v>81</v>
      </c>
      <c r="V56" t="s" s="0">
        <v>1415</v>
      </c>
      <c r="W56" t="s" s="0">
        <v>1416</v>
      </c>
      <c r="X56" t="s" s="0">
        <v>81</v>
      </c>
      <c r="Y56" t="s" s="0">
        <v>81</v>
      </c>
      <c r="Z56" t="s" s="0">
        <v>93</v>
      </c>
      <c r="AA56" t="s" s="0">
        <v>94</v>
      </c>
      <c r="AB56" t="s" s="0">
        <v>81</v>
      </c>
      <c r="AC56" t="s" s="0">
        <v>81</v>
      </c>
      <c r="AD56" t="s" s="0">
        <v>81</v>
      </c>
      <c r="AE56" t="s" s="0">
        <v>81</v>
      </c>
      <c r="AF56" t="s" s="0">
        <v>81</v>
      </c>
      <c r="AG56" t="s" s="0">
        <v>1417</v>
      </c>
      <c r="AH56" t="s" s="0">
        <v>1418</v>
      </c>
      <c r="AI56" t="s" s="0">
        <v>81</v>
      </c>
      <c r="AJ56" t="s" s="0">
        <v>81</v>
      </c>
      <c r="AK56" t="s" s="0">
        <v>81</v>
      </c>
      <c r="AL56" t="s" s="0">
        <v>107</v>
      </c>
      <c r="AM56" t="s" s="0">
        <v>77</v>
      </c>
      <c r="AN56" t="s" s="0">
        <v>77</v>
      </c>
      <c r="AO56" t="s" s="0">
        <v>77</v>
      </c>
      <c r="AP56" t="s" s="0">
        <v>77</v>
      </c>
      <c r="AQ56" t="s" s="0">
        <v>836</v>
      </c>
      <c r="AR56" t="s" s="0">
        <v>837</v>
      </c>
      <c r="AS56" t="s" s="0">
        <v>838</v>
      </c>
      <c r="AT56" t="s" s="0">
        <v>1419</v>
      </c>
      <c r="AU56" t="s" s="0">
        <v>1420</v>
      </c>
      <c r="AV56" t="s" s="0">
        <v>81</v>
      </c>
      <c r="AW56" t="s" s="0">
        <v>1421</v>
      </c>
      <c r="AX56" t="s" s="0">
        <v>1422</v>
      </c>
      <c r="AY56" t="s" s="0">
        <v>1372</v>
      </c>
      <c r="AZ56" t="s" s="0">
        <v>106</v>
      </c>
      <c r="BA56" t="s" s="0">
        <v>1423</v>
      </c>
      <c r="BB56" t="s" s="0">
        <v>81</v>
      </c>
      <c r="BC56" t="s" s="0">
        <v>81</v>
      </c>
      <c r="BD56" t="s" s="0">
        <v>81</v>
      </c>
      <c r="BE56" t="s" s="0">
        <v>81</v>
      </c>
      <c r="BF56" t="s" s="0">
        <v>81</v>
      </c>
      <c r="BG56" t="s" s="0">
        <v>81</v>
      </c>
      <c r="BH56" t="s" s="0">
        <v>81</v>
      </c>
      <c r="BI56" t="s" s="0">
        <v>1424</v>
      </c>
      <c r="BJ56" t="s" s="0">
        <v>1425</v>
      </c>
      <c r="BK56" t="s" s="109">
        <f>HYPERLINK("http://dx.doi.org/10.1016/j.trac.2026.119086","http://dx.doi.org/10.1016/j.trac.2026.119086")</f>
        <v>1426</v>
      </c>
      <c r="BL56" t="s" s="0">
        <v>81</v>
      </c>
      <c r="BM56" t="s" s="0">
        <v>81</v>
      </c>
      <c r="BN56" t="s" s="0">
        <v>1236</v>
      </c>
      <c r="BO56" t="s" s="0">
        <v>1427</v>
      </c>
      <c r="BP56" t="s" s="0">
        <v>1328</v>
      </c>
      <c r="BQ56" t="s" s="0">
        <v>1428</v>
      </c>
      <c r="BR56" t="s" s="0">
        <v>81</v>
      </c>
      <c r="BS56" t="s" s="0">
        <v>1429</v>
      </c>
      <c r="BT56" t="s" s="110">
        <f>HYPERLINK("https://www.webofscience.com/wos/woscc/full-record/WOS:001851812900001","View Record in Web of Science")</f>
        <v>118</v>
      </c>
      <c r="BU56" t="s" s="0">
        <v>81</v>
      </c>
      <c r="BV56" t="s" s="0">
        <v>81</v>
      </c>
      <c r="BW56" t="s" s="0">
        <v>81</v>
      </c>
      <c r="BX56" t="s" s="0">
        <v>120</v>
      </c>
    </row>
    <row r="57">
      <c r="A57" t="s" s="0">
        <v>77</v>
      </c>
      <c r="B57" t="s" s="0">
        <v>77</v>
      </c>
      <c r="C57" t="s" s="0">
        <v>77</v>
      </c>
      <c r="D57" t="s" s="0">
        <v>77</v>
      </c>
      <c r="E57" t="s" s="0">
        <v>1430</v>
      </c>
      <c r="F57" t="s" s="0">
        <v>1431</v>
      </c>
      <c r="G57" t="s" s="0">
        <v>1432</v>
      </c>
      <c r="H57" t="s" s="0">
        <v>81</v>
      </c>
      <c r="I57" t="s" s="0">
        <v>82</v>
      </c>
      <c r="J57" t="s" s="0">
        <v>1433</v>
      </c>
      <c r="K57" t="s" s="0">
        <v>1434</v>
      </c>
      <c r="L57" t="s" s="0">
        <v>81</v>
      </c>
      <c r="M57" t="s" s="0">
        <v>81</v>
      </c>
      <c r="N57" t="s" s="0">
        <v>81</v>
      </c>
      <c r="O57" t="s" s="0">
        <v>1435</v>
      </c>
      <c r="P57" t="s" s="0">
        <v>81</v>
      </c>
      <c r="Q57" t="s" s="0">
        <v>90</v>
      </c>
      <c r="R57" t="s" s="0">
        <v>81</v>
      </c>
      <c r="S57" t="s" s="0">
        <v>81</v>
      </c>
      <c r="T57" t="s" s="0">
        <v>81</v>
      </c>
      <c r="U57" t="s" s="0">
        <v>81</v>
      </c>
      <c r="V57" t="s" s="0">
        <v>1436</v>
      </c>
      <c r="W57" t="s" s="0">
        <v>1437</v>
      </c>
      <c r="X57" t="s" s="0">
        <v>81</v>
      </c>
      <c r="Y57" t="s" s="0">
        <v>81</v>
      </c>
      <c r="Z57" t="s" s="0">
        <v>93</v>
      </c>
      <c r="AA57" t="s" s="0">
        <v>94</v>
      </c>
      <c r="AB57" t="s" s="0">
        <v>81</v>
      </c>
      <c r="AC57" t="s" s="0">
        <v>81</v>
      </c>
      <c r="AD57" t="s" s="0">
        <v>81</v>
      </c>
      <c r="AE57" t="s" s="0">
        <v>81</v>
      </c>
      <c r="AF57" t="s" s="0">
        <v>81</v>
      </c>
      <c r="AG57" t="s" s="0">
        <v>1438</v>
      </c>
      <c r="AH57" t="s" s="0">
        <v>1439</v>
      </c>
      <c r="AI57" t="s" s="0">
        <v>81</v>
      </c>
      <c r="AJ57" t="s" s="0">
        <v>81</v>
      </c>
      <c r="AK57" t="s" s="0">
        <v>81</v>
      </c>
      <c r="AL57" t="s" s="0">
        <v>1440</v>
      </c>
      <c r="AM57" t="s" s="0">
        <v>77</v>
      </c>
      <c r="AN57" t="s" s="0">
        <v>77</v>
      </c>
      <c r="AO57" t="s" s="0">
        <v>77</v>
      </c>
      <c r="AP57" t="s" s="0">
        <v>77</v>
      </c>
      <c r="AQ57" t="s" s="0">
        <v>892</v>
      </c>
      <c r="AR57" t="s" s="0">
        <v>893</v>
      </c>
      <c r="AS57" t="s" s="0">
        <v>894</v>
      </c>
      <c r="AT57" t="s" s="0">
        <v>1441</v>
      </c>
      <c r="AU57" t="s" s="0">
        <v>1442</v>
      </c>
      <c r="AV57" t="s" s="0">
        <v>81</v>
      </c>
      <c r="AW57" t="s" s="0">
        <v>1443</v>
      </c>
      <c r="AX57" t="s" s="0">
        <v>1444</v>
      </c>
      <c r="AY57" t="s" s="0">
        <v>1372</v>
      </c>
      <c r="AZ57" t="s" s="0">
        <v>106</v>
      </c>
      <c r="BA57" t="s" s="0">
        <v>110</v>
      </c>
      <c r="BB57" t="s" s="0">
        <v>81</v>
      </c>
      <c r="BC57" t="s" s="0">
        <v>81</v>
      </c>
      <c r="BD57" t="s" s="0">
        <v>81</v>
      </c>
      <c r="BE57" t="s" s="0">
        <v>81</v>
      </c>
      <c r="BF57" t="s" s="0">
        <v>81</v>
      </c>
      <c r="BG57" t="s" s="0">
        <v>81</v>
      </c>
      <c r="BH57" t="s" s="0">
        <v>81</v>
      </c>
      <c r="BI57" t="s" s="0">
        <v>1445</v>
      </c>
      <c r="BJ57" t="s" s="0">
        <v>1446</v>
      </c>
      <c r="BK57" t="s" s="111">
        <f>HYPERLINK("http://dx.doi.org/10.1016/j.artmed.2026.103501","http://dx.doi.org/10.1016/j.artmed.2026.103501")</f>
        <v>1447</v>
      </c>
      <c r="BL57" t="s" s="0">
        <v>81</v>
      </c>
      <c r="BM57" t="s" s="0">
        <v>81</v>
      </c>
      <c r="BN57" t="s" s="0">
        <v>168</v>
      </c>
      <c r="BO57" t="s" s="0">
        <v>1448</v>
      </c>
      <c r="BP57" t="s" s="0">
        <v>1449</v>
      </c>
      <c r="BQ57" t="s" s="0">
        <v>1450</v>
      </c>
      <c r="BR57" t="s" s="0">
        <v>1451</v>
      </c>
      <c r="BS57" t="s" s="0">
        <v>1452</v>
      </c>
      <c r="BT57" t="s" s="112">
        <f>HYPERLINK("https://www.webofscience.com/wos/woscc/full-record/WOS:001850063200001","View Record in Web of Science")</f>
        <v>118</v>
      </c>
      <c r="BU57" t="s" s="0">
        <v>877</v>
      </c>
      <c r="BV57" t="s" s="0">
        <v>81</v>
      </c>
      <c r="BW57" t="s" s="0">
        <v>81</v>
      </c>
      <c r="BX57" t="s" s="0">
        <v>120</v>
      </c>
    </row>
    <row r="58">
      <c r="A58" t="s" s="0">
        <v>77</v>
      </c>
      <c r="B58" t="s" s="0">
        <v>77</v>
      </c>
      <c r="C58" t="s" s="0">
        <v>77</v>
      </c>
      <c r="D58" t="s" s="0">
        <v>77</v>
      </c>
      <c r="E58" t="s" s="0">
        <v>1453</v>
      </c>
      <c r="F58" t="s" s="0">
        <v>1454</v>
      </c>
      <c r="G58" t="s" s="0">
        <v>1455</v>
      </c>
      <c r="H58" t="s" s="0">
        <v>81</v>
      </c>
      <c r="I58" t="s" s="0">
        <v>82</v>
      </c>
      <c r="J58" t="s" s="0">
        <v>1456</v>
      </c>
      <c r="K58" t="s" s="0">
        <v>1457</v>
      </c>
      <c r="L58" t="s" s="0">
        <v>1458</v>
      </c>
      <c r="M58" t="s" s="0">
        <v>1459</v>
      </c>
      <c r="N58" t="s" s="0">
        <v>1460</v>
      </c>
      <c r="O58" t="s" s="0">
        <v>1461</v>
      </c>
      <c r="P58" t="s" s="0">
        <v>1462</v>
      </c>
      <c r="Q58" t="s" s="0">
        <v>90</v>
      </c>
      <c r="R58" t="s" s="0">
        <v>81</v>
      </c>
      <c r="S58" t="s" s="0">
        <v>81</v>
      </c>
      <c r="T58" t="s" s="0">
        <v>81</v>
      </c>
      <c r="U58" t="s" s="0">
        <v>81</v>
      </c>
      <c r="V58" t="s" s="0">
        <v>1463</v>
      </c>
      <c r="W58" t="s" s="0">
        <v>1464</v>
      </c>
      <c r="X58" t="s" s="0">
        <v>81</v>
      </c>
      <c r="Y58" t="s" s="0">
        <v>81</v>
      </c>
      <c r="Z58" t="s" s="0">
        <v>93</v>
      </c>
      <c r="AA58" t="s" s="0">
        <v>94</v>
      </c>
      <c r="AB58" t="s" s="0">
        <v>81</v>
      </c>
      <c r="AC58" t="s" s="0">
        <v>81</v>
      </c>
      <c r="AD58" t="s" s="0">
        <v>81</v>
      </c>
      <c r="AE58" t="s" s="0">
        <v>81</v>
      </c>
      <c r="AF58" t="s" s="0">
        <v>81</v>
      </c>
      <c r="AG58" t="s" s="0">
        <v>1465</v>
      </c>
      <c r="AH58" t="s" s="0">
        <v>1466</v>
      </c>
      <c r="AI58" t="s" s="0">
        <v>81</v>
      </c>
      <c r="AJ58" t="s" s="0">
        <v>81</v>
      </c>
      <c r="AK58" t="s" s="0">
        <v>81</v>
      </c>
      <c r="AL58" t="s" s="0">
        <v>972</v>
      </c>
      <c r="AM58" t="s" s="0">
        <v>77</v>
      </c>
      <c r="AN58" t="s" s="0">
        <v>77</v>
      </c>
      <c r="AO58" t="s" s="0">
        <v>77</v>
      </c>
      <c r="AP58" t="s" s="0">
        <v>77</v>
      </c>
      <c r="AQ58" t="s" s="0">
        <v>779</v>
      </c>
      <c r="AR58" t="s" s="0">
        <v>780</v>
      </c>
      <c r="AS58" t="s" s="0">
        <v>781</v>
      </c>
      <c r="AT58" t="s" s="0">
        <v>1467</v>
      </c>
      <c r="AU58" t="s" s="0">
        <v>1468</v>
      </c>
      <c r="AV58" t="s" s="0">
        <v>81</v>
      </c>
      <c r="AW58" t="s" s="0">
        <v>1469</v>
      </c>
      <c r="AX58" t="s" s="0">
        <v>1470</v>
      </c>
      <c r="AY58" t="s" s="0">
        <v>1372</v>
      </c>
      <c r="AZ58" t="s" s="0">
        <v>106</v>
      </c>
      <c r="BA58" t="s" s="0">
        <v>1471</v>
      </c>
      <c r="BB58" t="s" s="0">
        <v>81</v>
      </c>
      <c r="BC58" t="s" s="0">
        <v>81</v>
      </c>
      <c r="BD58" t="s" s="0">
        <v>81</v>
      </c>
      <c r="BE58" t="s" s="0">
        <v>81</v>
      </c>
      <c r="BF58" t="s" s="0">
        <v>81</v>
      </c>
      <c r="BG58" t="s" s="0">
        <v>81</v>
      </c>
      <c r="BH58" t="s" s="0">
        <v>81</v>
      </c>
      <c r="BI58" t="s" s="0">
        <v>1472</v>
      </c>
      <c r="BJ58" t="s" s="0">
        <v>1473</v>
      </c>
      <c r="BK58" t="s" s="113">
        <f>HYPERLINK("http://dx.doi.org/10.1016/j.biotechadv.2026.109002","http://dx.doi.org/10.1016/j.biotechadv.2026.109002")</f>
        <v>1474</v>
      </c>
      <c r="BL58" t="s" s="0">
        <v>81</v>
      </c>
      <c r="BM58" t="s" s="0">
        <v>81</v>
      </c>
      <c r="BN58" t="s" s="0">
        <v>113</v>
      </c>
      <c r="BO58" t="s" s="0">
        <v>1475</v>
      </c>
      <c r="BP58" t="s" s="0">
        <v>1475</v>
      </c>
      <c r="BQ58" t="s" s="0">
        <v>1476</v>
      </c>
      <c r="BR58" t="s" s="0">
        <v>1477</v>
      </c>
      <c r="BS58" t="s" s="0">
        <v>1478</v>
      </c>
      <c r="BT58" t="s" s="114">
        <f>HYPERLINK("https://www.webofscience.com/wos/woscc/full-record/WOS:001850922400001","View Record in Web of Science")</f>
        <v>118</v>
      </c>
      <c r="BU58" t="s" s="0">
        <v>81</v>
      </c>
      <c r="BV58" t="s" s="0">
        <v>81</v>
      </c>
      <c r="BW58" t="s" s="0">
        <v>81</v>
      </c>
      <c r="BX58" t="s" s="0">
        <v>120</v>
      </c>
    </row>
    <row r="59">
      <c r="A59" t="s" s="0">
        <v>77</v>
      </c>
      <c r="B59" t="s" s="0">
        <v>77</v>
      </c>
      <c r="C59" t="s" s="0">
        <v>77</v>
      </c>
      <c r="D59" t="s" s="0">
        <v>77</v>
      </c>
      <c r="E59" t="s" s="0">
        <v>1479</v>
      </c>
      <c r="F59" t="s" s="0">
        <v>1480</v>
      </c>
      <c r="G59" t="s" s="0">
        <v>1481</v>
      </c>
      <c r="H59" t="s" s="0">
        <v>81</v>
      </c>
      <c r="I59" t="s" s="0">
        <v>82</v>
      </c>
      <c r="J59" t="s" s="0">
        <v>1482</v>
      </c>
      <c r="K59" t="s" s="0">
        <v>1483</v>
      </c>
      <c r="L59" t="s" s="0">
        <v>1484</v>
      </c>
      <c r="M59" t="s" s="0">
        <v>1485</v>
      </c>
      <c r="N59" t="s" s="0">
        <v>1486</v>
      </c>
      <c r="O59" t="s" s="0">
        <v>1487</v>
      </c>
      <c r="P59" t="s" s="0">
        <v>1488</v>
      </c>
      <c r="Q59" t="s" s="0">
        <v>90</v>
      </c>
      <c r="R59" t="s" s="0">
        <v>81</v>
      </c>
      <c r="S59" t="s" s="0">
        <v>81</v>
      </c>
      <c r="T59" t="s" s="0">
        <v>81</v>
      </c>
      <c r="U59" t="s" s="0">
        <v>81</v>
      </c>
      <c r="V59" t="s" s="0">
        <v>1489</v>
      </c>
      <c r="W59" t="s" s="0">
        <v>1416</v>
      </c>
      <c r="X59" t="s" s="0">
        <v>81</v>
      </c>
      <c r="Y59" t="s" s="0">
        <v>81</v>
      </c>
      <c r="Z59" t="s" s="0">
        <v>93</v>
      </c>
      <c r="AA59" t="s" s="0">
        <v>94</v>
      </c>
      <c r="AB59" t="s" s="0">
        <v>81</v>
      </c>
      <c r="AC59" t="s" s="0">
        <v>81</v>
      </c>
      <c r="AD59" t="s" s="0">
        <v>81</v>
      </c>
      <c r="AE59" t="s" s="0">
        <v>81</v>
      </c>
      <c r="AF59" t="s" s="0">
        <v>81</v>
      </c>
      <c r="AG59" t="s" s="0">
        <v>1490</v>
      </c>
      <c r="AH59" t="s" s="0">
        <v>1491</v>
      </c>
      <c r="AI59" t="s" s="0">
        <v>81</v>
      </c>
      <c r="AJ59" t="s" s="0">
        <v>81</v>
      </c>
      <c r="AK59" t="s" s="0">
        <v>81</v>
      </c>
      <c r="AL59" t="s" s="0">
        <v>163</v>
      </c>
      <c r="AM59" t="s" s="0">
        <v>77</v>
      </c>
      <c r="AN59" t="s" s="0">
        <v>77</v>
      </c>
      <c r="AO59" t="s" s="0">
        <v>77</v>
      </c>
      <c r="AP59" t="s" s="0">
        <v>77</v>
      </c>
      <c r="AQ59" t="s" s="0">
        <v>836</v>
      </c>
      <c r="AR59" t="s" s="0">
        <v>837</v>
      </c>
      <c r="AS59" t="s" s="0">
        <v>838</v>
      </c>
      <c r="AT59" t="s" s="0">
        <v>1419</v>
      </c>
      <c r="AU59" t="s" s="0">
        <v>1420</v>
      </c>
      <c r="AV59" t="s" s="0">
        <v>81</v>
      </c>
      <c r="AW59" t="s" s="0">
        <v>1421</v>
      </c>
      <c r="AX59" t="s" s="0">
        <v>1422</v>
      </c>
      <c r="AY59" t="s" s="0">
        <v>1372</v>
      </c>
      <c r="AZ59" t="s" s="0">
        <v>106</v>
      </c>
      <c r="BA59" t="s" s="0">
        <v>1423</v>
      </c>
      <c r="BB59" t="s" s="0">
        <v>81</v>
      </c>
      <c r="BC59" t="s" s="0">
        <v>81</v>
      </c>
      <c r="BD59" t="s" s="0">
        <v>81</v>
      </c>
      <c r="BE59" t="s" s="0">
        <v>81</v>
      </c>
      <c r="BF59" t="s" s="0">
        <v>81</v>
      </c>
      <c r="BG59" t="s" s="0">
        <v>81</v>
      </c>
      <c r="BH59" t="s" s="0">
        <v>81</v>
      </c>
      <c r="BI59" t="s" s="0">
        <v>1492</v>
      </c>
      <c r="BJ59" t="s" s="0">
        <v>1493</v>
      </c>
      <c r="BK59" t="s" s="115">
        <f>HYPERLINK("http://dx.doi.org/10.1016/j.trac.2026.119054","http://dx.doi.org/10.1016/j.trac.2026.119054")</f>
        <v>1494</v>
      </c>
      <c r="BL59" t="s" s="0">
        <v>81</v>
      </c>
      <c r="BM59" t="s" s="0">
        <v>81</v>
      </c>
      <c r="BN59" t="s" s="0">
        <v>316</v>
      </c>
      <c r="BO59" t="s" s="0">
        <v>1427</v>
      </c>
      <c r="BP59" t="s" s="0">
        <v>1328</v>
      </c>
      <c r="BQ59" t="s" s="0">
        <v>1495</v>
      </c>
      <c r="BR59" t="s" s="0">
        <v>81</v>
      </c>
      <c r="BS59" t="s" s="0">
        <v>1496</v>
      </c>
      <c r="BT59" t="s" s="116">
        <f>HYPERLINK("https://www.webofscience.com/wos/woscc/full-record/WOS:001851249200001","View Record in Web of Science")</f>
        <v>118</v>
      </c>
      <c r="BU59" t="s" s="0">
        <v>81</v>
      </c>
      <c r="BV59" t="s" s="0">
        <v>81</v>
      </c>
      <c r="BW59" t="s" s="0">
        <v>81</v>
      </c>
      <c r="BX59" t="s" s="0">
        <v>120</v>
      </c>
    </row>
    <row r="60">
      <c r="A60" t="s" s="0">
        <v>77</v>
      </c>
      <c r="B60" t="s" s="0">
        <v>77</v>
      </c>
      <c r="C60" t="s" s="0">
        <v>77</v>
      </c>
      <c r="D60" t="s" s="0">
        <v>77</v>
      </c>
      <c r="E60" t="s" s="0">
        <v>1497</v>
      </c>
      <c r="F60" t="s" s="0">
        <v>1498</v>
      </c>
      <c r="G60" t="s" s="0">
        <v>1499</v>
      </c>
      <c r="H60" t="s" s="0">
        <v>81</v>
      </c>
      <c r="I60" t="s" s="0">
        <v>82</v>
      </c>
      <c r="J60" t="s" s="0">
        <v>1500</v>
      </c>
      <c r="K60" t="s" s="0">
        <v>1501</v>
      </c>
      <c r="L60" t="s" s="0">
        <v>1502</v>
      </c>
      <c r="M60" t="s" s="0">
        <v>1503</v>
      </c>
      <c r="N60" t="s" s="0">
        <v>1504</v>
      </c>
      <c r="O60" t="s" s="0">
        <v>1505</v>
      </c>
      <c r="P60" t="s" s="0">
        <v>1506</v>
      </c>
      <c r="Q60" t="s" s="0">
        <v>90</v>
      </c>
      <c r="R60" t="s" s="0">
        <v>81</v>
      </c>
      <c r="S60" t="s" s="0">
        <v>81</v>
      </c>
      <c r="T60" t="s" s="0">
        <v>81</v>
      </c>
      <c r="U60" t="s" s="0">
        <v>81</v>
      </c>
      <c r="V60" t="s" s="0">
        <v>1507</v>
      </c>
      <c r="W60" t="s" s="0">
        <v>1416</v>
      </c>
      <c r="X60" t="s" s="0">
        <v>81</v>
      </c>
      <c r="Y60" t="s" s="0">
        <v>81</v>
      </c>
      <c r="Z60" t="s" s="0">
        <v>93</v>
      </c>
      <c r="AA60" t="s" s="0">
        <v>94</v>
      </c>
      <c r="AB60" t="s" s="0">
        <v>81</v>
      </c>
      <c r="AC60" t="s" s="0">
        <v>81</v>
      </c>
      <c r="AD60" t="s" s="0">
        <v>81</v>
      </c>
      <c r="AE60" t="s" s="0">
        <v>81</v>
      </c>
      <c r="AF60" t="s" s="0">
        <v>81</v>
      </c>
      <c r="AG60" t="s" s="0">
        <v>1508</v>
      </c>
      <c r="AH60" t="s" s="0">
        <v>1509</v>
      </c>
      <c r="AI60" t="s" s="0">
        <v>81</v>
      </c>
      <c r="AJ60" t="s" s="0">
        <v>81</v>
      </c>
      <c r="AK60" t="s" s="0">
        <v>81</v>
      </c>
      <c r="AL60" t="s" s="0">
        <v>919</v>
      </c>
      <c r="AM60" t="s" s="0">
        <v>77</v>
      </c>
      <c r="AN60" t="s" s="0">
        <v>77</v>
      </c>
      <c r="AO60" t="s" s="0">
        <v>77</v>
      </c>
      <c r="AP60" t="s" s="0">
        <v>77</v>
      </c>
      <c r="AQ60" t="s" s="0">
        <v>836</v>
      </c>
      <c r="AR60" t="s" s="0">
        <v>837</v>
      </c>
      <c r="AS60" t="s" s="0">
        <v>838</v>
      </c>
      <c r="AT60" t="s" s="0">
        <v>1419</v>
      </c>
      <c r="AU60" t="s" s="0">
        <v>1420</v>
      </c>
      <c r="AV60" t="s" s="0">
        <v>81</v>
      </c>
      <c r="AW60" t="s" s="0">
        <v>1421</v>
      </c>
      <c r="AX60" t="s" s="0">
        <v>1422</v>
      </c>
      <c r="AY60" t="s" s="0">
        <v>1372</v>
      </c>
      <c r="AZ60" t="s" s="0">
        <v>106</v>
      </c>
      <c r="BA60" t="s" s="0">
        <v>1423</v>
      </c>
      <c r="BB60" t="s" s="0">
        <v>81</v>
      </c>
      <c r="BC60" t="s" s="0">
        <v>81</v>
      </c>
      <c r="BD60" t="s" s="0">
        <v>81</v>
      </c>
      <c r="BE60" t="s" s="0">
        <v>81</v>
      </c>
      <c r="BF60" t="s" s="0">
        <v>81</v>
      </c>
      <c r="BG60" t="s" s="0">
        <v>81</v>
      </c>
      <c r="BH60" t="s" s="0">
        <v>81</v>
      </c>
      <c r="BI60" t="s" s="0">
        <v>1510</v>
      </c>
      <c r="BJ60" t="s" s="0">
        <v>1511</v>
      </c>
      <c r="BK60" t="s" s="117">
        <f>HYPERLINK("http://dx.doi.org/10.1016/j.trac.2026.119075","http://dx.doi.org/10.1016/j.trac.2026.119075")</f>
        <v>1512</v>
      </c>
      <c r="BL60" t="s" s="0">
        <v>81</v>
      </c>
      <c r="BM60" t="s" s="0">
        <v>81</v>
      </c>
      <c r="BN60" t="s" s="0">
        <v>626</v>
      </c>
      <c r="BO60" t="s" s="0">
        <v>1427</v>
      </c>
      <c r="BP60" t="s" s="0">
        <v>1328</v>
      </c>
      <c r="BQ60" t="s" s="0">
        <v>1513</v>
      </c>
      <c r="BR60" t="s" s="0">
        <v>81</v>
      </c>
      <c r="BS60" t="s" s="0">
        <v>1514</v>
      </c>
      <c r="BT60" t="s" s="118">
        <f>HYPERLINK("https://www.webofscience.com/wos/woscc/full-record/WOS:001849972300002","View Record in Web of Science")</f>
        <v>118</v>
      </c>
      <c r="BU60" t="s" s="0">
        <v>81</v>
      </c>
      <c r="BV60" t="s" s="0">
        <v>81</v>
      </c>
      <c r="BW60" t="s" s="0">
        <v>81</v>
      </c>
      <c r="BX60" t="s" s="0">
        <v>120</v>
      </c>
    </row>
    <row r="61">
      <c r="A61" t="s" s="0">
        <v>77</v>
      </c>
      <c r="B61" t="s" s="0">
        <v>77</v>
      </c>
      <c r="C61" t="s" s="0">
        <v>77</v>
      </c>
      <c r="D61" t="s" s="0">
        <v>77</v>
      </c>
      <c r="E61" t="s" s="0">
        <v>1515</v>
      </c>
      <c r="F61" t="s" s="0">
        <v>1516</v>
      </c>
      <c r="G61" t="s" s="0">
        <v>1517</v>
      </c>
      <c r="H61" t="s" s="0">
        <v>81</v>
      </c>
      <c r="I61" t="s" s="0">
        <v>124</v>
      </c>
      <c r="J61" t="s" s="0">
        <v>1518</v>
      </c>
      <c r="K61" t="s" s="0">
        <v>1519</v>
      </c>
      <c r="L61" t="s" s="0">
        <v>81</v>
      </c>
      <c r="M61" t="s" s="0">
        <v>81</v>
      </c>
      <c r="N61" t="s" s="0">
        <v>81</v>
      </c>
      <c r="O61" t="s" s="0">
        <v>1520</v>
      </c>
      <c r="P61" t="s" s="0">
        <v>1521</v>
      </c>
      <c r="Q61" t="s" s="0">
        <v>90</v>
      </c>
      <c r="R61" t="s" s="0">
        <v>81</v>
      </c>
      <c r="S61" t="s" s="0">
        <v>81</v>
      </c>
      <c r="T61" t="s" s="0">
        <v>81</v>
      </c>
      <c r="U61" t="s" s="0">
        <v>81</v>
      </c>
      <c r="V61" t="s" s="0">
        <v>1522</v>
      </c>
      <c r="W61" t="s" s="0">
        <v>1523</v>
      </c>
      <c r="X61" t="s" s="0">
        <v>81</v>
      </c>
      <c r="Y61" t="s" s="0">
        <v>81</v>
      </c>
      <c r="Z61" t="s" s="0">
        <v>93</v>
      </c>
      <c r="AA61" t="s" s="0">
        <v>94</v>
      </c>
      <c r="AB61" t="s" s="0">
        <v>81</v>
      </c>
      <c r="AC61" t="s" s="0">
        <v>81</v>
      </c>
      <c r="AD61" t="s" s="0">
        <v>81</v>
      </c>
      <c r="AE61" t="s" s="0">
        <v>81</v>
      </c>
      <c r="AF61" t="s" s="0">
        <v>81</v>
      </c>
      <c r="AG61" t="s" s="0">
        <v>1524</v>
      </c>
      <c r="AH61" t="s" s="0">
        <v>81</v>
      </c>
      <c r="AI61" t="s" s="0">
        <v>81</v>
      </c>
      <c r="AJ61" t="s" s="0">
        <v>81</v>
      </c>
      <c r="AK61" t="s" s="0">
        <v>81</v>
      </c>
      <c r="AL61" t="s" s="0">
        <v>1525</v>
      </c>
      <c r="AM61" t="s" s="0">
        <v>77</v>
      </c>
      <c r="AN61" t="s" s="0">
        <v>77</v>
      </c>
      <c r="AO61" t="s" s="0">
        <v>77</v>
      </c>
      <c r="AP61" t="s" s="0">
        <v>77</v>
      </c>
      <c r="AQ61" t="s" s="0">
        <v>1103</v>
      </c>
      <c r="AR61" t="s" s="0">
        <v>1104</v>
      </c>
      <c r="AS61" t="s" s="0">
        <v>1105</v>
      </c>
      <c r="AT61" t="s" s="0">
        <v>1526</v>
      </c>
      <c r="AU61" t="s" s="0">
        <v>1527</v>
      </c>
      <c r="AV61" t="s" s="0">
        <v>81</v>
      </c>
      <c r="AW61" t="s" s="0">
        <v>1528</v>
      </c>
      <c r="AX61" t="s" s="0">
        <v>1529</v>
      </c>
      <c r="AY61" t="s" s="0">
        <v>1372</v>
      </c>
      <c r="AZ61" t="s" s="0">
        <v>106</v>
      </c>
      <c r="BA61" t="s" s="0">
        <v>438</v>
      </c>
      <c r="BB61" t="s" s="0">
        <v>144</v>
      </c>
      <c r="BC61" t="s" s="0">
        <v>81</v>
      </c>
      <c r="BD61" t="s" s="0">
        <v>81</v>
      </c>
      <c r="BE61" t="s" s="0">
        <v>81</v>
      </c>
      <c r="BF61" t="s" s="0">
        <v>81</v>
      </c>
      <c r="BG61" t="s" s="0">
        <v>81</v>
      </c>
      <c r="BH61" t="s" s="0">
        <v>81</v>
      </c>
      <c r="BI61" t="s" s="0">
        <v>1530</v>
      </c>
      <c r="BJ61" t="s" s="0">
        <v>1531</v>
      </c>
      <c r="BK61" t="s" s="119">
        <f>HYPERLINK("http://dx.doi.org/10.1016/j.cptl.2026.102752","http://dx.doi.org/10.1016/j.cptl.2026.102752")</f>
        <v>1532</v>
      </c>
      <c r="BL61" t="s" s="0">
        <v>81</v>
      </c>
      <c r="BM61" t="s" s="0">
        <v>81</v>
      </c>
      <c r="BN61" t="s" s="0">
        <v>413</v>
      </c>
      <c r="BO61" t="s" s="0">
        <v>1533</v>
      </c>
      <c r="BP61" t="s" s="0">
        <v>1534</v>
      </c>
      <c r="BQ61" t="s" s="0">
        <v>1535</v>
      </c>
      <c r="BR61" t="s" s="0">
        <v>1536</v>
      </c>
      <c r="BS61" t="s" s="0">
        <v>1537</v>
      </c>
      <c r="BT61" t="s" s="120">
        <f>HYPERLINK("https://www.webofscience.com/wos/woscc/full-record/WOS:001847199600001","View Record in Web of Science")</f>
        <v>118</v>
      </c>
      <c r="BU61" t="s" s="0">
        <v>81</v>
      </c>
      <c r="BV61" t="s" s="0">
        <v>81</v>
      </c>
      <c r="BW61" t="s" s="0">
        <v>81</v>
      </c>
      <c r="BX61" t="s" s="0">
        <v>120</v>
      </c>
    </row>
    <row r="62">
      <c r="A62" t="s" s="0">
        <v>77</v>
      </c>
      <c r="B62" t="s" s="0">
        <v>77</v>
      </c>
      <c r="C62" t="s" s="0">
        <v>77</v>
      </c>
      <c r="D62" t="s" s="0">
        <v>77</v>
      </c>
      <c r="E62" t="s" s="0">
        <v>1538</v>
      </c>
      <c r="F62" t="s" s="0">
        <v>1539</v>
      </c>
      <c r="G62" t="s" s="0">
        <v>1540</v>
      </c>
      <c r="H62" t="s" s="0">
        <v>81</v>
      </c>
      <c r="I62" t="s" s="0">
        <v>82</v>
      </c>
      <c r="J62" t="s" s="0">
        <v>1541</v>
      </c>
      <c r="K62" t="s" s="0">
        <v>1542</v>
      </c>
      <c r="L62" t="s" s="0">
        <v>1543</v>
      </c>
      <c r="M62" t="s" s="0">
        <v>1544</v>
      </c>
      <c r="N62" t="s" s="0">
        <v>1545</v>
      </c>
      <c r="O62" t="s" s="0">
        <v>1546</v>
      </c>
      <c r="P62" t="s" s="0">
        <v>1547</v>
      </c>
      <c r="Q62" t="s" s="0">
        <v>90</v>
      </c>
      <c r="R62" t="s" s="0">
        <v>81</v>
      </c>
      <c r="S62" t="s" s="0">
        <v>81</v>
      </c>
      <c r="T62" t="s" s="0">
        <v>81</v>
      </c>
      <c r="U62" t="s" s="0">
        <v>81</v>
      </c>
      <c r="V62" t="s" s="0">
        <v>1548</v>
      </c>
      <c r="W62" t="s" s="0">
        <v>1416</v>
      </c>
      <c r="X62" t="s" s="0">
        <v>81</v>
      </c>
      <c r="Y62" t="s" s="0">
        <v>81</v>
      </c>
      <c r="Z62" t="s" s="0">
        <v>93</v>
      </c>
      <c r="AA62" t="s" s="0">
        <v>94</v>
      </c>
      <c r="AB62" t="s" s="0">
        <v>81</v>
      </c>
      <c r="AC62" t="s" s="0">
        <v>81</v>
      </c>
      <c r="AD62" t="s" s="0">
        <v>81</v>
      </c>
      <c r="AE62" t="s" s="0">
        <v>81</v>
      </c>
      <c r="AF62" t="s" s="0">
        <v>81</v>
      </c>
      <c r="AG62" t="s" s="0">
        <v>1549</v>
      </c>
      <c r="AH62" t="s" s="0">
        <v>1550</v>
      </c>
      <c r="AI62" t="s" s="0">
        <v>81</v>
      </c>
      <c r="AJ62" t="s" s="0">
        <v>81</v>
      </c>
      <c r="AK62" t="s" s="0">
        <v>81</v>
      </c>
      <c r="AL62" t="s" s="0">
        <v>109</v>
      </c>
      <c r="AM62" t="s" s="0">
        <v>77</v>
      </c>
      <c r="AN62" t="s" s="0">
        <v>77</v>
      </c>
      <c r="AO62" t="s" s="0">
        <v>77</v>
      </c>
      <c r="AP62" t="s" s="0">
        <v>77</v>
      </c>
      <c r="AQ62" t="s" s="0">
        <v>836</v>
      </c>
      <c r="AR62" t="s" s="0">
        <v>837</v>
      </c>
      <c r="AS62" t="s" s="0">
        <v>838</v>
      </c>
      <c r="AT62" t="s" s="0">
        <v>1419</v>
      </c>
      <c r="AU62" t="s" s="0">
        <v>1420</v>
      </c>
      <c r="AV62" t="s" s="0">
        <v>81</v>
      </c>
      <c r="AW62" t="s" s="0">
        <v>1421</v>
      </c>
      <c r="AX62" t="s" s="0">
        <v>1422</v>
      </c>
      <c r="AY62" t="s" s="0">
        <v>1372</v>
      </c>
      <c r="AZ62" t="s" s="0">
        <v>106</v>
      </c>
      <c r="BA62" t="s" s="0">
        <v>1423</v>
      </c>
      <c r="BB62" t="s" s="0">
        <v>81</v>
      </c>
      <c r="BC62" t="s" s="0">
        <v>81</v>
      </c>
      <c r="BD62" t="s" s="0">
        <v>81</v>
      </c>
      <c r="BE62" t="s" s="0">
        <v>81</v>
      </c>
      <c r="BF62" t="s" s="0">
        <v>81</v>
      </c>
      <c r="BG62" t="s" s="0">
        <v>81</v>
      </c>
      <c r="BH62" t="s" s="0">
        <v>81</v>
      </c>
      <c r="BI62" t="s" s="0">
        <v>1551</v>
      </c>
      <c r="BJ62" t="s" s="0">
        <v>1552</v>
      </c>
      <c r="BK62" t="s" s="121">
        <f>HYPERLINK("http://dx.doi.org/10.1016/j.trac.2026.119061","http://dx.doi.org/10.1016/j.trac.2026.119061")</f>
        <v>1553</v>
      </c>
      <c r="BL62" t="s" s="0">
        <v>81</v>
      </c>
      <c r="BM62" t="s" s="0">
        <v>81</v>
      </c>
      <c r="BN62" t="s" s="0">
        <v>668</v>
      </c>
      <c r="BO62" t="s" s="0">
        <v>1427</v>
      </c>
      <c r="BP62" t="s" s="0">
        <v>1328</v>
      </c>
      <c r="BQ62" t="s" s="0">
        <v>1554</v>
      </c>
      <c r="BR62" t="s" s="0">
        <v>81</v>
      </c>
      <c r="BS62" t="s" s="0">
        <v>1555</v>
      </c>
      <c r="BT62" t="s" s="122">
        <f>HYPERLINK("https://www.webofscience.com/wos/woscc/full-record/WOS:001846595000001","View Record in Web of Science")</f>
        <v>118</v>
      </c>
      <c r="BU62" t="s" s="0">
        <v>877</v>
      </c>
      <c r="BV62" t="s" s="0">
        <v>81</v>
      </c>
      <c r="BW62" t="s" s="0">
        <v>81</v>
      </c>
      <c r="BX62" t="s" s="0">
        <v>120</v>
      </c>
    </row>
    <row r="63">
      <c r="A63" t="s" s="0">
        <v>77</v>
      </c>
      <c r="B63" t="s" s="0">
        <v>77</v>
      </c>
      <c r="C63" t="s" s="0">
        <v>77</v>
      </c>
      <c r="D63" t="s" s="0">
        <v>77</v>
      </c>
      <c r="E63" t="s" s="0">
        <v>1556</v>
      </c>
      <c r="F63" t="s" s="0">
        <v>1557</v>
      </c>
      <c r="G63" t="s" s="0">
        <v>1558</v>
      </c>
      <c r="H63" t="s" s="0">
        <v>81</v>
      </c>
      <c r="I63" t="s" s="0">
        <v>82</v>
      </c>
      <c r="J63" t="s" s="0">
        <v>1559</v>
      </c>
      <c r="K63" t="s" s="0">
        <v>1560</v>
      </c>
      <c r="L63" t="s" s="0">
        <v>1561</v>
      </c>
      <c r="M63" t="s" s="0">
        <v>1562</v>
      </c>
      <c r="N63" t="s" s="0">
        <v>1563</v>
      </c>
      <c r="O63" t="s" s="0">
        <v>1564</v>
      </c>
      <c r="P63" t="s" s="0">
        <v>1565</v>
      </c>
      <c r="Q63" t="s" s="0">
        <v>90</v>
      </c>
      <c r="R63" t="s" s="0">
        <v>81</v>
      </c>
      <c r="S63" t="s" s="0">
        <v>81</v>
      </c>
      <c r="T63" t="s" s="0">
        <v>81</v>
      </c>
      <c r="U63" t="s" s="0">
        <v>81</v>
      </c>
      <c r="V63" t="s" s="0">
        <v>1566</v>
      </c>
      <c r="W63" t="s" s="0">
        <v>832</v>
      </c>
      <c r="X63" t="s" s="0">
        <v>81</v>
      </c>
      <c r="Y63" t="s" s="0">
        <v>81</v>
      </c>
      <c r="Z63" t="s" s="0">
        <v>93</v>
      </c>
      <c r="AA63" t="s" s="0">
        <v>94</v>
      </c>
      <c r="AB63" t="s" s="0">
        <v>81</v>
      </c>
      <c r="AC63" t="s" s="0">
        <v>81</v>
      </c>
      <c r="AD63" t="s" s="0">
        <v>81</v>
      </c>
      <c r="AE63" t="s" s="0">
        <v>81</v>
      </c>
      <c r="AF63" t="s" s="0">
        <v>81</v>
      </c>
      <c r="AG63" t="s" s="0">
        <v>1567</v>
      </c>
      <c r="AH63" t="s" s="0">
        <v>1568</v>
      </c>
      <c r="AI63" t="s" s="0">
        <v>81</v>
      </c>
      <c r="AJ63" t="s" s="0">
        <v>81</v>
      </c>
      <c r="AK63" t="s" s="0">
        <v>81</v>
      </c>
      <c r="AL63" t="s" s="0">
        <v>568</v>
      </c>
      <c r="AM63" t="s" s="0">
        <v>77</v>
      </c>
      <c r="AN63" t="s" s="0">
        <v>77</v>
      </c>
      <c r="AO63" t="s" s="0">
        <v>77</v>
      </c>
      <c r="AP63" t="s" s="0">
        <v>77</v>
      </c>
      <c r="AQ63" t="s" s="0">
        <v>836</v>
      </c>
      <c r="AR63" t="s" s="0">
        <v>837</v>
      </c>
      <c r="AS63" t="s" s="0">
        <v>838</v>
      </c>
      <c r="AT63" t="s" s="0">
        <v>839</v>
      </c>
      <c r="AU63" t="s" s="0">
        <v>840</v>
      </c>
      <c r="AV63" t="s" s="0">
        <v>81</v>
      </c>
      <c r="AW63" t="s" s="0">
        <v>841</v>
      </c>
      <c r="AX63" t="s" s="0">
        <v>842</v>
      </c>
      <c r="AY63" t="s" s="0">
        <v>1569</v>
      </c>
      <c r="AZ63" t="s" s="0">
        <v>106</v>
      </c>
      <c r="BA63" t="s" s="0">
        <v>1570</v>
      </c>
      <c r="BB63" t="s" s="0">
        <v>81</v>
      </c>
      <c r="BC63" t="s" s="0">
        <v>81</v>
      </c>
      <c r="BD63" t="s" s="0">
        <v>1571</v>
      </c>
      <c r="BE63" t="s" s="0">
        <v>81</v>
      </c>
      <c r="BF63" t="s" s="0">
        <v>81</v>
      </c>
      <c r="BG63" t="s" s="0">
        <v>81</v>
      </c>
      <c r="BH63" t="s" s="0">
        <v>81</v>
      </c>
      <c r="BI63" t="s" s="0">
        <v>1572</v>
      </c>
      <c r="BJ63" t="s" s="0">
        <v>1573</v>
      </c>
      <c r="BK63" t="s" s="123">
        <f>HYPERLINK("http://dx.doi.org/10.1016/j.bspc.2026.111207","http://dx.doi.org/10.1016/j.bspc.2026.111207")</f>
        <v>1574</v>
      </c>
      <c r="BL63" t="s" s="0">
        <v>81</v>
      </c>
      <c r="BM63" t="s" s="0">
        <v>81</v>
      </c>
      <c r="BN63" t="s" s="0">
        <v>363</v>
      </c>
      <c r="BO63" t="s" s="0">
        <v>848</v>
      </c>
      <c r="BP63" t="s" s="0">
        <v>393</v>
      </c>
      <c r="BQ63" t="s" s="0">
        <v>1575</v>
      </c>
      <c r="BR63" t="s" s="0">
        <v>81</v>
      </c>
      <c r="BS63" t="s" s="0">
        <v>1576</v>
      </c>
      <c r="BT63" t="s" s="124">
        <f>HYPERLINK("https://www.webofscience.com/wos/woscc/full-record/WOS:001844928100001","View Record in Web of Science")</f>
        <v>118</v>
      </c>
      <c r="BU63" t="s" s="0">
        <v>81</v>
      </c>
      <c r="BV63" t="s" s="0">
        <v>81</v>
      </c>
      <c r="BW63" t="s" s="0">
        <v>81</v>
      </c>
      <c r="BX63" t="s" s="0">
        <v>120</v>
      </c>
    </row>
    <row r="64">
      <c r="A64" t="s" s="0">
        <v>77</v>
      </c>
      <c r="B64" t="s" s="0">
        <v>77</v>
      </c>
      <c r="C64" t="s" s="0">
        <v>77</v>
      </c>
      <c r="D64" t="s" s="0">
        <v>77</v>
      </c>
      <c r="E64" t="s" s="0">
        <v>1577</v>
      </c>
      <c r="F64" t="s" s="0">
        <v>1578</v>
      </c>
      <c r="G64" t="s" s="0">
        <v>1579</v>
      </c>
      <c r="H64" t="s" s="0">
        <v>81</v>
      </c>
      <c r="I64" t="s" s="0">
        <v>82</v>
      </c>
      <c r="J64" t="s" s="0">
        <v>1580</v>
      </c>
      <c r="K64" t="s" s="0">
        <v>1581</v>
      </c>
      <c r="L64" t="s" s="0">
        <v>81</v>
      </c>
      <c r="M64" t="s" s="0">
        <v>81</v>
      </c>
      <c r="N64" t="s" s="0">
        <v>81</v>
      </c>
      <c r="O64" t="s" s="0">
        <v>1582</v>
      </c>
      <c r="P64" t="s" s="0">
        <v>1583</v>
      </c>
      <c r="Q64" t="s" s="0">
        <v>90</v>
      </c>
      <c r="R64" t="s" s="0">
        <v>81</v>
      </c>
      <c r="S64" t="s" s="0">
        <v>81</v>
      </c>
      <c r="T64" t="s" s="0">
        <v>81</v>
      </c>
      <c r="U64" t="s" s="0">
        <v>81</v>
      </c>
      <c r="V64" t="s" s="0">
        <v>1584</v>
      </c>
      <c r="W64" t="s" s="0">
        <v>1220</v>
      </c>
      <c r="X64" t="s" s="0">
        <v>81</v>
      </c>
      <c r="Y64" t="s" s="0">
        <v>81</v>
      </c>
      <c r="Z64" t="s" s="0">
        <v>93</v>
      </c>
      <c r="AA64" t="s" s="0">
        <v>94</v>
      </c>
      <c r="AB64" t="s" s="0">
        <v>81</v>
      </c>
      <c r="AC64" t="s" s="0">
        <v>81</v>
      </c>
      <c r="AD64" t="s" s="0">
        <v>81</v>
      </c>
      <c r="AE64" t="s" s="0">
        <v>81</v>
      </c>
      <c r="AF64" t="s" s="0">
        <v>81</v>
      </c>
      <c r="AG64" t="s" s="0">
        <v>1585</v>
      </c>
      <c r="AH64" t="s" s="0">
        <v>1586</v>
      </c>
      <c r="AI64" t="s" s="0">
        <v>81</v>
      </c>
      <c r="AJ64" t="s" s="0">
        <v>81</v>
      </c>
      <c r="AK64" t="s" s="0">
        <v>81</v>
      </c>
      <c r="AL64" t="s" s="0">
        <v>347</v>
      </c>
      <c r="AM64" t="s" s="0">
        <v>77</v>
      </c>
      <c r="AN64" t="s" s="0">
        <v>77</v>
      </c>
      <c r="AO64" t="s" s="0">
        <v>77</v>
      </c>
      <c r="AP64" t="s" s="0">
        <v>77</v>
      </c>
      <c r="AQ64" t="s" s="0">
        <v>1224</v>
      </c>
      <c r="AR64" t="s" s="0">
        <v>1225</v>
      </c>
      <c r="AS64" t="s" s="0">
        <v>1226</v>
      </c>
      <c r="AT64" t="s" s="0">
        <v>1227</v>
      </c>
      <c r="AU64" t="s" s="0">
        <v>1228</v>
      </c>
      <c r="AV64" t="s" s="0">
        <v>81</v>
      </c>
      <c r="AW64" t="s" s="0">
        <v>1229</v>
      </c>
      <c r="AX64" t="s" s="0">
        <v>1230</v>
      </c>
      <c r="AY64" t="s" s="0">
        <v>1569</v>
      </c>
      <c r="AZ64" t="s" s="0">
        <v>106</v>
      </c>
      <c r="BA64" t="s" s="0">
        <v>1587</v>
      </c>
      <c r="BB64" t="s" s="0">
        <v>81</v>
      </c>
      <c r="BC64" t="s" s="0">
        <v>81</v>
      </c>
      <c r="BD64" t="s" s="0">
        <v>81</v>
      </c>
      <c r="BE64" t="s" s="0">
        <v>81</v>
      </c>
      <c r="BF64" t="s" s="0">
        <v>81</v>
      </c>
      <c r="BG64" t="s" s="0">
        <v>81</v>
      </c>
      <c r="BH64" t="s" s="0">
        <v>81</v>
      </c>
      <c r="BI64" t="s" s="0">
        <v>1588</v>
      </c>
      <c r="BJ64" t="s" s="0">
        <v>1589</v>
      </c>
      <c r="BK64" t="s" s="125">
        <f>HYPERLINK("http://dx.doi.org/10.1016/j.ijmedinf.2026.106648","http://dx.doi.org/10.1016/j.ijmedinf.2026.106648")</f>
        <v>1590</v>
      </c>
      <c r="BL64" t="s" s="0">
        <v>81</v>
      </c>
      <c r="BM64" t="s" s="0">
        <v>81</v>
      </c>
      <c r="BN64" t="s" s="0">
        <v>387</v>
      </c>
      <c r="BO64" t="s" s="0">
        <v>1237</v>
      </c>
      <c r="BP64" t="s" s="0">
        <v>1238</v>
      </c>
      <c r="BQ64" t="s" s="0">
        <v>1591</v>
      </c>
      <c r="BR64" t="s" s="0">
        <v>1592</v>
      </c>
      <c r="BS64" t="s" s="0">
        <v>1593</v>
      </c>
      <c r="BT64" t="s" s="126">
        <f>HYPERLINK("https://www.webofscience.com/wos/woscc/full-record/WOS:001844517800001","View Record in Web of Science")</f>
        <v>118</v>
      </c>
      <c r="BU64" t="s" s="0">
        <v>81</v>
      </c>
      <c r="BV64" t="s" s="0">
        <v>81</v>
      </c>
      <c r="BW64" t="s" s="0">
        <v>81</v>
      </c>
      <c r="BX64" t="s" s="0">
        <v>120</v>
      </c>
    </row>
    <row r="65">
      <c r="A65" t="s" s="0">
        <v>77</v>
      </c>
      <c r="B65" t="s" s="0">
        <v>77</v>
      </c>
      <c r="C65" t="s" s="0">
        <v>77</v>
      </c>
      <c r="D65" t="s" s="0">
        <v>77</v>
      </c>
      <c r="E65" t="s" s="0">
        <v>1594</v>
      </c>
      <c r="F65" t="s" s="0">
        <v>1595</v>
      </c>
      <c r="G65" t="s" s="0">
        <v>1596</v>
      </c>
      <c r="H65" t="s" s="0">
        <v>81</v>
      </c>
      <c r="I65" t="s" s="0">
        <v>82</v>
      </c>
      <c r="J65" t="s" s="0">
        <v>1597</v>
      </c>
      <c r="K65" t="s" s="0">
        <v>1598</v>
      </c>
      <c r="L65" t="s" s="0">
        <v>81</v>
      </c>
      <c r="M65" t="s" s="0">
        <v>81</v>
      </c>
      <c r="N65" t="s" s="0">
        <v>81</v>
      </c>
      <c r="O65" t="s" s="0">
        <v>1599</v>
      </c>
      <c r="P65" t="s" s="0">
        <v>1600</v>
      </c>
      <c r="Q65" t="s" s="0">
        <v>90</v>
      </c>
      <c r="R65" t="s" s="0">
        <v>81</v>
      </c>
      <c r="S65" t="s" s="0">
        <v>81</v>
      </c>
      <c r="T65" t="s" s="0">
        <v>81</v>
      </c>
      <c r="U65" t="s" s="0">
        <v>81</v>
      </c>
      <c r="V65" t="s" s="0">
        <v>1601</v>
      </c>
      <c r="W65" t="s" s="0">
        <v>1220</v>
      </c>
      <c r="X65" t="s" s="0">
        <v>81</v>
      </c>
      <c r="Y65" t="s" s="0">
        <v>81</v>
      </c>
      <c r="Z65" t="s" s="0">
        <v>93</v>
      </c>
      <c r="AA65" t="s" s="0">
        <v>94</v>
      </c>
      <c r="AB65" t="s" s="0">
        <v>81</v>
      </c>
      <c r="AC65" t="s" s="0">
        <v>81</v>
      </c>
      <c r="AD65" t="s" s="0">
        <v>81</v>
      </c>
      <c r="AE65" t="s" s="0">
        <v>81</v>
      </c>
      <c r="AF65" t="s" s="0">
        <v>81</v>
      </c>
      <c r="AG65" t="s" s="0">
        <v>1602</v>
      </c>
      <c r="AH65" t="s" s="0">
        <v>1603</v>
      </c>
      <c r="AI65" t="s" s="0">
        <v>81</v>
      </c>
      <c r="AJ65" t="s" s="0">
        <v>81</v>
      </c>
      <c r="AK65" t="s" s="0">
        <v>81</v>
      </c>
      <c r="AL65" t="s" s="0">
        <v>1604</v>
      </c>
      <c r="AM65" t="s" s="0">
        <v>77</v>
      </c>
      <c r="AN65" t="s" s="0">
        <v>77</v>
      </c>
      <c r="AO65" t="s" s="0">
        <v>77</v>
      </c>
      <c r="AP65" t="s" s="0">
        <v>77</v>
      </c>
      <c r="AQ65" t="s" s="0">
        <v>1224</v>
      </c>
      <c r="AR65" t="s" s="0">
        <v>1225</v>
      </c>
      <c r="AS65" t="s" s="0">
        <v>1226</v>
      </c>
      <c r="AT65" t="s" s="0">
        <v>1227</v>
      </c>
      <c r="AU65" t="s" s="0">
        <v>1228</v>
      </c>
      <c r="AV65" t="s" s="0">
        <v>81</v>
      </c>
      <c r="AW65" t="s" s="0">
        <v>1229</v>
      </c>
      <c r="AX65" t="s" s="0">
        <v>1230</v>
      </c>
      <c r="AY65" t="s" s="0">
        <v>1569</v>
      </c>
      <c r="AZ65" t="s" s="0">
        <v>106</v>
      </c>
      <c r="BA65" t="s" s="0">
        <v>1587</v>
      </c>
      <c r="BB65" t="s" s="0">
        <v>81</v>
      </c>
      <c r="BC65" t="s" s="0">
        <v>81</v>
      </c>
      <c r="BD65" t="s" s="0">
        <v>81</v>
      </c>
      <c r="BE65" t="s" s="0">
        <v>81</v>
      </c>
      <c r="BF65" t="s" s="0">
        <v>81</v>
      </c>
      <c r="BG65" t="s" s="0">
        <v>81</v>
      </c>
      <c r="BH65" t="s" s="0">
        <v>81</v>
      </c>
      <c r="BI65" t="s" s="0">
        <v>1605</v>
      </c>
      <c r="BJ65" t="s" s="0">
        <v>1606</v>
      </c>
      <c r="BK65" t="s" s="127">
        <f>HYPERLINK("http://dx.doi.org/10.1016/j.ijmedinf.2026.106638","http://dx.doi.org/10.1016/j.ijmedinf.2026.106638")</f>
        <v>1607</v>
      </c>
      <c r="BL65" t="s" s="0">
        <v>81</v>
      </c>
      <c r="BM65" t="s" s="0">
        <v>81</v>
      </c>
      <c r="BN65" t="s" s="0">
        <v>511</v>
      </c>
      <c r="BO65" t="s" s="0">
        <v>1237</v>
      </c>
      <c r="BP65" t="s" s="0">
        <v>1238</v>
      </c>
      <c r="BQ65" t="s" s="0">
        <v>1608</v>
      </c>
      <c r="BR65" t="s" s="0">
        <v>1609</v>
      </c>
      <c r="BS65" t="s" s="0">
        <v>1610</v>
      </c>
      <c r="BT65" t="s" s="128">
        <f>HYPERLINK("https://www.webofscience.com/wos/woscc/full-record/WOS:001845599400001","View Record in Web of Science")</f>
        <v>118</v>
      </c>
      <c r="BU65" t="s" s="0">
        <v>81</v>
      </c>
      <c r="BV65" t="s" s="0">
        <v>81</v>
      </c>
      <c r="BW65" t="s" s="0">
        <v>81</v>
      </c>
      <c r="BX65" t="s" s="0">
        <v>120</v>
      </c>
    </row>
    <row r="66">
      <c r="A66" t="s" s="0">
        <v>77</v>
      </c>
      <c r="B66" t="s" s="0">
        <v>77</v>
      </c>
      <c r="C66" t="s" s="0">
        <v>77</v>
      </c>
      <c r="D66" t="s" s="0">
        <v>77</v>
      </c>
      <c r="E66" t="s" s="0">
        <v>1611</v>
      </c>
      <c r="F66" t="s" s="0">
        <v>1612</v>
      </c>
      <c r="G66" t="s" s="0">
        <v>1613</v>
      </c>
      <c r="H66" t="s" s="0">
        <v>81</v>
      </c>
      <c r="I66" t="s" s="0">
        <v>82</v>
      </c>
      <c r="J66" t="s" s="0">
        <v>1614</v>
      </c>
      <c r="K66" t="s" s="0">
        <v>1615</v>
      </c>
      <c r="L66" t="s" s="0">
        <v>81</v>
      </c>
      <c r="M66" t="s" s="0">
        <v>81</v>
      </c>
      <c r="N66" t="s" s="0">
        <v>81</v>
      </c>
      <c r="O66" t="s" s="0">
        <v>1616</v>
      </c>
      <c r="P66" t="s" s="0">
        <v>1617</v>
      </c>
      <c r="Q66" t="s" s="0">
        <v>90</v>
      </c>
      <c r="R66" t="s" s="0">
        <v>81</v>
      </c>
      <c r="S66" t="s" s="0">
        <v>81</v>
      </c>
      <c r="T66" t="s" s="0">
        <v>81</v>
      </c>
      <c r="U66" t="s" s="0">
        <v>81</v>
      </c>
      <c r="V66" t="s" s="0">
        <v>1618</v>
      </c>
      <c r="W66" t="s" s="0">
        <v>1416</v>
      </c>
      <c r="X66" t="s" s="0">
        <v>81</v>
      </c>
      <c r="Y66" t="s" s="0">
        <v>81</v>
      </c>
      <c r="Z66" t="s" s="0">
        <v>93</v>
      </c>
      <c r="AA66" t="s" s="0">
        <v>94</v>
      </c>
      <c r="AB66" t="s" s="0">
        <v>81</v>
      </c>
      <c r="AC66" t="s" s="0">
        <v>81</v>
      </c>
      <c r="AD66" t="s" s="0">
        <v>81</v>
      </c>
      <c r="AE66" t="s" s="0">
        <v>81</v>
      </c>
      <c r="AF66" t="s" s="0">
        <v>81</v>
      </c>
      <c r="AG66" t="s" s="0">
        <v>1619</v>
      </c>
      <c r="AH66" t="s" s="0">
        <v>1620</v>
      </c>
      <c r="AI66" t="s" s="0">
        <v>81</v>
      </c>
      <c r="AJ66" t="s" s="0">
        <v>81</v>
      </c>
      <c r="AK66" t="s" s="0">
        <v>81</v>
      </c>
      <c r="AL66" t="s" s="0">
        <v>1621</v>
      </c>
      <c r="AM66" t="s" s="0">
        <v>77</v>
      </c>
      <c r="AN66" t="s" s="0">
        <v>77</v>
      </c>
      <c r="AO66" t="s" s="0">
        <v>77</v>
      </c>
      <c r="AP66" t="s" s="0">
        <v>77</v>
      </c>
      <c r="AQ66" t="s" s="0">
        <v>836</v>
      </c>
      <c r="AR66" t="s" s="0">
        <v>837</v>
      </c>
      <c r="AS66" t="s" s="0">
        <v>838</v>
      </c>
      <c r="AT66" t="s" s="0">
        <v>1419</v>
      </c>
      <c r="AU66" t="s" s="0">
        <v>1420</v>
      </c>
      <c r="AV66" t="s" s="0">
        <v>81</v>
      </c>
      <c r="AW66" t="s" s="0">
        <v>1421</v>
      </c>
      <c r="AX66" t="s" s="0">
        <v>1422</v>
      </c>
      <c r="AY66" t="s" s="0">
        <v>1372</v>
      </c>
      <c r="AZ66" t="s" s="0">
        <v>106</v>
      </c>
      <c r="BA66" t="s" s="0">
        <v>1423</v>
      </c>
      <c r="BB66" t="s" s="0">
        <v>81</v>
      </c>
      <c r="BC66" t="s" s="0">
        <v>81</v>
      </c>
      <c r="BD66" t="s" s="0">
        <v>81</v>
      </c>
      <c r="BE66" t="s" s="0">
        <v>81</v>
      </c>
      <c r="BF66" t="s" s="0">
        <v>81</v>
      </c>
      <c r="BG66" t="s" s="0">
        <v>81</v>
      </c>
      <c r="BH66" t="s" s="0">
        <v>81</v>
      </c>
      <c r="BI66" t="s" s="0">
        <v>1622</v>
      </c>
      <c r="BJ66" t="s" s="0">
        <v>1623</v>
      </c>
      <c r="BK66" t="s" s="129">
        <f>HYPERLINK("http://dx.doi.org/10.1016/j.trac.2026.119060","http://dx.doi.org/10.1016/j.trac.2026.119060")</f>
        <v>1624</v>
      </c>
      <c r="BL66" t="s" s="0">
        <v>81</v>
      </c>
      <c r="BM66" t="s" s="0">
        <v>81</v>
      </c>
      <c r="BN66" t="s" s="0">
        <v>493</v>
      </c>
      <c r="BO66" t="s" s="0">
        <v>1427</v>
      </c>
      <c r="BP66" t="s" s="0">
        <v>1328</v>
      </c>
      <c r="BQ66" t="s" s="0">
        <v>1625</v>
      </c>
      <c r="BR66" t="s" s="0">
        <v>81</v>
      </c>
      <c r="BS66" t="s" s="0">
        <v>1626</v>
      </c>
      <c r="BT66" t="s" s="130">
        <f>HYPERLINK("https://www.webofscience.com/wos/woscc/full-record/WOS:001843447000001","View Record in Web of Science")</f>
        <v>118</v>
      </c>
      <c r="BU66" t="s" s="0">
        <v>81</v>
      </c>
      <c r="BV66" t="s" s="0">
        <v>81</v>
      </c>
      <c r="BW66" t="s" s="0">
        <v>81</v>
      </c>
      <c r="BX66" t="s" s="0">
        <v>120</v>
      </c>
    </row>
    <row r="67">
      <c r="A67" t="s" s="0">
        <v>77</v>
      </c>
      <c r="B67" t="s" s="0">
        <v>77</v>
      </c>
      <c r="C67" t="s" s="0">
        <v>77</v>
      </c>
      <c r="D67" t="s" s="0">
        <v>77</v>
      </c>
      <c r="E67" t="s" s="0">
        <v>1627</v>
      </c>
      <c r="F67" t="s" s="0">
        <v>1628</v>
      </c>
      <c r="G67" t="s" s="0">
        <v>1629</v>
      </c>
      <c r="H67" t="s" s="0">
        <v>81</v>
      </c>
      <c r="I67" t="s" s="0">
        <v>82</v>
      </c>
      <c r="J67" t="s" s="0">
        <v>1630</v>
      </c>
      <c r="K67" t="s" s="0">
        <v>1631</v>
      </c>
      <c r="L67" t="s" s="0">
        <v>1632</v>
      </c>
      <c r="M67" t="s" s="0">
        <v>1633</v>
      </c>
      <c r="N67" t="s" s="0">
        <v>1634</v>
      </c>
      <c r="O67" t="s" s="0">
        <v>1635</v>
      </c>
      <c r="P67" t="s" s="0">
        <v>1636</v>
      </c>
      <c r="Q67" t="s" s="0">
        <v>90</v>
      </c>
      <c r="R67" t="s" s="0">
        <v>81</v>
      </c>
      <c r="S67" t="s" s="0">
        <v>81</v>
      </c>
      <c r="T67" t="s" s="0">
        <v>81</v>
      </c>
      <c r="U67" t="s" s="0">
        <v>81</v>
      </c>
      <c r="V67" t="s" s="0">
        <v>1637</v>
      </c>
      <c r="W67" t="s" s="0">
        <v>1416</v>
      </c>
      <c r="X67" t="s" s="0">
        <v>81</v>
      </c>
      <c r="Y67" t="s" s="0">
        <v>81</v>
      </c>
      <c r="Z67" t="s" s="0">
        <v>93</v>
      </c>
      <c r="AA67" t="s" s="0">
        <v>94</v>
      </c>
      <c r="AB67" t="s" s="0">
        <v>81</v>
      </c>
      <c r="AC67" t="s" s="0">
        <v>81</v>
      </c>
      <c r="AD67" t="s" s="0">
        <v>81</v>
      </c>
      <c r="AE67" t="s" s="0">
        <v>81</v>
      </c>
      <c r="AF67" t="s" s="0">
        <v>81</v>
      </c>
      <c r="AG67" t="s" s="0">
        <v>1638</v>
      </c>
      <c r="AH67" t="s" s="0">
        <v>1639</v>
      </c>
      <c r="AI67" t="s" s="0">
        <v>81</v>
      </c>
      <c r="AJ67" t="s" s="0">
        <v>81</v>
      </c>
      <c r="AK67" t="s" s="0">
        <v>81</v>
      </c>
      <c r="AL67" t="s" s="0">
        <v>1423</v>
      </c>
      <c r="AM67" t="s" s="0">
        <v>77</v>
      </c>
      <c r="AN67" t="s" s="0">
        <v>77</v>
      </c>
      <c r="AO67" t="s" s="0">
        <v>77</v>
      </c>
      <c r="AP67" t="s" s="0">
        <v>77</v>
      </c>
      <c r="AQ67" t="s" s="0">
        <v>836</v>
      </c>
      <c r="AR67" t="s" s="0">
        <v>837</v>
      </c>
      <c r="AS67" t="s" s="0">
        <v>838</v>
      </c>
      <c r="AT67" t="s" s="0">
        <v>1419</v>
      </c>
      <c r="AU67" t="s" s="0">
        <v>1420</v>
      </c>
      <c r="AV67" t="s" s="0">
        <v>81</v>
      </c>
      <c r="AW67" t="s" s="0">
        <v>1421</v>
      </c>
      <c r="AX67" t="s" s="0">
        <v>1422</v>
      </c>
      <c r="AY67" t="s" s="0">
        <v>1372</v>
      </c>
      <c r="AZ67" t="s" s="0">
        <v>106</v>
      </c>
      <c r="BA67" t="s" s="0">
        <v>1423</v>
      </c>
      <c r="BB67" t="s" s="0">
        <v>81</v>
      </c>
      <c r="BC67" t="s" s="0">
        <v>81</v>
      </c>
      <c r="BD67" t="s" s="0">
        <v>81</v>
      </c>
      <c r="BE67" t="s" s="0">
        <v>81</v>
      </c>
      <c r="BF67" t="s" s="0">
        <v>81</v>
      </c>
      <c r="BG67" t="s" s="0">
        <v>81</v>
      </c>
      <c r="BH67" t="s" s="0">
        <v>81</v>
      </c>
      <c r="BI67" t="s" s="0">
        <v>1640</v>
      </c>
      <c r="BJ67" t="s" s="0">
        <v>1641</v>
      </c>
      <c r="BK67" t="s" s="131">
        <f>HYPERLINK("http://dx.doi.org/10.1016/j.trac.2026.119040","http://dx.doi.org/10.1016/j.trac.2026.119040")</f>
        <v>1642</v>
      </c>
      <c r="BL67" t="s" s="0">
        <v>81</v>
      </c>
      <c r="BM67" t="s" s="0">
        <v>81</v>
      </c>
      <c r="BN67" t="s" s="0">
        <v>413</v>
      </c>
      <c r="BO67" t="s" s="0">
        <v>1427</v>
      </c>
      <c r="BP67" t="s" s="0">
        <v>1328</v>
      </c>
      <c r="BQ67" t="s" s="0">
        <v>1643</v>
      </c>
      <c r="BR67" t="s" s="0">
        <v>81</v>
      </c>
      <c r="BS67" t="s" s="0">
        <v>1644</v>
      </c>
      <c r="BT67" t="s" s="132">
        <f>HYPERLINK("https://www.webofscience.com/wos/woscc/full-record/WOS:001840531800001","View Record in Web of Science")</f>
        <v>118</v>
      </c>
      <c r="BU67" t="s" s="0">
        <v>81</v>
      </c>
      <c r="BV67" t="s" s="0">
        <v>81</v>
      </c>
      <c r="BW67" t="s" s="0">
        <v>81</v>
      </c>
      <c r="BX67" t="s" s="0">
        <v>120</v>
      </c>
    </row>
    <row r="68">
      <c r="A68" t="s" s="0">
        <v>77</v>
      </c>
      <c r="B68" t="s" s="0">
        <v>77</v>
      </c>
      <c r="C68" t="s" s="0">
        <v>77</v>
      </c>
      <c r="D68" t="s" s="0">
        <v>77</v>
      </c>
      <c r="E68" t="s" s="0">
        <v>1645</v>
      </c>
      <c r="F68" t="s" s="0">
        <v>1646</v>
      </c>
      <c r="G68" t="s" s="0">
        <v>1647</v>
      </c>
      <c r="H68" t="s" s="0">
        <v>81</v>
      </c>
      <c r="I68" t="s" s="0">
        <v>82</v>
      </c>
      <c r="J68" t="s" s="0">
        <v>1648</v>
      </c>
      <c r="K68" t="s" s="0">
        <v>1649</v>
      </c>
      <c r="L68" t="s" s="0">
        <v>1650</v>
      </c>
      <c r="M68" t="s" s="0">
        <v>1651</v>
      </c>
      <c r="N68" t="s" s="0">
        <v>1652</v>
      </c>
      <c r="O68" t="s" s="0">
        <v>1653</v>
      </c>
      <c r="P68" t="s" s="0">
        <v>1654</v>
      </c>
      <c r="Q68" t="s" s="0">
        <v>90</v>
      </c>
      <c r="R68" t="s" s="0">
        <v>81</v>
      </c>
      <c r="S68" t="s" s="0">
        <v>81</v>
      </c>
      <c r="T68" t="s" s="0">
        <v>81</v>
      </c>
      <c r="U68" t="s" s="0">
        <v>81</v>
      </c>
      <c r="V68" t="s" s="0">
        <v>1655</v>
      </c>
      <c r="W68" t="s" s="0">
        <v>1656</v>
      </c>
      <c r="X68" t="s" s="0">
        <v>81</v>
      </c>
      <c r="Y68" t="s" s="0">
        <v>81</v>
      </c>
      <c r="Z68" t="s" s="0">
        <v>93</v>
      </c>
      <c r="AA68" t="s" s="0">
        <v>94</v>
      </c>
      <c r="AB68" t="s" s="0">
        <v>81</v>
      </c>
      <c r="AC68" t="s" s="0">
        <v>81</v>
      </c>
      <c r="AD68" t="s" s="0">
        <v>81</v>
      </c>
      <c r="AE68" t="s" s="0">
        <v>81</v>
      </c>
      <c r="AF68" t="s" s="0">
        <v>81</v>
      </c>
      <c r="AG68" t="s" s="0">
        <v>1657</v>
      </c>
      <c r="AH68" t="s" s="0">
        <v>1658</v>
      </c>
      <c r="AI68" t="s" s="0">
        <v>81</v>
      </c>
      <c r="AJ68" t="s" s="0">
        <v>81</v>
      </c>
      <c r="AK68" t="s" s="0">
        <v>81</v>
      </c>
      <c r="AL68" t="s" s="0">
        <v>1525</v>
      </c>
      <c r="AM68" t="s" s="0">
        <v>77</v>
      </c>
      <c r="AN68" t="s" s="0">
        <v>77</v>
      </c>
      <c r="AO68" t="s" s="0">
        <v>77</v>
      </c>
      <c r="AP68" t="s" s="0">
        <v>77</v>
      </c>
      <c r="AQ68" t="s" s="0">
        <v>1224</v>
      </c>
      <c r="AR68" t="s" s="0">
        <v>1225</v>
      </c>
      <c r="AS68" t="s" s="0">
        <v>1226</v>
      </c>
      <c r="AT68" t="s" s="0">
        <v>1659</v>
      </c>
      <c r="AU68" t="s" s="0">
        <v>1660</v>
      </c>
      <c r="AV68" t="s" s="0">
        <v>81</v>
      </c>
      <c r="AW68" t="s" s="0">
        <v>1661</v>
      </c>
      <c r="AX68" t="s" s="0">
        <v>1662</v>
      </c>
      <c r="AY68" t="s" s="0">
        <v>1372</v>
      </c>
      <c r="AZ68" t="s" s="0">
        <v>106</v>
      </c>
      <c r="BA68" t="s" s="0">
        <v>1423</v>
      </c>
      <c r="BB68" t="s" s="0">
        <v>81</v>
      </c>
      <c r="BC68" t="s" s="0">
        <v>81</v>
      </c>
      <c r="BD68" t="s" s="0">
        <v>81</v>
      </c>
      <c r="BE68" t="s" s="0">
        <v>81</v>
      </c>
      <c r="BF68" t="s" s="0">
        <v>81</v>
      </c>
      <c r="BG68" t="s" s="0">
        <v>81</v>
      </c>
      <c r="BH68" t="s" s="0">
        <v>81</v>
      </c>
      <c r="BI68" t="s" s="0">
        <v>1663</v>
      </c>
      <c r="BJ68" t="s" s="0">
        <v>1664</v>
      </c>
      <c r="BK68" t="s" s="133">
        <f>HYPERLINK("http://dx.doi.org/10.1016/j.ejrad.2026.113101","http://dx.doi.org/10.1016/j.ejrad.2026.113101")</f>
        <v>1665</v>
      </c>
      <c r="BL68" t="s" s="0">
        <v>81</v>
      </c>
      <c r="BM68" t="s" s="0">
        <v>81</v>
      </c>
      <c r="BN68" t="s" s="0">
        <v>363</v>
      </c>
      <c r="BO68" t="s" s="0">
        <v>1666</v>
      </c>
      <c r="BP68" t="s" s="0">
        <v>1666</v>
      </c>
      <c r="BQ68" t="s" s="0">
        <v>1667</v>
      </c>
      <c r="BR68" t="s" s="0">
        <v>1668</v>
      </c>
      <c r="BS68" t="s" s="0">
        <v>1669</v>
      </c>
      <c r="BT68" t="s" s="134">
        <f>HYPERLINK("https://www.webofscience.com/wos/woscc/full-record/WOS:001840522700001","View Record in Web of Science")</f>
        <v>118</v>
      </c>
      <c r="BU68" t="s" s="0">
        <v>81</v>
      </c>
      <c r="BV68" t="s" s="0">
        <v>81</v>
      </c>
      <c r="BW68" t="s" s="0">
        <v>81</v>
      </c>
      <c r="BX68" t="s" s="0">
        <v>120</v>
      </c>
    </row>
    <row r="69">
      <c r="A69" t="s" s="0">
        <v>77</v>
      </c>
      <c r="B69" t="s" s="0">
        <v>77</v>
      </c>
      <c r="C69" t="s" s="0">
        <v>77</v>
      </c>
      <c r="D69" t="s" s="0">
        <v>77</v>
      </c>
      <c r="E69" t="s" s="0">
        <v>1670</v>
      </c>
      <c r="F69" t="s" s="0">
        <v>1671</v>
      </c>
      <c r="G69" t="s" s="0">
        <v>1672</v>
      </c>
      <c r="H69" t="s" s="0">
        <v>81</v>
      </c>
      <c r="I69" t="s" s="0">
        <v>82</v>
      </c>
      <c r="J69" t="s" s="0">
        <v>1673</v>
      </c>
      <c r="K69" t="s" s="0">
        <v>1674</v>
      </c>
      <c r="L69" t="s" s="0">
        <v>81</v>
      </c>
      <c r="M69" t="s" s="0">
        <v>81</v>
      </c>
      <c r="N69" t="s" s="0">
        <v>81</v>
      </c>
      <c r="O69" t="s" s="0">
        <v>1675</v>
      </c>
      <c r="P69" t="s" s="0">
        <v>1676</v>
      </c>
      <c r="Q69" t="s" s="0">
        <v>90</v>
      </c>
      <c r="R69" t="s" s="0">
        <v>81</v>
      </c>
      <c r="S69" t="s" s="0">
        <v>81</v>
      </c>
      <c r="T69" t="s" s="0">
        <v>81</v>
      </c>
      <c r="U69" t="s" s="0">
        <v>81</v>
      </c>
      <c r="V69" t="s" s="0">
        <v>1677</v>
      </c>
      <c r="W69" t="s" s="0">
        <v>1678</v>
      </c>
      <c r="X69" t="s" s="0">
        <v>81</v>
      </c>
      <c r="Y69" t="s" s="0">
        <v>81</v>
      </c>
      <c r="Z69" t="s" s="0">
        <v>93</v>
      </c>
      <c r="AA69" t="s" s="0">
        <v>94</v>
      </c>
      <c r="AB69" t="s" s="0">
        <v>81</v>
      </c>
      <c r="AC69" t="s" s="0">
        <v>81</v>
      </c>
      <c r="AD69" t="s" s="0">
        <v>81</v>
      </c>
      <c r="AE69" t="s" s="0">
        <v>81</v>
      </c>
      <c r="AF69" t="s" s="0">
        <v>81</v>
      </c>
      <c r="AG69" t="s" s="0">
        <v>1679</v>
      </c>
      <c r="AH69" t="s" s="0">
        <v>1680</v>
      </c>
      <c r="AI69" t="s" s="0">
        <v>81</v>
      </c>
      <c r="AJ69" t="s" s="0">
        <v>81</v>
      </c>
      <c r="AK69" t="s" s="0">
        <v>81</v>
      </c>
      <c r="AL69" t="s" s="0">
        <v>809</v>
      </c>
      <c r="AM69" t="s" s="0">
        <v>77</v>
      </c>
      <c r="AN69" t="s" s="0">
        <v>77</v>
      </c>
      <c r="AO69" t="s" s="0">
        <v>77</v>
      </c>
      <c r="AP69" t="s" s="0">
        <v>77</v>
      </c>
      <c r="AQ69" t="s" s="0">
        <v>1224</v>
      </c>
      <c r="AR69" t="s" s="0">
        <v>1225</v>
      </c>
      <c r="AS69" t="s" s="0">
        <v>1226</v>
      </c>
      <c r="AT69" t="s" s="0">
        <v>1681</v>
      </c>
      <c r="AU69" t="s" s="0">
        <v>1682</v>
      </c>
      <c r="AV69" t="s" s="0">
        <v>81</v>
      </c>
      <c r="AW69" t="s" s="0">
        <v>1683</v>
      </c>
      <c r="AX69" t="s" s="0">
        <v>1684</v>
      </c>
      <c r="AY69" t="s" s="0">
        <v>1372</v>
      </c>
      <c r="AZ69" t="s" s="0">
        <v>106</v>
      </c>
      <c r="BA69" t="s" s="0">
        <v>1685</v>
      </c>
      <c r="BB69" t="s" s="0">
        <v>81</v>
      </c>
      <c r="BC69" t="s" s="0">
        <v>81</v>
      </c>
      <c r="BD69" t="s" s="0">
        <v>81</v>
      </c>
      <c r="BE69" t="s" s="0">
        <v>81</v>
      </c>
      <c r="BF69" t="s" s="0">
        <v>81</v>
      </c>
      <c r="BG69" t="s" s="0">
        <v>81</v>
      </c>
      <c r="BH69" t="s" s="0">
        <v>81</v>
      </c>
      <c r="BI69" t="s" s="0">
        <v>1686</v>
      </c>
      <c r="BJ69" t="s" s="0">
        <v>1687</v>
      </c>
      <c r="BK69" t="s" s="135">
        <f>HYPERLINK("http://dx.doi.org/10.1016/j.cmpb.2026.109565","http://dx.doi.org/10.1016/j.cmpb.2026.109565")</f>
        <v>1688</v>
      </c>
      <c r="BL69" t="s" s="0">
        <v>81</v>
      </c>
      <c r="BM69" t="s" s="0">
        <v>81</v>
      </c>
      <c r="BN69" t="s" s="0">
        <v>253</v>
      </c>
      <c r="BO69" t="s" s="0">
        <v>1689</v>
      </c>
      <c r="BP69" t="s" s="0">
        <v>1449</v>
      </c>
      <c r="BQ69" t="s" s="0">
        <v>1690</v>
      </c>
      <c r="BR69" t="s" s="0">
        <v>1691</v>
      </c>
      <c r="BS69" t="s" s="0">
        <v>1692</v>
      </c>
      <c r="BT69" t="s" s="136">
        <f>HYPERLINK("https://www.webofscience.com/wos/woscc/full-record/WOS:001837361800001","View Record in Web of Science")</f>
        <v>118</v>
      </c>
      <c r="BU69" t="s" s="0">
        <v>877</v>
      </c>
      <c r="BV69" t="s" s="0">
        <v>81</v>
      </c>
      <c r="BW69" t="s" s="0">
        <v>81</v>
      </c>
      <c r="BX69" t="s" s="0">
        <v>120</v>
      </c>
    </row>
    <row r="70">
      <c r="A70" t="s" s="0">
        <v>77</v>
      </c>
      <c r="B70" t="s" s="0">
        <v>77</v>
      </c>
      <c r="C70" t="s" s="0">
        <v>77</v>
      </c>
      <c r="D70" t="s" s="0">
        <v>77</v>
      </c>
      <c r="E70" t="s" s="0">
        <v>1693</v>
      </c>
      <c r="F70" t="s" s="0">
        <v>1694</v>
      </c>
      <c r="G70" t="s" s="0">
        <v>1695</v>
      </c>
      <c r="H70" t="s" s="0">
        <v>81</v>
      </c>
      <c r="I70" t="s" s="0">
        <v>82</v>
      </c>
      <c r="J70" t="s" s="0">
        <v>1696</v>
      </c>
      <c r="K70" t="s" s="0">
        <v>1697</v>
      </c>
      <c r="L70" t="s" s="0">
        <v>81</v>
      </c>
      <c r="M70" t="s" s="0">
        <v>81</v>
      </c>
      <c r="N70" t="s" s="0">
        <v>81</v>
      </c>
      <c r="O70" t="s" s="0">
        <v>1698</v>
      </c>
      <c r="P70" t="s" s="0">
        <v>1699</v>
      </c>
      <c r="Q70" t="s" s="0">
        <v>90</v>
      </c>
      <c r="R70" t="s" s="0">
        <v>81</v>
      </c>
      <c r="S70" t="s" s="0">
        <v>81</v>
      </c>
      <c r="T70" t="s" s="0">
        <v>81</v>
      </c>
      <c r="U70" t="s" s="0">
        <v>81</v>
      </c>
      <c r="V70" t="s" s="0">
        <v>1700</v>
      </c>
      <c r="W70" t="s" s="0">
        <v>1656</v>
      </c>
      <c r="X70" t="s" s="0">
        <v>81</v>
      </c>
      <c r="Y70" t="s" s="0">
        <v>81</v>
      </c>
      <c r="Z70" t="s" s="0">
        <v>93</v>
      </c>
      <c r="AA70" t="s" s="0">
        <v>94</v>
      </c>
      <c r="AB70" t="s" s="0">
        <v>81</v>
      </c>
      <c r="AC70" t="s" s="0">
        <v>81</v>
      </c>
      <c r="AD70" t="s" s="0">
        <v>81</v>
      </c>
      <c r="AE70" t="s" s="0">
        <v>81</v>
      </c>
      <c r="AF70" t="s" s="0">
        <v>81</v>
      </c>
      <c r="AG70" t="s" s="0">
        <v>1701</v>
      </c>
      <c r="AH70" t="s" s="0">
        <v>1702</v>
      </c>
      <c r="AI70" t="s" s="0">
        <v>81</v>
      </c>
      <c r="AJ70" t="s" s="0">
        <v>81</v>
      </c>
      <c r="AK70" t="s" s="0">
        <v>81</v>
      </c>
      <c r="AL70" t="s" s="0">
        <v>1703</v>
      </c>
      <c r="AM70" t="s" s="0">
        <v>77</v>
      </c>
      <c r="AN70" t="s" s="0">
        <v>77</v>
      </c>
      <c r="AO70" t="s" s="0">
        <v>77</v>
      </c>
      <c r="AP70" t="s" s="0">
        <v>77</v>
      </c>
      <c r="AQ70" t="s" s="0">
        <v>1224</v>
      </c>
      <c r="AR70" t="s" s="0">
        <v>1225</v>
      </c>
      <c r="AS70" t="s" s="0">
        <v>1226</v>
      </c>
      <c r="AT70" t="s" s="0">
        <v>1659</v>
      </c>
      <c r="AU70" t="s" s="0">
        <v>1660</v>
      </c>
      <c r="AV70" t="s" s="0">
        <v>81</v>
      </c>
      <c r="AW70" t="s" s="0">
        <v>1661</v>
      </c>
      <c r="AX70" t="s" s="0">
        <v>1662</v>
      </c>
      <c r="AY70" t="s" s="0">
        <v>1372</v>
      </c>
      <c r="AZ70" t="s" s="0">
        <v>106</v>
      </c>
      <c r="BA70" t="s" s="0">
        <v>1423</v>
      </c>
      <c r="BB70" t="s" s="0">
        <v>81</v>
      </c>
      <c r="BC70" t="s" s="0">
        <v>81</v>
      </c>
      <c r="BD70" t="s" s="0">
        <v>81</v>
      </c>
      <c r="BE70" t="s" s="0">
        <v>81</v>
      </c>
      <c r="BF70" t="s" s="0">
        <v>81</v>
      </c>
      <c r="BG70" t="s" s="0">
        <v>81</v>
      </c>
      <c r="BH70" t="s" s="0">
        <v>81</v>
      </c>
      <c r="BI70" t="s" s="0">
        <v>1704</v>
      </c>
      <c r="BJ70" t="s" s="0">
        <v>1705</v>
      </c>
      <c r="BK70" t="s" s="137">
        <f>HYPERLINK("http://dx.doi.org/10.1016/j.ejrad.2026.113114","http://dx.doi.org/10.1016/j.ejrad.2026.113114")</f>
        <v>1706</v>
      </c>
      <c r="BL70" t="s" s="0">
        <v>81</v>
      </c>
      <c r="BM70" t="s" s="0">
        <v>81</v>
      </c>
      <c r="BN70" t="s" s="0">
        <v>253</v>
      </c>
      <c r="BO70" t="s" s="0">
        <v>1666</v>
      </c>
      <c r="BP70" t="s" s="0">
        <v>1666</v>
      </c>
      <c r="BQ70" t="s" s="0">
        <v>1707</v>
      </c>
      <c r="BR70" t="s" s="0">
        <v>1708</v>
      </c>
      <c r="BS70" t="s" s="0">
        <v>1709</v>
      </c>
      <c r="BT70" t="s" s="138">
        <f>HYPERLINK("https://www.webofscience.com/wos/woscc/full-record/WOS:001838176800001","View Record in Web of Science")</f>
        <v>118</v>
      </c>
      <c r="BU70" t="s" s="0">
        <v>81</v>
      </c>
      <c r="BV70" t="s" s="0">
        <v>81</v>
      </c>
      <c r="BW70" t="s" s="0">
        <v>81</v>
      </c>
      <c r="BX70" t="s" s="0">
        <v>120</v>
      </c>
    </row>
    <row r="71">
      <c r="A71" t="s" s="0">
        <v>77</v>
      </c>
      <c r="B71" t="s" s="0">
        <v>77</v>
      </c>
      <c r="C71" t="s" s="0">
        <v>77</v>
      </c>
      <c r="D71" t="s" s="0">
        <v>77</v>
      </c>
      <c r="E71" t="s" s="0">
        <v>1710</v>
      </c>
      <c r="F71" t="s" s="0">
        <v>1711</v>
      </c>
      <c r="G71" t="s" s="0">
        <v>1712</v>
      </c>
      <c r="H71" t="s" s="0">
        <v>81</v>
      </c>
      <c r="I71" t="s" s="0">
        <v>82</v>
      </c>
      <c r="J71" t="s" s="0">
        <v>1713</v>
      </c>
      <c r="K71" t="s" s="0">
        <v>1714</v>
      </c>
      <c r="L71" t="s" s="0">
        <v>81</v>
      </c>
      <c r="M71" t="s" s="0">
        <v>81</v>
      </c>
      <c r="N71" t="s" s="0">
        <v>81</v>
      </c>
      <c r="O71" t="s" s="0">
        <v>1715</v>
      </c>
      <c r="P71" t="s" s="0">
        <v>1716</v>
      </c>
      <c r="Q71" t="s" s="0">
        <v>90</v>
      </c>
      <c r="R71" t="s" s="0">
        <v>81</v>
      </c>
      <c r="S71" t="s" s="0">
        <v>81</v>
      </c>
      <c r="T71" t="s" s="0">
        <v>81</v>
      </c>
      <c r="U71" t="s" s="0">
        <v>81</v>
      </c>
      <c r="V71" t="s" s="0">
        <v>1717</v>
      </c>
      <c r="W71" t="s" s="0">
        <v>1437</v>
      </c>
      <c r="X71" t="s" s="0">
        <v>81</v>
      </c>
      <c r="Y71" t="s" s="0">
        <v>81</v>
      </c>
      <c r="Z71" t="s" s="0">
        <v>93</v>
      </c>
      <c r="AA71" t="s" s="0">
        <v>94</v>
      </c>
      <c r="AB71" t="s" s="0">
        <v>81</v>
      </c>
      <c r="AC71" t="s" s="0">
        <v>81</v>
      </c>
      <c r="AD71" t="s" s="0">
        <v>81</v>
      </c>
      <c r="AE71" t="s" s="0">
        <v>81</v>
      </c>
      <c r="AF71" t="s" s="0">
        <v>81</v>
      </c>
      <c r="AG71" t="s" s="0">
        <v>1718</v>
      </c>
      <c r="AH71" t="s" s="0">
        <v>81</v>
      </c>
      <c r="AI71" t="s" s="0">
        <v>1719</v>
      </c>
      <c r="AJ71" t="s" s="0">
        <v>81</v>
      </c>
      <c r="AK71" t="s" s="0">
        <v>81</v>
      </c>
      <c r="AL71" t="s" s="0">
        <v>568</v>
      </c>
      <c r="AM71" t="s" s="0">
        <v>77</v>
      </c>
      <c r="AN71" t="s" s="0">
        <v>77</v>
      </c>
      <c r="AO71" t="s" s="0">
        <v>484</v>
      </c>
      <c r="AP71" t="s" s="0">
        <v>484</v>
      </c>
      <c r="AQ71" t="s" s="0">
        <v>892</v>
      </c>
      <c r="AR71" t="s" s="0">
        <v>893</v>
      </c>
      <c r="AS71" t="s" s="0">
        <v>894</v>
      </c>
      <c r="AT71" t="s" s="0">
        <v>1441</v>
      </c>
      <c r="AU71" t="s" s="0">
        <v>1442</v>
      </c>
      <c r="AV71" t="s" s="0">
        <v>81</v>
      </c>
      <c r="AW71" t="s" s="0">
        <v>1443</v>
      </c>
      <c r="AX71" t="s" s="0">
        <v>1444</v>
      </c>
      <c r="AY71" t="s" s="0">
        <v>1372</v>
      </c>
      <c r="AZ71" t="s" s="0">
        <v>106</v>
      </c>
      <c r="BA71" t="s" s="0">
        <v>110</v>
      </c>
      <c r="BB71" t="s" s="0">
        <v>81</v>
      </c>
      <c r="BC71" t="s" s="0">
        <v>81</v>
      </c>
      <c r="BD71" t="s" s="0">
        <v>81</v>
      </c>
      <c r="BE71" t="s" s="0">
        <v>81</v>
      </c>
      <c r="BF71" t="s" s="0">
        <v>81</v>
      </c>
      <c r="BG71" t="s" s="0">
        <v>81</v>
      </c>
      <c r="BH71" t="s" s="0">
        <v>81</v>
      </c>
      <c r="BI71" t="s" s="0">
        <v>1720</v>
      </c>
      <c r="BJ71" t="s" s="0">
        <v>1721</v>
      </c>
      <c r="BK71" t="s" s="139">
        <f>HYPERLINK("http://dx.doi.org/10.1016/j.artmed.2026.103495","http://dx.doi.org/10.1016/j.artmed.2026.103495")</f>
        <v>1722</v>
      </c>
      <c r="BL71" t="s" s="0">
        <v>81</v>
      </c>
      <c r="BM71" t="s" s="0">
        <v>81</v>
      </c>
      <c r="BN71" t="s" s="0">
        <v>113</v>
      </c>
      <c r="BO71" t="s" s="0">
        <v>1448</v>
      </c>
      <c r="BP71" t="s" s="0">
        <v>1449</v>
      </c>
      <c r="BQ71" t="s" s="0">
        <v>1723</v>
      </c>
      <c r="BR71" t="s" s="0">
        <v>1724</v>
      </c>
      <c r="BS71" t="s" s="0">
        <v>1725</v>
      </c>
      <c r="BT71" t="s" s="140">
        <f>HYPERLINK("https://www.webofscience.com/wos/woscc/full-record/WOS:001834287800001","View Record in Web of Science")</f>
        <v>118</v>
      </c>
      <c r="BU71" t="s" s="0">
        <v>877</v>
      </c>
      <c r="BV71" t="s" s="0">
        <v>81</v>
      </c>
      <c r="BW71" t="s" s="0">
        <v>81</v>
      </c>
      <c r="BX71" t="s" s="0">
        <v>120</v>
      </c>
    </row>
    <row r="72">
      <c r="A72" t="s" s="0">
        <v>77</v>
      </c>
      <c r="B72" t="s" s="0">
        <v>77</v>
      </c>
      <c r="C72" t="s" s="0">
        <v>77</v>
      </c>
      <c r="D72" t="s" s="0">
        <v>77</v>
      </c>
      <c r="E72" t="s" s="0">
        <v>1726</v>
      </c>
      <c r="F72" t="s" s="0">
        <v>1727</v>
      </c>
      <c r="G72" t="s" s="0">
        <v>1728</v>
      </c>
      <c r="H72" t="s" s="0">
        <v>81</v>
      </c>
      <c r="I72" t="s" s="0">
        <v>82</v>
      </c>
      <c r="J72" t="s" s="0">
        <v>1729</v>
      </c>
      <c r="K72" t="s" s="0">
        <v>1730</v>
      </c>
      <c r="L72" t="s" s="0">
        <v>81</v>
      </c>
      <c r="M72" t="s" s="0">
        <v>81</v>
      </c>
      <c r="N72" t="s" s="0">
        <v>81</v>
      </c>
      <c r="O72" t="s" s="0">
        <v>1731</v>
      </c>
      <c r="P72" t="s" s="0">
        <v>1732</v>
      </c>
      <c r="Q72" t="s" s="0">
        <v>90</v>
      </c>
      <c r="R72" t="s" s="0">
        <v>81</v>
      </c>
      <c r="S72" t="s" s="0">
        <v>81</v>
      </c>
      <c r="T72" t="s" s="0">
        <v>81</v>
      </c>
      <c r="U72" t="s" s="0">
        <v>81</v>
      </c>
      <c r="V72" t="s" s="0">
        <v>1733</v>
      </c>
      <c r="W72" t="s" s="0">
        <v>1220</v>
      </c>
      <c r="X72" t="s" s="0">
        <v>81</v>
      </c>
      <c r="Y72" t="s" s="0">
        <v>81</v>
      </c>
      <c r="Z72" t="s" s="0">
        <v>93</v>
      </c>
      <c r="AA72" t="s" s="0">
        <v>94</v>
      </c>
      <c r="AB72" t="s" s="0">
        <v>81</v>
      </c>
      <c r="AC72" t="s" s="0">
        <v>81</v>
      </c>
      <c r="AD72" t="s" s="0">
        <v>81</v>
      </c>
      <c r="AE72" t="s" s="0">
        <v>81</v>
      </c>
      <c r="AF72" t="s" s="0">
        <v>81</v>
      </c>
      <c r="AG72" t="s" s="0">
        <v>1734</v>
      </c>
      <c r="AH72" t="s" s="0">
        <v>1735</v>
      </c>
      <c r="AI72" t="s" s="0">
        <v>1736</v>
      </c>
      <c r="AJ72" t="s" s="0">
        <v>1737</v>
      </c>
      <c r="AK72" t="s" s="0">
        <v>81</v>
      </c>
      <c r="AL72" t="s" s="0">
        <v>1738</v>
      </c>
      <c r="AM72" t="s" s="0">
        <v>77</v>
      </c>
      <c r="AN72" t="s" s="0">
        <v>77</v>
      </c>
      <c r="AO72" t="s" s="0">
        <v>77</v>
      </c>
      <c r="AP72" t="s" s="0">
        <v>77</v>
      </c>
      <c r="AQ72" t="s" s="0">
        <v>1224</v>
      </c>
      <c r="AR72" t="s" s="0">
        <v>1225</v>
      </c>
      <c r="AS72" t="s" s="0">
        <v>1226</v>
      </c>
      <c r="AT72" t="s" s="0">
        <v>1227</v>
      </c>
      <c r="AU72" t="s" s="0">
        <v>1228</v>
      </c>
      <c r="AV72" t="s" s="0">
        <v>81</v>
      </c>
      <c r="AW72" t="s" s="0">
        <v>1229</v>
      </c>
      <c r="AX72" t="s" s="0">
        <v>1230</v>
      </c>
      <c r="AY72" t="s" s="0">
        <v>1569</v>
      </c>
      <c r="AZ72" t="s" s="0">
        <v>106</v>
      </c>
      <c r="BA72" t="s" s="0">
        <v>1587</v>
      </c>
      <c r="BB72" t="s" s="0">
        <v>81</v>
      </c>
      <c r="BC72" t="s" s="0">
        <v>81</v>
      </c>
      <c r="BD72" t="s" s="0">
        <v>81</v>
      </c>
      <c r="BE72" t="s" s="0">
        <v>81</v>
      </c>
      <c r="BF72" t="s" s="0">
        <v>81</v>
      </c>
      <c r="BG72" t="s" s="0">
        <v>81</v>
      </c>
      <c r="BH72" t="s" s="0">
        <v>81</v>
      </c>
      <c r="BI72" t="s" s="0">
        <v>1739</v>
      </c>
      <c r="BJ72" t="s" s="0">
        <v>1740</v>
      </c>
      <c r="BK72" t="s" s="141">
        <f>HYPERLINK("http://dx.doi.org/10.1016/j.ijmedinf.2026.106630","http://dx.doi.org/10.1016/j.ijmedinf.2026.106630")</f>
        <v>1741</v>
      </c>
      <c r="BL72" t="s" s="0">
        <v>81</v>
      </c>
      <c r="BM72" t="s" s="0">
        <v>81</v>
      </c>
      <c r="BN72" t="s" s="0">
        <v>511</v>
      </c>
      <c r="BO72" t="s" s="0">
        <v>1237</v>
      </c>
      <c r="BP72" t="s" s="0">
        <v>1238</v>
      </c>
      <c r="BQ72" t="s" s="0">
        <v>1742</v>
      </c>
      <c r="BR72" t="s" s="0">
        <v>1743</v>
      </c>
      <c r="BS72" t="s" s="0">
        <v>1744</v>
      </c>
      <c r="BT72" t="s" s="142">
        <f>HYPERLINK("https://www.webofscience.com/wos/woscc/full-record/WOS:001833449200001","View Record in Web of Science")</f>
        <v>118</v>
      </c>
      <c r="BU72" t="s" s="0">
        <v>877</v>
      </c>
      <c r="BV72" t="s" s="0">
        <v>81</v>
      </c>
      <c r="BW72" t="s" s="0">
        <v>81</v>
      </c>
      <c r="BX72" t="s" s="0">
        <v>120</v>
      </c>
    </row>
    <row r="73">
      <c r="A73" t="s" s="0">
        <v>77</v>
      </c>
      <c r="B73" t="s" s="0">
        <v>77</v>
      </c>
      <c r="C73" t="s" s="0">
        <v>77</v>
      </c>
      <c r="D73" t="s" s="0">
        <v>77</v>
      </c>
      <c r="E73" t="s" s="0">
        <v>1745</v>
      </c>
      <c r="F73" t="s" s="0">
        <v>1746</v>
      </c>
      <c r="G73" t="s" s="0">
        <v>1747</v>
      </c>
      <c r="H73" t="s" s="0">
        <v>81</v>
      </c>
      <c r="I73" t="s" s="0">
        <v>82</v>
      </c>
      <c r="J73" t="s" s="0">
        <v>1748</v>
      </c>
      <c r="K73" t="s" s="0">
        <v>1749</v>
      </c>
      <c r="L73" t="s" s="0">
        <v>81</v>
      </c>
      <c r="M73" t="s" s="0">
        <v>81</v>
      </c>
      <c r="N73" t="s" s="0">
        <v>81</v>
      </c>
      <c r="O73" t="s" s="0">
        <v>1750</v>
      </c>
      <c r="P73" t="s" s="0">
        <v>1751</v>
      </c>
      <c r="Q73" t="s" s="0">
        <v>90</v>
      </c>
      <c r="R73" t="s" s="0">
        <v>81</v>
      </c>
      <c r="S73" t="s" s="0">
        <v>81</v>
      </c>
      <c r="T73" t="s" s="0">
        <v>81</v>
      </c>
      <c r="U73" t="s" s="0">
        <v>81</v>
      </c>
      <c r="V73" t="s" s="0">
        <v>1752</v>
      </c>
      <c r="W73" t="s" s="0">
        <v>1753</v>
      </c>
      <c r="X73" t="s" s="0">
        <v>81</v>
      </c>
      <c r="Y73" t="s" s="0">
        <v>81</v>
      </c>
      <c r="Z73" t="s" s="0">
        <v>93</v>
      </c>
      <c r="AA73" t="s" s="0">
        <v>94</v>
      </c>
      <c r="AB73" t="s" s="0">
        <v>81</v>
      </c>
      <c r="AC73" t="s" s="0">
        <v>81</v>
      </c>
      <c r="AD73" t="s" s="0">
        <v>81</v>
      </c>
      <c r="AE73" t="s" s="0">
        <v>81</v>
      </c>
      <c r="AF73" t="s" s="0">
        <v>81</v>
      </c>
      <c r="AG73" t="s" s="0">
        <v>1754</v>
      </c>
      <c r="AH73" t="s" s="0">
        <v>1755</v>
      </c>
      <c r="AI73" t="s" s="0">
        <v>1756</v>
      </c>
      <c r="AJ73" t="s" s="0">
        <v>81</v>
      </c>
      <c r="AK73" t="s" s="0">
        <v>81</v>
      </c>
      <c r="AL73" t="s" s="0">
        <v>1757</v>
      </c>
      <c r="AM73" t="s" s="0">
        <v>77</v>
      </c>
      <c r="AN73" t="s" s="0">
        <v>77</v>
      </c>
      <c r="AO73" t="s" s="0">
        <v>77</v>
      </c>
      <c r="AP73" t="s" s="0">
        <v>77</v>
      </c>
      <c r="AQ73" t="s" s="0">
        <v>779</v>
      </c>
      <c r="AR73" t="s" s="0">
        <v>780</v>
      </c>
      <c r="AS73" t="s" s="0">
        <v>781</v>
      </c>
      <c r="AT73" t="s" s="0">
        <v>1758</v>
      </c>
      <c r="AU73" t="s" s="0">
        <v>1759</v>
      </c>
      <c r="AV73" t="s" s="0">
        <v>81</v>
      </c>
      <c r="AW73" t="s" s="0">
        <v>1760</v>
      </c>
      <c r="AX73" t="s" s="0">
        <v>1761</v>
      </c>
      <c r="AY73" t="s" s="0">
        <v>1372</v>
      </c>
      <c r="AZ73" t="s" s="0">
        <v>106</v>
      </c>
      <c r="BA73" t="s" s="0">
        <v>1061</v>
      </c>
      <c r="BB73" t="s" s="0">
        <v>81</v>
      </c>
      <c r="BC73" t="s" s="0">
        <v>81</v>
      </c>
      <c r="BD73" t="s" s="0">
        <v>1571</v>
      </c>
      <c r="BE73" t="s" s="0">
        <v>81</v>
      </c>
      <c r="BF73" t="s" s="0">
        <v>81</v>
      </c>
      <c r="BG73" t="s" s="0">
        <v>81</v>
      </c>
      <c r="BH73" t="s" s="0">
        <v>81</v>
      </c>
      <c r="BI73" t="s" s="0">
        <v>1762</v>
      </c>
      <c r="BJ73" t="s" s="0">
        <v>1763</v>
      </c>
      <c r="BK73" t="s" s="143">
        <f>HYPERLINK("http://dx.doi.org/10.1016/j.compeleceng.2026.111386","http://dx.doi.org/10.1016/j.compeleceng.2026.111386")</f>
        <v>1764</v>
      </c>
      <c r="BL73" t="s" s="0">
        <v>81</v>
      </c>
      <c r="BM73" t="s" s="0">
        <v>81</v>
      </c>
      <c r="BN73" t="s" s="0">
        <v>391</v>
      </c>
      <c r="BO73" t="s" s="0">
        <v>1765</v>
      </c>
      <c r="BP73" t="s" s="0">
        <v>279</v>
      </c>
      <c r="BQ73" t="s" s="0">
        <v>1766</v>
      </c>
      <c r="BR73" t="s" s="0">
        <v>81</v>
      </c>
      <c r="BS73" t="s" s="0">
        <v>1767</v>
      </c>
      <c r="BT73" t="s" s="144">
        <f>HYPERLINK("https://www.webofscience.com/wos/woscc/full-record/WOS:001834361400001","View Record in Web of Science")</f>
        <v>118</v>
      </c>
      <c r="BU73" t="s" s="0">
        <v>81</v>
      </c>
      <c r="BV73" t="s" s="0">
        <v>81</v>
      </c>
      <c r="BW73" t="s" s="0">
        <v>81</v>
      </c>
      <c r="BX73" t="s" s="0">
        <v>120</v>
      </c>
    </row>
    <row r="74">
      <c r="A74" t="s" s="0">
        <v>77</v>
      </c>
      <c r="B74" t="s" s="0">
        <v>77</v>
      </c>
      <c r="C74" t="s" s="0">
        <v>77</v>
      </c>
      <c r="D74" t="s" s="0">
        <v>77</v>
      </c>
      <c r="E74" t="s" s="0">
        <v>1768</v>
      </c>
      <c r="F74" t="s" s="0">
        <v>1769</v>
      </c>
      <c r="G74" t="s" s="0">
        <v>1770</v>
      </c>
      <c r="H74" t="s" s="0">
        <v>81</v>
      </c>
      <c r="I74" t="s" s="0">
        <v>82</v>
      </c>
      <c r="J74" t="s" s="0">
        <v>1771</v>
      </c>
      <c r="K74" t="s" s="0">
        <v>1772</v>
      </c>
      <c r="L74" t="s" s="0">
        <v>1773</v>
      </c>
      <c r="M74" t="s" s="0">
        <v>330</v>
      </c>
      <c r="N74" t="s" s="0">
        <v>1774</v>
      </c>
      <c r="O74" t="s" s="0">
        <v>1775</v>
      </c>
      <c r="P74" t="s" s="0">
        <v>1776</v>
      </c>
      <c r="Q74" t="s" s="0">
        <v>90</v>
      </c>
      <c r="R74" t="s" s="0">
        <v>81</v>
      </c>
      <c r="S74" t="s" s="0">
        <v>81</v>
      </c>
      <c r="T74" t="s" s="0">
        <v>81</v>
      </c>
      <c r="U74" t="s" s="0">
        <v>81</v>
      </c>
      <c r="V74" t="s" s="0">
        <v>1777</v>
      </c>
      <c r="W74" t="s" s="0">
        <v>1464</v>
      </c>
      <c r="X74" t="s" s="0">
        <v>81</v>
      </c>
      <c r="Y74" t="s" s="0">
        <v>81</v>
      </c>
      <c r="Z74" t="s" s="0">
        <v>93</v>
      </c>
      <c r="AA74" t="s" s="0">
        <v>94</v>
      </c>
      <c r="AB74" t="s" s="0">
        <v>81</v>
      </c>
      <c r="AC74" t="s" s="0">
        <v>81</v>
      </c>
      <c r="AD74" t="s" s="0">
        <v>81</v>
      </c>
      <c r="AE74" t="s" s="0">
        <v>81</v>
      </c>
      <c r="AF74" t="s" s="0">
        <v>81</v>
      </c>
      <c r="AG74" t="s" s="0">
        <v>1778</v>
      </c>
      <c r="AH74" t="s" s="0">
        <v>1779</v>
      </c>
      <c r="AI74" t="s" s="0">
        <v>1780</v>
      </c>
      <c r="AJ74" t="s" s="0">
        <v>81</v>
      </c>
      <c r="AK74" t="s" s="0">
        <v>81</v>
      </c>
      <c r="AL74" t="s" s="0">
        <v>1781</v>
      </c>
      <c r="AM74" t="s" s="0">
        <v>77</v>
      </c>
      <c r="AN74" t="s" s="0">
        <v>77</v>
      </c>
      <c r="AO74" t="s" s="0">
        <v>484</v>
      </c>
      <c r="AP74" t="s" s="0">
        <v>484</v>
      </c>
      <c r="AQ74" t="s" s="0">
        <v>779</v>
      </c>
      <c r="AR74" t="s" s="0">
        <v>780</v>
      </c>
      <c r="AS74" t="s" s="0">
        <v>781</v>
      </c>
      <c r="AT74" t="s" s="0">
        <v>1467</v>
      </c>
      <c r="AU74" t="s" s="0">
        <v>1468</v>
      </c>
      <c r="AV74" t="s" s="0">
        <v>81</v>
      </c>
      <c r="AW74" t="s" s="0">
        <v>1469</v>
      </c>
      <c r="AX74" t="s" s="0">
        <v>1470</v>
      </c>
      <c r="AY74" t="s" s="0">
        <v>1372</v>
      </c>
      <c r="AZ74" t="s" s="0">
        <v>106</v>
      </c>
      <c r="BA74" t="s" s="0">
        <v>1471</v>
      </c>
      <c r="BB74" t="s" s="0">
        <v>81</v>
      </c>
      <c r="BC74" t="s" s="0">
        <v>81</v>
      </c>
      <c r="BD74" t="s" s="0">
        <v>81</v>
      </c>
      <c r="BE74" t="s" s="0">
        <v>81</v>
      </c>
      <c r="BF74" t="s" s="0">
        <v>81</v>
      </c>
      <c r="BG74" t="s" s="0">
        <v>81</v>
      </c>
      <c r="BH74" t="s" s="0">
        <v>81</v>
      </c>
      <c r="BI74" t="s" s="0">
        <v>1782</v>
      </c>
      <c r="BJ74" t="s" s="0">
        <v>1783</v>
      </c>
      <c r="BK74" t="s" s="145">
        <f>HYPERLINK("http://dx.doi.org/10.1016/j.biotechadv.2026.108985","http://dx.doi.org/10.1016/j.biotechadv.2026.108985")</f>
        <v>1784</v>
      </c>
      <c r="BL74" t="s" s="0">
        <v>81</v>
      </c>
      <c r="BM74" t="s" s="0">
        <v>81</v>
      </c>
      <c r="BN74" t="s" s="0">
        <v>197</v>
      </c>
      <c r="BO74" t="s" s="0">
        <v>1475</v>
      </c>
      <c r="BP74" t="s" s="0">
        <v>1475</v>
      </c>
      <c r="BQ74" t="s" s="0">
        <v>1785</v>
      </c>
      <c r="BR74" t="s" s="0">
        <v>1786</v>
      </c>
      <c r="BS74" t="s" s="0">
        <v>1787</v>
      </c>
      <c r="BT74" t="s" s="146">
        <f>HYPERLINK("https://www.webofscience.com/wos/woscc/full-record/WOS:001829424800001","View Record in Web of Science")</f>
        <v>118</v>
      </c>
      <c r="BU74" t="s" s="0">
        <v>81</v>
      </c>
      <c r="BV74" t="s" s="0">
        <v>81</v>
      </c>
      <c r="BW74" t="s" s="0">
        <v>81</v>
      </c>
      <c r="BX74" t="s" s="0">
        <v>120</v>
      </c>
    </row>
    <row r="75">
      <c r="A75" t="s" s="0">
        <v>77</v>
      </c>
      <c r="B75" t="s" s="0">
        <v>77</v>
      </c>
      <c r="C75" t="s" s="0">
        <v>77</v>
      </c>
      <c r="D75" t="s" s="0">
        <v>77</v>
      </c>
      <c r="E75" t="s" s="0">
        <v>1788</v>
      </c>
      <c r="F75" t="s" s="0">
        <v>1789</v>
      </c>
      <c r="G75" t="s" s="0">
        <v>1790</v>
      </c>
      <c r="H75" t="s" s="0">
        <v>81</v>
      </c>
      <c r="I75" t="s" s="0">
        <v>82</v>
      </c>
      <c r="J75" t="s" s="0">
        <v>1791</v>
      </c>
      <c r="K75" t="s" s="0">
        <v>1792</v>
      </c>
      <c r="L75" t="s" s="0">
        <v>81</v>
      </c>
      <c r="M75" t="s" s="0">
        <v>81</v>
      </c>
      <c r="N75" t="s" s="0">
        <v>81</v>
      </c>
      <c r="O75" t="s" s="0">
        <v>1793</v>
      </c>
      <c r="P75" t="s" s="0">
        <v>1794</v>
      </c>
      <c r="Q75" t="s" s="0">
        <v>90</v>
      </c>
      <c r="R75" t="s" s="0">
        <v>81</v>
      </c>
      <c r="S75" t="s" s="0">
        <v>81</v>
      </c>
      <c r="T75" t="s" s="0">
        <v>81</v>
      </c>
      <c r="U75" t="s" s="0">
        <v>81</v>
      </c>
      <c r="V75" t="s" s="0">
        <v>1795</v>
      </c>
      <c r="W75" t="s" s="0">
        <v>1220</v>
      </c>
      <c r="X75" t="s" s="0">
        <v>81</v>
      </c>
      <c r="Y75" t="s" s="0">
        <v>81</v>
      </c>
      <c r="Z75" t="s" s="0">
        <v>93</v>
      </c>
      <c r="AA75" t="s" s="0">
        <v>94</v>
      </c>
      <c r="AB75" t="s" s="0">
        <v>81</v>
      </c>
      <c r="AC75" t="s" s="0">
        <v>81</v>
      </c>
      <c r="AD75" t="s" s="0">
        <v>81</v>
      </c>
      <c r="AE75" t="s" s="0">
        <v>81</v>
      </c>
      <c r="AF75" t="s" s="0">
        <v>81</v>
      </c>
      <c r="AG75" t="s" s="0">
        <v>1796</v>
      </c>
      <c r="AH75" t="s" s="0">
        <v>81</v>
      </c>
      <c r="AI75" t="s" s="0">
        <v>81</v>
      </c>
      <c r="AJ75" t="s" s="0">
        <v>81</v>
      </c>
      <c r="AK75" t="s" s="0">
        <v>81</v>
      </c>
      <c r="AL75" t="s" s="0">
        <v>442</v>
      </c>
      <c r="AM75" t="s" s="0">
        <v>77</v>
      </c>
      <c r="AN75" t="s" s="0">
        <v>77</v>
      </c>
      <c r="AO75" t="s" s="0">
        <v>77</v>
      </c>
      <c r="AP75" t="s" s="0">
        <v>77</v>
      </c>
      <c r="AQ75" t="s" s="0">
        <v>1224</v>
      </c>
      <c r="AR75" t="s" s="0">
        <v>1225</v>
      </c>
      <c r="AS75" t="s" s="0">
        <v>1226</v>
      </c>
      <c r="AT75" t="s" s="0">
        <v>1227</v>
      </c>
      <c r="AU75" t="s" s="0">
        <v>1228</v>
      </c>
      <c r="AV75" t="s" s="0">
        <v>81</v>
      </c>
      <c r="AW75" t="s" s="0">
        <v>1229</v>
      </c>
      <c r="AX75" t="s" s="0">
        <v>1230</v>
      </c>
      <c r="AY75" t="s" s="0">
        <v>1569</v>
      </c>
      <c r="AZ75" t="s" s="0">
        <v>106</v>
      </c>
      <c r="BA75" t="s" s="0">
        <v>1587</v>
      </c>
      <c r="BB75" t="s" s="0">
        <v>81</v>
      </c>
      <c r="BC75" t="s" s="0">
        <v>81</v>
      </c>
      <c r="BD75" t="s" s="0">
        <v>81</v>
      </c>
      <c r="BE75" t="s" s="0">
        <v>81</v>
      </c>
      <c r="BF75" t="s" s="0">
        <v>81</v>
      </c>
      <c r="BG75" t="s" s="0">
        <v>81</v>
      </c>
      <c r="BH75" t="s" s="0">
        <v>81</v>
      </c>
      <c r="BI75" t="s" s="0">
        <v>1797</v>
      </c>
      <c r="BJ75" t="s" s="0">
        <v>1798</v>
      </c>
      <c r="BK75" t="s" s="147">
        <f>HYPERLINK("http://dx.doi.org/10.1016/j.ijmedinf.2026.106629","http://dx.doi.org/10.1016/j.ijmedinf.2026.106629")</f>
        <v>1799</v>
      </c>
      <c r="BL75" t="s" s="0">
        <v>81</v>
      </c>
      <c r="BM75" t="s" s="0">
        <v>81</v>
      </c>
      <c r="BN75" t="s" s="0">
        <v>387</v>
      </c>
      <c r="BO75" t="s" s="0">
        <v>1237</v>
      </c>
      <c r="BP75" t="s" s="0">
        <v>1238</v>
      </c>
      <c r="BQ75" t="s" s="0">
        <v>1800</v>
      </c>
      <c r="BR75" t="s" s="0">
        <v>1801</v>
      </c>
      <c r="BS75" t="s" s="0">
        <v>1802</v>
      </c>
      <c r="BT75" t="s" s="148">
        <f>HYPERLINK("https://www.webofscience.com/wos/woscc/full-record/WOS:001830137800001","View Record in Web of Science")</f>
        <v>118</v>
      </c>
      <c r="BU75" t="s" s="0">
        <v>81</v>
      </c>
      <c r="BV75" t="s" s="0">
        <v>81</v>
      </c>
      <c r="BW75" t="s" s="0">
        <v>81</v>
      </c>
      <c r="BX75" t="s" s="0">
        <v>120</v>
      </c>
    </row>
    <row r="76">
      <c r="A76" t="s" s="0">
        <v>77</v>
      </c>
      <c r="B76" t="s" s="0">
        <v>77</v>
      </c>
      <c r="C76" t="s" s="0">
        <v>77</v>
      </c>
      <c r="D76" t="s" s="0">
        <v>77</v>
      </c>
      <c r="E76" t="s" s="0">
        <v>1803</v>
      </c>
      <c r="F76" t="s" s="0">
        <v>1804</v>
      </c>
      <c r="G76" t="s" s="0">
        <v>1805</v>
      </c>
      <c r="H76" t="s" s="0">
        <v>81</v>
      </c>
      <c r="I76" t="s" s="0">
        <v>82</v>
      </c>
      <c r="J76" t="s" s="0">
        <v>1806</v>
      </c>
      <c r="K76" t="s" s="0">
        <v>1807</v>
      </c>
      <c r="L76" t="s" s="0">
        <v>1808</v>
      </c>
      <c r="M76" t="s" s="0">
        <v>1809</v>
      </c>
      <c r="N76" t="s" s="0">
        <v>1810</v>
      </c>
      <c r="O76" t="s" s="0">
        <v>1811</v>
      </c>
      <c r="P76" t="s" s="0">
        <v>1812</v>
      </c>
      <c r="Q76" t="s" s="0">
        <v>90</v>
      </c>
      <c r="R76" t="s" s="0">
        <v>81</v>
      </c>
      <c r="S76" t="s" s="0">
        <v>81</v>
      </c>
      <c r="T76" t="s" s="0">
        <v>81</v>
      </c>
      <c r="U76" t="s" s="0">
        <v>81</v>
      </c>
      <c r="V76" t="s" s="0">
        <v>1813</v>
      </c>
      <c r="W76" t="s" s="0">
        <v>1814</v>
      </c>
      <c r="X76" t="s" s="0">
        <v>81</v>
      </c>
      <c r="Y76" t="s" s="0">
        <v>81</v>
      </c>
      <c r="Z76" t="s" s="0">
        <v>93</v>
      </c>
      <c r="AA76" t="s" s="0">
        <v>94</v>
      </c>
      <c r="AB76" t="s" s="0">
        <v>81</v>
      </c>
      <c r="AC76" t="s" s="0">
        <v>81</v>
      </c>
      <c r="AD76" t="s" s="0">
        <v>81</v>
      </c>
      <c r="AE76" t="s" s="0">
        <v>81</v>
      </c>
      <c r="AF76" t="s" s="0">
        <v>81</v>
      </c>
      <c r="AG76" t="s" s="0">
        <v>1815</v>
      </c>
      <c r="AH76" t="s" s="0">
        <v>1816</v>
      </c>
      <c r="AI76" t="s" s="0">
        <v>1817</v>
      </c>
      <c r="AJ76" t="s" s="0">
        <v>81</v>
      </c>
      <c r="AK76" t="s" s="0">
        <v>81</v>
      </c>
      <c r="AL76" t="s" s="0">
        <v>1287</v>
      </c>
      <c r="AM76" t="s" s="0">
        <v>77</v>
      </c>
      <c r="AN76" t="s" s="0">
        <v>77</v>
      </c>
      <c r="AO76" t="s" s="0">
        <v>77</v>
      </c>
      <c r="AP76" t="s" s="0">
        <v>77</v>
      </c>
      <c r="AQ76" t="s" s="0">
        <v>892</v>
      </c>
      <c r="AR76" t="s" s="0">
        <v>893</v>
      </c>
      <c r="AS76" t="s" s="0">
        <v>894</v>
      </c>
      <c r="AT76" t="s" s="0">
        <v>1818</v>
      </c>
      <c r="AU76" t="s" s="0">
        <v>1819</v>
      </c>
      <c r="AV76" t="s" s="0">
        <v>81</v>
      </c>
      <c r="AW76" t="s" s="0">
        <v>1820</v>
      </c>
      <c r="AX76" t="s" s="0">
        <v>1821</v>
      </c>
      <c r="AY76" t="s" s="0">
        <v>1372</v>
      </c>
      <c r="AZ76" t="s" s="0">
        <v>106</v>
      </c>
      <c r="BA76" t="s" s="0">
        <v>972</v>
      </c>
      <c r="BB76" t="s" s="0">
        <v>81</v>
      </c>
      <c r="BC76" t="s" s="0">
        <v>81</v>
      </c>
      <c r="BD76" t="s" s="0">
        <v>81</v>
      </c>
      <c r="BE76" t="s" s="0">
        <v>81</v>
      </c>
      <c r="BF76" t="s" s="0">
        <v>81</v>
      </c>
      <c r="BG76" t="s" s="0">
        <v>81</v>
      </c>
      <c r="BH76" t="s" s="0">
        <v>81</v>
      </c>
      <c r="BI76" t="s" s="0">
        <v>1822</v>
      </c>
      <c r="BJ76" t="s" s="0">
        <v>1823</v>
      </c>
      <c r="BK76" t="s" s="149">
        <f>HYPERLINK("http://dx.doi.org/10.1016/j.jddst.2026.108722","http://dx.doi.org/10.1016/j.jddst.2026.108722")</f>
        <v>1824</v>
      </c>
      <c r="BL76" t="s" s="0">
        <v>81</v>
      </c>
      <c r="BM76" t="s" s="0">
        <v>81</v>
      </c>
      <c r="BN76" t="s" s="0">
        <v>438</v>
      </c>
      <c r="BO76" t="s" s="0">
        <v>173</v>
      </c>
      <c r="BP76" t="s" s="0">
        <v>173</v>
      </c>
      <c r="BQ76" t="s" s="0">
        <v>1825</v>
      </c>
      <c r="BR76" t="s" s="0">
        <v>81</v>
      </c>
      <c r="BS76" t="s" s="0">
        <v>1826</v>
      </c>
      <c r="BT76" t="s" s="150">
        <f>HYPERLINK("https://www.webofscience.com/wos/woscc/full-record/WOS:001831193300001","View Record in Web of Science")</f>
        <v>118</v>
      </c>
      <c r="BU76" t="s" s="0">
        <v>81</v>
      </c>
      <c r="BV76" t="s" s="0">
        <v>81</v>
      </c>
      <c r="BW76" t="s" s="0">
        <v>81</v>
      </c>
      <c r="BX76" t="s" s="0">
        <v>120</v>
      </c>
    </row>
    <row r="77">
      <c r="A77" t="s" s="0">
        <v>77</v>
      </c>
      <c r="B77" t="s" s="0">
        <v>77</v>
      </c>
      <c r="C77" t="s" s="0">
        <v>77</v>
      </c>
      <c r="D77" t="s" s="0">
        <v>77</v>
      </c>
      <c r="E77" t="s" s="0">
        <v>1827</v>
      </c>
      <c r="F77" t="s" s="0">
        <v>1828</v>
      </c>
      <c r="G77" t="s" s="0">
        <v>1829</v>
      </c>
      <c r="H77" t="s" s="0">
        <v>81</v>
      </c>
      <c r="I77" t="s" s="0">
        <v>82</v>
      </c>
      <c r="J77" t="s" s="0">
        <v>1830</v>
      </c>
      <c r="K77" t="s" s="0">
        <v>1831</v>
      </c>
      <c r="L77" t="s" s="0">
        <v>81</v>
      </c>
      <c r="M77" t="s" s="0">
        <v>81</v>
      </c>
      <c r="N77" t="s" s="0">
        <v>81</v>
      </c>
      <c r="O77" t="s" s="0">
        <v>1832</v>
      </c>
      <c r="P77" t="s" s="0">
        <v>81</v>
      </c>
      <c r="Q77" t="s" s="0">
        <v>90</v>
      </c>
      <c r="R77" t="s" s="0">
        <v>81</v>
      </c>
      <c r="S77" t="s" s="0">
        <v>81</v>
      </c>
      <c r="T77" t="s" s="0">
        <v>81</v>
      </c>
      <c r="U77" t="s" s="0">
        <v>81</v>
      </c>
      <c r="V77" t="s" s="0">
        <v>1833</v>
      </c>
      <c r="W77" t="s" s="0">
        <v>1834</v>
      </c>
      <c r="X77" t="s" s="0">
        <v>81</v>
      </c>
      <c r="Y77" t="s" s="0">
        <v>81</v>
      </c>
      <c r="Z77" t="s" s="0">
        <v>93</v>
      </c>
      <c r="AA77" t="s" s="0">
        <v>94</v>
      </c>
      <c r="AB77" t="s" s="0">
        <v>81</v>
      </c>
      <c r="AC77" t="s" s="0">
        <v>81</v>
      </c>
      <c r="AD77" t="s" s="0">
        <v>81</v>
      </c>
      <c r="AE77" t="s" s="0">
        <v>81</v>
      </c>
      <c r="AF77" t="s" s="0">
        <v>81</v>
      </c>
      <c r="AG77" t="s" s="0">
        <v>1835</v>
      </c>
      <c r="AH77" t="s" s="0">
        <v>1836</v>
      </c>
      <c r="AI77" t="s" s="0">
        <v>81</v>
      </c>
      <c r="AJ77" t="s" s="0">
        <v>1837</v>
      </c>
      <c r="AK77" t="s" s="0">
        <v>81</v>
      </c>
      <c r="AL77" t="s" s="0">
        <v>1838</v>
      </c>
      <c r="AM77" t="s" s="0">
        <v>77</v>
      </c>
      <c r="AN77" t="s" s="0">
        <v>77</v>
      </c>
      <c r="AO77" t="s" s="0">
        <v>77</v>
      </c>
      <c r="AP77" t="s" s="0">
        <v>77</v>
      </c>
      <c r="AQ77" t="s" s="0">
        <v>1316</v>
      </c>
      <c r="AR77" t="s" s="0">
        <v>1317</v>
      </c>
      <c r="AS77" t="s" s="0">
        <v>1318</v>
      </c>
      <c r="AT77" t="s" s="0">
        <v>1839</v>
      </c>
      <c r="AU77" t="s" s="0">
        <v>1840</v>
      </c>
      <c r="AV77" t="s" s="0">
        <v>81</v>
      </c>
      <c r="AW77" t="s" s="0">
        <v>1841</v>
      </c>
      <c r="AX77" t="s" s="0">
        <v>1842</v>
      </c>
      <c r="AY77" t="s" s="0">
        <v>1372</v>
      </c>
      <c r="AZ77" t="s" s="0">
        <v>106</v>
      </c>
      <c r="BA77" t="s" s="0">
        <v>1587</v>
      </c>
      <c r="BB77" t="s" s="0">
        <v>81</v>
      </c>
      <c r="BC77" t="s" s="0">
        <v>81</v>
      </c>
      <c r="BD77" t="s" s="0">
        <v>81</v>
      </c>
      <c r="BE77" t="s" s="0">
        <v>81</v>
      </c>
      <c r="BF77" t="s" s="0">
        <v>81</v>
      </c>
      <c r="BG77" t="s" s="0">
        <v>81</v>
      </c>
      <c r="BH77" t="s" s="0">
        <v>81</v>
      </c>
      <c r="BI77" t="s" s="0">
        <v>1843</v>
      </c>
      <c r="BJ77" t="s" s="0">
        <v>1844</v>
      </c>
      <c r="BK77" t="s" s="151">
        <f>HYPERLINK("http://dx.doi.org/10.1016/j.porgcoat.2026.110455","http://dx.doi.org/10.1016/j.porgcoat.2026.110455")</f>
        <v>1845</v>
      </c>
      <c r="BL77" t="s" s="0">
        <v>81</v>
      </c>
      <c r="BM77" t="s" s="0">
        <v>81</v>
      </c>
      <c r="BN77" t="s" s="0">
        <v>253</v>
      </c>
      <c r="BO77" t="s" s="0">
        <v>1846</v>
      </c>
      <c r="BP77" t="s" s="0">
        <v>1847</v>
      </c>
      <c r="BQ77" t="s" s="0">
        <v>1848</v>
      </c>
      <c r="BR77" t="s" s="0">
        <v>81</v>
      </c>
      <c r="BS77" t="s" s="0">
        <v>1849</v>
      </c>
      <c r="BT77" t="s" s="152">
        <f>HYPERLINK("https://www.webofscience.com/wos/woscc/full-record/WOS:001829394400001","View Record in Web of Science")</f>
        <v>118</v>
      </c>
      <c r="BU77" t="s" s="0">
        <v>81</v>
      </c>
      <c r="BV77" t="s" s="0">
        <v>81</v>
      </c>
      <c r="BW77" t="s" s="0">
        <v>81</v>
      </c>
      <c r="BX77" t="s" s="0">
        <v>120</v>
      </c>
    </row>
    <row r="78">
      <c r="A78" t="s" s="0">
        <v>77</v>
      </c>
      <c r="B78" t="s" s="0">
        <v>77</v>
      </c>
      <c r="C78" t="s" s="0">
        <v>77</v>
      </c>
      <c r="D78" t="s" s="0">
        <v>77</v>
      </c>
      <c r="E78" t="s" s="0">
        <v>1850</v>
      </c>
      <c r="F78" t="s" s="0">
        <v>1851</v>
      </c>
      <c r="G78" t="s" s="0">
        <v>1852</v>
      </c>
      <c r="H78" t="s" s="0">
        <v>81</v>
      </c>
      <c r="I78" t="s" s="0">
        <v>82</v>
      </c>
      <c r="J78" t="s" s="0">
        <v>1853</v>
      </c>
      <c r="K78" t="s" s="0">
        <v>1854</v>
      </c>
      <c r="L78" t="s" s="0">
        <v>1855</v>
      </c>
      <c r="M78" t="s" s="0">
        <v>1856</v>
      </c>
      <c r="N78" t="s" s="0">
        <v>1857</v>
      </c>
      <c r="O78" t="s" s="0">
        <v>1858</v>
      </c>
      <c r="P78" t="s" s="0">
        <v>1859</v>
      </c>
      <c r="Q78" t="s" s="0">
        <v>90</v>
      </c>
      <c r="R78" t="s" s="0">
        <v>81</v>
      </c>
      <c r="S78" t="s" s="0">
        <v>81</v>
      </c>
      <c r="T78" t="s" s="0">
        <v>81</v>
      </c>
      <c r="U78" t="s" s="0">
        <v>81</v>
      </c>
      <c r="V78" t="s" s="0">
        <v>1860</v>
      </c>
      <c r="W78" t="s" s="0">
        <v>1220</v>
      </c>
      <c r="X78" t="s" s="0">
        <v>81</v>
      </c>
      <c r="Y78" t="s" s="0">
        <v>81</v>
      </c>
      <c r="Z78" t="s" s="0">
        <v>93</v>
      </c>
      <c r="AA78" t="s" s="0">
        <v>94</v>
      </c>
      <c r="AB78" t="s" s="0">
        <v>81</v>
      </c>
      <c r="AC78" t="s" s="0">
        <v>81</v>
      </c>
      <c r="AD78" t="s" s="0">
        <v>81</v>
      </c>
      <c r="AE78" t="s" s="0">
        <v>81</v>
      </c>
      <c r="AF78" t="s" s="0">
        <v>81</v>
      </c>
      <c r="AG78" t="s" s="0">
        <v>1861</v>
      </c>
      <c r="AH78" t="s" s="0">
        <v>1862</v>
      </c>
      <c r="AI78" t="s" s="0">
        <v>81</v>
      </c>
      <c r="AJ78" t="s" s="0">
        <v>81</v>
      </c>
      <c r="AK78" t="s" s="0">
        <v>81</v>
      </c>
      <c r="AL78" t="s" s="0">
        <v>1863</v>
      </c>
      <c r="AM78" t="s" s="0">
        <v>77</v>
      </c>
      <c r="AN78" t="s" s="0">
        <v>77</v>
      </c>
      <c r="AO78" t="s" s="0">
        <v>77</v>
      </c>
      <c r="AP78" t="s" s="0">
        <v>77</v>
      </c>
      <c r="AQ78" t="s" s="0">
        <v>1224</v>
      </c>
      <c r="AR78" t="s" s="0">
        <v>1225</v>
      </c>
      <c r="AS78" t="s" s="0">
        <v>1226</v>
      </c>
      <c r="AT78" t="s" s="0">
        <v>1227</v>
      </c>
      <c r="AU78" t="s" s="0">
        <v>1228</v>
      </c>
      <c r="AV78" t="s" s="0">
        <v>81</v>
      </c>
      <c r="AW78" t="s" s="0">
        <v>1229</v>
      </c>
      <c r="AX78" t="s" s="0">
        <v>1230</v>
      </c>
      <c r="AY78" t="s" s="0">
        <v>1569</v>
      </c>
      <c r="AZ78" t="s" s="0">
        <v>106</v>
      </c>
      <c r="BA78" t="s" s="0">
        <v>1587</v>
      </c>
      <c r="BB78" t="s" s="0">
        <v>81</v>
      </c>
      <c r="BC78" t="s" s="0">
        <v>81</v>
      </c>
      <c r="BD78" t="s" s="0">
        <v>81</v>
      </c>
      <c r="BE78" t="s" s="0">
        <v>81</v>
      </c>
      <c r="BF78" t="s" s="0">
        <v>81</v>
      </c>
      <c r="BG78" t="s" s="0">
        <v>81</v>
      </c>
      <c r="BH78" t="s" s="0">
        <v>81</v>
      </c>
      <c r="BI78" t="s" s="0">
        <v>1864</v>
      </c>
      <c r="BJ78" t="s" s="0">
        <v>1865</v>
      </c>
      <c r="BK78" t="s" s="153">
        <f>HYPERLINK("http://dx.doi.org/10.1016/j.ijmedinf.2026.106588","http://dx.doi.org/10.1016/j.ijmedinf.2026.106588")</f>
        <v>1866</v>
      </c>
      <c r="BL78" t="s" s="0">
        <v>81</v>
      </c>
      <c r="BM78" t="s" s="0">
        <v>81</v>
      </c>
      <c r="BN78" t="s" s="0">
        <v>511</v>
      </c>
      <c r="BO78" t="s" s="0">
        <v>1237</v>
      </c>
      <c r="BP78" t="s" s="0">
        <v>1238</v>
      </c>
      <c r="BQ78" t="s" s="0">
        <v>1867</v>
      </c>
      <c r="BR78" t="s" s="0">
        <v>1868</v>
      </c>
      <c r="BS78" t="s" s="0">
        <v>1869</v>
      </c>
      <c r="BT78" t="s" s="154">
        <f>HYPERLINK("https://www.webofscience.com/wos/woscc/full-record/WOS:001828883200001","View Record in Web of Science")</f>
        <v>118</v>
      </c>
      <c r="BU78" t="s" s="0">
        <v>81</v>
      </c>
      <c r="BV78" t="s" s="0">
        <v>81</v>
      </c>
      <c r="BW78" t="s" s="0">
        <v>81</v>
      </c>
      <c r="BX78" t="s" s="0">
        <v>120</v>
      </c>
    </row>
    <row r="79">
      <c r="A79" t="s" s="0">
        <v>77</v>
      </c>
      <c r="B79" t="s" s="0">
        <v>77</v>
      </c>
      <c r="C79" t="s" s="0">
        <v>77</v>
      </c>
      <c r="D79" t="s" s="0">
        <v>77</v>
      </c>
      <c r="E79" t="s" s="0">
        <v>1870</v>
      </c>
      <c r="F79" t="s" s="0">
        <v>1871</v>
      </c>
      <c r="G79" t="s" s="0">
        <v>1872</v>
      </c>
      <c r="H79" t="s" s="0">
        <v>81</v>
      </c>
      <c r="I79" t="s" s="0">
        <v>82</v>
      </c>
      <c r="J79" t="s" s="0">
        <v>1873</v>
      </c>
      <c r="K79" t="s" s="0">
        <v>1874</v>
      </c>
      <c r="L79" t="s" s="0">
        <v>81</v>
      </c>
      <c r="M79" t="s" s="0">
        <v>81</v>
      </c>
      <c r="N79" t="s" s="0">
        <v>81</v>
      </c>
      <c r="O79" t="s" s="0">
        <v>1875</v>
      </c>
      <c r="P79" t="s" s="0">
        <v>1876</v>
      </c>
      <c r="Q79" t="s" s="0">
        <v>90</v>
      </c>
      <c r="R79" t="s" s="0">
        <v>81</v>
      </c>
      <c r="S79" t="s" s="0">
        <v>81</v>
      </c>
      <c r="T79" t="s" s="0">
        <v>81</v>
      </c>
      <c r="U79" t="s" s="0">
        <v>81</v>
      </c>
      <c r="V79" t="s" s="0">
        <v>1877</v>
      </c>
      <c r="W79" t="s" s="0">
        <v>1878</v>
      </c>
      <c r="X79" t="s" s="0">
        <v>81</v>
      </c>
      <c r="Y79" t="s" s="0">
        <v>81</v>
      </c>
      <c r="Z79" t="s" s="0">
        <v>93</v>
      </c>
      <c r="AA79" t="s" s="0">
        <v>94</v>
      </c>
      <c r="AB79" t="s" s="0">
        <v>81</v>
      </c>
      <c r="AC79" t="s" s="0">
        <v>81</v>
      </c>
      <c r="AD79" t="s" s="0">
        <v>81</v>
      </c>
      <c r="AE79" t="s" s="0">
        <v>81</v>
      </c>
      <c r="AF79" t="s" s="0">
        <v>81</v>
      </c>
      <c r="AG79" t="s" s="0">
        <v>1879</v>
      </c>
      <c r="AH79" t="s" s="0">
        <v>1880</v>
      </c>
      <c r="AI79" t="s" s="0">
        <v>81</v>
      </c>
      <c r="AJ79" t="s" s="0">
        <v>1881</v>
      </c>
      <c r="AK79" t="s" s="0">
        <v>81</v>
      </c>
      <c r="AL79" t="s" s="0">
        <v>489</v>
      </c>
      <c r="AM79" t="s" s="0">
        <v>77</v>
      </c>
      <c r="AN79" t="s" s="0">
        <v>77</v>
      </c>
      <c r="AO79" t="s" s="0">
        <v>77</v>
      </c>
      <c r="AP79" t="s" s="0">
        <v>77</v>
      </c>
      <c r="AQ79" t="s" s="0">
        <v>836</v>
      </c>
      <c r="AR79" t="s" s="0">
        <v>837</v>
      </c>
      <c r="AS79" t="s" s="0">
        <v>838</v>
      </c>
      <c r="AT79" t="s" s="0">
        <v>1882</v>
      </c>
      <c r="AU79" t="s" s="0">
        <v>1883</v>
      </c>
      <c r="AV79" t="s" s="0">
        <v>81</v>
      </c>
      <c r="AW79" t="s" s="0">
        <v>1884</v>
      </c>
      <c r="AX79" t="s" s="0">
        <v>1885</v>
      </c>
      <c r="AY79" t="s" s="0">
        <v>1372</v>
      </c>
      <c r="AZ79" t="s" s="0">
        <v>106</v>
      </c>
      <c r="BA79" t="s" s="0">
        <v>1886</v>
      </c>
      <c r="BB79" t="s" s="0">
        <v>81</v>
      </c>
      <c r="BC79" t="s" s="0">
        <v>81</v>
      </c>
      <c r="BD79" t="s" s="0">
        <v>81</v>
      </c>
      <c r="BE79" t="s" s="0">
        <v>81</v>
      </c>
      <c r="BF79" t="s" s="0">
        <v>81</v>
      </c>
      <c r="BG79" t="s" s="0">
        <v>81</v>
      </c>
      <c r="BH79" t="s" s="0">
        <v>81</v>
      </c>
      <c r="BI79" t="s" s="0">
        <v>1887</v>
      </c>
      <c r="BJ79" t="s" s="0">
        <v>1888</v>
      </c>
      <c r="BK79" t="s" s="155">
        <f>HYPERLINK("http://dx.doi.org/10.1016/j.jocn.2026.112210","http://dx.doi.org/10.1016/j.jocn.2026.112210")</f>
        <v>1889</v>
      </c>
      <c r="BL79" t="s" s="0">
        <v>81</v>
      </c>
      <c r="BM79" t="s" s="0">
        <v>81</v>
      </c>
      <c r="BN79" t="s" s="0">
        <v>197</v>
      </c>
      <c r="BO79" t="s" s="0">
        <v>1890</v>
      </c>
      <c r="BP79" t="s" s="0">
        <v>146</v>
      </c>
      <c r="BQ79" t="s" s="0">
        <v>1891</v>
      </c>
      <c r="BR79" t="s" s="0">
        <v>1892</v>
      </c>
      <c r="BS79" t="s" s="0">
        <v>1893</v>
      </c>
      <c r="BT79" t="s" s="156">
        <f>HYPERLINK("https://www.webofscience.com/wos/woscc/full-record/WOS:001828204900001","View Record in Web of Science")</f>
        <v>118</v>
      </c>
      <c r="BU79" t="s" s="0">
        <v>81</v>
      </c>
      <c r="BV79" t="s" s="0">
        <v>81</v>
      </c>
      <c r="BW79" t="s" s="0">
        <v>81</v>
      </c>
      <c r="BX79" t="s" s="0">
        <v>120</v>
      </c>
    </row>
    <row r="80">
      <c r="A80" t="s" s="0">
        <v>77</v>
      </c>
      <c r="B80" t="s" s="0">
        <v>77</v>
      </c>
      <c r="C80" t="s" s="0">
        <v>77</v>
      </c>
      <c r="D80" t="s" s="0">
        <v>77</v>
      </c>
      <c r="E80" t="s" s="0">
        <v>1894</v>
      </c>
      <c r="F80" t="s" s="0">
        <v>1895</v>
      </c>
      <c r="G80" t="s" s="0">
        <v>1896</v>
      </c>
      <c r="H80" t="s" s="0">
        <v>81</v>
      </c>
      <c r="I80" t="s" s="0">
        <v>82</v>
      </c>
      <c r="J80" t="s" s="0">
        <v>1897</v>
      </c>
      <c r="K80" t="s" s="0">
        <v>1898</v>
      </c>
      <c r="L80" t="s" s="0">
        <v>1899</v>
      </c>
      <c r="M80" t="s" s="0">
        <v>1900</v>
      </c>
      <c r="N80" t="s" s="0">
        <v>1901</v>
      </c>
      <c r="O80" t="s" s="0">
        <v>1902</v>
      </c>
      <c r="P80" t="s" s="0">
        <v>1903</v>
      </c>
      <c r="Q80" t="s" s="0">
        <v>90</v>
      </c>
      <c r="R80" t="s" s="0">
        <v>81</v>
      </c>
      <c r="S80" t="s" s="0">
        <v>81</v>
      </c>
      <c r="T80" t="s" s="0">
        <v>81</v>
      </c>
      <c r="U80" t="s" s="0">
        <v>81</v>
      </c>
      <c r="V80" t="s" s="0">
        <v>1904</v>
      </c>
      <c r="W80" t="s" s="0">
        <v>1220</v>
      </c>
      <c r="X80" t="s" s="0">
        <v>81</v>
      </c>
      <c r="Y80" t="s" s="0">
        <v>81</v>
      </c>
      <c r="Z80" t="s" s="0">
        <v>93</v>
      </c>
      <c r="AA80" t="s" s="0">
        <v>94</v>
      </c>
      <c r="AB80" t="s" s="0">
        <v>81</v>
      </c>
      <c r="AC80" t="s" s="0">
        <v>81</v>
      </c>
      <c r="AD80" t="s" s="0">
        <v>81</v>
      </c>
      <c r="AE80" t="s" s="0">
        <v>81</v>
      </c>
      <c r="AF80" t="s" s="0">
        <v>81</v>
      </c>
      <c r="AG80" t="s" s="0">
        <v>1905</v>
      </c>
      <c r="AH80" t="s" s="0">
        <v>1906</v>
      </c>
      <c r="AI80" t="s" s="0">
        <v>81</v>
      </c>
      <c r="AJ80" t="s" s="0">
        <v>81</v>
      </c>
      <c r="AK80" t="s" s="0">
        <v>81</v>
      </c>
      <c r="AL80" t="s" s="0">
        <v>347</v>
      </c>
      <c r="AM80" t="s" s="0">
        <v>77</v>
      </c>
      <c r="AN80" t="s" s="0">
        <v>77</v>
      </c>
      <c r="AO80" t="s" s="0">
        <v>77</v>
      </c>
      <c r="AP80" t="s" s="0">
        <v>77</v>
      </c>
      <c r="AQ80" t="s" s="0">
        <v>1224</v>
      </c>
      <c r="AR80" t="s" s="0">
        <v>1225</v>
      </c>
      <c r="AS80" t="s" s="0">
        <v>1226</v>
      </c>
      <c r="AT80" t="s" s="0">
        <v>1227</v>
      </c>
      <c r="AU80" t="s" s="0">
        <v>1228</v>
      </c>
      <c r="AV80" t="s" s="0">
        <v>81</v>
      </c>
      <c r="AW80" t="s" s="0">
        <v>1229</v>
      </c>
      <c r="AX80" t="s" s="0">
        <v>1230</v>
      </c>
      <c r="AY80" t="s" s="0">
        <v>1569</v>
      </c>
      <c r="AZ80" t="s" s="0">
        <v>106</v>
      </c>
      <c r="BA80" t="s" s="0">
        <v>1587</v>
      </c>
      <c r="BB80" t="s" s="0">
        <v>81</v>
      </c>
      <c r="BC80" t="s" s="0">
        <v>81</v>
      </c>
      <c r="BD80" t="s" s="0">
        <v>81</v>
      </c>
      <c r="BE80" t="s" s="0">
        <v>81</v>
      </c>
      <c r="BF80" t="s" s="0">
        <v>81</v>
      </c>
      <c r="BG80" t="s" s="0">
        <v>81</v>
      </c>
      <c r="BH80" t="s" s="0">
        <v>81</v>
      </c>
      <c r="BI80" t="s" s="0">
        <v>1907</v>
      </c>
      <c r="BJ80" t="s" s="0">
        <v>1908</v>
      </c>
      <c r="BK80" t="s" s="157">
        <f>HYPERLINK("http://dx.doi.org/10.1016/j.ijmedinf.2026.106583","http://dx.doi.org/10.1016/j.ijmedinf.2026.106583")</f>
        <v>1909</v>
      </c>
      <c r="BL80" t="s" s="0">
        <v>81</v>
      </c>
      <c r="BM80" t="s" s="0">
        <v>81</v>
      </c>
      <c r="BN80" t="s" s="0">
        <v>144</v>
      </c>
      <c r="BO80" t="s" s="0">
        <v>1237</v>
      </c>
      <c r="BP80" t="s" s="0">
        <v>1238</v>
      </c>
      <c r="BQ80" t="s" s="0">
        <v>1910</v>
      </c>
      <c r="BR80" t="s" s="0">
        <v>1911</v>
      </c>
      <c r="BS80" t="s" s="0">
        <v>1912</v>
      </c>
      <c r="BT80" t="s" s="158">
        <f>HYPERLINK("https://www.webofscience.com/wos/woscc/full-record/WOS:001825136200001","View Record in Web of Science")</f>
        <v>118</v>
      </c>
      <c r="BU80" t="s" s="0">
        <v>81</v>
      </c>
      <c r="BV80" t="s" s="0">
        <v>81</v>
      </c>
      <c r="BW80" t="s" s="0">
        <v>81</v>
      </c>
      <c r="BX80" t="s" s="0">
        <v>120</v>
      </c>
    </row>
    <row r="81">
      <c r="A81" t="s" s="0">
        <v>77</v>
      </c>
      <c r="B81" t="s" s="0">
        <v>77</v>
      </c>
      <c r="C81" t="s" s="0">
        <v>77</v>
      </c>
      <c r="D81" t="s" s="0">
        <v>77</v>
      </c>
      <c r="E81" t="s" s="0">
        <v>1913</v>
      </c>
      <c r="F81" t="s" s="0">
        <v>1914</v>
      </c>
      <c r="G81" t="s" s="0">
        <v>1915</v>
      </c>
      <c r="H81" t="s" s="0">
        <v>81</v>
      </c>
      <c r="I81" t="s" s="0">
        <v>82</v>
      </c>
      <c r="J81" t="s" s="0">
        <v>1916</v>
      </c>
      <c r="K81" t="s" s="0">
        <v>1917</v>
      </c>
      <c r="L81" t="s" s="0">
        <v>81</v>
      </c>
      <c r="M81" t="s" s="0">
        <v>81</v>
      </c>
      <c r="N81" t="s" s="0">
        <v>81</v>
      </c>
      <c r="O81" t="s" s="0">
        <v>1918</v>
      </c>
      <c r="P81" t="s" s="0">
        <v>1919</v>
      </c>
      <c r="Q81" t="s" s="0">
        <v>90</v>
      </c>
      <c r="R81" t="s" s="0">
        <v>81</v>
      </c>
      <c r="S81" t="s" s="0">
        <v>81</v>
      </c>
      <c r="T81" t="s" s="0">
        <v>81</v>
      </c>
      <c r="U81" t="s" s="0">
        <v>81</v>
      </c>
      <c r="V81" t="s" s="0">
        <v>1920</v>
      </c>
      <c r="W81" t="s" s="0">
        <v>1921</v>
      </c>
      <c r="X81" t="s" s="0">
        <v>81</v>
      </c>
      <c r="Y81" t="s" s="0">
        <v>81</v>
      </c>
      <c r="Z81" t="s" s="0">
        <v>93</v>
      </c>
      <c r="AA81" t="s" s="0">
        <v>94</v>
      </c>
      <c r="AB81" t="s" s="0">
        <v>81</v>
      </c>
      <c r="AC81" t="s" s="0">
        <v>81</v>
      </c>
      <c r="AD81" t="s" s="0">
        <v>81</v>
      </c>
      <c r="AE81" t="s" s="0">
        <v>81</v>
      </c>
      <c r="AF81" t="s" s="0">
        <v>81</v>
      </c>
      <c r="AG81" t="s" s="0">
        <v>1922</v>
      </c>
      <c r="AH81" t="s" s="0">
        <v>1923</v>
      </c>
      <c r="AI81" t="s" s="0">
        <v>1924</v>
      </c>
      <c r="AJ81" t="s" s="0">
        <v>1925</v>
      </c>
      <c r="AK81" t="s" s="0">
        <v>81</v>
      </c>
      <c r="AL81" t="s" s="0">
        <v>1926</v>
      </c>
      <c r="AM81" t="s" s="0">
        <v>77</v>
      </c>
      <c r="AN81" t="s" s="0">
        <v>77</v>
      </c>
      <c r="AO81" t="s" s="0">
        <v>108</v>
      </c>
      <c r="AP81" t="s" s="0">
        <v>108</v>
      </c>
      <c r="AQ81" t="s" s="0">
        <v>1927</v>
      </c>
      <c r="AR81" t="s" s="0">
        <v>1928</v>
      </c>
      <c r="AS81" t="s" s="0">
        <v>1929</v>
      </c>
      <c r="AT81" t="s" s="0">
        <v>1930</v>
      </c>
      <c r="AU81" t="s" s="0">
        <v>81</v>
      </c>
      <c r="AV81" t="s" s="0">
        <v>81</v>
      </c>
      <c r="AW81" t="s" s="0">
        <v>1931</v>
      </c>
      <c r="AX81" t="s" s="0">
        <v>1932</v>
      </c>
      <c r="AY81" t="s" s="0">
        <v>1372</v>
      </c>
      <c r="AZ81" t="s" s="0">
        <v>106</v>
      </c>
      <c r="BA81" t="s" s="0">
        <v>1933</v>
      </c>
      <c r="BB81" t="s" s="0">
        <v>433</v>
      </c>
      <c r="BC81" t="s" s="0">
        <v>81</v>
      </c>
      <c r="BD81" t="s" s="0">
        <v>81</v>
      </c>
      <c r="BE81" t="s" s="0">
        <v>81</v>
      </c>
      <c r="BF81" t="s" s="0">
        <v>81</v>
      </c>
      <c r="BG81" t="s" s="0">
        <v>81</v>
      </c>
      <c r="BH81" t="s" s="0">
        <v>81</v>
      </c>
      <c r="BI81" t="s" s="0">
        <v>1934</v>
      </c>
      <c r="BJ81" t="s" s="0">
        <v>1935</v>
      </c>
      <c r="BK81" t="s" s="159">
        <f>HYPERLINK("http://dx.doi.org/10.1016/j.accpm.2026.101861","http://dx.doi.org/10.1016/j.accpm.2026.101861")</f>
        <v>1936</v>
      </c>
      <c r="BL81" t="s" s="0">
        <v>81</v>
      </c>
      <c r="BM81" t="s" s="0">
        <v>81</v>
      </c>
      <c r="BN81" t="s" s="0">
        <v>511</v>
      </c>
      <c r="BO81" t="s" s="0">
        <v>1937</v>
      </c>
      <c r="BP81" t="s" s="0">
        <v>1938</v>
      </c>
      <c r="BQ81" t="s" s="0">
        <v>1939</v>
      </c>
      <c r="BR81" t="s" s="0">
        <v>1940</v>
      </c>
      <c r="BS81" t="s" s="0">
        <v>1941</v>
      </c>
      <c r="BT81" t="s" s="160">
        <f>HYPERLINK("https://www.webofscience.com/wos/woscc/full-record/WOS:001799643200001","View Record in Web of Science")</f>
        <v>118</v>
      </c>
      <c r="BU81" t="s" s="0">
        <v>877</v>
      </c>
      <c r="BV81" t="s" s="0">
        <v>81</v>
      </c>
      <c r="BW81" t="s" s="0">
        <v>81</v>
      </c>
      <c r="BX81" t="s" s="0">
        <v>120</v>
      </c>
    </row>
    <row r="82">
      <c r="A82" t="s" s="0">
        <v>77</v>
      </c>
      <c r="B82" t="s" s="0">
        <v>77</v>
      </c>
      <c r="C82" t="s" s="0">
        <v>77</v>
      </c>
      <c r="D82" t="s" s="0">
        <v>77</v>
      </c>
      <c r="E82" t="s" s="0">
        <v>1942</v>
      </c>
      <c r="F82" t="s" s="0">
        <v>1943</v>
      </c>
      <c r="G82" t="s" s="0">
        <v>1944</v>
      </c>
      <c r="H82" t="s" s="0">
        <v>81</v>
      </c>
      <c r="I82" t="s" s="0">
        <v>1004</v>
      </c>
      <c r="J82" t="s" s="0">
        <v>1945</v>
      </c>
      <c r="K82" t="s" s="0">
        <v>1946</v>
      </c>
      <c r="L82" t="s" s="0">
        <v>1947</v>
      </c>
      <c r="M82" t="s" s="0">
        <v>1948</v>
      </c>
      <c r="N82" t="s" s="0">
        <v>1949</v>
      </c>
      <c r="O82" t="s" s="0">
        <v>1950</v>
      </c>
      <c r="P82" t="s" s="0">
        <v>1951</v>
      </c>
      <c r="Q82" t="s" s="0">
        <v>90</v>
      </c>
      <c r="R82" t="s" s="0">
        <v>81</v>
      </c>
      <c r="S82" t="s" s="0">
        <v>81</v>
      </c>
      <c r="T82" t="s" s="0">
        <v>81</v>
      </c>
      <c r="U82" t="s" s="0">
        <v>81</v>
      </c>
      <c r="V82" t="s" s="0">
        <v>1952</v>
      </c>
      <c r="W82" t="s" s="0">
        <v>1953</v>
      </c>
      <c r="X82" t="s" s="0">
        <v>81</v>
      </c>
      <c r="Y82" t="s" s="0">
        <v>81</v>
      </c>
      <c r="Z82" t="s" s="0">
        <v>93</v>
      </c>
      <c r="AA82" t="s" s="0">
        <v>94</v>
      </c>
      <c r="AB82" t="s" s="0">
        <v>81</v>
      </c>
      <c r="AC82" t="s" s="0">
        <v>81</v>
      </c>
      <c r="AD82" t="s" s="0">
        <v>81</v>
      </c>
      <c r="AE82" t="s" s="0">
        <v>81</v>
      </c>
      <c r="AF82" t="s" s="0">
        <v>81</v>
      </c>
      <c r="AG82" t="s" s="0">
        <v>1954</v>
      </c>
      <c r="AH82" t="s" s="0">
        <v>1955</v>
      </c>
      <c r="AI82" t="s" s="0">
        <v>1956</v>
      </c>
      <c r="AJ82" t="s" s="0">
        <v>81</v>
      </c>
      <c r="AK82" t="s" s="0">
        <v>81</v>
      </c>
      <c r="AL82" t="s" s="0">
        <v>1287</v>
      </c>
      <c r="AM82" t="s" s="0">
        <v>77</v>
      </c>
      <c r="AN82" t="s" s="0">
        <v>77</v>
      </c>
      <c r="AO82" t="s" s="0">
        <v>77</v>
      </c>
      <c r="AP82" t="s" s="0">
        <v>77</v>
      </c>
      <c r="AQ82" t="s" s="0">
        <v>892</v>
      </c>
      <c r="AR82" t="s" s="0">
        <v>893</v>
      </c>
      <c r="AS82" t="s" s="0">
        <v>894</v>
      </c>
      <c r="AT82" t="s" s="0">
        <v>1957</v>
      </c>
      <c r="AU82" t="s" s="0">
        <v>1958</v>
      </c>
      <c r="AV82" t="s" s="0">
        <v>81</v>
      </c>
      <c r="AW82" t="s" s="0">
        <v>1959</v>
      </c>
      <c r="AX82" t="s" s="0">
        <v>1960</v>
      </c>
      <c r="AY82" t="s" s="0">
        <v>1569</v>
      </c>
      <c r="AZ82" t="s" s="0">
        <v>106</v>
      </c>
      <c r="BA82" t="s" s="0">
        <v>1961</v>
      </c>
      <c r="BB82" t="s" s="0">
        <v>81</v>
      </c>
      <c r="BC82" t="s" s="0">
        <v>81</v>
      </c>
      <c r="BD82" t="s" s="0">
        <v>81</v>
      </c>
      <c r="BE82" t="s" s="0">
        <v>81</v>
      </c>
      <c r="BF82" t="s" s="0">
        <v>81</v>
      </c>
      <c r="BG82" t="s" s="0">
        <v>81</v>
      </c>
      <c r="BH82" t="s" s="0">
        <v>81</v>
      </c>
      <c r="BI82" t="s" s="0">
        <v>1962</v>
      </c>
      <c r="BJ82" t="s" s="0">
        <v>1963</v>
      </c>
      <c r="BK82" t="s" s="161">
        <f>HYPERLINK("http://dx.doi.org/10.1016/j.jad.2026.122054","http://dx.doi.org/10.1016/j.jad.2026.122054")</f>
        <v>1964</v>
      </c>
      <c r="BL82" t="s" s="0">
        <v>81</v>
      </c>
      <c r="BM82" t="s" s="0">
        <v>81</v>
      </c>
      <c r="BN82" t="s" s="0">
        <v>493</v>
      </c>
      <c r="BO82" t="s" s="0">
        <v>1965</v>
      </c>
      <c r="BP82" t="s" s="0">
        <v>1966</v>
      </c>
      <c r="BQ82" t="s" s="0">
        <v>1967</v>
      </c>
      <c r="BR82" t="s" s="0">
        <v>1968</v>
      </c>
      <c r="BS82" t="s" s="0">
        <v>1969</v>
      </c>
      <c r="BT82" t="s" s="162">
        <f>HYPERLINK("https://www.webofscience.com/wos/woscc/full-record/WOS:001798377000001","View Record in Web of Science")</f>
        <v>118</v>
      </c>
      <c r="BU82" t="s" s="0">
        <v>81</v>
      </c>
      <c r="BV82" t="s" s="0">
        <v>81</v>
      </c>
      <c r="BW82" t="s" s="0">
        <v>81</v>
      </c>
      <c r="BX82" t="s" s="0">
        <v>120</v>
      </c>
    </row>
    <row r="83">
      <c r="A83" t="s" s="0">
        <v>77</v>
      </c>
      <c r="B83" t="s" s="0">
        <v>77</v>
      </c>
      <c r="C83" t="s" s="0">
        <v>77</v>
      </c>
      <c r="D83" t="s" s="0">
        <v>77</v>
      </c>
      <c r="E83" t="s" s="0">
        <v>1970</v>
      </c>
      <c r="F83" t="s" s="0">
        <v>1971</v>
      </c>
      <c r="G83" t="s" s="0">
        <v>1972</v>
      </c>
      <c r="H83" t="s" s="0">
        <v>81</v>
      </c>
      <c r="I83" t="s" s="0">
        <v>82</v>
      </c>
      <c r="J83" t="s" s="0">
        <v>1973</v>
      </c>
      <c r="K83" t="s" s="0">
        <v>1974</v>
      </c>
      <c r="L83" t="s" s="0">
        <v>1975</v>
      </c>
      <c r="M83" t="s" s="0">
        <v>1976</v>
      </c>
      <c r="N83" t="s" s="0">
        <v>1977</v>
      </c>
      <c r="O83" t="s" s="0">
        <v>1978</v>
      </c>
      <c r="P83" t="s" s="0">
        <v>1979</v>
      </c>
      <c r="Q83" t="s" s="0">
        <v>90</v>
      </c>
      <c r="R83" t="s" s="0">
        <v>81</v>
      </c>
      <c r="S83" t="s" s="0">
        <v>81</v>
      </c>
      <c r="T83" t="s" s="0">
        <v>81</v>
      </c>
      <c r="U83" t="s" s="0">
        <v>81</v>
      </c>
      <c r="V83" t="s" s="0">
        <v>1980</v>
      </c>
      <c r="W83" t="s" s="0">
        <v>1981</v>
      </c>
      <c r="X83" t="s" s="0">
        <v>81</v>
      </c>
      <c r="Y83" t="s" s="0">
        <v>81</v>
      </c>
      <c r="Z83" t="s" s="0">
        <v>93</v>
      </c>
      <c r="AA83" t="s" s="0">
        <v>94</v>
      </c>
      <c r="AB83" t="s" s="0">
        <v>81</v>
      </c>
      <c r="AC83" t="s" s="0">
        <v>81</v>
      </c>
      <c r="AD83" t="s" s="0">
        <v>81</v>
      </c>
      <c r="AE83" t="s" s="0">
        <v>81</v>
      </c>
      <c r="AF83" t="s" s="0">
        <v>81</v>
      </c>
      <c r="AG83" t="s" s="0">
        <v>1982</v>
      </c>
      <c r="AH83" t="s" s="0">
        <v>1983</v>
      </c>
      <c r="AI83" t="s" s="0">
        <v>1984</v>
      </c>
      <c r="AJ83" t="s" s="0">
        <v>81</v>
      </c>
      <c r="AK83" t="s" s="0">
        <v>81</v>
      </c>
      <c r="AL83" t="s" s="0">
        <v>809</v>
      </c>
      <c r="AM83" t="s" s="0">
        <v>108</v>
      </c>
      <c r="AN83" t="s" s="0">
        <v>108</v>
      </c>
      <c r="AO83" t="s" s="0">
        <v>596</v>
      </c>
      <c r="AP83" t="s" s="0">
        <v>596</v>
      </c>
      <c r="AQ83" t="s" s="0">
        <v>892</v>
      </c>
      <c r="AR83" t="s" s="0">
        <v>893</v>
      </c>
      <c r="AS83" t="s" s="0">
        <v>894</v>
      </c>
      <c r="AT83" t="s" s="0">
        <v>1985</v>
      </c>
      <c r="AU83" t="s" s="0">
        <v>1986</v>
      </c>
      <c r="AV83" t="s" s="0">
        <v>81</v>
      </c>
      <c r="AW83" t="s" s="0">
        <v>1987</v>
      </c>
      <c r="AX83" t="s" s="0">
        <v>1988</v>
      </c>
      <c r="AY83" t="s" s="0">
        <v>1372</v>
      </c>
      <c r="AZ83" t="s" s="0">
        <v>106</v>
      </c>
      <c r="BA83" t="s" s="0">
        <v>568</v>
      </c>
      <c r="BB83" t="s" s="0">
        <v>81</v>
      </c>
      <c r="BC83" t="s" s="0">
        <v>81</v>
      </c>
      <c r="BD83" t="s" s="0">
        <v>81</v>
      </c>
      <c r="BE83" t="s" s="0">
        <v>81</v>
      </c>
      <c r="BF83" t="s" s="0">
        <v>81</v>
      </c>
      <c r="BG83" t="s" s="0">
        <v>81</v>
      </c>
      <c r="BH83" t="s" s="0">
        <v>81</v>
      </c>
      <c r="BI83" t="s" s="0">
        <v>1989</v>
      </c>
      <c r="BJ83" t="s" s="0">
        <v>1990</v>
      </c>
      <c r="BK83" t="s" s="163">
        <f>HYPERLINK("http://dx.doi.org/10.1016/j.cosrev.2026.101005","http://dx.doi.org/10.1016/j.cosrev.2026.101005")</f>
        <v>1991</v>
      </c>
      <c r="BL83" t="s" s="0">
        <v>81</v>
      </c>
      <c r="BM83" t="s" s="0">
        <v>81</v>
      </c>
      <c r="BN83" t="s" s="0">
        <v>168</v>
      </c>
      <c r="BO83" t="s" s="0">
        <v>1992</v>
      </c>
      <c r="BP83" t="s" s="0">
        <v>1354</v>
      </c>
      <c r="BQ83" t="s" s="0">
        <v>1993</v>
      </c>
      <c r="BR83" t="s" s="0">
        <v>81</v>
      </c>
      <c r="BS83" t="s" s="0">
        <v>1994</v>
      </c>
      <c r="BT83" t="s" s="164">
        <f>HYPERLINK("https://www.webofscience.com/wos/woscc/full-record/WOS:001789087200001","View Record in Web of Science")</f>
        <v>118</v>
      </c>
      <c r="BU83" t="s" s="0">
        <v>877</v>
      </c>
      <c r="BV83" t="s" s="0">
        <v>81</v>
      </c>
      <c r="BW83" t="s" s="0">
        <v>81</v>
      </c>
      <c r="BX83" t="s" s="0">
        <v>120</v>
      </c>
    </row>
    <row r="84">
      <c r="A84" t="s" s="0">
        <v>77</v>
      </c>
      <c r="B84" t="s" s="0">
        <v>77</v>
      </c>
      <c r="C84" t="s" s="0">
        <v>77</v>
      </c>
      <c r="D84" t="s" s="0">
        <v>77</v>
      </c>
      <c r="E84" t="s" s="0">
        <v>1995</v>
      </c>
      <c r="F84" t="s" s="0">
        <v>1996</v>
      </c>
      <c r="G84" t="s" s="0">
        <v>1997</v>
      </c>
      <c r="H84" t="s" s="0">
        <v>81</v>
      </c>
      <c r="I84" t="s" s="0">
        <v>82</v>
      </c>
      <c r="J84" t="s" s="0">
        <v>1998</v>
      </c>
      <c r="K84" t="s" s="0">
        <v>1999</v>
      </c>
      <c r="L84" t="s" s="0">
        <v>81</v>
      </c>
      <c r="M84" t="s" s="0">
        <v>81</v>
      </c>
      <c r="N84" t="s" s="0">
        <v>81</v>
      </c>
      <c r="O84" t="s" s="0">
        <v>2000</v>
      </c>
      <c r="P84" t="s" s="0">
        <v>2001</v>
      </c>
      <c r="Q84" t="s" s="0">
        <v>90</v>
      </c>
      <c r="R84" t="s" s="0">
        <v>81</v>
      </c>
      <c r="S84" t="s" s="0">
        <v>81</v>
      </c>
      <c r="T84" t="s" s="0">
        <v>81</v>
      </c>
      <c r="U84" t="s" s="0">
        <v>81</v>
      </c>
      <c r="V84" t="s" s="0">
        <v>2002</v>
      </c>
      <c r="W84" t="s" s="0">
        <v>2003</v>
      </c>
      <c r="X84" t="s" s="0">
        <v>81</v>
      </c>
      <c r="Y84" t="s" s="0">
        <v>81</v>
      </c>
      <c r="Z84" t="s" s="0">
        <v>93</v>
      </c>
      <c r="AA84" t="s" s="0">
        <v>94</v>
      </c>
      <c r="AB84" t="s" s="0">
        <v>81</v>
      </c>
      <c r="AC84" t="s" s="0">
        <v>81</v>
      </c>
      <c r="AD84" t="s" s="0">
        <v>81</v>
      </c>
      <c r="AE84" t="s" s="0">
        <v>81</v>
      </c>
      <c r="AF84" t="s" s="0">
        <v>81</v>
      </c>
      <c r="AG84" t="s" s="0">
        <v>2004</v>
      </c>
      <c r="AH84" t="s" s="0">
        <v>2005</v>
      </c>
      <c r="AI84" t="s" s="0">
        <v>2006</v>
      </c>
      <c r="AJ84" t="s" s="0">
        <v>2007</v>
      </c>
      <c r="AK84" t="s" s="0">
        <v>81</v>
      </c>
      <c r="AL84" t="s" s="0">
        <v>2008</v>
      </c>
      <c r="AM84" t="s" s="0">
        <v>340</v>
      </c>
      <c r="AN84" t="s" s="0">
        <v>340</v>
      </c>
      <c r="AO84" t="s" s="0">
        <v>253</v>
      </c>
      <c r="AP84" t="s" s="0">
        <v>253</v>
      </c>
      <c r="AQ84" t="s" s="0">
        <v>779</v>
      </c>
      <c r="AR84" t="s" s="0">
        <v>780</v>
      </c>
      <c r="AS84" t="s" s="0">
        <v>781</v>
      </c>
      <c r="AT84" t="s" s="0">
        <v>2009</v>
      </c>
      <c r="AU84" t="s" s="0">
        <v>2010</v>
      </c>
      <c r="AV84" t="s" s="0">
        <v>81</v>
      </c>
      <c r="AW84" t="s" s="0">
        <v>2011</v>
      </c>
      <c r="AX84" t="s" s="0">
        <v>2012</v>
      </c>
      <c r="AY84" t="s" s="0">
        <v>1372</v>
      </c>
      <c r="AZ84" t="s" s="0">
        <v>106</v>
      </c>
      <c r="BA84" t="s" s="0">
        <v>2013</v>
      </c>
      <c r="BB84" t="s" s="0">
        <v>81</v>
      </c>
      <c r="BC84" t="s" s="0">
        <v>81</v>
      </c>
      <c r="BD84" t="s" s="0">
        <v>81</v>
      </c>
      <c r="BE84" t="s" s="0">
        <v>81</v>
      </c>
      <c r="BF84" t="s" s="0">
        <v>81</v>
      </c>
      <c r="BG84" t="s" s="0">
        <v>81</v>
      </c>
      <c r="BH84" t="s" s="0">
        <v>81</v>
      </c>
      <c r="BI84" t="s" s="0">
        <v>2014</v>
      </c>
      <c r="BJ84" t="s" s="0">
        <v>2015</v>
      </c>
      <c r="BK84" t="s" s="165">
        <f>HYPERLINK("http://dx.doi.org/10.1016/j.pmatsci.2026.101732","http://dx.doi.org/10.1016/j.pmatsci.2026.101732")</f>
        <v>2016</v>
      </c>
      <c r="BL84" t="s" s="0">
        <v>81</v>
      </c>
      <c r="BM84" t="s" s="0">
        <v>81</v>
      </c>
      <c r="BN84" t="s" s="0">
        <v>168</v>
      </c>
      <c r="BO84" t="s" s="0">
        <v>2017</v>
      </c>
      <c r="BP84" t="s" s="0">
        <v>928</v>
      </c>
      <c r="BQ84" t="s" s="0">
        <v>2018</v>
      </c>
      <c r="BR84" t="s" s="0">
        <v>81</v>
      </c>
      <c r="BS84" t="s" s="0">
        <v>2019</v>
      </c>
      <c r="BT84" t="s" s="166">
        <f>HYPERLINK("https://www.webofscience.com/wos/woscc/full-record/WOS:001759722300001","View Record in Web of Science")</f>
        <v>118</v>
      </c>
      <c r="BU84" t="s" s="0">
        <v>81</v>
      </c>
      <c r="BV84" t="s" s="0">
        <v>81</v>
      </c>
      <c r="BW84" t="s" s="0">
        <v>81</v>
      </c>
      <c r="BX84" t="s" s="0">
        <v>120</v>
      </c>
    </row>
    <row r="85">
      <c r="A85" t="s" s="0">
        <v>77</v>
      </c>
      <c r="B85" t="s" s="0">
        <v>77</v>
      </c>
      <c r="C85" t="s" s="0">
        <v>77</v>
      </c>
      <c r="D85" t="s" s="0">
        <v>77</v>
      </c>
      <c r="E85" t="s" s="0">
        <v>2020</v>
      </c>
      <c r="F85" t="s" s="0">
        <v>2021</v>
      </c>
      <c r="G85" t="s" s="0">
        <v>2022</v>
      </c>
      <c r="H85" t="s" s="0">
        <v>81</v>
      </c>
      <c r="I85" t="s" s="0">
        <v>82</v>
      </c>
      <c r="J85" t="s" s="0">
        <v>2023</v>
      </c>
      <c r="K85" t="s" s="0">
        <v>2024</v>
      </c>
      <c r="L85" t="s" s="0">
        <v>2025</v>
      </c>
      <c r="M85" t="s" s="0">
        <v>2026</v>
      </c>
      <c r="N85" t="s" s="0">
        <v>2027</v>
      </c>
      <c r="O85" t="s" s="0">
        <v>2028</v>
      </c>
      <c r="P85" t="s" s="0">
        <v>2029</v>
      </c>
      <c r="Q85" t="s" s="0">
        <v>90</v>
      </c>
      <c r="R85" t="s" s="0">
        <v>81</v>
      </c>
      <c r="S85" t="s" s="0">
        <v>81</v>
      </c>
      <c r="T85" t="s" s="0">
        <v>81</v>
      </c>
      <c r="U85" t="s" s="0">
        <v>81</v>
      </c>
      <c r="V85" t="s" s="0">
        <v>2030</v>
      </c>
      <c r="W85" t="s" s="0">
        <v>2031</v>
      </c>
      <c r="X85" t="s" s="0">
        <v>81</v>
      </c>
      <c r="Y85" t="s" s="0">
        <v>81</v>
      </c>
      <c r="Z85" t="s" s="0">
        <v>93</v>
      </c>
      <c r="AA85" t="s" s="0">
        <v>94</v>
      </c>
      <c r="AB85" t="s" s="0">
        <v>81</v>
      </c>
      <c r="AC85" t="s" s="0">
        <v>81</v>
      </c>
      <c r="AD85" t="s" s="0">
        <v>81</v>
      </c>
      <c r="AE85" t="s" s="0">
        <v>81</v>
      </c>
      <c r="AF85" t="s" s="0">
        <v>81</v>
      </c>
      <c r="AG85" t="s" s="0">
        <v>2032</v>
      </c>
      <c r="AH85" t="s" s="0">
        <v>2033</v>
      </c>
      <c r="AI85" t="s" s="0">
        <v>2034</v>
      </c>
      <c r="AJ85" t="s" s="0">
        <v>81</v>
      </c>
      <c r="AK85" t="s" s="0">
        <v>81</v>
      </c>
      <c r="AL85" t="s" s="0">
        <v>2035</v>
      </c>
      <c r="AM85" t="s" s="0">
        <v>77</v>
      </c>
      <c r="AN85" t="s" s="0">
        <v>77</v>
      </c>
      <c r="AO85" t="s" s="0">
        <v>108</v>
      </c>
      <c r="AP85" t="s" s="0">
        <v>108</v>
      </c>
      <c r="AQ85" t="s" s="0">
        <v>892</v>
      </c>
      <c r="AR85" t="s" s="0">
        <v>893</v>
      </c>
      <c r="AS85" t="s" s="0">
        <v>894</v>
      </c>
      <c r="AT85" t="s" s="0">
        <v>2036</v>
      </c>
      <c r="AU85" t="s" s="0">
        <v>2037</v>
      </c>
      <c r="AV85" t="s" s="0">
        <v>81</v>
      </c>
      <c r="AW85" t="s" s="0">
        <v>2038</v>
      </c>
      <c r="AX85" t="s" s="0">
        <v>2039</v>
      </c>
      <c r="AY85" t="s" s="0">
        <v>2040</v>
      </c>
      <c r="AZ85" t="s" s="0">
        <v>106</v>
      </c>
      <c r="BA85" t="s" s="0">
        <v>2041</v>
      </c>
      <c r="BB85" t="s" s="0">
        <v>81</v>
      </c>
      <c r="BC85" t="s" s="0">
        <v>81</v>
      </c>
      <c r="BD85" t="s" s="0">
        <v>340</v>
      </c>
      <c r="BE85" t="s" s="0">
        <v>81</v>
      </c>
      <c r="BF85" t="s" s="0">
        <v>81</v>
      </c>
      <c r="BG85" t="s" s="0">
        <v>81</v>
      </c>
      <c r="BH85" t="s" s="0">
        <v>81</v>
      </c>
      <c r="BI85" t="s" s="0">
        <v>2042</v>
      </c>
      <c r="BJ85" t="s" s="0">
        <v>2043</v>
      </c>
      <c r="BK85" t="s" s="167">
        <f>HYPERLINK("http://dx.doi.org/10.1016/j.foodres.2026.120000","http://dx.doi.org/10.1016/j.foodres.2026.120000")</f>
        <v>2044</v>
      </c>
      <c r="BL85" t="s" s="0">
        <v>81</v>
      </c>
      <c r="BM85" t="s" s="0">
        <v>81</v>
      </c>
      <c r="BN85" t="s" s="0">
        <v>140</v>
      </c>
      <c r="BO85" t="s" s="0">
        <v>2045</v>
      </c>
      <c r="BP85" t="s" s="0">
        <v>2045</v>
      </c>
      <c r="BQ85" t="s" s="0">
        <v>2046</v>
      </c>
      <c r="BR85" t="s" s="0">
        <v>81</v>
      </c>
      <c r="BS85" t="s" s="0">
        <v>2047</v>
      </c>
      <c r="BT85" t="s" s="168">
        <f>HYPERLINK("https://www.webofscience.com/wos/woscc/full-record/WOS:001824244100001","View Record in Web of Science")</f>
        <v>118</v>
      </c>
      <c r="BU85" t="s" s="0">
        <v>81</v>
      </c>
      <c r="BV85" t="s" s="0">
        <v>81</v>
      </c>
      <c r="BW85" t="s" s="0">
        <v>81</v>
      </c>
      <c r="BX85" t="s" s="0">
        <v>120</v>
      </c>
    </row>
    <row r="86">
      <c r="A86" t="s" s="0">
        <v>77</v>
      </c>
      <c r="B86" t="s" s="0">
        <v>77</v>
      </c>
      <c r="C86" t="s" s="0">
        <v>77</v>
      </c>
      <c r="D86" t="s" s="0">
        <v>77</v>
      </c>
      <c r="E86" t="s" s="0">
        <v>2048</v>
      </c>
      <c r="F86" t="s" s="0">
        <v>2049</v>
      </c>
      <c r="G86" t="s" s="0">
        <v>2050</v>
      </c>
      <c r="H86" t="s" s="0">
        <v>81</v>
      </c>
      <c r="I86" t="s" s="0">
        <v>82</v>
      </c>
      <c r="J86" t="s" s="0">
        <v>2051</v>
      </c>
      <c r="K86" t="s" s="0">
        <v>2052</v>
      </c>
      <c r="L86" t="s" s="0">
        <v>81</v>
      </c>
      <c r="M86" t="s" s="0">
        <v>81</v>
      </c>
      <c r="N86" t="s" s="0">
        <v>81</v>
      </c>
      <c r="O86" t="s" s="0">
        <v>2053</v>
      </c>
      <c r="P86" t="s" s="0">
        <v>2054</v>
      </c>
      <c r="Q86" t="s" s="0">
        <v>90</v>
      </c>
      <c r="R86" t="s" s="0">
        <v>81</v>
      </c>
      <c r="S86" t="s" s="0">
        <v>81</v>
      </c>
      <c r="T86" t="s" s="0">
        <v>81</v>
      </c>
      <c r="U86" t="s" s="0">
        <v>81</v>
      </c>
      <c r="V86" t="s" s="0">
        <v>2055</v>
      </c>
      <c r="W86" t="s" s="0">
        <v>2056</v>
      </c>
      <c r="X86" t="s" s="0">
        <v>81</v>
      </c>
      <c r="Y86" t="s" s="0">
        <v>81</v>
      </c>
      <c r="Z86" t="s" s="0">
        <v>93</v>
      </c>
      <c r="AA86" t="s" s="0">
        <v>94</v>
      </c>
      <c r="AB86" t="s" s="0">
        <v>81</v>
      </c>
      <c r="AC86" t="s" s="0">
        <v>81</v>
      </c>
      <c r="AD86" t="s" s="0">
        <v>81</v>
      </c>
      <c r="AE86" t="s" s="0">
        <v>81</v>
      </c>
      <c r="AF86" t="s" s="0">
        <v>81</v>
      </c>
      <c r="AG86" t="s" s="0">
        <v>2057</v>
      </c>
      <c r="AH86" t="s" s="0">
        <v>2058</v>
      </c>
      <c r="AI86" t="s" s="0">
        <v>81</v>
      </c>
      <c r="AJ86" t="s" s="0">
        <v>81</v>
      </c>
      <c r="AK86" t="s" s="0">
        <v>81</v>
      </c>
      <c r="AL86" t="s" s="0">
        <v>2059</v>
      </c>
      <c r="AM86" t="s" s="0">
        <v>77</v>
      </c>
      <c r="AN86" t="s" s="0">
        <v>77</v>
      </c>
      <c r="AO86" t="s" s="0">
        <v>108</v>
      </c>
      <c r="AP86" t="s" s="0">
        <v>108</v>
      </c>
      <c r="AQ86" t="s" s="0">
        <v>892</v>
      </c>
      <c r="AR86" t="s" s="0">
        <v>893</v>
      </c>
      <c r="AS86" t="s" s="0">
        <v>894</v>
      </c>
      <c r="AT86" t="s" s="0">
        <v>2060</v>
      </c>
      <c r="AU86" t="s" s="0">
        <v>2061</v>
      </c>
      <c r="AV86" t="s" s="0">
        <v>81</v>
      </c>
      <c r="AW86" t="s" s="0">
        <v>2062</v>
      </c>
      <c r="AX86" t="s" s="0">
        <v>2063</v>
      </c>
      <c r="AY86" t="s" s="0">
        <v>2064</v>
      </c>
      <c r="AZ86" t="s" s="0">
        <v>106</v>
      </c>
      <c r="BA86" t="s" s="0">
        <v>2065</v>
      </c>
      <c r="BB86" t="s" s="0">
        <v>81</v>
      </c>
      <c r="BC86" t="s" s="0">
        <v>81</v>
      </c>
      <c r="BD86" t="s" s="0">
        <v>81</v>
      </c>
      <c r="BE86" t="s" s="0">
        <v>81</v>
      </c>
      <c r="BF86" t="s" s="0">
        <v>81</v>
      </c>
      <c r="BG86" t="s" s="0">
        <v>81</v>
      </c>
      <c r="BH86" t="s" s="0">
        <v>81</v>
      </c>
      <c r="BI86" t="s" s="0">
        <v>2066</v>
      </c>
      <c r="BJ86" t="s" s="0">
        <v>2067</v>
      </c>
      <c r="BK86" t="s" s="169">
        <f>HYPERLINK("http://dx.doi.org/10.1016/j.jconrel.2026.115214","http://dx.doi.org/10.1016/j.jconrel.2026.115214")</f>
        <v>2068</v>
      </c>
      <c r="BL86" t="s" s="0">
        <v>81</v>
      </c>
      <c r="BM86" t="s" s="0">
        <v>81</v>
      </c>
      <c r="BN86" t="s" s="0">
        <v>647</v>
      </c>
      <c r="BO86" t="s" s="0">
        <v>2069</v>
      </c>
      <c r="BP86" t="s" s="0">
        <v>2070</v>
      </c>
      <c r="BQ86" t="s" s="0">
        <v>2071</v>
      </c>
      <c r="BR86" t="s" s="0">
        <v>2072</v>
      </c>
      <c r="BS86" t="s" s="0">
        <v>2073</v>
      </c>
      <c r="BT86" t="s" s="170">
        <f>HYPERLINK("https://www.webofscience.com/wos/woscc/full-record/WOS:001843365900001","View Record in Web of Science")</f>
        <v>118</v>
      </c>
      <c r="BU86" t="s" s="0">
        <v>877</v>
      </c>
      <c r="BV86" t="s" s="0">
        <v>81</v>
      </c>
      <c r="BW86" t="s" s="0">
        <v>81</v>
      </c>
      <c r="BX86" t="s" s="0">
        <v>120</v>
      </c>
    </row>
    <row r="87">
      <c r="A87" t="s" s="0">
        <v>77</v>
      </c>
      <c r="B87" t="s" s="0">
        <v>77</v>
      </c>
      <c r="C87" t="s" s="0">
        <v>77</v>
      </c>
      <c r="D87" t="s" s="0">
        <v>77</v>
      </c>
      <c r="E87" t="s" s="0">
        <v>2074</v>
      </c>
      <c r="F87" t="s" s="0">
        <v>2075</v>
      </c>
      <c r="G87" t="s" s="0">
        <v>2076</v>
      </c>
      <c r="H87" t="s" s="0">
        <v>81</v>
      </c>
      <c r="I87" t="s" s="0">
        <v>82</v>
      </c>
      <c r="J87" t="s" s="0">
        <v>2077</v>
      </c>
      <c r="K87" t="s" s="0">
        <v>2078</v>
      </c>
      <c r="L87" t="s" s="0">
        <v>81</v>
      </c>
      <c r="M87" t="s" s="0">
        <v>81</v>
      </c>
      <c r="N87" t="s" s="0">
        <v>81</v>
      </c>
      <c r="O87" t="s" s="0">
        <v>2079</v>
      </c>
      <c r="P87" t="s" s="0">
        <v>81</v>
      </c>
      <c r="Q87" t="s" s="0">
        <v>90</v>
      </c>
      <c r="R87" t="s" s="0">
        <v>81</v>
      </c>
      <c r="S87" t="s" s="0">
        <v>81</v>
      </c>
      <c r="T87" t="s" s="0">
        <v>81</v>
      </c>
      <c r="U87" t="s" s="0">
        <v>81</v>
      </c>
      <c r="V87" t="s" s="0">
        <v>2080</v>
      </c>
      <c r="W87" t="s" s="0">
        <v>2081</v>
      </c>
      <c r="X87" t="s" s="0">
        <v>81</v>
      </c>
      <c r="Y87" t="s" s="0">
        <v>81</v>
      </c>
      <c r="Z87" t="s" s="0">
        <v>93</v>
      </c>
      <c r="AA87" t="s" s="0">
        <v>94</v>
      </c>
      <c r="AB87" t="s" s="0">
        <v>81</v>
      </c>
      <c r="AC87" t="s" s="0">
        <v>81</v>
      </c>
      <c r="AD87" t="s" s="0">
        <v>81</v>
      </c>
      <c r="AE87" t="s" s="0">
        <v>81</v>
      </c>
      <c r="AF87" t="s" s="0">
        <v>81</v>
      </c>
      <c r="AG87" t="s" s="0">
        <v>2082</v>
      </c>
      <c r="AH87" t="s" s="0">
        <v>2083</v>
      </c>
      <c r="AI87" t="s" s="0">
        <v>81</v>
      </c>
      <c r="AJ87" t="s" s="0">
        <v>81</v>
      </c>
      <c r="AK87" t="s" s="0">
        <v>81</v>
      </c>
      <c r="AL87" t="s" s="0">
        <v>2084</v>
      </c>
      <c r="AM87" t="s" s="0">
        <v>77</v>
      </c>
      <c r="AN87" t="s" s="0">
        <v>77</v>
      </c>
      <c r="AO87" t="s" s="0">
        <v>77</v>
      </c>
      <c r="AP87" t="s" s="0">
        <v>77</v>
      </c>
      <c r="AQ87" t="s" s="0">
        <v>892</v>
      </c>
      <c r="AR87" t="s" s="0">
        <v>893</v>
      </c>
      <c r="AS87" t="s" s="0">
        <v>894</v>
      </c>
      <c r="AT87" t="s" s="0">
        <v>2085</v>
      </c>
      <c r="AU87" t="s" s="0">
        <v>2086</v>
      </c>
      <c r="AV87" t="s" s="0">
        <v>81</v>
      </c>
      <c r="AW87" t="s" s="0">
        <v>2087</v>
      </c>
      <c r="AX87" t="s" s="0">
        <v>2088</v>
      </c>
      <c r="AY87" t="s" s="0">
        <v>2089</v>
      </c>
      <c r="AZ87" t="s" s="0">
        <v>106</v>
      </c>
      <c r="BA87" t="s" s="0">
        <v>2090</v>
      </c>
      <c r="BB87" t="s" s="0">
        <v>511</v>
      </c>
      <c r="BC87" t="s" s="0">
        <v>81</v>
      </c>
      <c r="BD87" t="s" s="0">
        <v>81</v>
      </c>
      <c r="BE87" t="s" s="0">
        <v>81</v>
      </c>
      <c r="BF87" t="s" s="0">
        <v>81</v>
      </c>
      <c r="BG87" t="s" s="0">
        <v>81</v>
      </c>
      <c r="BH87" t="s" s="0">
        <v>81</v>
      </c>
      <c r="BI87" t="s" s="0">
        <v>2091</v>
      </c>
      <c r="BJ87" t="s" s="0">
        <v>2092</v>
      </c>
      <c r="BK87" t="s" s="171">
        <f>HYPERLINK("http://dx.doi.org/10.1016/j.ajpe.2026.102060","http://dx.doi.org/10.1016/j.ajpe.2026.102060")</f>
        <v>2093</v>
      </c>
      <c r="BL87" t="s" s="0">
        <v>81</v>
      </c>
      <c r="BM87" t="s" s="0">
        <v>81</v>
      </c>
      <c r="BN87" t="s" s="0">
        <v>144</v>
      </c>
      <c r="BO87" t="s" s="0">
        <v>2094</v>
      </c>
      <c r="BP87" t="s" s="0">
        <v>2095</v>
      </c>
      <c r="BQ87" t="s" s="0">
        <v>2096</v>
      </c>
      <c r="BR87" t="s" s="0">
        <v>2097</v>
      </c>
      <c r="BS87" t="s" s="0">
        <v>2098</v>
      </c>
      <c r="BT87" t="s" s="172">
        <f>HYPERLINK("https://www.webofscience.com/wos/woscc/full-record/WOS:001852286600001","View Record in Web of Science")</f>
        <v>118</v>
      </c>
      <c r="BU87" t="s" s="0">
        <v>119</v>
      </c>
      <c r="BV87" t="s" s="0">
        <v>81</v>
      </c>
      <c r="BW87" t="s" s="0">
        <v>81</v>
      </c>
      <c r="BX87" t="s" s="0">
        <v>120</v>
      </c>
    </row>
    <row r="88">
      <c r="A88" t="s" s="0">
        <v>77</v>
      </c>
      <c r="B88" t="s" s="0">
        <v>77</v>
      </c>
      <c r="C88" t="s" s="0">
        <v>77</v>
      </c>
      <c r="D88" t="s" s="0">
        <v>77</v>
      </c>
      <c r="E88" t="s" s="0">
        <v>2099</v>
      </c>
      <c r="F88" t="s" s="0">
        <v>2100</v>
      </c>
      <c r="G88" t="s" s="0">
        <v>2101</v>
      </c>
      <c r="H88" t="s" s="0">
        <v>81</v>
      </c>
      <c r="I88" t="s" s="0">
        <v>82</v>
      </c>
      <c r="J88" t="s" s="0">
        <v>2102</v>
      </c>
      <c r="K88" t="s" s="0">
        <v>2103</v>
      </c>
      <c r="L88" t="s" s="0">
        <v>81</v>
      </c>
      <c r="M88" t="s" s="0">
        <v>81</v>
      </c>
      <c r="N88" t="s" s="0">
        <v>81</v>
      </c>
      <c r="O88" t="s" s="0">
        <v>2104</v>
      </c>
      <c r="P88" t="s" s="0">
        <v>81</v>
      </c>
      <c r="Q88" t="s" s="0">
        <v>90</v>
      </c>
      <c r="R88" t="s" s="0">
        <v>81</v>
      </c>
      <c r="S88" t="s" s="0">
        <v>2105</v>
      </c>
      <c r="T88" t="s" s="0">
        <v>81</v>
      </c>
      <c r="U88" t="s" s="0">
        <v>81</v>
      </c>
      <c r="V88" t="s" s="0">
        <v>2106</v>
      </c>
      <c r="W88" t="s" s="0">
        <v>2107</v>
      </c>
      <c r="X88" t="s" s="0">
        <v>81</v>
      </c>
      <c r="Y88" t="s" s="0">
        <v>81</v>
      </c>
      <c r="Z88" t="s" s="0">
        <v>93</v>
      </c>
      <c r="AA88" t="s" s="0">
        <v>94</v>
      </c>
      <c r="AB88" t="s" s="0">
        <v>81</v>
      </c>
      <c r="AC88" t="s" s="0">
        <v>81</v>
      </c>
      <c r="AD88" t="s" s="0">
        <v>81</v>
      </c>
      <c r="AE88" t="s" s="0">
        <v>81</v>
      </c>
      <c r="AF88" t="s" s="0">
        <v>81</v>
      </c>
      <c r="AG88" t="s" s="0">
        <v>81</v>
      </c>
      <c r="AH88" t="s" s="0">
        <v>81</v>
      </c>
      <c r="AI88" t="s" s="0">
        <v>81</v>
      </c>
      <c r="AJ88" t="s" s="0">
        <v>81</v>
      </c>
      <c r="AK88" t="s" s="0">
        <v>81</v>
      </c>
      <c r="AL88" t="s" s="0">
        <v>702</v>
      </c>
      <c r="AM88" t="s" s="0">
        <v>77</v>
      </c>
      <c r="AN88" t="s" s="0">
        <v>77</v>
      </c>
      <c r="AO88" t="s" s="0">
        <v>77</v>
      </c>
      <c r="AP88" t="s" s="0">
        <v>77</v>
      </c>
      <c r="AQ88" t="s" s="0">
        <v>2108</v>
      </c>
      <c r="AR88" t="s" s="0">
        <v>2109</v>
      </c>
      <c r="AS88" t="s" s="0">
        <v>2110</v>
      </c>
      <c r="AT88" t="s" s="0">
        <v>2111</v>
      </c>
      <c r="AU88" t="s" s="0">
        <v>2112</v>
      </c>
      <c r="AV88" t="s" s="0">
        <v>81</v>
      </c>
      <c r="AW88" t="s" s="0">
        <v>2113</v>
      </c>
      <c r="AX88" t="s" s="0">
        <v>2114</v>
      </c>
      <c r="AY88" t="s" s="0">
        <v>2089</v>
      </c>
      <c r="AZ88" t="s" s="0">
        <v>106</v>
      </c>
      <c r="BA88" t="s" s="0">
        <v>1287</v>
      </c>
      <c r="BB88" t="s" s="0">
        <v>81</v>
      </c>
      <c r="BC88" t="s" s="0">
        <v>81</v>
      </c>
      <c r="BD88" t="s" s="0">
        <v>81</v>
      </c>
      <c r="BE88" t="s" s="0">
        <v>81</v>
      </c>
      <c r="BF88" t="s" s="0">
        <v>81</v>
      </c>
      <c r="BG88" t="s" s="0">
        <v>81</v>
      </c>
      <c r="BH88" t="s" s="0">
        <v>81</v>
      </c>
      <c r="BI88" t="s" s="0">
        <v>2115</v>
      </c>
      <c r="BJ88" t="s" s="0">
        <v>2116</v>
      </c>
      <c r="BK88" t="s" s="173">
        <f>HYPERLINK("http://dx.doi.org/10.1016/j.coi.2026.102835","http://dx.doi.org/10.1016/j.coi.2026.102835")</f>
        <v>2117</v>
      </c>
      <c r="BL88" t="s" s="0">
        <v>81</v>
      </c>
      <c r="BM88" t="s" s="0">
        <v>81</v>
      </c>
      <c r="BN88" t="s" s="0">
        <v>434</v>
      </c>
      <c r="BO88" t="s" s="0">
        <v>2118</v>
      </c>
      <c r="BP88" t="s" s="0">
        <v>2118</v>
      </c>
      <c r="BQ88" t="s" s="0">
        <v>2119</v>
      </c>
      <c r="BR88" t="s" s="0">
        <v>2120</v>
      </c>
      <c r="BS88" t="s" s="0">
        <v>2121</v>
      </c>
      <c r="BT88" t="s" s="174">
        <f>HYPERLINK("https://www.webofscience.com/wos/woscc/full-record/WOS:001851054500001","View Record in Web of Science")</f>
        <v>118</v>
      </c>
      <c r="BU88" t="s" s="0">
        <v>81</v>
      </c>
      <c r="BV88" t="s" s="0">
        <v>81</v>
      </c>
      <c r="BW88" t="s" s="0">
        <v>81</v>
      </c>
      <c r="BX88" t="s" s="0">
        <v>120</v>
      </c>
    </row>
    <row r="89">
      <c r="A89" t="s" s="0">
        <v>77</v>
      </c>
      <c r="B89" t="s" s="0">
        <v>77</v>
      </c>
      <c r="C89" t="s" s="0">
        <v>77</v>
      </c>
      <c r="D89" t="s" s="0">
        <v>77</v>
      </c>
      <c r="E89" t="s" s="0">
        <v>2122</v>
      </c>
      <c r="F89" t="s" s="0">
        <v>2123</v>
      </c>
      <c r="G89" t="s" s="0">
        <v>2124</v>
      </c>
      <c r="H89" t="s" s="0">
        <v>81</v>
      </c>
      <c r="I89" t="s" s="0">
        <v>82</v>
      </c>
      <c r="J89" t="s" s="0">
        <v>2125</v>
      </c>
      <c r="K89" t="s" s="0">
        <v>2126</v>
      </c>
      <c r="L89" t="s" s="0">
        <v>81</v>
      </c>
      <c r="M89" t="s" s="0">
        <v>81</v>
      </c>
      <c r="N89" t="s" s="0">
        <v>81</v>
      </c>
      <c r="O89" t="s" s="0">
        <v>2127</v>
      </c>
      <c r="P89" t="s" s="0">
        <v>81</v>
      </c>
      <c r="Q89" t="s" s="0">
        <v>90</v>
      </c>
      <c r="R89" t="s" s="0">
        <v>81</v>
      </c>
      <c r="S89" t="s" s="0">
        <v>81</v>
      </c>
      <c r="T89" t="s" s="0">
        <v>81</v>
      </c>
      <c r="U89" t="s" s="0">
        <v>81</v>
      </c>
      <c r="V89" t="s" s="0">
        <v>2128</v>
      </c>
      <c r="W89" t="s" s="0">
        <v>2129</v>
      </c>
      <c r="X89" t="s" s="0">
        <v>81</v>
      </c>
      <c r="Y89" t="s" s="0">
        <v>81</v>
      </c>
      <c r="Z89" t="s" s="0">
        <v>93</v>
      </c>
      <c r="AA89" t="s" s="0">
        <v>94</v>
      </c>
      <c r="AB89" t="s" s="0">
        <v>81</v>
      </c>
      <c r="AC89" t="s" s="0">
        <v>81</v>
      </c>
      <c r="AD89" t="s" s="0">
        <v>81</v>
      </c>
      <c r="AE89" t="s" s="0">
        <v>81</v>
      </c>
      <c r="AF89" t="s" s="0">
        <v>81</v>
      </c>
      <c r="AG89" t="s" s="0">
        <v>2130</v>
      </c>
      <c r="AH89" t="s" s="0">
        <v>2131</v>
      </c>
      <c r="AI89" t="s" s="0">
        <v>81</v>
      </c>
      <c r="AJ89" t="s" s="0">
        <v>81</v>
      </c>
      <c r="AK89" t="s" s="0">
        <v>81</v>
      </c>
      <c r="AL89" t="s" s="0">
        <v>253</v>
      </c>
      <c r="AM89" t="s" s="0">
        <v>77</v>
      </c>
      <c r="AN89" t="s" s="0">
        <v>77</v>
      </c>
      <c r="AO89" t="s" s="0">
        <v>77</v>
      </c>
      <c r="AP89" t="s" s="0">
        <v>77</v>
      </c>
      <c r="AQ89" t="s" s="0">
        <v>2132</v>
      </c>
      <c r="AR89" t="s" s="0">
        <v>2133</v>
      </c>
      <c r="AS89" t="s" s="0">
        <v>2134</v>
      </c>
      <c r="AT89" t="s" s="0">
        <v>2135</v>
      </c>
      <c r="AU89" t="s" s="0">
        <v>2136</v>
      </c>
      <c r="AV89" t="s" s="0">
        <v>81</v>
      </c>
      <c r="AW89" t="s" s="0">
        <v>2137</v>
      </c>
      <c r="AX89" t="s" s="0">
        <v>2138</v>
      </c>
      <c r="AY89" t="s" s="0">
        <v>2089</v>
      </c>
      <c r="AZ89" t="s" s="0">
        <v>106</v>
      </c>
      <c r="BA89" t="s" s="0">
        <v>2139</v>
      </c>
      <c r="BB89" t="s" s="0">
        <v>81</v>
      </c>
      <c r="BC89" t="s" s="0">
        <v>81</v>
      </c>
      <c r="BD89" t="s" s="0">
        <v>81</v>
      </c>
      <c r="BE89" t="s" s="0">
        <v>81</v>
      </c>
      <c r="BF89" t="s" s="0">
        <v>81</v>
      </c>
      <c r="BG89" t="s" s="0">
        <v>2140</v>
      </c>
      <c r="BH89" t="s" s="0">
        <v>2141</v>
      </c>
      <c r="BI89" t="s" s="0">
        <v>81</v>
      </c>
      <c r="BJ89" t="s" s="0">
        <v>2142</v>
      </c>
      <c r="BK89" t="s" s="175">
        <f>HYPERLINK("http://dx.doi.org/10.1016/j.jss.2026.07.039","http://dx.doi.org/10.1016/j.jss.2026.07.039")</f>
        <v>2143</v>
      </c>
      <c r="BL89" t="s" s="0">
        <v>81</v>
      </c>
      <c r="BM89" t="s" s="0">
        <v>81</v>
      </c>
      <c r="BN89" t="s" s="0">
        <v>485</v>
      </c>
      <c r="BO89" t="s" s="0">
        <v>198</v>
      </c>
      <c r="BP89" t="s" s="0">
        <v>198</v>
      </c>
      <c r="BQ89" t="s" s="0">
        <v>2144</v>
      </c>
      <c r="BR89" t="s" s="0">
        <v>2145</v>
      </c>
      <c r="BS89" t="s" s="0">
        <v>2146</v>
      </c>
      <c r="BT89" t="s" s="176">
        <f>HYPERLINK("https://www.webofscience.com/wos/woscc/full-record/WOS:001851145700001","View Record in Web of Science")</f>
        <v>118</v>
      </c>
      <c r="BU89" t="s" s="0">
        <v>877</v>
      </c>
      <c r="BV89" t="s" s="0">
        <v>81</v>
      </c>
      <c r="BW89" t="s" s="0">
        <v>81</v>
      </c>
      <c r="BX89" t="s" s="0">
        <v>120</v>
      </c>
    </row>
    <row r="90">
      <c r="A90" t="s" s="0">
        <v>77</v>
      </c>
      <c r="B90" t="s" s="0">
        <v>77</v>
      </c>
      <c r="C90" t="s" s="0">
        <v>77</v>
      </c>
      <c r="D90" t="s" s="0">
        <v>77</v>
      </c>
      <c r="E90" t="s" s="0">
        <v>2147</v>
      </c>
      <c r="F90" t="s" s="0">
        <v>2148</v>
      </c>
      <c r="G90" t="s" s="0">
        <v>2149</v>
      </c>
      <c r="H90" t="s" s="0">
        <v>81</v>
      </c>
      <c r="I90" t="s" s="0">
        <v>124</v>
      </c>
      <c r="J90" t="s" s="0">
        <v>2150</v>
      </c>
      <c r="K90" t="s" s="0">
        <v>2151</v>
      </c>
      <c r="L90" t="s" s="0">
        <v>81</v>
      </c>
      <c r="M90" t="s" s="0">
        <v>81</v>
      </c>
      <c r="N90" t="s" s="0">
        <v>81</v>
      </c>
      <c r="O90" t="s" s="0">
        <v>2152</v>
      </c>
      <c r="P90" t="s" s="0">
        <v>2153</v>
      </c>
      <c r="Q90" t="s" s="0">
        <v>90</v>
      </c>
      <c r="R90" t="s" s="0">
        <v>81</v>
      </c>
      <c r="S90" t="s" s="0">
        <v>81</v>
      </c>
      <c r="T90" t="s" s="0">
        <v>81</v>
      </c>
      <c r="U90" t="s" s="0">
        <v>81</v>
      </c>
      <c r="V90" t="s" s="0">
        <v>2154</v>
      </c>
      <c r="W90" t="s" s="0">
        <v>2155</v>
      </c>
      <c r="X90" t="s" s="0">
        <v>81</v>
      </c>
      <c r="Y90" t="s" s="0">
        <v>81</v>
      </c>
      <c r="Z90" t="s" s="0">
        <v>93</v>
      </c>
      <c r="AA90" t="s" s="0">
        <v>94</v>
      </c>
      <c r="AB90" t="s" s="0">
        <v>81</v>
      </c>
      <c r="AC90" t="s" s="0">
        <v>81</v>
      </c>
      <c r="AD90" t="s" s="0">
        <v>81</v>
      </c>
      <c r="AE90" t="s" s="0">
        <v>81</v>
      </c>
      <c r="AF90" t="s" s="0">
        <v>81</v>
      </c>
      <c r="AG90" t="s" s="0">
        <v>2156</v>
      </c>
      <c r="AH90" t="s" s="0">
        <v>2157</v>
      </c>
      <c r="AI90" t="s" s="0">
        <v>81</v>
      </c>
      <c r="AJ90" t="s" s="0">
        <v>81</v>
      </c>
      <c r="AK90" t="s" s="0">
        <v>81</v>
      </c>
      <c r="AL90" t="s" s="0">
        <v>2158</v>
      </c>
      <c r="AM90" t="s" s="0">
        <v>77</v>
      </c>
      <c r="AN90" t="s" s="0">
        <v>77</v>
      </c>
      <c r="AO90" t="s" s="0">
        <v>77</v>
      </c>
      <c r="AP90" t="s" s="0">
        <v>77</v>
      </c>
      <c r="AQ90" t="s" s="0">
        <v>892</v>
      </c>
      <c r="AR90" t="s" s="0">
        <v>893</v>
      </c>
      <c r="AS90" t="s" s="0">
        <v>894</v>
      </c>
      <c r="AT90" t="s" s="0">
        <v>81</v>
      </c>
      <c r="AU90" t="s" s="0">
        <v>2159</v>
      </c>
      <c r="AV90" t="s" s="0">
        <v>81</v>
      </c>
      <c r="AW90" t="s" s="0">
        <v>2160</v>
      </c>
      <c r="AX90" t="s" s="0">
        <v>2161</v>
      </c>
      <c r="AY90" t="s" s="0">
        <v>2089</v>
      </c>
      <c r="AZ90" t="s" s="0">
        <v>106</v>
      </c>
      <c r="BA90" t="s" s="0">
        <v>387</v>
      </c>
      <c r="BB90" t="s" s="0">
        <v>81</v>
      </c>
      <c r="BC90" t="s" s="0">
        <v>81</v>
      </c>
      <c r="BD90" t="s" s="0">
        <v>81</v>
      </c>
      <c r="BE90" t="s" s="0">
        <v>81</v>
      </c>
      <c r="BF90" t="s" s="0">
        <v>81</v>
      </c>
      <c r="BG90" t="s" s="0">
        <v>81</v>
      </c>
      <c r="BH90" t="s" s="0">
        <v>81</v>
      </c>
      <c r="BI90" t="s" s="0">
        <v>2162</v>
      </c>
      <c r="BJ90" t="s" s="0">
        <v>2163</v>
      </c>
      <c r="BK90" t="s" s="177">
        <f>HYPERLINK("http://dx.doi.org/10.1016/j.nxmate.2026.103081","http://dx.doi.org/10.1016/j.nxmate.2026.103081")</f>
        <v>2164</v>
      </c>
      <c r="BL90" t="s" s="0">
        <v>81</v>
      </c>
      <c r="BM90" t="s" s="0">
        <v>81</v>
      </c>
      <c r="BN90" t="s" s="0">
        <v>172</v>
      </c>
      <c r="BO90" t="s" s="0">
        <v>2165</v>
      </c>
      <c r="BP90" t="s" s="0">
        <v>1847</v>
      </c>
      <c r="BQ90" t="s" s="0">
        <v>2166</v>
      </c>
      <c r="BR90" t="s" s="0">
        <v>81</v>
      </c>
      <c r="BS90" t="s" s="0">
        <v>2167</v>
      </c>
      <c r="BT90" t="s" s="178">
        <f>HYPERLINK("https://www.webofscience.com/wos/woscc/full-record/WOS:001849627700001","View Record in Web of Science")</f>
        <v>118</v>
      </c>
      <c r="BU90" t="s" s="0">
        <v>119</v>
      </c>
      <c r="BV90" t="s" s="0">
        <v>81</v>
      </c>
      <c r="BW90" t="s" s="0">
        <v>81</v>
      </c>
      <c r="BX90" t="s" s="0">
        <v>120</v>
      </c>
    </row>
    <row r="91">
      <c r="A91" t="s" s="0">
        <v>77</v>
      </c>
      <c r="B91" t="s" s="0">
        <v>77</v>
      </c>
      <c r="C91" t="s" s="0">
        <v>77</v>
      </c>
      <c r="D91" t="s" s="0">
        <v>77</v>
      </c>
      <c r="E91" t="s" s="0">
        <v>2168</v>
      </c>
      <c r="F91" t="s" s="0">
        <v>2169</v>
      </c>
      <c r="G91" t="s" s="0">
        <v>2170</v>
      </c>
      <c r="H91" t="s" s="0">
        <v>81</v>
      </c>
      <c r="I91" t="s" s="0">
        <v>124</v>
      </c>
      <c r="J91" t="s" s="0">
        <v>2171</v>
      </c>
      <c r="K91" t="s" s="0">
        <v>2172</v>
      </c>
      <c r="L91" t="s" s="0">
        <v>2173</v>
      </c>
      <c r="M91" t="s" s="0">
        <v>2173</v>
      </c>
      <c r="N91" t="s" s="0">
        <v>2174</v>
      </c>
      <c r="O91" t="s" s="0">
        <v>2175</v>
      </c>
      <c r="P91" t="s" s="0">
        <v>2176</v>
      </c>
      <c r="Q91" t="s" s="0">
        <v>90</v>
      </c>
      <c r="R91" t="s" s="0">
        <v>81</v>
      </c>
      <c r="S91" t="s" s="0">
        <v>81</v>
      </c>
      <c r="T91" t="s" s="0">
        <v>81</v>
      </c>
      <c r="U91" t="s" s="0">
        <v>81</v>
      </c>
      <c r="V91" t="s" s="0">
        <v>2177</v>
      </c>
      <c r="W91" t="s" s="0">
        <v>2155</v>
      </c>
      <c r="X91" t="s" s="0">
        <v>81</v>
      </c>
      <c r="Y91" t="s" s="0">
        <v>81</v>
      </c>
      <c r="Z91" t="s" s="0">
        <v>93</v>
      </c>
      <c r="AA91" t="s" s="0">
        <v>94</v>
      </c>
      <c r="AB91" t="s" s="0">
        <v>81</v>
      </c>
      <c r="AC91" t="s" s="0">
        <v>81</v>
      </c>
      <c r="AD91" t="s" s="0">
        <v>81</v>
      </c>
      <c r="AE91" t="s" s="0">
        <v>81</v>
      </c>
      <c r="AF91" t="s" s="0">
        <v>81</v>
      </c>
      <c r="AG91" t="s" s="0">
        <v>2178</v>
      </c>
      <c r="AH91" t="s" s="0">
        <v>2179</v>
      </c>
      <c r="AI91" t="s" s="0">
        <v>81</v>
      </c>
      <c r="AJ91" t="s" s="0">
        <v>81</v>
      </c>
      <c r="AK91" t="s" s="0">
        <v>81</v>
      </c>
      <c r="AL91" t="s" s="0">
        <v>1085</v>
      </c>
      <c r="AM91" t="s" s="0">
        <v>77</v>
      </c>
      <c r="AN91" t="s" s="0">
        <v>77</v>
      </c>
      <c r="AO91" t="s" s="0">
        <v>77</v>
      </c>
      <c r="AP91" t="s" s="0">
        <v>77</v>
      </c>
      <c r="AQ91" t="s" s="0">
        <v>892</v>
      </c>
      <c r="AR91" t="s" s="0">
        <v>893</v>
      </c>
      <c r="AS91" t="s" s="0">
        <v>894</v>
      </c>
      <c r="AT91" t="s" s="0">
        <v>81</v>
      </c>
      <c r="AU91" t="s" s="0">
        <v>2159</v>
      </c>
      <c r="AV91" t="s" s="0">
        <v>81</v>
      </c>
      <c r="AW91" t="s" s="0">
        <v>2160</v>
      </c>
      <c r="AX91" t="s" s="0">
        <v>2161</v>
      </c>
      <c r="AY91" t="s" s="0">
        <v>2089</v>
      </c>
      <c r="AZ91" t="s" s="0">
        <v>106</v>
      </c>
      <c r="BA91" t="s" s="0">
        <v>387</v>
      </c>
      <c r="BB91" t="s" s="0">
        <v>81</v>
      </c>
      <c r="BC91" t="s" s="0">
        <v>81</v>
      </c>
      <c r="BD91" t="s" s="0">
        <v>81</v>
      </c>
      <c r="BE91" t="s" s="0">
        <v>81</v>
      </c>
      <c r="BF91" t="s" s="0">
        <v>81</v>
      </c>
      <c r="BG91" t="s" s="0">
        <v>81</v>
      </c>
      <c r="BH91" t="s" s="0">
        <v>81</v>
      </c>
      <c r="BI91" t="s" s="0">
        <v>2180</v>
      </c>
      <c r="BJ91" t="s" s="0">
        <v>2181</v>
      </c>
      <c r="BK91" t="s" s="179">
        <f>HYPERLINK("http://dx.doi.org/10.1016/j.nxmate.2026.103125","http://dx.doi.org/10.1016/j.nxmate.2026.103125")</f>
        <v>2182</v>
      </c>
      <c r="BL91" t="s" s="0">
        <v>81</v>
      </c>
      <c r="BM91" t="s" s="0">
        <v>81</v>
      </c>
      <c r="BN91" t="s" s="0">
        <v>113</v>
      </c>
      <c r="BO91" t="s" s="0">
        <v>2165</v>
      </c>
      <c r="BP91" t="s" s="0">
        <v>1847</v>
      </c>
      <c r="BQ91" t="s" s="0">
        <v>2183</v>
      </c>
      <c r="BR91" t="s" s="0">
        <v>81</v>
      </c>
      <c r="BS91" t="s" s="0">
        <v>2184</v>
      </c>
      <c r="BT91" t="s" s="180">
        <f>HYPERLINK("https://www.webofscience.com/wos/woscc/full-record/WOS:001848640000001","View Record in Web of Science")</f>
        <v>118</v>
      </c>
      <c r="BU91" t="s" s="0">
        <v>119</v>
      </c>
      <c r="BV91" t="s" s="0">
        <v>81</v>
      </c>
      <c r="BW91" t="s" s="0">
        <v>81</v>
      </c>
      <c r="BX91" t="s" s="0">
        <v>120</v>
      </c>
    </row>
    <row r="92">
      <c r="A92" t="s" s="0">
        <v>77</v>
      </c>
      <c r="B92" t="s" s="0">
        <v>77</v>
      </c>
      <c r="C92" t="s" s="0">
        <v>77</v>
      </c>
      <c r="D92" t="s" s="0">
        <v>77</v>
      </c>
      <c r="E92" t="s" s="0">
        <v>2185</v>
      </c>
      <c r="F92" t="s" s="0">
        <v>2186</v>
      </c>
      <c r="G92" t="s" s="0">
        <v>2187</v>
      </c>
      <c r="H92" t="s" s="0">
        <v>81</v>
      </c>
      <c r="I92" t="s" s="0">
        <v>82</v>
      </c>
      <c r="J92" t="s" s="0">
        <v>2188</v>
      </c>
      <c r="K92" t="s" s="0">
        <v>2189</v>
      </c>
      <c r="L92" t="s" s="0">
        <v>2190</v>
      </c>
      <c r="M92" t="s" s="0">
        <v>2191</v>
      </c>
      <c r="N92" t="s" s="0">
        <v>2192</v>
      </c>
      <c r="O92" t="s" s="0">
        <v>2193</v>
      </c>
      <c r="P92" t="s" s="0">
        <v>2194</v>
      </c>
      <c r="Q92" t="s" s="0">
        <v>90</v>
      </c>
      <c r="R92" t="s" s="0">
        <v>81</v>
      </c>
      <c r="S92" t="s" s="0">
        <v>2195</v>
      </c>
      <c r="T92" t="s" s="0">
        <v>81</v>
      </c>
      <c r="U92" t="s" s="0">
        <v>81</v>
      </c>
      <c r="V92" t="s" s="0">
        <v>2196</v>
      </c>
      <c r="W92" t="s" s="0">
        <v>2197</v>
      </c>
      <c r="X92" t="s" s="0">
        <v>81</v>
      </c>
      <c r="Y92" t="s" s="0">
        <v>81</v>
      </c>
      <c r="Z92" t="s" s="0">
        <v>93</v>
      </c>
      <c r="AA92" t="s" s="0">
        <v>94</v>
      </c>
      <c r="AB92" t="s" s="0">
        <v>81</v>
      </c>
      <c r="AC92" t="s" s="0">
        <v>81</v>
      </c>
      <c r="AD92" t="s" s="0">
        <v>81</v>
      </c>
      <c r="AE92" t="s" s="0">
        <v>81</v>
      </c>
      <c r="AF92" t="s" s="0">
        <v>81</v>
      </c>
      <c r="AG92" t="s" s="0">
        <v>2198</v>
      </c>
      <c r="AH92" t="s" s="0">
        <v>2199</v>
      </c>
      <c r="AI92" t="s" s="0">
        <v>81</v>
      </c>
      <c r="AJ92" t="s" s="0">
        <v>81</v>
      </c>
      <c r="AK92" t="s" s="0">
        <v>81</v>
      </c>
      <c r="AL92" t="s" s="0">
        <v>2200</v>
      </c>
      <c r="AM92" t="s" s="0">
        <v>77</v>
      </c>
      <c r="AN92" t="s" s="0">
        <v>77</v>
      </c>
      <c r="AO92" t="s" s="0">
        <v>77</v>
      </c>
      <c r="AP92" t="s" s="0">
        <v>77</v>
      </c>
      <c r="AQ92" t="s" s="0">
        <v>1103</v>
      </c>
      <c r="AR92" t="s" s="0">
        <v>1104</v>
      </c>
      <c r="AS92" t="s" s="0">
        <v>1105</v>
      </c>
      <c r="AT92" t="s" s="0">
        <v>2201</v>
      </c>
      <c r="AU92" t="s" s="0">
        <v>81</v>
      </c>
      <c r="AV92" t="s" s="0">
        <v>81</v>
      </c>
      <c r="AW92" t="s" s="0">
        <v>2202</v>
      </c>
      <c r="AX92" t="s" s="0">
        <v>2203</v>
      </c>
      <c r="AY92" t="s" s="0">
        <v>2089</v>
      </c>
      <c r="AZ92" t="s" s="0">
        <v>106</v>
      </c>
      <c r="BA92" t="s" s="0">
        <v>1223</v>
      </c>
      <c r="BB92" t="s" s="0">
        <v>81</v>
      </c>
      <c r="BC92" t="s" s="0">
        <v>81</v>
      </c>
      <c r="BD92" t="s" s="0">
        <v>81</v>
      </c>
      <c r="BE92" t="s" s="0">
        <v>81</v>
      </c>
      <c r="BF92" t="s" s="0">
        <v>81</v>
      </c>
      <c r="BG92" t="s" s="0">
        <v>81</v>
      </c>
      <c r="BH92" t="s" s="0">
        <v>81</v>
      </c>
      <c r="BI92" t="s" s="0">
        <v>2204</v>
      </c>
      <c r="BJ92" t="s" s="0">
        <v>2205</v>
      </c>
      <c r="BK92" t="s" s="181">
        <f>HYPERLINK("http://dx.doi.org/10.1016/j.tranon.2026.102961","http://dx.doi.org/10.1016/j.tranon.2026.102961")</f>
        <v>2206</v>
      </c>
      <c r="BL92" t="s" s="0">
        <v>81</v>
      </c>
      <c r="BM92" t="s" s="0">
        <v>81</v>
      </c>
      <c r="BN92" t="s" s="0">
        <v>413</v>
      </c>
      <c r="BO92" t="s" s="0">
        <v>320</v>
      </c>
      <c r="BP92" t="s" s="0">
        <v>320</v>
      </c>
      <c r="BQ92" t="s" s="0">
        <v>2207</v>
      </c>
      <c r="BR92" t="s" s="0">
        <v>2208</v>
      </c>
      <c r="BS92" t="s" s="0">
        <v>2209</v>
      </c>
      <c r="BT92" t="s" s="182">
        <f>HYPERLINK("https://www.webofscience.com/wos/woscc/full-record/WOS:001847280400001","View Record in Web of Science")</f>
        <v>118</v>
      </c>
      <c r="BU92" t="s" s="0">
        <v>119</v>
      </c>
      <c r="BV92" t="s" s="0">
        <v>81</v>
      </c>
      <c r="BW92" t="s" s="0">
        <v>81</v>
      </c>
      <c r="BX92" t="s" s="0">
        <v>120</v>
      </c>
    </row>
    <row r="93">
      <c r="A93" t="s" s="0">
        <v>77</v>
      </c>
      <c r="B93" t="s" s="0">
        <v>77</v>
      </c>
      <c r="C93" t="s" s="0">
        <v>77</v>
      </c>
      <c r="D93" t="s" s="0">
        <v>77</v>
      </c>
      <c r="E93" t="s" s="0">
        <v>2210</v>
      </c>
      <c r="F93" t="s" s="0">
        <v>2211</v>
      </c>
      <c r="G93" t="s" s="0">
        <v>2212</v>
      </c>
      <c r="H93" t="s" s="0">
        <v>81</v>
      </c>
      <c r="I93" t="s" s="0">
        <v>82</v>
      </c>
      <c r="J93" t="s" s="0">
        <v>2213</v>
      </c>
      <c r="K93" t="s" s="0">
        <v>2214</v>
      </c>
      <c r="L93" t="s" s="0">
        <v>2215</v>
      </c>
      <c r="M93" t="s" s="0">
        <v>2216</v>
      </c>
      <c r="N93" t="s" s="0">
        <v>2217</v>
      </c>
      <c r="O93" t="s" s="0">
        <v>2218</v>
      </c>
      <c r="P93" t="s" s="0">
        <v>2219</v>
      </c>
      <c r="Q93" t="s" s="0">
        <v>90</v>
      </c>
      <c r="R93" t="s" s="0">
        <v>81</v>
      </c>
      <c r="S93" t="s" s="0">
        <v>81</v>
      </c>
      <c r="T93" t="s" s="0">
        <v>81</v>
      </c>
      <c r="U93" t="s" s="0">
        <v>81</v>
      </c>
      <c r="V93" t="s" s="0">
        <v>2220</v>
      </c>
      <c r="W93" t="s" s="0">
        <v>2221</v>
      </c>
      <c r="X93" t="s" s="0">
        <v>81</v>
      </c>
      <c r="Y93" t="s" s="0">
        <v>81</v>
      </c>
      <c r="Z93" t="s" s="0">
        <v>93</v>
      </c>
      <c r="AA93" t="s" s="0">
        <v>94</v>
      </c>
      <c r="AB93" t="s" s="0">
        <v>81</v>
      </c>
      <c r="AC93" t="s" s="0">
        <v>81</v>
      </c>
      <c r="AD93" t="s" s="0">
        <v>81</v>
      </c>
      <c r="AE93" t="s" s="0">
        <v>81</v>
      </c>
      <c r="AF93" t="s" s="0">
        <v>81</v>
      </c>
      <c r="AG93" t="s" s="0">
        <v>2222</v>
      </c>
      <c r="AH93" t="s" s="0">
        <v>2223</v>
      </c>
      <c r="AI93" t="s" s="0">
        <v>81</v>
      </c>
      <c r="AJ93" t="s" s="0">
        <v>81</v>
      </c>
      <c r="AK93" t="s" s="0">
        <v>81</v>
      </c>
      <c r="AL93" t="s" s="0">
        <v>1838</v>
      </c>
      <c r="AM93" t="s" s="0">
        <v>77</v>
      </c>
      <c r="AN93" t="s" s="0">
        <v>77</v>
      </c>
      <c r="AO93" t="s" s="0">
        <v>77</v>
      </c>
      <c r="AP93" t="s" s="0">
        <v>77</v>
      </c>
      <c r="AQ93" t="s" s="0">
        <v>892</v>
      </c>
      <c r="AR93" t="s" s="0">
        <v>893</v>
      </c>
      <c r="AS93" t="s" s="0">
        <v>894</v>
      </c>
      <c r="AT93" t="s" s="0">
        <v>2224</v>
      </c>
      <c r="AU93" t="s" s="0">
        <v>2225</v>
      </c>
      <c r="AV93" t="s" s="0">
        <v>81</v>
      </c>
      <c r="AW93" t="s" s="0">
        <v>2226</v>
      </c>
      <c r="AX93" t="s" s="0">
        <v>2227</v>
      </c>
      <c r="AY93" t="s" s="0">
        <v>2089</v>
      </c>
      <c r="AZ93" t="s" s="0">
        <v>106</v>
      </c>
      <c r="BA93" t="s" s="0">
        <v>1525</v>
      </c>
      <c r="BB93" t="s" s="0">
        <v>720</v>
      </c>
      <c r="BC93" t="s" s="0">
        <v>81</v>
      </c>
      <c r="BD93" t="s" s="0">
        <v>81</v>
      </c>
      <c r="BE93" t="s" s="0">
        <v>81</v>
      </c>
      <c r="BF93" t="s" s="0">
        <v>81</v>
      </c>
      <c r="BG93" t="s" s="0">
        <v>81</v>
      </c>
      <c r="BH93" t="s" s="0">
        <v>81</v>
      </c>
      <c r="BI93" t="s" s="0">
        <v>2228</v>
      </c>
      <c r="BJ93" t="s" s="0">
        <v>2229</v>
      </c>
      <c r="BK93" t="s" s="183">
        <f>HYPERLINK("http://dx.doi.org/10.1016/j.identj.2026.109798","http://dx.doi.org/10.1016/j.identj.2026.109798")</f>
        <v>2230</v>
      </c>
      <c r="BL93" t="s" s="0">
        <v>81</v>
      </c>
      <c r="BM93" t="s" s="0">
        <v>81</v>
      </c>
      <c r="BN93" t="s" s="0">
        <v>197</v>
      </c>
      <c r="BO93" t="s" s="0">
        <v>952</v>
      </c>
      <c r="BP93" t="s" s="0">
        <v>952</v>
      </c>
      <c r="BQ93" t="s" s="0">
        <v>2231</v>
      </c>
      <c r="BR93" t="s" s="0">
        <v>2232</v>
      </c>
      <c r="BS93" t="s" s="0">
        <v>2233</v>
      </c>
      <c r="BT93" t="s" s="184">
        <f>HYPERLINK("https://www.webofscience.com/wos/woscc/full-record/WOS:001844135000002","View Record in Web of Science")</f>
        <v>118</v>
      </c>
      <c r="BU93" t="s" s="0">
        <v>119</v>
      </c>
      <c r="BV93" t="s" s="0">
        <v>81</v>
      </c>
      <c r="BW93" t="s" s="0">
        <v>81</v>
      </c>
      <c r="BX93" t="s" s="0">
        <v>120</v>
      </c>
    </row>
    <row r="94">
      <c r="A94" t="s" s="0">
        <v>77</v>
      </c>
      <c r="B94" t="s" s="0">
        <v>77</v>
      </c>
      <c r="C94" t="s" s="0">
        <v>77</v>
      </c>
      <c r="D94" t="s" s="0">
        <v>77</v>
      </c>
      <c r="E94" t="s" s="0">
        <v>2234</v>
      </c>
      <c r="F94" t="s" s="0">
        <v>2235</v>
      </c>
      <c r="G94" t="s" s="0">
        <v>2236</v>
      </c>
      <c r="H94" t="s" s="0">
        <v>81</v>
      </c>
      <c r="I94" t="s" s="0">
        <v>82</v>
      </c>
      <c r="J94" t="s" s="0">
        <v>2237</v>
      </c>
      <c r="K94" t="s" s="0">
        <v>2238</v>
      </c>
      <c r="L94" t="s" s="0">
        <v>2239</v>
      </c>
      <c r="M94" t="s" s="0">
        <v>2240</v>
      </c>
      <c r="N94" t="s" s="0">
        <v>2241</v>
      </c>
      <c r="O94" t="s" s="0">
        <v>2242</v>
      </c>
      <c r="P94" t="s" s="0">
        <v>2243</v>
      </c>
      <c r="Q94" t="s" s="0">
        <v>90</v>
      </c>
      <c r="R94" t="s" s="0">
        <v>81</v>
      </c>
      <c r="S94" t="s" s="0">
        <v>81</v>
      </c>
      <c r="T94" t="s" s="0">
        <v>81</v>
      </c>
      <c r="U94" t="s" s="0">
        <v>81</v>
      </c>
      <c r="V94" t="s" s="0">
        <v>2244</v>
      </c>
      <c r="W94" t="s" s="0">
        <v>2245</v>
      </c>
      <c r="X94" t="s" s="0">
        <v>81</v>
      </c>
      <c r="Y94" t="s" s="0">
        <v>81</v>
      </c>
      <c r="Z94" t="s" s="0">
        <v>93</v>
      </c>
      <c r="AA94" t="s" s="0">
        <v>94</v>
      </c>
      <c r="AB94" t="s" s="0">
        <v>81</v>
      </c>
      <c r="AC94" t="s" s="0">
        <v>81</v>
      </c>
      <c r="AD94" t="s" s="0">
        <v>81</v>
      </c>
      <c r="AE94" t="s" s="0">
        <v>81</v>
      </c>
      <c r="AF94" t="s" s="0">
        <v>81</v>
      </c>
      <c r="AG94" t="s" s="0">
        <v>2246</v>
      </c>
      <c r="AH94" t="s" s="0">
        <v>2247</v>
      </c>
      <c r="AI94" t="s" s="0">
        <v>81</v>
      </c>
      <c r="AJ94" t="s" s="0">
        <v>81</v>
      </c>
      <c r="AK94" t="s" s="0">
        <v>81</v>
      </c>
      <c r="AL94" t="s" s="0">
        <v>2248</v>
      </c>
      <c r="AM94" t="s" s="0">
        <v>77</v>
      </c>
      <c r="AN94" t="s" s="0">
        <v>77</v>
      </c>
      <c r="AO94" t="s" s="0">
        <v>77</v>
      </c>
      <c r="AP94" t="s" s="0">
        <v>77</v>
      </c>
      <c r="AQ94" t="s" s="0">
        <v>2249</v>
      </c>
      <c r="AR94" t="s" s="0">
        <v>2250</v>
      </c>
      <c r="AS94" t="s" s="0">
        <v>2251</v>
      </c>
      <c r="AT94" t="s" s="0">
        <v>2252</v>
      </c>
      <c r="AU94" t="s" s="0">
        <v>2253</v>
      </c>
      <c r="AV94" t="s" s="0">
        <v>81</v>
      </c>
      <c r="AW94" t="s" s="0">
        <v>2254</v>
      </c>
      <c r="AX94" t="s" s="0">
        <v>2255</v>
      </c>
      <c r="AY94" t="s" s="0">
        <v>2089</v>
      </c>
      <c r="AZ94" t="s" s="0">
        <v>106</v>
      </c>
      <c r="BA94" t="s" s="0">
        <v>249</v>
      </c>
      <c r="BB94" t="s" s="0">
        <v>596</v>
      </c>
      <c r="BC94" t="s" s="0">
        <v>81</v>
      </c>
      <c r="BD94" t="s" s="0">
        <v>81</v>
      </c>
      <c r="BE94" t="s" s="0">
        <v>81</v>
      </c>
      <c r="BF94" t="s" s="0">
        <v>81</v>
      </c>
      <c r="BG94" t="s" s="0">
        <v>81</v>
      </c>
      <c r="BH94" t="s" s="0">
        <v>81</v>
      </c>
      <c r="BI94" t="s" s="0">
        <v>2256</v>
      </c>
      <c r="BJ94" t="s" s="0">
        <v>2257</v>
      </c>
      <c r="BK94" t="s" s="185">
        <f>HYPERLINK("http://dx.doi.org/10.3892/ijmm.2026.5940","http://dx.doi.org/10.3892/ijmm.2026.5940")</f>
        <v>2258</v>
      </c>
      <c r="BL94" t="s" s="0">
        <v>81</v>
      </c>
      <c r="BM94" t="s" s="0">
        <v>81</v>
      </c>
      <c r="BN94" t="s" s="0">
        <v>225</v>
      </c>
      <c r="BO94" t="s" s="0">
        <v>2259</v>
      </c>
      <c r="BP94" t="s" s="0">
        <v>2260</v>
      </c>
      <c r="BQ94" t="s" s="0">
        <v>2261</v>
      </c>
      <c r="BR94" t="s" s="0">
        <v>2262</v>
      </c>
      <c r="BS94" t="s" s="0">
        <v>2263</v>
      </c>
      <c r="BT94" t="s" s="186">
        <f>HYPERLINK("https://www.webofscience.com/wos/woscc/full-record/WOS:001842291100001","View Record in Web of Science")</f>
        <v>118</v>
      </c>
      <c r="BU94" t="s" s="0">
        <v>737</v>
      </c>
      <c r="BV94" t="s" s="0">
        <v>81</v>
      </c>
      <c r="BW94" t="s" s="0">
        <v>81</v>
      </c>
      <c r="BX94" t="s" s="0">
        <v>120</v>
      </c>
    </row>
    <row r="95">
      <c r="A95" t="s" s="0">
        <v>77</v>
      </c>
      <c r="B95" t="s" s="0">
        <v>77</v>
      </c>
      <c r="C95" t="s" s="0">
        <v>77</v>
      </c>
      <c r="D95" t="s" s="0">
        <v>77</v>
      </c>
      <c r="E95" t="s" s="0">
        <v>2264</v>
      </c>
      <c r="F95" t="s" s="0">
        <v>2265</v>
      </c>
      <c r="G95" t="s" s="0">
        <v>2266</v>
      </c>
      <c r="H95" t="s" s="0">
        <v>81</v>
      </c>
      <c r="I95" t="s" s="0">
        <v>82</v>
      </c>
      <c r="J95" t="s" s="0">
        <v>2267</v>
      </c>
      <c r="K95" t="s" s="0">
        <v>2268</v>
      </c>
      <c r="L95" t="s" s="0">
        <v>81</v>
      </c>
      <c r="M95" t="s" s="0">
        <v>81</v>
      </c>
      <c r="N95" t="s" s="0">
        <v>81</v>
      </c>
      <c r="O95" t="s" s="0">
        <v>2269</v>
      </c>
      <c r="P95" t="s" s="0">
        <v>2270</v>
      </c>
      <c r="Q95" t="s" s="0">
        <v>90</v>
      </c>
      <c r="R95" t="s" s="0">
        <v>81</v>
      </c>
      <c r="S95" t="s" s="0">
        <v>81</v>
      </c>
      <c r="T95" t="s" s="0">
        <v>81</v>
      </c>
      <c r="U95" t="s" s="0">
        <v>81</v>
      </c>
      <c r="V95" t="s" s="0">
        <v>2271</v>
      </c>
      <c r="W95" t="s" s="0">
        <v>2272</v>
      </c>
      <c r="X95" t="s" s="0">
        <v>81</v>
      </c>
      <c r="Y95" t="s" s="0">
        <v>81</v>
      </c>
      <c r="Z95" t="s" s="0">
        <v>93</v>
      </c>
      <c r="AA95" t="s" s="0">
        <v>94</v>
      </c>
      <c r="AB95" t="s" s="0">
        <v>81</v>
      </c>
      <c r="AC95" t="s" s="0">
        <v>81</v>
      </c>
      <c r="AD95" t="s" s="0">
        <v>81</v>
      </c>
      <c r="AE95" t="s" s="0">
        <v>81</v>
      </c>
      <c r="AF95" t="s" s="0">
        <v>81</v>
      </c>
      <c r="AG95" t="s" s="0">
        <v>2273</v>
      </c>
      <c r="AH95" t="s" s="0">
        <v>2274</v>
      </c>
      <c r="AI95" t="s" s="0">
        <v>81</v>
      </c>
      <c r="AJ95" t="s" s="0">
        <v>81</v>
      </c>
      <c r="AK95" t="s" s="0">
        <v>81</v>
      </c>
      <c r="AL95" t="s" s="0">
        <v>107</v>
      </c>
      <c r="AM95" t="s" s="0">
        <v>77</v>
      </c>
      <c r="AN95" t="s" s="0">
        <v>77</v>
      </c>
      <c r="AO95" t="s" s="0">
        <v>77</v>
      </c>
      <c r="AP95" t="s" s="0">
        <v>77</v>
      </c>
      <c r="AQ95" t="s" s="0">
        <v>892</v>
      </c>
      <c r="AR95" t="s" s="0">
        <v>893</v>
      </c>
      <c r="AS95" t="s" s="0">
        <v>894</v>
      </c>
      <c r="AT95" t="s" s="0">
        <v>2275</v>
      </c>
      <c r="AU95" t="s" s="0">
        <v>2276</v>
      </c>
      <c r="AV95" t="s" s="0">
        <v>81</v>
      </c>
      <c r="AW95" t="s" s="0">
        <v>2272</v>
      </c>
      <c r="AX95" t="s" s="0">
        <v>2277</v>
      </c>
      <c r="AY95" t="s" s="0">
        <v>2089</v>
      </c>
      <c r="AZ95" t="s" s="0">
        <v>106</v>
      </c>
      <c r="BA95" t="s" s="0">
        <v>568</v>
      </c>
      <c r="BB95" t="s" s="0">
        <v>81</v>
      </c>
      <c r="BC95" t="s" s="0">
        <v>81</v>
      </c>
      <c r="BD95" t="s" s="0">
        <v>81</v>
      </c>
      <c r="BE95" t="s" s="0">
        <v>81</v>
      </c>
      <c r="BF95" t="s" s="0">
        <v>81</v>
      </c>
      <c r="BG95" t="s" s="0">
        <v>81</v>
      </c>
      <c r="BH95" t="s" s="0">
        <v>81</v>
      </c>
      <c r="BI95" t="s" s="0">
        <v>2278</v>
      </c>
      <c r="BJ95" t="s" s="0">
        <v>2279</v>
      </c>
      <c r="BK95" t="s" s="187">
        <f>HYPERLINK("http://dx.doi.org/10.1016/j.knee.2026.104581","http://dx.doi.org/10.1016/j.knee.2026.104581")</f>
        <v>2280</v>
      </c>
      <c r="BL95" t="s" s="0">
        <v>81</v>
      </c>
      <c r="BM95" t="s" s="0">
        <v>81</v>
      </c>
      <c r="BN95" t="s" s="0">
        <v>113</v>
      </c>
      <c r="BO95" t="s" s="0">
        <v>2281</v>
      </c>
      <c r="BP95" t="s" s="0">
        <v>2281</v>
      </c>
      <c r="BQ95" t="s" s="0">
        <v>2282</v>
      </c>
      <c r="BR95" t="s" s="0">
        <v>2283</v>
      </c>
      <c r="BS95" t="s" s="0">
        <v>2284</v>
      </c>
      <c r="BT95" t="s" s="188">
        <f>HYPERLINK("https://www.webofscience.com/wos/woscc/full-record/WOS:001839274700001","View Record in Web of Science")</f>
        <v>118</v>
      </c>
      <c r="BU95" t="s" s="0">
        <v>81</v>
      </c>
      <c r="BV95" t="s" s="0">
        <v>81</v>
      </c>
      <c r="BW95" t="s" s="0">
        <v>81</v>
      </c>
      <c r="BX95" t="s" s="0">
        <v>120</v>
      </c>
    </row>
    <row r="96">
      <c r="A96" t="s" s="0">
        <v>77</v>
      </c>
      <c r="B96" t="s" s="0">
        <v>77</v>
      </c>
      <c r="C96" t="s" s="0">
        <v>77</v>
      </c>
      <c r="D96" t="s" s="0">
        <v>77</v>
      </c>
      <c r="E96" t="s" s="0">
        <v>2285</v>
      </c>
      <c r="F96" t="s" s="0">
        <v>2286</v>
      </c>
      <c r="G96" t="s" s="0">
        <v>2287</v>
      </c>
      <c r="H96" t="s" s="0">
        <v>81</v>
      </c>
      <c r="I96" t="s" s="0">
        <v>124</v>
      </c>
      <c r="J96" t="s" s="0">
        <v>2288</v>
      </c>
      <c r="K96" t="s" s="0">
        <v>2289</v>
      </c>
      <c r="L96" t="s" s="0">
        <v>81</v>
      </c>
      <c r="M96" t="s" s="0">
        <v>81</v>
      </c>
      <c r="N96" t="s" s="0">
        <v>81</v>
      </c>
      <c r="O96" t="s" s="0">
        <v>2290</v>
      </c>
      <c r="P96" t="s" s="0">
        <v>2291</v>
      </c>
      <c r="Q96" t="s" s="0">
        <v>90</v>
      </c>
      <c r="R96" t="s" s="0">
        <v>81</v>
      </c>
      <c r="S96" t="s" s="0">
        <v>81</v>
      </c>
      <c r="T96" t="s" s="0">
        <v>81</v>
      </c>
      <c r="U96" t="s" s="0">
        <v>81</v>
      </c>
      <c r="V96" t="s" s="0">
        <v>2292</v>
      </c>
      <c r="W96" t="s" s="0">
        <v>2155</v>
      </c>
      <c r="X96" t="s" s="0">
        <v>81</v>
      </c>
      <c r="Y96" t="s" s="0">
        <v>81</v>
      </c>
      <c r="Z96" t="s" s="0">
        <v>93</v>
      </c>
      <c r="AA96" t="s" s="0">
        <v>94</v>
      </c>
      <c r="AB96" t="s" s="0">
        <v>81</v>
      </c>
      <c r="AC96" t="s" s="0">
        <v>81</v>
      </c>
      <c r="AD96" t="s" s="0">
        <v>81</v>
      </c>
      <c r="AE96" t="s" s="0">
        <v>81</v>
      </c>
      <c r="AF96" t="s" s="0">
        <v>81</v>
      </c>
      <c r="AG96" t="s" s="0">
        <v>2293</v>
      </c>
      <c r="AH96" t="s" s="0">
        <v>2294</v>
      </c>
      <c r="AI96" t="s" s="0">
        <v>81</v>
      </c>
      <c r="AJ96" t="s" s="0">
        <v>81</v>
      </c>
      <c r="AK96" t="s" s="0">
        <v>81</v>
      </c>
      <c r="AL96" t="s" s="0">
        <v>1961</v>
      </c>
      <c r="AM96" t="s" s="0">
        <v>77</v>
      </c>
      <c r="AN96" t="s" s="0">
        <v>77</v>
      </c>
      <c r="AO96" t="s" s="0">
        <v>77</v>
      </c>
      <c r="AP96" t="s" s="0">
        <v>77</v>
      </c>
      <c r="AQ96" t="s" s="0">
        <v>892</v>
      </c>
      <c r="AR96" t="s" s="0">
        <v>893</v>
      </c>
      <c r="AS96" t="s" s="0">
        <v>894</v>
      </c>
      <c r="AT96" t="s" s="0">
        <v>81</v>
      </c>
      <c r="AU96" t="s" s="0">
        <v>2159</v>
      </c>
      <c r="AV96" t="s" s="0">
        <v>81</v>
      </c>
      <c r="AW96" t="s" s="0">
        <v>2160</v>
      </c>
      <c r="AX96" t="s" s="0">
        <v>2161</v>
      </c>
      <c r="AY96" t="s" s="0">
        <v>2089</v>
      </c>
      <c r="AZ96" t="s" s="0">
        <v>106</v>
      </c>
      <c r="BA96" t="s" s="0">
        <v>387</v>
      </c>
      <c r="BB96" t="s" s="0">
        <v>81</v>
      </c>
      <c r="BC96" t="s" s="0">
        <v>81</v>
      </c>
      <c r="BD96" t="s" s="0">
        <v>81</v>
      </c>
      <c r="BE96" t="s" s="0">
        <v>81</v>
      </c>
      <c r="BF96" t="s" s="0">
        <v>81</v>
      </c>
      <c r="BG96" t="s" s="0">
        <v>81</v>
      </c>
      <c r="BH96" t="s" s="0">
        <v>81</v>
      </c>
      <c r="BI96" t="s" s="0">
        <v>2295</v>
      </c>
      <c r="BJ96" t="s" s="0">
        <v>2296</v>
      </c>
      <c r="BK96" t="s" s="189">
        <f>HYPERLINK("http://dx.doi.org/10.1016/j.nxmate.2026.102947","http://dx.doi.org/10.1016/j.nxmate.2026.102947")</f>
        <v>2297</v>
      </c>
      <c r="BL96" t="s" s="0">
        <v>81</v>
      </c>
      <c r="BM96" t="s" s="0">
        <v>81</v>
      </c>
      <c r="BN96" t="s" s="0">
        <v>274</v>
      </c>
      <c r="BO96" t="s" s="0">
        <v>2165</v>
      </c>
      <c r="BP96" t="s" s="0">
        <v>1847</v>
      </c>
      <c r="BQ96" t="s" s="0">
        <v>2298</v>
      </c>
      <c r="BR96" t="s" s="0">
        <v>81</v>
      </c>
      <c r="BS96" t="s" s="0">
        <v>2299</v>
      </c>
      <c r="BT96" t="s" s="190">
        <f>HYPERLINK("https://www.webofscience.com/wos/woscc/full-record/WOS:001839089500001","View Record in Web of Science")</f>
        <v>118</v>
      </c>
      <c r="BU96" t="s" s="0">
        <v>119</v>
      </c>
      <c r="BV96" t="s" s="0">
        <v>81</v>
      </c>
      <c r="BW96" t="s" s="0">
        <v>81</v>
      </c>
      <c r="BX96" t="s" s="0">
        <v>120</v>
      </c>
    </row>
    <row r="97">
      <c r="A97" t="s" s="0">
        <v>77</v>
      </c>
      <c r="B97" t="s" s="0">
        <v>77</v>
      </c>
      <c r="C97" t="s" s="0">
        <v>77</v>
      </c>
      <c r="D97" t="s" s="0">
        <v>77</v>
      </c>
      <c r="E97" t="s" s="0">
        <v>2300</v>
      </c>
      <c r="F97" t="s" s="0">
        <v>2301</v>
      </c>
      <c r="G97" t="s" s="0">
        <v>2302</v>
      </c>
      <c r="H97" t="s" s="0">
        <v>81</v>
      </c>
      <c r="I97" t="s" s="0">
        <v>124</v>
      </c>
      <c r="J97" t="s" s="0">
        <v>2303</v>
      </c>
      <c r="K97" t="s" s="0">
        <v>2304</v>
      </c>
      <c r="L97" t="s" s="0">
        <v>81</v>
      </c>
      <c r="M97" t="s" s="0">
        <v>81</v>
      </c>
      <c r="N97" t="s" s="0">
        <v>81</v>
      </c>
      <c r="O97" t="s" s="0">
        <v>2305</v>
      </c>
      <c r="P97" t="s" s="0">
        <v>2306</v>
      </c>
      <c r="Q97" t="s" s="0">
        <v>90</v>
      </c>
      <c r="R97" t="s" s="0">
        <v>81</v>
      </c>
      <c r="S97" t="s" s="0">
        <v>81</v>
      </c>
      <c r="T97" t="s" s="0">
        <v>81</v>
      </c>
      <c r="U97" t="s" s="0">
        <v>81</v>
      </c>
      <c r="V97" t="s" s="0">
        <v>2307</v>
      </c>
      <c r="W97" t="s" s="0">
        <v>2155</v>
      </c>
      <c r="X97" t="s" s="0">
        <v>81</v>
      </c>
      <c r="Y97" t="s" s="0">
        <v>81</v>
      </c>
      <c r="Z97" t="s" s="0">
        <v>93</v>
      </c>
      <c r="AA97" t="s" s="0">
        <v>94</v>
      </c>
      <c r="AB97" t="s" s="0">
        <v>81</v>
      </c>
      <c r="AC97" t="s" s="0">
        <v>81</v>
      </c>
      <c r="AD97" t="s" s="0">
        <v>81</v>
      </c>
      <c r="AE97" t="s" s="0">
        <v>81</v>
      </c>
      <c r="AF97" t="s" s="0">
        <v>81</v>
      </c>
      <c r="AG97" t="s" s="0">
        <v>2308</v>
      </c>
      <c r="AH97" t="s" s="0">
        <v>2309</v>
      </c>
      <c r="AI97" t="s" s="0">
        <v>2310</v>
      </c>
      <c r="AJ97" t="s" s="0">
        <v>81</v>
      </c>
      <c r="AK97" t="s" s="0">
        <v>81</v>
      </c>
      <c r="AL97" t="s" s="0">
        <v>2311</v>
      </c>
      <c r="AM97" t="s" s="0">
        <v>77</v>
      </c>
      <c r="AN97" t="s" s="0">
        <v>77</v>
      </c>
      <c r="AO97" t="s" s="0">
        <v>77</v>
      </c>
      <c r="AP97" t="s" s="0">
        <v>77</v>
      </c>
      <c r="AQ97" t="s" s="0">
        <v>892</v>
      </c>
      <c r="AR97" t="s" s="0">
        <v>893</v>
      </c>
      <c r="AS97" t="s" s="0">
        <v>894</v>
      </c>
      <c r="AT97" t="s" s="0">
        <v>81</v>
      </c>
      <c r="AU97" t="s" s="0">
        <v>2159</v>
      </c>
      <c r="AV97" t="s" s="0">
        <v>81</v>
      </c>
      <c r="AW97" t="s" s="0">
        <v>2160</v>
      </c>
      <c r="AX97" t="s" s="0">
        <v>2161</v>
      </c>
      <c r="AY97" t="s" s="0">
        <v>2089</v>
      </c>
      <c r="AZ97" t="s" s="0">
        <v>106</v>
      </c>
      <c r="BA97" t="s" s="0">
        <v>387</v>
      </c>
      <c r="BB97" t="s" s="0">
        <v>81</v>
      </c>
      <c r="BC97" t="s" s="0">
        <v>81</v>
      </c>
      <c r="BD97" t="s" s="0">
        <v>81</v>
      </c>
      <c r="BE97" t="s" s="0">
        <v>81</v>
      </c>
      <c r="BF97" t="s" s="0">
        <v>81</v>
      </c>
      <c r="BG97" t="s" s="0">
        <v>81</v>
      </c>
      <c r="BH97" t="s" s="0">
        <v>81</v>
      </c>
      <c r="BI97" t="s" s="0">
        <v>2312</v>
      </c>
      <c r="BJ97" t="s" s="0">
        <v>2313</v>
      </c>
      <c r="BK97" t="s" s="191">
        <f>HYPERLINK("http://dx.doi.org/10.1016/j.nxmate.2026.102940","http://dx.doi.org/10.1016/j.nxmate.2026.102940")</f>
        <v>2314</v>
      </c>
      <c r="BL97" t="s" s="0">
        <v>81</v>
      </c>
      <c r="BM97" t="s" s="0">
        <v>81</v>
      </c>
      <c r="BN97" t="s" s="0">
        <v>668</v>
      </c>
      <c r="BO97" t="s" s="0">
        <v>2165</v>
      </c>
      <c r="BP97" t="s" s="0">
        <v>1847</v>
      </c>
      <c r="BQ97" t="s" s="0">
        <v>2315</v>
      </c>
      <c r="BR97" t="s" s="0">
        <v>81</v>
      </c>
      <c r="BS97" t="s" s="0">
        <v>2316</v>
      </c>
      <c r="BT97" t="s" s="192">
        <f>HYPERLINK("https://www.webofscience.com/wos/woscc/full-record/WOS:001837295000001","View Record in Web of Science")</f>
        <v>118</v>
      </c>
      <c r="BU97" t="s" s="0">
        <v>119</v>
      </c>
      <c r="BV97" t="s" s="0">
        <v>81</v>
      </c>
      <c r="BW97" t="s" s="0">
        <v>81</v>
      </c>
      <c r="BX97" t="s" s="0">
        <v>120</v>
      </c>
    </row>
    <row r="98">
      <c r="A98" t="s" s="0">
        <v>77</v>
      </c>
      <c r="B98" t="s" s="0">
        <v>77</v>
      </c>
      <c r="C98" t="s" s="0">
        <v>77</v>
      </c>
      <c r="D98" t="s" s="0">
        <v>77</v>
      </c>
      <c r="E98" t="s" s="0">
        <v>2317</v>
      </c>
      <c r="F98" t="s" s="0">
        <v>2318</v>
      </c>
      <c r="G98" t="s" s="0">
        <v>2319</v>
      </c>
      <c r="H98" t="s" s="0">
        <v>81</v>
      </c>
      <c r="I98" t="s" s="0">
        <v>124</v>
      </c>
      <c r="J98" t="s" s="0">
        <v>2320</v>
      </c>
      <c r="K98" t="s" s="0">
        <v>2321</v>
      </c>
      <c r="L98" t="s" s="0">
        <v>81</v>
      </c>
      <c r="M98" t="s" s="0">
        <v>81</v>
      </c>
      <c r="N98" t="s" s="0">
        <v>81</v>
      </c>
      <c r="O98" t="s" s="0">
        <v>2322</v>
      </c>
      <c r="P98" t="s" s="0">
        <v>2323</v>
      </c>
      <c r="Q98" t="s" s="0">
        <v>90</v>
      </c>
      <c r="R98" t="s" s="0">
        <v>81</v>
      </c>
      <c r="S98" t="s" s="0">
        <v>81</v>
      </c>
      <c r="T98" t="s" s="0">
        <v>81</v>
      </c>
      <c r="U98" t="s" s="0">
        <v>81</v>
      </c>
      <c r="V98" t="s" s="0">
        <v>2324</v>
      </c>
      <c r="W98" t="s" s="0">
        <v>2155</v>
      </c>
      <c r="X98" t="s" s="0">
        <v>81</v>
      </c>
      <c r="Y98" t="s" s="0">
        <v>81</v>
      </c>
      <c r="Z98" t="s" s="0">
        <v>93</v>
      </c>
      <c r="AA98" t="s" s="0">
        <v>94</v>
      </c>
      <c r="AB98" t="s" s="0">
        <v>81</v>
      </c>
      <c r="AC98" t="s" s="0">
        <v>81</v>
      </c>
      <c r="AD98" t="s" s="0">
        <v>81</v>
      </c>
      <c r="AE98" t="s" s="0">
        <v>81</v>
      </c>
      <c r="AF98" t="s" s="0">
        <v>81</v>
      </c>
      <c r="AG98" t="s" s="0">
        <v>2325</v>
      </c>
      <c r="AH98" t="s" s="0">
        <v>2326</v>
      </c>
      <c r="AI98" t="s" s="0">
        <v>2327</v>
      </c>
      <c r="AJ98" t="s" s="0">
        <v>81</v>
      </c>
      <c r="AK98" t="s" s="0">
        <v>81</v>
      </c>
      <c r="AL98" t="s" s="0">
        <v>2328</v>
      </c>
      <c r="AM98" t="s" s="0">
        <v>77</v>
      </c>
      <c r="AN98" t="s" s="0">
        <v>77</v>
      </c>
      <c r="AO98" t="s" s="0">
        <v>77</v>
      </c>
      <c r="AP98" t="s" s="0">
        <v>77</v>
      </c>
      <c r="AQ98" t="s" s="0">
        <v>892</v>
      </c>
      <c r="AR98" t="s" s="0">
        <v>893</v>
      </c>
      <c r="AS98" t="s" s="0">
        <v>894</v>
      </c>
      <c r="AT98" t="s" s="0">
        <v>81</v>
      </c>
      <c r="AU98" t="s" s="0">
        <v>2159</v>
      </c>
      <c r="AV98" t="s" s="0">
        <v>81</v>
      </c>
      <c r="AW98" t="s" s="0">
        <v>2160</v>
      </c>
      <c r="AX98" t="s" s="0">
        <v>2161</v>
      </c>
      <c r="AY98" t="s" s="0">
        <v>2089</v>
      </c>
      <c r="AZ98" t="s" s="0">
        <v>106</v>
      </c>
      <c r="BA98" t="s" s="0">
        <v>387</v>
      </c>
      <c r="BB98" t="s" s="0">
        <v>81</v>
      </c>
      <c r="BC98" t="s" s="0">
        <v>81</v>
      </c>
      <c r="BD98" t="s" s="0">
        <v>81</v>
      </c>
      <c r="BE98" t="s" s="0">
        <v>81</v>
      </c>
      <c r="BF98" t="s" s="0">
        <v>81</v>
      </c>
      <c r="BG98" t="s" s="0">
        <v>81</v>
      </c>
      <c r="BH98" t="s" s="0">
        <v>81</v>
      </c>
      <c r="BI98" t="s" s="0">
        <v>2329</v>
      </c>
      <c r="BJ98" t="s" s="0">
        <v>2330</v>
      </c>
      <c r="BK98" t="s" s="193">
        <f>HYPERLINK("http://dx.doi.org/10.1016/j.nxmate.2026.102860","http://dx.doi.org/10.1016/j.nxmate.2026.102860")</f>
        <v>2331</v>
      </c>
      <c r="BL98" t="s" s="0">
        <v>81</v>
      </c>
      <c r="BM98" t="s" s="0">
        <v>81</v>
      </c>
      <c r="BN98" t="s" s="0">
        <v>438</v>
      </c>
      <c r="BO98" t="s" s="0">
        <v>2165</v>
      </c>
      <c r="BP98" t="s" s="0">
        <v>1847</v>
      </c>
      <c r="BQ98" t="s" s="0">
        <v>2332</v>
      </c>
      <c r="BR98" t="s" s="0">
        <v>81</v>
      </c>
      <c r="BS98" t="s" s="0">
        <v>2333</v>
      </c>
      <c r="BT98" t="s" s="194">
        <f>HYPERLINK("https://www.webofscience.com/wos/woscc/full-record/WOS:001837290900001","View Record in Web of Science")</f>
        <v>118</v>
      </c>
      <c r="BU98" t="s" s="0">
        <v>119</v>
      </c>
      <c r="BV98" t="s" s="0">
        <v>81</v>
      </c>
      <c r="BW98" t="s" s="0">
        <v>81</v>
      </c>
      <c r="BX98" t="s" s="0">
        <v>120</v>
      </c>
    </row>
    <row r="99">
      <c r="A99" t="s" s="0">
        <v>77</v>
      </c>
      <c r="B99" t="s" s="0">
        <v>77</v>
      </c>
      <c r="C99" t="s" s="0">
        <v>77</v>
      </c>
      <c r="D99" t="s" s="0">
        <v>77</v>
      </c>
      <c r="E99" t="s" s="0">
        <v>2334</v>
      </c>
      <c r="F99" t="s" s="0">
        <v>2335</v>
      </c>
      <c r="G99" t="s" s="0">
        <v>2336</v>
      </c>
      <c r="H99" t="s" s="0">
        <v>81</v>
      </c>
      <c r="I99" t="s" s="0">
        <v>1004</v>
      </c>
      <c r="J99" t="s" s="0">
        <v>2337</v>
      </c>
      <c r="K99" t="s" s="0">
        <v>2338</v>
      </c>
      <c r="L99" t="s" s="0">
        <v>2339</v>
      </c>
      <c r="M99" t="s" s="0">
        <v>2339</v>
      </c>
      <c r="N99" t="s" s="0">
        <v>2340</v>
      </c>
      <c r="O99" t="s" s="0">
        <v>2341</v>
      </c>
      <c r="P99" t="s" s="0">
        <v>2342</v>
      </c>
      <c r="Q99" t="s" s="0">
        <v>90</v>
      </c>
      <c r="R99" t="s" s="0">
        <v>81</v>
      </c>
      <c r="S99" t="s" s="0">
        <v>81</v>
      </c>
      <c r="T99" t="s" s="0">
        <v>81</v>
      </c>
      <c r="U99" t="s" s="0">
        <v>81</v>
      </c>
      <c r="V99" t="s" s="0">
        <v>2343</v>
      </c>
      <c r="W99" t="s" s="0">
        <v>2344</v>
      </c>
      <c r="X99" t="s" s="0">
        <v>81</v>
      </c>
      <c r="Y99" t="s" s="0">
        <v>81</v>
      </c>
      <c r="Z99" t="s" s="0">
        <v>93</v>
      </c>
      <c r="AA99" t="s" s="0">
        <v>94</v>
      </c>
      <c r="AB99" t="s" s="0">
        <v>81</v>
      </c>
      <c r="AC99" t="s" s="0">
        <v>81</v>
      </c>
      <c r="AD99" t="s" s="0">
        <v>81</v>
      </c>
      <c r="AE99" t="s" s="0">
        <v>81</v>
      </c>
      <c r="AF99" t="s" s="0">
        <v>81</v>
      </c>
      <c r="AG99" t="s" s="0">
        <v>2345</v>
      </c>
      <c r="AH99" t="s" s="0">
        <v>2346</v>
      </c>
      <c r="AI99" t="s" s="0">
        <v>2347</v>
      </c>
      <c r="AJ99" t="s" s="0">
        <v>81</v>
      </c>
      <c r="AK99" t="s" s="0">
        <v>81</v>
      </c>
      <c r="AL99" t="s" s="0">
        <v>362</v>
      </c>
      <c r="AM99" t="s" s="0">
        <v>77</v>
      </c>
      <c r="AN99" t="s" s="0">
        <v>77</v>
      </c>
      <c r="AO99" t="s" s="0">
        <v>77</v>
      </c>
      <c r="AP99" t="s" s="0">
        <v>77</v>
      </c>
      <c r="AQ99" t="s" s="0">
        <v>1224</v>
      </c>
      <c r="AR99" t="s" s="0">
        <v>1225</v>
      </c>
      <c r="AS99" t="s" s="0">
        <v>1226</v>
      </c>
      <c r="AT99" t="s" s="0">
        <v>2348</v>
      </c>
      <c r="AU99" t="s" s="0">
        <v>2349</v>
      </c>
      <c r="AV99" t="s" s="0">
        <v>81</v>
      </c>
      <c r="AW99" t="s" s="0">
        <v>2344</v>
      </c>
      <c r="AX99" t="s" s="0">
        <v>2350</v>
      </c>
      <c r="AY99" t="s" s="0">
        <v>2089</v>
      </c>
      <c r="AZ99" t="s" s="0">
        <v>106</v>
      </c>
      <c r="BA99" t="s" s="0">
        <v>383</v>
      </c>
      <c r="BB99" t="s" s="0">
        <v>81</v>
      </c>
      <c r="BC99" t="s" s="0">
        <v>81</v>
      </c>
      <c r="BD99" t="s" s="0">
        <v>81</v>
      </c>
      <c r="BE99" t="s" s="0">
        <v>81</v>
      </c>
      <c r="BF99" t="s" s="0">
        <v>81</v>
      </c>
      <c r="BG99" t="s" s="0">
        <v>81</v>
      </c>
      <c r="BH99" t="s" s="0">
        <v>81</v>
      </c>
      <c r="BI99" t="s" s="0">
        <v>2351</v>
      </c>
      <c r="BJ99" t="s" s="0">
        <v>2352</v>
      </c>
      <c r="BK99" t="s" s="195">
        <f>HYPERLINK("http://dx.doi.org/10.1016/j.healthpol.2026.105715","http://dx.doi.org/10.1016/j.healthpol.2026.105715")</f>
        <v>2353</v>
      </c>
      <c r="BL99" t="s" s="0">
        <v>81</v>
      </c>
      <c r="BM99" t="s" s="0">
        <v>81</v>
      </c>
      <c r="BN99" t="s" s="0">
        <v>253</v>
      </c>
      <c r="BO99" t="s" s="0">
        <v>2354</v>
      </c>
      <c r="BP99" t="s" s="0">
        <v>2355</v>
      </c>
      <c r="BQ99" t="s" s="0">
        <v>2356</v>
      </c>
      <c r="BR99" t="s" s="0">
        <v>2357</v>
      </c>
      <c r="BS99" t="s" s="0">
        <v>2358</v>
      </c>
      <c r="BT99" t="s" s="196">
        <f>HYPERLINK("https://www.webofscience.com/wos/woscc/full-record/WOS:001835329700001","View Record in Web of Science")</f>
        <v>118</v>
      </c>
      <c r="BU99" t="s" s="0">
        <v>737</v>
      </c>
      <c r="BV99" t="s" s="0">
        <v>81</v>
      </c>
      <c r="BW99" t="s" s="0">
        <v>81</v>
      </c>
      <c r="BX99" t="s" s="0">
        <v>120</v>
      </c>
    </row>
    <row r="100">
      <c r="A100" t="s" s="0">
        <v>77</v>
      </c>
      <c r="B100" t="s" s="0">
        <v>77</v>
      </c>
      <c r="C100" t="s" s="0">
        <v>77</v>
      </c>
      <c r="D100" t="s" s="0">
        <v>77</v>
      </c>
      <c r="E100" t="s" s="0">
        <v>2359</v>
      </c>
      <c r="F100" t="s" s="0">
        <v>2360</v>
      </c>
      <c r="G100" t="s" s="0">
        <v>2361</v>
      </c>
      <c r="H100" t="s" s="0">
        <v>81</v>
      </c>
      <c r="I100" t="s" s="0">
        <v>82</v>
      </c>
      <c r="J100" t="s" s="0">
        <v>2362</v>
      </c>
      <c r="K100" t="s" s="0">
        <v>2363</v>
      </c>
      <c r="L100" t="s" s="0">
        <v>2364</v>
      </c>
      <c r="M100" t="s" s="0">
        <v>2364</v>
      </c>
      <c r="N100" t="s" s="0">
        <v>2365</v>
      </c>
      <c r="O100" t="s" s="0">
        <v>2366</v>
      </c>
      <c r="P100" t="s" s="0">
        <v>2367</v>
      </c>
      <c r="Q100" t="s" s="0">
        <v>90</v>
      </c>
      <c r="R100" t="s" s="0">
        <v>81</v>
      </c>
      <c r="S100" t="s" s="0">
        <v>81</v>
      </c>
      <c r="T100" t="s" s="0">
        <v>81</v>
      </c>
      <c r="U100" t="s" s="0">
        <v>81</v>
      </c>
      <c r="V100" t="s" s="0">
        <v>2368</v>
      </c>
      <c r="W100" t="s" s="0">
        <v>1678</v>
      </c>
      <c r="X100" t="s" s="0">
        <v>81</v>
      </c>
      <c r="Y100" t="s" s="0">
        <v>81</v>
      </c>
      <c r="Z100" t="s" s="0">
        <v>93</v>
      </c>
      <c r="AA100" t="s" s="0">
        <v>94</v>
      </c>
      <c r="AB100" t="s" s="0">
        <v>81</v>
      </c>
      <c r="AC100" t="s" s="0">
        <v>81</v>
      </c>
      <c r="AD100" t="s" s="0">
        <v>81</v>
      </c>
      <c r="AE100" t="s" s="0">
        <v>81</v>
      </c>
      <c r="AF100" t="s" s="0">
        <v>81</v>
      </c>
      <c r="AG100" t="s" s="0">
        <v>2369</v>
      </c>
      <c r="AH100" t="s" s="0">
        <v>2370</v>
      </c>
      <c r="AI100" t="s" s="0">
        <v>2371</v>
      </c>
      <c r="AJ100" t="s" s="0">
        <v>2372</v>
      </c>
      <c r="AK100" t="s" s="0">
        <v>81</v>
      </c>
      <c r="AL100" t="s" s="0">
        <v>2373</v>
      </c>
      <c r="AM100" t="s" s="0">
        <v>77</v>
      </c>
      <c r="AN100" t="s" s="0">
        <v>77</v>
      </c>
      <c r="AO100" t="s" s="0">
        <v>484</v>
      </c>
      <c r="AP100" t="s" s="0">
        <v>484</v>
      </c>
      <c r="AQ100" t="s" s="0">
        <v>1224</v>
      </c>
      <c r="AR100" t="s" s="0">
        <v>1225</v>
      </c>
      <c r="AS100" t="s" s="0">
        <v>1226</v>
      </c>
      <c r="AT100" t="s" s="0">
        <v>1681</v>
      </c>
      <c r="AU100" t="s" s="0">
        <v>1682</v>
      </c>
      <c r="AV100" t="s" s="0">
        <v>81</v>
      </c>
      <c r="AW100" t="s" s="0">
        <v>1683</v>
      </c>
      <c r="AX100" t="s" s="0">
        <v>1684</v>
      </c>
      <c r="AY100" t="s" s="0">
        <v>2089</v>
      </c>
      <c r="AZ100" t="s" s="0">
        <v>106</v>
      </c>
      <c r="BA100" t="s" s="0">
        <v>2374</v>
      </c>
      <c r="BB100" t="s" s="0">
        <v>81</v>
      </c>
      <c r="BC100" t="s" s="0">
        <v>81</v>
      </c>
      <c r="BD100" t="s" s="0">
        <v>81</v>
      </c>
      <c r="BE100" t="s" s="0">
        <v>81</v>
      </c>
      <c r="BF100" t="s" s="0">
        <v>81</v>
      </c>
      <c r="BG100" t="s" s="0">
        <v>81</v>
      </c>
      <c r="BH100" t="s" s="0">
        <v>81</v>
      </c>
      <c r="BI100" t="s" s="0">
        <v>2375</v>
      </c>
      <c r="BJ100" t="s" s="0">
        <v>2376</v>
      </c>
      <c r="BK100" t="s" s="197">
        <f>HYPERLINK("http://dx.doi.org/10.1016/j.cmpb.2026.109560","http://dx.doi.org/10.1016/j.cmpb.2026.109560")</f>
        <v>2377</v>
      </c>
      <c r="BL100" t="s" s="0">
        <v>81</v>
      </c>
      <c r="BM100" t="s" s="0">
        <v>81</v>
      </c>
      <c r="BN100" t="s" s="0">
        <v>626</v>
      </c>
      <c r="BO100" t="s" s="0">
        <v>1689</v>
      </c>
      <c r="BP100" t="s" s="0">
        <v>1449</v>
      </c>
      <c r="BQ100" t="s" s="0">
        <v>2378</v>
      </c>
      <c r="BR100" t="s" s="0">
        <v>2379</v>
      </c>
      <c r="BS100" t="s" s="0">
        <v>2380</v>
      </c>
      <c r="BT100" t="s" s="198">
        <f>HYPERLINK("https://www.webofscience.com/wos/woscc/full-record/WOS:001833998000001","View Record in Web of Science")</f>
        <v>118</v>
      </c>
      <c r="BU100" t="s" s="0">
        <v>877</v>
      </c>
      <c r="BV100" t="s" s="0">
        <v>81</v>
      </c>
      <c r="BW100" t="s" s="0">
        <v>81</v>
      </c>
      <c r="BX100" t="s" s="0">
        <v>120</v>
      </c>
    </row>
    <row r="101">
      <c r="A101" t="s" s="0">
        <v>77</v>
      </c>
      <c r="B101" t="s" s="0">
        <v>77</v>
      </c>
      <c r="C101" t="s" s="0">
        <v>77</v>
      </c>
      <c r="D101" t="s" s="0">
        <v>77</v>
      </c>
      <c r="E101" t="s" s="0">
        <v>2381</v>
      </c>
      <c r="F101" t="s" s="0">
        <v>2382</v>
      </c>
      <c r="G101" t="s" s="0">
        <v>2383</v>
      </c>
      <c r="H101" t="s" s="0">
        <v>81</v>
      </c>
      <c r="I101" t="s" s="0">
        <v>82</v>
      </c>
      <c r="J101" t="s" s="0">
        <v>2384</v>
      </c>
      <c r="K101" t="s" s="0">
        <v>2385</v>
      </c>
      <c r="L101" t="s" s="0">
        <v>81</v>
      </c>
      <c r="M101" t="s" s="0">
        <v>81</v>
      </c>
      <c r="N101" t="s" s="0">
        <v>81</v>
      </c>
      <c r="O101" t="s" s="0">
        <v>2386</v>
      </c>
      <c r="P101" t="s" s="0">
        <v>2387</v>
      </c>
      <c r="Q101" t="s" s="0">
        <v>90</v>
      </c>
      <c r="R101" t="s" s="0">
        <v>81</v>
      </c>
      <c r="S101" t="s" s="0">
        <v>81</v>
      </c>
      <c r="T101" t="s" s="0">
        <v>81</v>
      </c>
      <c r="U101" t="s" s="0">
        <v>81</v>
      </c>
      <c r="V101" t="s" s="0">
        <v>2388</v>
      </c>
      <c r="W101" t="s" s="0">
        <v>2221</v>
      </c>
      <c r="X101" t="s" s="0">
        <v>81</v>
      </c>
      <c r="Y101" t="s" s="0">
        <v>81</v>
      </c>
      <c r="Z101" t="s" s="0">
        <v>93</v>
      </c>
      <c r="AA101" t="s" s="0">
        <v>94</v>
      </c>
      <c r="AB101" t="s" s="0">
        <v>81</v>
      </c>
      <c r="AC101" t="s" s="0">
        <v>81</v>
      </c>
      <c r="AD101" t="s" s="0">
        <v>81</v>
      </c>
      <c r="AE101" t="s" s="0">
        <v>81</v>
      </c>
      <c r="AF101" t="s" s="0">
        <v>81</v>
      </c>
      <c r="AG101" t="s" s="0">
        <v>2389</v>
      </c>
      <c r="AH101" t="s" s="0">
        <v>2390</v>
      </c>
      <c r="AI101" t="s" s="0">
        <v>2391</v>
      </c>
      <c r="AJ101" t="s" s="0">
        <v>81</v>
      </c>
      <c r="AK101" t="s" s="0">
        <v>81</v>
      </c>
      <c r="AL101" t="s" s="0">
        <v>2392</v>
      </c>
      <c r="AM101" t="s" s="0">
        <v>77</v>
      </c>
      <c r="AN101" t="s" s="0">
        <v>77</v>
      </c>
      <c r="AO101" t="s" s="0">
        <v>77</v>
      </c>
      <c r="AP101" t="s" s="0">
        <v>77</v>
      </c>
      <c r="AQ101" t="s" s="0">
        <v>892</v>
      </c>
      <c r="AR101" t="s" s="0">
        <v>893</v>
      </c>
      <c r="AS101" t="s" s="0">
        <v>894</v>
      </c>
      <c r="AT101" t="s" s="0">
        <v>2224</v>
      </c>
      <c r="AU101" t="s" s="0">
        <v>2225</v>
      </c>
      <c r="AV101" t="s" s="0">
        <v>81</v>
      </c>
      <c r="AW101" t="s" s="0">
        <v>2226</v>
      </c>
      <c r="AX101" t="s" s="0">
        <v>2227</v>
      </c>
      <c r="AY101" t="s" s="0">
        <v>2089</v>
      </c>
      <c r="AZ101" t="s" s="0">
        <v>106</v>
      </c>
      <c r="BA101" t="s" s="0">
        <v>1525</v>
      </c>
      <c r="BB101" t="s" s="0">
        <v>720</v>
      </c>
      <c r="BC101" t="s" s="0">
        <v>81</v>
      </c>
      <c r="BD101" t="s" s="0">
        <v>81</v>
      </c>
      <c r="BE101" t="s" s="0">
        <v>81</v>
      </c>
      <c r="BF101" t="s" s="0">
        <v>81</v>
      </c>
      <c r="BG101" t="s" s="0">
        <v>81</v>
      </c>
      <c r="BH101" t="s" s="0">
        <v>81</v>
      </c>
      <c r="BI101" t="s" s="0">
        <v>2393</v>
      </c>
      <c r="BJ101" t="s" s="0">
        <v>2394</v>
      </c>
      <c r="BK101" t="s" s="199">
        <f>HYPERLINK("http://dx.doi.org/10.1016/j.identj.2026.109758","http://dx.doi.org/10.1016/j.identj.2026.109758")</f>
        <v>2395</v>
      </c>
      <c r="BL101" t="s" s="0">
        <v>81</v>
      </c>
      <c r="BM101" t="s" s="0">
        <v>81</v>
      </c>
      <c r="BN101" t="s" s="0">
        <v>197</v>
      </c>
      <c r="BO101" t="s" s="0">
        <v>952</v>
      </c>
      <c r="BP101" t="s" s="0">
        <v>952</v>
      </c>
      <c r="BQ101" t="s" s="0">
        <v>2396</v>
      </c>
      <c r="BR101" t="s" s="0">
        <v>2397</v>
      </c>
      <c r="BS101" t="s" s="0">
        <v>2398</v>
      </c>
      <c r="BT101" t="s" s="200">
        <f>HYPERLINK("https://www.webofscience.com/wos/woscc/full-record/WOS:001832307900001","View Record in Web of Science")</f>
        <v>118</v>
      </c>
      <c r="BU101" t="s" s="0">
        <v>177</v>
      </c>
      <c r="BV101" t="s" s="0">
        <v>81</v>
      </c>
      <c r="BW101" t="s" s="0">
        <v>81</v>
      </c>
      <c r="BX101" t="s" s="0">
        <v>120</v>
      </c>
    </row>
    <row r="102">
      <c r="A102" t="s" s="0">
        <v>77</v>
      </c>
      <c r="B102" t="s" s="0">
        <v>77</v>
      </c>
      <c r="C102" t="s" s="0">
        <v>77</v>
      </c>
      <c r="D102" t="s" s="0">
        <v>77</v>
      </c>
      <c r="E102" t="s" s="0">
        <v>2399</v>
      </c>
      <c r="F102" t="s" s="0">
        <v>2400</v>
      </c>
      <c r="G102" t="s" s="0">
        <v>2401</v>
      </c>
      <c r="H102" t="s" s="0">
        <v>81</v>
      </c>
      <c r="I102" t="s" s="0">
        <v>82</v>
      </c>
      <c r="J102" t="s" s="0">
        <v>2402</v>
      </c>
      <c r="K102" t="s" s="0">
        <v>2403</v>
      </c>
      <c r="L102" t="s" s="0">
        <v>81</v>
      </c>
      <c r="M102" t="s" s="0">
        <v>81</v>
      </c>
      <c r="N102" t="s" s="0">
        <v>81</v>
      </c>
      <c r="O102" t="s" s="0">
        <v>2404</v>
      </c>
      <c r="P102" t="s" s="0">
        <v>2405</v>
      </c>
      <c r="Q102" t="s" s="0">
        <v>90</v>
      </c>
      <c r="R102" t="s" s="0">
        <v>81</v>
      </c>
      <c r="S102" t="s" s="0">
        <v>2406</v>
      </c>
      <c r="T102" t="s" s="0">
        <v>81</v>
      </c>
      <c r="U102" t="s" s="0">
        <v>81</v>
      </c>
      <c r="V102" t="s" s="0">
        <v>2407</v>
      </c>
      <c r="W102" t="s" s="0">
        <v>2107</v>
      </c>
      <c r="X102" t="s" s="0">
        <v>81</v>
      </c>
      <c r="Y102" t="s" s="0">
        <v>81</v>
      </c>
      <c r="Z102" t="s" s="0">
        <v>93</v>
      </c>
      <c r="AA102" t="s" s="0">
        <v>94</v>
      </c>
      <c r="AB102" t="s" s="0">
        <v>81</v>
      </c>
      <c r="AC102" t="s" s="0">
        <v>81</v>
      </c>
      <c r="AD102" t="s" s="0">
        <v>81</v>
      </c>
      <c r="AE102" t="s" s="0">
        <v>81</v>
      </c>
      <c r="AF102" t="s" s="0">
        <v>81</v>
      </c>
      <c r="AG102" t="s" s="0">
        <v>81</v>
      </c>
      <c r="AH102" t="s" s="0">
        <v>2408</v>
      </c>
      <c r="AI102" t="s" s="0">
        <v>2409</v>
      </c>
      <c r="AJ102" t="s" s="0">
        <v>2410</v>
      </c>
      <c r="AK102" t="s" s="0">
        <v>81</v>
      </c>
      <c r="AL102" t="s" s="0">
        <v>568</v>
      </c>
      <c r="AM102" t="s" s="0">
        <v>108</v>
      </c>
      <c r="AN102" t="s" s="0">
        <v>108</v>
      </c>
      <c r="AO102" t="s" s="0">
        <v>77</v>
      </c>
      <c r="AP102" t="s" s="0">
        <v>77</v>
      </c>
      <c r="AQ102" t="s" s="0">
        <v>2108</v>
      </c>
      <c r="AR102" t="s" s="0">
        <v>2109</v>
      </c>
      <c r="AS102" t="s" s="0">
        <v>2110</v>
      </c>
      <c r="AT102" t="s" s="0">
        <v>2111</v>
      </c>
      <c r="AU102" t="s" s="0">
        <v>2112</v>
      </c>
      <c r="AV102" t="s" s="0">
        <v>81</v>
      </c>
      <c r="AW102" t="s" s="0">
        <v>2113</v>
      </c>
      <c r="AX102" t="s" s="0">
        <v>2114</v>
      </c>
      <c r="AY102" t="s" s="0">
        <v>2089</v>
      </c>
      <c r="AZ102" t="s" s="0">
        <v>106</v>
      </c>
      <c r="BA102" t="s" s="0">
        <v>1287</v>
      </c>
      <c r="BB102" t="s" s="0">
        <v>81</v>
      </c>
      <c r="BC102" t="s" s="0">
        <v>81</v>
      </c>
      <c r="BD102" t="s" s="0">
        <v>81</v>
      </c>
      <c r="BE102" t="s" s="0">
        <v>81</v>
      </c>
      <c r="BF102" t="s" s="0">
        <v>81</v>
      </c>
      <c r="BG102" t="s" s="0">
        <v>81</v>
      </c>
      <c r="BH102" t="s" s="0">
        <v>81</v>
      </c>
      <c r="BI102" t="s" s="0">
        <v>2411</v>
      </c>
      <c r="BJ102" t="s" s="0">
        <v>2412</v>
      </c>
      <c r="BK102" t="s" s="201">
        <f>HYPERLINK("http://dx.doi.org/10.1016/j.coi.2026.102818","http://dx.doi.org/10.1016/j.coi.2026.102818")</f>
        <v>2413</v>
      </c>
      <c r="BL102" t="s" s="0">
        <v>81</v>
      </c>
      <c r="BM102" t="s" s="0">
        <v>81</v>
      </c>
      <c r="BN102" t="s" s="0">
        <v>511</v>
      </c>
      <c r="BO102" t="s" s="0">
        <v>2118</v>
      </c>
      <c r="BP102" t="s" s="0">
        <v>2118</v>
      </c>
      <c r="BQ102" t="s" s="0">
        <v>2414</v>
      </c>
      <c r="BR102" t="s" s="0">
        <v>2415</v>
      </c>
      <c r="BS102" t="s" s="0">
        <v>2416</v>
      </c>
      <c r="BT102" t="s" s="202">
        <f>HYPERLINK("https://www.webofscience.com/wos/woscc/full-record/WOS:001829322800001","View Record in Web of Science")</f>
        <v>118</v>
      </c>
      <c r="BU102" t="s" s="0">
        <v>81</v>
      </c>
      <c r="BV102" t="s" s="0">
        <v>81</v>
      </c>
      <c r="BW102" t="s" s="0">
        <v>81</v>
      </c>
      <c r="BX102" t="s" s="0">
        <v>120</v>
      </c>
    </row>
    <row r="103">
      <c r="A103" t="s" s="0">
        <v>77</v>
      </c>
      <c r="B103" t="s" s="0">
        <v>77</v>
      </c>
      <c r="C103" t="s" s="0">
        <v>77</v>
      </c>
      <c r="D103" t="s" s="0">
        <v>77</v>
      </c>
      <c r="E103" t="s" s="0">
        <v>2417</v>
      </c>
      <c r="F103" t="s" s="0">
        <v>2418</v>
      </c>
      <c r="G103" t="s" s="0">
        <v>2419</v>
      </c>
      <c r="H103" t="s" s="0">
        <v>81</v>
      </c>
      <c r="I103" t="s" s="0">
        <v>82</v>
      </c>
      <c r="J103" t="s" s="0">
        <v>2420</v>
      </c>
      <c r="K103" t="s" s="0">
        <v>2421</v>
      </c>
      <c r="L103" t="s" s="0">
        <v>2422</v>
      </c>
      <c r="M103" t="s" s="0">
        <v>330</v>
      </c>
      <c r="N103" t="s" s="0">
        <v>2423</v>
      </c>
      <c r="O103" t="s" s="0">
        <v>2424</v>
      </c>
      <c r="P103" t="s" s="0">
        <v>2425</v>
      </c>
      <c r="Q103" t="s" s="0">
        <v>90</v>
      </c>
      <c r="R103" t="s" s="0">
        <v>81</v>
      </c>
      <c r="S103" t="s" s="0">
        <v>81</v>
      </c>
      <c r="T103" t="s" s="0">
        <v>81</v>
      </c>
      <c r="U103" t="s" s="0">
        <v>81</v>
      </c>
      <c r="V103" t="s" s="0">
        <v>2426</v>
      </c>
      <c r="W103" t="s" s="0">
        <v>1416</v>
      </c>
      <c r="X103" t="s" s="0">
        <v>81</v>
      </c>
      <c r="Y103" t="s" s="0">
        <v>81</v>
      </c>
      <c r="Z103" t="s" s="0">
        <v>93</v>
      </c>
      <c r="AA103" t="s" s="0">
        <v>94</v>
      </c>
      <c r="AB103" t="s" s="0">
        <v>81</v>
      </c>
      <c r="AC103" t="s" s="0">
        <v>81</v>
      </c>
      <c r="AD103" t="s" s="0">
        <v>81</v>
      </c>
      <c r="AE103" t="s" s="0">
        <v>81</v>
      </c>
      <c r="AF103" t="s" s="0">
        <v>81</v>
      </c>
      <c r="AG103" t="s" s="0">
        <v>2427</v>
      </c>
      <c r="AH103" t="s" s="0">
        <v>2428</v>
      </c>
      <c r="AI103" t="s" s="0">
        <v>2429</v>
      </c>
      <c r="AJ103" t="s" s="0">
        <v>81</v>
      </c>
      <c r="AK103" t="s" s="0">
        <v>81</v>
      </c>
      <c r="AL103" t="s" s="0">
        <v>2430</v>
      </c>
      <c r="AM103" t="s" s="0">
        <v>77</v>
      </c>
      <c r="AN103" t="s" s="0">
        <v>77</v>
      </c>
      <c r="AO103" t="s" s="0">
        <v>484</v>
      </c>
      <c r="AP103" t="s" s="0">
        <v>484</v>
      </c>
      <c r="AQ103" t="s" s="0">
        <v>836</v>
      </c>
      <c r="AR103" t="s" s="0">
        <v>837</v>
      </c>
      <c r="AS103" t="s" s="0">
        <v>838</v>
      </c>
      <c r="AT103" t="s" s="0">
        <v>1419</v>
      </c>
      <c r="AU103" t="s" s="0">
        <v>1420</v>
      </c>
      <c r="AV103" t="s" s="0">
        <v>81</v>
      </c>
      <c r="AW103" t="s" s="0">
        <v>1421</v>
      </c>
      <c r="AX103" t="s" s="0">
        <v>1422</v>
      </c>
      <c r="AY103" t="s" s="0">
        <v>2089</v>
      </c>
      <c r="AZ103" t="s" s="0">
        <v>106</v>
      </c>
      <c r="BA103" t="s" s="0">
        <v>2431</v>
      </c>
      <c r="BB103" t="s" s="0">
        <v>81</v>
      </c>
      <c r="BC103" t="s" s="0">
        <v>81</v>
      </c>
      <c r="BD103" t="s" s="0">
        <v>81</v>
      </c>
      <c r="BE103" t="s" s="0">
        <v>81</v>
      </c>
      <c r="BF103" t="s" s="0">
        <v>81</v>
      </c>
      <c r="BG103" t="s" s="0">
        <v>81</v>
      </c>
      <c r="BH103" t="s" s="0">
        <v>81</v>
      </c>
      <c r="BI103" t="s" s="0">
        <v>2432</v>
      </c>
      <c r="BJ103" t="s" s="0">
        <v>2433</v>
      </c>
      <c r="BK103" t="s" s="203">
        <f>HYPERLINK("http://dx.doi.org/10.1016/j.trac.2026.119037","http://dx.doi.org/10.1016/j.trac.2026.119037")</f>
        <v>2434</v>
      </c>
      <c r="BL103" t="s" s="0">
        <v>81</v>
      </c>
      <c r="BM103" t="s" s="0">
        <v>81</v>
      </c>
      <c r="BN103" t="s" s="0">
        <v>413</v>
      </c>
      <c r="BO103" t="s" s="0">
        <v>1427</v>
      </c>
      <c r="BP103" t="s" s="0">
        <v>1328</v>
      </c>
      <c r="BQ103" t="s" s="0">
        <v>2435</v>
      </c>
      <c r="BR103" t="s" s="0">
        <v>81</v>
      </c>
      <c r="BS103" t="s" s="0">
        <v>2436</v>
      </c>
      <c r="BT103" t="s" s="204">
        <f>HYPERLINK("https://www.webofscience.com/wos/woscc/full-record/WOS:001829285100001","View Record in Web of Science")</f>
        <v>118</v>
      </c>
      <c r="BU103" t="s" s="0">
        <v>81</v>
      </c>
      <c r="BV103" t="s" s="0">
        <v>81</v>
      </c>
      <c r="BW103" t="s" s="0">
        <v>81</v>
      </c>
      <c r="BX103" t="s" s="0">
        <v>120</v>
      </c>
    </row>
    <row r="104">
      <c r="A104" t="s" s="0">
        <v>77</v>
      </c>
      <c r="B104" t="s" s="0">
        <v>77</v>
      </c>
      <c r="C104" t="s" s="0">
        <v>77</v>
      </c>
      <c r="D104" t="s" s="0">
        <v>77</v>
      </c>
      <c r="E104" t="s" s="0">
        <v>2437</v>
      </c>
      <c r="F104" t="s" s="0">
        <v>2438</v>
      </c>
      <c r="G104" t="s" s="0">
        <v>2439</v>
      </c>
      <c r="H104" t="s" s="0">
        <v>81</v>
      </c>
      <c r="I104" t="s" s="0">
        <v>82</v>
      </c>
      <c r="J104" t="s" s="0">
        <v>2440</v>
      </c>
      <c r="K104" t="s" s="0">
        <v>2441</v>
      </c>
      <c r="L104" t="s" s="0">
        <v>81</v>
      </c>
      <c r="M104" t="s" s="0">
        <v>81</v>
      </c>
      <c r="N104" t="s" s="0">
        <v>81</v>
      </c>
      <c r="O104" t="s" s="0">
        <v>2442</v>
      </c>
      <c r="P104" t="s" s="0">
        <v>2443</v>
      </c>
      <c r="Q104" t="s" s="0">
        <v>90</v>
      </c>
      <c r="R104" t="s" s="0">
        <v>81</v>
      </c>
      <c r="S104" t="s" s="0">
        <v>81</v>
      </c>
      <c r="T104" t="s" s="0">
        <v>81</v>
      </c>
      <c r="U104" t="s" s="0">
        <v>81</v>
      </c>
      <c r="V104" t="s" s="0">
        <v>2444</v>
      </c>
      <c r="W104" t="s" s="0">
        <v>2445</v>
      </c>
      <c r="X104" t="s" s="0">
        <v>81</v>
      </c>
      <c r="Y104" t="s" s="0">
        <v>81</v>
      </c>
      <c r="Z104" t="s" s="0">
        <v>93</v>
      </c>
      <c r="AA104" t="s" s="0">
        <v>94</v>
      </c>
      <c r="AB104" t="s" s="0">
        <v>81</v>
      </c>
      <c r="AC104" t="s" s="0">
        <v>81</v>
      </c>
      <c r="AD104" t="s" s="0">
        <v>81</v>
      </c>
      <c r="AE104" t="s" s="0">
        <v>81</v>
      </c>
      <c r="AF104" t="s" s="0">
        <v>81</v>
      </c>
      <c r="AG104" t="s" s="0">
        <v>2446</v>
      </c>
      <c r="AH104" t="s" s="0">
        <v>2447</v>
      </c>
      <c r="AI104" t="s" s="0">
        <v>2448</v>
      </c>
      <c r="AJ104" t="s" s="0">
        <v>81</v>
      </c>
      <c r="AK104" t="s" s="0">
        <v>81</v>
      </c>
      <c r="AL104" t="s" s="0">
        <v>193</v>
      </c>
      <c r="AM104" t="s" s="0">
        <v>77</v>
      </c>
      <c r="AN104" t="s" s="0">
        <v>77</v>
      </c>
      <c r="AO104" t="s" s="0">
        <v>77</v>
      </c>
      <c r="AP104" t="s" s="0">
        <v>77</v>
      </c>
      <c r="AQ104" t="s" s="0">
        <v>779</v>
      </c>
      <c r="AR104" t="s" s="0">
        <v>780</v>
      </c>
      <c r="AS104" t="s" s="0">
        <v>781</v>
      </c>
      <c r="AT104" t="s" s="0">
        <v>2449</v>
      </c>
      <c r="AU104" t="s" s="0">
        <v>2450</v>
      </c>
      <c r="AV104" t="s" s="0">
        <v>81</v>
      </c>
      <c r="AW104" t="s" s="0">
        <v>2451</v>
      </c>
      <c r="AX104" t="s" s="0">
        <v>2452</v>
      </c>
      <c r="AY104" t="s" s="0">
        <v>2089</v>
      </c>
      <c r="AZ104" t="s" s="0">
        <v>106</v>
      </c>
      <c r="BA104" t="s" s="0">
        <v>1587</v>
      </c>
      <c r="BB104" t="s" s="0">
        <v>81</v>
      </c>
      <c r="BC104" t="s" s="0">
        <v>81</v>
      </c>
      <c r="BD104" t="s" s="0">
        <v>81</v>
      </c>
      <c r="BE104" t="s" s="0">
        <v>81</v>
      </c>
      <c r="BF104" t="s" s="0">
        <v>81</v>
      </c>
      <c r="BG104" t="s" s="0">
        <v>81</v>
      </c>
      <c r="BH104" t="s" s="0">
        <v>81</v>
      </c>
      <c r="BI104" t="s" s="0">
        <v>2453</v>
      </c>
      <c r="BJ104" t="s" s="0">
        <v>2454</v>
      </c>
      <c r="BK104" t="s" s="205">
        <f>HYPERLINK("http://dx.doi.org/10.1016/j.cie.2026.112230","http://dx.doi.org/10.1016/j.cie.2026.112230")</f>
        <v>2455</v>
      </c>
      <c r="BL104" t="s" s="0">
        <v>81</v>
      </c>
      <c r="BM104" t="s" s="0">
        <v>81</v>
      </c>
      <c r="BN104" t="s" s="0">
        <v>438</v>
      </c>
      <c r="BO104" t="s" s="0">
        <v>2456</v>
      </c>
      <c r="BP104" t="s" s="0">
        <v>279</v>
      </c>
      <c r="BQ104" t="s" s="0">
        <v>2457</v>
      </c>
      <c r="BR104" t="s" s="0">
        <v>81</v>
      </c>
      <c r="BS104" t="s" s="0">
        <v>2458</v>
      </c>
      <c r="BT104" t="s" s="206">
        <f>HYPERLINK("https://www.webofscience.com/wos/woscc/full-record/WOS:001824671500001","View Record in Web of Science")</f>
        <v>118</v>
      </c>
      <c r="BU104" t="s" s="0">
        <v>2459</v>
      </c>
      <c r="BV104" t="s" s="0">
        <v>81</v>
      </c>
      <c r="BW104" t="s" s="0">
        <v>81</v>
      </c>
      <c r="BX104" t="s" s="0">
        <v>120</v>
      </c>
    </row>
    <row r="105">
      <c r="A105" t="s" s="0">
        <v>77</v>
      </c>
      <c r="B105" t="s" s="0">
        <v>77</v>
      </c>
      <c r="C105" t="s" s="0">
        <v>77</v>
      </c>
      <c r="D105" t="s" s="0">
        <v>77</v>
      </c>
      <c r="E105" t="s" s="0">
        <v>2460</v>
      </c>
      <c r="F105" t="s" s="0">
        <v>2461</v>
      </c>
      <c r="G105" t="s" s="0">
        <v>2462</v>
      </c>
      <c r="H105" t="s" s="0">
        <v>81</v>
      </c>
      <c r="I105" t="s" s="0">
        <v>82</v>
      </c>
      <c r="J105" t="s" s="0">
        <v>2463</v>
      </c>
      <c r="K105" t="s" s="0">
        <v>2464</v>
      </c>
      <c r="L105" t="s" s="0">
        <v>2465</v>
      </c>
      <c r="M105" t="s" s="0">
        <v>2466</v>
      </c>
      <c r="N105" t="s" s="0">
        <v>2467</v>
      </c>
      <c r="O105" t="s" s="0">
        <v>2468</v>
      </c>
      <c r="P105" t="s" s="0">
        <v>2469</v>
      </c>
      <c r="Q105" t="s" s="0">
        <v>90</v>
      </c>
      <c r="R105" t="s" s="0">
        <v>81</v>
      </c>
      <c r="S105" t="s" s="0">
        <v>81</v>
      </c>
      <c r="T105" t="s" s="0">
        <v>81</v>
      </c>
      <c r="U105" t="s" s="0">
        <v>81</v>
      </c>
      <c r="V105" t="s" s="0">
        <v>2470</v>
      </c>
      <c r="W105" t="s" s="0">
        <v>2471</v>
      </c>
      <c r="X105" t="s" s="0">
        <v>81</v>
      </c>
      <c r="Y105" t="s" s="0">
        <v>81</v>
      </c>
      <c r="Z105" t="s" s="0">
        <v>93</v>
      </c>
      <c r="AA105" t="s" s="0">
        <v>94</v>
      </c>
      <c r="AB105" t="s" s="0">
        <v>81</v>
      </c>
      <c r="AC105" t="s" s="0">
        <v>81</v>
      </c>
      <c r="AD105" t="s" s="0">
        <v>81</v>
      </c>
      <c r="AE105" t="s" s="0">
        <v>81</v>
      </c>
      <c r="AF105" t="s" s="0">
        <v>81</v>
      </c>
      <c r="AG105" t="s" s="0">
        <v>2472</v>
      </c>
      <c r="AH105" t="s" s="0">
        <v>2473</v>
      </c>
      <c r="AI105" t="s" s="0">
        <v>2474</v>
      </c>
      <c r="AJ105" t="s" s="0">
        <v>81</v>
      </c>
      <c r="AK105" t="s" s="0">
        <v>81</v>
      </c>
      <c r="AL105" t="s" s="0">
        <v>2475</v>
      </c>
      <c r="AM105" t="s" s="0">
        <v>77</v>
      </c>
      <c r="AN105" t="s" s="0">
        <v>77</v>
      </c>
      <c r="AO105" t="s" s="0">
        <v>77</v>
      </c>
      <c r="AP105" t="s" s="0">
        <v>77</v>
      </c>
      <c r="AQ105" t="s" s="0">
        <v>779</v>
      </c>
      <c r="AR105" t="s" s="0">
        <v>780</v>
      </c>
      <c r="AS105" t="s" s="0">
        <v>781</v>
      </c>
      <c r="AT105" t="s" s="0">
        <v>2476</v>
      </c>
      <c r="AU105" t="s" s="0">
        <v>2477</v>
      </c>
      <c r="AV105" t="s" s="0">
        <v>81</v>
      </c>
      <c r="AW105" t="s" s="0">
        <v>2478</v>
      </c>
      <c r="AX105" t="s" s="0">
        <v>2479</v>
      </c>
      <c r="AY105" t="s" s="0">
        <v>2480</v>
      </c>
      <c r="AZ105" t="s" s="0">
        <v>106</v>
      </c>
      <c r="BA105" t="s" s="0">
        <v>110</v>
      </c>
      <c r="BB105" t="s" s="0">
        <v>81</v>
      </c>
      <c r="BC105" t="s" s="0">
        <v>81</v>
      </c>
      <c r="BD105" t="s" s="0">
        <v>720</v>
      </c>
      <c r="BE105" t="s" s="0">
        <v>81</v>
      </c>
      <c r="BF105" t="s" s="0">
        <v>81</v>
      </c>
      <c r="BG105" t="s" s="0">
        <v>81</v>
      </c>
      <c r="BH105" t="s" s="0">
        <v>81</v>
      </c>
      <c r="BI105" t="s" s="0">
        <v>2481</v>
      </c>
      <c r="BJ105" t="s" s="0">
        <v>2482</v>
      </c>
      <c r="BK105" t="s" s="207">
        <f>HYPERLINK("http://dx.doi.org/10.1016/j.engappai.2026.115647","http://dx.doi.org/10.1016/j.engappai.2026.115647")</f>
        <v>2483</v>
      </c>
      <c r="BL105" t="s" s="0">
        <v>81</v>
      </c>
      <c r="BM105" t="s" s="0">
        <v>81</v>
      </c>
      <c r="BN105" t="s" s="0">
        <v>438</v>
      </c>
      <c r="BO105" t="s" s="0">
        <v>2484</v>
      </c>
      <c r="BP105" t="s" s="0">
        <v>2485</v>
      </c>
      <c r="BQ105" t="s" s="0">
        <v>2486</v>
      </c>
      <c r="BR105" t="s" s="0">
        <v>81</v>
      </c>
      <c r="BS105" t="s" s="0">
        <v>2487</v>
      </c>
      <c r="BT105" t="s" s="208">
        <f>HYPERLINK("https://www.webofscience.com/wos/woscc/full-record/WOS:001824749800001","View Record in Web of Science")</f>
        <v>118</v>
      </c>
      <c r="BU105" t="s" s="0">
        <v>81</v>
      </c>
      <c r="BV105" t="s" s="0">
        <v>81</v>
      </c>
      <c r="BW105" t="s" s="0">
        <v>81</v>
      </c>
      <c r="BX105" t="s" s="0">
        <v>120</v>
      </c>
    </row>
    <row r="106">
      <c r="A106" t="s" s="0">
        <v>77</v>
      </c>
      <c r="B106" t="s" s="0">
        <v>77</v>
      </c>
      <c r="C106" t="s" s="0">
        <v>77</v>
      </c>
      <c r="D106" t="s" s="0">
        <v>77</v>
      </c>
      <c r="E106" t="s" s="0">
        <v>2488</v>
      </c>
      <c r="F106" t="s" s="0">
        <v>2489</v>
      </c>
      <c r="G106" t="s" s="0">
        <v>2490</v>
      </c>
      <c r="H106" t="s" s="0">
        <v>81</v>
      </c>
      <c r="I106" t="s" s="0">
        <v>82</v>
      </c>
      <c r="J106" t="s" s="0">
        <v>2491</v>
      </c>
      <c r="K106" t="s" s="0">
        <v>2492</v>
      </c>
      <c r="L106" t="s" s="0">
        <v>2493</v>
      </c>
      <c r="M106" t="s" s="0">
        <v>2494</v>
      </c>
      <c r="N106" t="s" s="0">
        <v>2495</v>
      </c>
      <c r="O106" t="s" s="0">
        <v>2496</v>
      </c>
      <c r="P106" t="s" s="0">
        <v>2497</v>
      </c>
      <c r="Q106" t="s" s="0">
        <v>90</v>
      </c>
      <c r="R106" t="s" s="0">
        <v>81</v>
      </c>
      <c r="S106" t="s" s="0">
        <v>81</v>
      </c>
      <c r="T106" t="s" s="0">
        <v>81</v>
      </c>
      <c r="U106" t="s" s="0">
        <v>81</v>
      </c>
      <c r="V106" t="s" s="0">
        <v>2498</v>
      </c>
      <c r="W106" t="s" s="0">
        <v>2499</v>
      </c>
      <c r="X106" t="s" s="0">
        <v>81</v>
      </c>
      <c r="Y106" t="s" s="0">
        <v>81</v>
      </c>
      <c r="Z106" t="s" s="0">
        <v>93</v>
      </c>
      <c r="AA106" t="s" s="0">
        <v>94</v>
      </c>
      <c r="AB106" t="s" s="0">
        <v>81</v>
      </c>
      <c r="AC106" t="s" s="0">
        <v>81</v>
      </c>
      <c r="AD106" t="s" s="0">
        <v>81</v>
      </c>
      <c r="AE106" t="s" s="0">
        <v>81</v>
      </c>
      <c r="AF106" t="s" s="0">
        <v>81</v>
      </c>
      <c r="AG106" t="s" s="0">
        <v>2500</v>
      </c>
      <c r="AH106" t="s" s="0">
        <v>2501</v>
      </c>
      <c r="AI106" t="s" s="0">
        <v>2502</v>
      </c>
      <c r="AJ106" t="s" s="0">
        <v>81</v>
      </c>
      <c r="AK106" t="s" s="0">
        <v>81</v>
      </c>
      <c r="AL106" t="s" s="0">
        <v>269</v>
      </c>
      <c r="AM106" t="s" s="0">
        <v>484</v>
      </c>
      <c r="AN106" t="s" s="0">
        <v>484</v>
      </c>
      <c r="AO106" t="s" s="0">
        <v>77</v>
      </c>
      <c r="AP106" t="s" s="0">
        <v>77</v>
      </c>
      <c r="AQ106" t="s" s="0">
        <v>2503</v>
      </c>
      <c r="AR106" t="s" s="0">
        <v>2109</v>
      </c>
      <c r="AS106" t="s" s="0">
        <v>2504</v>
      </c>
      <c r="AT106" t="s" s="0">
        <v>2505</v>
      </c>
      <c r="AU106" t="s" s="0">
        <v>2506</v>
      </c>
      <c r="AV106" t="s" s="0">
        <v>81</v>
      </c>
      <c r="AW106" t="s" s="0">
        <v>2507</v>
      </c>
      <c r="AX106" t="s" s="0">
        <v>2508</v>
      </c>
      <c r="AY106" t="s" s="0">
        <v>2089</v>
      </c>
      <c r="AZ106" t="s" s="0">
        <v>106</v>
      </c>
      <c r="BA106" t="s" s="0">
        <v>2509</v>
      </c>
      <c r="BB106" t="s" s="0">
        <v>81</v>
      </c>
      <c r="BC106" t="s" s="0">
        <v>81</v>
      </c>
      <c r="BD106" t="s" s="0">
        <v>81</v>
      </c>
      <c r="BE106" t="s" s="0">
        <v>81</v>
      </c>
      <c r="BF106" t="s" s="0">
        <v>81</v>
      </c>
      <c r="BG106" t="s" s="0">
        <v>81</v>
      </c>
      <c r="BH106" t="s" s="0">
        <v>81</v>
      </c>
      <c r="BI106" t="s" s="0">
        <v>2510</v>
      </c>
      <c r="BJ106" t="s" s="0">
        <v>2511</v>
      </c>
      <c r="BK106" t="s" s="209">
        <f>HYPERLINK("http://dx.doi.org/10.1016/j.smrv.2026.102308","http://dx.doi.org/10.1016/j.smrv.2026.102308")</f>
        <v>2512</v>
      </c>
      <c r="BL106" t="s" s="0">
        <v>81</v>
      </c>
      <c r="BM106" t="s" s="0">
        <v>81</v>
      </c>
      <c r="BN106" t="s" s="0">
        <v>197</v>
      </c>
      <c r="BO106" t="s" s="0">
        <v>1890</v>
      </c>
      <c r="BP106" t="s" s="0">
        <v>146</v>
      </c>
      <c r="BQ106" t="s" s="0">
        <v>2513</v>
      </c>
      <c r="BR106" t="s" s="0">
        <v>2514</v>
      </c>
      <c r="BS106" t="s" s="0">
        <v>2515</v>
      </c>
      <c r="BT106" t="s" s="210">
        <f>HYPERLINK("https://www.webofscience.com/wos/woscc/full-record/WOS:001807960400001","View Record in Web of Science")</f>
        <v>118</v>
      </c>
      <c r="BU106" t="s" s="0">
        <v>877</v>
      </c>
      <c r="BV106" t="s" s="0">
        <v>81</v>
      </c>
      <c r="BW106" t="s" s="0">
        <v>81</v>
      </c>
      <c r="BX106" t="s" s="0">
        <v>120</v>
      </c>
    </row>
    <row r="107">
      <c r="A107" t="s" s="0">
        <v>77</v>
      </c>
      <c r="B107" t="s" s="0">
        <v>77</v>
      </c>
      <c r="C107" t="s" s="0">
        <v>77</v>
      </c>
      <c r="D107" t="s" s="0">
        <v>77</v>
      </c>
      <c r="E107" t="s" s="0">
        <v>2516</v>
      </c>
      <c r="F107" t="s" s="0">
        <v>2517</v>
      </c>
      <c r="G107" t="s" s="0">
        <v>2518</v>
      </c>
      <c r="H107" t="s" s="0">
        <v>81</v>
      </c>
      <c r="I107" t="s" s="0">
        <v>82</v>
      </c>
      <c r="J107" t="s" s="0">
        <v>2519</v>
      </c>
      <c r="K107" t="s" s="0">
        <v>2520</v>
      </c>
      <c r="L107" t="s" s="0">
        <v>2521</v>
      </c>
      <c r="M107" t="s" s="0">
        <v>2522</v>
      </c>
      <c r="N107" t="s" s="0">
        <v>2523</v>
      </c>
      <c r="O107" t="s" s="0">
        <v>2524</v>
      </c>
      <c r="P107" t="s" s="0">
        <v>2525</v>
      </c>
      <c r="Q107" t="s" s="0">
        <v>90</v>
      </c>
      <c r="R107" t="s" s="0">
        <v>81</v>
      </c>
      <c r="S107" t="s" s="0">
        <v>81</v>
      </c>
      <c r="T107" t="s" s="0">
        <v>81</v>
      </c>
      <c r="U107" t="s" s="0">
        <v>81</v>
      </c>
      <c r="V107" t="s" s="0">
        <v>2526</v>
      </c>
      <c r="W107" t="s" s="0">
        <v>2527</v>
      </c>
      <c r="X107" t="s" s="0">
        <v>81</v>
      </c>
      <c r="Y107" t="s" s="0">
        <v>81</v>
      </c>
      <c r="Z107" t="s" s="0">
        <v>93</v>
      </c>
      <c r="AA107" t="s" s="0">
        <v>94</v>
      </c>
      <c r="AB107" t="s" s="0">
        <v>81</v>
      </c>
      <c r="AC107" t="s" s="0">
        <v>81</v>
      </c>
      <c r="AD107" t="s" s="0">
        <v>81</v>
      </c>
      <c r="AE107" t="s" s="0">
        <v>81</v>
      </c>
      <c r="AF107" t="s" s="0">
        <v>81</v>
      </c>
      <c r="AG107" t="s" s="0">
        <v>2528</v>
      </c>
      <c r="AH107" t="s" s="0">
        <v>81</v>
      </c>
      <c r="AI107" t="s" s="0">
        <v>81</v>
      </c>
      <c r="AJ107" t="s" s="0">
        <v>81</v>
      </c>
      <c r="AK107" t="s" s="0">
        <v>81</v>
      </c>
      <c r="AL107" t="s" s="0">
        <v>2529</v>
      </c>
      <c r="AM107" t="s" s="0">
        <v>77</v>
      </c>
      <c r="AN107" t="s" s="0">
        <v>77</v>
      </c>
      <c r="AO107" t="s" s="0">
        <v>108</v>
      </c>
      <c r="AP107" t="s" s="0">
        <v>108</v>
      </c>
      <c r="AQ107" t="s" s="0">
        <v>1103</v>
      </c>
      <c r="AR107" t="s" s="0">
        <v>1104</v>
      </c>
      <c r="AS107" t="s" s="0">
        <v>1105</v>
      </c>
      <c r="AT107" t="s" s="0">
        <v>2530</v>
      </c>
      <c r="AU107" t="s" s="0">
        <v>2531</v>
      </c>
      <c r="AV107" t="s" s="0">
        <v>81</v>
      </c>
      <c r="AW107" t="s" s="0">
        <v>2532</v>
      </c>
      <c r="AX107" t="s" s="0">
        <v>2533</v>
      </c>
      <c r="AY107" t="s" s="0">
        <v>2089</v>
      </c>
      <c r="AZ107" t="s" s="0">
        <v>106</v>
      </c>
      <c r="BA107" t="s" s="0">
        <v>2534</v>
      </c>
      <c r="BB107" t="s" s="0">
        <v>81</v>
      </c>
      <c r="BC107" t="s" s="0">
        <v>81</v>
      </c>
      <c r="BD107" t="s" s="0">
        <v>81</v>
      </c>
      <c r="BE107" t="s" s="0">
        <v>81</v>
      </c>
      <c r="BF107" t="s" s="0">
        <v>81</v>
      </c>
      <c r="BG107" t="s" s="0">
        <v>81</v>
      </c>
      <c r="BH107" t="s" s="0">
        <v>81</v>
      </c>
      <c r="BI107" t="s" s="0">
        <v>2535</v>
      </c>
      <c r="BJ107" t="s" s="0">
        <v>2536</v>
      </c>
      <c r="BK107" t="s" s="211">
        <f>HYPERLINK("http://dx.doi.org/10.1016/j.critrevonc.2026.105433","http://dx.doi.org/10.1016/j.critrevonc.2026.105433")</f>
        <v>2537</v>
      </c>
      <c r="BL107" t="s" s="0">
        <v>81</v>
      </c>
      <c r="BM107" t="s" s="0">
        <v>81</v>
      </c>
      <c r="BN107" t="s" s="0">
        <v>197</v>
      </c>
      <c r="BO107" t="s" s="0">
        <v>2538</v>
      </c>
      <c r="BP107" t="s" s="0">
        <v>2538</v>
      </c>
      <c r="BQ107" t="s" s="0">
        <v>2539</v>
      </c>
      <c r="BR107" t="s" s="0">
        <v>2540</v>
      </c>
      <c r="BS107" t="s" s="0">
        <v>2541</v>
      </c>
      <c r="BT107" t="s" s="212">
        <f>HYPERLINK("https://www.webofscience.com/wos/woscc/full-record/WOS:001801979800001","View Record in Web of Science")</f>
        <v>118</v>
      </c>
      <c r="BU107" t="s" s="0">
        <v>81</v>
      </c>
      <c r="BV107" t="s" s="0">
        <v>81</v>
      </c>
      <c r="BW107" t="s" s="0">
        <v>81</v>
      </c>
      <c r="BX107" t="s" s="0">
        <v>120</v>
      </c>
    </row>
    <row r="108">
      <c r="A108" t="s" s="0">
        <v>77</v>
      </c>
      <c r="B108" t="s" s="0">
        <v>77</v>
      </c>
      <c r="C108" t="s" s="0">
        <v>77</v>
      </c>
      <c r="D108" t="s" s="0">
        <v>77</v>
      </c>
      <c r="E108" t="s" s="0">
        <v>2542</v>
      </c>
      <c r="F108" t="s" s="0">
        <v>2543</v>
      </c>
      <c r="G108" t="s" s="0">
        <v>2544</v>
      </c>
      <c r="H108" t="s" s="0">
        <v>81</v>
      </c>
      <c r="I108" t="s" s="0">
        <v>82</v>
      </c>
      <c r="J108" t="s" s="0">
        <v>2545</v>
      </c>
      <c r="K108" t="s" s="0">
        <v>2546</v>
      </c>
      <c r="L108" t="s" s="0">
        <v>81</v>
      </c>
      <c r="M108" t="s" s="0">
        <v>81</v>
      </c>
      <c r="N108" t="s" s="0">
        <v>81</v>
      </c>
      <c r="O108" t="s" s="0">
        <v>2547</v>
      </c>
      <c r="P108" t="s" s="0">
        <v>2548</v>
      </c>
      <c r="Q108" t="s" s="0">
        <v>90</v>
      </c>
      <c r="R108" t="s" s="0">
        <v>81</v>
      </c>
      <c r="S108" t="s" s="0">
        <v>81</v>
      </c>
      <c r="T108" t="s" s="0">
        <v>81</v>
      </c>
      <c r="U108" t="s" s="0">
        <v>81</v>
      </c>
      <c r="V108" t="s" s="0">
        <v>2549</v>
      </c>
      <c r="W108" t="s" s="0">
        <v>1220</v>
      </c>
      <c r="X108" t="s" s="0">
        <v>81</v>
      </c>
      <c r="Y108" t="s" s="0">
        <v>81</v>
      </c>
      <c r="Z108" t="s" s="0">
        <v>93</v>
      </c>
      <c r="AA108" t="s" s="0">
        <v>94</v>
      </c>
      <c r="AB108" t="s" s="0">
        <v>81</v>
      </c>
      <c r="AC108" t="s" s="0">
        <v>81</v>
      </c>
      <c r="AD108" t="s" s="0">
        <v>81</v>
      </c>
      <c r="AE108" t="s" s="0">
        <v>81</v>
      </c>
      <c r="AF108" t="s" s="0">
        <v>81</v>
      </c>
      <c r="AG108" t="s" s="0">
        <v>2550</v>
      </c>
      <c r="AH108" t="s" s="0">
        <v>2551</v>
      </c>
      <c r="AI108" t="s" s="0">
        <v>81</v>
      </c>
      <c r="AJ108" t="s" s="0">
        <v>81</v>
      </c>
      <c r="AK108" t="s" s="0">
        <v>81</v>
      </c>
      <c r="AL108" t="s" s="0">
        <v>489</v>
      </c>
      <c r="AM108" t="s" s="0">
        <v>77</v>
      </c>
      <c r="AN108" t="s" s="0">
        <v>77</v>
      </c>
      <c r="AO108" t="s" s="0">
        <v>484</v>
      </c>
      <c r="AP108" t="s" s="0">
        <v>484</v>
      </c>
      <c r="AQ108" t="s" s="0">
        <v>1224</v>
      </c>
      <c r="AR108" t="s" s="0">
        <v>1225</v>
      </c>
      <c r="AS108" t="s" s="0">
        <v>1226</v>
      </c>
      <c r="AT108" t="s" s="0">
        <v>1227</v>
      </c>
      <c r="AU108" t="s" s="0">
        <v>1228</v>
      </c>
      <c r="AV108" t="s" s="0">
        <v>81</v>
      </c>
      <c r="AW108" t="s" s="0">
        <v>1229</v>
      </c>
      <c r="AX108" t="s" s="0">
        <v>1230</v>
      </c>
      <c r="AY108" t="s" s="0">
        <v>2089</v>
      </c>
      <c r="AZ108" t="s" s="0">
        <v>106</v>
      </c>
      <c r="BA108" t="s" s="0">
        <v>2552</v>
      </c>
      <c r="BB108" t="s" s="0">
        <v>81</v>
      </c>
      <c r="BC108" t="s" s="0">
        <v>81</v>
      </c>
      <c r="BD108" t="s" s="0">
        <v>81</v>
      </c>
      <c r="BE108" t="s" s="0">
        <v>81</v>
      </c>
      <c r="BF108" t="s" s="0">
        <v>81</v>
      </c>
      <c r="BG108" t="s" s="0">
        <v>81</v>
      </c>
      <c r="BH108" t="s" s="0">
        <v>81</v>
      </c>
      <c r="BI108" t="s" s="0">
        <v>2553</v>
      </c>
      <c r="BJ108" t="s" s="0">
        <v>2554</v>
      </c>
      <c r="BK108" t="s" s="213">
        <f>HYPERLINK("http://dx.doi.org/10.1016/j.ijmedinf.2026.106526","http://dx.doi.org/10.1016/j.ijmedinf.2026.106526")</f>
        <v>2555</v>
      </c>
      <c r="BL108" t="s" s="0">
        <v>81</v>
      </c>
      <c r="BM108" t="s" s="0">
        <v>81</v>
      </c>
      <c r="BN108" t="s" s="0">
        <v>387</v>
      </c>
      <c r="BO108" t="s" s="0">
        <v>1237</v>
      </c>
      <c r="BP108" t="s" s="0">
        <v>1238</v>
      </c>
      <c r="BQ108" t="s" s="0">
        <v>2556</v>
      </c>
      <c r="BR108" t="s" s="0">
        <v>2557</v>
      </c>
      <c r="BS108" t="s" s="0">
        <v>2558</v>
      </c>
      <c r="BT108" t="s" s="214">
        <f>HYPERLINK("https://www.webofscience.com/wos/woscc/full-record/WOS:001800341600001","View Record in Web of Science")</f>
        <v>118</v>
      </c>
      <c r="BU108" t="s" s="0">
        <v>81</v>
      </c>
      <c r="BV108" t="s" s="0">
        <v>81</v>
      </c>
      <c r="BW108" t="s" s="0">
        <v>81</v>
      </c>
      <c r="BX108" t="s" s="0">
        <v>120</v>
      </c>
    </row>
    <row r="109">
      <c r="A109" t="s" s="0">
        <v>77</v>
      </c>
      <c r="B109" t="s" s="0">
        <v>77</v>
      </c>
      <c r="C109" t="s" s="0">
        <v>77</v>
      </c>
      <c r="D109" t="s" s="0">
        <v>77</v>
      </c>
      <c r="E109" t="s" s="0">
        <v>2559</v>
      </c>
      <c r="F109" t="s" s="0">
        <v>2560</v>
      </c>
      <c r="G109" t="s" s="0">
        <v>2561</v>
      </c>
      <c r="H109" t="s" s="0">
        <v>81</v>
      </c>
      <c r="I109" t="s" s="0">
        <v>82</v>
      </c>
      <c r="J109" t="s" s="0">
        <v>2562</v>
      </c>
      <c r="K109" t="s" s="0">
        <v>2563</v>
      </c>
      <c r="L109" t="s" s="0">
        <v>81</v>
      </c>
      <c r="M109" t="s" s="0">
        <v>81</v>
      </c>
      <c r="N109" t="s" s="0">
        <v>81</v>
      </c>
      <c r="O109" t="s" s="0">
        <v>2564</v>
      </c>
      <c r="P109" t="s" s="0">
        <v>2565</v>
      </c>
      <c r="Q109" t="s" s="0">
        <v>90</v>
      </c>
      <c r="R109" t="s" s="0">
        <v>81</v>
      </c>
      <c r="S109" t="s" s="0">
        <v>81</v>
      </c>
      <c r="T109" t="s" s="0">
        <v>81</v>
      </c>
      <c r="U109" t="s" s="0">
        <v>81</v>
      </c>
      <c r="V109" t="s" s="0">
        <v>2566</v>
      </c>
      <c r="W109" t="s" s="0">
        <v>1814</v>
      </c>
      <c r="X109" t="s" s="0">
        <v>81</v>
      </c>
      <c r="Y109" t="s" s="0">
        <v>81</v>
      </c>
      <c r="Z109" t="s" s="0">
        <v>93</v>
      </c>
      <c r="AA109" t="s" s="0">
        <v>94</v>
      </c>
      <c r="AB109" t="s" s="0">
        <v>81</v>
      </c>
      <c r="AC109" t="s" s="0">
        <v>81</v>
      </c>
      <c r="AD109" t="s" s="0">
        <v>81</v>
      </c>
      <c r="AE109" t="s" s="0">
        <v>81</v>
      </c>
      <c r="AF109" t="s" s="0">
        <v>81</v>
      </c>
      <c r="AG109" t="s" s="0">
        <v>2567</v>
      </c>
      <c r="AH109" t="s" s="0">
        <v>2568</v>
      </c>
      <c r="AI109" t="s" s="0">
        <v>2569</v>
      </c>
      <c r="AJ109" t="s" s="0">
        <v>81</v>
      </c>
      <c r="AK109" t="s" s="0">
        <v>81</v>
      </c>
      <c r="AL109" t="s" s="0">
        <v>1061</v>
      </c>
      <c r="AM109" t="s" s="0">
        <v>77</v>
      </c>
      <c r="AN109" t="s" s="0">
        <v>77</v>
      </c>
      <c r="AO109" t="s" s="0">
        <v>108</v>
      </c>
      <c r="AP109" t="s" s="0">
        <v>108</v>
      </c>
      <c r="AQ109" t="s" s="0">
        <v>892</v>
      </c>
      <c r="AR109" t="s" s="0">
        <v>893</v>
      </c>
      <c r="AS109" t="s" s="0">
        <v>894</v>
      </c>
      <c r="AT109" t="s" s="0">
        <v>1818</v>
      </c>
      <c r="AU109" t="s" s="0">
        <v>1819</v>
      </c>
      <c r="AV109" t="s" s="0">
        <v>81</v>
      </c>
      <c r="AW109" t="s" s="0">
        <v>1820</v>
      </c>
      <c r="AX109" t="s" s="0">
        <v>1821</v>
      </c>
      <c r="AY109" t="s" s="0">
        <v>2089</v>
      </c>
      <c r="AZ109" t="s" s="0">
        <v>106</v>
      </c>
      <c r="BA109" t="s" s="0">
        <v>2570</v>
      </c>
      <c r="BB109" t="s" s="0">
        <v>81</v>
      </c>
      <c r="BC109" t="s" s="0">
        <v>81</v>
      </c>
      <c r="BD109" t="s" s="0">
        <v>81</v>
      </c>
      <c r="BE109" t="s" s="0">
        <v>81</v>
      </c>
      <c r="BF109" t="s" s="0">
        <v>81</v>
      </c>
      <c r="BG109" t="s" s="0">
        <v>81</v>
      </c>
      <c r="BH109" t="s" s="0">
        <v>81</v>
      </c>
      <c r="BI109" t="s" s="0">
        <v>2571</v>
      </c>
      <c r="BJ109" t="s" s="0">
        <v>2572</v>
      </c>
      <c r="BK109" t="s" s="215">
        <f>HYPERLINK("http://dx.doi.org/10.1016/j.jddst.2026.108587","http://dx.doi.org/10.1016/j.jddst.2026.108587")</f>
        <v>2573</v>
      </c>
      <c r="BL109" t="s" s="0">
        <v>81</v>
      </c>
      <c r="BM109" t="s" s="0">
        <v>81</v>
      </c>
      <c r="BN109" t="s" s="0">
        <v>113</v>
      </c>
      <c r="BO109" t="s" s="0">
        <v>173</v>
      </c>
      <c r="BP109" t="s" s="0">
        <v>173</v>
      </c>
      <c r="BQ109" t="s" s="0">
        <v>2574</v>
      </c>
      <c r="BR109" t="s" s="0">
        <v>81</v>
      </c>
      <c r="BS109" t="s" s="0">
        <v>2575</v>
      </c>
      <c r="BT109" t="s" s="216">
        <f>HYPERLINK("https://www.webofscience.com/wos/woscc/full-record/WOS:001799942600001","View Record in Web of Science")</f>
        <v>118</v>
      </c>
      <c r="BU109" t="s" s="0">
        <v>81</v>
      </c>
      <c r="BV109" t="s" s="0">
        <v>81</v>
      </c>
      <c r="BW109" t="s" s="0">
        <v>81</v>
      </c>
      <c r="BX109" t="s" s="0">
        <v>120</v>
      </c>
    </row>
    <row r="110">
      <c r="A110" t="s" s="0">
        <v>77</v>
      </c>
      <c r="B110" t="s" s="0">
        <v>77</v>
      </c>
      <c r="C110" t="s" s="0">
        <v>77</v>
      </c>
      <c r="D110" t="s" s="0">
        <v>77</v>
      </c>
      <c r="E110" t="s" s="0">
        <v>2576</v>
      </c>
      <c r="F110" t="s" s="0">
        <v>2577</v>
      </c>
      <c r="G110" t="s" s="0">
        <v>2578</v>
      </c>
      <c r="H110" t="s" s="0">
        <v>81</v>
      </c>
      <c r="I110" t="s" s="0">
        <v>82</v>
      </c>
      <c r="J110" t="s" s="0">
        <v>2579</v>
      </c>
      <c r="K110" t="s" s="0">
        <v>2580</v>
      </c>
      <c r="L110" t="s" s="0">
        <v>2581</v>
      </c>
      <c r="M110" t="s" s="0">
        <v>2582</v>
      </c>
      <c r="N110" t="s" s="0">
        <v>2583</v>
      </c>
      <c r="O110" t="s" s="0">
        <v>2584</v>
      </c>
      <c r="P110" t="s" s="0">
        <v>2585</v>
      </c>
      <c r="Q110" t="s" s="0">
        <v>90</v>
      </c>
      <c r="R110" t="s" s="0">
        <v>81</v>
      </c>
      <c r="S110" t="s" s="0">
        <v>81</v>
      </c>
      <c r="T110" t="s" s="0">
        <v>81</v>
      </c>
      <c r="U110" t="s" s="0">
        <v>81</v>
      </c>
      <c r="V110" t="s" s="0">
        <v>2586</v>
      </c>
      <c r="W110" t="s" s="0">
        <v>2587</v>
      </c>
      <c r="X110" t="s" s="0">
        <v>81</v>
      </c>
      <c r="Y110" t="s" s="0">
        <v>81</v>
      </c>
      <c r="Z110" t="s" s="0">
        <v>93</v>
      </c>
      <c r="AA110" t="s" s="0">
        <v>94</v>
      </c>
      <c r="AB110" t="s" s="0">
        <v>81</v>
      </c>
      <c r="AC110" t="s" s="0">
        <v>81</v>
      </c>
      <c r="AD110" t="s" s="0">
        <v>81</v>
      </c>
      <c r="AE110" t="s" s="0">
        <v>81</v>
      </c>
      <c r="AF110" t="s" s="0">
        <v>81</v>
      </c>
      <c r="AG110" t="s" s="0">
        <v>2588</v>
      </c>
      <c r="AH110" t="s" s="0">
        <v>2589</v>
      </c>
      <c r="AI110" t="s" s="0">
        <v>2590</v>
      </c>
      <c r="AJ110" t="s" s="0">
        <v>81</v>
      </c>
      <c r="AK110" t="s" s="0">
        <v>81</v>
      </c>
      <c r="AL110" t="s" s="0">
        <v>2591</v>
      </c>
      <c r="AM110" t="s" s="0">
        <v>77</v>
      </c>
      <c r="AN110" t="s" s="0">
        <v>77</v>
      </c>
      <c r="AO110" t="s" s="0">
        <v>340</v>
      </c>
      <c r="AP110" t="s" s="0">
        <v>340</v>
      </c>
      <c r="AQ110" t="s" s="0">
        <v>836</v>
      </c>
      <c r="AR110" t="s" s="0">
        <v>837</v>
      </c>
      <c r="AS110" t="s" s="0">
        <v>838</v>
      </c>
      <c r="AT110" t="s" s="0">
        <v>2592</v>
      </c>
      <c r="AU110" t="s" s="0">
        <v>2593</v>
      </c>
      <c r="AV110" t="s" s="0">
        <v>81</v>
      </c>
      <c r="AW110" t="s" s="0">
        <v>2594</v>
      </c>
      <c r="AX110" t="s" s="0">
        <v>2595</v>
      </c>
      <c r="AY110" t="s" s="0">
        <v>2089</v>
      </c>
      <c r="AZ110" t="s" s="0">
        <v>106</v>
      </c>
      <c r="BA110" t="s" s="0">
        <v>113</v>
      </c>
      <c r="BB110" t="s" s="0">
        <v>720</v>
      </c>
      <c r="BC110" t="s" s="0">
        <v>81</v>
      </c>
      <c r="BD110" t="s" s="0">
        <v>81</v>
      </c>
      <c r="BE110" t="s" s="0">
        <v>81</v>
      </c>
      <c r="BF110" t="s" s="0">
        <v>81</v>
      </c>
      <c r="BG110" t="s" s="0">
        <v>81</v>
      </c>
      <c r="BH110" t="s" s="0">
        <v>81</v>
      </c>
      <c r="BI110" t="s" s="0">
        <v>2596</v>
      </c>
      <c r="BJ110" t="s" s="0">
        <v>2597</v>
      </c>
      <c r="BK110" t="s" s="217">
        <f>HYPERLINK("http://dx.doi.org/10.1016/j.jece.2026.123531","http://dx.doi.org/10.1016/j.jece.2026.123531")</f>
        <v>2598</v>
      </c>
      <c r="BL110" t="s" s="0">
        <v>81</v>
      </c>
      <c r="BM110" t="s" s="0">
        <v>81</v>
      </c>
      <c r="BN110" t="s" s="0">
        <v>1933</v>
      </c>
      <c r="BO110" t="s" s="0">
        <v>2599</v>
      </c>
      <c r="BP110" t="s" s="0">
        <v>393</v>
      </c>
      <c r="BQ110" t="s" s="0">
        <v>2600</v>
      </c>
      <c r="BR110" t="s" s="0">
        <v>81</v>
      </c>
      <c r="BS110" t="s" s="0">
        <v>2601</v>
      </c>
      <c r="BT110" t="s" s="218">
        <f>HYPERLINK("https://www.webofscience.com/wos/woscc/full-record/WOS:001798304200001","View Record in Web of Science")</f>
        <v>118</v>
      </c>
      <c r="BU110" t="s" s="0">
        <v>81</v>
      </c>
      <c r="BV110" t="s" s="0">
        <v>81</v>
      </c>
      <c r="BW110" t="s" s="0">
        <v>81</v>
      </c>
      <c r="BX110" t="s" s="0">
        <v>120</v>
      </c>
    </row>
    <row r="111">
      <c r="A111" t="s" s="0">
        <v>77</v>
      </c>
      <c r="B111" t="s" s="0">
        <v>77</v>
      </c>
      <c r="C111" t="s" s="0">
        <v>77</v>
      </c>
      <c r="D111" t="s" s="0">
        <v>77</v>
      </c>
      <c r="E111" t="s" s="0">
        <v>2602</v>
      </c>
      <c r="F111" t="s" s="0">
        <v>2603</v>
      </c>
      <c r="G111" t="s" s="0">
        <v>2604</v>
      </c>
      <c r="H111" t="s" s="0">
        <v>81</v>
      </c>
      <c r="I111" t="s" s="0">
        <v>82</v>
      </c>
      <c r="J111" t="s" s="0">
        <v>2605</v>
      </c>
      <c r="K111" t="s" s="0">
        <v>2606</v>
      </c>
      <c r="L111" t="s" s="0">
        <v>2607</v>
      </c>
      <c r="M111" t="s" s="0">
        <v>2608</v>
      </c>
      <c r="N111" t="s" s="0">
        <v>2609</v>
      </c>
      <c r="O111" t="s" s="0">
        <v>2610</v>
      </c>
      <c r="P111" t="s" s="0">
        <v>2611</v>
      </c>
      <c r="Q111" t="s" s="0">
        <v>90</v>
      </c>
      <c r="R111" t="s" s="0">
        <v>81</v>
      </c>
      <c r="S111" t="s" s="0">
        <v>81</v>
      </c>
      <c r="T111" t="s" s="0">
        <v>81</v>
      </c>
      <c r="U111" t="s" s="0">
        <v>81</v>
      </c>
      <c r="V111" t="s" s="0">
        <v>2612</v>
      </c>
      <c r="W111" t="s" s="0">
        <v>1437</v>
      </c>
      <c r="X111" t="s" s="0">
        <v>81</v>
      </c>
      <c r="Y111" t="s" s="0">
        <v>81</v>
      </c>
      <c r="Z111" t="s" s="0">
        <v>93</v>
      </c>
      <c r="AA111" t="s" s="0">
        <v>94</v>
      </c>
      <c r="AB111" t="s" s="0">
        <v>81</v>
      </c>
      <c r="AC111" t="s" s="0">
        <v>81</v>
      </c>
      <c r="AD111" t="s" s="0">
        <v>81</v>
      </c>
      <c r="AE111" t="s" s="0">
        <v>81</v>
      </c>
      <c r="AF111" t="s" s="0">
        <v>81</v>
      </c>
      <c r="AG111" t="s" s="0">
        <v>2613</v>
      </c>
      <c r="AH111" t="s" s="0">
        <v>2614</v>
      </c>
      <c r="AI111" t="s" s="0">
        <v>2615</v>
      </c>
      <c r="AJ111" t="s" s="0">
        <v>81</v>
      </c>
      <c r="AK111" t="s" s="0">
        <v>81</v>
      </c>
      <c r="AL111" t="s" s="0">
        <v>1525</v>
      </c>
      <c r="AM111" t="s" s="0">
        <v>77</v>
      </c>
      <c r="AN111" t="s" s="0">
        <v>77</v>
      </c>
      <c r="AO111" t="s" s="0">
        <v>77</v>
      </c>
      <c r="AP111" t="s" s="0">
        <v>77</v>
      </c>
      <c r="AQ111" t="s" s="0">
        <v>892</v>
      </c>
      <c r="AR111" t="s" s="0">
        <v>893</v>
      </c>
      <c r="AS111" t="s" s="0">
        <v>894</v>
      </c>
      <c r="AT111" t="s" s="0">
        <v>1441</v>
      </c>
      <c r="AU111" t="s" s="0">
        <v>1442</v>
      </c>
      <c r="AV111" t="s" s="0">
        <v>81</v>
      </c>
      <c r="AW111" t="s" s="0">
        <v>1443</v>
      </c>
      <c r="AX111" t="s" s="0">
        <v>1444</v>
      </c>
      <c r="AY111" t="s" s="0">
        <v>2089</v>
      </c>
      <c r="AZ111" t="s" s="0">
        <v>106</v>
      </c>
      <c r="BA111" t="s" s="0">
        <v>2616</v>
      </c>
      <c r="BB111" t="s" s="0">
        <v>81</v>
      </c>
      <c r="BC111" t="s" s="0">
        <v>81</v>
      </c>
      <c r="BD111" t="s" s="0">
        <v>81</v>
      </c>
      <c r="BE111" t="s" s="0">
        <v>81</v>
      </c>
      <c r="BF111" t="s" s="0">
        <v>81</v>
      </c>
      <c r="BG111" t="s" s="0">
        <v>81</v>
      </c>
      <c r="BH111" t="s" s="0">
        <v>81</v>
      </c>
      <c r="BI111" t="s" s="0">
        <v>2617</v>
      </c>
      <c r="BJ111" t="s" s="0">
        <v>2618</v>
      </c>
      <c r="BK111" t="s" s="219">
        <f>HYPERLINK("http://dx.doi.org/10.1016/j.artmed.2026.103463","http://dx.doi.org/10.1016/j.artmed.2026.103463")</f>
        <v>2619</v>
      </c>
      <c r="BL111" t="s" s="0">
        <v>81</v>
      </c>
      <c r="BM111" t="s" s="0">
        <v>81</v>
      </c>
      <c r="BN111" t="s" s="0">
        <v>1236</v>
      </c>
      <c r="BO111" t="s" s="0">
        <v>1448</v>
      </c>
      <c r="BP111" t="s" s="0">
        <v>1449</v>
      </c>
      <c r="BQ111" t="s" s="0">
        <v>2620</v>
      </c>
      <c r="BR111" t="s" s="0">
        <v>2621</v>
      </c>
      <c r="BS111" t="s" s="0">
        <v>2622</v>
      </c>
      <c r="BT111" t="s" s="220">
        <f>HYPERLINK("https://www.webofscience.com/wos/woscc/full-record/WOS:001793952500001","View Record in Web of Science")</f>
        <v>118</v>
      </c>
      <c r="BU111" t="s" s="0">
        <v>2623</v>
      </c>
      <c r="BV111" t="s" s="0">
        <v>81</v>
      </c>
      <c r="BW111" t="s" s="0">
        <v>81</v>
      </c>
      <c r="BX111" t="s" s="0">
        <v>120</v>
      </c>
    </row>
    <row r="112">
      <c r="A112" t="s" s="0">
        <v>77</v>
      </c>
      <c r="B112" t="s" s="0">
        <v>77</v>
      </c>
      <c r="C112" t="s" s="0">
        <v>77</v>
      </c>
      <c r="D112" t="s" s="0">
        <v>77</v>
      </c>
      <c r="E112" t="s" s="0">
        <v>2624</v>
      </c>
      <c r="F112" t="s" s="0">
        <v>2625</v>
      </c>
      <c r="G112" t="s" s="0">
        <v>2626</v>
      </c>
      <c r="H112" t="s" s="0">
        <v>81</v>
      </c>
      <c r="I112" t="s" s="0">
        <v>82</v>
      </c>
      <c r="J112" t="s" s="0">
        <v>2627</v>
      </c>
      <c r="K112" t="s" s="0">
        <v>2628</v>
      </c>
      <c r="L112" t="s" s="0">
        <v>2629</v>
      </c>
      <c r="M112" t="s" s="0">
        <v>2630</v>
      </c>
      <c r="N112" t="s" s="0">
        <v>2631</v>
      </c>
      <c r="O112" t="s" s="0">
        <v>2632</v>
      </c>
      <c r="P112" t="s" s="0">
        <v>2633</v>
      </c>
      <c r="Q112" t="s" s="0">
        <v>90</v>
      </c>
      <c r="R112" t="s" s="0">
        <v>81</v>
      </c>
      <c r="S112" t="s" s="0">
        <v>81</v>
      </c>
      <c r="T112" t="s" s="0">
        <v>81</v>
      </c>
      <c r="U112" t="s" s="0">
        <v>81</v>
      </c>
      <c r="V112" t="s" s="0">
        <v>2634</v>
      </c>
      <c r="W112" t="s" s="0">
        <v>2471</v>
      </c>
      <c r="X112" t="s" s="0">
        <v>81</v>
      </c>
      <c r="Y112" t="s" s="0">
        <v>81</v>
      </c>
      <c r="Z112" t="s" s="0">
        <v>93</v>
      </c>
      <c r="AA112" t="s" s="0">
        <v>94</v>
      </c>
      <c r="AB112" t="s" s="0">
        <v>81</v>
      </c>
      <c r="AC112" t="s" s="0">
        <v>81</v>
      </c>
      <c r="AD112" t="s" s="0">
        <v>81</v>
      </c>
      <c r="AE112" t="s" s="0">
        <v>81</v>
      </c>
      <c r="AF112" t="s" s="0">
        <v>81</v>
      </c>
      <c r="AG112" t="s" s="0">
        <v>2635</v>
      </c>
      <c r="AH112" t="s" s="0">
        <v>2636</v>
      </c>
      <c r="AI112" t="s" s="0">
        <v>81</v>
      </c>
      <c r="AJ112" t="s" s="0">
        <v>81</v>
      </c>
      <c r="AK112" t="s" s="0">
        <v>81</v>
      </c>
      <c r="AL112" t="s" s="0">
        <v>1085</v>
      </c>
      <c r="AM112" t="s" s="0">
        <v>77</v>
      </c>
      <c r="AN112" t="s" s="0">
        <v>77</v>
      </c>
      <c r="AO112" t="s" s="0">
        <v>461</v>
      </c>
      <c r="AP112" t="s" s="0">
        <v>461</v>
      </c>
      <c r="AQ112" t="s" s="0">
        <v>779</v>
      </c>
      <c r="AR112" t="s" s="0">
        <v>780</v>
      </c>
      <c r="AS112" t="s" s="0">
        <v>781</v>
      </c>
      <c r="AT112" t="s" s="0">
        <v>2476</v>
      </c>
      <c r="AU112" t="s" s="0">
        <v>2477</v>
      </c>
      <c r="AV112" t="s" s="0">
        <v>81</v>
      </c>
      <c r="AW112" t="s" s="0">
        <v>2478</v>
      </c>
      <c r="AX112" t="s" s="0">
        <v>2479</v>
      </c>
      <c r="AY112" t="s" s="0">
        <v>2480</v>
      </c>
      <c r="AZ112" t="s" s="0">
        <v>106</v>
      </c>
      <c r="BA112" t="s" s="0">
        <v>110</v>
      </c>
      <c r="BB112" t="s" s="0">
        <v>81</v>
      </c>
      <c r="BC112" t="s" s="0">
        <v>81</v>
      </c>
      <c r="BD112" t="s" s="0">
        <v>108</v>
      </c>
      <c r="BE112" t="s" s="0">
        <v>81</v>
      </c>
      <c r="BF112" t="s" s="0">
        <v>81</v>
      </c>
      <c r="BG112" t="s" s="0">
        <v>81</v>
      </c>
      <c r="BH112" t="s" s="0">
        <v>81</v>
      </c>
      <c r="BI112" t="s" s="0">
        <v>2637</v>
      </c>
      <c r="BJ112" t="s" s="0">
        <v>2638</v>
      </c>
      <c r="BK112" t="s" s="221">
        <f>HYPERLINK("http://dx.doi.org/10.1016/j.engappai.2026.115349","http://dx.doi.org/10.1016/j.engappai.2026.115349")</f>
        <v>2639</v>
      </c>
      <c r="BL112" t="s" s="0">
        <v>81</v>
      </c>
      <c r="BM112" t="s" s="0">
        <v>81</v>
      </c>
      <c r="BN112" t="s" s="0">
        <v>144</v>
      </c>
      <c r="BO112" t="s" s="0">
        <v>2484</v>
      </c>
      <c r="BP112" t="s" s="0">
        <v>2485</v>
      </c>
      <c r="BQ112" t="s" s="0">
        <v>2640</v>
      </c>
      <c r="BR112" t="s" s="0">
        <v>81</v>
      </c>
      <c r="BS112" t="s" s="0">
        <v>2641</v>
      </c>
      <c r="BT112" t="s" s="222">
        <f>HYPERLINK("https://www.webofscience.com/wos/woscc/full-record/WOS:001793221400001","View Record in Web of Science")</f>
        <v>118</v>
      </c>
      <c r="BU112" t="s" s="0">
        <v>877</v>
      </c>
      <c r="BV112" t="s" s="0">
        <v>81</v>
      </c>
      <c r="BW112" t="s" s="0">
        <v>81</v>
      </c>
      <c r="BX112" t="s" s="0">
        <v>120</v>
      </c>
    </row>
    <row r="113">
      <c r="A113" t="s" s="0">
        <v>77</v>
      </c>
      <c r="B113" t="s" s="0">
        <v>77</v>
      </c>
      <c r="C113" t="s" s="0">
        <v>77</v>
      </c>
      <c r="D113" t="s" s="0">
        <v>77</v>
      </c>
      <c r="E113" t="s" s="0">
        <v>2642</v>
      </c>
      <c r="F113" t="s" s="0">
        <v>2643</v>
      </c>
      <c r="G113" t="s" s="0">
        <v>2644</v>
      </c>
      <c r="H113" t="s" s="0">
        <v>81</v>
      </c>
      <c r="I113" t="s" s="0">
        <v>82</v>
      </c>
      <c r="J113" t="s" s="0">
        <v>2645</v>
      </c>
      <c r="K113" t="s" s="0">
        <v>2646</v>
      </c>
      <c r="L113" t="s" s="0">
        <v>2647</v>
      </c>
      <c r="M113" t="s" s="0">
        <v>2648</v>
      </c>
      <c r="N113" t="s" s="0">
        <v>2649</v>
      </c>
      <c r="O113" t="s" s="0">
        <v>2650</v>
      </c>
      <c r="P113" t="s" s="0">
        <v>2651</v>
      </c>
      <c r="Q113" t="s" s="0">
        <v>90</v>
      </c>
      <c r="R113" t="s" s="0">
        <v>81</v>
      </c>
      <c r="S113" t="s" s="0">
        <v>81</v>
      </c>
      <c r="T113" t="s" s="0">
        <v>81</v>
      </c>
      <c r="U113" t="s" s="0">
        <v>81</v>
      </c>
      <c r="V113" t="s" s="0">
        <v>2652</v>
      </c>
      <c r="W113" t="s" s="0">
        <v>1437</v>
      </c>
      <c r="X113" t="s" s="0">
        <v>81</v>
      </c>
      <c r="Y113" t="s" s="0">
        <v>81</v>
      </c>
      <c r="Z113" t="s" s="0">
        <v>93</v>
      </c>
      <c r="AA113" t="s" s="0">
        <v>94</v>
      </c>
      <c r="AB113" t="s" s="0">
        <v>81</v>
      </c>
      <c r="AC113" t="s" s="0">
        <v>81</v>
      </c>
      <c r="AD113" t="s" s="0">
        <v>81</v>
      </c>
      <c r="AE113" t="s" s="0">
        <v>81</v>
      </c>
      <c r="AF113" t="s" s="0">
        <v>81</v>
      </c>
      <c r="AG113" t="s" s="0">
        <v>2653</v>
      </c>
      <c r="AH113" t="s" s="0">
        <v>2654</v>
      </c>
      <c r="AI113" t="s" s="0">
        <v>2655</v>
      </c>
      <c r="AJ113" t="s" s="0">
        <v>81</v>
      </c>
      <c r="AK113" t="s" s="0">
        <v>81</v>
      </c>
      <c r="AL113" t="s" s="0">
        <v>844</v>
      </c>
      <c r="AM113" t="s" s="0">
        <v>77</v>
      </c>
      <c r="AN113" t="s" s="0">
        <v>77</v>
      </c>
      <c r="AO113" t="s" s="0">
        <v>77</v>
      </c>
      <c r="AP113" t="s" s="0">
        <v>77</v>
      </c>
      <c r="AQ113" t="s" s="0">
        <v>892</v>
      </c>
      <c r="AR113" t="s" s="0">
        <v>893</v>
      </c>
      <c r="AS113" t="s" s="0">
        <v>894</v>
      </c>
      <c r="AT113" t="s" s="0">
        <v>1441</v>
      </c>
      <c r="AU113" t="s" s="0">
        <v>1442</v>
      </c>
      <c r="AV113" t="s" s="0">
        <v>81</v>
      </c>
      <c r="AW113" t="s" s="0">
        <v>1443</v>
      </c>
      <c r="AX113" t="s" s="0">
        <v>1444</v>
      </c>
      <c r="AY113" t="s" s="0">
        <v>2089</v>
      </c>
      <c r="AZ113" t="s" s="0">
        <v>106</v>
      </c>
      <c r="BA113" t="s" s="0">
        <v>2616</v>
      </c>
      <c r="BB113" t="s" s="0">
        <v>81</v>
      </c>
      <c r="BC113" t="s" s="0">
        <v>81</v>
      </c>
      <c r="BD113" t="s" s="0">
        <v>81</v>
      </c>
      <c r="BE113" t="s" s="0">
        <v>81</v>
      </c>
      <c r="BF113" t="s" s="0">
        <v>81</v>
      </c>
      <c r="BG113" t="s" s="0">
        <v>81</v>
      </c>
      <c r="BH113" t="s" s="0">
        <v>81</v>
      </c>
      <c r="BI113" t="s" s="0">
        <v>2656</v>
      </c>
      <c r="BJ113" t="s" s="0">
        <v>2657</v>
      </c>
      <c r="BK113" t="s" s="223">
        <f>HYPERLINK("http://dx.doi.org/10.1016/j.artmed.2026.103460","http://dx.doi.org/10.1016/j.artmed.2026.103460")</f>
        <v>2658</v>
      </c>
      <c r="BL113" t="s" s="0">
        <v>81</v>
      </c>
      <c r="BM113" t="s" s="0">
        <v>81</v>
      </c>
      <c r="BN113" t="s" s="0">
        <v>438</v>
      </c>
      <c r="BO113" t="s" s="0">
        <v>1448</v>
      </c>
      <c r="BP113" t="s" s="0">
        <v>1449</v>
      </c>
      <c r="BQ113" t="s" s="0">
        <v>2659</v>
      </c>
      <c r="BR113" t="s" s="0">
        <v>2660</v>
      </c>
      <c r="BS113" t="s" s="0">
        <v>2661</v>
      </c>
      <c r="BT113" t="s" s="224">
        <f>HYPERLINK("https://www.webofscience.com/wos/woscc/full-record/WOS:001790774500001","View Record in Web of Science")</f>
        <v>118</v>
      </c>
      <c r="BU113" t="s" s="0">
        <v>877</v>
      </c>
      <c r="BV113" t="s" s="0">
        <v>81</v>
      </c>
      <c r="BW113" t="s" s="0">
        <v>81</v>
      </c>
      <c r="BX113" t="s" s="0">
        <v>120</v>
      </c>
    </row>
    <row r="114">
      <c r="A114" t="s" s="0">
        <v>77</v>
      </c>
      <c r="B114" t="s" s="0">
        <v>77</v>
      </c>
      <c r="C114" t="s" s="0">
        <v>77</v>
      </c>
      <c r="D114" t="s" s="0">
        <v>77</v>
      </c>
      <c r="E114" t="s" s="0">
        <v>2662</v>
      </c>
      <c r="F114" t="s" s="0">
        <v>2663</v>
      </c>
      <c r="G114" t="s" s="0">
        <v>2664</v>
      </c>
      <c r="H114" t="s" s="0">
        <v>81</v>
      </c>
      <c r="I114" t="s" s="0">
        <v>82</v>
      </c>
      <c r="J114" t="s" s="0">
        <v>2665</v>
      </c>
      <c r="K114" t="s" s="0">
        <v>2666</v>
      </c>
      <c r="L114" t="s" s="0">
        <v>81</v>
      </c>
      <c r="M114" t="s" s="0">
        <v>81</v>
      </c>
      <c r="N114" t="s" s="0">
        <v>81</v>
      </c>
      <c r="O114" t="s" s="0">
        <v>2667</v>
      </c>
      <c r="P114" t="s" s="0">
        <v>2668</v>
      </c>
      <c r="Q114" t="s" s="0">
        <v>90</v>
      </c>
      <c r="R114" t="s" s="0">
        <v>81</v>
      </c>
      <c r="S114" t="s" s="0">
        <v>81</v>
      </c>
      <c r="T114" t="s" s="0">
        <v>81</v>
      </c>
      <c r="U114" t="s" s="0">
        <v>81</v>
      </c>
      <c r="V114" t="s" s="0">
        <v>2669</v>
      </c>
      <c r="W114" t="s" s="0">
        <v>2670</v>
      </c>
      <c r="X114" t="s" s="0">
        <v>81</v>
      </c>
      <c r="Y114" t="s" s="0">
        <v>81</v>
      </c>
      <c r="Z114" t="s" s="0">
        <v>93</v>
      </c>
      <c r="AA114" t="s" s="0">
        <v>94</v>
      </c>
      <c r="AB114" t="s" s="0">
        <v>81</v>
      </c>
      <c r="AC114" t="s" s="0">
        <v>81</v>
      </c>
      <c r="AD114" t="s" s="0">
        <v>81</v>
      </c>
      <c r="AE114" t="s" s="0">
        <v>81</v>
      </c>
      <c r="AF114" t="s" s="0">
        <v>81</v>
      </c>
      <c r="AG114" t="s" s="0">
        <v>2671</v>
      </c>
      <c r="AH114" t="s" s="0">
        <v>2672</v>
      </c>
      <c r="AI114" t="s" s="0">
        <v>81</v>
      </c>
      <c r="AJ114" t="s" s="0">
        <v>81</v>
      </c>
      <c r="AK114" t="s" s="0">
        <v>81</v>
      </c>
      <c r="AL114" t="s" s="0">
        <v>2090</v>
      </c>
      <c r="AM114" t="s" s="0">
        <v>77</v>
      </c>
      <c r="AN114" t="s" s="0">
        <v>77</v>
      </c>
      <c r="AO114" t="s" s="0">
        <v>596</v>
      </c>
      <c r="AP114" t="s" s="0">
        <v>596</v>
      </c>
      <c r="AQ114" t="s" s="0">
        <v>2673</v>
      </c>
      <c r="AR114" t="s" s="0">
        <v>1104</v>
      </c>
      <c r="AS114" t="s" s="0">
        <v>2674</v>
      </c>
      <c r="AT114" t="s" s="0">
        <v>2675</v>
      </c>
      <c r="AU114" t="s" s="0">
        <v>2676</v>
      </c>
      <c r="AV114" t="s" s="0">
        <v>81</v>
      </c>
      <c r="AW114" t="s" s="0">
        <v>2677</v>
      </c>
      <c r="AX114" t="s" s="0">
        <v>2678</v>
      </c>
      <c r="AY114" t="s" s="0">
        <v>2089</v>
      </c>
      <c r="AZ114" t="s" s="0">
        <v>106</v>
      </c>
      <c r="BA114" t="s" s="0">
        <v>753</v>
      </c>
      <c r="BB114" t="s" s="0">
        <v>511</v>
      </c>
      <c r="BC114" t="s" s="0">
        <v>81</v>
      </c>
      <c r="BD114" t="s" s="0">
        <v>81</v>
      </c>
      <c r="BE114" t="s" s="0">
        <v>81</v>
      </c>
      <c r="BF114" t="s" s="0">
        <v>81</v>
      </c>
      <c r="BG114" t="s" s="0">
        <v>81</v>
      </c>
      <c r="BH114" t="s" s="0">
        <v>81</v>
      </c>
      <c r="BI114" t="s" s="0">
        <v>2679</v>
      </c>
      <c r="BJ114" t="s" s="0">
        <v>2680</v>
      </c>
      <c r="BK114" t="s" s="225">
        <f>HYPERLINK("http://dx.doi.org/10.1016/j.cpcardiol.2026.103371","http://dx.doi.org/10.1016/j.cpcardiol.2026.103371")</f>
        <v>2681</v>
      </c>
      <c r="BL114" t="s" s="0">
        <v>81</v>
      </c>
      <c r="BM114" t="s" s="0">
        <v>81</v>
      </c>
      <c r="BN114" t="s" s="0">
        <v>413</v>
      </c>
      <c r="BO114" t="s" s="0">
        <v>2682</v>
      </c>
      <c r="BP114" t="s" s="0">
        <v>2683</v>
      </c>
      <c r="BQ114" t="s" s="0">
        <v>2684</v>
      </c>
      <c r="BR114" t="s" s="0">
        <v>2685</v>
      </c>
      <c r="BS114" t="s" s="0">
        <v>2686</v>
      </c>
      <c r="BT114" t="s" s="226">
        <f>HYPERLINK("https://www.webofscience.com/wos/woscc/full-record/WOS:001781712500001","View Record in Web of Science")</f>
        <v>118</v>
      </c>
      <c r="BU114" t="s" s="0">
        <v>81</v>
      </c>
      <c r="BV114" t="s" s="0">
        <v>81</v>
      </c>
      <c r="BW114" t="s" s="0">
        <v>81</v>
      </c>
      <c r="BX114" t="s" s="0">
        <v>120</v>
      </c>
    </row>
    <row r="115">
      <c r="A115" t="s" s="0">
        <v>77</v>
      </c>
      <c r="B115" t="s" s="0">
        <v>77</v>
      </c>
      <c r="C115" t="s" s="0">
        <v>77</v>
      </c>
      <c r="D115" t="s" s="0">
        <v>77</v>
      </c>
      <c r="E115" t="s" s="0">
        <v>2687</v>
      </c>
      <c r="F115" t="s" s="0">
        <v>2688</v>
      </c>
      <c r="G115" t="s" s="0">
        <v>2689</v>
      </c>
      <c r="H115" t="s" s="0">
        <v>81</v>
      </c>
      <c r="I115" t="s" s="0">
        <v>82</v>
      </c>
      <c r="J115" t="s" s="0">
        <v>2690</v>
      </c>
      <c r="K115" t="s" s="0">
        <v>2691</v>
      </c>
      <c r="L115" t="s" s="0">
        <v>2692</v>
      </c>
      <c r="M115" t="s" s="0">
        <v>2693</v>
      </c>
      <c r="N115" t="s" s="0">
        <v>2694</v>
      </c>
      <c r="O115" t="s" s="0">
        <v>2695</v>
      </c>
      <c r="P115" t="s" s="0">
        <v>2696</v>
      </c>
      <c r="Q115" t="s" s="0">
        <v>90</v>
      </c>
      <c r="R115" t="s" s="0">
        <v>81</v>
      </c>
      <c r="S115" t="s" s="0">
        <v>81</v>
      </c>
      <c r="T115" t="s" s="0">
        <v>81</v>
      </c>
      <c r="U115" t="s" s="0">
        <v>81</v>
      </c>
      <c r="V115" t="s" s="0">
        <v>2697</v>
      </c>
      <c r="W115" t="s" s="0">
        <v>2698</v>
      </c>
      <c r="X115" t="s" s="0">
        <v>81</v>
      </c>
      <c r="Y115" t="s" s="0">
        <v>81</v>
      </c>
      <c r="Z115" t="s" s="0">
        <v>93</v>
      </c>
      <c r="AA115" t="s" s="0">
        <v>94</v>
      </c>
      <c r="AB115" t="s" s="0">
        <v>81</v>
      </c>
      <c r="AC115" t="s" s="0">
        <v>81</v>
      </c>
      <c r="AD115" t="s" s="0">
        <v>81</v>
      </c>
      <c r="AE115" t="s" s="0">
        <v>81</v>
      </c>
      <c r="AF115" t="s" s="0">
        <v>81</v>
      </c>
      <c r="AG115" t="s" s="0">
        <v>2699</v>
      </c>
      <c r="AH115" t="s" s="0">
        <v>2700</v>
      </c>
      <c r="AI115" t="s" s="0">
        <v>2701</v>
      </c>
      <c r="AJ115" t="s" s="0">
        <v>81</v>
      </c>
      <c r="AK115" t="s" s="0">
        <v>81</v>
      </c>
      <c r="AL115" t="s" s="0">
        <v>2702</v>
      </c>
      <c r="AM115" t="s" s="0">
        <v>77</v>
      </c>
      <c r="AN115" t="s" s="0">
        <v>77</v>
      </c>
      <c r="AO115" t="s" s="0">
        <v>108</v>
      </c>
      <c r="AP115" t="s" s="0">
        <v>108</v>
      </c>
      <c r="AQ115" t="s" s="0">
        <v>892</v>
      </c>
      <c r="AR115" t="s" s="0">
        <v>893</v>
      </c>
      <c r="AS115" t="s" s="0">
        <v>894</v>
      </c>
      <c r="AT115" t="s" s="0">
        <v>2703</v>
      </c>
      <c r="AU115" t="s" s="0">
        <v>2704</v>
      </c>
      <c r="AV115" t="s" s="0">
        <v>81</v>
      </c>
      <c r="AW115" t="s" s="0">
        <v>2705</v>
      </c>
      <c r="AX115" t="s" s="0">
        <v>2706</v>
      </c>
      <c r="AY115" t="s" s="0">
        <v>2089</v>
      </c>
      <c r="AZ115" t="s" s="0">
        <v>106</v>
      </c>
      <c r="BA115" t="s" s="0">
        <v>2707</v>
      </c>
      <c r="BB115" t="s" s="0">
        <v>81</v>
      </c>
      <c r="BC115" t="s" s="0">
        <v>81</v>
      </c>
      <c r="BD115" t="s" s="0">
        <v>81</v>
      </c>
      <c r="BE115" t="s" s="0">
        <v>81</v>
      </c>
      <c r="BF115" t="s" s="0">
        <v>81</v>
      </c>
      <c r="BG115" t="s" s="0">
        <v>81</v>
      </c>
      <c r="BH115" t="s" s="0">
        <v>81</v>
      </c>
      <c r="BI115" t="s" s="0">
        <v>2708</v>
      </c>
      <c r="BJ115" t="s" s="0">
        <v>2709</v>
      </c>
      <c r="BK115" t="s" s="227">
        <f>HYPERLINK("http://dx.doi.org/10.1016/j.future.2026.108524","http://dx.doi.org/10.1016/j.future.2026.108524")</f>
        <v>2710</v>
      </c>
      <c r="BL115" t="s" s="0">
        <v>81</v>
      </c>
      <c r="BM115" t="s" s="0">
        <v>81</v>
      </c>
      <c r="BN115" t="s" s="0">
        <v>197</v>
      </c>
      <c r="BO115" t="s" s="0">
        <v>2711</v>
      </c>
      <c r="BP115" t="s" s="0">
        <v>1354</v>
      </c>
      <c r="BQ115" t="s" s="0">
        <v>2712</v>
      </c>
      <c r="BR115" t="s" s="0">
        <v>81</v>
      </c>
      <c r="BS115" t="s" s="0">
        <v>2713</v>
      </c>
      <c r="BT115" t="s" s="228">
        <f>HYPERLINK("https://www.webofscience.com/wos/woscc/full-record/WOS:001748936800001","View Record in Web of Science")</f>
        <v>118</v>
      </c>
      <c r="BU115" t="s" s="0">
        <v>877</v>
      </c>
      <c r="BV115" t="s" s="0">
        <v>81</v>
      </c>
      <c r="BW115" t="s" s="0">
        <v>81</v>
      </c>
      <c r="BX115" t="s" s="0">
        <v>120</v>
      </c>
    </row>
    <row r="116">
      <c r="A116" t="s" s="0">
        <v>77</v>
      </c>
      <c r="B116" t="s" s="0">
        <v>77</v>
      </c>
      <c r="C116" t="s" s="0">
        <v>77</v>
      </c>
      <c r="D116" t="s" s="0">
        <v>77</v>
      </c>
      <c r="E116" t="s" s="0">
        <v>2714</v>
      </c>
      <c r="F116" t="s" s="0">
        <v>2715</v>
      </c>
      <c r="G116" t="s" s="0">
        <v>2716</v>
      </c>
      <c r="H116" t="s" s="0">
        <v>81</v>
      </c>
      <c r="I116" t="s" s="0">
        <v>82</v>
      </c>
      <c r="J116" t="s" s="0">
        <v>2717</v>
      </c>
      <c r="K116" t="s" s="0">
        <v>2718</v>
      </c>
      <c r="L116" t="s" s="0">
        <v>2719</v>
      </c>
      <c r="M116" t="s" s="0">
        <v>2720</v>
      </c>
      <c r="N116" t="s" s="0">
        <v>2721</v>
      </c>
      <c r="O116" t="s" s="0">
        <v>2722</v>
      </c>
      <c r="P116" t="s" s="0">
        <v>2723</v>
      </c>
      <c r="Q116" t="s" s="0">
        <v>90</v>
      </c>
      <c r="R116" t="s" s="0">
        <v>81</v>
      </c>
      <c r="S116" t="s" s="0">
        <v>81</v>
      </c>
      <c r="T116" t="s" s="0">
        <v>81</v>
      </c>
      <c r="U116" t="s" s="0">
        <v>81</v>
      </c>
      <c r="V116" t="s" s="0">
        <v>2724</v>
      </c>
      <c r="W116" t="s" s="0">
        <v>2725</v>
      </c>
      <c r="X116" t="s" s="0">
        <v>81</v>
      </c>
      <c r="Y116" t="s" s="0">
        <v>81</v>
      </c>
      <c r="Z116" t="s" s="0">
        <v>93</v>
      </c>
      <c r="AA116" t="s" s="0">
        <v>94</v>
      </c>
      <c r="AB116" t="s" s="0">
        <v>81</v>
      </c>
      <c r="AC116" t="s" s="0">
        <v>81</v>
      </c>
      <c r="AD116" t="s" s="0">
        <v>81</v>
      </c>
      <c r="AE116" t="s" s="0">
        <v>81</v>
      </c>
      <c r="AF116" t="s" s="0">
        <v>81</v>
      </c>
      <c r="AG116" t="s" s="0">
        <v>2726</v>
      </c>
      <c r="AH116" t="s" s="0">
        <v>2727</v>
      </c>
      <c r="AI116" t="s" s="0">
        <v>81</v>
      </c>
      <c r="AJ116" t="s" s="0">
        <v>81</v>
      </c>
      <c r="AK116" t="s" s="0">
        <v>81</v>
      </c>
      <c r="AL116" t="s" s="0">
        <v>2728</v>
      </c>
      <c r="AM116" t="s" s="0">
        <v>77</v>
      </c>
      <c r="AN116" t="s" s="0">
        <v>77</v>
      </c>
      <c r="AO116" t="s" s="0">
        <v>484</v>
      </c>
      <c r="AP116" t="s" s="0">
        <v>484</v>
      </c>
      <c r="AQ116" t="s" s="0">
        <v>1224</v>
      </c>
      <c r="AR116" t="s" s="0">
        <v>1225</v>
      </c>
      <c r="AS116" t="s" s="0">
        <v>1226</v>
      </c>
      <c r="AT116" t="s" s="0">
        <v>2729</v>
      </c>
      <c r="AU116" t="s" s="0">
        <v>2730</v>
      </c>
      <c r="AV116" t="s" s="0">
        <v>81</v>
      </c>
      <c r="AW116" t="s" s="0">
        <v>2731</v>
      </c>
      <c r="AX116" t="s" s="0">
        <v>2732</v>
      </c>
      <c r="AY116" t="s" s="0">
        <v>2733</v>
      </c>
      <c r="AZ116" t="s" s="0">
        <v>106</v>
      </c>
      <c r="BA116" t="s" s="0">
        <v>2734</v>
      </c>
      <c r="BB116" t="s" s="0">
        <v>81</v>
      </c>
      <c r="BC116" t="s" s="0">
        <v>81</v>
      </c>
      <c r="BD116" t="s" s="0">
        <v>81</v>
      </c>
      <c r="BE116" t="s" s="0">
        <v>81</v>
      </c>
      <c r="BF116" t="s" s="0">
        <v>81</v>
      </c>
      <c r="BG116" t="s" s="0">
        <v>81</v>
      </c>
      <c r="BH116" t="s" s="0">
        <v>81</v>
      </c>
      <c r="BI116" t="s" s="0">
        <v>2735</v>
      </c>
      <c r="BJ116" t="s" s="0">
        <v>2736</v>
      </c>
      <c r="BK116" t="s" s="229">
        <f>HYPERLINK("http://dx.doi.org/10.1016/j.canlet.2026.218579","http://dx.doi.org/10.1016/j.canlet.2026.218579")</f>
        <v>2737</v>
      </c>
      <c r="BL116" t="s" s="0">
        <v>81</v>
      </c>
      <c r="BM116" t="s" s="0">
        <v>81</v>
      </c>
      <c r="BN116" t="s" s="0">
        <v>413</v>
      </c>
      <c r="BO116" t="s" s="0">
        <v>320</v>
      </c>
      <c r="BP116" t="s" s="0">
        <v>320</v>
      </c>
      <c r="BQ116" t="s" s="0">
        <v>2738</v>
      </c>
      <c r="BR116" t="s" s="0">
        <v>2739</v>
      </c>
      <c r="BS116" t="s" s="0">
        <v>2740</v>
      </c>
      <c r="BT116" t="s" s="230">
        <f>HYPERLINK("https://www.webofscience.com/wos/woscc/full-record/WOS:001795426000001","View Record in Web of Science")</f>
        <v>118</v>
      </c>
      <c r="BU116" t="s" s="0">
        <v>81</v>
      </c>
      <c r="BV116" t="s" s="0">
        <v>81</v>
      </c>
      <c r="BW116" t="s" s="0">
        <v>81</v>
      </c>
      <c r="BX116" t="s" s="0">
        <v>120</v>
      </c>
    </row>
    <row r="117">
      <c r="A117" t="s" s="0">
        <v>77</v>
      </c>
      <c r="B117" t="s" s="0">
        <v>77</v>
      </c>
      <c r="C117" t="s" s="0">
        <v>77</v>
      </c>
      <c r="D117" t="s" s="0">
        <v>77</v>
      </c>
      <c r="E117" t="s" s="0">
        <v>2741</v>
      </c>
      <c r="F117" t="s" s="0">
        <v>2742</v>
      </c>
      <c r="G117" t="s" s="0">
        <v>2743</v>
      </c>
      <c r="H117" t="s" s="0">
        <v>81</v>
      </c>
      <c r="I117" t="s" s="0">
        <v>82</v>
      </c>
      <c r="J117" t="s" s="0">
        <v>2744</v>
      </c>
      <c r="K117" t="s" s="0">
        <v>2745</v>
      </c>
      <c r="L117" t="s" s="0">
        <v>81</v>
      </c>
      <c r="M117" t="s" s="0">
        <v>81</v>
      </c>
      <c r="N117" t="s" s="0">
        <v>81</v>
      </c>
      <c r="O117" t="s" s="0">
        <v>2746</v>
      </c>
      <c r="P117" t="s" s="0">
        <v>2747</v>
      </c>
      <c r="Q117" t="s" s="0">
        <v>90</v>
      </c>
      <c r="R117" t="s" s="0">
        <v>81</v>
      </c>
      <c r="S117" t="s" s="0">
        <v>81</v>
      </c>
      <c r="T117" t="s" s="0">
        <v>81</v>
      </c>
      <c r="U117" t="s" s="0">
        <v>81</v>
      </c>
      <c r="V117" t="s" s="0">
        <v>2748</v>
      </c>
      <c r="W117" t="s" s="0">
        <v>1220</v>
      </c>
      <c r="X117" t="s" s="0">
        <v>81</v>
      </c>
      <c r="Y117" t="s" s="0">
        <v>81</v>
      </c>
      <c r="Z117" t="s" s="0">
        <v>93</v>
      </c>
      <c r="AA117" t="s" s="0">
        <v>94</v>
      </c>
      <c r="AB117" t="s" s="0">
        <v>81</v>
      </c>
      <c r="AC117" t="s" s="0">
        <v>81</v>
      </c>
      <c r="AD117" t="s" s="0">
        <v>81</v>
      </c>
      <c r="AE117" t="s" s="0">
        <v>81</v>
      </c>
      <c r="AF117" t="s" s="0">
        <v>81</v>
      </c>
      <c r="AG117" t="s" s="0">
        <v>2749</v>
      </c>
      <c r="AH117" t="s" s="0">
        <v>2750</v>
      </c>
      <c r="AI117" t="s" s="0">
        <v>2751</v>
      </c>
      <c r="AJ117" t="s" s="0">
        <v>81</v>
      </c>
      <c r="AK117" t="s" s="0">
        <v>81</v>
      </c>
      <c r="AL117" t="s" s="0">
        <v>862</v>
      </c>
      <c r="AM117" t="s" s="0">
        <v>77</v>
      </c>
      <c r="AN117" t="s" s="0">
        <v>77</v>
      </c>
      <c r="AO117" t="s" s="0">
        <v>77</v>
      </c>
      <c r="AP117" t="s" s="0">
        <v>77</v>
      </c>
      <c r="AQ117" t="s" s="0">
        <v>1224</v>
      </c>
      <c r="AR117" t="s" s="0">
        <v>1225</v>
      </c>
      <c r="AS117" t="s" s="0">
        <v>1226</v>
      </c>
      <c r="AT117" t="s" s="0">
        <v>1227</v>
      </c>
      <c r="AU117" t="s" s="0">
        <v>1228</v>
      </c>
      <c r="AV117" t="s" s="0">
        <v>81</v>
      </c>
      <c r="AW117" t="s" s="0">
        <v>1229</v>
      </c>
      <c r="AX117" t="s" s="0">
        <v>1230</v>
      </c>
      <c r="AY117" t="s" s="0">
        <v>2752</v>
      </c>
      <c r="AZ117" t="s" s="0">
        <v>106</v>
      </c>
      <c r="BA117" t="s" s="0">
        <v>2753</v>
      </c>
      <c r="BB117" t="s" s="0">
        <v>81</v>
      </c>
      <c r="BC117" t="s" s="0">
        <v>81</v>
      </c>
      <c r="BD117" t="s" s="0">
        <v>81</v>
      </c>
      <c r="BE117" t="s" s="0">
        <v>81</v>
      </c>
      <c r="BF117" t="s" s="0">
        <v>81</v>
      </c>
      <c r="BG117" t="s" s="0">
        <v>81</v>
      </c>
      <c r="BH117" t="s" s="0">
        <v>81</v>
      </c>
      <c r="BI117" t="s" s="0">
        <v>2754</v>
      </c>
      <c r="BJ117" t="s" s="0">
        <v>2755</v>
      </c>
      <c r="BK117" t="s" s="231">
        <f>HYPERLINK("http://dx.doi.org/10.1016/j.ijmedinf.2026.106527","http://dx.doi.org/10.1016/j.ijmedinf.2026.106527")</f>
        <v>2756</v>
      </c>
      <c r="BL117" t="s" s="0">
        <v>81</v>
      </c>
      <c r="BM117" t="s" s="0">
        <v>81</v>
      </c>
      <c r="BN117" t="s" s="0">
        <v>434</v>
      </c>
      <c r="BO117" t="s" s="0">
        <v>1237</v>
      </c>
      <c r="BP117" t="s" s="0">
        <v>1238</v>
      </c>
      <c r="BQ117" t="s" s="0">
        <v>2757</v>
      </c>
      <c r="BR117" t="s" s="0">
        <v>2758</v>
      </c>
      <c r="BS117" t="s" s="0">
        <v>2759</v>
      </c>
      <c r="BT117" t="s" s="232">
        <f>HYPERLINK("https://www.webofscience.com/wos/woscc/full-record/WOS:001793391000001","View Record in Web of Science")</f>
        <v>118</v>
      </c>
      <c r="BU117" t="s" s="0">
        <v>81</v>
      </c>
      <c r="BV117" t="s" s="0">
        <v>81</v>
      </c>
      <c r="BW117" t="s" s="0">
        <v>81</v>
      </c>
      <c r="BX117" t="s" s="0">
        <v>120</v>
      </c>
    </row>
    <row r="118">
      <c r="A118" t="s" s="0">
        <v>77</v>
      </c>
      <c r="B118" t="s" s="0">
        <v>77</v>
      </c>
      <c r="C118" t="s" s="0">
        <v>77</v>
      </c>
      <c r="D118" t="s" s="0">
        <v>77</v>
      </c>
      <c r="E118" t="s" s="0">
        <v>2760</v>
      </c>
      <c r="F118" t="s" s="0">
        <v>2761</v>
      </c>
      <c r="G118" t="s" s="0">
        <v>2762</v>
      </c>
      <c r="H118" t="s" s="0">
        <v>81</v>
      </c>
      <c r="I118" t="s" s="0">
        <v>82</v>
      </c>
      <c r="J118" t="s" s="0">
        <v>2763</v>
      </c>
      <c r="K118" t="s" s="0">
        <v>2764</v>
      </c>
      <c r="L118" t="s" s="0">
        <v>81</v>
      </c>
      <c r="M118" t="s" s="0">
        <v>81</v>
      </c>
      <c r="N118" t="s" s="0">
        <v>81</v>
      </c>
      <c r="O118" t="s" s="0">
        <v>2765</v>
      </c>
      <c r="P118" t="s" s="0">
        <v>2766</v>
      </c>
      <c r="Q118" t="s" s="0">
        <v>90</v>
      </c>
      <c r="R118" t="s" s="0">
        <v>81</v>
      </c>
      <c r="S118" t="s" s="0">
        <v>81</v>
      </c>
      <c r="T118" t="s" s="0">
        <v>81</v>
      </c>
      <c r="U118" t="s" s="0">
        <v>81</v>
      </c>
      <c r="V118" t="s" s="0">
        <v>2767</v>
      </c>
      <c r="W118" t="s" s="0">
        <v>1220</v>
      </c>
      <c r="X118" t="s" s="0">
        <v>81</v>
      </c>
      <c r="Y118" t="s" s="0">
        <v>81</v>
      </c>
      <c r="Z118" t="s" s="0">
        <v>93</v>
      </c>
      <c r="AA118" t="s" s="0">
        <v>94</v>
      </c>
      <c r="AB118" t="s" s="0">
        <v>81</v>
      </c>
      <c r="AC118" t="s" s="0">
        <v>81</v>
      </c>
      <c r="AD118" t="s" s="0">
        <v>81</v>
      </c>
      <c r="AE118" t="s" s="0">
        <v>81</v>
      </c>
      <c r="AF118" t="s" s="0">
        <v>81</v>
      </c>
      <c r="AG118" t="s" s="0">
        <v>2768</v>
      </c>
      <c r="AH118" t="s" s="0">
        <v>2769</v>
      </c>
      <c r="AI118" t="s" s="0">
        <v>2770</v>
      </c>
      <c r="AJ118" t="s" s="0">
        <v>2771</v>
      </c>
      <c r="AK118" t="s" s="0">
        <v>81</v>
      </c>
      <c r="AL118" t="s" s="0">
        <v>687</v>
      </c>
      <c r="AM118" t="s" s="0">
        <v>77</v>
      </c>
      <c r="AN118" t="s" s="0">
        <v>77</v>
      </c>
      <c r="AO118" t="s" s="0">
        <v>108</v>
      </c>
      <c r="AP118" t="s" s="0">
        <v>108</v>
      </c>
      <c r="AQ118" t="s" s="0">
        <v>1224</v>
      </c>
      <c r="AR118" t="s" s="0">
        <v>1225</v>
      </c>
      <c r="AS118" t="s" s="0">
        <v>1226</v>
      </c>
      <c r="AT118" t="s" s="0">
        <v>1227</v>
      </c>
      <c r="AU118" t="s" s="0">
        <v>1228</v>
      </c>
      <c r="AV118" t="s" s="0">
        <v>81</v>
      </c>
      <c r="AW118" t="s" s="0">
        <v>1229</v>
      </c>
      <c r="AX118" t="s" s="0">
        <v>1230</v>
      </c>
      <c r="AY118" t="s" s="0">
        <v>2752</v>
      </c>
      <c r="AZ118" t="s" s="0">
        <v>106</v>
      </c>
      <c r="BA118" t="s" s="0">
        <v>2753</v>
      </c>
      <c r="BB118" t="s" s="0">
        <v>81</v>
      </c>
      <c r="BC118" t="s" s="0">
        <v>81</v>
      </c>
      <c r="BD118" t="s" s="0">
        <v>81</v>
      </c>
      <c r="BE118" t="s" s="0">
        <v>81</v>
      </c>
      <c r="BF118" t="s" s="0">
        <v>81</v>
      </c>
      <c r="BG118" t="s" s="0">
        <v>81</v>
      </c>
      <c r="BH118" t="s" s="0">
        <v>81</v>
      </c>
      <c r="BI118" t="s" s="0">
        <v>2772</v>
      </c>
      <c r="BJ118" t="s" s="0">
        <v>2773</v>
      </c>
      <c r="BK118" t="s" s="233">
        <f>HYPERLINK("http://dx.doi.org/10.1016/j.ijmedinf.2026.106525","http://dx.doi.org/10.1016/j.ijmedinf.2026.106525")</f>
        <v>2774</v>
      </c>
      <c r="BL118" t="s" s="0">
        <v>81</v>
      </c>
      <c r="BM118" t="s" s="0">
        <v>81</v>
      </c>
      <c r="BN118" t="s" s="0">
        <v>144</v>
      </c>
      <c r="BO118" t="s" s="0">
        <v>1237</v>
      </c>
      <c r="BP118" t="s" s="0">
        <v>1238</v>
      </c>
      <c r="BQ118" t="s" s="0">
        <v>2775</v>
      </c>
      <c r="BR118" t="s" s="0">
        <v>2776</v>
      </c>
      <c r="BS118" t="s" s="0">
        <v>2777</v>
      </c>
      <c r="BT118" t="s" s="234">
        <f>HYPERLINK("https://www.webofscience.com/wos/woscc/full-record/WOS:001793393600001","View Record in Web of Science")</f>
        <v>118</v>
      </c>
      <c r="BU118" t="s" s="0">
        <v>2778</v>
      </c>
      <c r="BV118" t="s" s="0">
        <v>81</v>
      </c>
      <c r="BW118" t="s" s="0">
        <v>81</v>
      </c>
      <c r="BX118" t="s" s="0">
        <v>120</v>
      </c>
    </row>
    <row r="119">
      <c r="A119" t="s" s="0">
        <v>77</v>
      </c>
      <c r="B119" t="s" s="0">
        <v>77</v>
      </c>
      <c r="C119" t="s" s="0">
        <v>77</v>
      </c>
      <c r="D119" t="s" s="0">
        <v>77</v>
      </c>
      <c r="E119" t="s" s="0">
        <v>2779</v>
      </c>
      <c r="F119" t="s" s="0">
        <v>2780</v>
      </c>
      <c r="G119" t="s" s="0">
        <v>2781</v>
      </c>
      <c r="H119" t="s" s="0">
        <v>81</v>
      </c>
      <c r="I119" t="s" s="0">
        <v>82</v>
      </c>
      <c r="J119" t="s" s="0">
        <v>2782</v>
      </c>
      <c r="K119" t="s" s="0">
        <v>2783</v>
      </c>
      <c r="L119" t="s" s="0">
        <v>2784</v>
      </c>
      <c r="M119" t="s" s="0">
        <v>2785</v>
      </c>
      <c r="N119" t="s" s="0">
        <v>2786</v>
      </c>
      <c r="O119" t="s" s="0">
        <v>2787</v>
      </c>
      <c r="P119" t="s" s="0">
        <v>887</v>
      </c>
      <c r="Q119" t="s" s="0">
        <v>90</v>
      </c>
      <c r="R119" t="s" s="0">
        <v>81</v>
      </c>
      <c r="S119" t="s" s="0">
        <v>81</v>
      </c>
      <c r="T119" t="s" s="0">
        <v>81</v>
      </c>
      <c r="U119" t="s" s="0">
        <v>81</v>
      </c>
      <c r="V119" t="s" s="0">
        <v>2788</v>
      </c>
      <c r="W119" t="s" s="0">
        <v>775</v>
      </c>
      <c r="X119" t="s" s="0">
        <v>81</v>
      </c>
      <c r="Y119" t="s" s="0">
        <v>81</v>
      </c>
      <c r="Z119" t="s" s="0">
        <v>93</v>
      </c>
      <c r="AA119" t="s" s="0">
        <v>94</v>
      </c>
      <c r="AB119" t="s" s="0">
        <v>81</v>
      </c>
      <c r="AC119" t="s" s="0">
        <v>81</v>
      </c>
      <c r="AD119" t="s" s="0">
        <v>81</v>
      </c>
      <c r="AE119" t="s" s="0">
        <v>81</v>
      </c>
      <c r="AF119" t="s" s="0">
        <v>81</v>
      </c>
      <c r="AG119" t="s" s="0">
        <v>2789</v>
      </c>
      <c r="AH119" t="s" s="0">
        <v>81</v>
      </c>
      <c r="AI119" t="s" s="0">
        <v>2790</v>
      </c>
      <c r="AJ119" t="s" s="0">
        <v>81</v>
      </c>
      <c r="AK119" t="s" s="0">
        <v>81</v>
      </c>
      <c r="AL119" t="s" s="0">
        <v>551</v>
      </c>
      <c r="AM119" t="s" s="0">
        <v>484</v>
      </c>
      <c r="AN119" t="s" s="0">
        <v>484</v>
      </c>
      <c r="AO119" t="s" s="0">
        <v>340</v>
      </c>
      <c r="AP119" t="s" s="0">
        <v>340</v>
      </c>
      <c r="AQ119" t="s" s="0">
        <v>779</v>
      </c>
      <c r="AR119" t="s" s="0">
        <v>780</v>
      </c>
      <c r="AS119" t="s" s="0">
        <v>781</v>
      </c>
      <c r="AT119" t="s" s="0">
        <v>782</v>
      </c>
      <c r="AU119" t="s" s="0">
        <v>783</v>
      </c>
      <c r="AV119" t="s" s="0">
        <v>81</v>
      </c>
      <c r="AW119" t="s" s="0">
        <v>784</v>
      </c>
      <c r="AX119" t="s" s="0">
        <v>785</v>
      </c>
      <c r="AY119" t="s" s="0">
        <v>2752</v>
      </c>
      <c r="AZ119" t="s" s="0">
        <v>106</v>
      </c>
      <c r="BA119" t="s" s="0">
        <v>2139</v>
      </c>
      <c r="BB119" t="s" s="0">
        <v>81</v>
      </c>
      <c r="BC119" t="s" s="0">
        <v>81</v>
      </c>
      <c r="BD119" t="s" s="0">
        <v>81</v>
      </c>
      <c r="BE119" t="s" s="0">
        <v>81</v>
      </c>
      <c r="BF119" t="s" s="0">
        <v>81</v>
      </c>
      <c r="BG119" t="s" s="0">
        <v>81</v>
      </c>
      <c r="BH119" t="s" s="0">
        <v>81</v>
      </c>
      <c r="BI119" t="s" s="0">
        <v>2791</v>
      </c>
      <c r="BJ119" t="s" s="0">
        <v>2792</v>
      </c>
      <c r="BK119" t="s" s="235">
        <f>HYPERLINK("http://dx.doi.org/10.1016/j.eswa.2026.132549","http://dx.doi.org/10.1016/j.eswa.2026.132549")</f>
        <v>2793</v>
      </c>
      <c r="BL119" t="s" s="0">
        <v>81</v>
      </c>
      <c r="BM119" t="s" s="0">
        <v>81</v>
      </c>
      <c r="BN119" t="s" s="0">
        <v>442</v>
      </c>
      <c r="BO119" t="s" s="0">
        <v>792</v>
      </c>
      <c r="BP119" t="s" s="0">
        <v>793</v>
      </c>
      <c r="BQ119" t="s" s="0">
        <v>2794</v>
      </c>
      <c r="BR119" t="s" s="0">
        <v>81</v>
      </c>
      <c r="BS119" t="s" s="0">
        <v>2795</v>
      </c>
      <c r="BT119" t="s" s="236">
        <f>HYPERLINK("https://www.webofscience.com/wos/woscc/full-record/WOS:001771020900001","View Record in Web of Science")</f>
        <v>118</v>
      </c>
      <c r="BU119" t="s" s="0">
        <v>877</v>
      </c>
      <c r="BV119" t="s" s="0">
        <v>81</v>
      </c>
      <c r="BW119" t="s" s="0">
        <v>81</v>
      </c>
      <c r="BX119" t="s" s="0">
        <v>120</v>
      </c>
    </row>
    <row r="120">
      <c r="A120" t="s" s="0">
        <v>77</v>
      </c>
      <c r="B120" t="s" s="0">
        <v>77</v>
      </c>
      <c r="C120" t="s" s="0">
        <v>77</v>
      </c>
      <c r="D120" t="s" s="0">
        <v>77</v>
      </c>
      <c r="E120" t="s" s="0">
        <v>2796</v>
      </c>
      <c r="F120" t="s" s="0">
        <v>2797</v>
      </c>
      <c r="G120" t="s" s="0">
        <v>2798</v>
      </c>
      <c r="H120" t="s" s="0">
        <v>81</v>
      </c>
      <c r="I120" t="s" s="0">
        <v>82</v>
      </c>
      <c r="J120" t="s" s="0">
        <v>2799</v>
      </c>
      <c r="K120" t="s" s="0">
        <v>2800</v>
      </c>
      <c r="L120" t="s" s="0">
        <v>2801</v>
      </c>
      <c r="M120" t="s" s="0">
        <v>2802</v>
      </c>
      <c r="N120" t="s" s="0">
        <v>2803</v>
      </c>
      <c r="O120" t="s" s="0">
        <v>2804</v>
      </c>
      <c r="P120" t="s" s="0">
        <v>2805</v>
      </c>
      <c r="Q120" t="s" s="0">
        <v>90</v>
      </c>
      <c r="R120" t="s" s="0">
        <v>81</v>
      </c>
      <c r="S120" t="s" s="0">
        <v>81</v>
      </c>
      <c r="T120" t="s" s="0">
        <v>81</v>
      </c>
      <c r="U120" t="s" s="0">
        <v>81</v>
      </c>
      <c r="V120" t="s" s="0">
        <v>2806</v>
      </c>
      <c r="W120" t="s" s="0">
        <v>775</v>
      </c>
      <c r="X120" t="s" s="0">
        <v>81</v>
      </c>
      <c r="Y120" t="s" s="0">
        <v>81</v>
      </c>
      <c r="Z120" t="s" s="0">
        <v>93</v>
      </c>
      <c r="AA120" t="s" s="0">
        <v>94</v>
      </c>
      <c r="AB120" t="s" s="0">
        <v>81</v>
      </c>
      <c r="AC120" t="s" s="0">
        <v>81</v>
      </c>
      <c r="AD120" t="s" s="0">
        <v>81</v>
      </c>
      <c r="AE120" t="s" s="0">
        <v>81</v>
      </c>
      <c r="AF120" t="s" s="0">
        <v>81</v>
      </c>
      <c r="AG120" t="s" s="0">
        <v>2807</v>
      </c>
      <c r="AH120" t="s" s="0">
        <v>2808</v>
      </c>
      <c r="AI120" t="s" s="0">
        <v>2809</v>
      </c>
      <c r="AJ120" t="s" s="0">
        <v>81</v>
      </c>
      <c r="AK120" t="s" s="0">
        <v>81</v>
      </c>
      <c r="AL120" t="s" s="0">
        <v>1232</v>
      </c>
      <c r="AM120" t="s" s="0">
        <v>77</v>
      </c>
      <c r="AN120" t="s" s="0">
        <v>484</v>
      </c>
      <c r="AO120" t="s" s="0">
        <v>433</v>
      </c>
      <c r="AP120" t="s" s="0">
        <v>433</v>
      </c>
      <c r="AQ120" t="s" s="0">
        <v>779</v>
      </c>
      <c r="AR120" t="s" s="0">
        <v>780</v>
      </c>
      <c r="AS120" t="s" s="0">
        <v>781</v>
      </c>
      <c r="AT120" t="s" s="0">
        <v>782</v>
      </c>
      <c r="AU120" t="s" s="0">
        <v>783</v>
      </c>
      <c r="AV120" t="s" s="0">
        <v>81</v>
      </c>
      <c r="AW120" t="s" s="0">
        <v>784</v>
      </c>
      <c r="AX120" t="s" s="0">
        <v>785</v>
      </c>
      <c r="AY120" t="s" s="0">
        <v>2752</v>
      </c>
      <c r="AZ120" t="s" s="0">
        <v>106</v>
      </c>
      <c r="BA120" t="s" s="0">
        <v>2139</v>
      </c>
      <c r="BB120" t="s" s="0">
        <v>81</v>
      </c>
      <c r="BC120" t="s" s="0">
        <v>81</v>
      </c>
      <c r="BD120" t="s" s="0">
        <v>81</v>
      </c>
      <c r="BE120" t="s" s="0">
        <v>81</v>
      </c>
      <c r="BF120" t="s" s="0">
        <v>81</v>
      </c>
      <c r="BG120" t="s" s="0">
        <v>81</v>
      </c>
      <c r="BH120" t="s" s="0">
        <v>81</v>
      </c>
      <c r="BI120" t="s" s="0">
        <v>2810</v>
      </c>
      <c r="BJ120" t="s" s="0">
        <v>2811</v>
      </c>
      <c r="BK120" t="s" s="237">
        <f>HYPERLINK("http://dx.doi.org/10.1016/j.eswa.2026.132709","http://dx.doi.org/10.1016/j.eswa.2026.132709")</f>
        <v>2812</v>
      </c>
      <c r="BL120" t="s" s="0">
        <v>81</v>
      </c>
      <c r="BM120" t="s" s="0">
        <v>81</v>
      </c>
      <c r="BN120" t="s" s="0">
        <v>225</v>
      </c>
      <c r="BO120" t="s" s="0">
        <v>792</v>
      </c>
      <c r="BP120" t="s" s="0">
        <v>793</v>
      </c>
      <c r="BQ120" t="s" s="0">
        <v>2813</v>
      </c>
      <c r="BR120" t="s" s="0">
        <v>81</v>
      </c>
      <c r="BS120" t="s" s="0">
        <v>2814</v>
      </c>
      <c r="BT120" t="s" s="238">
        <f>HYPERLINK("https://www.webofscience.com/wos/woscc/full-record/WOS:001766322800001","View Record in Web of Science")</f>
        <v>118</v>
      </c>
      <c r="BU120" t="s" s="0">
        <v>737</v>
      </c>
      <c r="BV120" t="s" s="0">
        <v>81</v>
      </c>
      <c r="BW120" t="s" s="0">
        <v>81</v>
      </c>
      <c r="BX120" t="s" s="0">
        <v>120</v>
      </c>
    </row>
    <row r="121">
      <c r="A121" t="s" s="0">
        <v>77</v>
      </c>
      <c r="B121" t="s" s="0">
        <v>77</v>
      </c>
      <c r="C121" t="s" s="0">
        <v>77</v>
      </c>
      <c r="D121" t="s" s="0">
        <v>77</v>
      </c>
      <c r="E121" t="s" s="0">
        <v>2815</v>
      </c>
      <c r="F121" t="s" s="0">
        <v>2816</v>
      </c>
      <c r="G121" t="s" s="0">
        <v>2817</v>
      </c>
      <c r="H121" t="s" s="0">
        <v>81</v>
      </c>
      <c r="I121" t="s" s="0">
        <v>82</v>
      </c>
      <c r="J121" t="s" s="0">
        <v>2818</v>
      </c>
      <c r="K121" t="s" s="0">
        <v>2819</v>
      </c>
      <c r="L121" t="s" s="0">
        <v>2820</v>
      </c>
      <c r="M121" t="s" s="0">
        <v>2820</v>
      </c>
      <c r="N121" t="s" s="0">
        <v>2821</v>
      </c>
      <c r="O121" t="s" s="0">
        <v>2822</v>
      </c>
      <c r="P121" t="s" s="0">
        <v>2823</v>
      </c>
      <c r="Q121" t="s" s="0">
        <v>90</v>
      </c>
      <c r="R121" t="s" s="0">
        <v>81</v>
      </c>
      <c r="S121" t="s" s="0">
        <v>81</v>
      </c>
      <c r="T121" t="s" s="0">
        <v>81</v>
      </c>
      <c r="U121" t="s" s="0">
        <v>81</v>
      </c>
      <c r="V121" t="s" s="0">
        <v>2824</v>
      </c>
      <c r="W121" t="s" s="0">
        <v>2825</v>
      </c>
      <c r="X121" t="s" s="0">
        <v>81</v>
      </c>
      <c r="Y121" t="s" s="0">
        <v>81</v>
      </c>
      <c r="Z121" t="s" s="0">
        <v>93</v>
      </c>
      <c r="AA121" t="s" s="0">
        <v>94</v>
      </c>
      <c r="AB121" t="s" s="0">
        <v>81</v>
      </c>
      <c r="AC121" t="s" s="0">
        <v>81</v>
      </c>
      <c r="AD121" t="s" s="0">
        <v>81</v>
      </c>
      <c r="AE121" t="s" s="0">
        <v>81</v>
      </c>
      <c r="AF121" t="s" s="0">
        <v>81</v>
      </c>
      <c r="AG121" t="s" s="0">
        <v>2826</v>
      </c>
      <c r="AH121" t="s" s="0">
        <v>2827</v>
      </c>
      <c r="AI121" t="s" s="0">
        <v>2828</v>
      </c>
      <c r="AJ121" t="s" s="0">
        <v>81</v>
      </c>
      <c r="AK121" t="s" s="0">
        <v>81</v>
      </c>
      <c r="AL121" t="s" s="0">
        <v>2430</v>
      </c>
      <c r="AM121" t="s" s="0">
        <v>77</v>
      </c>
      <c r="AN121" t="s" s="0">
        <v>77</v>
      </c>
      <c r="AO121" t="s" s="0">
        <v>484</v>
      </c>
      <c r="AP121" t="s" s="0">
        <v>484</v>
      </c>
      <c r="AQ121" t="s" s="0">
        <v>779</v>
      </c>
      <c r="AR121" t="s" s="0">
        <v>780</v>
      </c>
      <c r="AS121" t="s" s="0">
        <v>781</v>
      </c>
      <c r="AT121" t="s" s="0">
        <v>2829</v>
      </c>
      <c r="AU121" t="s" s="0">
        <v>2830</v>
      </c>
      <c r="AV121" t="s" s="0">
        <v>81</v>
      </c>
      <c r="AW121" t="s" s="0">
        <v>2825</v>
      </c>
      <c r="AX121" t="s" s="0">
        <v>2831</v>
      </c>
      <c r="AY121" t="s" s="0">
        <v>2832</v>
      </c>
      <c r="AZ121" t="s" s="0">
        <v>106</v>
      </c>
      <c r="BA121" t="s" s="0">
        <v>2833</v>
      </c>
      <c r="BB121" t="s" s="0">
        <v>81</v>
      </c>
      <c r="BC121" t="s" s="0">
        <v>81</v>
      </c>
      <c r="BD121" t="s" s="0">
        <v>81</v>
      </c>
      <c r="BE121" t="s" s="0">
        <v>81</v>
      </c>
      <c r="BF121" t="s" s="0">
        <v>81</v>
      </c>
      <c r="BG121" t="s" s="0">
        <v>2834</v>
      </c>
      <c r="BH121" t="s" s="0">
        <v>2835</v>
      </c>
      <c r="BI121" t="s" s="0">
        <v>81</v>
      </c>
      <c r="BJ121" t="s" s="0">
        <v>2836</v>
      </c>
      <c r="BK121" t="s" s="239">
        <f>HYPERLINK("http://dx.doi.org/10.1016/j.neuroscience.2026.07.014","http://dx.doi.org/10.1016/j.neuroscience.2026.07.014")</f>
        <v>2837</v>
      </c>
      <c r="BL121" t="s" s="0">
        <v>81</v>
      </c>
      <c r="BM121" t="s" s="0">
        <v>81</v>
      </c>
      <c r="BN121" t="s" s="0">
        <v>387</v>
      </c>
      <c r="BO121" t="s" s="0">
        <v>2838</v>
      </c>
      <c r="BP121" t="s" s="0">
        <v>146</v>
      </c>
      <c r="BQ121" t="s" s="0">
        <v>2839</v>
      </c>
      <c r="BR121" t="s" s="0">
        <v>2840</v>
      </c>
      <c r="BS121" t="s" s="0">
        <v>2841</v>
      </c>
      <c r="BT121" t="s" s="240">
        <f>HYPERLINK("https://www.webofscience.com/wos/woscc/full-record/WOS:001825672100001","View Record in Web of Science")</f>
        <v>118</v>
      </c>
      <c r="BU121" t="s" s="0">
        <v>81</v>
      </c>
      <c r="BV121" t="s" s="0">
        <v>81</v>
      </c>
      <c r="BW121" t="s" s="0">
        <v>81</v>
      </c>
      <c r="BX121" t="s" s="0">
        <v>120</v>
      </c>
    </row>
    <row r="122">
      <c r="A122" t="s" s="0">
        <v>77</v>
      </c>
      <c r="B122" t="s" s="0">
        <v>77</v>
      </c>
      <c r="C122" t="s" s="0">
        <v>77</v>
      </c>
      <c r="D122" t="s" s="0">
        <v>77</v>
      </c>
      <c r="E122" t="s" s="0">
        <v>2842</v>
      </c>
      <c r="F122" t="s" s="0">
        <v>2843</v>
      </c>
      <c r="G122" t="s" s="0">
        <v>2844</v>
      </c>
      <c r="H122" t="s" s="0">
        <v>81</v>
      </c>
      <c r="I122" t="s" s="0">
        <v>82</v>
      </c>
      <c r="J122" t="s" s="0">
        <v>2845</v>
      </c>
      <c r="K122" t="s" s="0">
        <v>2846</v>
      </c>
      <c r="L122" t="s" s="0">
        <v>81</v>
      </c>
      <c r="M122" t="s" s="0">
        <v>81</v>
      </c>
      <c r="N122" t="s" s="0">
        <v>81</v>
      </c>
      <c r="O122" t="s" s="0">
        <v>2847</v>
      </c>
      <c r="P122" t="s" s="0">
        <v>2848</v>
      </c>
      <c r="Q122" t="s" s="0">
        <v>90</v>
      </c>
      <c r="R122" t="s" s="0">
        <v>81</v>
      </c>
      <c r="S122" t="s" s="0">
        <v>81</v>
      </c>
      <c r="T122" t="s" s="0">
        <v>81</v>
      </c>
      <c r="U122" t="s" s="0">
        <v>81</v>
      </c>
      <c r="V122" t="s" s="0">
        <v>2849</v>
      </c>
      <c r="W122" t="s" s="0">
        <v>2850</v>
      </c>
      <c r="X122" t="s" s="0">
        <v>81</v>
      </c>
      <c r="Y122" t="s" s="0">
        <v>81</v>
      </c>
      <c r="Z122" t="s" s="0">
        <v>93</v>
      </c>
      <c r="AA122" t="s" s="0">
        <v>94</v>
      </c>
      <c r="AB122" t="s" s="0">
        <v>81</v>
      </c>
      <c r="AC122" t="s" s="0">
        <v>81</v>
      </c>
      <c r="AD122" t="s" s="0">
        <v>81</v>
      </c>
      <c r="AE122" t="s" s="0">
        <v>81</v>
      </c>
      <c r="AF122" t="s" s="0">
        <v>81</v>
      </c>
      <c r="AG122" t="s" s="0">
        <v>81</v>
      </c>
      <c r="AH122" t="s" s="0">
        <v>2851</v>
      </c>
      <c r="AI122" t="s" s="0">
        <v>81</v>
      </c>
      <c r="AJ122" t="s" s="0">
        <v>81</v>
      </c>
      <c r="AK122" t="s" s="0">
        <v>81</v>
      </c>
      <c r="AL122" t="s" s="0">
        <v>2852</v>
      </c>
      <c r="AM122" t="s" s="0">
        <v>77</v>
      </c>
      <c r="AN122" t="s" s="0">
        <v>77</v>
      </c>
      <c r="AO122" t="s" s="0">
        <v>108</v>
      </c>
      <c r="AP122" t="s" s="0">
        <v>108</v>
      </c>
      <c r="AQ122" t="s" s="0">
        <v>2853</v>
      </c>
      <c r="AR122" t="s" s="0">
        <v>2854</v>
      </c>
      <c r="AS122" t="s" s="0">
        <v>2855</v>
      </c>
      <c r="AT122" t="s" s="0">
        <v>2856</v>
      </c>
      <c r="AU122" t="s" s="0">
        <v>81</v>
      </c>
      <c r="AV122" t="s" s="0">
        <v>81</v>
      </c>
      <c r="AW122" t="s" s="0">
        <v>2857</v>
      </c>
      <c r="AX122" t="s" s="0">
        <v>2858</v>
      </c>
      <c r="AY122" t="s" s="0">
        <v>2859</v>
      </c>
      <c r="AZ122" t="s" s="0">
        <v>106</v>
      </c>
      <c r="BA122" t="s" s="0">
        <v>2860</v>
      </c>
      <c r="BB122" t="s" s="0">
        <v>340</v>
      </c>
      <c r="BC122" t="s" s="0">
        <v>81</v>
      </c>
      <c r="BD122" t="s" s="0">
        <v>81</v>
      </c>
      <c r="BE122" t="s" s="0">
        <v>81</v>
      </c>
      <c r="BF122" t="s" s="0">
        <v>81</v>
      </c>
      <c r="BG122" t="s" s="0">
        <v>81</v>
      </c>
      <c r="BH122" t="s" s="0">
        <v>81</v>
      </c>
      <c r="BI122" t="s" s="0">
        <v>2861</v>
      </c>
      <c r="BJ122" t="s" s="0">
        <v>2862</v>
      </c>
      <c r="BK122" t="s" s="241">
        <f>HYPERLINK("http://dx.doi.org/10.1016/j.omtn.2026.103003","http://dx.doi.org/10.1016/j.omtn.2026.103003")</f>
        <v>2863</v>
      </c>
      <c r="BL122" t="s" s="0">
        <v>81</v>
      </c>
      <c r="BM122" t="s" s="0">
        <v>81</v>
      </c>
      <c r="BN122" t="s" s="0">
        <v>197</v>
      </c>
      <c r="BO122" t="s" s="0">
        <v>2259</v>
      </c>
      <c r="BP122" t="s" s="0">
        <v>2260</v>
      </c>
      <c r="BQ122" t="s" s="0">
        <v>2864</v>
      </c>
      <c r="BR122" t="s" s="0">
        <v>2865</v>
      </c>
      <c r="BS122" t="s" s="0">
        <v>2866</v>
      </c>
      <c r="BT122" t="s" s="242">
        <f>HYPERLINK("https://www.webofscience.com/wos/woscc/full-record/WOS:001830175900001","View Record in Web of Science")</f>
        <v>118</v>
      </c>
      <c r="BU122" t="s" s="0">
        <v>177</v>
      </c>
      <c r="BV122" t="s" s="0">
        <v>81</v>
      </c>
      <c r="BW122" t="s" s="0">
        <v>81</v>
      </c>
      <c r="BX122" t="s" s="0">
        <v>120</v>
      </c>
    </row>
    <row r="123">
      <c r="A123" t="s" s="0">
        <v>77</v>
      </c>
      <c r="B123" t="s" s="0">
        <v>77</v>
      </c>
      <c r="C123" t="s" s="0">
        <v>77</v>
      </c>
      <c r="D123" t="s" s="0">
        <v>77</v>
      </c>
      <c r="E123" t="s" s="0">
        <v>2867</v>
      </c>
      <c r="F123" t="s" s="0">
        <v>2868</v>
      </c>
      <c r="G123" t="s" s="0">
        <v>2869</v>
      </c>
      <c r="H123" t="s" s="0">
        <v>81</v>
      </c>
      <c r="I123" t="s" s="0">
        <v>82</v>
      </c>
      <c r="J123" t="s" s="0">
        <v>2870</v>
      </c>
      <c r="K123" t="s" s="0">
        <v>2871</v>
      </c>
      <c r="L123" t="s" s="0">
        <v>2872</v>
      </c>
      <c r="M123" t="s" s="0">
        <v>2873</v>
      </c>
      <c r="N123" t="s" s="0">
        <v>2874</v>
      </c>
      <c r="O123" t="s" s="0">
        <v>2875</v>
      </c>
      <c r="P123" t="s" s="0">
        <v>2876</v>
      </c>
      <c r="Q123" t="s" s="0">
        <v>90</v>
      </c>
      <c r="R123" t="s" s="0">
        <v>81</v>
      </c>
      <c r="S123" t="s" s="0">
        <v>81</v>
      </c>
      <c r="T123" t="s" s="0">
        <v>81</v>
      </c>
      <c r="U123" t="s" s="0">
        <v>81</v>
      </c>
      <c r="V123" t="s" s="0">
        <v>2877</v>
      </c>
      <c r="W123" t="s" s="0">
        <v>2850</v>
      </c>
      <c r="X123" t="s" s="0">
        <v>81</v>
      </c>
      <c r="Y123" t="s" s="0">
        <v>81</v>
      </c>
      <c r="Z123" t="s" s="0">
        <v>93</v>
      </c>
      <c r="AA123" t="s" s="0">
        <v>94</v>
      </c>
      <c r="AB123" t="s" s="0">
        <v>81</v>
      </c>
      <c r="AC123" t="s" s="0">
        <v>81</v>
      </c>
      <c r="AD123" t="s" s="0">
        <v>81</v>
      </c>
      <c r="AE123" t="s" s="0">
        <v>81</v>
      </c>
      <c r="AF123" t="s" s="0">
        <v>81</v>
      </c>
      <c r="AG123" t="s" s="0">
        <v>81</v>
      </c>
      <c r="AH123" t="s" s="0">
        <v>2878</v>
      </c>
      <c r="AI123" t="s" s="0">
        <v>2879</v>
      </c>
      <c r="AJ123" t="s" s="0">
        <v>81</v>
      </c>
      <c r="AK123" t="s" s="0">
        <v>81</v>
      </c>
      <c r="AL123" t="s" s="0">
        <v>2880</v>
      </c>
      <c r="AM123" t="s" s="0">
        <v>77</v>
      </c>
      <c r="AN123" t="s" s="0">
        <v>77</v>
      </c>
      <c r="AO123" t="s" s="0">
        <v>484</v>
      </c>
      <c r="AP123" t="s" s="0">
        <v>484</v>
      </c>
      <c r="AQ123" t="s" s="0">
        <v>2853</v>
      </c>
      <c r="AR123" t="s" s="0">
        <v>2854</v>
      </c>
      <c r="AS123" t="s" s="0">
        <v>2855</v>
      </c>
      <c r="AT123" t="s" s="0">
        <v>2856</v>
      </c>
      <c r="AU123" t="s" s="0">
        <v>81</v>
      </c>
      <c r="AV123" t="s" s="0">
        <v>81</v>
      </c>
      <c r="AW123" t="s" s="0">
        <v>2857</v>
      </c>
      <c r="AX123" t="s" s="0">
        <v>2858</v>
      </c>
      <c r="AY123" t="s" s="0">
        <v>2859</v>
      </c>
      <c r="AZ123" t="s" s="0">
        <v>106</v>
      </c>
      <c r="BA123" t="s" s="0">
        <v>2860</v>
      </c>
      <c r="BB123" t="s" s="0">
        <v>340</v>
      </c>
      <c r="BC123" t="s" s="0">
        <v>81</v>
      </c>
      <c r="BD123" t="s" s="0">
        <v>81</v>
      </c>
      <c r="BE123" t="s" s="0">
        <v>81</v>
      </c>
      <c r="BF123" t="s" s="0">
        <v>81</v>
      </c>
      <c r="BG123" t="s" s="0">
        <v>81</v>
      </c>
      <c r="BH123" t="s" s="0">
        <v>81</v>
      </c>
      <c r="BI123" t="s" s="0">
        <v>2881</v>
      </c>
      <c r="BJ123" t="s" s="0">
        <v>2882</v>
      </c>
      <c r="BK123" t="s" s="243">
        <f>HYPERLINK("http://dx.doi.org/10.1016/j.omtn.2026.103000","http://dx.doi.org/10.1016/j.omtn.2026.103000")</f>
        <v>2883</v>
      </c>
      <c r="BL123" t="s" s="0">
        <v>81</v>
      </c>
      <c r="BM123" t="s" s="0">
        <v>81</v>
      </c>
      <c r="BN123" t="s" s="0">
        <v>438</v>
      </c>
      <c r="BO123" t="s" s="0">
        <v>2259</v>
      </c>
      <c r="BP123" t="s" s="0">
        <v>2260</v>
      </c>
      <c r="BQ123" t="s" s="0">
        <v>2884</v>
      </c>
      <c r="BR123" t="s" s="0">
        <v>2885</v>
      </c>
      <c r="BS123" t="s" s="0">
        <v>2886</v>
      </c>
      <c r="BT123" t="s" s="244">
        <f>HYPERLINK("https://www.webofscience.com/wos/woscc/full-record/WOS:001830193600001","View Record in Web of Science")</f>
        <v>118</v>
      </c>
      <c r="BU123" t="s" s="0">
        <v>177</v>
      </c>
      <c r="BV123" t="s" s="0">
        <v>81</v>
      </c>
      <c r="BW123" t="s" s="0">
        <v>81</v>
      </c>
      <c r="BX123" t="s" s="0">
        <v>120</v>
      </c>
    </row>
    <row r="124">
      <c r="A124" t="s" s="0">
        <v>77</v>
      </c>
      <c r="B124" t="s" s="0">
        <v>77</v>
      </c>
      <c r="C124" t="s" s="0">
        <v>77</v>
      </c>
      <c r="D124" t="s" s="0">
        <v>77</v>
      </c>
      <c r="E124" t="s" s="0">
        <v>2887</v>
      </c>
      <c r="F124" t="s" s="0">
        <v>2888</v>
      </c>
      <c r="G124" t="s" s="0">
        <v>2889</v>
      </c>
      <c r="H124" t="s" s="0">
        <v>81</v>
      </c>
      <c r="I124" t="s" s="0">
        <v>82</v>
      </c>
      <c r="J124" t="s" s="0">
        <v>2890</v>
      </c>
      <c r="K124" t="s" s="0">
        <v>2891</v>
      </c>
      <c r="L124" t="s" s="0">
        <v>81</v>
      </c>
      <c r="M124" t="s" s="0">
        <v>81</v>
      </c>
      <c r="N124" t="s" s="0">
        <v>81</v>
      </c>
      <c r="O124" t="s" s="0">
        <v>2892</v>
      </c>
      <c r="P124" t="s" s="0">
        <v>2893</v>
      </c>
      <c r="Q124" t="s" s="0">
        <v>90</v>
      </c>
      <c r="R124" t="s" s="0">
        <v>81</v>
      </c>
      <c r="S124" t="s" s="0">
        <v>81</v>
      </c>
      <c r="T124" t="s" s="0">
        <v>81</v>
      </c>
      <c r="U124" t="s" s="0">
        <v>81</v>
      </c>
      <c r="V124" t="s" s="0">
        <v>2894</v>
      </c>
      <c r="W124" t="s" s="0">
        <v>2895</v>
      </c>
      <c r="X124" t="s" s="0">
        <v>81</v>
      </c>
      <c r="Y124" t="s" s="0">
        <v>81</v>
      </c>
      <c r="Z124" t="s" s="0">
        <v>93</v>
      </c>
      <c r="AA124" t="s" s="0">
        <v>94</v>
      </c>
      <c r="AB124" t="s" s="0">
        <v>81</v>
      </c>
      <c r="AC124" t="s" s="0">
        <v>81</v>
      </c>
      <c r="AD124" t="s" s="0">
        <v>81</v>
      </c>
      <c r="AE124" t="s" s="0">
        <v>81</v>
      </c>
      <c r="AF124" t="s" s="0">
        <v>81</v>
      </c>
      <c r="AG124" t="s" s="0">
        <v>2896</v>
      </c>
      <c r="AH124" t="s" s="0">
        <v>2897</v>
      </c>
      <c r="AI124" t="s" s="0">
        <v>81</v>
      </c>
      <c r="AJ124" t="s" s="0">
        <v>81</v>
      </c>
      <c r="AK124" t="s" s="0">
        <v>81</v>
      </c>
      <c r="AL124" t="s" s="0">
        <v>2898</v>
      </c>
      <c r="AM124" t="s" s="0">
        <v>77</v>
      </c>
      <c r="AN124" t="s" s="0">
        <v>77</v>
      </c>
      <c r="AO124" t="s" s="0">
        <v>77</v>
      </c>
      <c r="AP124" t="s" s="0">
        <v>77</v>
      </c>
      <c r="AQ124" t="s" s="0">
        <v>1103</v>
      </c>
      <c r="AR124" t="s" s="0">
        <v>1104</v>
      </c>
      <c r="AS124" t="s" s="0">
        <v>1105</v>
      </c>
      <c r="AT124" t="s" s="0">
        <v>2899</v>
      </c>
      <c r="AU124" t="s" s="0">
        <v>2900</v>
      </c>
      <c r="AV124" t="s" s="0">
        <v>81</v>
      </c>
      <c r="AW124" t="s" s="0">
        <v>2901</v>
      </c>
      <c r="AX124" t="s" s="0">
        <v>2902</v>
      </c>
      <c r="AY124" t="s" s="0">
        <v>2903</v>
      </c>
      <c r="AZ124" t="s" s="0">
        <v>106</v>
      </c>
      <c r="BA124" t="s" s="0">
        <v>2904</v>
      </c>
      <c r="BB124" t="s" s="0">
        <v>434</v>
      </c>
      <c r="BC124" t="s" s="0">
        <v>81</v>
      </c>
      <c r="BD124" t="s" s="0">
        <v>81</v>
      </c>
      <c r="BE124" t="s" s="0">
        <v>81</v>
      </c>
      <c r="BF124" t="s" s="0">
        <v>81</v>
      </c>
      <c r="BG124" t="s" s="0">
        <v>2905</v>
      </c>
      <c r="BH124" t="s" s="0">
        <v>2906</v>
      </c>
      <c r="BI124" t="s" s="0">
        <v>81</v>
      </c>
      <c r="BJ124" t="s" s="0">
        <v>2907</v>
      </c>
      <c r="BK124" t="s" s="245">
        <f>HYPERLINK("http://dx.doi.org/10.1016/j.urolonc.2026.06.008","http://dx.doi.org/10.1016/j.urolonc.2026.06.008")</f>
        <v>2908</v>
      </c>
      <c r="BL124" t="s" s="0">
        <v>81</v>
      </c>
      <c r="BM124" t="s" s="0">
        <v>81</v>
      </c>
      <c r="BN124" t="s" s="0">
        <v>1236</v>
      </c>
      <c r="BO124" t="s" s="0">
        <v>2909</v>
      </c>
      <c r="BP124" t="s" s="0">
        <v>2909</v>
      </c>
      <c r="BQ124" t="s" s="0">
        <v>2910</v>
      </c>
      <c r="BR124" t="s" s="0">
        <v>2911</v>
      </c>
      <c r="BS124" t="s" s="0">
        <v>2912</v>
      </c>
      <c r="BT124" t="s" s="246">
        <f>HYPERLINK("https://www.webofscience.com/wos/woscc/full-record/WOS:001854286400001","View Record in Web of Science")</f>
        <v>118</v>
      </c>
      <c r="BU124" t="s" s="0">
        <v>81</v>
      </c>
      <c r="BV124" t="s" s="0">
        <v>81</v>
      </c>
      <c r="BW124" t="s" s="0">
        <v>81</v>
      </c>
      <c r="BX124" t="s" s="0">
        <v>120</v>
      </c>
    </row>
    <row r="125">
      <c r="A125" t="s" s="0">
        <v>77</v>
      </c>
      <c r="B125" t="s" s="0">
        <v>77</v>
      </c>
      <c r="C125" t="s" s="0">
        <v>77</v>
      </c>
      <c r="D125" t="s" s="0">
        <v>77</v>
      </c>
      <c r="E125" t="s" s="0">
        <v>2913</v>
      </c>
      <c r="F125" t="s" s="0">
        <v>2914</v>
      </c>
      <c r="G125" t="s" s="0">
        <v>2915</v>
      </c>
      <c r="H125" t="s" s="0">
        <v>81</v>
      </c>
      <c r="I125" t="s" s="0">
        <v>82</v>
      </c>
      <c r="J125" t="s" s="0">
        <v>2916</v>
      </c>
      <c r="K125" t="s" s="0">
        <v>2917</v>
      </c>
      <c r="L125" t="s" s="0">
        <v>2918</v>
      </c>
      <c r="M125" t="s" s="0">
        <v>2919</v>
      </c>
      <c r="N125" t="s" s="0">
        <v>2920</v>
      </c>
      <c r="O125" t="s" s="0">
        <v>2921</v>
      </c>
      <c r="P125" t="s" s="0">
        <v>2922</v>
      </c>
      <c r="Q125" t="s" s="0">
        <v>90</v>
      </c>
      <c r="R125" t="s" s="0">
        <v>81</v>
      </c>
      <c r="S125" t="s" s="0">
        <v>81</v>
      </c>
      <c r="T125" t="s" s="0">
        <v>81</v>
      </c>
      <c r="U125" t="s" s="0">
        <v>81</v>
      </c>
      <c r="V125" t="s" s="0">
        <v>2923</v>
      </c>
      <c r="W125" t="s" s="0">
        <v>2924</v>
      </c>
      <c r="X125" t="s" s="0">
        <v>81</v>
      </c>
      <c r="Y125" t="s" s="0">
        <v>81</v>
      </c>
      <c r="Z125" t="s" s="0">
        <v>93</v>
      </c>
      <c r="AA125" t="s" s="0">
        <v>94</v>
      </c>
      <c r="AB125" t="s" s="0">
        <v>81</v>
      </c>
      <c r="AC125" t="s" s="0">
        <v>81</v>
      </c>
      <c r="AD125" t="s" s="0">
        <v>81</v>
      </c>
      <c r="AE125" t="s" s="0">
        <v>81</v>
      </c>
      <c r="AF125" t="s" s="0">
        <v>81</v>
      </c>
      <c r="AG125" t="s" s="0">
        <v>2925</v>
      </c>
      <c r="AH125" t="s" s="0">
        <v>2926</v>
      </c>
      <c r="AI125" t="s" s="0">
        <v>81</v>
      </c>
      <c r="AJ125" t="s" s="0">
        <v>81</v>
      </c>
      <c r="AK125" t="s" s="0">
        <v>81</v>
      </c>
      <c r="AL125" t="s" s="0">
        <v>2927</v>
      </c>
      <c r="AM125" t="s" s="0">
        <v>77</v>
      </c>
      <c r="AN125" t="s" s="0">
        <v>77</v>
      </c>
      <c r="AO125" t="s" s="0">
        <v>77</v>
      </c>
      <c r="AP125" t="s" s="0">
        <v>77</v>
      </c>
      <c r="AQ125" t="s" s="0">
        <v>779</v>
      </c>
      <c r="AR125" t="s" s="0">
        <v>780</v>
      </c>
      <c r="AS125" t="s" s="0">
        <v>781</v>
      </c>
      <c r="AT125" t="s" s="0">
        <v>2928</v>
      </c>
      <c r="AU125" t="s" s="0">
        <v>2929</v>
      </c>
      <c r="AV125" t="s" s="0">
        <v>81</v>
      </c>
      <c r="AW125" t="s" s="0">
        <v>2930</v>
      </c>
      <c r="AX125" t="s" s="0">
        <v>2931</v>
      </c>
      <c r="AY125" t="s" s="0">
        <v>2903</v>
      </c>
      <c r="AZ125" t="s" s="0">
        <v>106</v>
      </c>
      <c r="BA125" t="s" s="0">
        <v>2904</v>
      </c>
      <c r="BB125" t="s" s="0">
        <v>81</v>
      </c>
      <c r="BC125" t="s" s="0">
        <v>81</v>
      </c>
      <c r="BD125" t="s" s="0">
        <v>81</v>
      </c>
      <c r="BE125" t="s" s="0">
        <v>81</v>
      </c>
      <c r="BF125" t="s" s="0">
        <v>81</v>
      </c>
      <c r="BG125" t="s" s="0">
        <v>81</v>
      </c>
      <c r="BH125" t="s" s="0">
        <v>81</v>
      </c>
      <c r="BI125" t="s" s="0">
        <v>2932</v>
      </c>
      <c r="BJ125" t="s" s="0">
        <v>2933</v>
      </c>
      <c r="BK125" t="s" s="247">
        <f>HYPERLINK("http://dx.doi.org/10.1016/j.cossms.2026.101290","http://dx.doi.org/10.1016/j.cossms.2026.101290")</f>
        <v>2934</v>
      </c>
      <c r="BL125" t="s" s="0">
        <v>81</v>
      </c>
      <c r="BM125" t="s" s="0">
        <v>81</v>
      </c>
      <c r="BN125" t="s" s="0">
        <v>316</v>
      </c>
      <c r="BO125" t="s" s="0">
        <v>2935</v>
      </c>
      <c r="BP125" t="s" s="0">
        <v>2936</v>
      </c>
      <c r="BQ125" t="s" s="0">
        <v>2937</v>
      </c>
      <c r="BR125" t="s" s="0">
        <v>81</v>
      </c>
      <c r="BS125" t="s" s="0">
        <v>2938</v>
      </c>
      <c r="BT125" t="s" s="248">
        <f>HYPERLINK("https://www.webofscience.com/wos/woscc/full-record/WOS:001853986100001","View Record in Web of Science")</f>
        <v>118</v>
      </c>
      <c r="BU125" t="s" s="0">
        <v>81</v>
      </c>
      <c r="BV125" t="s" s="0">
        <v>81</v>
      </c>
      <c r="BW125" t="s" s="0">
        <v>81</v>
      </c>
      <c r="BX125" t="s" s="0">
        <v>120</v>
      </c>
    </row>
    <row r="126">
      <c r="A126" t="s" s="0">
        <v>77</v>
      </c>
      <c r="B126" t="s" s="0">
        <v>77</v>
      </c>
      <c r="C126" t="s" s="0">
        <v>77</v>
      </c>
      <c r="D126" t="s" s="0">
        <v>77</v>
      </c>
      <c r="E126" t="s" s="0">
        <v>2939</v>
      </c>
      <c r="F126" t="s" s="0">
        <v>2940</v>
      </c>
      <c r="G126" t="s" s="0">
        <v>2941</v>
      </c>
      <c r="H126" t="s" s="0">
        <v>81</v>
      </c>
      <c r="I126" t="s" s="0">
        <v>82</v>
      </c>
      <c r="J126" t="s" s="0">
        <v>2942</v>
      </c>
      <c r="K126" t="s" s="0">
        <v>2943</v>
      </c>
      <c r="L126" t="s" s="0">
        <v>2944</v>
      </c>
      <c r="M126" t="s" s="0">
        <v>2945</v>
      </c>
      <c r="N126" t="s" s="0">
        <v>2946</v>
      </c>
      <c r="O126" t="s" s="0">
        <v>2947</v>
      </c>
      <c r="P126" t="s" s="0">
        <v>2948</v>
      </c>
      <c r="Q126" t="s" s="0">
        <v>90</v>
      </c>
      <c r="R126" t="s" s="0">
        <v>81</v>
      </c>
      <c r="S126" t="s" s="0">
        <v>81</v>
      </c>
      <c r="T126" t="s" s="0">
        <v>81</v>
      </c>
      <c r="U126" t="s" s="0">
        <v>81</v>
      </c>
      <c r="V126" t="s" s="0">
        <v>2949</v>
      </c>
      <c r="W126" t="s" s="0">
        <v>2950</v>
      </c>
      <c r="X126" t="s" s="0">
        <v>81</v>
      </c>
      <c r="Y126" t="s" s="0">
        <v>81</v>
      </c>
      <c r="Z126" t="s" s="0">
        <v>93</v>
      </c>
      <c r="AA126" t="s" s="0">
        <v>94</v>
      </c>
      <c r="AB126" t="s" s="0">
        <v>81</v>
      </c>
      <c r="AC126" t="s" s="0">
        <v>81</v>
      </c>
      <c r="AD126" t="s" s="0">
        <v>81</v>
      </c>
      <c r="AE126" t="s" s="0">
        <v>81</v>
      </c>
      <c r="AF126" t="s" s="0">
        <v>81</v>
      </c>
      <c r="AG126" t="s" s="0">
        <v>2951</v>
      </c>
      <c r="AH126" t="s" s="0">
        <v>2952</v>
      </c>
      <c r="AI126" t="s" s="0">
        <v>81</v>
      </c>
      <c r="AJ126" t="s" s="0">
        <v>81</v>
      </c>
      <c r="AK126" t="s" s="0">
        <v>81</v>
      </c>
      <c r="AL126" t="s" s="0">
        <v>844</v>
      </c>
      <c r="AM126" t="s" s="0">
        <v>77</v>
      </c>
      <c r="AN126" t="s" s="0">
        <v>77</v>
      </c>
      <c r="AO126" t="s" s="0">
        <v>77</v>
      </c>
      <c r="AP126" t="s" s="0">
        <v>77</v>
      </c>
      <c r="AQ126" t="s" s="0">
        <v>2953</v>
      </c>
      <c r="AR126" t="s" s="0">
        <v>2954</v>
      </c>
      <c r="AS126" t="s" s="0">
        <v>2955</v>
      </c>
      <c r="AT126" t="s" s="0">
        <v>2956</v>
      </c>
      <c r="AU126" t="s" s="0">
        <v>2957</v>
      </c>
      <c r="AV126" t="s" s="0">
        <v>81</v>
      </c>
      <c r="AW126" t="s" s="0">
        <v>2958</v>
      </c>
      <c r="AX126" t="s" s="0">
        <v>2959</v>
      </c>
      <c r="AY126" t="s" s="0">
        <v>2903</v>
      </c>
      <c r="AZ126" t="s" s="0">
        <v>106</v>
      </c>
      <c r="BA126" t="s" s="0">
        <v>943</v>
      </c>
      <c r="BB126" t="s" s="0">
        <v>434</v>
      </c>
      <c r="BC126" t="s" s="0">
        <v>81</v>
      </c>
      <c r="BD126" t="s" s="0">
        <v>81</v>
      </c>
      <c r="BE126" t="s" s="0">
        <v>81</v>
      </c>
      <c r="BF126" t="s" s="0">
        <v>81</v>
      </c>
      <c r="BG126" t="s" s="0">
        <v>81</v>
      </c>
      <c r="BH126" t="s" s="0">
        <v>81</v>
      </c>
      <c r="BI126" t="s" s="0">
        <v>2960</v>
      </c>
      <c r="BJ126" t="s" s="0">
        <v>2961</v>
      </c>
      <c r="BK126" t="s" s="249">
        <f>HYPERLINK("http://dx.doi.org/10.1111/exsy.70386","http://dx.doi.org/10.1111/exsy.70386")</f>
        <v>2962</v>
      </c>
      <c r="BL126" t="s" s="0">
        <v>81</v>
      </c>
      <c r="BM126" t="s" s="0">
        <v>81</v>
      </c>
      <c r="BN126" t="s" s="0">
        <v>647</v>
      </c>
      <c r="BO126" t="s" s="0">
        <v>2963</v>
      </c>
      <c r="BP126" t="s" s="0">
        <v>1354</v>
      </c>
      <c r="BQ126" t="s" s="0">
        <v>2964</v>
      </c>
      <c r="BR126" t="s" s="0">
        <v>81</v>
      </c>
      <c r="BS126" t="s" s="0">
        <v>2965</v>
      </c>
      <c r="BT126" t="s" s="250">
        <f>HYPERLINK("https://www.webofscience.com/wos/woscc/full-record/WOS:001854182900018","View Record in Web of Science")</f>
        <v>118</v>
      </c>
      <c r="BU126" t="s" s="0">
        <v>81</v>
      </c>
      <c r="BV126" t="s" s="0">
        <v>81</v>
      </c>
      <c r="BW126" t="s" s="0">
        <v>81</v>
      </c>
      <c r="BX126" t="s" s="0">
        <v>120</v>
      </c>
    </row>
    <row r="127">
      <c r="A127" t="s" s="0">
        <v>77</v>
      </c>
      <c r="B127" t="s" s="0">
        <v>77</v>
      </c>
      <c r="C127" t="s" s="0">
        <v>77</v>
      </c>
      <c r="D127" t="s" s="0">
        <v>77</v>
      </c>
      <c r="E127" t="s" s="0">
        <v>2966</v>
      </c>
      <c r="F127" t="s" s="0">
        <v>2967</v>
      </c>
      <c r="G127" t="s" s="0">
        <v>2968</v>
      </c>
      <c r="H127" t="s" s="0">
        <v>81</v>
      </c>
      <c r="I127" t="s" s="0">
        <v>82</v>
      </c>
      <c r="J127" t="s" s="0">
        <v>2969</v>
      </c>
      <c r="K127" t="s" s="0">
        <v>2970</v>
      </c>
      <c r="L127" t="s" s="0">
        <v>2971</v>
      </c>
      <c r="M127" t="s" s="0">
        <v>2972</v>
      </c>
      <c r="N127" t="s" s="0">
        <v>2973</v>
      </c>
      <c r="O127" t="s" s="0">
        <v>2974</v>
      </c>
      <c r="P127" t="s" s="0">
        <v>2975</v>
      </c>
      <c r="Q127" t="s" s="0">
        <v>90</v>
      </c>
      <c r="R127" t="s" s="0">
        <v>81</v>
      </c>
      <c r="S127" t="s" s="0">
        <v>81</v>
      </c>
      <c r="T127" t="s" s="0">
        <v>81</v>
      </c>
      <c r="U127" t="s" s="0">
        <v>81</v>
      </c>
      <c r="V127" t="s" s="0">
        <v>2976</v>
      </c>
      <c r="W127" t="s" s="0">
        <v>2977</v>
      </c>
      <c r="X127" t="s" s="0">
        <v>81</v>
      </c>
      <c r="Y127" t="s" s="0">
        <v>81</v>
      </c>
      <c r="Z127" t="s" s="0">
        <v>93</v>
      </c>
      <c r="AA127" t="s" s="0">
        <v>94</v>
      </c>
      <c r="AB127" t="s" s="0">
        <v>81</v>
      </c>
      <c r="AC127" t="s" s="0">
        <v>81</v>
      </c>
      <c r="AD127" t="s" s="0">
        <v>81</v>
      </c>
      <c r="AE127" t="s" s="0">
        <v>81</v>
      </c>
      <c r="AF127" t="s" s="0">
        <v>81</v>
      </c>
      <c r="AG127" t="s" s="0">
        <v>2978</v>
      </c>
      <c r="AH127" t="s" s="0">
        <v>2979</v>
      </c>
      <c r="AI127" t="s" s="0">
        <v>81</v>
      </c>
      <c r="AJ127" t="s" s="0">
        <v>81</v>
      </c>
      <c r="AK127" t="s" s="0">
        <v>81</v>
      </c>
      <c r="AL127" t="s" s="0">
        <v>2570</v>
      </c>
      <c r="AM127" t="s" s="0">
        <v>77</v>
      </c>
      <c r="AN127" t="s" s="0">
        <v>77</v>
      </c>
      <c r="AO127" t="s" s="0">
        <v>77</v>
      </c>
      <c r="AP127" t="s" s="0">
        <v>77</v>
      </c>
      <c r="AQ127" t="s" s="0">
        <v>2853</v>
      </c>
      <c r="AR127" t="s" s="0">
        <v>2854</v>
      </c>
      <c r="AS127" t="s" s="0">
        <v>2855</v>
      </c>
      <c r="AT127" t="s" s="0">
        <v>81</v>
      </c>
      <c r="AU127" t="s" s="0">
        <v>2980</v>
      </c>
      <c r="AV127" t="s" s="0">
        <v>81</v>
      </c>
      <c r="AW127" t="s" s="0">
        <v>2977</v>
      </c>
      <c r="AX127" t="s" s="0">
        <v>2981</v>
      </c>
      <c r="AY127" t="s" s="0">
        <v>2903</v>
      </c>
      <c r="AZ127" t="s" s="0">
        <v>106</v>
      </c>
      <c r="BA127" t="s" s="0">
        <v>1236</v>
      </c>
      <c r="BB127" t="s" s="0">
        <v>113</v>
      </c>
      <c r="BC127" t="s" s="0">
        <v>81</v>
      </c>
      <c r="BD127" t="s" s="0">
        <v>81</v>
      </c>
      <c r="BE127" t="s" s="0">
        <v>81</v>
      </c>
      <c r="BF127" t="s" s="0">
        <v>81</v>
      </c>
      <c r="BG127" t="s" s="0">
        <v>81</v>
      </c>
      <c r="BH127" t="s" s="0">
        <v>81</v>
      </c>
      <c r="BI127" t="s" s="0">
        <v>2982</v>
      </c>
      <c r="BJ127" t="s" s="0">
        <v>2983</v>
      </c>
      <c r="BK127" t="s" s="251">
        <f>HYPERLINK("http://dx.doi.org/10.1016/j.heliyon.2026.e45308","http://dx.doi.org/10.1016/j.heliyon.2026.e45308")</f>
        <v>2984</v>
      </c>
      <c r="BL127" t="s" s="0">
        <v>81</v>
      </c>
      <c r="BM127" t="s" s="0">
        <v>81</v>
      </c>
      <c r="BN127" t="s" s="0">
        <v>438</v>
      </c>
      <c r="BO127" t="s" s="0">
        <v>575</v>
      </c>
      <c r="BP127" t="s" s="0">
        <v>576</v>
      </c>
      <c r="BQ127" t="s" s="0">
        <v>2985</v>
      </c>
      <c r="BR127" t="s" s="0">
        <v>81</v>
      </c>
      <c r="BS127" t="s" s="0">
        <v>2986</v>
      </c>
      <c r="BT127" t="s" s="252">
        <f>HYPERLINK("https://www.webofscience.com/wos/woscc/full-record/WOS:001854086100001","View Record in Web of Science")</f>
        <v>118</v>
      </c>
      <c r="BU127" t="s" s="0">
        <v>119</v>
      </c>
      <c r="BV127" t="s" s="0">
        <v>81</v>
      </c>
      <c r="BW127" t="s" s="0">
        <v>81</v>
      </c>
      <c r="BX127" t="s" s="0">
        <v>120</v>
      </c>
    </row>
    <row r="128">
      <c r="A128" t="s" s="0">
        <v>77</v>
      </c>
      <c r="B128" t="s" s="0">
        <v>77</v>
      </c>
      <c r="C128" t="s" s="0">
        <v>77</v>
      </c>
      <c r="D128" t="s" s="0">
        <v>77</v>
      </c>
      <c r="E128" t="s" s="0">
        <v>2987</v>
      </c>
      <c r="F128" t="s" s="0">
        <v>2988</v>
      </c>
      <c r="G128" t="s" s="0">
        <v>2989</v>
      </c>
      <c r="H128" t="s" s="0">
        <v>81</v>
      </c>
      <c r="I128" t="s" s="0">
        <v>124</v>
      </c>
      <c r="J128" t="s" s="0">
        <v>2990</v>
      </c>
      <c r="K128" t="s" s="0">
        <v>2991</v>
      </c>
      <c r="L128" t="s" s="0">
        <v>2992</v>
      </c>
      <c r="M128" t="s" s="0">
        <v>2993</v>
      </c>
      <c r="N128" t="s" s="0">
        <v>2994</v>
      </c>
      <c r="O128" t="s" s="0">
        <v>2995</v>
      </c>
      <c r="P128" t="s" s="0">
        <v>2996</v>
      </c>
      <c r="Q128" t="s" s="0">
        <v>90</v>
      </c>
      <c r="R128" t="s" s="0">
        <v>81</v>
      </c>
      <c r="S128" t="s" s="0">
        <v>81</v>
      </c>
      <c r="T128" t="s" s="0">
        <v>81</v>
      </c>
      <c r="U128" t="s" s="0">
        <v>81</v>
      </c>
      <c r="V128" t="s" s="0">
        <v>2997</v>
      </c>
      <c r="W128" t="s" s="0">
        <v>2998</v>
      </c>
      <c r="X128" t="s" s="0">
        <v>81</v>
      </c>
      <c r="Y128" t="s" s="0">
        <v>81</v>
      </c>
      <c r="Z128" t="s" s="0">
        <v>93</v>
      </c>
      <c r="AA128" t="s" s="0">
        <v>94</v>
      </c>
      <c r="AB128" t="s" s="0">
        <v>81</v>
      </c>
      <c r="AC128" t="s" s="0">
        <v>81</v>
      </c>
      <c r="AD128" t="s" s="0">
        <v>81</v>
      </c>
      <c r="AE128" t="s" s="0">
        <v>81</v>
      </c>
      <c r="AF128" t="s" s="0">
        <v>81</v>
      </c>
      <c r="AG128" t="s" s="0">
        <v>2999</v>
      </c>
      <c r="AH128" t="s" s="0">
        <v>3000</v>
      </c>
      <c r="AI128" t="s" s="0">
        <v>81</v>
      </c>
      <c r="AJ128" t="s" s="0">
        <v>81</v>
      </c>
      <c r="AK128" t="s" s="0">
        <v>81</v>
      </c>
      <c r="AL128" t="s" s="0">
        <v>3001</v>
      </c>
      <c r="AM128" t="s" s="0">
        <v>77</v>
      </c>
      <c r="AN128" t="s" s="0">
        <v>77</v>
      </c>
      <c r="AO128" t="s" s="0">
        <v>77</v>
      </c>
      <c r="AP128" t="s" s="0">
        <v>77</v>
      </c>
      <c r="AQ128" t="s" s="0">
        <v>3002</v>
      </c>
      <c r="AR128" t="s" s="0">
        <v>3003</v>
      </c>
      <c r="AS128" t="s" s="0">
        <v>3004</v>
      </c>
      <c r="AT128" t="s" s="0">
        <v>81</v>
      </c>
      <c r="AU128" t="s" s="0">
        <v>3005</v>
      </c>
      <c r="AV128" t="s" s="0">
        <v>81</v>
      </c>
      <c r="AW128" t="s" s="0">
        <v>2998</v>
      </c>
      <c r="AX128" t="s" s="0">
        <v>3006</v>
      </c>
      <c r="AY128" t="s" s="0">
        <v>2903</v>
      </c>
      <c r="AZ128" t="s" s="0">
        <v>106</v>
      </c>
      <c r="BA128" t="s" s="0">
        <v>596</v>
      </c>
      <c r="BB128" t="s" s="0">
        <v>340</v>
      </c>
      <c r="BC128" t="s" s="0">
        <v>81</v>
      </c>
      <c r="BD128" t="s" s="0">
        <v>81</v>
      </c>
      <c r="BE128" t="s" s="0">
        <v>81</v>
      </c>
      <c r="BF128" t="s" s="0">
        <v>81</v>
      </c>
      <c r="BG128" t="s" s="0">
        <v>81</v>
      </c>
      <c r="BH128" t="s" s="0">
        <v>81</v>
      </c>
      <c r="BI128" t="s" s="0">
        <v>3007</v>
      </c>
      <c r="BJ128" t="s" s="0">
        <v>3008</v>
      </c>
      <c r="BK128" t="s" s="253">
        <f>HYPERLINK("http://dx.doi.org/10.1016/j.metrad.2026.100224","http://dx.doi.org/10.1016/j.metrad.2026.100224")</f>
        <v>3009</v>
      </c>
      <c r="BL128" t="s" s="0">
        <v>81</v>
      </c>
      <c r="BM128" t="s" s="0">
        <v>81</v>
      </c>
      <c r="BN128" t="s" s="0">
        <v>168</v>
      </c>
      <c r="BO128" t="s" s="0">
        <v>3010</v>
      </c>
      <c r="BP128" t="s" s="0">
        <v>3011</v>
      </c>
      <c r="BQ128" t="s" s="0">
        <v>3012</v>
      </c>
      <c r="BR128" t="s" s="0">
        <v>81</v>
      </c>
      <c r="BS128" t="s" s="0">
        <v>3013</v>
      </c>
      <c r="BT128" t="s" s="254">
        <f>HYPERLINK("https://www.webofscience.com/wos/woscc/full-record/WOS:001853206700001","View Record in Web of Science")</f>
        <v>118</v>
      </c>
      <c r="BU128" t="s" s="0">
        <v>177</v>
      </c>
      <c r="BV128" t="s" s="0">
        <v>81</v>
      </c>
      <c r="BW128" t="s" s="0">
        <v>81</v>
      </c>
      <c r="BX128" t="s" s="0">
        <v>120</v>
      </c>
    </row>
    <row r="129">
      <c r="A129" t="s" s="0">
        <v>77</v>
      </c>
      <c r="B129" t="s" s="0">
        <v>77</v>
      </c>
      <c r="C129" t="s" s="0">
        <v>77</v>
      </c>
      <c r="D129" t="s" s="0">
        <v>77</v>
      </c>
      <c r="E129" t="s" s="0">
        <v>3014</v>
      </c>
      <c r="F129" t="s" s="0">
        <v>3015</v>
      </c>
      <c r="G129" t="s" s="0">
        <v>3016</v>
      </c>
      <c r="H129" t="s" s="0">
        <v>81</v>
      </c>
      <c r="I129" t="s" s="0">
        <v>82</v>
      </c>
      <c r="J129" t="s" s="0">
        <v>3017</v>
      </c>
      <c r="K129" t="s" s="0">
        <v>3018</v>
      </c>
      <c r="L129" t="s" s="0">
        <v>81</v>
      </c>
      <c r="M129" t="s" s="0">
        <v>81</v>
      </c>
      <c r="N129" t="s" s="0">
        <v>81</v>
      </c>
      <c r="O129" t="s" s="0">
        <v>3019</v>
      </c>
      <c r="P129" t="s" s="0">
        <v>3020</v>
      </c>
      <c r="Q129" t="s" s="0">
        <v>90</v>
      </c>
      <c r="R129" t="s" s="0">
        <v>81</v>
      </c>
      <c r="S129" t="s" s="0">
        <v>81</v>
      </c>
      <c r="T129" t="s" s="0">
        <v>81</v>
      </c>
      <c r="U129" t="s" s="0">
        <v>81</v>
      </c>
      <c r="V129" t="s" s="0">
        <v>3021</v>
      </c>
      <c r="W129" t="s" s="0">
        <v>3022</v>
      </c>
      <c r="X129" t="s" s="0">
        <v>81</v>
      </c>
      <c r="Y129" t="s" s="0">
        <v>81</v>
      </c>
      <c r="Z129" t="s" s="0">
        <v>93</v>
      </c>
      <c r="AA129" t="s" s="0">
        <v>94</v>
      </c>
      <c r="AB129" t="s" s="0">
        <v>81</v>
      </c>
      <c r="AC129" t="s" s="0">
        <v>81</v>
      </c>
      <c r="AD129" t="s" s="0">
        <v>81</v>
      </c>
      <c r="AE129" t="s" s="0">
        <v>81</v>
      </c>
      <c r="AF129" t="s" s="0">
        <v>81</v>
      </c>
      <c r="AG129" t="s" s="0">
        <v>3023</v>
      </c>
      <c r="AH129" t="s" s="0">
        <v>3024</v>
      </c>
      <c r="AI129" t="s" s="0">
        <v>81</v>
      </c>
      <c r="AJ129" t="s" s="0">
        <v>81</v>
      </c>
      <c r="AK129" t="s" s="0">
        <v>81</v>
      </c>
      <c r="AL129" t="s" s="0">
        <v>3025</v>
      </c>
      <c r="AM129" t="s" s="0">
        <v>77</v>
      </c>
      <c r="AN129" t="s" s="0">
        <v>77</v>
      </c>
      <c r="AO129" t="s" s="0">
        <v>77</v>
      </c>
      <c r="AP129" t="s" s="0">
        <v>77</v>
      </c>
      <c r="AQ129" t="s" s="0">
        <v>1103</v>
      </c>
      <c r="AR129" t="s" s="0">
        <v>1104</v>
      </c>
      <c r="AS129" t="s" s="0">
        <v>1105</v>
      </c>
      <c r="AT129" t="s" s="0">
        <v>3026</v>
      </c>
      <c r="AU129" t="s" s="0">
        <v>3027</v>
      </c>
      <c r="AV129" t="s" s="0">
        <v>81</v>
      </c>
      <c r="AW129" t="s" s="0">
        <v>3028</v>
      </c>
      <c r="AX129" t="s" s="0">
        <v>3029</v>
      </c>
      <c r="AY129" t="s" s="0">
        <v>2903</v>
      </c>
      <c r="AZ129" t="s" s="0">
        <v>106</v>
      </c>
      <c r="BA129" t="s" s="0">
        <v>551</v>
      </c>
      <c r="BB129" t="s" s="0">
        <v>434</v>
      </c>
      <c r="BC129" t="s" s="0">
        <v>81</v>
      </c>
      <c r="BD129" t="s" s="0">
        <v>81</v>
      </c>
      <c r="BE129" t="s" s="0">
        <v>81</v>
      </c>
      <c r="BF129" t="s" s="0">
        <v>81</v>
      </c>
      <c r="BG129" t="s" s="0">
        <v>3030</v>
      </c>
      <c r="BH129" t="s" s="0">
        <v>3031</v>
      </c>
      <c r="BI129" t="s" s="0">
        <v>81</v>
      </c>
      <c r="BJ129" t="s" s="0">
        <v>3032</v>
      </c>
      <c r="BK129" t="s" s="255">
        <f>HYPERLINK("http://dx.doi.org/10.1016/j.soard.2026.05.002","http://dx.doi.org/10.1016/j.soard.2026.05.002")</f>
        <v>3033</v>
      </c>
      <c r="BL129" t="s" s="0">
        <v>81</v>
      </c>
      <c r="BM129" t="s" s="0">
        <v>81</v>
      </c>
      <c r="BN129" t="s" s="0">
        <v>511</v>
      </c>
      <c r="BO129" t="s" s="0">
        <v>198</v>
      </c>
      <c r="BP129" t="s" s="0">
        <v>198</v>
      </c>
      <c r="BQ129" t="s" s="0">
        <v>3034</v>
      </c>
      <c r="BR129" t="s" s="0">
        <v>3035</v>
      </c>
      <c r="BS129" t="s" s="0">
        <v>3036</v>
      </c>
      <c r="BT129" t="s" s="256">
        <f>HYPERLINK("https://www.webofscience.com/wos/woscc/full-record/WOS:001851947200001","View Record in Web of Science")</f>
        <v>118</v>
      </c>
      <c r="BU129" t="s" s="0">
        <v>877</v>
      </c>
      <c r="BV129" t="s" s="0">
        <v>81</v>
      </c>
      <c r="BW129" t="s" s="0">
        <v>81</v>
      </c>
      <c r="BX129" t="s" s="0">
        <v>120</v>
      </c>
    </row>
    <row r="130">
      <c r="A130" t="s" s="0">
        <v>77</v>
      </c>
      <c r="B130" t="s" s="0">
        <v>77</v>
      </c>
      <c r="C130" t="s" s="0">
        <v>77</v>
      </c>
      <c r="D130" t="s" s="0">
        <v>77</v>
      </c>
      <c r="E130" t="s" s="0">
        <v>3037</v>
      </c>
      <c r="F130" t="s" s="0">
        <v>3038</v>
      </c>
      <c r="G130" t="s" s="0">
        <v>3039</v>
      </c>
      <c r="H130" t="s" s="0">
        <v>81</v>
      </c>
      <c r="I130" t="s" s="0">
        <v>1004</v>
      </c>
      <c r="J130" t="s" s="0">
        <v>3040</v>
      </c>
      <c r="K130" t="s" s="0">
        <v>3041</v>
      </c>
      <c r="L130" t="s" s="0">
        <v>81</v>
      </c>
      <c r="M130" t="s" s="0">
        <v>81</v>
      </c>
      <c r="N130" t="s" s="0">
        <v>81</v>
      </c>
      <c r="O130" t="s" s="0">
        <v>3042</v>
      </c>
      <c r="P130" t="s" s="0">
        <v>3043</v>
      </c>
      <c r="Q130" t="s" s="0">
        <v>90</v>
      </c>
      <c r="R130" t="s" s="0">
        <v>81</v>
      </c>
      <c r="S130" t="s" s="0">
        <v>81</v>
      </c>
      <c r="T130" t="s" s="0">
        <v>81</v>
      </c>
      <c r="U130" t="s" s="0">
        <v>81</v>
      </c>
      <c r="V130" t="s" s="0">
        <v>3044</v>
      </c>
      <c r="W130" t="s" s="0">
        <v>3045</v>
      </c>
      <c r="X130" t="s" s="0">
        <v>81</v>
      </c>
      <c r="Y130" t="s" s="0">
        <v>81</v>
      </c>
      <c r="Z130" t="s" s="0">
        <v>93</v>
      </c>
      <c r="AA130" t="s" s="0">
        <v>94</v>
      </c>
      <c r="AB130" t="s" s="0">
        <v>81</v>
      </c>
      <c r="AC130" t="s" s="0">
        <v>81</v>
      </c>
      <c r="AD130" t="s" s="0">
        <v>81</v>
      </c>
      <c r="AE130" t="s" s="0">
        <v>81</v>
      </c>
      <c r="AF130" t="s" s="0">
        <v>81</v>
      </c>
      <c r="AG130" t="s" s="0">
        <v>3046</v>
      </c>
      <c r="AH130" t="s" s="0">
        <v>81</v>
      </c>
      <c r="AI130" t="s" s="0">
        <v>81</v>
      </c>
      <c r="AJ130" t="s" s="0">
        <v>81</v>
      </c>
      <c r="AK130" t="s" s="0">
        <v>81</v>
      </c>
      <c r="AL130" t="s" s="0">
        <v>862</v>
      </c>
      <c r="AM130" t="s" s="0">
        <v>77</v>
      </c>
      <c r="AN130" t="s" s="0">
        <v>77</v>
      </c>
      <c r="AO130" t="s" s="0">
        <v>77</v>
      </c>
      <c r="AP130" t="s" s="0">
        <v>77</v>
      </c>
      <c r="AQ130" t="s" s="0">
        <v>836</v>
      </c>
      <c r="AR130" t="s" s="0">
        <v>837</v>
      </c>
      <c r="AS130" t="s" s="0">
        <v>838</v>
      </c>
      <c r="AT130" t="s" s="0">
        <v>3047</v>
      </c>
      <c r="AU130" t="s" s="0">
        <v>3048</v>
      </c>
      <c r="AV130" t="s" s="0">
        <v>81</v>
      </c>
      <c r="AW130" t="s" s="0">
        <v>3049</v>
      </c>
      <c r="AX130" t="s" s="0">
        <v>3050</v>
      </c>
      <c r="AY130" t="s" s="0">
        <v>2903</v>
      </c>
      <c r="AZ130" t="s" s="0">
        <v>106</v>
      </c>
      <c r="BA130" t="s" s="0">
        <v>2373</v>
      </c>
      <c r="BB130" t="s" s="0">
        <v>81</v>
      </c>
      <c r="BC130" t="s" s="0">
        <v>81</v>
      </c>
      <c r="BD130" t="s" s="0">
        <v>81</v>
      </c>
      <c r="BE130" t="s" s="0">
        <v>81</v>
      </c>
      <c r="BF130" t="s" s="0">
        <v>81</v>
      </c>
      <c r="BG130" t="s" s="0">
        <v>81</v>
      </c>
      <c r="BH130" t="s" s="0">
        <v>81</v>
      </c>
      <c r="BI130" t="s" s="0">
        <v>3051</v>
      </c>
      <c r="BJ130" t="s" s="0">
        <v>3052</v>
      </c>
      <c r="BK130" t="s" s="257">
        <f>HYPERLINK("http://dx.doi.org/10.1016/j.ienj.2026.101890","http://dx.doi.org/10.1016/j.ienj.2026.101890")</f>
        <v>3053</v>
      </c>
      <c r="BL130" t="s" s="0">
        <v>81</v>
      </c>
      <c r="BM130" t="s" s="0">
        <v>81</v>
      </c>
      <c r="BN130" t="s" s="0">
        <v>140</v>
      </c>
      <c r="BO130" t="s" s="0">
        <v>3054</v>
      </c>
      <c r="BP130" t="s" s="0">
        <v>3054</v>
      </c>
      <c r="BQ130" t="s" s="0">
        <v>3055</v>
      </c>
      <c r="BR130" t="s" s="0">
        <v>3056</v>
      </c>
      <c r="BS130" t="s" s="0">
        <v>3057</v>
      </c>
      <c r="BT130" t="s" s="258">
        <f>HYPERLINK("https://www.webofscience.com/wos/woscc/full-record/WOS:001852339100001","View Record in Web of Science")</f>
        <v>118</v>
      </c>
      <c r="BU130" t="s" s="0">
        <v>81</v>
      </c>
      <c r="BV130" t="s" s="0">
        <v>81</v>
      </c>
      <c r="BW130" t="s" s="0">
        <v>81</v>
      </c>
      <c r="BX130" t="s" s="0">
        <v>120</v>
      </c>
    </row>
    <row r="131">
      <c r="A131" t="s" s="0">
        <v>77</v>
      </c>
      <c r="B131" t="s" s="0">
        <v>77</v>
      </c>
      <c r="C131" t="s" s="0">
        <v>77</v>
      </c>
      <c r="D131" t="s" s="0">
        <v>77</v>
      </c>
      <c r="E131" t="s" s="0">
        <v>3058</v>
      </c>
      <c r="F131" t="s" s="0">
        <v>3059</v>
      </c>
      <c r="G131" t="s" s="0">
        <v>3060</v>
      </c>
      <c r="H131" t="s" s="0">
        <v>81</v>
      </c>
      <c r="I131" t="s" s="0">
        <v>124</v>
      </c>
      <c r="J131" t="s" s="0">
        <v>3061</v>
      </c>
      <c r="K131" t="s" s="0">
        <v>3062</v>
      </c>
      <c r="L131" t="s" s="0">
        <v>3063</v>
      </c>
      <c r="M131" t="s" s="0">
        <v>3064</v>
      </c>
      <c r="N131" t="s" s="0">
        <v>3065</v>
      </c>
      <c r="O131" t="s" s="0">
        <v>3066</v>
      </c>
      <c r="P131" t="s" s="0">
        <v>3067</v>
      </c>
      <c r="Q131" t="s" s="0">
        <v>90</v>
      </c>
      <c r="R131" t="s" s="0">
        <v>81</v>
      </c>
      <c r="S131" t="s" s="0">
        <v>81</v>
      </c>
      <c r="T131" t="s" s="0">
        <v>81</v>
      </c>
      <c r="U131" t="s" s="0">
        <v>81</v>
      </c>
      <c r="V131" t="s" s="0">
        <v>3068</v>
      </c>
      <c r="W131" t="s" s="0">
        <v>3069</v>
      </c>
      <c r="X131" t="s" s="0">
        <v>81</v>
      </c>
      <c r="Y131" t="s" s="0">
        <v>81</v>
      </c>
      <c r="Z131" t="s" s="0">
        <v>93</v>
      </c>
      <c r="AA131" t="s" s="0">
        <v>94</v>
      </c>
      <c r="AB131" t="s" s="0">
        <v>81</v>
      </c>
      <c r="AC131" t="s" s="0">
        <v>81</v>
      </c>
      <c r="AD131" t="s" s="0">
        <v>81</v>
      </c>
      <c r="AE131" t="s" s="0">
        <v>81</v>
      </c>
      <c r="AF131" t="s" s="0">
        <v>81</v>
      </c>
      <c r="AG131" t="s" s="0">
        <v>3070</v>
      </c>
      <c r="AH131" t="s" s="0">
        <v>81</v>
      </c>
      <c r="AI131" t="s" s="0">
        <v>81</v>
      </c>
      <c r="AJ131" t="s" s="0">
        <v>81</v>
      </c>
      <c r="AK131" t="s" s="0">
        <v>81</v>
      </c>
      <c r="AL131" t="s" s="0">
        <v>362</v>
      </c>
      <c r="AM131" t="s" s="0">
        <v>77</v>
      </c>
      <c r="AN131" t="s" s="0">
        <v>77</v>
      </c>
      <c r="AO131" t="s" s="0">
        <v>77</v>
      </c>
      <c r="AP131" t="s" s="0">
        <v>77</v>
      </c>
      <c r="AQ131" t="s" s="0">
        <v>892</v>
      </c>
      <c r="AR131" t="s" s="0">
        <v>893</v>
      </c>
      <c r="AS131" t="s" s="0">
        <v>894</v>
      </c>
      <c r="AT131" t="s" s="0">
        <v>81</v>
      </c>
      <c r="AU131" t="s" s="0">
        <v>3071</v>
      </c>
      <c r="AV131" t="s" s="0">
        <v>81</v>
      </c>
      <c r="AW131" t="s" s="0">
        <v>3072</v>
      </c>
      <c r="AX131" t="s" s="0">
        <v>3073</v>
      </c>
      <c r="AY131" t="s" s="0">
        <v>2903</v>
      </c>
      <c r="AZ131" t="s" s="0">
        <v>106</v>
      </c>
      <c r="BA131" t="s" s="0">
        <v>433</v>
      </c>
      <c r="BB131" t="s" s="0">
        <v>720</v>
      </c>
      <c r="BC131" t="s" s="0">
        <v>81</v>
      </c>
      <c r="BD131" t="s" s="0">
        <v>81</v>
      </c>
      <c r="BE131" t="s" s="0">
        <v>81</v>
      </c>
      <c r="BF131" t="s" s="0">
        <v>81</v>
      </c>
      <c r="BG131" t="s" s="0">
        <v>81</v>
      </c>
      <c r="BH131" t="s" s="0">
        <v>81</v>
      </c>
      <c r="BI131" t="s" s="0">
        <v>3074</v>
      </c>
      <c r="BJ131" t="s" s="0">
        <v>3075</v>
      </c>
      <c r="BK131" t="s" s="259">
        <f>HYPERLINK("http://dx.doi.org/10.1016/j.xjidi.2026.100513","http://dx.doi.org/10.1016/j.xjidi.2026.100513")</f>
        <v>3076</v>
      </c>
      <c r="BL131" t="s" s="0">
        <v>81</v>
      </c>
      <c r="BM131" t="s" s="0">
        <v>81</v>
      </c>
      <c r="BN131" t="s" s="0">
        <v>1236</v>
      </c>
      <c r="BO131" t="s" s="0">
        <v>3077</v>
      </c>
      <c r="BP131" t="s" s="0">
        <v>3077</v>
      </c>
      <c r="BQ131" t="s" s="0">
        <v>3078</v>
      </c>
      <c r="BR131" t="s" s="0">
        <v>81</v>
      </c>
      <c r="BS131" t="s" s="0">
        <v>3079</v>
      </c>
      <c r="BT131" t="s" s="260">
        <f>HYPERLINK("https://www.webofscience.com/wos/woscc/full-record/WOS:001851724200001","View Record in Web of Science")</f>
        <v>118</v>
      </c>
      <c r="BU131" t="s" s="0">
        <v>119</v>
      </c>
      <c r="BV131" t="s" s="0">
        <v>81</v>
      </c>
      <c r="BW131" t="s" s="0">
        <v>81</v>
      </c>
      <c r="BX131" t="s" s="0">
        <v>120</v>
      </c>
    </row>
    <row r="132">
      <c r="A132" t="s" s="0">
        <v>77</v>
      </c>
      <c r="B132" t="s" s="0">
        <v>77</v>
      </c>
      <c r="C132" t="s" s="0">
        <v>77</v>
      </c>
      <c r="D132" t="s" s="0">
        <v>77</v>
      </c>
      <c r="E132" t="s" s="0">
        <v>3080</v>
      </c>
      <c r="F132" t="s" s="0">
        <v>3081</v>
      </c>
      <c r="G132" t="s" s="0">
        <v>3082</v>
      </c>
      <c r="H132" t="s" s="0">
        <v>81</v>
      </c>
      <c r="I132" t="s" s="0">
        <v>82</v>
      </c>
      <c r="J132" t="s" s="0">
        <v>3083</v>
      </c>
      <c r="K132" t="s" s="0">
        <v>3084</v>
      </c>
      <c r="L132" t="s" s="0">
        <v>3085</v>
      </c>
      <c r="M132" t="s" s="0">
        <v>3086</v>
      </c>
      <c r="N132" t="s" s="0">
        <v>3087</v>
      </c>
      <c r="O132" t="s" s="0">
        <v>3088</v>
      </c>
      <c r="P132" t="s" s="0">
        <v>3089</v>
      </c>
      <c r="Q132" t="s" s="0">
        <v>90</v>
      </c>
      <c r="R132" t="s" s="0">
        <v>81</v>
      </c>
      <c r="S132" t="s" s="0">
        <v>81</v>
      </c>
      <c r="T132" t="s" s="0">
        <v>81</v>
      </c>
      <c r="U132" t="s" s="0">
        <v>81</v>
      </c>
      <c r="V132" t="s" s="0">
        <v>3090</v>
      </c>
      <c r="W132" t="s" s="0">
        <v>3091</v>
      </c>
      <c r="X132" t="s" s="0">
        <v>81</v>
      </c>
      <c r="Y132" t="s" s="0">
        <v>81</v>
      </c>
      <c r="Z132" t="s" s="0">
        <v>93</v>
      </c>
      <c r="AA132" t="s" s="0">
        <v>94</v>
      </c>
      <c r="AB132" t="s" s="0">
        <v>81</v>
      </c>
      <c r="AC132" t="s" s="0">
        <v>81</v>
      </c>
      <c r="AD132" t="s" s="0">
        <v>81</v>
      </c>
      <c r="AE132" t="s" s="0">
        <v>81</v>
      </c>
      <c r="AF132" t="s" s="0">
        <v>81</v>
      </c>
      <c r="AG132" t="s" s="0">
        <v>3092</v>
      </c>
      <c r="AH132" t="s" s="0">
        <v>3093</v>
      </c>
      <c r="AI132" t="s" s="0">
        <v>81</v>
      </c>
      <c r="AJ132" t="s" s="0">
        <v>81</v>
      </c>
      <c r="AK132" t="s" s="0">
        <v>81</v>
      </c>
      <c r="AL132" t="s" s="0">
        <v>1703</v>
      </c>
      <c r="AM132" t="s" s="0">
        <v>77</v>
      </c>
      <c r="AN132" t="s" s="0">
        <v>77</v>
      </c>
      <c r="AO132" t="s" s="0">
        <v>77</v>
      </c>
      <c r="AP132" t="s" s="0">
        <v>77</v>
      </c>
      <c r="AQ132" t="s" s="0">
        <v>1103</v>
      </c>
      <c r="AR132" t="s" s="0">
        <v>1104</v>
      </c>
      <c r="AS132" t="s" s="0">
        <v>1105</v>
      </c>
      <c r="AT132" t="s" s="0">
        <v>3094</v>
      </c>
      <c r="AU132" t="s" s="0">
        <v>3095</v>
      </c>
      <c r="AV132" t="s" s="0">
        <v>81</v>
      </c>
      <c r="AW132" t="s" s="0">
        <v>3096</v>
      </c>
      <c r="AX132" t="s" s="0">
        <v>3097</v>
      </c>
      <c r="AY132" t="s" s="0">
        <v>2903</v>
      </c>
      <c r="AZ132" t="s" s="0">
        <v>106</v>
      </c>
      <c r="BA132" t="s" s="0">
        <v>249</v>
      </c>
      <c r="BB132" t="s" s="0">
        <v>434</v>
      </c>
      <c r="BC132" t="s" s="0">
        <v>81</v>
      </c>
      <c r="BD132" t="s" s="0">
        <v>81</v>
      </c>
      <c r="BE132" t="s" s="0">
        <v>81</v>
      </c>
      <c r="BF132" t="s" s="0">
        <v>81</v>
      </c>
      <c r="BG132" t="s" s="0">
        <v>3098</v>
      </c>
      <c r="BH132" t="s" s="0">
        <v>3099</v>
      </c>
      <c r="BI132" t="s" s="0">
        <v>81</v>
      </c>
      <c r="BJ132" t="s" s="0">
        <v>3100</v>
      </c>
      <c r="BK132" t="s" s="261">
        <f>HYPERLINK("http://dx.doi.org/10.1016/j.dld.2026.06.017","http://dx.doi.org/10.1016/j.dld.2026.06.017")</f>
        <v>3101</v>
      </c>
      <c r="BL132" t="s" s="0">
        <v>81</v>
      </c>
      <c r="BM132" t="s" s="0">
        <v>81</v>
      </c>
      <c r="BN132" t="s" s="0">
        <v>461</v>
      </c>
      <c r="BO132" t="s" s="0">
        <v>3102</v>
      </c>
      <c r="BP132" t="s" s="0">
        <v>3102</v>
      </c>
      <c r="BQ132" t="s" s="0">
        <v>3103</v>
      </c>
      <c r="BR132" t="s" s="0">
        <v>3104</v>
      </c>
      <c r="BS132" t="s" s="0">
        <v>3105</v>
      </c>
      <c r="BT132" t="s" s="262">
        <f>HYPERLINK("https://www.webofscience.com/wos/woscc/full-record/WOS:001851272300001","View Record in Web of Science")</f>
        <v>118</v>
      </c>
      <c r="BU132" t="s" s="0">
        <v>3106</v>
      </c>
      <c r="BV132" t="s" s="0">
        <v>81</v>
      </c>
      <c r="BW132" t="s" s="0">
        <v>81</v>
      </c>
      <c r="BX132" t="s" s="0">
        <v>120</v>
      </c>
    </row>
    <row r="133">
      <c r="A133" t="s" s="0">
        <v>77</v>
      </c>
      <c r="B133" t="s" s="0">
        <v>77</v>
      </c>
      <c r="C133" t="s" s="0">
        <v>77</v>
      </c>
      <c r="D133" t="s" s="0">
        <v>77</v>
      </c>
      <c r="E133" t="s" s="0">
        <v>3107</v>
      </c>
      <c r="F133" t="s" s="0">
        <v>3108</v>
      </c>
      <c r="G133" t="s" s="0">
        <v>3109</v>
      </c>
      <c r="H133" t="s" s="0">
        <v>81</v>
      </c>
      <c r="I133" t="s" s="0">
        <v>82</v>
      </c>
      <c r="J133" t="s" s="0">
        <v>3110</v>
      </c>
      <c r="K133" t="s" s="0">
        <v>3111</v>
      </c>
      <c r="L133" t="s" s="0">
        <v>3112</v>
      </c>
      <c r="M133" t="s" s="0">
        <v>3113</v>
      </c>
      <c r="N133" t="s" s="0">
        <v>3114</v>
      </c>
      <c r="O133" t="s" s="0">
        <v>3115</v>
      </c>
      <c r="P133" t="s" s="0">
        <v>3116</v>
      </c>
      <c r="Q133" t="s" s="0">
        <v>90</v>
      </c>
      <c r="R133" t="s" s="0">
        <v>81</v>
      </c>
      <c r="S133" t="s" s="0">
        <v>81</v>
      </c>
      <c r="T133" t="s" s="0">
        <v>81</v>
      </c>
      <c r="U133" t="s" s="0">
        <v>81</v>
      </c>
      <c r="V133" t="s" s="0">
        <v>3117</v>
      </c>
      <c r="W133" t="s" s="0">
        <v>3118</v>
      </c>
      <c r="X133" t="s" s="0">
        <v>81</v>
      </c>
      <c r="Y133" t="s" s="0">
        <v>81</v>
      </c>
      <c r="Z133" t="s" s="0">
        <v>93</v>
      </c>
      <c r="AA133" t="s" s="0">
        <v>94</v>
      </c>
      <c r="AB133" t="s" s="0">
        <v>81</v>
      </c>
      <c r="AC133" t="s" s="0">
        <v>81</v>
      </c>
      <c r="AD133" t="s" s="0">
        <v>81</v>
      </c>
      <c r="AE133" t="s" s="0">
        <v>81</v>
      </c>
      <c r="AF133" t="s" s="0">
        <v>81</v>
      </c>
      <c r="AG133" t="s" s="0">
        <v>3119</v>
      </c>
      <c r="AH133" t="s" s="0">
        <v>3120</v>
      </c>
      <c r="AI133" t="s" s="0">
        <v>81</v>
      </c>
      <c r="AJ133" t="s" s="0">
        <v>81</v>
      </c>
      <c r="AK133" t="s" s="0">
        <v>81</v>
      </c>
      <c r="AL133" t="s" s="0">
        <v>3121</v>
      </c>
      <c r="AM133" t="s" s="0">
        <v>77</v>
      </c>
      <c r="AN133" t="s" s="0">
        <v>77</v>
      </c>
      <c r="AO133" t="s" s="0">
        <v>77</v>
      </c>
      <c r="AP133" t="s" s="0">
        <v>77</v>
      </c>
      <c r="AQ133" t="s" s="0">
        <v>3122</v>
      </c>
      <c r="AR133" t="s" s="0">
        <v>99</v>
      </c>
      <c r="AS133" t="s" s="0">
        <v>3123</v>
      </c>
      <c r="AT133" t="s" s="0">
        <v>3124</v>
      </c>
      <c r="AU133" t="s" s="0">
        <v>3125</v>
      </c>
      <c r="AV133" t="s" s="0">
        <v>81</v>
      </c>
      <c r="AW133" t="s" s="0">
        <v>3118</v>
      </c>
      <c r="AX133" t="s" s="0">
        <v>3126</v>
      </c>
      <c r="AY133" t="s" s="0">
        <v>2903</v>
      </c>
      <c r="AZ133" t="s" s="0">
        <v>106</v>
      </c>
      <c r="BA133" t="s" s="0">
        <v>409</v>
      </c>
      <c r="BB133" t="s" s="0">
        <v>434</v>
      </c>
      <c r="BC133" t="s" s="0">
        <v>81</v>
      </c>
      <c r="BD133" t="s" s="0">
        <v>81</v>
      </c>
      <c r="BE133" t="s" s="0">
        <v>81</v>
      </c>
      <c r="BF133" t="s" s="0">
        <v>81</v>
      </c>
      <c r="BG133" t="s" s="0">
        <v>81</v>
      </c>
      <c r="BH133" t="s" s="0">
        <v>81</v>
      </c>
      <c r="BI133" t="s" s="0">
        <v>3127</v>
      </c>
      <c r="BJ133" t="s" s="0">
        <v>3128</v>
      </c>
      <c r="BK133" t="s" s="263">
        <f>HYPERLINK("http://dx.doi.org/10.1161/HYPERTENSIONAHA.126.26233","http://dx.doi.org/10.1161/HYPERTENSIONAHA.126.26233")</f>
        <v>3129</v>
      </c>
      <c r="BL133" t="s" s="0">
        <v>81</v>
      </c>
      <c r="BM133" t="s" s="0">
        <v>81</v>
      </c>
      <c r="BN133" t="s" s="0">
        <v>413</v>
      </c>
      <c r="BO133" t="s" s="0">
        <v>3130</v>
      </c>
      <c r="BP133" t="s" s="0">
        <v>2683</v>
      </c>
      <c r="BQ133" t="s" s="0">
        <v>3131</v>
      </c>
      <c r="BR133" t="s" s="0">
        <v>3132</v>
      </c>
      <c r="BS133" t="s" s="0">
        <v>3133</v>
      </c>
      <c r="BT133" t="s" s="264">
        <f>HYPERLINK("https://www.webofscience.com/wos/woscc/full-record/WOS:001850313800010","View Record in Web of Science")</f>
        <v>118</v>
      </c>
      <c r="BU133" t="s" s="0">
        <v>81</v>
      </c>
      <c r="BV133" t="s" s="0">
        <v>81</v>
      </c>
      <c r="BW133" t="s" s="0">
        <v>81</v>
      </c>
      <c r="BX133" t="s" s="0">
        <v>120</v>
      </c>
    </row>
    <row r="134">
      <c r="A134" t="s" s="0">
        <v>77</v>
      </c>
      <c r="B134" t="s" s="0">
        <v>77</v>
      </c>
      <c r="C134" t="s" s="0">
        <v>77</v>
      </c>
      <c r="D134" t="s" s="0">
        <v>77</v>
      </c>
      <c r="E134" t="s" s="0">
        <v>3134</v>
      </c>
      <c r="F134" t="s" s="0">
        <v>3135</v>
      </c>
      <c r="G134" t="s" s="0">
        <v>3136</v>
      </c>
      <c r="H134" t="s" s="0">
        <v>81</v>
      </c>
      <c r="I134" t="s" s="0">
        <v>82</v>
      </c>
      <c r="J134" t="s" s="0">
        <v>3137</v>
      </c>
      <c r="K134" t="s" s="0">
        <v>3138</v>
      </c>
      <c r="L134" t="s" s="0">
        <v>81</v>
      </c>
      <c r="M134" t="s" s="0">
        <v>81</v>
      </c>
      <c r="N134" t="s" s="0">
        <v>81</v>
      </c>
      <c r="O134" t="s" s="0">
        <v>3139</v>
      </c>
      <c r="P134" t="s" s="0">
        <v>3140</v>
      </c>
      <c r="Q134" t="s" s="0">
        <v>90</v>
      </c>
      <c r="R134" t="s" s="0">
        <v>81</v>
      </c>
      <c r="S134" t="s" s="0">
        <v>81</v>
      </c>
      <c r="T134" t="s" s="0">
        <v>81</v>
      </c>
      <c r="U134" t="s" s="0">
        <v>81</v>
      </c>
      <c r="V134" t="s" s="0">
        <v>3141</v>
      </c>
      <c r="W134" t="s" s="0">
        <v>3142</v>
      </c>
      <c r="X134" t="s" s="0">
        <v>81</v>
      </c>
      <c r="Y134" t="s" s="0">
        <v>81</v>
      </c>
      <c r="Z134" t="s" s="0">
        <v>93</v>
      </c>
      <c r="AA134" t="s" s="0">
        <v>94</v>
      </c>
      <c r="AB134" t="s" s="0">
        <v>81</v>
      </c>
      <c r="AC134" t="s" s="0">
        <v>81</v>
      </c>
      <c r="AD134" t="s" s="0">
        <v>81</v>
      </c>
      <c r="AE134" t="s" s="0">
        <v>81</v>
      </c>
      <c r="AF134" t="s" s="0">
        <v>81</v>
      </c>
      <c r="AG134" t="s" s="0">
        <v>3143</v>
      </c>
      <c r="AH134" t="s" s="0">
        <v>3144</v>
      </c>
      <c r="AI134" t="s" s="0">
        <v>81</v>
      </c>
      <c r="AJ134" t="s" s="0">
        <v>81</v>
      </c>
      <c r="AK134" t="s" s="0">
        <v>81</v>
      </c>
      <c r="AL134" t="s" s="0">
        <v>1471</v>
      </c>
      <c r="AM134" t="s" s="0">
        <v>77</v>
      </c>
      <c r="AN134" t="s" s="0">
        <v>77</v>
      </c>
      <c r="AO134" t="s" s="0">
        <v>77</v>
      </c>
      <c r="AP134" t="s" s="0">
        <v>77</v>
      </c>
      <c r="AQ134" t="s" s="0">
        <v>3145</v>
      </c>
      <c r="AR134" t="s" s="0">
        <v>3146</v>
      </c>
      <c r="AS134" t="s" s="0">
        <v>3147</v>
      </c>
      <c r="AT134" t="s" s="0">
        <v>3148</v>
      </c>
      <c r="AU134" t="s" s="0">
        <v>3149</v>
      </c>
      <c r="AV134" t="s" s="0">
        <v>81</v>
      </c>
      <c r="AW134" t="s" s="0">
        <v>3150</v>
      </c>
      <c r="AX134" t="s" s="0">
        <v>3151</v>
      </c>
      <c r="AY134" t="s" s="0">
        <v>2903</v>
      </c>
      <c r="AZ134" t="s" s="0">
        <v>106</v>
      </c>
      <c r="BA134" t="s" s="0">
        <v>752</v>
      </c>
      <c r="BB134" t="s" s="0">
        <v>434</v>
      </c>
      <c r="BC134" t="s" s="0">
        <v>81</v>
      </c>
      <c r="BD134" t="s" s="0">
        <v>81</v>
      </c>
      <c r="BE134" t="s" s="0">
        <v>81</v>
      </c>
      <c r="BF134" t="s" s="0">
        <v>81</v>
      </c>
      <c r="BG134" t="s" s="0">
        <v>3152</v>
      </c>
      <c r="BH134" t="s" s="0">
        <v>3153</v>
      </c>
      <c r="BI134" t="s" s="0">
        <v>81</v>
      </c>
      <c r="BJ134" t="s" s="0">
        <v>3154</v>
      </c>
      <c r="BK134" t="s" s="265">
        <f>HYPERLINK("http://dx.doi.org/10.14670/HH-25-059","http://dx.doi.org/10.14670/HH-25-059")</f>
        <v>3155</v>
      </c>
      <c r="BL134" t="s" s="0">
        <v>81</v>
      </c>
      <c r="BM134" t="s" s="0">
        <v>81</v>
      </c>
      <c r="BN134" t="s" s="0">
        <v>113</v>
      </c>
      <c r="BO134" t="s" s="0">
        <v>3156</v>
      </c>
      <c r="BP134" t="s" s="0">
        <v>3156</v>
      </c>
      <c r="BQ134" t="s" s="0">
        <v>3157</v>
      </c>
      <c r="BR134" t="s" s="0">
        <v>3158</v>
      </c>
      <c r="BS134" t="s" s="0">
        <v>3159</v>
      </c>
      <c r="BT134" t="s" s="266">
        <f>HYPERLINK("https://www.webofscience.com/wos/woscc/full-record/WOS:001849276000004","View Record in Web of Science")</f>
        <v>118</v>
      </c>
      <c r="BU134" t="s" s="0">
        <v>81</v>
      </c>
      <c r="BV134" t="s" s="0">
        <v>81</v>
      </c>
      <c r="BW134" t="s" s="0">
        <v>81</v>
      </c>
      <c r="BX134" t="s" s="0">
        <v>120</v>
      </c>
    </row>
    <row r="135">
      <c r="A135" t="s" s="0">
        <v>77</v>
      </c>
      <c r="B135" t="s" s="0">
        <v>77</v>
      </c>
      <c r="C135" t="s" s="0">
        <v>77</v>
      </c>
      <c r="D135" t="s" s="0">
        <v>77</v>
      </c>
      <c r="E135" t="s" s="0">
        <v>3160</v>
      </c>
      <c r="F135" t="s" s="0">
        <v>3161</v>
      </c>
      <c r="G135" t="s" s="0">
        <v>3162</v>
      </c>
      <c r="H135" t="s" s="0">
        <v>81</v>
      </c>
      <c r="I135" t="s" s="0">
        <v>82</v>
      </c>
      <c r="J135" t="s" s="0">
        <v>3163</v>
      </c>
      <c r="K135" t="s" s="0">
        <v>3164</v>
      </c>
      <c r="L135" t="s" s="0">
        <v>81</v>
      </c>
      <c r="M135" t="s" s="0">
        <v>81</v>
      </c>
      <c r="N135" t="s" s="0">
        <v>81</v>
      </c>
      <c r="O135" t="s" s="0">
        <v>3165</v>
      </c>
      <c r="P135" t="s" s="0">
        <v>3166</v>
      </c>
      <c r="Q135" t="s" s="0">
        <v>90</v>
      </c>
      <c r="R135" t="s" s="0">
        <v>81</v>
      </c>
      <c r="S135" t="s" s="0">
        <v>81</v>
      </c>
      <c r="T135" t="s" s="0">
        <v>81</v>
      </c>
      <c r="U135" t="s" s="0">
        <v>81</v>
      </c>
      <c r="V135" t="s" s="0">
        <v>3167</v>
      </c>
      <c r="W135" t="s" s="0">
        <v>3168</v>
      </c>
      <c r="X135" t="s" s="0">
        <v>81</v>
      </c>
      <c r="Y135" t="s" s="0">
        <v>81</v>
      </c>
      <c r="Z135" t="s" s="0">
        <v>93</v>
      </c>
      <c r="AA135" t="s" s="0">
        <v>94</v>
      </c>
      <c r="AB135" t="s" s="0">
        <v>81</v>
      </c>
      <c r="AC135" t="s" s="0">
        <v>81</v>
      </c>
      <c r="AD135" t="s" s="0">
        <v>81</v>
      </c>
      <c r="AE135" t="s" s="0">
        <v>81</v>
      </c>
      <c r="AF135" t="s" s="0">
        <v>81</v>
      </c>
      <c r="AG135" t="s" s="0">
        <v>3169</v>
      </c>
      <c r="AH135" t="s" s="0">
        <v>3170</v>
      </c>
      <c r="AI135" t="s" s="0">
        <v>81</v>
      </c>
      <c r="AJ135" t="s" s="0">
        <v>81</v>
      </c>
      <c r="AK135" t="s" s="0">
        <v>81</v>
      </c>
      <c r="AL135" t="s" s="0">
        <v>3171</v>
      </c>
      <c r="AM135" t="s" s="0">
        <v>108</v>
      </c>
      <c r="AN135" t="s" s="0">
        <v>108</v>
      </c>
      <c r="AO135" t="s" s="0">
        <v>108</v>
      </c>
      <c r="AP135" t="s" s="0">
        <v>108</v>
      </c>
      <c r="AQ135" t="s" s="0">
        <v>3172</v>
      </c>
      <c r="AR135" t="s" s="0">
        <v>99</v>
      </c>
      <c r="AS135" t="s" s="0">
        <v>3173</v>
      </c>
      <c r="AT135" t="s" s="0">
        <v>3174</v>
      </c>
      <c r="AU135" t="s" s="0">
        <v>3175</v>
      </c>
      <c r="AV135" t="s" s="0">
        <v>81</v>
      </c>
      <c r="AW135" t="s" s="0">
        <v>3176</v>
      </c>
      <c r="AX135" t="s" s="0">
        <v>3177</v>
      </c>
      <c r="AY135" t="s" s="0">
        <v>2903</v>
      </c>
      <c r="AZ135" t="s" s="0">
        <v>106</v>
      </c>
      <c r="BA135" t="s" s="0">
        <v>274</v>
      </c>
      <c r="BB135" t="s" s="0">
        <v>434</v>
      </c>
      <c r="BC135" t="s" s="0">
        <v>81</v>
      </c>
      <c r="BD135" t="s" s="0">
        <v>81</v>
      </c>
      <c r="BE135" t="s" s="0">
        <v>81</v>
      </c>
      <c r="BF135" t="s" s="0">
        <v>81</v>
      </c>
      <c r="BG135" t="s" s="0">
        <v>3178</v>
      </c>
      <c r="BH135" t="s" s="0">
        <v>3179</v>
      </c>
      <c r="BI135" t="s" s="0">
        <v>81</v>
      </c>
      <c r="BJ135" t="s" s="0">
        <v>3180</v>
      </c>
      <c r="BK135" t="s" s="267">
        <f>HYPERLINK("http://dx.doi.org/10.1053/j.jvca.2026.05.005","http://dx.doi.org/10.1053/j.jvca.2026.05.005")</f>
        <v>3181</v>
      </c>
      <c r="BL135" t="s" s="0">
        <v>81</v>
      </c>
      <c r="BM135" t="s" s="0">
        <v>81</v>
      </c>
      <c r="BN135" t="s" s="0">
        <v>1236</v>
      </c>
      <c r="BO135" t="s" s="0">
        <v>3182</v>
      </c>
      <c r="BP135" t="s" s="0">
        <v>3183</v>
      </c>
      <c r="BQ135" t="s" s="0">
        <v>3184</v>
      </c>
      <c r="BR135" t="s" s="0">
        <v>3185</v>
      </c>
      <c r="BS135" t="s" s="0">
        <v>3186</v>
      </c>
      <c r="BT135" t="s" s="268">
        <f>HYPERLINK("https://www.webofscience.com/wos/woscc/full-record/WOS:001849388300001","View Record in Web of Science")</f>
        <v>118</v>
      </c>
      <c r="BU135" t="s" s="0">
        <v>81</v>
      </c>
      <c r="BV135" t="s" s="0">
        <v>81</v>
      </c>
      <c r="BW135" t="s" s="0">
        <v>81</v>
      </c>
      <c r="BX135" t="s" s="0">
        <v>120</v>
      </c>
    </row>
    <row r="136">
      <c r="A136" t="s" s="0">
        <v>77</v>
      </c>
      <c r="B136" t="s" s="0">
        <v>77</v>
      </c>
      <c r="C136" t="s" s="0">
        <v>77</v>
      </c>
      <c r="D136" t="s" s="0">
        <v>77</v>
      </c>
      <c r="E136" t="s" s="0">
        <v>3187</v>
      </c>
      <c r="F136" t="s" s="0">
        <v>3188</v>
      </c>
      <c r="G136" t="s" s="0">
        <v>3189</v>
      </c>
      <c r="H136" t="s" s="0">
        <v>81</v>
      </c>
      <c r="I136" t="s" s="0">
        <v>82</v>
      </c>
      <c r="J136" t="s" s="0">
        <v>3190</v>
      </c>
      <c r="K136" t="s" s="0">
        <v>3191</v>
      </c>
      <c r="L136" t="s" s="0">
        <v>81</v>
      </c>
      <c r="M136" t="s" s="0">
        <v>81</v>
      </c>
      <c r="N136" t="s" s="0">
        <v>81</v>
      </c>
      <c r="O136" t="s" s="0">
        <v>3192</v>
      </c>
      <c r="P136" t="s" s="0">
        <v>81</v>
      </c>
      <c r="Q136" t="s" s="0">
        <v>90</v>
      </c>
      <c r="R136" t="s" s="0">
        <v>81</v>
      </c>
      <c r="S136" t="s" s="0">
        <v>81</v>
      </c>
      <c r="T136" t="s" s="0">
        <v>81</v>
      </c>
      <c r="U136" t="s" s="0">
        <v>81</v>
      </c>
      <c r="V136" t="s" s="0">
        <v>3193</v>
      </c>
      <c r="W136" t="s" s="0">
        <v>3194</v>
      </c>
      <c r="X136" t="s" s="0">
        <v>81</v>
      </c>
      <c r="Y136" t="s" s="0">
        <v>81</v>
      </c>
      <c r="Z136" t="s" s="0">
        <v>93</v>
      </c>
      <c r="AA136" t="s" s="0">
        <v>94</v>
      </c>
      <c r="AB136" t="s" s="0">
        <v>81</v>
      </c>
      <c r="AC136" t="s" s="0">
        <v>81</v>
      </c>
      <c r="AD136" t="s" s="0">
        <v>81</v>
      </c>
      <c r="AE136" t="s" s="0">
        <v>81</v>
      </c>
      <c r="AF136" t="s" s="0">
        <v>81</v>
      </c>
      <c r="AG136" t="s" s="0">
        <v>3195</v>
      </c>
      <c r="AH136" t="s" s="0">
        <v>3196</v>
      </c>
      <c r="AI136" t="s" s="0">
        <v>81</v>
      </c>
      <c r="AJ136" t="s" s="0">
        <v>3197</v>
      </c>
      <c r="AK136" t="s" s="0">
        <v>81</v>
      </c>
      <c r="AL136" t="s" s="0">
        <v>972</v>
      </c>
      <c r="AM136" t="s" s="0">
        <v>77</v>
      </c>
      <c r="AN136" t="s" s="0">
        <v>77</v>
      </c>
      <c r="AO136" t="s" s="0">
        <v>77</v>
      </c>
      <c r="AP136" t="s" s="0">
        <v>77</v>
      </c>
      <c r="AQ136" t="s" s="0">
        <v>2953</v>
      </c>
      <c r="AR136" t="s" s="0">
        <v>2954</v>
      </c>
      <c r="AS136" t="s" s="0">
        <v>2955</v>
      </c>
      <c r="AT136" t="s" s="0">
        <v>3198</v>
      </c>
      <c r="AU136" t="s" s="0">
        <v>3199</v>
      </c>
      <c r="AV136" t="s" s="0">
        <v>81</v>
      </c>
      <c r="AW136" t="s" s="0">
        <v>3200</v>
      </c>
      <c r="AX136" t="s" s="0">
        <v>3201</v>
      </c>
      <c r="AY136" t="s" s="0">
        <v>2903</v>
      </c>
      <c r="AZ136" t="s" s="0">
        <v>106</v>
      </c>
      <c r="BA136" t="s" s="0">
        <v>274</v>
      </c>
      <c r="BB136" t="s" s="0">
        <v>434</v>
      </c>
      <c r="BC136" t="s" s="0">
        <v>81</v>
      </c>
      <c r="BD136" t="s" s="0">
        <v>81</v>
      </c>
      <c r="BE136" t="s" s="0">
        <v>81</v>
      </c>
      <c r="BF136" t="s" s="0">
        <v>81</v>
      </c>
      <c r="BG136" t="s" s="0">
        <v>81</v>
      </c>
      <c r="BH136" t="s" s="0">
        <v>81</v>
      </c>
      <c r="BI136" t="s" s="0">
        <v>3202</v>
      </c>
      <c r="BJ136" t="s" s="0">
        <v>3203</v>
      </c>
      <c r="BK136" t="s" s="269">
        <f>HYPERLINK("http://dx.doi.org/10.1002/bmc.70575","http://dx.doi.org/10.1002/bmc.70575")</f>
        <v>3204</v>
      </c>
      <c r="BL136" t="s" s="0">
        <v>81</v>
      </c>
      <c r="BM136" t="s" s="0">
        <v>81</v>
      </c>
      <c r="BN136" t="s" s="0">
        <v>413</v>
      </c>
      <c r="BO136" t="s" s="0">
        <v>3205</v>
      </c>
      <c r="BP136" t="s" s="0">
        <v>3206</v>
      </c>
      <c r="BQ136" t="s" s="0">
        <v>3207</v>
      </c>
      <c r="BR136" t="s" s="0">
        <v>3208</v>
      </c>
      <c r="BS136" t="s" s="0">
        <v>3209</v>
      </c>
      <c r="BT136" t="s" s="270">
        <f>HYPERLINK("https://www.webofscience.com/wos/woscc/full-record/WOS:001849717900001","View Record in Web of Science")</f>
        <v>118</v>
      </c>
      <c r="BU136" t="s" s="0">
        <v>3210</v>
      </c>
      <c r="BV136" t="s" s="0">
        <v>81</v>
      </c>
      <c r="BW136" t="s" s="0">
        <v>81</v>
      </c>
      <c r="BX136" t="s" s="0">
        <v>120</v>
      </c>
    </row>
    <row r="137">
      <c r="A137" t="s" s="0">
        <v>77</v>
      </c>
      <c r="B137" t="s" s="0">
        <v>77</v>
      </c>
      <c r="C137" t="s" s="0">
        <v>77</v>
      </c>
      <c r="D137" t="s" s="0">
        <v>77</v>
      </c>
      <c r="E137" t="s" s="0">
        <v>3211</v>
      </c>
      <c r="F137" t="s" s="0">
        <v>3212</v>
      </c>
      <c r="G137" t="s" s="0">
        <v>3213</v>
      </c>
      <c r="H137" t="s" s="0">
        <v>81</v>
      </c>
      <c r="I137" t="s" s="0">
        <v>124</v>
      </c>
      <c r="J137" t="s" s="0">
        <v>3214</v>
      </c>
      <c r="K137" t="s" s="0">
        <v>3215</v>
      </c>
      <c r="L137" t="s" s="0">
        <v>3216</v>
      </c>
      <c r="M137" t="s" s="0">
        <v>3217</v>
      </c>
      <c r="N137" t="s" s="0">
        <v>3218</v>
      </c>
      <c r="O137" t="s" s="0">
        <v>3219</v>
      </c>
      <c r="P137" t="s" s="0">
        <v>81</v>
      </c>
      <c r="Q137" t="s" s="0">
        <v>90</v>
      </c>
      <c r="R137" t="s" s="0">
        <v>81</v>
      </c>
      <c r="S137" t="s" s="0">
        <v>81</v>
      </c>
      <c r="T137" t="s" s="0">
        <v>81</v>
      </c>
      <c r="U137" t="s" s="0">
        <v>81</v>
      </c>
      <c r="V137" t="s" s="0">
        <v>3220</v>
      </c>
      <c r="W137" t="s" s="0">
        <v>3221</v>
      </c>
      <c r="X137" t="s" s="0">
        <v>81</v>
      </c>
      <c r="Y137" t="s" s="0">
        <v>81</v>
      </c>
      <c r="Z137" t="s" s="0">
        <v>93</v>
      </c>
      <c r="AA137" t="s" s="0">
        <v>94</v>
      </c>
      <c r="AB137" t="s" s="0">
        <v>81</v>
      </c>
      <c r="AC137" t="s" s="0">
        <v>81</v>
      </c>
      <c r="AD137" t="s" s="0">
        <v>81</v>
      </c>
      <c r="AE137" t="s" s="0">
        <v>81</v>
      </c>
      <c r="AF137" t="s" s="0">
        <v>81</v>
      </c>
      <c r="AG137" t="s" s="0">
        <v>3222</v>
      </c>
      <c r="AH137" t="s" s="0">
        <v>81</v>
      </c>
      <c r="AI137" t="s" s="0">
        <v>81</v>
      </c>
      <c r="AJ137" t="s" s="0">
        <v>81</v>
      </c>
      <c r="AK137" t="s" s="0">
        <v>81</v>
      </c>
      <c r="AL137" t="s" s="0">
        <v>113</v>
      </c>
      <c r="AM137" t="s" s="0">
        <v>77</v>
      </c>
      <c r="AN137" t="s" s="0">
        <v>77</v>
      </c>
      <c r="AO137" t="s" s="0">
        <v>77</v>
      </c>
      <c r="AP137" t="s" s="0">
        <v>77</v>
      </c>
      <c r="AQ137" t="s" s="0">
        <v>892</v>
      </c>
      <c r="AR137" t="s" s="0">
        <v>893</v>
      </c>
      <c r="AS137" t="s" s="0">
        <v>894</v>
      </c>
      <c r="AT137" t="s" s="0">
        <v>3223</v>
      </c>
      <c r="AU137" t="s" s="0">
        <v>81</v>
      </c>
      <c r="AV137" t="s" s="0">
        <v>81</v>
      </c>
      <c r="AW137" t="s" s="0">
        <v>3224</v>
      </c>
      <c r="AX137" t="s" s="0">
        <v>3225</v>
      </c>
      <c r="AY137" t="s" s="0">
        <v>2903</v>
      </c>
      <c r="AZ137" t="s" s="0">
        <v>106</v>
      </c>
      <c r="BA137" t="s" s="0">
        <v>433</v>
      </c>
      <c r="BB137" t="s" s="0">
        <v>434</v>
      </c>
      <c r="BC137" t="s" s="0">
        <v>81</v>
      </c>
      <c r="BD137" t="s" s="0">
        <v>81</v>
      </c>
      <c r="BE137" t="s" s="0">
        <v>81</v>
      </c>
      <c r="BF137" t="s" s="0">
        <v>81</v>
      </c>
      <c r="BG137" t="s" s="0">
        <v>81</v>
      </c>
      <c r="BH137" t="s" s="0">
        <v>81</v>
      </c>
      <c r="BI137" t="s" s="0">
        <v>3226</v>
      </c>
      <c r="BJ137" t="s" s="0">
        <v>3227</v>
      </c>
      <c r="BK137" t="s" s="271">
        <f>HYPERLINK("http://dx.doi.org/10.1016/j.xops.2026.101296","http://dx.doi.org/10.1016/j.xops.2026.101296")</f>
        <v>3228</v>
      </c>
      <c r="BL137" t="s" s="0">
        <v>81</v>
      </c>
      <c r="BM137" t="s" s="0">
        <v>81</v>
      </c>
      <c r="BN137" t="s" s="0">
        <v>511</v>
      </c>
      <c r="BO137" t="s" s="0">
        <v>3229</v>
      </c>
      <c r="BP137" t="s" s="0">
        <v>3229</v>
      </c>
      <c r="BQ137" t="s" s="0">
        <v>3230</v>
      </c>
      <c r="BR137" t="s" s="0">
        <v>81</v>
      </c>
      <c r="BS137" t="s" s="0">
        <v>3231</v>
      </c>
      <c r="BT137" t="s" s="272">
        <f>HYPERLINK("https://www.webofscience.com/wos/woscc/full-record/WOS:001847498700001","View Record in Web of Science")</f>
        <v>118</v>
      </c>
      <c r="BU137" t="s" s="0">
        <v>119</v>
      </c>
      <c r="BV137" t="s" s="0">
        <v>81</v>
      </c>
      <c r="BW137" t="s" s="0">
        <v>81</v>
      </c>
      <c r="BX137" t="s" s="0">
        <v>120</v>
      </c>
    </row>
    <row r="138">
      <c r="A138" t="s" s="0">
        <v>77</v>
      </c>
      <c r="B138" t="s" s="0">
        <v>77</v>
      </c>
      <c r="C138" t="s" s="0">
        <v>77</v>
      </c>
      <c r="D138" t="s" s="0">
        <v>77</v>
      </c>
      <c r="E138" t="s" s="0">
        <v>3232</v>
      </c>
      <c r="F138" t="s" s="0">
        <v>3233</v>
      </c>
      <c r="G138" t="s" s="0">
        <v>3234</v>
      </c>
      <c r="H138" t="s" s="0">
        <v>81</v>
      </c>
      <c r="I138" t="s" s="0">
        <v>82</v>
      </c>
      <c r="J138" t="s" s="0">
        <v>3235</v>
      </c>
      <c r="K138" t="s" s="0">
        <v>3236</v>
      </c>
      <c r="L138" t="s" s="0">
        <v>81</v>
      </c>
      <c r="M138" t="s" s="0">
        <v>81</v>
      </c>
      <c r="N138" t="s" s="0">
        <v>81</v>
      </c>
      <c r="O138" t="s" s="0">
        <v>3237</v>
      </c>
      <c r="P138" t="s" s="0">
        <v>3238</v>
      </c>
      <c r="Q138" t="s" s="0">
        <v>90</v>
      </c>
      <c r="R138" t="s" s="0">
        <v>81</v>
      </c>
      <c r="S138" t="s" s="0">
        <v>81</v>
      </c>
      <c r="T138" t="s" s="0">
        <v>81</v>
      </c>
      <c r="U138" t="s" s="0">
        <v>81</v>
      </c>
      <c r="V138" t="s" s="0">
        <v>3239</v>
      </c>
      <c r="W138" t="s" s="0">
        <v>3240</v>
      </c>
      <c r="X138" t="s" s="0">
        <v>81</v>
      </c>
      <c r="Y138" t="s" s="0">
        <v>81</v>
      </c>
      <c r="Z138" t="s" s="0">
        <v>93</v>
      </c>
      <c r="AA138" t="s" s="0">
        <v>94</v>
      </c>
      <c r="AB138" t="s" s="0">
        <v>81</v>
      </c>
      <c r="AC138" t="s" s="0">
        <v>81</v>
      </c>
      <c r="AD138" t="s" s="0">
        <v>81</v>
      </c>
      <c r="AE138" t="s" s="0">
        <v>81</v>
      </c>
      <c r="AF138" t="s" s="0">
        <v>81</v>
      </c>
      <c r="AG138" t="s" s="0">
        <v>3241</v>
      </c>
      <c r="AH138" t="s" s="0">
        <v>3242</v>
      </c>
      <c r="AI138" t="s" s="0">
        <v>81</v>
      </c>
      <c r="AJ138" t="s" s="0">
        <v>81</v>
      </c>
      <c r="AK138" t="s" s="0">
        <v>81</v>
      </c>
      <c r="AL138" t="s" s="0">
        <v>221</v>
      </c>
      <c r="AM138" t="s" s="0">
        <v>77</v>
      </c>
      <c r="AN138" t="s" s="0">
        <v>77</v>
      </c>
      <c r="AO138" t="s" s="0">
        <v>77</v>
      </c>
      <c r="AP138" t="s" s="0">
        <v>77</v>
      </c>
      <c r="AQ138" t="s" s="0">
        <v>863</v>
      </c>
      <c r="AR138" t="s" s="0">
        <v>864</v>
      </c>
      <c r="AS138" t="s" s="0">
        <v>865</v>
      </c>
      <c r="AT138" t="s" s="0">
        <v>3243</v>
      </c>
      <c r="AU138" t="s" s="0">
        <v>3244</v>
      </c>
      <c r="AV138" t="s" s="0">
        <v>81</v>
      </c>
      <c r="AW138" t="s" s="0">
        <v>3245</v>
      </c>
      <c r="AX138" t="s" s="0">
        <v>3246</v>
      </c>
      <c r="AY138" t="s" s="0">
        <v>2903</v>
      </c>
      <c r="AZ138" t="s" s="0">
        <v>106</v>
      </c>
      <c r="BA138" t="s" s="0">
        <v>3247</v>
      </c>
      <c r="BB138" t="s" s="0">
        <v>461</v>
      </c>
      <c r="BC138" t="s" s="0">
        <v>81</v>
      </c>
      <c r="BD138" t="s" s="0">
        <v>81</v>
      </c>
      <c r="BE138" t="s" s="0">
        <v>81</v>
      </c>
      <c r="BF138" t="s" s="0">
        <v>81</v>
      </c>
      <c r="BG138" t="s" s="0">
        <v>1323</v>
      </c>
      <c r="BH138" t="s" s="0">
        <v>3248</v>
      </c>
      <c r="BI138" t="s" s="0">
        <v>81</v>
      </c>
      <c r="BJ138" t="s" s="0">
        <v>3249</v>
      </c>
      <c r="BK138" t="s" s="273">
        <f>HYPERLINK("http://dx.doi.org/10.1016/j.neurol.2026.04.010","http://dx.doi.org/10.1016/j.neurol.2026.04.010")</f>
        <v>3250</v>
      </c>
      <c r="BL138" t="s" s="0">
        <v>81</v>
      </c>
      <c r="BM138" t="s" s="0">
        <v>81</v>
      </c>
      <c r="BN138" t="s" s="0">
        <v>144</v>
      </c>
      <c r="BO138" t="s" s="0">
        <v>145</v>
      </c>
      <c r="BP138" t="s" s="0">
        <v>146</v>
      </c>
      <c r="BQ138" t="s" s="0">
        <v>3251</v>
      </c>
      <c r="BR138" t="s" s="0">
        <v>3252</v>
      </c>
      <c r="BS138" t="s" s="0">
        <v>3253</v>
      </c>
      <c r="BT138" t="s" s="274">
        <f>HYPERLINK("https://www.webofscience.com/wos/woscc/full-record/WOS:001849483900001","View Record in Web of Science")</f>
        <v>118</v>
      </c>
      <c r="BU138" t="s" s="0">
        <v>81</v>
      </c>
      <c r="BV138" t="s" s="0">
        <v>81</v>
      </c>
      <c r="BW138" t="s" s="0">
        <v>81</v>
      </c>
      <c r="BX138" t="s" s="0">
        <v>120</v>
      </c>
    </row>
    <row r="139">
      <c r="A139" t="s" s="0">
        <v>77</v>
      </c>
      <c r="B139" t="s" s="0">
        <v>77</v>
      </c>
      <c r="C139" t="s" s="0">
        <v>77</v>
      </c>
      <c r="D139" t="s" s="0">
        <v>77</v>
      </c>
      <c r="E139" t="s" s="0">
        <v>3254</v>
      </c>
      <c r="F139" t="s" s="0">
        <v>3255</v>
      </c>
      <c r="G139" t="s" s="0">
        <v>3256</v>
      </c>
      <c r="H139" t="s" s="0">
        <v>81</v>
      </c>
      <c r="I139" t="s" s="0">
        <v>82</v>
      </c>
      <c r="J139" t="s" s="0">
        <v>3257</v>
      </c>
      <c r="K139" t="s" s="0">
        <v>3258</v>
      </c>
      <c r="L139" t="s" s="0">
        <v>3259</v>
      </c>
      <c r="M139" t="s" s="0">
        <v>3260</v>
      </c>
      <c r="N139" t="s" s="0">
        <v>3261</v>
      </c>
      <c r="O139" t="s" s="0">
        <v>3262</v>
      </c>
      <c r="P139" t="s" s="0">
        <v>3263</v>
      </c>
      <c r="Q139" t="s" s="0">
        <v>90</v>
      </c>
      <c r="R139" t="s" s="0">
        <v>81</v>
      </c>
      <c r="S139" t="s" s="0">
        <v>81</v>
      </c>
      <c r="T139" t="s" s="0">
        <v>81</v>
      </c>
      <c r="U139" t="s" s="0">
        <v>81</v>
      </c>
      <c r="V139" t="s" s="0">
        <v>3264</v>
      </c>
      <c r="W139" t="s" s="0">
        <v>3265</v>
      </c>
      <c r="X139" t="s" s="0">
        <v>81</v>
      </c>
      <c r="Y139" t="s" s="0">
        <v>81</v>
      </c>
      <c r="Z139" t="s" s="0">
        <v>93</v>
      </c>
      <c r="AA139" t="s" s="0">
        <v>94</v>
      </c>
      <c r="AB139" t="s" s="0">
        <v>81</v>
      </c>
      <c r="AC139" t="s" s="0">
        <v>81</v>
      </c>
      <c r="AD139" t="s" s="0">
        <v>81</v>
      </c>
      <c r="AE139" t="s" s="0">
        <v>81</v>
      </c>
      <c r="AF139" t="s" s="0">
        <v>81</v>
      </c>
      <c r="AG139" t="s" s="0">
        <v>3266</v>
      </c>
      <c r="AH139" t="s" s="0">
        <v>81</v>
      </c>
      <c r="AI139" t="s" s="0">
        <v>81</v>
      </c>
      <c r="AJ139" t="s" s="0">
        <v>81</v>
      </c>
      <c r="AK139" t="s" s="0">
        <v>81</v>
      </c>
      <c r="AL139" t="s" s="0">
        <v>274</v>
      </c>
      <c r="AM139" t="s" s="0">
        <v>77</v>
      </c>
      <c r="AN139" t="s" s="0">
        <v>77</v>
      </c>
      <c r="AO139" t="s" s="0">
        <v>77</v>
      </c>
      <c r="AP139" t="s" s="0">
        <v>77</v>
      </c>
      <c r="AQ139" t="s" s="0">
        <v>3122</v>
      </c>
      <c r="AR139" t="s" s="0">
        <v>99</v>
      </c>
      <c r="AS139" t="s" s="0">
        <v>3123</v>
      </c>
      <c r="AT139" t="s" s="0">
        <v>3267</v>
      </c>
      <c r="AU139" t="s" s="0">
        <v>3268</v>
      </c>
      <c r="AV139" t="s" s="0">
        <v>81</v>
      </c>
      <c r="AW139" t="s" s="0">
        <v>3269</v>
      </c>
      <c r="AX139" t="s" s="0">
        <v>3270</v>
      </c>
      <c r="AY139" t="s" s="0">
        <v>2903</v>
      </c>
      <c r="AZ139" t="s" s="0">
        <v>106</v>
      </c>
      <c r="BA139" t="s" s="0">
        <v>729</v>
      </c>
      <c r="BB139" t="s" s="0">
        <v>340</v>
      </c>
      <c r="BC139" t="s" s="0">
        <v>81</v>
      </c>
      <c r="BD139" t="s" s="0">
        <v>81</v>
      </c>
      <c r="BE139" t="s" s="0">
        <v>81</v>
      </c>
      <c r="BF139" t="s" s="0">
        <v>81</v>
      </c>
      <c r="BG139" t="s" s="0">
        <v>3271</v>
      </c>
      <c r="BH139" t="s" s="0">
        <v>3272</v>
      </c>
      <c r="BI139" t="s" s="0">
        <v>81</v>
      </c>
      <c r="BJ139" t="s" s="0">
        <v>3273</v>
      </c>
      <c r="BK139" t="s" s="275">
        <f>HYPERLINK("http://dx.doi.org/10.1097/PAF.0000000000001135","http://dx.doi.org/10.1097/PAF.0000000000001135")</f>
        <v>3274</v>
      </c>
      <c r="BL139" t="s" s="0">
        <v>81</v>
      </c>
      <c r="BM139" t="s" s="0">
        <v>81</v>
      </c>
      <c r="BN139" t="s" s="0">
        <v>485</v>
      </c>
      <c r="BO139" t="s" s="0">
        <v>3275</v>
      </c>
      <c r="BP139" t="s" s="0">
        <v>3276</v>
      </c>
      <c r="BQ139" t="s" s="0">
        <v>3277</v>
      </c>
      <c r="BR139" t="s" s="0">
        <v>3278</v>
      </c>
      <c r="BS139" t="s" s="0">
        <v>3279</v>
      </c>
      <c r="BT139" t="s" s="276">
        <f>HYPERLINK("https://www.webofscience.com/wos/woscc/full-record/WOS:001845809000013","View Record in Web of Science")</f>
        <v>118</v>
      </c>
      <c r="BU139" t="s" s="0">
        <v>81</v>
      </c>
      <c r="BV139" t="s" s="0">
        <v>81</v>
      </c>
      <c r="BW139" t="s" s="0">
        <v>81</v>
      </c>
      <c r="BX139" t="s" s="0">
        <v>120</v>
      </c>
    </row>
    <row r="140">
      <c r="A140" t="s" s="0">
        <v>77</v>
      </c>
      <c r="B140" t="s" s="0">
        <v>77</v>
      </c>
      <c r="C140" t="s" s="0">
        <v>77</v>
      </c>
      <c r="D140" t="s" s="0">
        <v>77</v>
      </c>
      <c r="E140" t="s" s="0">
        <v>3280</v>
      </c>
      <c r="F140" t="s" s="0">
        <v>3281</v>
      </c>
      <c r="G140" t="s" s="0">
        <v>3282</v>
      </c>
      <c r="H140" t="s" s="0">
        <v>81</v>
      </c>
      <c r="I140" t="s" s="0">
        <v>124</v>
      </c>
      <c r="J140" t="s" s="0">
        <v>3283</v>
      </c>
      <c r="K140" t="s" s="0">
        <v>3284</v>
      </c>
      <c r="L140" t="s" s="0">
        <v>81</v>
      </c>
      <c r="M140" t="s" s="0">
        <v>81</v>
      </c>
      <c r="N140" t="s" s="0">
        <v>81</v>
      </c>
      <c r="O140" t="s" s="0">
        <v>3285</v>
      </c>
      <c r="P140" t="s" s="0">
        <v>81</v>
      </c>
      <c r="Q140" t="s" s="0">
        <v>90</v>
      </c>
      <c r="R140" t="s" s="0">
        <v>81</v>
      </c>
      <c r="S140" t="s" s="0">
        <v>81</v>
      </c>
      <c r="T140" t="s" s="0">
        <v>81</v>
      </c>
      <c r="U140" t="s" s="0">
        <v>81</v>
      </c>
      <c r="V140" t="s" s="0">
        <v>3286</v>
      </c>
      <c r="W140" t="s" s="0">
        <v>3287</v>
      </c>
      <c r="X140" t="s" s="0">
        <v>81</v>
      </c>
      <c r="Y140" t="s" s="0">
        <v>81</v>
      </c>
      <c r="Z140" t="s" s="0">
        <v>93</v>
      </c>
      <c r="AA140" t="s" s="0">
        <v>94</v>
      </c>
      <c r="AB140" t="s" s="0">
        <v>81</v>
      </c>
      <c r="AC140" t="s" s="0">
        <v>81</v>
      </c>
      <c r="AD140" t="s" s="0">
        <v>81</v>
      </c>
      <c r="AE140" t="s" s="0">
        <v>81</v>
      </c>
      <c r="AF140" t="s" s="0">
        <v>81</v>
      </c>
      <c r="AG140" t="s" s="0">
        <v>3288</v>
      </c>
      <c r="AH140" t="s" s="0">
        <v>3289</v>
      </c>
      <c r="AI140" t="s" s="0">
        <v>81</v>
      </c>
      <c r="AJ140" t="s" s="0">
        <v>81</v>
      </c>
      <c r="AK140" t="s" s="0">
        <v>81</v>
      </c>
      <c r="AL140" t="s" s="0">
        <v>2431</v>
      </c>
      <c r="AM140" t="s" s="0">
        <v>108</v>
      </c>
      <c r="AN140" t="s" s="0">
        <v>108</v>
      </c>
      <c r="AO140" t="s" s="0">
        <v>77</v>
      </c>
      <c r="AP140" t="s" s="0">
        <v>77</v>
      </c>
      <c r="AQ140" t="s" s="0">
        <v>892</v>
      </c>
      <c r="AR140" t="s" s="0">
        <v>893</v>
      </c>
      <c r="AS140" t="s" s="0">
        <v>894</v>
      </c>
      <c r="AT140" t="s" s="0">
        <v>3290</v>
      </c>
      <c r="AU140" t="s" s="0">
        <v>81</v>
      </c>
      <c r="AV140" t="s" s="0">
        <v>81</v>
      </c>
      <c r="AW140" t="s" s="0">
        <v>3287</v>
      </c>
      <c r="AX140" t="s" s="0">
        <v>3291</v>
      </c>
      <c r="AY140" t="s" s="0">
        <v>2903</v>
      </c>
      <c r="AZ140" t="s" s="0">
        <v>106</v>
      </c>
      <c r="BA140" t="s" s="0">
        <v>225</v>
      </c>
      <c r="BB140" t="s" s="0">
        <v>81</v>
      </c>
      <c r="BC140" t="s" s="0">
        <v>81</v>
      </c>
      <c r="BD140" t="s" s="0">
        <v>81</v>
      </c>
      <c r="BE140" t="s" s="0">
        <v>81</v>
      </c>
      <c r="BF140" t="s" s="0">
        <v>81</v>
      </c>
      <c r="BG140" t="s" s="0">
        <v>81</v>
      </c>
      <c r="BH140" t="s" s="0">
        <v>81</v>
      </c>
      <c r="BI140" t="s" s="0">
        <v>3292</v>
      </c>
      <c r="BJ140" t="s" s="0">
        <v>3293</v>
      </c>
      <c r="BK140" t="s" s="277">
        <f>HYPERLINK("http://dx.doi.org/10.1016/j.nexus.2026.100800","http://dx.doi.org/10.1016/j.nexus.2026.100800")</f>
        <v>3294</v>
      </c>
      <c r="BL140" t="s" s="0">
        <v>81</v>
      </c>
      <c r="BM140" t="s" s="0">
        <v>81</v>
      </c>
      <c r="BN140" t="s" s="0">
        <v>253</v>
      </c>
      <c r="BO140" t="s" s="0">
        <v>3295</v>
      </c>
      <c r="BP140" t="s" s="0">
        <v>3296</v>
      </c>
      <c r="BQ140" t="s" s="0">
        <v>3297</v>
      </c>
      <c r="BR140" t="s" s="0">
        <v>81</v>
      </c>
      <c r="BS140" t="s" s="0">
        <v>3298</v>
      </c>
      <c r="BT140" t="s" s="278">
        <f>HYPERLINK("https://www.webofscience.com/wos/woscc/full-record/WOS:001846116100001","View Record in Web of Science")</f>
        <v>118</v>
      </c>
      <c r="BU140" t="s" s="0">
        <v>119</v>
      </c>
      <c r="BV140" t="s" s="0">
        <v>81</v>
      </c>
      <c r="BW140" t="s" s="0">
        <v>81</v>
      </c>
      <c r="BX140" t="s" s="0">
        <v>120</v>
      </c>
    </row>
    <row r="141">
      <c r="A141" t="s" s="0">
        <v>77</v>
      </c>
      <c r="B141" t="s" s="0">
        <v>77</v>
      </c>
      <c r="C141" t="s" s="0">
        <v>77</v>
      </c>
      <c r="D141" t="s" s="0">
        <v>77</v>
      </c>
      <c r="E141" t="s" s="0">
        <v>3299</v>
      </c>
      <c r="F141" t="s" s="0">
        <v>3300</v>
      </c>
      <c r="G141" t="s" s="0">
        <v>3301</v>
      </c>
      <c r="H141" t="s" s="0">
        <v>81</v>
      </c>
      <c r="I141" t="s" s="0">
        <v>124</v>
      </c>
      <c r="J141" t="s" s="0">
        <v>3302</v>
      </c>
      <c r="K141" t="s" s="0">
        <v>3303</v>
      </c>
      <c r="L141" t="s" s="0">
        <v>81</v>
      </c>
      <c r="M141" t="s" s="0">
        <v>81</v>
      </c>
      <c r="N141" t="s" s="0">
        <v>81</v>
      </c>
      <c r="O141" t="s" s="0">
        <v>3304</v>
      </c>
      <c r="P141" t="s" s="0">
        <v>3305</v>
      </c>
      <c r="Q141" t="s" s="0">
        <v>90</v>
      </c>
      <c r="R141" t="s" s="0">
        <v>81</v>
      </c>
      <c r="S141" t="s" s="0">
        <v>81</v>
      </c>
      <c r="T141" t="s" s="0">
        <v>81</v>
      </c>
      <c r="U141" t="s" s="0">
        <v>81</v>
      </c>
      <c r="V141" t="s" s="0">
        <v>3306</v>
      </c>
      <c r="W141" t="s" s="0">
        <v>3221</v>
      </c>
      <c r="X141" t="s" s="0">
        <v>81</v>
      </c>
      <c r="Y141" t="s" s="0">
        <v>81</v>
      </c>
      <c r="Z141" t="s" s="0">
        <v>93</v>
      </c>
      <c r="AA141" t="s" s="0">
        <v>94</v>
      </c>
      <c r="AB141" t="s" s="0">
        <v>81</v>
      </c>
      <c r="AC141" t="s" s="0">
        <v>81</v>
      </c>
      <c r="AD141" t="s" s="0">
        <v>81</v>
      </c>
      <c r="AE141" t="s" s="0">
        <v>81</v>
      </c>
      <c r="AF141" t="s" s="0">
        <v>81</v>
      </c>
      <c r="AG141" t="s" s="0">
        <v>3307</v>
      </c>
      <c r="AH141" t="s" s="0">
        <v>3308</v>
      </c>
      <c r="AI141" t="s" s="0">
        <v>81</v>
      </c>
      <c r="AJ141" t="s" s="0">
        <v>81</v>
      </c>
      <c r="AK141" t="s" s="0">
        <v>81</v>
      </c>
      <c r="AL141" t="s" s="0">
        <v>687</v>
      </c>
      <c r="AM141" t="s" s="0">
        <v>77</v>
      </c>
      <c r="AN141" t="s" s="0">
        <v>77</v>
      </c>
      <c r="AO141" t="s" s="0">
        <v>77</v>
      </c>
      <c r="AP141" t="s" s="0">
        <v>77</v>
      </c>
      <c r="AQ141" t="s" s="0">
        <v>892</v>
      </c>
      <c r="AR141" t="s" s="0">
        <v>893</v>
      </c>
      <c r="AS141" t="s" s="0">
        <v>894</v>
      </c>
      <c r="AT141" t="s" s="0">
        <v>3223</v>
      </c>
      <c r="AU141" t="s" s="0">
        <v>81</v>
      </c>
      <c r="AV141" t="s" s="0">
        <v>81</v>
      </c>
      <c r="AW141" t="s" s="0">
        <v>3224</v>
      </c>
      <c r="AX141" t="s" s="0">
        <v>3225</v>
      </c>
      <c r="AY141" t="s" s="0">
        <v>2903</v>
      </c>
      <c r="AZ141" t="s" s="0">
        <v>106</v>
      </c>
      <c r="BA141" t="s" s="0">
        <v>433</v>
      </c>
      <c r="BB141" t="s" s="0">
        <v>434</v>
      </c>
      <c r="BC141" t="s" s="0">
        <v>81</v>
      </c>
      <c r="BD141" t="s" s="0">
        <v>81</v>
      </c>
      <c r="BE141" t="s" s="0">
        <v>81</v>
      </c>
      <c r="BF141" t="s" s="0">
        <v>81</v>
      </c>
      <c r="BG141" t="s" s="0">
        <v>81</v>
      </c>
      <c r="BH141" t="s" s="0">
        <v>81</v>
      </c>
      <c r="BI141" t="s" s="0">
        <v>3309</v>
      </c>
      <c r="BJ141" t="s" s="0">
        <v>3310</v>
      </c>
      <c r="BK141" t="s" s="279">
        <f>HYPERLINK("http://dx.doi.org/10.1016/j.xops.2026.101324","http://dx.doi.org/10.1016/j.xops.2026.101324")</f>
        <v>3311</v>
      </c>
      <c r="BL141" t="s" s="0">
        <v>81</v>
      </c>
      <c r="BM141" t="s" s="0">
        <v>81</v>
      </c>
      <c r="BN141" t="s" s="0">
        <v>197</v>
      </c>
      <c r="BO141" t="s" s="0">
        <v>3229</v>
      </c>
      <c r="BP141" t="s" s="0">
        <v>3229</v>
      </c>
      <c r="BQ141" t="s" s="0">
        <v>3312</v>
      </c>
      <c r="BR141" t="s" s="0">
        <v>81</v>
      </c>
      <c r="BS141" t="s" s="0">
        <v>3313</v>
      </c>
      <c r="BT141" t="s" s="280">
        <f>HYPERLINK("https://www.webofscience.com/wos/woscc/full-record/WOS:001847206700001","View Record in Web of Science")</f>
        <v>118</v>
      </c>
      <c r="BU141" t="s" s="0">
        <v>119</v>
      </c>
      <c r="BV141" t="s" s="0">
        <v>81</v>
      </c>
      <c r="BW141" t="s" s="0">
        <v>81</v>
      </c>
      <c r="BX141" t="s" s="0">
        <v>120</v>
      </c>
    </row>
    <row r="142">
      <c r="A142" t="s" s="0">
        <v>77</v>
      </c>
      <c r="B142" t="s" s="0">
        <v>77</v>
      </c>
      <c r="C142" t="s" s="0">
        <v>77</v>
      </c>
      <c r="D142" t="s" s="0">
        <v>77</v>
      </c>
      <c r="E142" t="s" s="0">
        <v>3314</v>
      </c>
      <c r="F142" t="s" s="0">
        <v>3315</v>
      </c>
      <c r="G142" t="s" s="0">
        <v>3316</v>
      </c>
      <c r="H142" t="s" s="0">
        <v>81</v>
      </c>
      <c r="I142" t="s" s="0">
        <v>82</v>
      </c>
      <c r="J142" t="s" s="0">
        <v>3317</v>
      </c>
      <c r="K142" t="s" s="0">
        <v>3318</v>
      </c>
      <c r="L142" t="s" s="0">
        <v>3319</v>
      </c>
      <c r="M142" t="s" s="0">
        <v>3320</v>
      </c>
      <c r="N142" t="s" s="0">
        <v>3321</v>
      </c>
      <c r="O142" t="s" s="0">
        <v>3322</v>
      </c>
      <c r="P142" t="s" s="0">
        <v>3323</v>
      </c>
      <c r="Q142" t="s" s="0">
        <v>90</v>
      </c>
      <c r="R142" t="s" s="0">
        <v>81</v>
      </c>
      <c r="S142" t="s" s="0">
        <v>81</v>
      </c>
      <c r="T142" t="s" s="0">
        <v>81</v>
      </c>
      <c r="U142" t="s" s="0">
        <v>81</v>
      </c>
      <c r="V142" t="s" s="0">
        <v>3324</v>
      </c>
      <c r="W142" t="s" s="0">
        <v>3325</v>
      </c>
      <c r="X142" t="s" s="0">
        <v>81</v>
      </c>
      <c r="Y142" t="s" s="0">
        <v>81</v>
      </c>
      <c r="Z142" t="s" s="0">
        <v>93</v>
      </c>
      <c r="AA142" t="s" s="0">
        <v>94</v>
      </c>
      <c r="AB142" t="s" s="0">
        <v>81</v>
      </c>
      <c r="AC142" t="s" s="0">
        <v>81</v>
      </c>
      <c r="AD142" t="s" s="0">
        <v>81</v>
      </c>
      <c r="AE142" t="s" s="0">
        <v>81</v>
      </c>
      <c r="AF142" t="s" s="0">
        <v>81</v>
      </c>
      <c r="AG142" t="s" s="0">
        <v>81</v>
      </c>
      <c r="AH142" t="s" s="0">
        <v>3326</v>
      </c>
      <c r="AI142" t="s" s="0">
        <v>81</v>
      </c>
      <c r="AJ142" t="s" s="0">
        <v>81</v>
      </c>
      <c r="AK142" t="s" s="0">
        <v>81</v>
      </c>
      <c r="AL142" t="s" s="0">
        <v>3327</v>
      </c>
      <c r="AM142" t="s" s="0">
        <v>77</v>
      </c>
      <c r="AN142" t="s" s="0">
        <v>77</v>
      </c>
      <c r="AO142" t="s" s="0">
        <v>720</v>
      </c>
      <c r="AP142" t="s" s="0">
        <v>720</v>
      </c>
      <c r="AQ142" t="s" s="0">
        <v>1103</v>
      </c>
      <c r="AR142" t="s" s="0">
        <v>1104</v>
      </c>
      <c r="AS142" t="s" s="0">
        <v>1105</v>
      </c>
      <c r="AT142" t="s" s="0">
        <v>3328</v>
      </c>
      <c r="AU142" t="s" s="0">
        <v>3329</v>
      </c>
      <c r="AV142" t="s" s="0">
        <v>81</v>
      </c>
      <c r="AW142" t="s" s="0">
        <v>3330</v>
      </c>
      <c r="AX142" t="s" s="0">
        <v>3331</v>
      </c>
      <c r="AY142" t="s" s="0">
        <v>3332</v>
      </c>
      <c r="AZ142" t="s" s="0">
        <v>106</v>
      </c>
      <c r="BA142" t="s" s="0">
        <v>3333</v>
      </c>
      <c r="BB142" t="s" s="0">
        <v>720</v>
      </c>
      <c r="BC142" t="s" s="0">
        <v>81</v>
      </c>
      <c r="BD142" t="s" s="0">
        <v>81</v>
      </c>
      <c r="BE142" t="s" s="0">
        <v>81</v>
      </c>
      <c r="BF142" t="s" s="0">
        <v>81</v>
      </c>
      <c r="BG142" t="s" s="0">
        <v>3334</v>
      </c>
      <c r="BH142" t="s" s="0">
        <v>3335</v>
      </c>
      <c r="BI142" t="s" s="0">
        <v>81</v>
      </c>
      <c r="BJ142" t="s" s="0">
        <v>3336</v>
      </c>
      <c r="BK142" t="s" s="281">
        <f>HYPERLINK("http://dx.doi.org/10.1016/j.biopsych.2026.02.018","http://dx.doi.org/10.1016/j.biopsych.2026.02.018")</f>
        <v>3337</v>
      </c>
      <c r="BL142" t="s" s="0">
        <v>81</v>
      </c>
      <c r="BM142" t="s" s="0">
        <v>81</v>
      </c>
      <c r="BN142" t="s" s="0">
        <v>363</v>
      </c>
      <c r="BO142" t="s" s="0">
        <v>3338</v>
      </c>
      <c r="BP142" t="s" s="0">
        <v>1966</v>
      </c>
      <c r="BQ142" t="s" s="0">
        <v>3339</v>
      </c>
      <c r="BR142" t="s" s="0">
        <v>3340</v>
      </c>
      <c r="BS142" t="s" s="0">
        <v>3341</v>
      </c>
      <c r="BT142" t="s" s="282">
        <f>HYPERLINK("https://www.webofscience.com/wos/woscc/full-record/WOS:001843948700001","View Record in Web of Science")</f>
        <v>118</v>
      </c>
      <c r="BU142" t="s" s="0">
        <v>877</v>
      </c>
      <c r="BV142" t="s" s="0">
        <v>81</v>
      </c>
      <c r="BW142" t="s" s="0">
        <v>81</v>
      </c>
      <c r="BX142" t="s" s="0">
        <v>120</v>
      </c>
    </row>
    <row r="143">
      <c r="A143" t="s" s="0">
        <v>77</v>
      </c>
      <c r="B143" t="s" s="0">
        <v>77</v>
      </c>
      <c r="C143" t="s" s="0">
        <v>77</v>
      </c>
      <c r="D143" t="s" s="0">
        <v>77</v>
      </c>
      <c r="E143" t="s" s="0">
        <v>3342</v>
      </c>
      <c r="F143" t="s" s="0">
        <v>3343</v>
      </c>
      <c r="G143" t="s" s="0">
        <v>3344</v>
      </c>
      <c r="H143" t="s" s="0">
        <v>81</v>
      </c>
      <c r="I143" t="s" s="0">
        <v>82</v>
      </c>
      <c r="J143" t="s" s="0">
        <v>3345</v>
      </c>
      <c r="K143" t="s" s="0">
        <v>3346</v>
      </c>
      <c r="L143" t="s" s="0">
        <v>81</v>
      </c>
      <c r="M143" t="s" s="0">
        <v>81</v>
      </c>
      <c r="N143" t="s" s="0">
        <v>81</v>
      </c>
      <c r="O143" t="s" s="0">
        <v>3347</v>
      </c>
      <c r="P143" t="s" s="0">
        <v>3348</v>
      </c>
      <c r="Q143" t="s" s="0">
        <v>90</v>
      </c>
      <c r="R143" t="s" s="0">
        <v>81</v>
      </c>
      <c r="S143" t="s" s="0">
        <v>81</v>
      </c>
      <c r="T143" t="s" s="0">
        <v>81</v>
      </c>
      <c r="U143" t="s" s="0">
        <v>81</v>
      </c>
      <c r="V143" t="s" s="0">
        <v>3349</v>
      </c>
      <c r="W143" t="s" s="0">
        <v>3350</v>
      </c>
      <c r="X143" t="s" s="0">
        <v>81</v>
      </c>
      <c r="Y143" t="s" s="0">
        <v>81</v>
      </c>
      <c r="Z143" t="s" s="0">
        <v>93</v>
      </c>
      <c r="AA143" t="s" s="0">
        <v>94</v>
      </c>
      <c r="AB143" t="s" s="0">
        <v>81</v>
      </c>
      <c r="AC143" t="s" s="0">
        <v>81</v>
      </c>
      <c r="AD143" t="s" s="0">
        <v>81</v>
      </c>
      <c r="AE143" t="s" s="0">
        <v>81</v>
      </c>
      <c r="AF143" t="s" s="0">
        <v>81</v>
      </c>
      <c r="AG143" t="s" s="0">
        <v>3351</v>
      </c>
      <c r="AH143" t="s" s="0">
        <v>3352</v>
      </c>
      <c r="AI143" t="s" s="0">
        <v>81</v>
      </c>
      <c r="AJ143" t="s" s="0">
        <v>81</v>
      </c>
      <c r="AK143" t="s" s="0">
        <v>81</v>
      </c>
      <c r="AL143" t="s" s="0">
        <v>140</v>
      </c>
      <c r="AM143" t="s" s="0">
        <v>77</v>
      </c>
      <c r="AN143" t="s" s="0">
        <v>77</v>
      </c>
      <c r="AO143" t="s" s="0">
        <v>108</v>
      </c>
      <c r="AP143" t="s" s="0">
        <v>108</v>
      </c>
      <c r="AQ143" t="s" s="0">
        <v>3122</v>
      </c>
      <c r="AR143" t="s" s="0">
        <v>99</v>
      </c>
      <c r="AS143" t="s" s="0">
        <v>3123</v>
      </c>
      <c r="AT143" t="s" s="0">
        <v>3353</v>
      </c>
      <c r="AU143" t="s" s="0">
        <v>3354</v>
      </c>
      <c r="AV143" t="s" s="0">
        <v>81</v>
      </c>
      <c r="AW143" t="s" s="0">
        <v>3355</v>
      </c>
      <c r="AX143" t="s" s="0">
        <v>3356</v>
      </c>
      <c r="AY143" t="s" s="0">
        <v>2903</v>
      </c>
      <c r="AZ143" t="s" s="0">
        <v>106</v>
      </c>
      <c r="BA143" t="s" s="0">
        <v>1252</v>
      </c>
      <c r="BB143" t="s" s="0">
        <v>720</v>
      </c>
      <c r="BC143" t="s" s="0">
        <v>81</v>
      </c>
      <c r="BD143" t="s" s="0">
        <v>81</v>
      </c>
      <c r="BE143" t="s" s="0">
        <v>81</v>
      </c>
      <c r="BF143" t="s" s="0">
        <v>81</v>
      </c>
      <c r="BG143" t="s" s="0">
        <v>3357</v>
      </c>
      <c r="BH143" t="s" s="0">
        <v>3358</v>
      </c>
      <c r="BI143" t="s" s="0">
        <v>81</v>
      </c>
      <c r="BJ143" t="s" s="0">
        <v>3359</v>
      </c>
      <c r="BK143" t="s" s="283">
        <f>HYPERLINK("http://dx.doi.org/10.1097/CCO.0000000000001254","http://dx.doi.org/10.1097/CCO.0000000000001254")</f>
        <v>3360</v>
      </c>
      <c r="BL143" t="s" s="0">
        <v>81</v>
      </c>
      <c r="BM143" t="s" s="0">
        <v>81</v>
      </c>
      <c r="BN143" t="s" s="0">
        <v>433</v>
      </c>
      <c r="BO143" t="s" s="0">
        <v>320</v>
      </c>
      <c r="BP143" t="s" s="0">
        <v>320</v>
      </c>
      <c r="BQ143" t="s" s="0">
        <v>3361</v>
      </c>
      <c r="BR143" t="s" s="0">
        <v>3362</v>
      </c>
      <c r="BS143" t="s" s="0">
        <v>3363</v>
      </c>
      <c r="BT143" t="s" s="284">
        <f>HYPERLINK("https://www.webofscience.com/wos/woscc/full-record/WOS:001844274700001","View Record in Web of Science")</f>
        <v>118</v>
      </c>
      <c r="BU143" t="s" s="0">
        <v>877</v>
      </c>
      <c r="BV143" t="s" s="0">
        <v>81</v>
      </c>
      <c r="BW143" t="s" s="0">
        <v>81</v>
      </c>
      <c r="BX143" t="s" s="0">
        <v>120</v>
      </c>
    </row>
    <row r="144">
      <c r="A144" t="s" s="0">
        <v>77</v>
      </c>
      <c r="B144" t="s" s="0">
        <v>77</v>
      </c>
      <c r="C144" t="s" s="0">
        <v>77</v>
      </c>
      <c r="D144" t="s" s="0">
        <v>77</v>
      </c>
      <c r="E144" t="s" s="0">
        <v>3364</v>
      </c>
      <c r="F144" t="s" s="0">
        <v>3365</v>
      </c>
      <c r="G144" t="s" s="0">
        <v>3366</v>
      </c>
      <c r="H144" t="s" s="0">
        <v>81</v>
      </c>
      <c r="I144" t="s" s="0">
        <v>82</v>
      </c>
      <c r="J144" t="s" s="0">
        <v>3367</v>
      </c>
      <c r="K144" t="s" s="0">
        <v>3368</v>
      </c>
      <c r="L144" t="s" s="0">
        <v>81</v>
      </c>
      <c r="M144" t="s" s="0">
        <v>81</v>
      </c>
      <c r="N144" t="s" s="0">
        <v>81</v>
      </c>
      <c r="O144" t="s" s="0">
        <v>3369</v>
      </c>
      <c r="P144" t="s" s="0">
        <v>81</v>
      </c>
      <c r="Q144" t="s" s="0">
        <v>90</v>
      </c>
      <c r="R144" t="s" s="0">
        <v>81</v>
      </c>
      <c r="S144" t="s" s="0">
        <v>81</v>
      </c>
      <c r="T144" t="s" s="0">
        <v>81</v>
      </c>
      <c r="U144" t="s" s="0">
        <v>81</v>
      </c>
      <c r="V144" t="s" s="0">
        <v>3370</v>
      </c>
      <c r="W144" t="s" s="0">
        <v>3350</v>
      </c>
      <c r="X144" t="s" s="0">
        <v>81</v>
      </c>
      <c r="Y144" t="s" s="0">
        <v>81</v>
      </c>
      <c r="Z144" t="s" s="0">
        <v>93</v>
      </c>
      <c r="AA144" t="s" s="0">
        <v>94</v>
      </c>
      <c r="AB144" t="s" s="0">
        <v>81</v>
      </c>
      <c r="AC144" t="s" s="0">
        <v>81</v>
      </c>
      <c r="AD144" t="s" s="0">
        <v>81</v>
      </c>
      <c r="AE144" t="s" s="0">
        <v>81</v>
      </c>
      <c r="AF144" t="s" s="0">
        <v>81</v>
      </c>
      <c r="AG144" t="s" s="0">
        <v>3371</v>
      </c>
      <c r="AH144" t="s" s="0">
        <v>3372</v>
      </c>
      <c r="AI144" t="s" s="0">
        <v>81</v>
      </c>
      <c r="AJ144" t="s" s="0">
        <v>81</v>
      </c>
      <c r="AK144" t="s" s="0">
        <v>81</v>
      </c>
      <c r="AL144" t="s" s="0">
        <v>3373</v>
      </c>
      <c r="AM144" t="s" s="0">
        <v>77</v>
      </c>
      <c r="AN144" t="s" s="0">
        <v>77</v>
      </c>
      <c r="AO144" t="s" s="0">
        <v>108</v>
      </c>
      <c r="AP144" t="s" s="0">
        <v>108</v>
      </c>
      <c r="AQ144" t="s" s="0">
        <v>3122</v>
      </c>
      <c r="AR144" t="s" s="0">
        <v>99</v>
      </c>
      <c r="AS144" t="s" s="0">
        <v>3123</v>
      </c>
      <c r="AT144" t="s" s="0">
        <v>3353</v>
      </c>
      <c r="AU144" t="s" s="0">
        <v>3354</v>
      </c>
      <c r="AV144" t="s" s="0">
        <v>81</v>
      </c>
      <c r="AW144" t="s" s="0">
        <v>3355</v>
      </c>
      <c r="AX144" t="s" s="0">
        <v>3356</v>
      </c>
      <c r="AY144" t="s" s="0">
        <v>2903</v>
      </c>
      <c r="AZ144" t="s" s="0">
        <v>106</v>
      </c>
      <c r="BA144" t="s" s="0">
        <v>1252</v>
      </c>
      <c r="BB144" t="s" s="0">
        <v>720</v>
      </c>
      <c r="BC144" t="s" s="0">
        <v>81</v>
      </c>
      <c r="BD144" t="s" s="0">
        <v>81</v>
      </c>
      <c r="BE144" t="s" s="0">
        <v>81</v>
      </c>
      <c r="BF144" t="s" s="0">
        <v>81</v>
      </c>
      <c r="BG144" t="s" s="0">
        <v>1961</v>
      </c>
      <c r="BH144" t="s" s="0">
        <v>3374</v>
      </c>
      <c r="BI144" t="s" s="0">
        <v>81</v>
      </c>
      <c r="BJ144" t="s" s="0">
        <v>3375</v>
      </c>
      <c r="BK144" t="s" s="285">
        <f>HYPERLINK("http://dx.doi.org/10.1097/CCO.0000000000001256","http://dx.doi.org/10.1097/CCO.0000000000001256")</f>
        <v>3376</v>
      </c>
      <c r="BL144" t="s" s="0">
        <v>81</v>
      </c>
      <c r="BM144" t="s" s="0">
        <v>81</v>
      </c>
      <c r="BN144" t="s" s="0">
        <v>511</v>
      </c>
      <c r="BO144" t="s" s="0">
        <v>320</v>
      </c>
      <c r="BP144" t="s" s="0">
        <v>320</v>
      </c>
      <c r="BQ144" t="s" s="0">
        <v>3361</v>
      </c>
      <c r="BR144" t="s" s="0">
        <v>3377</v>
      </c>
      <c r="BS144" t="s" s="0">
        <v>3378</v>
      </c>
      <c r="BT144" t="s" s="286">
        <f>HYPERLINK("https://www.webofscience.com/wos/woscc/full-record/WOS:001844274700003","View Record in Web of Science")</f>
        <v>118</v>
      </c>
      <c r="BU144" t="s" s="0">
        <v>877</v>
      </c>
      <c r="BV144" t="s" s="0">
        <v>81</v>
      </c>
      <c r="BW144" t="s" s="0">
        <v>81</v>
      </c>
      <c r="BX144" t="s" s="0">
        <v>120</v>
      </c>
    </row>
    <row r="145">
      <c r="A145" t="s" s="0">
        <v>77</v>
      </c>
      <c r="B145" t="s" s="0">
        <v>77</v>
      </c>
      <c r="C145" t="s" s="0">
        <v>77</v>
      </c>
      <c r="D145" t="s" s="0">
        <v>77</v>
      </c>
      <c r="E145" t="s" s="0">
        <v>3379</v>
      </c>
      <c r="F145" t="s" s="0">
        <v>3380</v>
      </c>
      <c r="G145" t="s" s="0">
        <v>3381</v>
      </c>
      <c r="H145" t="s" s="0">
        <v>81</v>
      </c>
      <c r="I145" t="s" s="0">
        <v>1004</v>
      </c>
      <c r="J145" t="s" s="0">
        <v>3382</v>
      </c>
      <c r="K145" t="s" s="0">
        <v>3383</v>
      </c>
      <c r="L145" t="s" s="0">
        <v>81</v>
      </c>
      <c r="M145" t="s" s="0">
        <v>81</v>
      </c>
      <c r="N145" t="s" s="0">
        <v>81</v>
      </c>
      <c r="O145" t="s" s="0">
        <v>3384</v>
      </c>
      <c r="P145" t="s" s="0">
        <v>3385</v>
      </c>
      <c r="Q145" t="s" s="0">
        <v>90</v>
      </c>
      <c r="R145" t="s" s="0">
        <v>81</v>
      </c>
      <c r="S145" t="s" s="0">
        <v>81</v>
      </c>
      <c r="T145" t="s" s="0">
        <v>81</v>
      </c>
      <c r="U145" t="s" s="0">
        <v>81</v>
      </c>
      <c r="V145" t="s" s="0">
        <v>3386</v>
      </c>
      <c r="W145" t="s" s="0">
        <v>3045</v>
      </c>
      <c r="X145" t="s" s="0">
        <v>81</v>
      </c>
      <c r="Y145" t="s" s="0">
        <v>81</v>
      </c>
      <c r="Z145" t="s" s="0">
        <v>93</v>
      </c>
      <c r="AA145" t="s" s="0">
        <v>94</v>
      </c>
      <c r="AB145" t="s" s="0">
        <v>81</v>
      </c>
      <c r="AC145" t="s" s="0">
        <v>81</v>
      </c>
      <c r="AD145" t="s" s="0">
        <v>81</v>
      </c>
      <c r="AE145" t="s" s="0">
        <v>81</v>
      </c>
      <c r="AF145" t="s" s="0">
        <v>81</v>
      </c>
      <c r="AG145" t="s" s="0">
        <v>3387</v>
      </c>
      <c r="AH145" t="s" s="0">
        <v>3388</v>
      </c>
      <c r="AI145" t="s" s="0">
        <v>81</v>
      </c>
      <c r="AJ145" t="s" s="0">
        <v>81</v>
      </c>
      <c r="AK145" t="s" s="0">
        <v>81</v>
      </c>
      <c r="AL145" t="s" s="0">
        <v>97</v>
      </c>
      <c r="AM145" t="s" s="0">
        <v>77</v>
      </c>
      <c r="AN145" t="s" s="0">
        <v>77</v>
      </c>
      <c r="AO145" t="s" s="0">
        <v>77</v>
      </c>
      <c r="AP145" t="s" s="0">
        <v>77</v>
      </c>
      <c r="AQ145" t="s" s="0">
        <v>836</v>
      </c>
      <c r="AR145" t="s" s="0">
        <v>837</v>
      </c>
      <c r="AS145" t="s" s="0">
        <v>838</v>
      </c>
      <c r="AT145" t="s" s="0">
        <v>3047</v>
      </c>
      <c r="AU145" t="s" s="0">
        <v>3048</v>
      </c>
      <c r="AV145" t="s" s="0">
        <v>81</v>
      </c>
      <c r="AW145" t="s" s="0">
        <v>3049</v>
      </c>
      <c r="AX145" t="s" s="0">
        <v>3050</v>
      </c>
      <c r="AY145" t="s" s="0">
        <v>2903</v>
      </c>
      <c r="AZ145" t="s" s="0">
        <v>106</v>
      </c>
      <c r="BA145" t="s" s="0">
        <v>2373</v>
      </c>
      <c r="BB145" t="s" s="0">
        <v>81</v>
      </c>
      <c r="BC145" t="s" s="0">
        <v>81</v>
      </c>
      <c r="BD145" t="s" s="0">
        <v>81</v>
      </c>
      <c r="BE145" t="s" s="0">
        <v>81</v>
      </c>
      <c r="BF145" t="s" s="0">
        <v>81</v>
      </c>
      <c r="BG145" t="s" s="0">
        <v>81</v>
      </c>
      <c r="BH145" t="s" s="0">
        <v>81</v>
      </c>
      <c r="BI145" t="s" s="0">
        <v>3389</v>
      </c>
      <c r="BJ145" t="s" s="0">
        <v>3390</v>
      </c>
      <c r="BK145" t="s" s="287">
        <f>HYPERLINK("http://dx.doi.org/10.1016/j.ienj.2026.101887","http://dx.doi.org/10.1016/j.ienj.2026.101887")</f>
        <v>3391</v>
      </c>
      <c r="BL145" t="s" s="0">
        <v>81</v>
      </c>
      <c r="BM145" t="s" s="0">
        <v>81</v>
      </c>
      <c r="BN145" t="s" s="0">
        <v>197</v>
      </c>
      <c r="BO145" t="s" s="0">
        <v>3054</v>
      </c>
      <c r="BP145" t="s" s="0">
        <v>3054</v>
      </c>
      <c r="BQ145" t="s" s="0">
        <v>3392</v>
      </c>
      <c r="BR145" t="s" s="0">
        <v>3393</v>
      </c>
      <c r="BS145" t="s" s="0">
        <v>3394</v>
      </c>
      <c r="BT145" t="s" s="288">
        <f>HYPERLINK("https://www.webofscience.com/wos/woscc/full-record/WOS:001843852900001","View Record in Web of Science")</f>
        <v>118</v>
      </c>
      <c r="BU145" t="s" s="0">
        <v>877</v>
      </c>
      <c r="BV145" t="s" s="0">
        <v>81</v>
      </c>
      <c r="BW145" t="s" s="0">
        <v>81</v>
      </c>
      <c r="BX145" t="s" s="0">
        <v>120</v>
      </c>
    </row>
    <row r="146">
      <c r="A146" t="s" s="0">
        <v>77</v>
      </c>
      <c r="B146" t="s" s="0">
        <v>77</v>
      </c>
      <c r="C146" t="s" s="0">
        <v>77</v>
      </c>
      <c r="D146" t="s" s="0">
        <v>77</v>
      </c>
      <c r="E146" t="s" s="0">
        <v>3395</v>
      </c>
      <c r="F146" t="s" s="0">
        <v>3396</v>
      </c>
      <c r="G146" t="s" s="0">
        <v>3397</v>
      </c>
      <c r="H146" t="s" s="0">
        <v>81</v>
      </c>
      <c r="I146" t="s" s="0">
        <v>82</v>
      </c>
      <c r="J146" t="s" s="0">
        <v>3398</v>
      </c>
      <c r="K146" t="s" s="0">
        <v>3399</v>
      </c>
      <c r="L146" t="s" s="0">
        <v>81</v>
      </c>
      <c r="M146" t="s" s="0">
        <v>81</v>
      </c>
      <c r="N146" t="s" s="0">
        <v>81</v>
      </c>
      <c r="O146" t="s" s="0">
        <v>3400</v>
      </c>
      <c r="P146" t="s" s="0">
        <v>3401</v>
      </c>
      <c r="Q146" t="s" s="0">
        <v>90</v>
      </c>
      <c r="R146" t="s" s="0">
        <v>81</v>
      </c>
      <c r="S146" t="s" s="0">
        <v>81</v>
      </c>
      <c r="T146" t="s" s="0">
        <v>81</v>
      </c>
      <c r="U146" t="s" s="0">
        <v>81</v>
      </c>
      <c r="V146" t="s" s="0">
        <v>3402</v>
      </c>
      <c r="W146" t="s" s="0">
        <v>3403</v>
      </c>
      <c r="X146" t="s" s="0">
        <v>81</v>
      </c>
      <c r="Y146" t="s" s="0">
        <v>81</v>
      </c>
      <c r="Z146" t="s" s="0">
        <v>93</v>
      </c>
      <c r="AA146" t="s" s="0">
        <v>94</v>
      </c>
      <c r="AB146" t="s" s="0">
        <v>81</v>
      </c>
      <c r="AC146" t="s" s="0">
        <v>81</v>
      </c>
      <c r="AD146" t="s" s="0">
        <v>81</v>
      </c>
      <c r="AE146" t="s" s="0">
        <v>81</v>
      </c>
      <c r="AF146" t="s" s="0">
        <v>81</v>
      </c>
      <c r="AG146" t="s" s="0">
        <v>3404</v>
      </c>
      <c r="AH146" t="s" s="0">
        <v>3405</v>
      </c>
      <c r="AI146" t="s" s="0">
        <v>81</v>
      </c>
      <c r="AJ146" t="s" s="0">
        <v>81</v>
      </c>
      <c r="AK146" t="s" s="0">
        <v>81</v>
      </c>
      <c r="AL146" t="s" s="0">
        <v>2090</v>
      </c>
      <c r="AM146" t="s" s="0">
        <v>77</v>
      </c>
      <c r="AN146" t="s" s="0">
        <v>77</v>
      </c>
      <c r="AO146" t="s" s="0">
        <v>77</v>
      </c>
      <c r="AP146" t="s" s="0">
        <v>77</v>
      </c>
      <c r="AQ146" t="s" s="0">
        <v>2132</v>
      </c>
      <c r="AR146" t="s" s="0">
        <v>2133</v>
      </c>
      <c r="AS146" t="s" s="0">
        <v>2134</v>
      </c>
      <c r="AT146" t="s" s="0">
        <v>3406</v>
      </c>
      <c r="AU146" t="s" s="0">
        <v>3407</v>
      </c>
      <c r="AV146" t="s" s="0">
        <v>81</v>
      </c>
      <c r="AW146" t="s" s="0">
        <v>3408</v>
      </c>
      <c r="AX146" t="s" s="0">
        <v>3409</v>
      </c>
      <c r="AY146" t="s" s="0">
        <v>2903</v>
      </c>
      <c r="AZ146" t="s" s="0">
        <v>106</v>
      </c>
      <c r="BA146" t="s" s="0">
        <v>110</v>
      </c>
      <c r="BB146" t="s" s="0">
        <v>81</v>
      </c>
      <c r="BC146" t="s" s="0">
        <v>81</v>
      </c>
      <c r="BD146" t="s" s="0">
        <v>81</v>
      </c>
      <c r="BE146" t="s" s="0">
        <v>81</v>
      </c>
      <c r="BF146" t="s" s="0">
        <v>81</v>
      </c>
      <c r="BG146" t="s" s="0">
        <v>81</v>
      </c>
      <c r="BH146" t="s" s="0">
        <v>81</v>
      </c>
      <c r="BI146" t="s" s="0">
        <v>3410</v>
      </c>
      <c r="BJ146" t="s" s="0">
        <v>3411</v>
      </c>
      <c r="BK146" t="s" s="289">
        <f>HYPERLINK("http://dx.doi.org/10.1016/j.jbi.2026.105087","http://dx.doi.org/10.1016/j.jbi.2026.105087")</f>
        <v>3412</v>
      </c>
      <c r="BL146" t="s" s="0">
        <v>81</v>
      </c>
      <c r="BM146" t="s" s="0">
        <v>81</v>
      </c>
      <c r="BN146" t="s" s="0">
        <v>113</v>
      </c>
      <c r="BO146" t="s" s="0">
        <v>3413</v>
      </c>
      <c r="BP146" t="s" s="0">
        <v>3414</v>
      </c>
      <c r="BQ146" t="s" s="0">
        <v>3415</v>
      </c>
      <c r="BR146" t="s" s="0">
        <v>3416</v>
      </c>
      <c r="BS146" t="s" s="0">
        <v>3417</v>
      </c>
      <c r="BT146" t="s" s="290">
        <f>HYPERLINK("https://www.webofscience.com/wos/woscc/full-record/WOS:001844448900001","View Record in Web of Science")</f>
        <v>118</v>
      </c>
      <c r="BU146" t="s" s="0">
        <v>877</v>
      </c>
      <c r="BV146" t="s" s="0">
        <v>81</v>
      </c>
      <c r="BW146" t="s" s="0">
        <v>81</v>
      </c>
      <c r="BX146" t="s" s="0">
        <v>120</v>
      </c>
    </row>
    <row r="147">
      <c r="A147" t="s" s="0">
        <v>77</v>
      </c>
      <c r="B147" t="s" s="0">
        <v>77</v>
      </c>
      <c r="C147" t="s" s="0">
        <v>77</v>
      </c>
      <c r="D147" t="s" s="0">
        <v>77</v>
      </c>
      <c r="E147" t="s" s="0">
        <v>3418</v>
      </c>
      <c r="F147" t="s" s="0">
        <v>3419</v>
      </c>
      <c r="G147" t="s" s="0">
        <v>3420</v>
      </c>
      <c r="H147" t="s" s="0">
        <v>81</v>
      </c>
      <c r="I147" t="s" s="0">
        <v>82</v>
      </c>
      <c r="J147" t="s" s="0">
        <v>3421</v>
      </c>
      <c r="K147" t="s" s="0">
        <v>3422</v>
      </c>
      <c r="L147" t="s" s="0">
        <v>81</v>
      </c>
      <c r="M147" t="s" s="0">
        <v>81</v>
      </c>
      <c r="N147" t="s" s="0">
        <v>81</v>
      </c>
      <c r="O147" t="s" s="0">
        <v>3423</v>
      </c>
      <c r="P147" t="s" s="0">
        <v>3424</v>
      </c>
      <c r="Q147" t="s" s="0">
        <v>90</v>
      </c>
      <c r="R147" t="s" s="0">
        <v>81</v>
      </c>
      <c r="S147" t="s" s="0">
        <v>81</v>
      </c>
      <c r="T147" t="s" s="0">
        <v>81</v>
      </c>
      <c r="U147" t="s" s="0">
        <v>81</v>
      </c>
      <c r="V147" t="s" s="0">
        <v>3425</v>
      </c>
      <c r="W147" t="s" s="0">
        <v>3426</v>
      </c>
      <c r="X147" t="s" s="0">
        <v>81</v>
      </c>
      <c r="Y147" t="s" s="0">
        <v>81</v>
      </c>
      <c r="Z147" t="s" s="0">
        <v>93</v>
      </c>
      <c r="AA147" t="s" s="0">
        <v>94</v>
      </c>
      <c r="AB147" t="s" s="0">
        <v>81</v>
      </c>
      <c r="AC147" t="s" s="0">
        <v>81</v>
      </c>
      <c r="AD147" t="s" s="0">
        <v>81</v>
      </c>
      <c r="AE147" t="s" s="0">
        <v>81</v>
      </c>
      <c r="AF147" t="s" s="0">
        <v>81</v>
      </c>
      <c r="AG147" t="s" s="0">
        <v>3427</v>
      </c>
      <c r="AH147" t="s" s="0">
        <v>3428</v>
      </c>
      <c r="AI147" t="s" s="0">
        <v>81</v>
      </c>
      <c r="AJ147" t="s" s="0">
        <v>81</v>
      </c>
      <c r="AK147" t="s" s="0">
        <v>81</v>
      </c>
      <c r="AL147" t="s" s="0">
        <v>347</v>
      </c>
      <c r="AM147" t="s" s="0">
        <v>77</v>
      </c>
      <c r="AN147" t="s" s="0">
        <v>77</v>
      </c>
      <c r="AO147" t="s" s="0">
        <v>77</v>
      </c>
      <c r="AP147" t="s" s="0">
        <v>77</v>
      </c>
      <c r="AQ147" t="s" s="0">
        <v>892</v>
      </c>
      <c r="AR147" t="s" s="0">
        <v>893</v>
      </c>
      <c r="AS147" t="s" s="0">
        <v>894</v>
      </c>
      <c r="AT147" t="s" s="0">
        <v>3429</v>
      </c>
      <c r="AU147" t="s" s="0">
        <v>81</v>
      </c>
      <c r="AV147" t="s" s="0">
        <v>81</v>
      </c>
      <c r="AW147" t="s" s="0">
        <v>3430</v>
      </c>
      <c r="AX147" t="s" s="0">
        <v>3431</v>
      </c>
      <c r="AY147" t="s" s="0">
        <v>2903</v>
      </c>
      <c r="AZ147" t="s" s="0">
        <v>106</v>
      </c>
      <c r="BA147" t="s" s="0">
        <v>253</v>
      </c>
      <c r="BB147" t="s" s="0">
        <v>340</v>
      </c>
      <c r="BC147" t="s" s="0">
        <v>81</v>
      </c>
      <c r="BD147" t="s" s="0">
        <v>81</v>
      </c>
      <c r="BE147" t="s" s="0">
        <v>81</v>
      </c>
      <c r="BF147" t="s" s="0">
        <v>81</v>
      </c>
      <c r="BG147" t="s" s="0">
        <v>81</v>
      </c>
      <c r="BH147" t="s" s="0">
        <v>81</v>
      </c>
      <c r="BI147" t="s" s="0">
        <v>3432</v>
      </c>
      <c r="BJ147" t="s" s="0">
        <v>3433</v>
      </c>
      <c r="BK147" t="s" s="291">
        <f>HYPERLINK("http://dx.doi.org/10.1016/j.jrras.2026.102601","http://dx.doi.org/10.1016/j.jrras.2026.102601")</f>
        <v>3434</v>
      </c>
      <c r="BL147" t="s" s="0">
        <v>81</v>
      </c>
      <c r="BM147" t="s" s="0">
        <v>81</v>
      </c>
      <c r="BN147" t="s" s="0">
        <v>197</v>
      </c>
      <c r="BO147" t="s" s="0">
        <v>3435</v>
      </c>
      <c r="BP147" t="s" s="0">
        <v>3436</v>
      </c>
      <c r="BQ147" t="s" s="0">
        <v>3437</v>
      </c>
      <c r="BR147" t="s" s="0">
        <v>81</v>
      </c>
      <c r="BS147" t="s" s="0">
        <v>3438</v>
      </c>
      <c r="BT147" t="s" s="292">
        <f>HYPERLINK("https://www.webofscience.com/wos/woscc/full-record/WOS:001844284300001","View Record in Web of Science")</f>
        <v>118</v>
      </c>
      <c r="BU147" t="s" s="0">
        <v>119</v>
      </c>
      <c r="BV147" t="s" s="0">
        <v>81</v>
      </c>
      <c r="BW147" t="s" s="0">
        <v>81</v>
      </c>
      <c r="BX147" t="s" s="0">
        <v>120</v>
      </c>
    </row>
    <row r="148">
      <c r="A148" t="s" s="0">
        <v>77</v>
      </c>
      <c r="B148" t="s" s="0">
        <v>77</v>
      </c>
      <c r="C148" t="s" s="0">
        <v>77</v>
      </c>
      <c r="D148" t="s" s="0">
        <v>77</v>
      </c>
      <c r="E148" t="s" s="0">
        <v>3439</v>
      </c>
      <c r="F148" t="s" s="0">
        <v>3440</v>
      </c>
      <c r="G148" t="s" s="0">
        <v>3441</v>
      </c>
      <c r="H148" t="s" s="0">
        <v>81</v>
      </c>
      <c r="I148" t="s" s="0">
        <v>82</v>
      </c>
      <c r="J148" t="s" s="0">
        <v>3442</v>
      </c>
      <c r="K148" t="s" s="0">
        <v>3443</v>
      </c>
      <c r="L148" t="s" s="0">
        <v>81</v>
      </c>
      <c r="M148" t="s" s="0">
        <v>81</v>
      </c>
      <c r="N148" t="s" s="0">
        <v>81</v>
      </c>
      <c r="O148" t="s" s="0">
        <v>3444</v>
      </c>
      <c r="P148" t="s" s="0">
        <v>3445</v>
      </c>
      <c r="Q148" t="s" s="0">
        <v>90</v>
      </c>
      <c r="R148" t="s" s="0">
        <v>81</v>
      </c>
      <c r="S148" t="s" s="0">
        <v>81</v>
      </c>
      <c r="T148" t="s" s="0">
        <v>81</v>
      </c>
      <c r="U148" t="s" s="0">
        <v>81</v>
      </c>
      <c r="V148" t="s" s="0">
        <v>3446</v>
      </c>
      <c r="W148" t="s" s="0">
        <v>3447</v>
      </c>
      <c r="X148" t="s" s="0">
        <v>81</v>
      </c>
      <c r="Y148" t="s" s="0">
        <v>81</v>
      </c>
      <c r="Z148" t="s" s="0">
        <v>93</v>
      </c>
      <c r="AA148" t="s" s="0">
        <v>94</v>
      </c>
      <c r="AB148" t="s" s="0">
        <v>81</v>
      </c>
      <c r="AC148" t="s" s="0">
        <v>81</v>
      </c>
      <c r="AD148" t="s" s="0">
        <v>81</v>
      </c>
      <c r="AE148" t="s" s="0">
        <v>81</v>
      </c>
      <c r="AF148" t="s" s="0">
        <v>81</v>
      </c>
      <c r="AG148" t="s" s="0">
        <v>3448</v>
      </c>
      <c r="AH148" t="s" s="0">
        <v>81</v>
      </c>
      <c r="AI148" t="s" s="0">
        <v>81</v>
      </c>
      <c r="AJ148" t="s" s="0">
        <v>81</v>
      </c>
      <c r="AK148" t="s" s="0">
        <v>81</v>
      </c>
      <c r="AL148" t="s" s="0">
        <v>2898</v>
      </c>
      <c r="AM148" t="s" s="0">
        <v>108</v>
      </c>
      <c r="AN148" t="s" s="0">
        <v>108</v>
      </c>
      <c r="AO148" t="s" s="0">
        <v>77</v>
      </c>
      <c r="AP148" t="s" s="0">
        <v>77</v>
      </c>
      <c r="AQ148" t="s" s="0">
        <v>3122</v>
      </c>
      <c r="AR148" t="s" s="0">
        <v>99</v>
      </c>
      <c r="AS148" t="s" s="0">
        <v>3123</v>
      </c>
      <c r="AT148" t="s" s="0">
        <v>3449</v>
      </c>
      <c r="AU148" t="s" s="0">
        <v>3450</v>
      </c>
      <c r="AV148" t="s" s="0">
        <v>81</v>
      </c>
      <c r="AW148" t="s" s="0">
        <v>3451</v>
      </c>
      <c r="AX148" t="s" s="0">
        <v>3452</v>
      </c>
      <c r="AY148" t="s" s="0">
        <v>2903</v>
      </c>
      <c r="AZ148" t="s" s="0">
        <v>106</v>
      </c>
      <c r="BA148" t="s" s="0">
        <v>752</v>
      </c>
      <c r="BB148" t="s" s="0">
        <v>720</v>
      </c>
      <c r="BC148" t="s" s="0">
        <v>81</v>
      </c>
      <c r="BD148" t="s" s="0">
        <v>81</v>
      </c>
      <c r="BE148" t="s" s="0">
        <v>81</v>
      </c>
      <c r="BF148" t="s" s="0">
        <v>81</v>
      </c>
      <c r="BG148" t="s" s="0">
        <v>3453</v>
      </c>
      <c r="BH148" t="s" s="0">
        <v>3454</v>
      </c>
      <c r="BI148" t="s" s="0">
        <v>81</v>
      </c>
      <c r="BJ148" t="s" s="0">
        <v>3455</v>
      </c>
      <c r="BK148" t="s" s="293">
        <f>HYPERLINK("http://dx.doi.org/10.1097/HCO.0000000000001302","http://dx.doi.org/10.1097/HCO.0000000000001302")</f>
        <v>3456</v>
      </c>
      <c r="BL148" t="s" s="0">
        <v>81</v>
      </c>
      <c r="BM148" t="s" s="0">
        <v>81</v>
      </c>
      <c r="BN148" t="s" s="0">
        <v>461</v>
      </c>
      <c r="BO148" t="s" s="0">
        <v>2682</v>
      </c>
      <c r="BP148" t="s" s="0">
        <v>2683</v>
      </c>
      <c r="BQ148" t="s" s="0">
        <v>3457</v>
      </c>
      <c r="BR148" t="s" s="0">
        <v>3458</v>
      </c>
      <c r="BS148" t="s" s="0">
        <v>3459</v>
      </c>
      <c r="BT148" t="s" s="294">
        <f>HYPERLINK("https://www.webofscience.com/wos/woscc/full-record/WOS:001842420400006","View Record in Web of Science")</f>
        <v>118</v>
      </c>
      <c r="BU148" t="s" s="0">
        <v>81</v>
      </c>
      <c r="BV148" t="s" s="0">
        <v>81</v>
      </c>
      <c r="BW148" t="s" s="0">
        <v>81</v>
      </c>
      <c r="BX148" t="s" s="0">
        <v>120</v>
      </c>
    </row>
    <row r="149">
      <c r="A149" t="s" s="0">
        <v>77</v>
      </c>
      <c r="B149" t="s" s="0">
        <v>77</v>
      </c>
      <c r="C149" t="s" s="0">
        <v>77</v>
      </c>
      <c r="D149" t="s" s="0">
        <v>77</v>
      </c>
      <c r="E149" t="s" s="0">
        <v>3460</v>
      </c>
      <c r="F149" t="s" s="0">
        <v>3461</v>
      </c>
      <c r="G149" t="s" s="0">
        <v>3462</v>
      </c>
      <c r="H149" t="s" s="0">
        <v>81</v>
      </c>
      <c r="I149" t="s" s="0">
        <v>82</v>
      </c>
      <c r="J149" t="s" s="0">
        <v>3463</v>
      </c>
      <c r="K149" t="s" s="0">
        <v>3464</v>
      </c>
      <c r="L149" t="s" s="0">
        <v>81</v>
      </c>
      <c r="M149" t="s" s="0">
        <v>81</v>
      </c>
      <c r="N149" t="s" s="0">
        <v>81</v>
      </c>
      <c r="O149" t="s" s="0">
        <v>3465</v>
      </c>
      <c r="P149" t="s" s="0">
        <v>3466</v>
      </c>
      <c r="Q149" t="s" s="0">
        <v>90</v>
      </c>
      <c r="R149" t="s" s="0">
        <v>81</v>
      </c>
      <c r="S149" t="s" s="0">
        <v>81</v>
      </c>
      <c r="T149" t="s" s="0">
        <v>81</v>
      </c>
      <c r="U149" t="s" s="0">
        <v>81</v>
      </c>
      <c r="V149" t="s" s="0">
        <v>3467</v>
      </c>
      <c r="W149" t="s" s="0">
        <v>3447</v>
      </c>
      <c r="X149" t="s" s="0">
        <v>81</v>
      </c>
      <c r="Y149" t="s" s="0">
        <v>81</v>
      </c>
      <c r="Z149" t="s" s="0">
        <v>93</v>
      </c>
      <c r="AA149" t="s" s="0">
        <v>94</v>
      </c>
      <c r="AB149" t="s" s="0">
        <v>81</v>
      </c>
      <c r="AC149" t="s" s="0">
        <v>81</v>
      </c>
      <c r="AD149" t="s" s="0">
        <v>81</v>
      </c>
      <c r="AE149" t="s" s="0">
        <v>81</v>
      </c>
      <c r="AF149" t="s" s="0">
        <v>81</v>
      </c>
      <c r="AG149" t="s" s="0">
        <v>3468</v>
      </c>
      <c r="AH149" t="s" s="0">
        <v>3469</v>
      </c>
      <c r="AI149" t="s" s="0">
        <v>81</v>
      </c>
      <c r="AJ149" t="s" s="0">
        <v>81</v>
      </c>
      <c r="AK149" t="s" s="0">
        <v>81</v>
      </c>
      <c r="AL149" t="s" s="0">
        <v>189</v>
      </c>
      <c r="AM149" t="s" s="0">
        <v>77</v>
      </c>
      <c r="AN149" t="s" s="0">
        <v>77</v>
      </c>
      <c r="AO149" t="s" s="0">
        <v>77</v>
      </c>
      <c r="AP149" t="s" s="0">
        <v>77</v>
      </c>
      <c r="AQ149" t="s" s="0">
        <v>3122</v>
      </c>
      <c r="AR149" t="s" s="0">
        <v>99</v>
      </c>
      <c r="AS149" t="s" s="0">
        <v>3123</v>
      </c>
      <c r="AT149" t="s" s="0">
        <v>3449</v>
      </c>
      <c r="AU149" t="s" s="0">
        <v>3450</v>
      </c>
      <c r="AV149" t="s" s="0">
        <v>81</v>
      </c>
      <c r="AW149" t="s" s="0">
        <v>3451</v>
      </c>
      <c r="AX149" t="s" s="0">
        <v>3452</v>
      </c>
      <c r="AY149" t="s" s="0">
        <v>2903</v>
      </c>
      <c r="AZ149" t="s" s="0">
        <v>106</v>
      </c>
      <c r="BA149" t="s" s="0">
        <v>752</v>
      </c>
      <c r="BB149" t="s" s="0">
        <v>720</v>
      </c>
      <c r="BC149" t="s" s="0">
        <v>81</v>
      </c>
      <c r="BD149" t="s" s="0">
        <v>81</v>
      </c>
      <c r="BE149" t="s" s="0">
        <v>81</v>
      </c>
      <c r="BF149" t="s" s="0">
        <v>81</v>
      </c>
      <c r="BG149" t="s" s="0">
        <v>3470</v>
      </c>
      <c r="BH149" t="s" s="0">
        <v>3471</v>
      </c>
      <c r="BI149" t="s" s="0">
        <v>81</v>
      </c>
      <c r="BJ149" t="s" s="0">
        <v>3472</v>
      </c>
      <c r="BK149" t="s" s="295">
        <f>HYPERLINK("http://dx.doi.org/10.1097/HCO.0000000000001324","http://dx.doi.org/10.1097/HCO.0000000000001324")</f>
        <v>3473</v>
      </c>
      <c r="BL149" t="s" s="0">
        <v>81</v>
      </c>
      <c r="BM149" t="s" s="0">
        <v>81</v>
      </c>
      <c r="BN149" t="s" s="0">
        <v>434</v>
      </c>
      <c r="BO149" t="s" s="0">
        <v>2682</v>
      </c>
      <c r="BP149" t="s" s="0">
        <v>2683</v>
      </c>
      <c r="BQ149" t="s" s="0">
        <v>3457</v>
      </c>
      <c r="BR149" t="s" s="0">
        <v>3474</v>
      </c>
      <c r="BS149" t="s" s="0">
        <v>3475</v>
      </c>
      <c r="BT149" t="s" s="296">
        <f>HYPERLINK("https://www.webofscience.com/wos/woscc/full-record/WOS:001842420400013","View Record in Web of Science")</f>
        <v>118</v>
      </c>
      <c r="BU149" t="s" s="0">
        <v>81</v>
      </c>
      <c r="BV149" t="s" s="0">
        <v>81</v>
      </c>
      <c r="BW149" t="s" s="0">
        <v>81</v>
      </c>
      <c r="BX149" t="s" s="0">
        <v>120</v>
      </c>
    </row>
    <row r="150">
      <c r="A150" t="s" s="0">
        <v>77</v>
      </c>
      <c r="B150" t="s" s="0">
        <v>77</v>
      </c>
      <c r="C150" t="s" s="0">
        <v>77</v>
      </c>
      <c r="D150" t="s" s="0">
        <v>77</v>
      </c>
      <c r="E150" t="s" s="0">
        <v>3476</v>
      </c>
      <c r="F150" t="s" s="0">
        <v>3477</v>
      </c>
      <c r="G150" t="s" s="0">
        <v>3478</v>
      </c>
      <c r="H150" t="s" s="0">
        <v>81</v>
      </c>
      <c r="I150" t="s" s="0">
        <v>82</v>
      </c>
      <c r="J150" t="s" s="0">
        <v>3479</v>
      </c>
      <c r="K150" t="s" s="0">
        <v>3480</v>
      </c>
      <c r="L150" t="s" s="0">
        <v>81</v>
      </c>
      <c r="M150" t="s" s="0">
        <v>81</v>
      </c>
      <c r="N150" t="s" s="0">
        <v>81</v>
      </c>
      <c r="O150" t="s" s="0">
        <v>3481</v>
      </c>
      <c r="P150" t="s" s="0">
        <v>3482</v>
      </c>
      <c r="Q150" t="s" s="0">
        <v>90</v>
      </c>
      <c r="R150" t="s" s="0">
        <v>81</v>
      </c>
      <c r="S150" t="s" s="0">
        <v>81</v>
      </c>
      <c r="T150" t="s" s="0">
        <v>81</v>
      </c>
      <c r="U150" t="s" s="0">
        <v>81</v>
      </c>
      <c r="V150" t="s" s="0">
        <v>3483</v>
      </c>
      <c r="W150" t="s" s="0">
        <v>3447</v>
      </c>
      <c r="X150" t="s" s="0">
        <v>81</v>
      </c>
      <c r="Y150" t="s" s="0">
        <v>81</v>
      </c>
      <c r="Z150" t="s" s="0">
        <v>93</v>
      </c>
      <c r="AA150" t="s" s="0">
        <v>94</v>
      </c>
      <c r="AB150" t="s" s="0">
        <v>81</v>
      </c>
      <c r="AC150" t="s" s="0">
        <v>81</v>
      </c>
      <c r="AD150" t="s" s="0">
        <v>81</v>
      </c>
      <c r="AE150" t="s" s="0">
        <v>81</v>
      </c>
      <c r="AF150" t="s" s="0">
        <v>81</v>
      </c>
      <c r="AG150" t="s" s="0">
        <v>3484</v>
      </c>
      <c r="AH150" t="s" s="0">
        <v>81</v>
      </c>
      <c r="AI150" t="s" s="0">
        <v>81</v>
      </c>
      <c r="AJ150" t="s" s="0">
        <v>81</v>
      </c>
      <c r="AK150" t="s" s="0">
        <v>81</v>
      </c>
      <c r="AL150" t="s" s="0">
        <v>391</v>
      </c>
      <c r="AM150" t="s" s="0">
        <v>77</v>
      </c>
      <c r="AN150" t="s" s="0">
        <v>77</v>
      </c>
      <c r="AO150" t="s" s="0">
        <v>77</v>
      </c>
      <c r="AP150" t="s" s="0">
        <v>77</v>
      </c>
      <c r="AQ150" t="s" s="0">
        <v>3122</v>
      </c>
      <c r="AR150" t="s" s="0">
        <v>99</v>
      </c>
      <c r="AS150" t="s" s="0">
        <v>3123</v>
      </c>
      <c r="AT150" t="s" s="0">
        <v>3449</v>
      </c>
      <c r="AU150" t="s" s="0">
        <v>3450</v>
      </c>
      <c r="AV150" t="s" s="0">
        <v>81</v>
      </c>
      <c r="AW150" t="s" s="0">
        <v>3451</v>
      </c>
      <c r="AX150" t="s" s="0">
        <v>3452</v>
      </c>
      <c r="AY150" t="s" s="0">
        <v>2903</v>
      </c>
      <c r="AZ150" t="s" s="0">
        <v>106</v>
      </c>
      <c r="BA150" t="s" s="0">
        <v>752</v>
      </c>
      <c r="BB150" t="s" s="0">
        <v>720</v>
      </c>
      <c r="BC150" t="s" s="0">
        <v>81</v>
      </c>
      <c r="BD150" t="s" s="0">
        <v>81</v>
      </c>
      <c r="BE150" t="s" s="0">
        <v>81</v>
      </c>
      <c r="BF150" t="s" s="0">
        <v>81</v>
      </c>
      <c r="BG150" t="s" s="0">
        <v>3485</v>
      </c>
      <c r="BH150" t="s" s="0">
        <v>3486</v>
      </c>
      <c r="BI150" t="s" s="0">
        <v>81</v>
      </c>
      <c r="BJ150" t="s" s="0">
        <v>3487</v>
      </c>
      <c r="BK150" t="s" s="297">
        <f>HYPERLINK("http://dx.doi.org/10.1097/HCO.0000000000001325","http://dx.doi.org/10.1097/HCO.0000000000001325")</f>
        <v>3488</v>
      </c>
      <c r="BL150" t="s" s="0">
        <v>81</v>
      </c>
      <c r="BM150" t="s" s="0">
        <v>81</v>
      </c>
      <c r="BN150" t="s" s="0">
        <v>461</v>
      </c>
      <c r="BO150" t="s" s="0">
        <v>2682</v>
      </c>
      <c r="BP150" t="s" s="0">
        <v>2683</v>
      </c>
      <c r="BQ150" t="s" s="0">
        <v>3457</v>
      </c>
      <c r="BR150" t="s" s="0">
        <v>3489</v>
      </c>
      <c r="BS150" t="s" s="0">
        <v>3490</v>
      </c>
      <c r="BT150" t="s" s="298">
        <f>HYPERLINK("https://www.webofscience.com/wos/woscc/full-record/WOS:001842420400005","View Record in Web of Science")</f>
        <v>118</v>
      </c>
      <c r="BU150" t="s" s="0">
        <v>81</v>
      </c>
      <c r="BV150" t="s" s="0">
        <v>81</v>
      </c>
      <c r="BW150" t="s" s="0">
        <v>81</v>
      </c>
      <c r="BX150" t="s" s="0">
        <v>120</v>
      </c>
    </row>
    <row r="151">
      <c r="A151" t="s" s="0">
        <v>77</v>
      </c>
      <c r="B151" t="s" s="0">
        <v>77</v>
      </c>
      <c r="C151" t="s" s="0">
        <v>77</v>
      </c>
      <c r="D151" t="s" s="0">
        <v>77</v>
      </c>
      <c r="E151" t="s" s="0">
        <v>3491</v>
      </c>
      <c r="F151" t="s" s="0">
        <v>3492</v>
      </c>
      <c r="G151" t="s" s="0">
        <v>3493</v>
      </c>
      <c r="H151" t="s" s="0">
        <v>81</v>
      </c>
      <c r="I151" t="s" s="0">
        <v>82</v>
      </c>
      <c r="J151" t="s" s="0">
        <v>3494</v>
      </c>
      <c r="K151" t="s" s="0">
        <v>3495</v>
      </c>
      <c r="L151" t="s" s="0">
        <v>81</v>
      </c>
      <c r="M151" t="s" s="0">
        <v>81</v>
      </c>
      <c r="N151" t="s" s="0">
        <v>81</v>
      </c>
      <c r="O151" t="s" s="0">
        <v>3496</v>
      </c>
      <c r="P151" t="s" s="0">
        <v>3497</v>
      </c>
      <c r="Q151" t="s" s="0">
        <v>90</v>
      </c>
      <c r="R151" t="s" s="0">
        <v>81</v>
      </c>
      <c r="S151" t="s" s="0">
        <v>81</v>
      </c>
      <c r="T151" t="s" s="0">
        <v>81</v>
      </c>
      <c r="U151" t="s" s="0">
        <v>81</v>
      </c>
      <c r="V151" t="s" s="0">
        <v>3498</v>
      </c>
      <c r="W151" t="s" s="0">
        <v>3447</v>
      </c>
      <c r="X151" t="s" s="0">
        <v>81</v>
      </c>
      <c r="Y151" t="s" s="0">
        <v>81</v>
      </c>
      <c r="Z151" t="s" s="0">
        <v>93</v>
      </c>
      <c r="AA151" t="s" s="0">
        <v>94</v>
      </c>
      <c r="AB151" t="s" s="0">
        <v>81</v>
      </c>
      <c r="AC151" t="s" s="0">
        <v>81</v>
      </c>
      <c r="AD151" t="s" s="0">
        <v>81</v>
      </c>
      <c r="AE151" t="s" s="0">
        <v>81</v>
      </c>
      <c r="AF151" t="s" s="0">
        <v>81</v>
      </c>
      <c r="AG151" t="s" s="0">
        <v>3499</v>
      </c>
      <c r="AH151" t="s" s="0">
        <v>3500</v>
      </c>
      <c r="AI151" t="s" s="0">
        <v>81</v>
      </c>
      <c r="AJ151" t="s" s="0">
        <v>81</v>
      </c>
      <c r="AK151" t="s" s="0">
        <v>81</v>
      </c>
      <c r="AL151" t="s" s="0">
        <v>168</v>
      </c>
      <c r="AM151" t="s" s="0">
        <v>108</v>
      </c>
      <c r="AN151" t="s" s="0">
        <v>108</v>
      </c>
      <c r="AO151" t="s" s="0">
        <v>77</v>
      </c>
      <c r="AP151" t="s" s="0">
        <v>77</v>
      </c>
      <c r="AQ151" t="s" s="0">
        <v>3122</v>
      </c>
      <c r="AR151" t="s" s="0">
        <v>99</v>
      </c>
      <c r="AS151" t="s" s="0">
        <v>3123</v>
      </c>
      <c r="AT151" t="s" s="0">
        <v>3449</v>
      </c>
      <c r="AU151" t="s" s="0">
        <v>3450</v>
      </c>
      <c r="AV151" t="s" s="0">
        <v>81</v>
      </c>
      <c r="AW151" t="s" s="0">
        <v>3451</v>
      </c>
      <c r="AX151" t="s" s="0">
        <v>3452</v>
      </c>
      <c r="AY151" t="s" s="0">
        <v>2903</v>
      </c>
      <c r="AZ151" t="s" s="0">
        <v>106</v>
      </c>
      <c r="BA151" t="s" s="0">
        <v>752</v>
      </c>
      <c r="BB151" t="s" s="0">
        <v>720</v>
      </c>
      <c r="BC151" t="s" s="0">
        <v>81</v>
      </c>
      <c r="BD151" t="s" s="0">
        <v>81</v>
      </c>
      <c r="BE151" t="s" s="0">
        <v>81</v>
      </c>
      <c r="BF151" t="s" s="0">
        <v>81</v>
      </c>
      <c r="BG151" t="s" s="0">
        <v>3501</v>
      </c>
      <c r="BH151" t="s" s="0">
        <v>3357</v>
      </c>
      <c r="BI151" t="s" s="0">
        <v>81</v>
      </c>
      <c r="BJ151" t="s" s="0">
        <v>3502</v>
      </c>
      <c r="BK151" t="s" s="299">
        <f>HYPERLINK("http://dx.doi.org/10.1097/HCO.0000000000001320","http://dx.doi.org/10.1097/HCO.0000000000001320")</f>
        <v>3503</v>
      </c>
      <c r="BL151" t="s" s="0">
        <v>81</v>
      </c>
      <c r="BM151" t="s" s="0">
        <v>81</v>
      </c>
      <c r="BN151" t="s" s="0">
        <v>461</v>
      </c>
      <c r="BO151" t="s" s="0">
        <v>2682</v>
      </c>
      <c r="BP151" t="s" s="0">
        <v>2683</v>
      </c>
      <c r="BQ151" t="s" s="0">
        <v>3457</v>
      </c>
      <c r="BR151" t="s" s="0">
        <v>3504</v>
      </c>
      <c r="BS151" t="s" s="0">
        <v>3505</v>
      </c>
      <c r="BT151" t="s" s="300">
        <f>HYPERLINK("https://www.webofscience.com/wos/woscc/full-record/WOS:001842420400014","View Record in Web of Science")</f>
        <v>118</v>
      </c>
      <c r="BU151" t="s" s="0">
        <v>81</v>
      </c>
      <c r="BV151" t="s" s="0">
        <v>81</v>
      </c>
      <c r="BW151" t="s" s="0">
        <v>81</v>
      </c>
      <c r="BX151" t="s" s="0">
        <v>120</v>
      </c>
    </row>
    <row r="152">
      <c r="A152" t="s" s="0">
        <v>77</v>
      </c>
      <c r="B152" t="s" s="0">
        <v>77</v>
      </c>
      <c r="C152" t="s" s="0">
        <v>77</v>
      </c>
      <c r="D152" t="s" s="0">
        <v>77</v>
      </c>
      <c r="E152" t="s" s="0">
        <v>3506</v>
      </c>
      <c r="F152" t="s" s="0">
        <v>3507</v>
      </c>
      <c r="G152" t="s" s="0">
        <v>3508</v>
      </c>
      <c r="H152" t="s" s="0">
        <v>81</v>
      </c>
      <c r="I152" t="s" s="0">
        <v>82</v>
      </c>
      <c r="J152" t="s" s="0">
        <v>3509</v>
      </c>
      <c r="K152" t="s" s="0">
        <v>3510</v>
      </c>
      <c r="L152" t="s" s="0">
        <v>81</v>
      </c>
      <c r="M152" t="s" s="0">
        <v>81</v>
      </c>
      <c r="N152" t="s" s="0">
        <v>81</v>
      </c>
      <c r="O152" t="s" s="0">
        <v>3511</v>
      </c>
      <c r="P152" t="s" s="0">
        <v>3512</v>
      </c>
      <c r="Q152" t="s" s="0">
        <v>90</v>
      </c>
      <c r="R152" t="s" s="0">
        <v>81</v>
      </c>
      <c r="S152" t="s" s="0">
        <v>81</v>
      </c>
      <c r="T152" t="s" s="0">
        <v>81</v>
      </c>
      <c r="U152" t="s" s="0">
        <v>81</v>
      </c>
      <c r="V152" t="s" s="0">
        <v>3513</v>
      </c>
      <c r="W152" t="s" s="0">
        <v>3447</v>
      </c>
      <c r="X152" t="s" s="0">
        <v>81</v>
      </c>
      <c r="Y152" t="s" s="0">
        <v>81</v>
      </c>
      <c r="Z152" t="s" s="0">
        <v>93</v>
      </c>
      <c r="AA152" t="s" s="0">
        <v>94</v>
      </c>
      <c r="AB152" t="s" s="0">
        <v>81</v>
      </c>
      <c r="AC152" t="s" s="0">
        <v>81</v>
      </c>
      <c r="AD152" t="s" s="0">
        <v>81</v>
      </c>
      <c r="AE152" t="s" s="0">
        <v>81</v>
      </c>
      <c r="AF152" t="s" s="0">
        <v>81</v>
      </c>
      <c r="AG152" t="s" s="0">
        <v>3514</v>
      </c>
      <c r="AH152" t="s" s="0">
        <v>81</v>
      </c>
      <c r="AI152" t="s" s="0">
        <v>81</v>
      </c>
      <c r="AJ152" t="s" s="0">
        <v>81</v>
      </c>
      <c r="AK152" t="s" s="0">
        <v>81</v>
      </c>
      <c r="AL152" t="s" s="0">
        <v>752</v>
      </c>
      <c r="AM152" t="s" s="0">
        <v>77</v>
      </c>
      <c r="AN152" t="s" s="0">
        <v>77</v>
      </c>
      <c r="AO152" t="s" s="0">
        <v>77</v>
      </c>
      <c r="AP152" t="s" s="0">
        <v>77</v>
      </c>
      <c r="AQ152" t="s" s="0">
        <v>3122</v>
      </c>
      <c r="AR152" t="s" s="0">
        <v>99</v>
      </c>
      <c r="AS152" t="s" s="0">
        <v>3123</v>
      </c>
      <c r="AT152" t="s" s="0">
        <v>3449</v>
      </c>
      <c r="AU152" t="s" s="0">
        <v>3450</v>
      </c>
      <c r="AV152" t="s" s="0">
        <v>81</v>
      </c>
      <c r="AW152" t="s" s="0">
        <v>3451</v>
      </c>
      <c r="AX152" t="s" s="0">
        <v>3452</v>
      </c>
      <c r="AY152" t="s" s="0">
        <v>2903</v>
      </c>
      <c r="AZ152" t="s" s="0">
        <v>106</v>
      </c>
      <c r="BA152" t="s" s="0">
        <v>752</v>
      </c>
      <c r="BB152" t="s" s="0">
        <v>720</v>
      </c>
      <c r="BC152" t="s" s="0">
        <v>81</v>
      </c>
      <c r="BD152" t="s" s="0">
        <v>81</v>
      </c>
      <c r="BE152" t="s" s="0">
        <v>81</v>
      </c>
      <c r="BF152" t="s" s="0">
        <v>81</v>
      </c>
      <c r="BG152" t="s" s="0">
        <v>3515</v>
      </c>
      <c r="BH152" t="s" s="0">
        <v>3516</v>
      </c>
      <c r="BI152" t="s" s="0">
        <v>81</v>
      </c>
      <c r="BJ152" t="s" s="0">
        <v>3517</v>
      </c>
      <c r="BK152" t="s" s="301">
        <f>HYPERLINK("http://dx.doi.org/10.1097/HCO.0000000000001317","http://dx.doi.org/10.1097/HCO.0000000000001317")</f>
        <v>3518</v>
      </c>
      <c r="BL152" t="s" s="0">
        <v>81</v>
      </c>
      <c r="BM152" t="s" s="0">
        <v>81</v>
      </c>
      <c r="BN152" t="s" s="0">
        <v>461</v>
      </c>
      <c r="BO152" t="s" s="0">
        <v>2682</v>
      </c>
      <c r="BP152" t="s" s="0">
        <v>2683</v>
      </c>
      <c r="BQ152" t="s" s="0">
        <v>3457</v>
      </c>
      <c r="BR152" t="s" s="0">
        <v>3519</v>
      </c>
      <c r="BS152" t="s" s="0">
        <v>3520</v>
      </c>
      <c r="BT152" t="s" s="302">
        <f>HYPERLINK("https://www.webofscience.com/wos/woscc/full-record/WOS:001842420400007","View Record in Web of Science")</f>
        <v>118</v>
      </c>
      <c r="BU152" t="s" s="0">
        <v>81</v>
      </c>
      <c r="BV152" t="s" s="0">
        <v>81</v>
      </c>
      <c r="BW152" t="s" s="0">
        <v>81</v>
      </c>
      <c r="BX152" t="s" s="0">
        <v>120</v>
      </c>
    </row>
    <row r="153">
      <c r="A153" t="s" s="0">
        <v>77</v>
      </c>
      <c r="B153" t="s" s="0">
        <v>77</v>
      </c>
      <c r="C153" t="s" s="0">
        <v>77</v>
      </c>
      <c r="D153" t="s" s="0">
        <v>77</v>
      </c>
      <c r="E153" t="s" s="0">
        <v>3521</v>
      </c>
      <c r="F153" t="s" s="0">
        <v>3522</v>
      </c>
      <c r="G153" t="s" s="0">
        <v>3523</v>
      </c>
      <c r="H153" t="s" s="0">
        <v>81</v>
      </c>
      <c r="I153" t="s" s="0">
        <v>82</v>
      </c>
      <c r="J153" t="s" s="0">
        <v>3524</v>
      </c>
      <c r="K153" t="s" s="0">
        <v>3525</v>
      </c>
      <c r="L153" t="s" s="0">
        <v>3526</v>
      </c>
      <c r="M153" t="s" s="0">
        <v>3527</v>
      </c>
      <c r="N153" t="s" s="0">
        <v>3528</v>
      </c>
      <c r="O153" t="s" s="0">
        <v>3529</v>
      </c>
      <c r="P153" t="s" s="0">
        <v>3530</v>
      </c>
      <c r="Q153" t="s" s="0">
        <v>90</v>
      </c>
      <c r="R153" t="s" s="0">
        <v>81</v>
      </c>
      <c r="S153" t="s" s="0">
        <v>81</v>
      </c>
      <c r="T153" t="s" s="0">
        <v>81</v>
      </c>
      <c r="U153" t="s" s="0">
        <v>81</v>
      </c>
      <c r="V153" t="s" s="0">
        <v>3531</v>
      </c>
      <c r="W153" t="s" s="0">
        <v>3447</v>
      </c>
      <c r="X153" t="s" s="0">
        <v>81</v>
      </c>
      <c r="Y153" t="s" s="0">
        <v>81</v>
      </c>
      <c r="Z153" t="s" s="0">
        <v>93</v>
      </c>
      <c r="AA153" t="s" s="0">
        <v>94</v>
      </c>
      <c r="AB153" t="s" s="0">
        <v>81</v>
      </c>
      <c r="AC153" t="s" s="0">
        <v>81</v>
      </c>
      <c r="AD153" t="s" s="0">
        <v>81</v>
      </c>
      <c r="AE153" t="s" s="0">
        <v>81</v>
      </c>
      <c r="AF153" t="s" s="0">
        <v>81</v>
      </c>
      <c r="AG153" t="s" s="0">
        <v>3532</v>
      </c>
      <c r="AH153" t="s" s="0">
        <v>408</v>
      </c>
      <c r="AI153" t="s" s="0">
        <v>81</v>
      </c>
      <c r="AJ153" t="s" s="0">
        <v>81</v>
      </c>
      <c r="AK153" t="s" s="0">
        <v>81</v>
      </c>
      <c r="AL153" t="s" s="0">
        <v>1933</v>
      </c>
      <c r="AM153" t="s" s="0">
        <v>77</v>
      </c>
      <c r="AN153" t="s" s="0">
        <v>77</v>
      </c>
      <c r="AO153" t="s" s="0">
        <v>77</v>
      </c>
      <c r="AP153" t="s" s="0">
        <v>77</v>
      </c>
      <c r="AQ153" t="s" s="0">
        <v>3122</v>
      </c>
      <c r="AR153" t="s" s="0">
        <v>99</v>
      </c>
      <c r="AS153" t="s" s="0">
        <v>3123</v>
      </c>
      <c r="AT153" t="s" s="0">
        <v>3449</v>
      </c>
      <c r="AU153" t="s" s="0">
        <v>3450</v>
      </c>
      <c r="AV153" t="s" s="0">
        <v>81</v>
      </c>
      <c r="AW153" t="s" s="0">
        <v>3451</v>
      </c>
      <c r="AX153" t="s" s="0">
        <v>3452</v>
      </c>
      <c r="AY153" t="s" s="0">
        <v>2903</v>
      </c>
      <c r="AZ153" t="s" s="0">
        <v>106</v>
      </c>
      <c r="BA153" t="s" s="0">
        <v>752</v>
      </c>
      <c r="BB153" t="s" s="0">
        <v>720</v>
      </c>
      <c r="BC153" t="s" s="0">
        <v>81</v>
      </c>
      <c r="BD153" t="s" s="0">
        <v>81</v>
      </c>
      <c r="BE153" t="s" s="0">
        <v>81</v>
      </c>
      <c r="BF153" t="s" s="0">
        <v>81</v>
      </c>
      <c r="BG153" t="s" s="0">
        <v>3533</v>
      </c>
      <c r="BH153" t="s" s="0">
        <v>3534</v>
      </c>
      <c r="BI153" t="s" s="0">
        <v>81</v>
      </c>
      <c r="BJ153" t="s" s="0">
        <v>3535</v>
      </c>
      <c r="BK153" t="s" s="303">
        <f>HYPERLINK("http://dx.doi.org/10.1097/HCO.0000000000001326","http://dx.doi.org/10.1097/HCO.0000000000001326")</f>
        <v>3536</v>
      </c>
      <c r="BL153" t="s" s="0">
        <v>81</v>
      </c>
      <c r="BM153" t="s" s="0">
        <v>81</v>
      </c>
      <c r="BN153" t="s" s="0">
        <v>485</v>
      </c>
      <c r="BO153" t="s" s="0">
        <v>2682</v>
      </c>
      <c r="BP153" t="s" s="0">
        <v>2683</v>
      </c>
      <c r="BQ153" t="s" s="0">
        <v>3457</v>
      </c>
      <c r="BR153" t="s" s="0">
        <v>3537</v>
      </c>
      <c r="BS153" t="s" s="0">
        <v>3538</v>
      </c>
      <c r="BT153" t="s" s="304">
        <f>HYPERLINK("https://www.webofscience.com/wos/woscc/full-record/WOS:001842420400012","View Record in Web of Science")</f>
        <v>118</v>
      </c>
      <c r="BU153" t="s" s="0">
        <v>81</v>
      </c>
      <c r="BV153" t="s" s="0">
        <v>81</v>
      </c>
      <c r="BW153" t="s" s="0">
        <v>81</v>
      </c>
      <c r="BX153" t="s" s="0">
        <v>120</v>
      </c>
    </row>
    <row r="154">
      <c r="A154" t="s" s="0">
        <v>77</v>
      </c>
      <c r="B154" t="s" s="0">
        <v>77</v>
      </c>
      <c r="C154" t="s" s="0">
        <v>77</v>
      </c>
      <c r="D154" t="s" s="0">
        <v>77</v>
      </c>
      <c r="E154" t="s" s="0">
        <v>3539</v>
      </c>
      <c r="F154" t="s" s="0">
        <v>3540</v>
      </c>
      <c r="G154" t="s" s="0">
        <v>3541</v>
      </c>
      <c r="H154" t="s" s="0">
        <v>81</v>
      </c>
      <c r="I154" t="s" s="0">
        <v>82</v>
      </c>
      <c r="J154" t="s" s="0">
        <v>3542</v>
      </c>
      <c r="K154" t="s" s="0">
        <v>3543</v>
      </c>
      <c r="L154" t="s" s="0">
        <v>81</v>
      </c>
      <c r="M154" t="s" s="0">
        <v>81</v>
      </c>
      <c r="N154" t="s" s="0">
        <v>81</v>
      </c>
      <c r="O154" t="s" s="0">
        <v>3544</v>
      </c>
      <c r="P154" t="s" s="0">
        <v>3545</v>
      </c>
      <c r="Q154" t="s" s="0">
        <v>90</v>
      </c>
      <c r="R154" t="s" s="0">
        <v>81</v>
      </c>
      <c r="S154" t="s" s="0">
        <v>81</v>
      </c>
      <c r="T154" t="s" s="0">
        <v>81</v>
      </c>
      <c r="U154" t="s" s="0">
        <v>81</v>
      </c>
      <c r="V154" t="s" s="0">
        <v>3546</v>
      </c>
      <c r="W154" t="s" s="0">
        <v>3547</v>
      </c>
      <c r="X154" t="s" s="0">
        <v>81</v>
      </c>
      <c r="Y154" t="s" s="0">
        <v>81</v>
      </c>
      <c r="Z154" t="s" s="0">
        <v>93</v>
      </c>
      <c r="AA154" t="s" s="0">
        <v>94</v>
      </c>
      <c r="AB154" t="s" s="0">
        <v>81</v>
      </c>
      <c r="AC154" t="s" s="0">
        <v>81</v>
      </c>
      <c r="AD154" t="s" s="0">
        <v>81</v>
      </c>
      <c r="AE154" t="s" s="0">
        <v>81</v>
      </c>
      <c r="AF154" t="s" s="0">
        <v>81</v>
      </c>
      <c r="AG154" t="s" s="0">
        <v>3548</v>
      </c>
      <c r="AH154" t="s" s="0">
        <v>81</v>
      </c>
      <c r="AI154" t="s" s="0">
        <v>81</v>
      </c>
      <c r="AJ154" t="s" s="0">
        <v>81</v>
      </c>
      <c r="AK154" t="s" s="0">
        <v>81</v>
      </c>
      <c r="AL154" t="s" s="0">
        <v>3549</v>
      </c>
      <c r="AM154" t="s" s="0">
        <v>77</v>
      </c>
      <c r="AN154" t="s" s="0">
        <v>77</v>
      </c>
      <c r="AO154" t="s" s="0">
        <v>77</v>
      </c>
      <c r="AP154" t="s" s="0">
        <v>77</v>
      </c>
      <c r="AQ154" t="s" s="0">
        <v>836</v>
      </c>
      <c r="AR154" t="s" s="0">
        <v>837</v>
      </c>
      <c r="AS154" t="s" s="0">
        <v>838</v>
      </c>
      <c r="AT154" t="s" s="0">
        <v>3550</v>
      </c>
      <c r="AU154" t="s" s="0">
        <v>3551</v>
      </c>
      <c r="AV154" t="s" s="0">
        <v>81</v>
      </c>
      <c r="AW154" t="s" s="0">
        <v>3552</v>
      </c>
      <c r="AX154" t="s" s="0">
        <v>3553</v>
      </c>
      <c r="AY154" t="s" s="0">
        <v>2903</v>
      </c>
      <c r="AZ154" t="s" s="0">
        <v>106</v>
      </c>
      <c r="BA154" t="s" s="0">
        <v>3554</v>
      </c>
      <c r="BB154" t="s" s="0">
        <v>81</v>
      </c>
      <c r="BC154" t="s" s="0">
        <v>81</v>
      </c>
      <c r="BD154" t="s" s="0">
        <v>81</v>
      </c>
      <c r="BE154" t="s" s="0">
        <v>81</v>
      </c>
      <c r="BF154" t="s" s="0">
        <v>81</v>
      </c>
      <c r="BG154" t="s" s="0">
        <v>3555</v>
      </c>
      <c r="BH154" t="s" s="0">
        <v>3556</v>
      </c>
      <c r="BI154" t="s" s="0">
        <v>81</v>
      </c>
      <c r="BJ154" t="s" s="0">
        <v>3557</v>
      </c>
      <c r="BK154" t="s" s="305">
        <f>HYPERLINK("http://dx.doi.org/10.1016/j.bjps.2026.07.015","http://dx.doi.org/10.1016/j.bjps.2026.07.015")</f>
        <v>3558</v>
      </c>
      <c r="BL154" t="s" s="0">
        <v>81</v>
      </c>
      <c r="BM154" t="s" s="0">
        <v>81</v>
      </c>
      <c r="BN154" t="s" s="0">
        <v>113</v>
      </c>
      <c r="BO154" t="s" s="0">
        <v>198</v>
      </c>
      <c r="BP154" t="s" s="0">
        <v>198</v>
      </c>
      <c r="BQ154" t="s" s="0">
        <v>3559</v>
      </c>
      <c r="BR154" t="s" s="0">
        <v>3560</v>
      </c>
      <c r="BS154" t="s" s="0">
        <v>3561</v>
      </c>
      <c r="BT154" t="s" s="306">
        <f>HYPERLINK("https://www.webofscience.com/wos/woscc/full-record/WOS:001840667300001","View Record in Web of Science")</f>
        <v>118</v>
      </c>
      <c r="BU154" t="s" s="0">
        <v>877</v>
      </c>
      <c r="BV154" t="s" s="0">
        <v>81</v>
      </c>
      <c r="BW154" t="s" s="0">
        <v>81</v>
      </c>
      <c r="BX154" t="s" s="0">
        <v>120</v>
      </c>
    </row>
    <row r="155">
      <c r="A155" t="s" s="0">
        <v>77</v>
      </c>
      <c r="B155" t="s" s="0">
        <v>77</v>
      </c>
      <c r="C155" t="s" s="0">
        <v>77</v>
      </c>
      <c r="D155" t="s" s="0">
        <v>77</v>
      </c>
      <c r="E155" t="s" s="0">
        <v>3562</v>
      </c>
      <c r="F155" t="s" s="0">
        <v>3563</v>
      </c>
      <c r="G155" t="s" s="0">
        <v>3564</v>
      </c>
      <c r="H155" t="s" s="0">
        <v>81</v>
      </c>
      <c r="I155" t="s" s="0">
        <v>1004</v>
      </c>
      <c r="J155" t="s" s="0">
        <v>3565</v>
      </c>
      <c r="K155" t="s" s="0">
        <v>3566</v>
      </c>
      <c r="L155" t="s" s="0">
        <v>3567</v>
      </c>
      <c r="M155" t="s" s="0">
        <v>3568</v>
      </c>
      <c r="N155" t="s" s="0">
        <v>3569</v>
      </c>
      <c r="O155" t="s" s="0">
        <v>3570</v>
      </c>
      <c r="P155" t="s" s="0">
        <v>3571</v>
      </c>
      <c r="Q155" t="s" s="0">
        <v>90</v>
      </c>
      <c r="R155" t="s" s="0">
        <v>81</v>
      </c>
      <c r="S155" t="s" s="0">
        <v>81</v>
      </c>
      <c r="T155" t="s" s="0">
        <v>81</v>
      </c>
      <c r="U155" t="s" s="0">
        <v>81</v>
      </c>
      <c r="V155" t="s" s="0">
        <v>3572</v>
      </c>
      <c r="W155" t="s" s="0">
        <v>3573</v>
      </c>
      <c r="X155" t="s" s="0">
        <v>81</v>
      </c>
      <c r="Y155" t="s" s="0">
        <v>81</v>
      </c>
      <c r="Z155" t="s" s="0">
        <v>93</v>
      </c>
      <c r="AA155" t="s" s="0">
        <v>94</v>
      </c>
      <c r="AB155" t="s" s="0">
        <v>81</v>
      </c>
      <c r="AC155" t="s" s="0">
        <v>81</v>
      </c>
      <c r="AD155" t="s" s="0">
        <v>81</v>
      </c>
      <c r="AE155" t="s" s="0">
        <v>81</v>
      </c>
      <c r="AF155" t="s" s="0">
        <v>81</v>
      </c>
      <c r="AG155" t="s" s="0">
        <v>3574</v>
      </c>
      <c r="AH155" t="s" s="0">
        <v>3575</v>
      </c>
      <c r="AI155" t="s" s="0">
        <v>3576</v>
      </c>
      <c r="AJ155" t="s" s="0">
        <v>3577</v>
      </c>
      <c r="AK155" t="s" s="0">
        <v>81</v>
      </c>
      <c r="AL155" t="s" s="0">
        <v>1604</v>
      </c>
      <c r="AM155" t="s" s="0">
        <v>77</v>
      </c>
      <c r="AN155" t="s" s="0">
        <v>77</v>
      </c>
      <c r="AO155" t="s" s="0">
        <v>77</v>
      </c>
      <c r="AP155" t="s" s="0">
        <v>77</v>
      </c>
      <c r="AQ155" t="s" s="0">
        <v>1103</v>
      </c>
      <c r="AR155" t="s" s="0">
        <v>1104</v>
      </c>
      <c r="AS155" t="s" s="0">
        <v>1105</v>
      </c>
      <c r="AT155" t="s" s="0">
        <v>3578</v>
      </c>
      <c r="AU155" t="s" s="0">
        <v>3579</v>
      </c>
      <c r="AV155" t="s" s="0">
        <v>81</v>
      </c>
      <c r="AW155" t="s" s="0">
        <v>3580</v>
      </c>
      <c r="AX155" t="s" s="0">
        <v>3581</v>
      </c>
      <c r="AY155" t="s" s="0">
        <v>3582</v>
      </c>
      <c r="AZ155" t="s" s="0">
        <v>106</v>
      </c>
      <c r="BA155" t="s" s="0">
        <v>1287</v>
      </c>
      <c r="BB155" t="s" s="0">
        <v>81</v>
      </c>
      <c r="BC155" t="s" s="0">
        <v>81</v>
      </c>
      <c r="BD155" t="s" s="0">
        <v>81</v>
      </c>
      <c r="BE155" t="s" s="0">
        <v>81</v>
      </c>
      <c r="BF155" t="s" s="0">
        <v>81</v>
      </c>
      <c r="BG155" t="s" s="0">
        <v>2200</v>
      </c>
      <c r="BH155" t="s" s="0">
        <v>3583</v>
      </c>
      <c r="BI155" t="s" s="0">
        <v>81</v>
      </c>
      <c r="BJ155" t="s" s="0">
        <v>3584</v>
      </c>
      <c r="BK155" t="s" s="307">
        <f>HYPERLINK("http://dx.doi.org/10.1016/j.genhosppsych.2026.06.009","http://dx.doi.org/10.1016/j.genhosppsych.2026.06.009")</f>
        <v>3585</v>
      </c>
      <c r="BL155" t="s" s="0">
        <v>81</v>
      </c>
      <c r="BM155" t="s" s="0">
        <v>81</v>
      </c>
      <c r="BN155" t="s" s="0">
        <v>511</v>
      </c>
      <c r="BO155" t="s" s="0">
        <v>3586</v>
      </c>
      <c r="BP155" t="s" s="0">
        <v>3586</v>
      </c>
      <c r="BQ155" t="s" s="0">
        <v>3587</v>
      </c>
      <c r="BR155" t="s" s="0">
        <v>3588</v>
      </c>
      <c r="BS155" t="s" s="0">
        <v>3589</v>
      </c>
      <c r="BT155" t="s" s="308">
        <f>HYPERLINK("https://www.webofscience.com/wos/woscc/full-record/WOS:001838102800001","View Record in Web of Science")</f>
        <v>118</v>
      </c>
      <c r="BU155" t="s" s="0">
        <v>81</v>
      </c>
      <c r="BV155" t="s" s="0">
        <v>81</v>
      </c>
      <c r="BW155" t="s" s="0">
        <v>81</v>
      </c>
      <c r="BX155" t="s" s="0">
        <v>120</v>
      </c>
    </row>
    <row r="156">
      <c r="A156" t="s" s="0">
        <v>77</v>
      </c>
      <c r="B156" t="s" s="0">
        <v>77</v>
      </c>
      <c r="C156" t="s" s="0">
        <v>77</v>
      </c>
      <c r="D156" t="s" s="0">
        <v>77</v>
      </c>
      <c r="E156" t="s" s="0">
        <v>3590</v>
      </c>
      <c r="F156" t="s" s="0">
        <v>3591</v>
      </c>
      <c r="G156" t="s" s="0">
        <v>3592</v>
      </c>
      <c r="H156" t="s" s="0">
        <v>81</v>
      </c>
      <c r="I156" t="s" s="0">
        <v>124</v>
      </c>
      <c r="J156" t="s" s="0">
        <v>3593</v>
      </c>
      <c r="K156" t="s" s="0">
        <v>3594</v>
      </c>
      <c r="L156" t="s" s="0">
        <v>81</v>
      </c>
      <c r="M156" t="s" s="0">
        <v>81</v>
      </c>
      <c r="N156" t="s" s="0">
        <v>81</v>
      </c>
      <c r="O156" t="s" s="0">
        <v>3595</v>
      </c>
      <c r="P156" t="s" s="0">
        <v>3596</v>
      </c>
      <c r="Q156" t="s" s="0">
        <v>90</v>
      </c>
      <c r="R156" t="s" s="0">
        <v>81</v>
      </c>
      <c r="S156" t="s" s="0">
        <v>81</v>
      </c>
      <c r="T156" t="s" s="0">
        <v>81</v>
      </c>
      <c r="U156" t="s" s="0">
        <v>81</v>
      </c>
      <c r="V156" t="s" s="0">
        <v>3597</v>
      </c>
      <c r="W156" t="s" s="0">
        <v>3598</v>
      </c>
      <c r="X156" t="s" s="0">
        <v>81</v>
      </c>
      <c r="Y156" t="s" s="0">
        <v>81</v>
      </c>
      <c r="Z156" t="s" s="0">
        <v>93</v>
      </c>
      <c r="AA156" t="s" s="0">
        <v>94</v>
      </c>
      <c r="AB156" t="s" s="0">
        <v>81</v>
      </c>
      <c r="AC156" t="s" s="0">
        <v>81</v>
      </c>
      <c r="AD156" t="s" s="0">
        <v>81</v>
      </c>
      <c r="AE156" t="s" s="0">
        <v>81</v>
      </c>
      <c r="AF156" t="s" s="0">
        <v>81</v>
      </c>
      <c r="AG156" t="s" s="0">
        <v>3599</v>
      </c>
      <c r="AH156" t="s" s="0">
        <v>3600</v>
      </c>
      <c r="AI156" t="s" s="0">
        <v>81</v>
      </c>
      <c r="AJ156" t="s" s="0">
        <v>81</v>
      </c>
      <c r="AK156" t="s" s="0">
        <v>81</v>
      </c>
      <c r="AL156" t="s" s="0">
        <v>1926</v>
      </c>
      <c r="AM156" t="s" s="0">
        <v>77</v>
      </c>
      <c r="AN156" t="s" s="0">
        <v>77</v>
      </c>
      <c r="AO156" t="s" s="0">
        <v>77</v>
      </c>
      <c r="AP156" t="s" s="0">
        <v>77</v>
      </c>
      <c r="AQ156" t="s" s="0">
        <v>754</v>
      </c>
      <c r="AR156" t="s" s="0">
        <v>755</v>
      </c>
      <c r="AS156" t="s" s="0">
        <v>756</v>
      </c>
      <c r="AT156" t="s" s="0">
        <v>3601</v>
      </c>
      <c r="AU156" t="s" s="0">
        <v>3602</v>
      </c>
      <c r="AV156" t="s" s="0">
        <v>81</v>
      </c>
      <c r="AW156" t="s" s="0">
        <v>3603</v>
      </c>
      <c r="AX156" t="s" s="0">
        <v>3604</v>
      </c>
      <c r="AY156" t="s" s="0">
        <v>3582</v>
      </c>
      <c r="AZ156" t="s" s="0">
        <v>106</v>
      </c>
      <c r="BA156" t="s" s="0">
        <v>413</v>
      </c>
      <c r="BB156" t="s" s="0">
        <v>720</v>
      </c>
      <c r="BC156" t="s" s="0">
        <v>81</v>
      </c>
      <c r="BD156" t="s" s="0">
        <v>81</v>
      </c>
      <c r="BE156" t="s" s="0">
        <v>81</v>
      </c>
      <c r="BF156" t="s" s="0">
        <v>81</v>
      </c>
      <c r="BG156" t="s" s="0">
        <v>81</v>
      </c>
      <c r="BH156" t="s" s="0">
        <v>81</v>
      </c>
      <c r="BI156" t="s" s="0">
        <v>3605</v>
      </c>
      <c r="BJ156" t="s" s="0">
        <v>3606</v>
      </c>
      <c r="BK156" t="s" s="309">
        <f>HYPERLINK("http://dx.doi.org/10.1016/j.jceh.2026.103608","http://dx.doi.org/10.1016/j.jceh.2026.103608")</f>
        <v>3607</v>
      </c>
      <c r="BL156" t="s" s="0">
        <v>81</v>
      </c>
      <c r="BM156" t="s" s="0">
        <v>81</v>
      </c>
      <c r="BN156" t="s" s="0">
        <v>363</v>
      </c>
      <c r="BO156" t="s" s="0">
        <v>3102</v>
      </c>
      <c r="BP156" t="s" s="0">
        <v>3102</v>
      </c>
      <c r="BQ156" t="s" s="0">
        <v>3608</v>
      </c>
      <c r="BR156" t="s" s="0">
        <v>81</v>
      </c>
      <c r="BS156" t="s" s="0">
        <v>3609</v>
      </c>
      <c r="BT156" t="s" s="310">
        <f>HYPERLINK("https://www.webofscience.com/wos/woscc/full-record/WOS:001838919100001","View Record in Web of Science")</f>
        <v>118</v>
      </c>
      <c r="BU156" t="s" s="0">
        <v>81</v>
      </c>
      <c r="BV156" t="s" s="0">
        <v>81</v>
      </c>
      <c r="BW156" t="s" s="0">
        <v>81</v>
      </c>
      <c r="BX156" t="s" s="0">
        <v>120</v>
      </c>
    </row>
    <row r="157">
      <c r="A157" t="s" s="0">
        <v>77</v>
      </c>
      <c r="B157" t="s" s="0">
        <v>77</v>
      </c>
      <c r="C157" t="s" s="0">
        <v>77</v>
      </c>
      <c r="D157" t="s" s="0">
        <v>77</v>
      </c>
      <c r="E157" t="s" s="0">
        <v>3610</v>
      </c>
      <c r="F157" t="s" s="0">
        <v>3611</v>
      </c>
      <c r="G157" t="s" s="0">
        <v>3612</v>
      </c>
      <c r="H157" t="s" s="0">
        <v>81</v>
      </c>
      <c r="I157" t="s" s="0">
        <v>82</v>
      </c>
      <c r="J157" t="s" s="0">
        <v>3613</v>
      </c>
      <c r="K157" t="s" s="0">
        <v>3614</v>
      </c>
      <c r="L157" t="s" s="0">
        <v>81</v>
      </c>
      <c r="M157" t="s" s="0">
        <v>81</v>
      </c>
      <c r="N157" t="s" s="0">
        <v>81</v>
      </c>
      <c r="O157" t="s" s="0">
        <v>3615</v>
      </c>
      <c r="P157" t="s" s="0">
        <v>81</v>
      </c>
      <c r="Q157" t="s" s="0">
        <v>90</v>
      </c>
      <c r="R157" t="s" s="0">
        <v>81</v>
      </c>
      <c r="S157" t="s" s="0">
        <v>81</v>
      </c>
      <c r="T157" t="s" s="0">
        <v>81</v>
      </c>
      <c r="U157" t="s" s="0">
        <v>81</v>
      </c>
      <c r="V157" t="s" s="0">
        <v>3616</v>
      </c>
      <c r="W157" t="s" s="0">
        <v>3617</v>
      </c>
      <c r="X157" t="s" s="0">
        <v>81</v>
      </c>
      <c r="Y157" t="s" s="0">
        <v>81</v>
      </c>
      <c r="Z157" t="s" s="0">
        <v>93</v>
      </c>
      <c r="AA157" t="s" s="0">
        <v>94</v>
      </c>
      <c r="AB157" t="s" s="0">
        <v>81</v>
      </c>
      <c r="AC157" t="s" s="0">
        <v>81</v>
      </c>
      <c r="AD157" t="s" s="0">
        <v>81</v>
      </c>
      <c r="AE157" t="s" s="0">
        <v>81</v>
      </c>
      <c r="AF157" t="s" s="0">
        <v>81</v>
      </c>
      <c r="AG157" t="s" s="0">
        <v>3618</v>
      </c>
      <c r="AH157" t="s" s="0">
        <v>3619</v>
      </c>
      <c r="AI157" t="s" s="0">
        <v>81</v>
      </c>
      <c r="AJ157" t="s" s="0">
        <v>81</v>
      </c>
      <c r="AK157" t="s" s="0">
        <v>81</v>
      </c>
      <c r="AL157" t="s" s="0">
        <v>2898</v>
      </c>
      <c r="AM157" t="s" s="0">
        <v>484</v>
      </c>
      <c r="AN157" t="s" s="0">
        <v>484</v>
      </c>
      <c r="AO157" t="s" s="0">
        <v>77</v>
      </c>
      <c r="AP157" t="s" s="0">
        <v>77</v>
      </c>
      <c r="AQ157" t="s" s="0">
        <v>3122</v>
      </c>
      <c r="AR157" t="s" s="0">
        <v>99</v>
      </c>
      <c r="AS157" t="s" s="0">
        <v>3123</v>
      </c>
      <c r="AT157" t="s" s="0">
        <v>3620</v>
      </c>
      <c r="AU157" t="s" s="0">
        <v>3621</v>
      </c>
      <c r="AV157" t="s" s="0">
        <v>81</v>
      </c>
      <c r="AW157" t="s" s="0">
        <v>3622</v>
      </c>
      <c r="AX157" t="s" s="0">
        <v>3623</v>
      </c>
      <c r="AY157" t="s" s="0">
        <v>2903</v>
      </c>
      <c r="AZ157" t="s" s="0">
        <v>106</v>
      </c>
      <c r="BA157" t="s" s="0">
        <v>3549</v>
      </c>
      <c r="BB157" t="s" s="0">
        <v>340</v>
      </c>
      <c r="BC157" t="s" s="0">
        <v>81</v>
      </c>
      <c r="BD157" t="s" s="0">
        <v>81</v>
      </c>
      <c r="BE157" t="s" s="0">
        <v>81</v>
      </c>
      <c r="BF157" t="s" s="0">
        <v>81</v>
      </c>
      <c r="BG157" t="s" s="0">
        <v>3171</v>
      </c>
      <c r="BH157" t="s" s="0">
        <v>409</v>
      </c>
      <c r="BI157" t="s" s="0">
        <v>81</v>
      </c>
      <c r="BJ157" t="s" s="0">
        <v>3624</v>
      </c>
      <c r="BK157" t="s" s="311">
        <f>HYPERLINK("http://dx.doi.org/10.1097/JSA.0000000000000449","http://dx.doi.org/10.1097/JSA.0000000000000449")</f>
        <v>3625</v>
      </c>
      <c r="BL157" t="s" s="0">
        <v>81</v>
      </c>
      <c r="BM157" t="s" s="0">
        <v>81</v>
      </c>
      <c r="BN157" t="s" s="0">
        <v>596</v>
      </c>
      <c r="BO157" t="s" s="0">
        <v>3626</v>
      </c>
      <c r="BP157" t="s" s="0">
        <v>3626</v>
      </c>
      <c r="BQ157" t="s" s="0">
        <v>3627</v>
      </c>
      <c r="BR157" t="s" s="0">
        <v>3628</v>
      </c>
      <c r="BS157" t="s" s="0">
        <v>3629</v>
      </c>
      <c r="BT157" t="s" s="312">
        <f>HYPERLINK("https://www.webofscience.com/wos/woscc/full-record/WOS:001838364000002","View Record in Web of Science")</f>
        <v>118</v>
      </c>
      <c r="BU157" t="s" s="0">
        <v>81</v>
      </c>
      <c r="BV157" t="s" s="0">
        <v>81</v>
      </c>
      <c r="BW157" t="s" s="0">
        <v>81</v>
      </c>
      <c r="BX157" t="s" s="0">
        <v>120</v>
      </c>
    </row>
    <row r="158">
      <c r="A158" t="s" s="0">
        <v>77</v>
      </c>
      <c r="B158" t="s" s="0">
        <v>77</v>
      </c>
      <c r="C158" t="s" s="0">
        <v>77</v>
      </c>
      <c r="D158" t="s" s="0">
        <v>77</v>
      </c>
      <c r="E158" t="s" s="0">
        <v>3630</v>
      </c>
      <c r="F158" t="s" s="0">
        <v>3631</v>
      </c>
      <c r="G158" t="s" s="0">
        <v>3632</v>
      </c>
      <c r="H158" t="s" s="0">
        <v>81</v>
      </c>
      <c r="I158" t="s" s="0">
        <v>1004</v>
      </c>
      <c r="J158" t="s" s="0">
        <v>3633</v>
      </c>
      <c r="K158" t="s" s="0">
        <v>3634</v>
      </c>
      <c r="L158" t="s" s="0">
        <v>81</v>
      </c>
      <c r="M158" t="s" s="0">
        <v>81</v>
      </c>
      <c r="N158" t="s" s="0">
        <v>81</v>
      </c>
      <c r="O158" t="s" s="0">
        <v>3635</v>
      </c>
      <c r="P158" t="s" s="0">
        <v>3636</v>
      </c>
      <c r="Q158" t="s" s="0">
        <v>90</v>
      </c>
      <c r="R158" t="s" s="0">
        <v>81</v>
      </c>
      <c r="S158" t="s" s="0">
        <v>81</v>
      </c>
      <c r="T158" t="s" s="0">
        <v>81</v>
      </c>
      <c r="U158" t="s" s="0">
        <v>81</v>
      </c>
      <c r="V158" t="s" s="0">
        <v>3637</v>
      </c>
      <c r="W158" t="s" s="0">
        <v>3638</v>
      </c>
      <c r="X158" t="s" s="0">
        <v>81</v>
      </c>
      <c r="Y158" t="s" s="0">
        <v>81</v>
      </c>
      <c r="Z158" t="s" s="0">
        <v>93</v>
      </c>
      <c r="AA158" t="s" s="0">
        <v>94</v>
      </c>
      <c r="AB158" t="s" s="0">
        <v>81</v>
      </c>
      <c r="AC158" t="s" s="0">
        <v>81</v>
      </c>
      <c r="AD158" t="s" s="0">
        <v>81</v>
      </c>
      <c r="AE158" t="s" s="0">
        <v>81</v>
      </c>
      <c r="AF158" t="s" s="0">
        <v>81</v>
      </c>
      <c r="AG158" t="s" s="0">
        <v>3639</v>
      </c>
      <c r="AH158" t="s" s="0">
        <v>3640</v>
      </c>
      <c r="AI158" t="s" s="0">
        <v>81</v>
      </c>
      <c r="AJ158" t="s" s="0">
        <v>81</v>
      </c>
      <c r="AK158" t="s" s="0">
        <v>81</v>
      </c>
      <c r="AL158" t="s" s="0">
        <v>2373</v>
      </c>
      <c r="AM158" t="s" s="0">
        <v>77</v>
      </c>
      <c r="AN158" t="s" s="0">
        <v>77</v>
      </c>
      <c r="AO158" t="s" s="0">
        <v>77</v>
      </c>
      <c r="AP158" t="s" s="0">
        <v>77</v>
      </c>
      <c r="AQ158" t="s" s="0">
        <v>2673</v>
      </c>
      <c r="AR158" t="s" s="0">
        <v>1104</v>
      </c>
      <c r="AS158" t="s" s="0">
        <v>2674</v>
      </c>
      <c r="AT158" t="s" s="0">
        <v>3641</v>
      </c>
      <c r="AU158" t="s" s="0">
        <v>3642</v>
      </c>
      <c r="AV158" t="s" s="0">
        <v>81</v>
      </c>
      <c r="AW158" t="s" s="0">
        <v>3643</v>
      </c>
      <c r="AX158" t="s" s="0">
        <v>3644</v>
      </c>
      <c r="AY158" t="s" s="0">
        <v>2903</v>
      </c>
      <c r="AZ158" t="s" s="0">
        <v>106</v>
      </c>
      <c r="BA158" t="s" s="0">
        <v>1223</v>
      </c>
      <c r="BB158" t="s" s="0">
        <v>81</v>
      </c>
      <c r="BC158" t="s" s="0">
        <v>81</v>
      </c>
      <c r="BD158" t="s" s="0">
        <v>81</v>
      </c>
      <c r="BE158" t="s" s="0">
        <v>81</v>
      </c>
      <c r="BF158" t="s" s="0">
        <v>81</v>
      </c>
      <c r="BG158" t="s" s="0">
        <v>81</v>
      </c>
      <c r="BH158" t="s" s="0">
        <v>81</v>
      </c>
      <c r="BI158" t="s" s="0">
        <v>3645</v>
      </c>
      <c r="BJ158" t="s" s="0">
        <v>3646</v>
      </c>
      <c r="BK158" t="s" s="313">
        <f>HYPERLINK("http://dx.doi.org/10.1016/j.gerinurse.2026.104195","http://dx.doi.org/10.1016/j.gerinurse.2026.104195")</f>
        <v>3647</v>
      </c>
      <c r="BL158" t="s" s="0">
        <v>81</v>
      </c>
      <c r="BM158" t="s" s="0">
        <v>81</v>
      </c>
      <c r="BN158" t="s" s="0">
        <v>144</v>
      </c>
      <c r="BO158" t="s" s="0">
        <v>3648</v>
      </c>
      <c r="BP158" t="s" s="0">
        <v>3649</v>
      </c>
      <c r="BQ158" t="s" s="0">
        <v>3650</v>
      </c>
      <c r="BR158" t="s" s="0">
        <v>3651</v>
      </c>
      <c r="BS158" t="s" s="0">
        <v>3652</v>
      </c>
      <c r="BT158" t="s" s="314">
        <f>HYPERLINK("https://www.webofscience.com/wos/woscc/full-record/WOS:001835375400002","View Record in Web of Science")</f>
        <v>118</v>
      </c>
      <c r="BU158" t="s" s="0">
        <v>877</v>
      </c>
      <c r="BV158" t="s" s="0">
        <v>81</v>
      </c>
      <c r="BW158" t="s" s="0">
        <v>81</v>
      </c>
      <c r="BX158" t="s" s="0">
        <v>120</v>
      </c>
    </row>
    <row r="159">
      <c r="A159" t="s" s="0">
        <v>77</v>
      </c>
      <c r="B159" t="s" s="0">
        <v>77</v>
      </c>
      <c r="C159" t="s" s="0">
        <v>77</v>
      </c>
      <c r="D159" t="s" s="0">
        <v>77</v>
      </c>
      <c r="E159" t="s" s="0">
        <v>3653</v>
      </c>
      <c r="F159" t="s" s="0">
        <v>3654</v>
      </c>
      <c r="G159" t="s" s="0">
        <v>3655</v>
      </c>
      <c r="H159" t="s" s="0">
        <v>81</v>
      </c>
      <c r="I159" t="s" s="0">
        <v>82</v>
      </c>
      <c r="J159" t="s" s="0">
        <v>3656</v>
      </c>
      <c r="K159" t="s" s="0">
        <v>3657</v>
      </c>
      <c r="L159" t="s" s="0">
        <v>81</v>
      </c>
      <c r="M159" t="s" s="0">
        <v>81</v>
      </c>
      <c r="N159" t="s" s="0">
        <v>81</v>
      </c>
      <c r="O159" t="s" s="0">
        <v>3658</v>
      </c>
      <c r="P159" t="s" s="0">
        <v>3659</v>
      </c>
      <c r="Q159" t="s" s="0">
        <v>90</v>
      </c>
      <c r="R159" t="s" s="0">
        <v>81</v>
      </c>
      <c r="S159" t="s" s="0">
        <v>81</v>
      </c>
      <c r="T159" t="s" s="0">
        <v>81</v>
      </c>
      <c r="U159" t="s" s="0">
        <v>81</v>
      </c>
      <c r="V159" t="s" s="0">
        <v>3660</v>
      </c>
      <c r="W159" t="s" s="0">
        <v>3661</v>
      </c>
      <c r="X159" t="s" s="0">
        <v>81</v>
      </c>
      <c r="Y159" t="s" s="0">
        <v>81</v>
      </c>
      <c r="Z159" t="s" s="0">
        <v>93</v>
      </c>
      <c r="AA159" t="s" s="0">
        <v>94</v>
      </c>
      <c r="AB159" t="s" s="0">
        <v>81</v>
      </c>
      <c r="AC159" t="s" s="0">
        <v>81</v>
      </c>
      <c r="AD159" t="s" s="0">
        <v>81</v>
      </c>
      <c r="AE159" t="s" s="0">
        <v>81</v>
      </c>
      <c r="AF159" t="s" s="0">
        <v>81</v>
      </c>
      <c r="AG159" t="s" s="0">
        <v>3662</v>
      </c>
      <c r="AH159" t="s" s="0">
        <v>81</v>
      </c>
      <c r="AI159" t="s" s="0">
        <v>81</v>
      </c>
      <c r="AJ159" t="s" s="0">
        <v>81</v>
      </c>
      <c r="AK159" t="s" s="0">
        <v>81</v>
      </c>
      <c r="AL159" t="s" s="0">
        <v>3663</v>
      </c>
      <c r="AM159" t="s" s="0">
        <v>77</v>
      </c>
      <c r="AN159" t="s" s="0">
        <v>77</v>
      </c>
      <c r="AO159" t="s" s="0">
        <v>77</v>
      </c>
      <c r="AP159" t="s" s="0">
        <v>77</v>
      </c>
      <c r="AQ159" t="s" s="0">
        <v>892</v>
      </c>
      <c r="AR159" t="s" s="0">
        <v>893</v>
      </c>
      <c r="AS159" t="s" s="0">
        <v>894</v>
      </c>
      <c r="AT159" t="s" s="0">
        <v>3664</v>
      </c>
      <c r="AU159" t="s" s="0">
        <v>3665</v>
      </c>
      <c r="AV159" t="s" s="0">
        <v>81</v>
      </c>
      <c r="AW159" t="s" s="0">
        <v>3666</v>
      </c>
      <c r="AX159" t="s" s="0">
        <v>3667</v>
      </c>
      <c r="AY159" t="s" s="0">
        <v>2903</v>
      </c>
      <c r="AZ159" t="s" s="0">
        <v>106</v>
      </c>
      <c r="BA159" t="s" s="0">
        <v>3668</v>
      </c>
      <c r="BB159" t="s" s="0">
        <v>81</v>
      </c>
      <c r="BC159" t="s" s="0">
        <v>81</v>
      </c>
      <c r="BD159" t="s" s="0">
        <v>81</v>
      </c>
      <c r="BE159" t="s" s="0">
        <v>81</v>
      </c>
      <c r="BF159" t="s" s="0">
        <v>81</v>
      </c>
      <c r="BG159" t="s" s="0">
        <v>81</v>
      </c>
      <c r="BH159" t="s" s="0">
        <v>81</v>
      </c>
      <c r="BI159" t="s" s="0">
        <v>3669</v>
      </c>
      <c r="BJ159" t="s" s="0">
        <v>3670</v>
      </c>
      <c r="BK159" t="s" s="315">
        <f>HYPERLINK("http://dx.doi.org/10.1016/j.mimet.2026.107638","http://dx.doi.org/10.1016/j.mimet.2026.107638")</f>
        <v>3671</v>
      </c>
      <c r="BL159" t="s" s="0">
        <v>81</v>
      </c>
      <c r="BM159" t="s" s="0">
        <v>81</v>
      </c>
      <c r="BN159" t="s" s="0">
        <v>387</v>
      </c>
      <c r="BO159" t="s" s="0">
        <v>3672</v>
      </c>
      <c r="BP159" t="s" s="0">
        <v>3673</v>
      </c>
      <c r="BQ159" t="s" s="0">
        <v>3674</v>
      </c>
      <c r="BR159" t="s" s="0">
        <v>3675</v>
      </c>
      <c r="BS159" t="s" s="0">
        <v>3676</v>
      </c>
      <c r="BT159" t="s" s="316">
        <f>HYPERLINK("https://www.webofscience.com/wos/woscc/full-record/WOS:001835298100001","View Record in Web of Science")</f>
        <v>118</v>
      </c>
      <c r="BU159" t="s" s="0">
        <v>81</v>
      </c>
      <c r="BV159" t="s" s="0">
        <v>81</v>
      </c>
      <c r="BW159" t="s" s="0">
        <v>81</v>
      </c>
      <c r="BX159" t="s" s="0">
        <v>120</v>
      </c>
    </row>
    <row r="160">
      <c r="A160" t="s" s="0">
        <v>77</v>
      </c>
      <c r="B160" t="s" s="0">
        <v>77</v>
      </c>
      <c r="C160" t="s" s="0">
        <v>77</v>
      </c>
      <c r="D160" t="s" s="0">
        <v>77</v>
      </c>
      <c r="E160" t="s" s="0">
        <v>3677</v>
      </c>
      <c r="F160" t="s" s="0">
        <v>3678</v>
      </c>
      <c r="G160" t="s" s="0">
        <v>3679</v>
      </c>
      <c r="H160" t="s" s="0">
        <v>81</v>
      </c>
      <c r="I160" t="s" s="0">
        <v>124</v>
      </c>
      <c r="J160" t="s" s="0">
        <v>3680</v>
      </c>
      <c r="K160" t="s" s="0">
        <v>3681</v>
      </c>
      <c r="L160" t="s" s="0">
        <v>3682</v>
      </c>
      <c r="M160" t="s" s="0">
        <v>3683</v>
      </c>
      <c r="N160" t="s" s="0">
        <v>3684</v>
      </c>
      <c r="O160" t="s" s="0">
        <v>3685</v>
      </c>
      <c r="P160" t="s" s="0">
        <v>3686</v>
      </c>
      <c r="Q160" t="s" s="0">
        <v>90</v>
      </c>
      <c r="R160" t="s" s="0">
        <v>81</v>
      </c>
      <c r="S160" t="s" s="0">
        <v>81</v>
      </c>
      <c r="T160" t="s" s="0">
        <v>81</v>
      </c>
      <c r="U160" t="s" s="0">
        <v>81</v>
      </c>
      <c r="V160" t="s" s="0">
        <v>3687</v>
      </c>
      <c r="W160" t="s" s="0">
        <v>3069</v>
      </c>
      <c r="X160" t="s" s="0">
        <v>81</v>
      </c>
      <c r="Y160" t="s" s="0">
        <v>81</v>
      </c>
      <c r="Z160" t="s" s="0">
        <v>93</v>
      </c>
      <c r="AA160" t="s" s="0">
        <v>94</v>
      </c>
      <c r="AB160" t="s" s="0">
        <v>81</v>
      </c>
      <c r="AC160" t="s" s="0">
        <v>81</v>
      </c>
      <c r="AD160" t="s" s="0">
        <v>81</v>
      </c>
      <c r="AE160" t="s" s="0">
        <v>81</v>
      </c>
      <c r="AF160" t="s" s="0">
        <v>81</v>
      </c>
      <c r="AG160" t="s" s="0">
        <v>3688</v>
      </c>
      <c r="AH160" t="s" s="0">
        <v>81</v>
      </c>
      <c r="AI160" t="s" s="0">
        <v>3689</v>
      </c>
      <c r="AJ160" t="s" s="0">
        <v>81</v>
      </c>
      <c r="AK160" t="s" s="0">
        <v>81</v>
      </c>
      <c r="AL160" t="s" s="0">
        <v>489</v>
      </c>
      <c r="AM160" t="s" s="0">
        <v>77</v>
      </c>
      <c r="AN160" t="s" s="0">
        <v>77</v>
      </c>
      <c r="AO160" t="s" s="0">
        <v>77</v>
      </c>
      <c r="AP160" t="s" s="0">
        <v>77</v>
      </c>
      <c r="AQ160" t="s" s="0">
        <v>892</v>
      </c>
      <c r="AR160" t="s" s="0">
        <v>893</v>
      </c>
      <c r="AS160" t="s" s="0">
        <v>894</v>
      </c>
      <c r="AT160" t="s" s="0">
        <v>81</v>
      </c>
      <c r="AU160" t="s" s="0">
        <v>3071</v>
      </c>
      <c r="AV160" t="s" s="0">
        <v>81</v>
      </c>
      <c r="AW160" t="s" s="0">
        <v>3072</v>
      </c>
      <c r="AX160" t="s" s="0">
        <v>3073</v>
      </c>
      <c r="AY160" t="s" s="0">
        <v>2903</v>
      </c>
      <c r="AZ160" t="s" s="0">
        <v>106</v>
      </c>
      <c r="BA160" t="s" s="0">
        <v>433</v>
      </c>
      <c r="BB160" t="s" s="0">
        <v>720</v>
      </c>
      <c r="BC160" t="s" s="0">
        <v>81</v>
      </c>
      <c r="BD160" t="s" s="0">
        <v>81</v>
      </c>
      <c r="BE160" t="s" s="0">
        <v>81</v>
      </c>
      <c r="BF160" t="s" s="0">
        <v>81</v>
      </c>
      <c r="BG160" t="s" s="0">
        <v>81</v>
      </c>
      <c r="BH160" t="s" s="0">
        <v>81</v>
      </c>
      <c r="BI160" t="s" s="0">
        <v>3690</v>
      </c>
      <c r="BJ160" t="s" s="0">
        <v>3691</v>
      </c>
      <c r="BK160" t="s" s="317">
        <f>HYPERLINK("http://dx.doi.org/10.1016/j.xjidi.2026.100497","http://dx.doi.org/10.1016/j.xjidi.2026.100497")</f>
        <v>3692</v>
      </c>
      <c r="BL160" t="s" s="0">
        <v>81</v>
      </c>
      <c r="BM160" t="s" s="0">
        <v>81</v>
      </c>
      <c r="BN160" t="s" s="0">
        <v>511</v>
      </c>
      <c r="BO160" t="s" s="0">
        <v>3077</v>
      </c>
      <c r="BP160" t="s" s="0">
        <v>3077</v>
      </c>
      <c r="BQ160" t="s" s="0">
        <v>3693</v>
      </c>
      <c r="BR160" t="s" s="0">
        <v>3694</v>
      </c>
      <c r="BS160" t="s" s="0">
        <v>3695</v>
      </c>
      <c r="BT160" t="s" s="318">
        <f>HYPERLINK("https://www.webofscience.com/wos/woscc/full-record/WOS:001831195400001","View Record in Web of Science")</f>
        <v>118</v>
      </c>
      <c r="BU160" t="s" s="0">
        <v>177</v>
      </c>
      <c r="BV160" t="s" s="0">
        <v>81</v>
      </c>
      <c r="BW160" t="s" s="0">
        <v>81</v>
      </c>
      <c r="BX160" t="s" s="0">
        <v>120</v>
      </c>
    </row>
    <row r="161">
      <c r="A161" t="s" s="0">
        <v>77</v>
      </c>
      <c r="B161" t="s" s="0">
        <v>77</v>
      </c>
      <c r="C161" t="s" s="0">
        <v>77</v>
      </c>
      <c r="D161" t="s" s="0">
        <v>77</v>
      </c>
      <c r="E161" t="s" s="0">
        <v>3696</v>
      </c>
      <c r="F161" t="s" s="0">
        <v>3697</v>
      </c>
      <c r="G161" t="s" s="0">
        <v>3698</v>
      </c>
      <c r="H161" t="s" s="0">
        <v>81</v>
      </c>
      <c r="I161" t="s" s="0">
        <v>205</v>
      </c>
      <c r="J161" t="s" s="0">
        <v>3699</v>
      </c>
      <c r="K161" t="s" s="0">
        <v>3700</v>
      </c>
      <c r="L161" t="s" s="0">
        <v>81</v>
      </c>
      <c r="M161" t="s" s="0">
        <v>81</v>
      </c>
      <c r="N161" t="s" s="0">
        <v>81</v>
      </c>
      <c r="O161" t="s" s="0">
        <v>3701</v>
      </c>
      <c r="P161" t="s" s="0">
        <v>3702</v>
      </c>
      <c r="Q161" t="s" s="0">
        <v>90</v>
      </c>
      <c r="R161" t="s" s="0">
        <v>81</v>
      </c>
      <c r="S161" t="s" s="0">
        <v>81</v>
      </c>
      <c r="T161" t="s" s="0">
        <v>81</v>
      </c>
      <c r="U161" t="s" s="0">
        <v>81</v>
      </c>
      <c r="V161" t="s" s="0">
        <v>3703</v>
      </c>
      <c r="W161" t="s" s="0">
        <v>3704</v>
      </c>
      <c r="X161" t="s" s="0">
        <v>81</v>
      </c>
      <c r="Y161" t="s" s="0">
        <v>81</v>
      </c>
      <c r="Z161" t="s" s="0">
        <v>93</v>
      </c>
      <c r="AA161" t="s" s="0">
        <v>94</v>
      </c>
      <c r="AB161" t="s" s="0">
        <v>81</v>
      </c>
      <c r="AC161" t="s" s="0">
        <v>81</v>
      </c>
      <c r="AD161" t="s" s="0">
        <v>81</v>
      </c>
      <c r="AE161" t="s" s="0">
        <v>81</v>
      </c>
      <c r="AF161" t="s" s="0">
        <v>81</v>
      </c>
      <c r="AG161" t="s" s="0">
        <v>3705</v>
      </c>
      <c r="AH161" t="s" s="0">
        <v>3706</v>
      </c>
      <c r="AI161" t="s" s="0">
        <v>81</v>
      </c>
      <c r="AJ161" t="s" s="0">
        <v>81</v>
      </c>
      <c r="AK161" t="s" s="0">
        <v>81</v>
      </c>
      <c r="AL161" t="s" s="0">
        <v>3707</v>
      </c>
      <c r="AM161" t="s" s="0">
        <v>77</v>
      </c>
      <c r="AN161" t="s" s="0">
        <v>77</v>
      </c>
      <c r="AO161" t="s" s="0">
        <v>77</v>
      </c>
      <c r="AP161" t="s" s="0">
        <v>77</v>
      </c>
      <c r="AQ161" t="s" s="0">
        <v>836</v>
      </c>
      <c r="AR161" t="s" s="0">
        <v>837</v>
      </c>
      <c r="AS161" t="s" s="0">
        <v>838</v>
      </c>
      <c r="AT161" t="s" s="0">
        <v>3708</v>
      </c>
      <c r="AU161" t="s" s="0">
        <v>3709</v>
      </c>
      <c r="AV161" t="s" s="0">
        <v>81</v>
      </c>
      <c r="AW161" t="s" s="0">
        <v>3710</v>
      </c>
      <c r="AX161" t="s" s="0">
        <v>3711</v>
      </c>
      <c r="AY161" t="s" s="0">
        <v>2903</v>
      </c>
      <c r="AZ161" t="s" s="0">
        <v>106</v>
      </c>
      <c r="BA161" t="s" s="0">
        <v>967</v>
      </c>
      <c r="BB161" t="s" s="0">
        <v>81</v>
      </c>
      <c r="BC161" t="s" s="0">
        <v>81</v>
      </c>
      <c r="BD161" t="s" s="0">
        <v>81</v>
      </c>
      <c r="BE161" t="s" s="0">
        <v>81</v>
      </c>
      <c r="BF161" t="s" s="0">
        <v>81</v>
      </c>
      <c r="BG161" t="s" s="0">
        <v>81</v>
      </c>
      <c r="BH161" t="s" s="0">
        <v>81</v>
      </c>
      <c r="BI161" t="s" s="0">
        <v>3712</v>
      </c>
      <c r="BJ161" t="s" s="0">
        <v>3713</v>
      </c>
      <c r="BK161" t="s" s="319">
        <f>HYPERLINK("http://dx.doi.org/10.1016/j.reia.2026.202976","http://dx.doi.org/10.1016/j.reia.2026.202976")</f>
        <v>3714</v>
      </c>
      <c r="BL161" t="s" s="0">
        <v>81</v>
      </c>
      <c r="BM161" t="s" s="0">
        <v>81</v>
      </c>
      <c r="BN161" t="s" s="0">
        <v>413</v>
      </c>
      <c r="BO161" t="s" s="0">
        <v>3715</v>
      </c>
      <c r="BP161" t="s" s="0">
        <v>3716</v>
      </c>
      <c r="BQ161" t="s" s="0">
        <v>3717</v>
      </c>
      <c r="BR161" t="s" s="0">
        <v>81</v>
      </c>
      <c r="BS161" t="s" s="0">
        <v>3718</v>
      </c>
      <c r="BT161" t="s" s="320">
        <f>HYPERLINK("https://www.webofscience.com/wos/woscc/full-record/WOS:001829967900001","View Record in Web of Science")</f>
        <v>118</v>
      </c>
      <c r="BU161" t="s" s="0">
        <v>81</v>
      </c>
      <c r="BV161" t="s" s="0">
        <v>81</v>
      </c>
      <c r="BW161" t="s" s="0">
        <v>81</v>
      </c>
      <c r="BX161" t="s" s="0">
        <v>120</v>
      </c>
    </row>
    <row r="162">
      <c r="A162" t="s" s="0">
        <v>77</v>
      </c>
      <c r="B162" t="s" s="0">
        <v>77</v>
      </c>
      <c r="C162" t="s" s="0">
        <v>77</v>
      </c>
      <c r="D162" t="s" s="0">
        <v>77</v>
      </c>
      <c r="E162" t="s" s="0">
        <v>3719</v>
      </c>
      <c r="F162" t="s" s="0">
        <v>3720</v>
      </c>
      <c r="G162" t="s" s="0">
        <v>3721</v>
      </c>
      <c r="H162" t="s" s="0">
        <v>81</v>
      </c>
      <c r="I162" t="s" s="0">
        <v>82</v>
      </c>
      <c r="J162" t="s" s="0">
        <v>3722</v>
      </c>
      <c r="K162" t="s" s="0">
        <v>3723</v>
      </c>
      <c r="L162" t="s" s="0">
        <v>3724</v>
      </c>
      <c r="M162" t="s" s="0">
        <v>3724</v>
      </c>
      <c r="N162" t="s" s="0">
        <v>3725</v>
      </c>
      <c r="O162" t="s" s="0">
        <v>3726</v>
      </c>
      <c r="P162" t="s" s="0">
        <v>3727</v>
      </c>
      <c r="Q162" t="s" s="0">
        <v>90</v>
      </c>
      <c r="R162" t="s" s="0">
        <v>81</v>
      </c>
      <c r="S162" t="s" s="0">
        <v>81</v>
      </c>
      <c r="T162" t="s" s="0">
        <v>81</v>
      </c>
      <c r="U162" t="s" s="0">
        <v>81</v>
      </c>
      <c r="V162" t="s" s="0">
        <v>3728</v>
      </c>
      <c r="W162" t="s" s="0">
        <v>3403</v>
      </c>
      <c r="X162" t="s" s="0">
        <v>81</v>
      </c>
      <c r="Y162" t="s" s="0">
        <v>81</v>
      </c>
      <c r="Z162" t="s" s="0">
        <v>93</v>
      </c>
      <c r="AA162" t="s" s="0">
        <v>94</v>
      </c>
      <c r="AB162" t="s" s="0">
        <v>81</v>
      </c>
      <c r="AC162" t="s" s="0">
        <v>81</v>
      </c>
      <c r="AD162" t="s" s="0">
        <v>81</v>
      </c>
      <c r="AE162" t="s" s="0">
        <v>81</v>
      </c>
      <c r="AF162" t="s" s="0">
        <v>81</v>
      </c>
      <c r="AG162" t="s" s="0">
        <v>3729</v>
      </c>
      <c r="AH162" t="s" s="0">
        <v>3730</v>
      </c>
      <c r="AI162" t="s" s="0">
        <v>3731</v>
      </c>
      <c r="AJ162" t="s" s="0">
        <v>81</v>
      </c>
      <c r="AK162" t="s" s="0">
        <v>81</v>
      </c>
      <c r="AL162" t="s" s="0">
        <v>2702</v>
      </c>
      <c r="AM162" t="s" s="0">
        <v>77</v>
      </c>
      <c r="AN162" t="s" s="0">
        <v>77</v>
      </c>
      <c r="AO162" t="s" s="0">
        <v>77</v>
      </c>
      <c r="AP162" t="s" s="0">
        <v>77</v>
      </c>
      <c r="AQ162" t="s" s="0">
        <v>2132</v>
      </c>
      <c r="AR162" t="s" s="0">
        <v>2133</v>
      </c>
      <c r="AS162" t="s" s="0">
        <v>2134</v>
      </c>
      <c r="AT162" t="s" s="0">
        <v>3406</v>
      </c>
      <c r="AU162" t="s" s="0">
        <v>3407</v>
      </c>
      <c r="AV162" t="s" s="0">
        <v>81</v>
      </c>
      <c r="AW162" t="s" s="0">
        <v>3408</v>
      </c>
      <c r="AX162" t="s" s="0">
        <v>3409</v>
      </c>
      <c r="AY162" t="s" s="0">
        <v>2903</v>
      </c>
      <c r="AZ162" t="s" s="0">
        <v>106</v>
      </c>
      <c r="BA162" t="s" s="0">
        <v>110</v>
      </c>
      <c r="BB162" t="s" s="0">
        <v>81</v>
      </c>
      <c r="BC162" t="s" s="0">
        <v>81</v>
      </c>
      <c r="BD162" t="s" s="0">
        <v>81</v>
      </c>
      <c r="BE162" t="s" s="0">
        <v>81</v>
      </c>
      <c r="BF162" t="s" s="0">
        <v>81</v>
      </c>
      <c r="BG162" t="s" s="0">
        <v>81</v>
      </c>
      <c r="BH162" t="s" s="0">
        <v>81</v>
      </c>
      <c r="BI162" t="s" s="0">
        <v>3732</v>
      </c>
      <c r="BJ162" t="s" s="0">
        <v>3733</v>
      </c>
      <c r="BK162" t="s" s="321">
        <f>HYPERLINK("http://dx.doi.org/10.1016/j.jbi.2026.105077","http://dx.doi.org/10.1016/j.jbi.2026.105077")</f>
        <v>3734</v>
      </c>
      <c r="BL162" t="s" s="0">
        <v>81</v>
      </c>
      <c r="BM162" t="s" s="0">
        <v>81</v>
      </c>
      <c r="BN162" t="s" s="0">
        <v>413</v>
      </c>
      <c r="BO162" t="s" s="0">
        <v>3413</v>
      </c>
      <c r="BP162" t="s" s="0">
        <v>3414</v>
      </c>
      <c r="BQ162" t="s" s="0">
        <v>3735</v>
      </c>
      <c r="BR162" t="s" s="0">
        <v>3736</v>
      </c>
      <c r="BS162" t="s" s="0">
        <v>3737</v>
      </c>
      <c r="BT162" t="s" s="322">
        <f>HYPERLINK("https://www.webofscience.com/wos/woscc/full-record/WOS:001827568900001","View Record in Web of Science")</f>
        <v>118</v>
      </c>
      <c r="BU162" t="s" s="0">
        <v>2459</v>
      </c>
      <c r="BV162" t="s" s="0">
        <v>81</v>
      </c>
      <c r="BW162" t="s" s="0">
        <v>81</v>
      </c>
      <c r="BX162" t="s" s="0">
        <v>120</v>
      </c>
    </row>
    <row r="163">
      <c r="A163" t="s" s="0">
        <v>77</v>
      </c>
      <c r="B163" t="s" s="0">
        <v>77</v>
      </c>
      <c r="C163" t="s" s="0">
        <v>77</v>
      </c>
      <c r="D163" t="s" s="0">
        <v>77</v>
      </c>
      <c r="E163" t="s" s="0">
        <v>3738</v>
      </c>
      <c r="F163" t="s" s="0">
        <v>3739</v>
      </c>
      <c r="G163" t="s" s="0">
        <v>3740</v>
      </c>
      <c r="H163" t="s" s="0">
        <v>81</v>
      </c>
      <c r="I163" t="s" s="0">
        <v>82</v>
      </c>
      <c r="J163" t="s" s="0">
        <v>3741</v>
      </c>
      <c r="K163" t="s" s="0">
        <v>3742</v>
      </c>
      <c r="L163" t="s" s="0">
        <v>3743</v>
      </c>
      <c r="M163" t="s" s="0">
        <v>3743</v>
      </c>
      <c r="N163" t="s" s="0">
        <v>3744</v>
      </c>
      <c r="O163" t="s" s="0">
        <v>3745</v>
      </c>
      <c r="P163" t="s" s="0">
        <v>887</v>
      </c>
      <c r="Q163" t="s" s="0">
        <v>90</v>
      </c>
      <c r="R163" t="s" s="0">
        <v>81</v>
      </c>
      <c r="S163" t="s" s="0">
        <v>81</v>
      </c>
      <c r="T163" t="s" s="0">
        <v>81</v>
      </c>
      <c r="U163" t="s" s="0">
        <v>81</v>
      </c>
      <c r="V163" t="s" s="0">
        <v>3746</v>
      </c>
      <c r="W163" t="s" s="0">
        <v>3747</v>
      </c>
      <c r="X163" t="s" s="0">
        <v>81</v>
      </c>
      <c r="Y163" t="s" s="0">
        <v>81</v>
      </c>
      <c r="Z163" t="s" s="0">
        <v>93</v>
      </c>
      <c r="AA163" t="s" s="0">
        <v>94</v>
      </c>
      <c r="AB163" t="s" s="0">
        <v>81</v>
      </c>
      <c r="AC163" t="s" s="0">
        <v>81</v>
      </c>
      <c r="AD163" t="s" s="0">
        <v>81</v>
      </c>
      <c r="AE163" t="s" s="0">
        <v>81</v>
      </c>
      <c r="AF163" t="s" s="0">
        <v>81</v>
      </c>
      <c r="AG163" t="s" s="0">
        <v>3748</v>
      </c>
      <c r="AH163" t="s" s="0">
        <v>3749</v>
      </c>
      <c r="AI163" t="s" s="0">
        <v>3750</v>
      </c>
      <c r="AJ163" t="s" s="0">
        <v>3751</v>
      </c>
      <c r="AK163" t="s" s="0">
        <v>81</v>
      </c>
      <c r="AL163" t="s" s="0">
        <v>664</v>
      </c>
      <c r="AM163" t="s" s="0">
        <v>77</v>
      </c>
      <c r="AN163" t="s" s="0">
        <v>77</v>
      </c>
      <c r="AO163" t="s" s="0">
        <v>77</v>
      </c>
      <c r="AP163" t="s" s="0">
        <v>77</v>
      </c>
      <c r="AQ163" t="s" s="0">
        <v>1103</v>
      </c>
      <c r="AR163" t="s" s="0">
        <v>1104</v>
      </c>
      <c r="AS163" t="s" s="0">
        <v>1105</v>
      </c>
      <c r="AT163" t="s" s="0">
        <v>3752</v>
      </c>
      <c r="AU163" t="s" s="0">
        <v>3753</v>
      </c>
      <c r="AV163" t="s" s="0">
        <v>81</v>
      </c>
      <c r="AW163" t="s" s="0">
        <v>3754</v>
      </c>
      <c r="AX163" t="s" s="0">
        <v>3755</v>
      </c>
      <c r="AY163" t="s" s="0">
        <v>3582</v>
      </c>
      <c r="AZ163" t="s" s="0">
        <v>106</v>
      </c>
      <c r="BA163" t="s" s="0">
        <v>2529</v>
      </c>
      <c r="BB163" t="s" s="0">
        <v>720</v>
      </c>
      <c r="BC163" t="s" s="0">
        <v>81</v>
      </c>
      <c r="BD163" t="s" s="0">
        <v>81</v>
      </c>
      <c r="BE163" t="s" s="0">
        <v>81</v>
      </c>
      <c r="BF163" t="s" s="0">
        <v>81</v>
      </c>
      <c r="BG163" t="s" s="0">
        <v>3756</v>
      </c>
      <c r="BH163" t="s" s="0">
        <v>3757</v>
      </c>
      <c r="BI163" t="s" s="0">
        <v>81</v>
      </c>
      <c r="BJ163" t="s" s="0">
        <v>3758</v>
      </c>
      <c r="BK163" t="s" s="323">
        <f>HYPERLINK("http://dx.doi.org/10.1016/j.survophthal.2026.03.016","http://dx.doi.org/10.1016/j.survophthal.2026.03.016")</f>
        <v>3759</v>
      </c>
      <c r="BL163" t="s" s="0">
        <v>81</v>
      </c>
      <c r="BM163" t="s" s="0">
        <v>81</v>
      </c>
      <c r="BN163" t="s" s="0">
        <v>387</v>
      </c>
      <c r="BO163" t="s" s="0">
        <v>3229</v>
      </c>
      <c r="BP163" t="s" s="0">
        <v>3229</v>
      </c>
      <c r="BQ163" t="s" s="0">
        <v>3760</v>
      </c>
      <c r="BR163" t="s" s="0">
        <v>3761</v>
      </c>
      <c r="BS163" t="s" s="0">
        <v>3762</v>
      </c>
      <c r="BT163" t="s" s="324">
        <f>HYPERLINK("https://www.webofscience.com/wos/woscc/full-record/WOS:001827249800001","View Record in Web of Science")</f>
        <v>118</v>
      </c>
      <c r="BU163" t="s" s="0">
        <v>81</v>
      </c>
      <c r="BV163" t="s" s="0">
        <v>81</v>
      </c>
      <c r="BW163" t="s" s="0">
        <v>81</v>
      </c>
      <c r="BX163" t="s" s="0">
        <v>120</v>
      </c>
    </row>
    <row r="164">
      <c r="A164" t="s" s="0">
        <v>77</v>
      </c>
      <c r="B164" t="s" s="0">
        <v>77</v>
      </c>
      <c r="C164" t="s" s="0">
        <v>77</v>
      </c>
      <c r="D164" t="s" s="0">
        <v>77</v>
      </c>
      <c r="E164" t="s" s="0">
        <v>3763</v>
      </c>
      <c r="F164" t="s" s="0">
        <v>3764</v>
      </c>
      <c r="G164" t="s" s="0">
        <v>3765</v>
      </c>
      <c r="H164" t="s" s="0">
        <v>81</v>
      </c>
      <c r="I164" t="s" s="0">
        <v>82</v>
      </c>
      <c r="J164" t="s" s="0">
        <v>3766</v>
      </c>
      <c r="K164" t="s" s="0">
        <v>3767</v>
      </c>
      <c r="L164" t="s" s="0">
        <v>3768</v>
      </c>
      <c r="M164" t="s" s="0">
        <v>3769</v>
      </c>
      <c r="N164" t="s" s="0">
        <v>3770</v>
      </c>
      <c r="O164" t="s" s="0">
        <v>3771</v>
      </c>
      <c r="P164" t="s" s="0">
        <v>3772</v>
      </c>
      <c r="Q164" t="s" s="0">
        <v>90</v>
      </c>
      <c r="R164" t="s" s="0">
        <v>81</v>
      </c>
      <c r="S164" t="s" s="0">
        <v>81</v>
      </c>
      <c r="T164" t="s" s="0">
        <v>81</v>
      </c>
      <c r="U164" t="s" s="0">
        <v>81</v>
      </c>
      <c r="V164" t="s" s="0">
        <v>3773</v>
      </c>
      <c r="W164" t="s" s="0">
        <v>2527</v>
      </c>
      <c r="X164" t="s" s="0">
        <v>81</v>
      </c>
      <c r="Y164" t="s" s="0">
        <v>81</v>
      </c>
      <c r="Z164" t="s" s="0">
        <v>93</v>
      </c>
      <c r="AA164" t="s" s="0">
        <v>94</v>
      </c>
      <c r="AB164" t="s" s="0">
        <v>81</v>
      </c>
      <c r="AC164" t="s" s="0">
        <v>81</v>
      </c>
      <c r="AD164" t="s" s="0">
        <v>81</v>
      </c>
      <c r="AE164" t="s" s="0">
        <v>81</v>
      </c>
      <c r="AF164" t="s" s="0">
        <v>81</v>
      </c>
      <c r="AG164" t="s" s="0">
        <v>3774</v>
      </c>
      <c r="AH164" t="s" s="0">
        <v>3775</v>
      </c>
      <c r="AI164" t="s" s="0">
        <v>3776</v>
      </c>
      <c r="AJ164" t="s" s="0">
        <v>81</v>
      </c>
      <c r="AK164" t="s" s="0">
        <v>81</v>
      </c>
      <c r="AL164" t="s" s="0">
        <v>3777</v>
      </c>
      <c r="AM164" t="s" s="0">
        <v>77</v>
      </c>
      <c r="AN164" t="s" s="0">
        <v>77</v>
      </c>
      <c r="AO164" t="s" s="0">
        <v>108</v>
      </c>
      <c r="AP164" t="s" s="0">
        <v>108</v>
      </c>
      <c r="AQ164" t="s" s="0">
        <v>1103</v>
      </c>
      <c r="AR164" t="s" s="0">
        <v>1104</v>
      </c>
      <c r="AS164" t="s" s="0">
        <v>1105</v>
      </c>
      <c r="AT164" t="s" s="0">
        <v>2530</v>
      </c>
      <c r="AU164" t="s" s="0">
        <v>2531</v>
      </c>
      <c r="AV164" t="s" s="0">
        <v>81</v>
      </c>
      <c r="AW164" t="s" s="0">
        <v>2532</v>
      </c>
      <c r="AX164" t="s" s="0">
        <v>2533</v>
      </c>
      <c r="AY164" t="s" s="0">
        <v>2903</v>
      </c>
      <c r="AZ164" t="s" s="0">
        <v>106</v>
      </c>
      <c r="BA164" t="s" s="0">
        <v>3778</v>
      </c>
      <c r="BB164" t="s" s="0">
        <v>81</v>
      </c>
      <c r="BC164" t="s" s="0">
        <v>81</v>
      </c>
      <c r="BD164" t="s" s="0">
        <v>81</v>
      </c>
      <c r="BE164" t="s" s="0">
        <v>81</v>
      </c>
      <c r="BF164" t="s" s="0">
        <v>81</v>
      </c>
      <c r="BG164" t="s" s="0">
        <v>81</v>
      </c>
      <c r="BH164" t="s" s="0">
        <v>81</v>
      </c>
      <c r="BI164" t="s" s="0">
        <v>3779</v>
      </c>
      <c r="BJ164" t="s" s="0">
        <v>3780</v>
      </c>
      <c r="BK164" t="s" s="325">
        <f>HYPERLINK("http://dx.doi.org/10.1016/j.critrevonc.2026.105488","http://dx.doi.org/10.1016/j.critrevonc.2026.105488")</f>
        <v>3781</v>
      </c>
      <c r="BL164" t="s" s="0">
        <v>81</v>
      </c>
      <c r="BM164" t="s" s="0">
        <v>81</v>
      </c>
      <c r="BN164" t="s" s="0">
        <v>1236</v>
      </c>
      <c r="BO164" t="s" s="0">
        <v>2538</v>
      </c>
      <c r="BP164" t="s" s="0">
        <v>2538</v>
      </c>
      <c r="BQ164" t="s" s="0">
        <v>3782</v>
      </c>
      <c r="BR164" t="s" s="0">
        <v>3783</v>
      </c>
      <c r="BS164" t="s" s="0">
        <v>3784</v>
      </c>
      <c r="BT164" t="s" s="326">
        <f>HYPERLINK("https://www.webofscience.com/wos/woscc/full-record/WOS:001824632300001","View Record in Web of Science")</f>
        <v>118</v>
      </c>
      <c r="BU164" t="s" s="0">
        <v>877</v>
      </c>
      <c r="BV164" t="s" s="0">
        <v>81</v>
      </c>
      <c r="BW164" t="s" s="0">
        <v>81</v>
      </c>
      <c r="BX164" t="s" s="0">
        <v>120</v>
      </c>
    </row>
    <row r="165">
      <c r="A165" t="s" s="0">
        <v>77</v>
      </c>
      <c r="B165" t="s" s="0">
        <v>77</v>
      </c>
      <c r="C165" t="s" s="0">
        <v>77</v>
      </c>
      <c r="D165" t="s" s="0">
        <v>77</v>
      </c>
      <c r="E165" t="s" s="0">
        <v>3785</v>
      </c>
      <c r="F165" t="s" s="0">
        <v>3786</v>
      </c>
      <c r="G165" t="s" s="0">
        <v>3787</v>
      </c>
      <c r="H165" t="s" s="0">
        <v>81</v>
      </c>
      <c r="I165" t="s" s="0">
        <v>124</v>
      </c>
      <c r="J165" t="s" s="0">
        <v>3788</v>
      </c>
      <c r="K165" t="s" s="0">
        <v>3789</v>
      </c>
      <c r="L165" t="s" s="0">
        <v>3790</v>
      </c>
      <c r="M165" t="s" s="0">
        <v>3791</v>
      </c>
      <c r="N165" t="s" s="0">
        <v>3792</v>
      </c>
      <c r="O165" t="s" s="0">
        <v>3793</v>
      </c>
      <c r="P165" t="s" s="0">
        <v>3794</v>
      </c>
      <c r="Q165" t="s" s="0">
        <v>90</v>
      </c>
      <c r="R165" t="s" s="0">
        <v>81</v>
      </c>
      <c r="S165" t="s" s="0">
        <v>81</v>
      </c>
      <c r="T165" t="s" s="0">
        <v>81</v>
      </c>
      <c r="U165" t="s" s="0">
        <v>81</v>
      </c>
      <c r="V165" t="s" s="0">
        <v>3795</v>
      </c>
      <c r="W165" t="s" s="0">
        <v>3796</v>
      </c>
      <c r="X165" t="s" s="0">
        <v>81</v>
      </c>
      <c r="Y165" t="s" s="0">
        <v>81</v>
      </c>
      <c r="Z165" t="s" s="0">
        <v>93</v>
      </c>
      <c r="AA165" t="s" s="0">
        <v>94</v>
      </c>
      <c r="AB165" t="s" s="0">
        <v>81</v>
      </c>
      <c r="AC165" t="s" s="0">
        <v>81</v>
      </c>
      <c r="AD165" t="s" s="0">
        <v>81</v>
      </c>
      <c r="AE165" t="s" s="0">
        <v>81</v>
      </c>
      <c r="AF165" t="s" s="0">
        <v>81</v>
      </c>
      <c r="AG165" t="s" s="0">
        <v>81</v>
      </c>
      <c r="AH165" t="s" s="0">
        <v>3730</v>
      </c>
      <c r="AI165" t="s" s="0">
        <v>81</v>
      </c>
      <c r="AJ165" t="s" s="0">
        <v>81</v>
      </c>
      <c r="AK165" t="s" s="0">
        <v>81</v>
      </c>
      <c r="AL165" t="s" s="0">
        <v>465</v>
      </c>
      <c r="AM165" t="s" s="0">
        <v>77</v>
      </c>
      <c r="AN165" t="s" s="0">
        <v>77</v>
      </c>
      <c r="AO165" t="s" s="0">
        <v>77</v>
      </c>
      <c r="AP165" t="s" s="0">
        <v>77</v>
      </c>
      <c r="AQ165" t="s" s="0">
        <v>892</v>
      </c>
      <c r="AR165" t="s" s="0">
        <v>893</v>
      </c>
      <c r="AS165" t="s" s="0">
        <v>894</v>
      </c>
      <c r="AT165" t="s" s="0">
        <v>81</v>
      </c>
      <c r="AU165" t="s" s="0">
        <v>3797</v>
      </c>
      <c r="AV165" t="s" s="0">
        <v>81</v>
      </c>
      <c r="AW165" t="s" s="0">
        <v>3798</v>
      </c>
      <c r="AX165" t="s" s="0">
        <v>3799</v>
      </c>
      <c r="AY165" t="s" s="0">
        <v>2903</v>
      </c>
      <c r="AZ165" t="s" s="0">
        <v>106</v>
      </c>
      <c r="BA165" t="s" s="0">
        <v>97</v>
      </c>
      <c r="BB165" t="s" s="0">
        <v>81</v>
      </c>
      <c r="BC165" t="s" s="0">
        <v>81</v>
      </c>
      <c r="BD165" t="s" s="0">
        <v>81</v>
      </c>
      <c r="BE165" t="s" s="0">
        <v>81</v>
      </c>
      <c r="BF165" t="s" s="0">
        <v>81</v>
      </c>
      <c r="BG165" t="s" s="0">
        <v>81</v>
      </c>
      <c r="BH165" t="s" s="0">
        <v>81</v>
      </c>
      <c r="BI165" t="s" s="0">
        <v>3800</v>
      </c>
      <c r="BJ165" t="s" s="0">
        <v>3801</v>
      </c>
      <c r="BK165" t="s" s="327">
        <f>HYPERLINK("http://dx.doi.org/10.1016/j.cophys.2026.100969","http://dx.doi.org/10.1016/j.cophys.2026.100969")</f>
        <v>3802</v>
      </c>
      <c r="BL165" t="s" s="0">
        <v>81</v>
      </c>
      <c r="BM165" t="s" s="0">
        <v>81</v>
      </c>
      <c r="BN165" t="s" s="0">
        <v>461</v>
      </c>
      <c r="BO165" t="s" s="0">
        <v>3803</v>
      </c>
      <c r="BP165" t="s" s="0">
        <v>3803</v>
      </c>
      <c r="BQ165" t="s" s="0">
        <v>3804</v>
      </c>
      <c r="BR165" t="s" s="0">
        <v>81</v>
      </c>
      <c r="BS165" t="s" s="0">
        <v>3805</v>
      </c>
      <c r="BT165" t="s" s="328">
        <f>HYPERLINK("https://www.webofscience.com/wos/woscc/full-record/WOS:001812006600001","View Record in Web of Science")</f>
        <v>118</v>
      </c>
      <c r="BU165" t="s" s="0">
        <v>81</v>
      </c>
      <c r="BV165" t="s" s="0">
        <v>81</v>
      </c>
      <c r="BW165" t="s" s="0">
        <v>81</v>
      </c>
      <c r="BX165" t="s" s="0">
        <v>120</v>
      </c>
    </row>
    <row r="166">
      <c r="A166" t="s" s="0">
        <v>77</v>
      </c>
      <c r="B166" t="s" s="0">
        <v>77</v>
      </c>
      <c r="C166" t="s" s="0">
        <v>77</v>
      </c>
      <c r="D166" t="s" s="0">
        <v>77</v>
      </c>
      <c r="E166" t="s" s="0">
        <v>3806</v>
      </c>
      <c r="F166" t="s" s="0">
        <v>3807</v>
      </c>
      <c r="G166" t="s" s="0">
        <v>3808</v>
      </c>
      <c r="H166" t="s" s="0">
        <v>81</v>
      </c>
      <c r="I166" t="s" s="0">
        <v>82</v>
      </c>
      <c r="J166" t="s" s="0">
        <v>3809</v>
      </c>
      <c r="K166" t="s" s="0">
        <v>3810</v>
      </c>
      <c r="L166" t="s" s="0">
        <v>3811</v>
      </c>
      <c r="M166" t="s" s="0">
        <v>3812</v>
      </c>
      <c r="N166" t="s" s="0">
        <v>3813</v>
      </c>
      <c r="O166" t="s" s="0">
        <v>3814</v>
      </c>
      <c r="P166" t="s" s="0">
        <v>3815</v>
      </c>
      <c r="Q166" t="s" s="0">
        <v>90</v>
      </c>
      <c r="R166" t="s" s="0">
        <v>81</v>
      </c>
      <c r="S166" t="s" s="0">
        <v>81</v>
      </c>
      <c r="T166" t="s" s="0">
        <v>81</v>
      </c>
      <c r="U166" t="s" s="0">
        <v>81</v>
      </c>
      <c r="V166" t="s" s="0">
        <v>3816</v>
      </c>
      <c r="W166" t="s" s="0">
        <v>3817</v>
      </c>
      <c r="X166" t="s" s="0">
        <v>81</v>
      </c>
      <c r="Y166" t="s" s="0">
        <v>81</v>
      </c>
      <c r="Z166" t="s" s="0">
        <v>93</v>
      </c>
      <c r="AA166" t="s" s="0">
        <v>94</v>
      </c>
      <c r="AB166" t="s" s="0">
        <v>81</v>
      </c>
      <c r="AC166" t="s" s="0">
        <v>81</v>
      </c>
      <c r="AD166" t="s" s="0">
        <v>81</v>
      </c>
      <c r="AE166" t="s" s="0">
        <v>81</v>
      </c>
      <c r="AF166" t="s" s="0">
        <v>81</v>
      </c>
      <c r="AG166" t="s" s="0">
        <v>3818</v>
      </c>
      <c r="AH166" t="s" s="0">
        <v>81</v>
      </c>
      <c r="AI166" t="s" s="0">
        <v>81</v>
      </c>
      <c r="AJ166" t="s" s="0">
        <v>81</v>
      </c>
      <c r="AK166" t="s" s="0">
        <v>81</v>
      </c>
      <c r="AL166" t="s" s="0">
        <v>1287</v>
      </c>
      <c r="AM166" t="s" s="0">
        <v>108</v>
      </c>
      <c r="AN166" t="s" s="0">
        <v>108</v>
      </c>
      <c r="AO166" t="s" s="0">
        <v>108</v>
      </c>
      <c r="AP166" t="s" s="0">
        <v>108</v>
      </c>
      <c r="AQ166" t="s" s="0">
        <v>3819</v>
      </c>
      <c r="AR166" t="s" s="0">
        <v>3820</v>
      </c>
      <c r="AS166" t="s" s="0">
        <v>3821</v>
      </c>
      <c r="AT166" t="s" s="0">
        <v>3822</v>
      </c>
      <c r="AU166" t="s" s="0">
        <v>3823</v>
      </c>
      <c r="AV166" t="s" s="0">
        <v>81</v>
      </c>
      <c r="AW166" t="s" s="0">
        <v>3817</v>
      </c>
      <c r="AX166" t="s" s="0">
        <v>3824</v>
      </c>
      <c r="AY166" t="s" s="0">
        <v>3332</v>
      </c>
      <c r="AZ166" t="s" s="0">
        <v>106</v>
      </c>
      <c r="BA166" t="s" s="0">
        <v>438</v>
      </c>
      <c r="BB166" t="s" s="0">
        <v>340</v>
      </c>
      <c r="BC166" t="s" s="0">
        <v>81</v>
      </c>
      <c r="BD166" t="s" s="0">
        <v>81</v>
      </c>
      <c r="BE166" t="s" s="0">
        <v>81</v>
      </c>
      <c r="BF166" t="s" s="0">
        <v>81</v>
      </c>
      <c r="BG166" t="s" s="0">
        <v>81</v>
      </c>
      <c r="BH166" t="s" s="0">
        <v>81</v>
      </c>
      <c r="BI166" t="s" s="0">
        <v>3825</v>
      </c>
      <c r="BJ166" t="s" s="0">
        <v>3826</v>
      </c>
      <c r="BK166" t="s" s="329">
        <f>HYPERLINK("http://dx.doi.org/10.1088/1758-5090/ae7b07","http://dx.doi.org/10.1088/1758-5090/ae7b07")</f>
        <v>3827</v>
      </c>
      <c r="BL166" t="s" s="0">
        <v>81</v>
      </c>
      <c r="BM166" t="s" s="0">
        <v>81</v>
      </c>
      <c r="BN166" t="s" s="0">
        <v>551</v>
      </c>
      <c r="BO166" t="s" s="0">
        <v>3828</v>
      </c>
      <c r="BP166" t="s" s="0">
        <v>3829</v>
      </c>
      <c r="BQ166" t="s" s="0">
        <v>3830</v>
      </c>
      <c r="BR166" t="s" s="0">
        <v>3831</v>
      </c>
      <c r="BS166" t="s" s="0">
        <v>3832</v>
      </c>
      <c r="BT166" t="s" s="330">
        <f>HYPERLINK("https://www.webofscience.com/wos/woscc/full-record/WOS:001807748600001","View Record in Web of Science")</f>
        <v>118</v>
      </c>
      <c r="BU166" t="s" s="0">
        <v>877</v>
      </c>
      <c r="BV166" t="s" s="0">
        <v>81</v>
      </c>
      <c r="BW166" t="s" s="0">
        <v>81</v>
      </c>
      <c r="BX166" t="s" s="0">
        <v>120</v>
      </c>
    </row>
    <row r="167">
      <c r="A167" t="s" s="0">
        <v>77</v>
      </c>
      <c r="B167" t="s" s="0">
        <v>77</v>
      </c>
      <c r="C167" t="s" s="0">
        <v>77</v>
      </c>
      <c r="D167" t="s" s="0">
        <v>77</v>
      </c>
      <c r="E167" t="s" s="0">
        <v>3833</v>
      </c>
      <c r="F167" t="s" s="0">
        <v>3834</v>
      </c>
      <c r="G167" t="s" s="0">
        <v>3835</v>
      </c>
      <c r="H167" t="s" s="0">
        <v>81</v>
      </c>
      <c r="I167" t="s" s="0">
        <v>124</v>
      </c>
      <c r="J167" t="s" s="0">
        <v>3836</v>
      </c>
      <c r="K167" t="s" s="0">
        <v>3837</v>
      </c>
      <c r="L167" t="s" s="0">
        <v>3838</v>
      </c>
      <c r="M167" t="s" s="0">
        <v>330</v>
      </c>
      <c r="N167" t="s" s="0">
        <v>3839</v>
      </c>
      <c r="O167" t="s" s="0">
        <v>3840</v>
      </c>
      <c r="P167" t="s" s="0">
        <v>3841</v>
      </c>
      <c r="Q167" t="s" s="0">
        <v>90</v>
      </c>
      <c r="R167" t="s" s="0">
        <v>81</v>
      </c>
      <c r="S167" t="s" s="0">
        <v>81</v>
      </c>
      <c r="T167" t="s" s="0">
        <v>81</v>
      </c>
      <c r="U167" t="s" s="0">
        <v>81</v>
      </c>
      <c r="V167" t="s" s="0">
        <v>3842</v>
      </c>
      <c r="W167" t="s" s="0">
        <v>3843</v>
      </c>
      <c r="X167" t="s" s="0">
        <v>81</v>
      </c>
      <c r="Y167" t="s" s="0">
        <v>81</v>
      </c>
      <c r="Z167" t="s" s="0">
        <v>93</v>
      </c>
      <c r="AA167" t="s" s="0">
        <v>94</v>
      </c>
      <c r="AB167" t="s" s="0">
        <v>81</v>
      </c>
      <c r="AC167" t="s" s="0">
        <v>81</v>
      </c>
      <c r="AD167" t="s" s="0">
        <v>81</v>
      </c>
      <c r="AE167" t="s" s="0">
        <v>81</v>
      </c>
      <c r="AF167" t="s" s="0">
        <v>81</v>
      </c>
      <c r="AG167" t="s" s="0">
        <v>3844</v>
      </c>
      <c r="AH167" t="s" s="0">
        <v>3845</v>
      </c>
      <c r="AI167" t="s" s="0">
        <v>81</v>
      </c>
      <c r="AJ167" t="s" s="0">
        <v>81</v>
      </c>
      <c r="AK167" t="s" s="0">
        <v>81</v>
      </c>
      <c r="AL167" t="s" s="0">
        <v>3373</v>
      </c>
      <c r="AM167" t="s" s="0">
        <v>108</v>
      </c>
      <c r="AN167" t="s" s="0">
        <v>108</v>
      </c>
      <c r="AO167" t="s" s="0">
        <v>77</v>
      </c>
      <c r="AP167" t="s" s="0">
        <v>77</v>
      </c>
      <c r="AQ167" t="s" s="0">
        <v>3819</v>
      </c>
      <c r="AR167" t="s" s="0">
        <v>3820</v>
      </c>
      <c r="AS167" t="s" s="0">
        <v>3821</v>
      </c>
      <c r="AT167" t="s" s="0">
        <v>81</v>
      </c>
      <c r="AU167" t="s" s="0">
        <v>3846</v>
      </c>
      <c r="AV167" t="s" s="0">
        <v>81</v>
      </c>
      <c r="AW167" t="s" s="0">
        <v>3847</v>
      </c>
      <c r="AX167" t="s" s="0">
        <v>3848</v>
      </c>
      <c r="AY167" t="s" s="0">
        <v>3332</v>
      </c>
      <c r="AZ167" t="s" s="0">
        <v>106</v>
      </c>
      <c r="BA167" t="s" s="0">
        <v>485</v>
      </c>
      <c r="BB167" t="s" s="0">
        <v>340</v>
      </c>
      <c r="BC167" t="s" s="0">
        <v>81</v>
      </c>
      <c r="BD167" t="s" s="0">
        <v>81</v>
      </c>
      <c r="BE167" t="s" s="0">
        <v>81</v>
      </c>
      <c r="BF167" t="s" s="0">
        <v>81</v>
      </c>
      <c r="BG167" t="s" s="0">
        <v>81</v>
      </c>
      <c r="BH167" t="s" s="0">
        <v>81</v>
      </c>
      <c r="BI167" t="s" s="0">
        <v>3849</v>
      </c>
      <c r="BJ167" t="s" s="0">
        <v>3850</v>
      </c>
      <c r="BK167" t="s" s="331">
        <f>HYPERLINK("http://dx.doi.org/10.1088/2516-1091/ae7eb9","http://dx.doi.org/10.1088/2516-1091/ae7eb9")</f>
        <v>3851</v>
      </c>
      <c r="BL167" t="s" s="0">
        <v>81</v>
      </c>
      <c r="BM167" t="s" s="0">
        <v>81</v>
      </c>
      <c r="BN167" t="s" s="0">
        <v>144</v>
      </c>
      <c r="BO167" t="s" s="0">
        <v>848</v>
      </c>
      <c r="BP167" t="s" s="0">
        <v>393</v>
      </c>
      <c r="BQ167" t="s" s="0">
        <v>3852</v>
      </c>
      <c r="BR167" t="s" s="0">
        <v>3853</v>
      </c>
      <c r="BS167" t="s" s="0">
        <v>3854</v>
      </c>
      <c r="BT167" t="s" s="332">
        <f>HYPERLINK("https://www.webofscience.com/wos/woscc/full-record/WOS:001808870200001","View Record in Web of Science")</f>
        <v>118</v>
      </c>
      <c r="BU167" t="s" s="0">
        <v>877</v>
      </c>
      <c r="BV167" t="s" s="0">
        <v>81</v>
      </c>
      <c r="BW167" t="s" s="0">
        <v>81</v>
      </c>
      <c r="BX167" t="s" s="0">
        <v>120</v>
      </c>
    </row>
    <row r="168">
      <c r="A168" t="s" s="0">
        <v>77</v>
      </c>
      <c r="B168" t="s" s="0">
        <v>77</v>
      </c>
      <c r="C168" t="s" s="0">
        <v>77</v>
      </c>
      <c r="D168" t="s" s="0">
        <v>77</v>
      </c>
      <c r="E168" t="s" s="0">
        <v>3855</v>
      </c>
      <c r="F168" t="s" s="0">
        <v>3856</v>
      </c>
      <c r="G168" t="s" s="0">
        <v>3857</v>
      </c>
      <c r="H168" t="s" s="0">
        <v>81</v>
      </c>
      <c r="I168" t="s" s="0">
        <v>82</v>
      </c>
      <c r="J168" t="s" s="0">
        <v>3858</v>
      </c>
      <c r="K168" t="s" s="0">
        <v>3859</v>
      </c>
      <c r="L168" t="s" s="0">
        <v>81</v>
      </c>
      <c r="M168" t="s" s="0">
        <v>81</v>
      </c>
      <c r="N168" t="s" s="0">
        <v>81</v>
      </c>
      <c r="O168" t="s" s="0">
        <v>3860</v>
      </c>
      <c r="P168" t="s" s="0">
        <v>3861</v>
      </c>
      <c r="Q168" t="s" s="0">
        <v>90</v>
      </c>
      <c r="R168" t="s" s="0">
        <v>81</v>
      </c>
      <c r="S168" t="s" s="0">
        <v>81</v>
      </c>
      <c r="T168" t="s" s="0">
        <v>81</v>
      </c>
      <c r="U168" t="s" s="0">
        <v>81</v>
      </c>
      <c r="V168" t="s" s="0">
        <v>3862</v>
      </c>
      <c r="W168" t="s" s="0">
        <v>1416</v>
      </c>
      <c r="X168" t="s" s="0">
        <v>81</v>
      </c>
      <c r="Y168" t="s" s="0">
        <v>81</v>
      </c>
      <c r="Z168" t="s" s="0">
        <v>93</v>
      </c>
      <c r="AA168" t="s" s="0">
        <v>94</v>
      </c>
      <c r="AB168" t="s" s="0">
        <v>81</v>
      </c>
      <c r="AC168" t="s" s="0">
        <v>81</v>
      </c>
      <c r="AD168" t="s" s="0">
        <v>81</v>
      </c>
      <c r="AE168" t="s" s="0">
        <v>81</v>
      </c>
      <c r="AF168" t="s" s="0">
        <v>81</v>
      </c>
      <c r="AG168" t="s" s="0">
        <v>3863</v>
      </c>
      <c r="AH168" t="s" s="0">
        <v>3864</v>
      </c>
      <c r="AI168" t="s" s="0">
        <v>81</v>
      </c>
      <c r="AJ168" t="s" s="0">
        <v>81</v>
      </c>
      <c r="AK168" t="s" s="0">
        <v>81</v>
      </c>
      <c r="AL168" t="s" s="0">
        <v>3865</v>
      </c>
      <c r="AM168" t="s" s="0">
        <v>77</v>
      </c>
      <c r="AN168" t="s" s="0">
        <v>77</v>
      </c>
      <c r="AO168" t="s" s="0">
        <v>77</v>
      </c>
      <c r="AP168" t="s" s="0">
        <v>77</v>
      </c>
      <c r="AQ168" t="s" s="0">
        <v>836</v>
      </c>
      <c r="AR168" t="s" s="0">
        <v>837</v>
      </c>
      <c r="AS168" t="s" s="0">
        <v>838</v>
      </c>
      <c r="AT168" t="s" s="0">
        <v>1419</v>
      </c>
      <c r="AU168" t="s" s="0">
        <v>1420</v>
      </c>
      <c r="AV168" t="s" s="0">
        <v>81</v>
      </c>
      <c r="AW168" t="s" s="0">
        <v>1421</v>
      </c>
      <c r="AX168" t="s" s="0">
        <v>1422</v>
      </c>
      <c r="AY168" t="s" s="0">
        <v>2903</v>
      </c>
      <c r="AZ168" t="s" s="0">
        <v>106</v>
      </c>
      <c r="BA168" t="s" s="0">
        <v>751</v>
      </c>
      <c r="BB168" t="s" s="0">
        <v>81</v>
      </c>
      <c r="BC168" t="s" s="0">
        <v>81</v>
      </c>
      <c r="BD168" t="s" s="0">
        <v>81</v>
      </c>
      <c r="BE168" t="s" s="0">
        <v>81</v>
      </c>
      <c r="BF168" t="s" s="0">
        <v>81</v>
      </c>
      <c r="BG168" t="s" s="0">
        <v>81</v>
      </c>
      <c r="BH168" t="s" s="0">
        <v>81</v>
      </c>
      <c r="BI168" t="s" s="0">
        <v>3866</v>
      </c>
      <c r="BJ168" t="s" s="0">
        <v>3867</v>
      </c>
      <c r="BK168" t="s" s="333">
        <f>HYPERLINK("http://dx.doi.org/10.1016/j.trac.2026.118956","http://dx.doi.org/10.1016/j.trac.2026.118956")</f>
        <v>3868</v>
      </c>
      <c r="BL168" t="s" s="0">
        <v>81</v>
      </c>
      <c r="BM168" t="s" s="0">
        <v>81</v>
      </c>
      <c r="BN168" t="s" s="0">
        <v>193</v>
      </c>
      <c r="BO168" t="s" s="0">
        <v>1427</v>
      </c>
      <c r="BP168" t="s" s="0">
        <v>1328</v>
      </c>
      <c r="BQ168" t="s" s="0">
        <v>3869</v>
      </c>
      <c r="BR168" t="s" s="0">
        <v>81</v>
      </c>
      <c r="BS168" t="s" s="0">
        <v>3870</v>
      </c>
      <c r="BT168" t="s" s="334">
        <f>HYPERLINK("https://www.webofscience.com/wos/woscc/full-record/WOS:001800777600001","View Record in Web of Science")</f>
        <v>118</v>
      </c>
      <c r="BU168" t="s" s="0">
        <v>81</v>
      </c>
      <c r="BV168" t="s" s="0">
        <v>81</v>
      </c>
      <c r="BW168" t="s" s="0">
        <v>81</v>
      </c>
      <c r="BX168" t="s" s="0">
        <v>120</v>
      </c>
    </row>
    <row r="169">
      <c r="A169" t="s" s="0">
        <v>77</v>
      </c>
      <c r="B169" t="s" s="0">
        <v>77</v>
      </c>
      <c r="C169" t="s" s="0">
        <v>77</v>
      </c>
      <c r="D169" t="s" s="0">
        <v>77</v>
      </c>
      <c r="E169" t="s" s="0">
        <v>3871</v>
      </c>
      <c r="F169" t="s" s="0">
        <v>3872</v>
      </c>
      <c r="G169" t="s" s="0">
        <v>3873</v>
      </c>
      <c r="H169" t="s" s="0">
        <v>81</v>
      </c>
      <c r="I169" t="s" s="0">
        <v>124</v>
      </c>
      <c r="J169" t="s" s="0">
        <v>3874</v>
      </c>
      <c r="K169" t="s" s="0">
        <v>3875</v>
      </c>
      <c r="L169" t="s" s="0">
        <v>81</v>
      </c>
      <c r="M169" t="s" s="0">
        <v>81</v>
      </c>
      <c r="N169" t="s" s="0">
        <v>81</v>
      </c>
      <c r="O169" t="s" s="0">
        <v>3876</v>
      </c>
      <c r="P169" t="s" s="0">
        <v>3877</v>
      </c>
      <c r="Q169" t="s" s="0">
        <v>90</v>
      </c>
      <c r="R169" t="s" s="0">
        <v>81</v>
      </c>
      <c r="S169" t="s" s="0">
        <v>81</v>
      </c>
      <c r="T169" t="s" s="0">
        <v>81</v>
      </c>
      <c r="U169" t="s" s="0">
        <v>81</v>
      </c>
      <c r="V169" t="s" s="0">
        <v>3878</v>
      </c>
      <c r="W169" t="s" s="0">
        <v>989</v>
      </c>
      <c r="X169" t="s" s="0">
        <v>81</v>
      </c>
      <c r="Y169" t="s" s="0">
        <v>81</v>
      </c>
      <c r="Z169" t="s" s="0">
        <v>93</v>
      </c>
      <c r="AA169" t="s" s="0">
        <v>94</v>
      </c>
      <c r="AB169" t="s" s="0">
        <v>81</v>
      </c>
      <c r="AC169" t="s" s="0">
        <v>81</v>
      </c>
      <c r="AD169" t="s" s="0">
        <v>81</v>
      </c>
      <c r="AE169" t="s" s="0">
        <v>81</v>
      </c>
      <c r="AF169" t="s" s="0">
        <v>81</v>
      </c>
      <c r="AG169" t="s" s="0">
        <v>3879</v>
      </c>
      <c r="AH169" t="s" s="0">
        <v>3880</v>
      </c>
      <c r="AI169" t="s" s="0">
        <v>81</v>
      </c>
      <c r="AJ169" t="s" s="0">
        <v>81</v>
      </c>
      <c r="AK169" t="s" s="0">
        <v>81</v>
      </c>
      <c r="AL169" t="s" s="0">
        <v>664</v>
      </c>
      <c r="AM169" t="s" s="0">
        <v>77</v>
      </c>
      <c r="AN169" t="s" s="0">
        <v>77</v>
      </c>
      <c r="AO169" t="s" s="0">
        <v>77</v>
      </c>
      <c r="AP169" t="s" s="0">
        <v>77</v>
      </c>
      <c r="AQ169" t="s" s="0">
        <v>892</v>
      </c>
      <c r="AR169" t="s" s="0">
        <v>893</v>
      </c>
      <c r="AS169" t="s" s="0">
        <v>894</v>
      </c>
      <c r="AT169" t="s" s="0">
        <v>81</v>
      </c>
      <c r="AU169" t="s" s="0">
        <v>993</v>
      </c>
      <c r="AV169" t="s" s="0">
        <v>81</v>
      </c>
      <c r="AW169" t="s" s="0">
        <v>994</v>
      </c>
      <c r="AX169" t="s" s="0">
        <v>995</v>
      </c>
      <c r="AY169" t="s" s="0">
        <v>2903</v>
      </c>
      <c r="AZ169" t="s" s="0">
        <v>106</v>
      </c>
      <c r="BA169" t="s" s="0">
        <v>193</v>
      </c>
      <c r="BB169" t="s" s="0">
        <v>81</v>
      </c>
      <c r="BC169" t="s" s="0">
        <v>81</v>
      </c>
      <c r="BD169" t="s" s="0">
        <v>81</v>
      </c>
      <c r="BE169" t="s" s="0">
        <v>81</v>
      </c>
      <c r="BF169" t="s" s="0">
        <v>81</v>
      </c>
      <c r="BG169" t="s" s="0">
        <v>81</v>
      </c>
      <c r="BH169" t="s" s="0">
        <v>81</v>
      </c>
      <c r="BI169" t="s" s="0">
        <v>3881</v>
      </c>
      <c r="BJ169" t="s" s="0">
        <v>3882</v>
      </c>
      <c r="BK169" t="s" s="335">
        <f>HYPERLINK("http://dx.doi.org/10.1016/j.rineng.2026.111533","http://dx.doi.org/10.1016/j.rineng.2026.111533")</f>
        <v>3883</v>
      </c>
      <c r="BL169" t="s" s="0">
        <v>81</v>
      </c>
      <c r="BM169" t="s" s="0">
        <v>81</v>
      </c>
      <c r="BN169" t="s" s="0">
        <v>1236</v>
      </c>
      <c r="BO169" t="s" s="0">
        <v>392</v>
      </c>
      <c r="BP169" t="s" s="0">
        <v>393</v>
      </c>
      <c r="BQ169" t="s" s="0">
        <v>3884</v>
      </c>
      <c r="BR169" t="s" s="0">
        <v>81</v>
      </c>
      <c r="BS169" t="s" s="0">
        <v>3885</v>
      </c>
      <c r="BT169" t="s" s="336">
        <f>HYPERLINK("https://www.webofscience.com/wos/woscc/full-record/WOS:001800874100001","View Record in Web of Science")</f>
        <v>118</v>
      </c>
      <c r="BU169" t="s" s="0">
        <v>119</v>
      </c>
      <c r="BV169" t="s" s="0">
        <v>81</v>
      </c>
      <c r="BW169" t="s" s="0">
        <v>81</v>
      </c>
      <c r="BX169" t="s" s="0">
        <v>120</v>
      </c>
    </row>
    <row r="170">
      <c r="A170" t="s" s="0">
        <v>77</v>
      </c>
      <c r="B170" t="s" s="0">
        <v>77</v>
      </c>
      <c r="C170" t="s" s="0">
        <v>77</v>
      </c>
      <c r="D170" t="s" s="0">
        <v>77</v>
      </c>
      <c r="E170" t="s" s="0">
        <v>3886</v>
      </c>
      <c r="F170" t="s" s="0">
        <v>3887</v>
      </c>
      <c r="G170" t="s" s="0">
        <v>3888</v>
      </c>
      <c r="H170" t="s" s="0">
        <v>81</v>
      </c>
      <c r="I170" t="s" s="0">
        <v>1004</v>
      </c>
      <c r="J170" t="s" s="0">
        <v>3889</v>
      </c>
      <c r="K170" t="s" s="0">
        <v>3890</v>
      </c>
      <c r="L170" t="s" s="0">
        <v>3891</v>
      </c>
      <c r="M170" t="s" s="0">
        <v>3891</v>
      </c>
      <c r="N170" t="s" s="0">
        <v>3892</v>
      </c>
      <c r="O170" t="s" s="0">
        <v>3893</v>
      </c>
      <c r="P170" t="s" s="0">
        <v>3894</v>
      </c>
      <c r="Q170" t="s" s="0">
        <v>90</v>
      </c>
      <c r="R170" t="s" s="0">
        <v>81</v>
      </c>
      <c r="S170" t="s" s="0">
        <v>81</v>
      </c>
      <c r="T170" t="s" s="0">
        <v>81</v>
      </c>
      <c r="U170" t="s" s="0">
        <v>81</v>
      </c>
      <c r="V170" t="s" s="0">
        <v>3895</v>
      </c>
      <c r="W170" t="s" s="0">
        <v>3896</v>
      </c>
      <c r="X170" t="s" s="0">
        <v>81</v>
      </c>
      <c r="Y170" t="s" s="0">
        <v>81</v>
      </c>
      <c r="Z170" t="s" s="0">
        <v>93</v>
      </c>
      <c r="AA170" t="s" s="0">
        <v>94</v>
      </c>
      <c r="AB170" t="s" s="0">
        <v>81</v>
      </c>
      <c r="AC170" t="s" s="0">
        <v>81</v>
      </c>
      <c r="AD170" t="s" s="0">
        <v>81</v>
      </c>
      <c r="AE170" t="s" s="0">
        <v>81</v>
      </c>
      <c r="AF170" t="s" s="0">
        <v>81</v>
      </c>
      <c r="AG170" t="s" s="0">
        <v>3897</v>
      </c>
      <c r="AH170" t="s" s="0">
        <v>3898</v>
      </c>
      <c r="AI170" t="s" s="0">
        <v>3899</v>
      </c>
      <c r="AJ170" t="s" s="0">
        <v>81</v>
      </c>
      <c r="AK170" t="s" s="0">
        <v>81</v>
      </c>
      <c r="AL170" t="s" s="0">
        <v>601</v>
      </c>
      <c r="AM170" t="s" s="0">
        <v>77</v>
      </c>
      <c r="AN170" t="s" s="0">
        <v>77</v>
      </c>
      <c r="AO170" t="s" s="0">
        <v>77</v>
      </c>
      <c r="AP170" t="s" s="0">
        <v>77</v>
      </c>
      <c r="AQ170" t="s" s="0">
        <v>836</v>
      </c>
      <c r="AR170" t="s" s="0">
        <v>837</v>
      </c>
      <c r="AS170" t="s" s="0">
        <v>838</v>
      </c>
      <c r="AT170" t="s" s="0">
        <v>3900</v>
      </c>
      <c r="AU170" t="s" s="0">
        <v>3901</v>
      </c>
      <c r="AV170" t="s" s="0">
        <v>81</v>
      </c>
      <c r="AW170" t="s" s="0">
        <v>3896</v>
      </c>
      <c r="AX170" t="s" s="0">
        <v>3902</v>
      </c>
      <c r="AY170" t="s" s="0">
        <v>2903</v>
      </c>
      <c r="AZ170" t="s" s="0">
        <v>106</v>
      </c>
      <c r="BA170" t="s" s="0">
        <v>3903</v>
      </c>
      <c r="BB170" t="s" s="0">
        <v>81</v>
      </c>
      <c r="BC170" t="s" s="0">
        <v>81</v>
      </c>
      <c r="BD170" t="s" s="0">
        <v>81</v>
      </c>
      <c r="BE170" t="s" s="0">
        <v>81</v>
      </c>
      <c r="BF170" t="s" s="0">
        <v>81</v>
      </c>
      <c r="BG170" t="s" s="0">
        <v>81</v>
      </c>
      <c r="BH170" t="s" s="0">
        <v>81</v>
      </c>
      <c r="BI170" t="s" s="0">
        <v>3904</v>
      </c>
      <c r="BJ170" t="s" s="0">
        <v>3905</v>
      </c>
      <c r="BK170" t="s" s="337">
        <f>HYPERLINK("http://dx.doi.org/10.1016/j.midw.2026.104884","http://dx.doi.org/10.1016/j.midw.2026.104884")</f>
        <v>3906</v>
      </c>
      <c r="BL170" t="s" s="0">
        <v>81</v>
      </c>
      <c r="BM170" t="s" s="0">
        <v>81</v>
      </c>
      <c r="BN170" t="s" s="0">
        <v>511</v>
      </c>
      <c r="BO170" t="s" s="0">
        <v>3054</v>
      </c>
      <c r="BP170" t="s" s="0">
        <v>3054</v>
      </c>
      <c r="BQ170" t="s" s="0">
        <v>3907</v>
      </c>
      <c r="BR170" t="s" s="0">
        <v>3908</v>
      </c>
      <c r="BS170" t="s" s="0">
        <v>3909</v>
      </c>
      <c r="BT170" t="s" s="338">
        <f>HYPERLINK("https://www.webofscience.com/wos/woscc/full-record/WOS:001793838700001","View Record in Web of Science")</f>
        <v>118</v>
      </c>
      <c r="BU170" t="s" s="0">
        <v>877</v>
      </c>
      <c r="BV170" t="s" s="0">
        <v>81</v>
      </c>
      <c r="BW170" t="s" s="0">
        <v>81</v>
      </c>
      <c r="BX170" t="s" s="0">
        <v>120</v>
      </c>
    </row>
    <row r="171">
      <c r="A171" t="s" s="0">
        <v>77</v>
      </c>
      <c r="B171" t="s" s="0">
        <v>77</v>
      </c>
      <c r="C171" t="s" s="0">
        <v>77</v>
      </c>
      <c r="D171" t="s" s="0">
        <v>77</v>
      </c>
      <c r="E171" t="s" s="0">
        <v>3910</v>
      </c>
      <c r="F171" t="s" s="0">
        <v>3911</v>
      </c>
      <c r="G171" t="s" s="0">
        <v>3912</v>
      </c>
      <c r="H171" t="s" s="0">
        <v>81</v>
      </c>
      <c r="I171" t="s" s="0">
        <v>124</v>
      </c>
      <c r="J171" t="s" s="0">
        <v>3913</v>
      </c>
      <c r="K171" t="s" s="0">
        <v>3914</v>
      </c>
      <c r="L171" t="s" s="0">
        <v>3915</v>
      </c>
      <c r="M171" t="s" s="0">
        <v>3916</v>
      </c>
      <c r="N171" t="s" s="0">
        <v>3917</v>
      </c>
      <c r="O171" t="s" s="0">
        <v>3918</v>
      </c>
      <c r="P171" t="s" s="0">
        <v>3919</v>
      </c>
      <c r="Q171" t="s" s="0">
        <v>90</v>
      </c>
      <c r="R171" t="s" s="0">
        <v>81</v>
      </c>
      <c r="S171" t="s" s="0">
        <v>81</v>
      </c>
      <c r="T171" t="s" s="0">
        <v>81</v>
      </c>
      <c r="U171" t="s" s="0">
        <v>81</v>
      </c>
      <c r="V171" t="s" s="0">
        <v>3920</v>
      </c>
      <c r="W171" t="s" s="0">
        <v>3843</v>
      </c>
      <c r="X171" t="s" s="0">
        <v>81</v>
      </c>
      <c r="Y171" t="s" s="0">
        <v>81</v>
      </c>
      <c r="Z171" t="s" s="0">
        <v>93</v>
      </c>
      <c r="AA171" t="s" s="0">
        <v>94</v>
      </c>
      <c r="AB171" t="s" s="0">
        <v>81</v>
      </c>
      <c r="AC171" t="s" s="0">
        <v>81</v>
      </c>
      <c r="AD171" t="s" s="0">
        <v>81</v>
      </c>
      <c r="AE171" t="s" s="0">
        <v>81</v>
      </c>
      <c r="AF171" t="s" s="0">
        <v>81</v>
      </c>
      <c r="AG171" t="s" s="0">
        <v>3921</v>
      </c>
      <c r="AH171" t="s" s="0">
        <v>3922</v>
      </c>
      <c r="AI171" t="s" s="0">
        <v>81</v>
      </c>
      <c r="AJ171" t="s" s="0">
        <v>3923</v>
      </c>
      <c r="AK171" t="s" s="0">
        <v>81</v>
      </c>
      <c r="AL171" t="s" s="0">
        <v>967</v>
      </c>
      <c r="AM171" t="s" s="0">
        <v>77</v>
      </c>
      <c r="AN171" t="s" s="0">
        <v>77</v>
      </c>
      <c r="AO171" t="s" s="0">
        <v>77</v>
      </c>
      <c r="AP171" t="s" s="0">
        <v>77</v>
      </c>
      <c r="AQ171" t="s" s="0">
        <v>3819</v>
      </c>
      <c r="AR171" t="s" s="0">
        <v>3820</v>
      </c>
      <c r="AS171" t="s" s="0">
        <v>3821</v>
      </c>
      <c r="AT171" t="s" s="0">
        <v>81</v>
      </c>
      <c r="AU171" t="s" s="0">
        <v>3846</v>
      </c>
      <c r="AV171" t="s" s="0">
        <v>81</v>
      </c>
      <c r="AW171" t="s" s="0">
        <v>3847</v>
      </c>
      <c r="AX171" t="s" s="0">
        <v>3848</v>
      </c>
      <c r="AY171" t="s" s="0">
        <v>3332</v>
      </c>
      <c r="AZ171" t="s" s="0">
        <v>106</v>
      </c>
      <c r="BA171" t="s" s="0">
        <v>485</v>
      </c>
      <c r="BB171" t="s" s="0">
        <v>340</v>
      </c>
      <c r="BC171" t="s" s="0">
        <v>81</v>
      </c>
      <c r="BD171" t="s" s="0">
        <v>81</v>
      </c>
      <c r="BE171" t="s" s="0">
        <v>81</v>
      </c>
      <c r="BF171" t="s" s="0">
        <v>81</v>
      </c>
      <c r="BG171" t="s" s="0">
        <v>81</v>
      </c>
      <c r="BH171" t="s" s="0">
        <v>81</v>
      </c>
      <c r="BI171" t="s" s="0">
        <v>3825</v>
      </c>
      <c r="BJ171" t="s" s="0">
        <v>3924</v>
      </c>
      <c r="BK171" t="s" s="339">
        <f>HYPERLINK("http://dx.doi.org/10.1088/2516-1091/ae7860","http://dx.doi.org/10.1088/2516-1091/ae7860")</f>
        <v>3925</v>
      </c>
      <c r="BL171" t="s" s="0">
        <v>81</v>
      </c>
      <c r="BM171" t="s" s="0">
        <v>81</v>
      </c>
      <c r="BN171" t="s" s="0">
        <v>316</v>
      </c>
      <c r="BO171" t="s" s="0">
        <v>848</v>
      </c>
      <c r="BP171" t="s" s="0">
        <v>393</v>
      </c>
      <c r="BQ171" t="s" s="0">
        <v>3926</v>
      </c>
      <c r="BR171" t="s" s="0">
        <v>3927</v>
      </c>
      <c r="BS171" t="s" s="0">
        <v>3928</v>
      </c>
      <c r="BT171" t="s" s="340">
        <f>HYPERLINK("https://www.webofscience.com/wos/woscc/full-record/WOS:001794512300001","View Record in Web of Science")</f>
        <v>118</v>
      </c>
      <c r="BU171" t="s" s="0">
        <v>877</v>
      </c>
      <c r="BV171" t="s" s="0">
        <v>81</v>
      </c>
      <c r="BW171" t="s" s="0">
        <v>81</v>
      </c>
      <c r="BX171" t="s" s="0">
        <v>120</v>
      </c>
    </row>
    <row r="172">
      <c r="A172" t="s" s="0">
        <v>77</v>
      </c>
      <c r="B172" t="s" s="0">
        <v>77</v>
      </c>
      <c r="C172" t="s" s="0">
        <v>77</v>
      </c>
      <c r="D172" t="s" s="0">
        <v>77</v>
      </c>
      <c r="E172" t="s" s="0">
        <v>3929</v>
      </c>
      <c r="F172" t="s" s="0">
        <v>3930</v>
      </c>
      <c r="G172" t="s" s="0">
        <v>3931</v>
      </c>
      <c r="H172" t="s" s="0">
        <v>81</v>
      </c>
      <c r="I172" t="s" s="0">
        <v>124</v>
      </c>
      <c r="J172" t="s" s="0">
        <v>3932</v>
      </c>
      <c r="K172" t="s" s="0">
        <v>3933</v>
      </c>
      <c r="L172" t="s" s="0">
        <v>3934</v>
      </c>
      <c r="M172" t="s" s="0">
        <v>3935</v>
      </c>
      <c r="N172" t="s" s="0">
        <v>3936</v>
      </c>
      <c r="O172" t="s" s="0">
        <v>3937</v>
      </c>
      <c r="P172" t="s" s="0">
        <v>3938</v>
      </c>
      <c r="Q172" t="s" s="0">
        <v>90</v>
      </c>
      <c r="R172" t="s" s="0">
        <v>81</v>
      </c>
      <c r="S172" t="s" s="0">
        <v>81</v>
      </c>
      <c r="T172" t="s" s="0">
        <v>81</v>
      </c>
      <c r="U172" t="s" s="0">
        <v>81</v>
      </c>
      <c r="V172" t="s" s="0">
        <v>3939</v>
      </c>
      <c r="W172" t="s" s="0">
        <v>3940</v>
      </c>
      <c r="X172" t="s" s="0">
        <v>81</v>
      </c>
      <c r="Y172" t="s" s="0">
        <v>81</v>
      </c>
      <c r="Z172" t="s" s="0">
        <v>93</v>
      </c>
      <c r="AA172" t="s" s="0">
        <v>94</v>
      </c>
      <c r="AB172" t="s" s="0">
        <v>81</v>
      </c>
      <c r="AC172" t="s" s="0">
        <v>81</v>
      </c>
      <c r="AD172" t="s" s="0">
        <v>81</v>
      </c>
      <c r="AE172" t="s" s="0">
        <v>81</v>
      </c>
      <c r="AF172" t="s" s="0">
        <v>81</v>
      </c>
      <c r="AG172" t="s" s="0">
        <v>3941</v>
      </c>
      <c r="AH172" t="s" s="0">
        <v>3942</v>
      </c>
      <c r="AI172" t="s" s="0">
        <v>3943</v>
      </c>
      <c r="AJ172" t="s" s="0">
        <v>81</v>
      </c>
      <c r="AK172" t="s" s="0">
        <v>81</v>
      </c>
      <c r="AL172" t="s" s="0">
        <v>3944</v>
      </c>
      <c r="AM172" t="s" s="0">
        <v>77</v>
      </c>
      <c r="AN172" t="s" s="0">
        <v>77</v>
      </c>
      <c r="AO172" t="s" s="0">
        <v>108</v>
      </c>
      <c r="AP172" t="s" s="0">
        <v>108</v>
      </c>
      <c r="AQ172" t="s" s="0">
        <v>892</v>
      </c>
      <c r="AR172" t="s" s="0">
        <v>893</v>
      </c>
      <c r="AS172" t="s" s="0">
        <v>894</v>
      </c>
      <c r="AT172" t="s" s="0">
        <v>81</v>
      </c>
      <c r="AU172" t="s" s="0">
        <v>3945</v>
      </c>
      <c r="AV172" t="s" s="0">
        <v>81</v>
      </c>
      <c r="AW172" t="s" s="0">
        <v>3946</v>
      </c>
      <c r="AX172" t="s" s="0">
        <v>3947</v>
      </c>
      <c r="AY172" t="s" s="0">
        <v>2903</v>
      </c>
      <c r="AZ172" t="s" s="0">
        <v>106</v>
      </c>
      <c r="BA172" t="s" s="0">
        <v>193</v>
      </c>
      <c r="BB172" t="s" s="0">
        <v>81</v>
      </c>
      <c r="BC172" t="s" s="0">
        <v>81</v>
      </c>
      <c r="BD172" t="s" s="0">
        <v>81</v>
      </c>
      <c r="BE172" t="s" s="0">
        <v>81</v>
      </c>
      <c r="BF172" t="s" s="0">
        <v>81</v>
      </c>
      <c r="BG172" t="s" s="0">
        <v>81</v>
      </c>
      <c r="BH172" t="s" s="0">
        <v>81</v>
      </c>
      <c r="BI172" t="s" s="0">
        <v>3948</v>
      </c>
      <c r="BJ172" t="s" s="0">
        <v>3949</v>
      </c>
      <c r="BK172" t="s" s="341">
        <f>HYPERLINK("http://dx.doi.org/10.1016/j.iswa.2026.200671","http://dx.doi.org/10.1016/j.iswa.2026.200671")</f>
        <v>3950</v>
      </c>
      <c r="BL172" t="s" s="0">
        <v>81</v>
      </c>
      <c r="BM172" t="s" s="0">
        <v>81</v>
      </c>
      <c r="BN172" t="s" s="0">
        <v>2860</v>
      </c>
      <c r="BO172" t="s" s="0">
        <v>3951</v>
      </c>
      <c r="BP172" t="s" s="0">
        <v>1354</v>
      </c>
      <c r="BQ172" t="s" s="0">
        <v>3952</v>
      </c>
      <c r="BR172" t="s" s="0">
        <v>81</v>
      </c>
      <c r="BS172" t="s" s="0">
        <v>3953</v>
      </c>
      <c r="BT172" t="s" s="342">
        <f>HYPERLINK("https://www.webofscience.com/wos/woscc/full-record/WOS:001791532400001","View Record in Web of Science")</f>
        <v>118</v>
      </c>
      <c r="BU172" t="s" s="0">
        <v>119</v>
      </c>
      <c r="BV172" t="s" s="0">
        <v>81</v>
      </c>
      <c r="BW172" t="s" s="0">
        <v>81</v>
      </c>
      <c r="BX172" t="s" s="0">
        <v>120</v>
      </c>
    </row>
    <row r="173">
      <c r="A173" t="s" s="0">
        <v>77</v>
      </c>
      <c r="B173" t="s" s="0">
        <v>77</v>
      </c>
      <c r="C173" t="s" s="0">
        <v>77</v>
      </c>
      <c r="D173" t="s" s="0">
        <v>77</v>
      </c>
      <c r="E173" t="s" s="0">
        <v>3954</v>
      </c>
      <c r="F173" t="s" s="0">
        <v>3955</v>
      </c>
      <c r="G173" t="s" s="0">
        <v>3956</v>
      </c>
      <c r="H173" t="s" s="0">
        <v>81</v>
      </c>
      <c r="I173" t="s" s="0">
        <v>82</v>
      </c>
      <c r="J173" t="s" s="0">
        <v>3957</v>
      </c>
      <c r="K173" t="s" s="0">
        <v>3958</v>
      </c>
      <c r="L173" t="s" s="0">
        <v>3959</v>
      </c>
      <c r="M173" t="s" s="0">
        <v>3960</v>
      </c>
      <c r="N173" t="s" s="0">
        <v>3961</v>
      </c>
      <c r="O173" t="s" s="0">
        <v>3962</v>
      </c>
      <c r="P173" t="s" s="0">
        <v>3963</v>
      </c>
      <c r="Q173" t="s" s="0">
        <v>90</v>
      </c>
      <c r="R173" t="s" s="0">
        <v>81</v>
      </c>
      <c r="S173" t="s" s="0">
        <v>81</v>
      </c>
      <c r="T173" t="s" s="0">
        <v>81</v>
      </c>
      <c r="U173" t="s" s="0">
        <v>81</v>
      </c>
      <c r="V173" t="s" s="0">
        <v>3964</v>
      </c>
      <c r="W173" t="s" s="0">
        <v>3817</v>
      </c>
      <c r="X173" t="s" s="0">
        <v>81</v>
      </c>
      <c r="Y173" t="s" s="0">
        <v>81</v>
      </c>
      <c r="Z173" t="s" s="0">
        <v>93</v>
      </c>
      <c r="AA173" t="s" s="0">
        <v>94</v>
      </c>
      <c r="AB173" t="s" s="0">
        <v>81</v>
      </c>
      <c r="AC173" t="s" s="0">
        <v>81</v>
      </c>
      <c r="AD173" t="s" s="0">
        <v>81</v>
      </c>
      <c r="AE173" t="s" s="0">
        <v>81</v>
      </c>
      <c r="AF173" t="s" s="0">
        <v>81</v>
      </c>
      <c r="AG173" t="s" s="0">
        <v>3965</v>
      </c>
      <c r="AH173" t="s" s="0">
        <v>3966</v>
      </c>
      <c r="AI173" t="s" s="0">
        <v>3967</v>
      </c>
      <c r="AJ173" t="s" s="0">
        <v>81</v>
      </c>
      <c r="AK173" t="s" s="0">
        <v>81</v>
      </c>
      <c r="AL173" t="s" s="0">
        <v>3968</v>
      </c>
      <c r="AM173" t="s" s="0">
        <v>77</v>
      </c>
      <c r="AN173" t="s" s="0">
        <v>77</v>
      </c>
      <c r="AO173" t="s" s="0">
        <v>720</v>
      </c>
      <c r="AP173" t="s" s="0">
        <v>720</v>
      </c>
      <c r="AQ173" t="s" s="0">
        <v>3819</v>
      </c>
      <c r="AR173" t="s" s="0">
        <v>3820</v>
      </c>
      <c r="AS173" t="s" s="0">
        <v>3821</v>
      </c>
      <c r="AT173" t="s" s="0">
        <v>3822</v>
      </c>
      <c r="AU173" t="s" s="0">
        <v>3823</v>
      </c>
      <c r="AV173" t="s" s="0">
        <v>81</v>
      </c>
      <c r="AW173" t="s" s="0">
        <v>3817</v>
      </c>
      <c r="AX173" t="s" s="0">
        <v>3824</v>
      </c>
      <c r="AY173" t="s" s="0">
        <v>3332</v>
      </c>
      <c r="AZ173" t="s" s="0">
        <v>106</v>
      </c>
      <c r="BA173" t="s" s="0">
        <v>438</v>
      </c>
      <c r="BB173" t="s" s="0">
        <v>340</v>
      </c>
      <c r="BC173" t="s" s="0">
        <v>81</v>
      </c>
      <c r="BD173" t="s" s="0">
        <v>81</v>
      </c>
      <c r="BE173" t="s" s="0">
        <v>81</v>
      </c>
      <c r="BF173" t="s" s="0">
        <v>81</v>
      </c>
      <c r="BG173" t="s" s="0">
        <v>81</v>
      </c>
      <c r="BH173" t="s" s="0">
        <v>81</v>
      </c>
      <c r="BI173" t="s" s="0">
        <v>3969</v>
      </c>
      <c r="BJ173" t="s" s="0">
        <v>3970</v>
      </c>
      <c r="BK173" t="s" s="343">
        <f>HYPERLINK("http://dx.doi.org/10.1088/1758-5090/ae6ad0","http://dx.doi.org/10.1088/1758-5090/ae6ad0")</f>
        <v>3971</v>
      </c>
      <c r="BL173" t="s" s="0">
        <v>81</v>
      </c>
      <c r="BM173" t="s" s="0">
        <v>81</v>
      </c>
      <c r="BN173" t="s" s="0">
        <v>225</v>
      </c>
      <c r="BO173" t="s" s="0">
        <v>3828</v>
      </c>
      <c r="BP173" t="s" s="0">
        <v>3829</v>
      </c>
      <c r="BQ173" t="s" s="0">
        <v>3972</v>
      </c>
      <c r="BR173" t="s" s="0">
        <v>3973</v>
      </c>
      <c r="BS173" t="s" s="0">
        <v>3974</v>
      </c>
      <c r="BT173" t="s" s="344">
        <f>HYPERLINK("https://www.webofscience.com/wos/woscc/full-record/WOS:001791076700001","View Record in Web of Science")</f>
        <v>118</v>
      </c>
      <c r="BU173" t="s" s="0">
        <v>877</v>
      </c>
      <c r="BV173" t="s" s="0">
        <v>81</v>
      </c>
      <c r="BW173" t="s" s="0">
        <v>81</v>
      </c>
      <c r="BX173" t="s" s="0">
        <v>120</v>
      </c>
    </row>
    <row r="174">
      <c r="A174" t="s" s="0">
        <v>77</v>
      </c>
      <c r="B174" t="s" s="0">
        <v>77</v>
      </c>
      <c r="C174" t="s" s="0">
        <v>77</v>
      </c>
      <c r="D174" t="s" s="0">
        <v>77</v>
      </c>
      <c r="E174" t="s" s="0">
        <v>3975</v>
      </c>
      <c r="F174" t="s" s="0">
        <v>3976</v>
      </c>
      <c r="G174" t="s" s="0">
        <v>3977</v>
      </c>
      <c r="H174" t="s" s="0">
        <v>81</v>
      </c>
      <c r="I174" t="s" s="0">
        <v>124</v>
      </c>
      <c r="J174" t="s" s="0">
        <v>3978</v>
      </c>
      <c r="K174" t="s" s="0">
        <v>3979</v>
      </c>
      <c r="L174" t="s" s="0">
        <v>3980</v>
      </c>
      <c r="M174" t="s" s="0">
        <v>3980</v>
      </c>
      <c r="N174" t="s" s="0">
        <v>3981</v>
      </c>
      <c r="O174" t="s" s="0">
        <v>3982</v>
      </c>
      <c r="P174" t="s" s="0">
        <v>3983</v>
      </c>
      <c r="Q174" t="s" s="0">
        <v>90</v>
      </c>
      <c r="R174" t="s" s="0">
        <v>81</v>
      </c>
      <c r="S174" t="s" s="0">
        <v>81</v>
      </c>
      <c r="T174" t="s" s="0">
        <v>81</v>
      </c>
      <c r="U174" t="s" s="0">
        <v>81</v>
      </c>
      <c r="V174" t="s" s="0">
        <v>3984</v>
      </c>
      <c r="W174" t="s" s="0">
        <v>3985</v>
      </c>
      <c r="X174" t="s" s="0">
        <v>81</v>
      </c>
      <c r="Y174" t="s" s="0">
        <v>81</v>
      </c>
      <c r="Z174" t="s" s="0">
        <v>93</v>
      </c>
      <c r="AA174" t="s" s="0">
        <v>94</v>
      </c>
      <c r="AB174" t="s" s="0">
        <v>81</v>
      </c>
      <c r="AC174" t="s" s="0">
        <v>81</v>
      </c>
      <c r="AD174" t="s" s="0">
        <v>81</v>
      </c>
      <c r="AE174" t="s" s="0">
        <v>81</v>
      </c>
      <c r="AF174" t="s" s="0">
        <v>81</v>
      </c>
      <c r="AG174" t="s" s="0">
        <v>3986</v>
      </c>
      <c r="AH174" t="s" s="0">
        <v>3987</v>
      </c>
      <c r="AI174" t="s" s="0">
        <v>3988</v>
      </c>
      <c r="AJ174" t="s" s="0">
        <v>81</v>
      </c>
      <c r="AK174" t="s" s="0">
        <v>81</v>
      </c>
      <c r="AL174" t="s" s="0">
        <v>1400</v>
      </c>
      <c r="AM174" t="s" s="0">
        <v>108</v>
      </c>
      <c r="AN174" t="s" s="0">
        <v>108</v>
      </c>
      <c r="AO174" t="s" s="0">
        <v>340</v>
      </c>
      <c r="AP174" t="s" s="0">
        <v>340</v>
      </c>
      <c r="AQ174" t="s" s="0">
        <v>892</v>
      </c>
      <c r="AR174" t="s" s="0">
        <v>893</v>
      </c>
      <c r="AS174" t="s" s="0">
        <v>894</v>
      </c>
      <c r="AT174" t="s" s="0">
        <v>81</v>
      </c>
      <c r="AU174" t="s" s="0">
        <v>3989</v>
      </c>
      <c r="AV174" t="s" s="0">
        <v>81</v>
      </c>
      <c r="AW174" t="s" s="0">
        <v>3990</v>
      </c>
      <c r="AX174" t="s" s="0">
        <v>3991</v>
      </c>
      <c r="AY174" t="s" s="0">
        <v>2903</v>
      </c>
      <c r="AZ174" t="s" s="0">
        <v>106</v>
      </c>
      <c r="BA174" t="s" s="0">
        <v>2904</v>
      </c>
      <c r="BB174" t="s" s="0">
        <v>81</v>
      </c>
      <c r="BC174" t="s" s="0">
        <v>81</v>
      </c>
      <c r="BD174" t="s" s="0">
        <v>81</v>
      </c>
      <c r="BE174" t="s" s="0">
        <v>81</v>
      </c>
      <c r="BF174" t="s" s="0">
        <v>81</v>
      </c>
      <c r="BG174" t="s" s="0">
        <v>81</v>
      </c>
      <c r="BH174" t="s" s="0">
        <v>81</v>
      </c>
      <c r="BI174" t="s" s="0">
        <v>3992</v>
      </c>
      <c r="BJ174" t="s" s="0">
        <v>3993</v>
      </c>
      <c r="BK174" t="s" s="345">
        <f>HYPERLINK("http://dx.doi.org/10.1016/j.genrep.2026.102545","http://dx.doi.org/10.1016/j.genrep.2026.102545")</f>
        <v>3994</v>
      </c>
      <c r="BL174" t="s" s="0">
        <v>81</v>
      </c>
      <c r="BM174" t="s" s="0">
        <v>81</v>
      </c>
      <c r="BN174" t="s" s="0">
        <v>485</v>
      </c>
      <c r="BO174" t="s" s="0">
        <v>3995</v>
      </c>
      <c r="BP174" t="s" s="0">
        <v>3995</v>
      </c>
      <c r="BQ174" t="s" s="0">
        <v>3996</v>
      </c>
      <c r="BR174" t="s" s="0">
        <v>81</v>
      </c>
      <c r="BS174" t="s" s="0">
        <v>3997</v>
      </c>
      <c r="BT174" t="s" s="346">
        <f>HYPERLINK("https://www.webofscience.com/wos/woscc/full-record/WOS:001791047500001","View Record in Web of Science")</f>
        <v>118</v>
      </c>
      <c r="BU174" t="s" s="0">
        <v>81</v>
      </c>
      <c r="BV174" t="s" s="0">
        <v>81</v>
      </c>
      <c r="BW174" t="s" s="0">
        <v>81</v>
      </c>
      <c r="BX174" t="s" s="0">
        <v>120</v>
      </c>
    </row>
    <row r="175">
      <c r="A175" t="s" s="0">
        <v>77</v>
      </c>
      <c r="B175" t="s" s="0">
        <v>77</v>
      </c>
      <c r="C175" t="s" s="0">
        <v>77</v>
      </c>
      <c r="D175" t="s" s="0">
        <v>77</v>
      </c>
      <c r="E175" t="s" s="0">
        <v>3998</v>
      </c>
      <c r="F175" t="s" s="0">
        <v>3999</v>
      </c>
      <c r="G175" t="s" s="0">
        <v>4000</v>
      </c>
      <c r="H175" t="s" s="0">
        <v>81</v>
      </c>
      <c r="I175" t="s" s="0">
        <v>82</v>
      </c>
      <c r="J175" t="s" s="0">
        <v>4001</v>
      </c>
      <c r="K175" t="s" s="0">
        <v>4002</v>
      </c>
      <c r="L175" t="s" s="0">
        <v>4003</v>
      </c>
      <c r="M175" t="s" s="0">
        <v>4004</v>
      </c>
      <c r="N175" t="s" s="0">
        <v>4005</v>
      </c>
      <c r="O175" t="s" s="0">
        <v>4006</v>
      </c>
      <c r="P175" t="s" s="0">
        <v>4007</v>
      </c>
      <c r="Q175" t="s" s="0">
        <v>90</v>
      </c>
      <c r="R175" t="s" s="0">
        <v>81</v>
      </c>
      <c r="S175" t="s" s="0">
        <v>81</v>
      </c>
      <c r="T175" t="s" s="0">
        <v>81</v>
      </c>
      <c r="U175" t="s" s="0">
        <v>81</v>
      </c>
      <c r="V175" t="s" s="0">
        <v>4008</v>
      </c>
      <c r="W175" t="s" s="0">
        <v>1416</v>
      </c>
      <c r="X175" t="s" s="0">
        <v>81</v>
      </c>
      <c r="Y175" t="s" s="0">
        <v>81</v>
      </c>
      <c r="Z175" t="s" s="0">
        <v>93</v>
      </c>
      <c r="AA175" t="s" s="0">
        <v>94</v>
      </c>
      <c r="AB175" t="s" s="0">
        <v>81</v>
      </c>
      <c r="AC175" t="s" s="0">
        <v>81</v>
      </c>
      <c r="AD175" t="s" s="0">
        <v>81</v>
      </c>
      <c r="AE175" t="s" s="0">
        <v>81</v>
      </c>
      <c r="AF175" t="s" s="0">
        <v>81</v>
      </c>
      <c r="AG175" t="s" s="0">
        <v>4009</v>
      </c>
      <c r="AH175" t="s" s="0">
        <v>4010</v>
      </c>
      <c r="AI175" t="s" s="0">
        <v>4011</v>
      </c>
      <c r="AJ175" t="s" s="0">
        <v>81</v>
      </c>
      <c r="AK175" t="s" s="0">
        <v>81</v>
      </c>
      <c r="AL175" t="s" s="0">
        <v>4012</v>
      </c>
      <c r="AM175" t="s" s="0">
        <v>77</v>
      </c>
      <c r="AN175" t="s" s="0">
        <v>77</v>
      </c>
      <c r="AO175" t="s" s="0">
        <v>461</v>
      </c>
      <c r="AP175" t="s" s="0">
        <v>461</v>
      </c>
      <c r="AQ175" t="s" s="0">
        <v>836</v>
      </c>
      <c r="AR175" t="s" s="0">
        <v>837</v>
      </c>
      <c r="AS175" t="s" s="0">
        <v>838</v>
      </c>
      <c r="AT175" t="s" s="0">
        <v>1419</v>
      </c>
      <c r="AU175" t="s" s="0">
        <v>1420</v>
      </c>
      <c r="AV175" t="s" s="0">
        <v>81</v>
      </c>
      <c r="AW175" t="s" s="0">
        <v>1421</v>
      </c>
      <c r="AX175" t="s" s="0">
        <v>1422</v>
      </c>
      <c r="AY175" t="s" s="0">
        <v>2903</v>
      </c>
      <c r="AZ175" t="s" s="0">
        <v>106</v>
      </c>
      <c r="BA175" t="s" s="0">
        <v>751</v>
      </c>
      <c r="BB175" t="s" s="0">
        <v>81</v>
      </c>
      <c r="BC175" t="s" s="0">
        <v>81</v>
      </c>
      <c r="BD175" t="s" s="0">
        <v>81</v>
      </c>
      <c r="BE175" t="s" s="0">
        <v>81</v>
      </c>
      <c r="BF175" t="s" s="0">
        <v>81</v>
      </c>
      <c r="BG175" t="s" s="0">
        <v>81</v>
      </c>
      <c r="BH175" t="s" s="0">
        <v>81</v>
      </c>
      <c r="BI175" t="s" s="0">
        <v>4013</v>
      </c>
      <c r="BJ175" t="s" s="0">
        <v>4014</v>
      </c>
      <c r="BK175" t="s" s="347">
        <f>HYPERLINK("http://dx.doi.org/10.1016/j.trac.2026.118930","http://dx.doi.org/10.1016/j.trac.2026.118930")</f>
        <v>4015</v>
      </c>
      <c r="BL175" t="s" s="0">
        <v>81</v>
      </c>
      <c r="BM175" t="s" s="0">
        <v>81</v>
      </c>
      <c r="BN175" t="s" s="0">
        <v>668</v>
      </c>
      <c r="BO175" t="s" s="0">
        <v>1427</v>
      </c>
      <c r="BP175" t="s" s="0">
        <v>1328</v>
      </c>
      <c r="BQ175" t="s" s="0">
        <v>4016</v>
      </c>
      <c r="BR175" t="s" s="0">
        <v>81</v>
      </c>
      <c r="BS175" t="s" s="0">
        <v>4017</v>
      </c>
      <c r="BT175" t="s" s="348">
        <f>HYPERLINK("https://www.webofscience.com/wos/woscc/full-record/WOS:001785823400001","View Record in Web of Science")</f>
        <v>118</v>
      </c>
      <c r="BU175" t="s" s="0">
        <v>877</v>
      </c>
      <c r="BV175" t="s" s="0">
        <v>81</v>
      </c>
      <c r="BW175" t="s" s="0">
        <v>81</v>
      </c>
      <c r="BX175" t="s" s="0">
        <v>120</v>
      </c>
    </row>
    <row r="176">
      <c r="A176" t="s" s="0">
        <v>77</v>
      </c>
      <c r="B176" t="s" s="0">
        <v>77</v>
      </c>
      <c r="C176" t="s" s="0">
        <v>77</v>
      </c>
      <c r="D176" t="s" s="0">
        <v>77</v>
      </c>
      <c r="E176" t="s" s="0">
        <v>4018</v>
      </c>
      <c r="F176" t="s" s="0">
        <v>4019</v>
      </c>
      <c r="G176" t="s" s="0">
        <v>4020</v>
      </c>
      <c r="H176" t="s" s="0">
        <v>81</v>
      </c>
      <c r="I176" t="s" s="0">
        <v>82</v>
      </c>
      <c r="J176" t="s" s="0">
        <v>4021</v>
      </c>
      <c r="K176" t="s" s="0">
        <v>4022</v>
      </c>
      <c r="L176" t="s" s="0">
        <v>4023</v>
      </c>
      <c r="M176" t="s" s="0">
        <v>4024</v>
      </c>
      <c r="N176" t="s" s="0">
        <v>4025</v>
      </c>
      <c r="O176" t="s" s="0">
        <v>4026</v>
      </c>
      <c r="P176" t="s" s="0">
        <v>4027</v>
      </c>
      <c r="Q176" t="s" s="0">
        <v>90</v>
      </c>
      <c r="R176" t="s" s="0">
        <v>81</v>
      </c>
      <c r="S176" t="s" s="0">
        <v>81</v>
      </c>
      <c r="T176" t="s" s="0">
        <v>81</v>
      </c>
      <c r="U176" t="s" s="0">
        <v>81</v>
      </c>
      <c r="V176" t="s" s="0">
        <v>4028</v>
      </c>
      <c r="W176" t="s" s="0">
        <v>1678</v>
      </c>
      <c r="X176" t="s" s="0">
        <v>81</v>
      </c>
      <c r="Y176" t="s" s="0">
        <v>81</v>
      </c>
      <c r="Z176" t="s" s="0">
        <v>93</v>
      </c>
      <c r="AA176" t="s" s="0">
        <v>94</v>
      </c>
      <c r="AB176" t="s" s="0">
        <v>81</v>
      </c>
      <c r="AC176" t="s" s="0">
        <v>81</v>
      </c>
      <c r="AD176" t="s" s="0">
        <v>81</v>
      </c>
      <c r="AE176" t="s" s="0">
        <v>81</v>
      </c>
      <c r="AF176" t="s" s="0">
        <v>81</v>
      </c>
      <c r="AG176" t="s" s="0">
        <v>4029</v>
      </c>
      <c r="AH176" t="s" s="0">
        <v>4030</v>
      </c>
      <c r="AI176" t="s" s="0">
        <v>81</v>
      </c>
      <c r="AJ176" t="s" s="0">
        <v>81</v>
      </c>
      <c r="AK176" t="s" s="0">
        <v>81</v>
      </c>
      <c r="AL176" t="s" s="0">
        <v>221</v>
      </c>
      <c r="AM176" t="s" s="0">
        <v>108</v>
      </c>
      <c r="AN176" t="s" s="0">
        <v>108</v>
      </c>
      <c r="AO176" t="s" s="0">
        <v>77</v>
      </c>
      <c r="AP176" t="s" s="0">
        <v>77</v>
      </c>
      <c r="AQ176" t="s" s="0">
        <v>1224</v>
      </c>
      <c r="AR176" t="s" s="0">
        <v>1225</v>
      </c>
      <c r="AS176" t="s" s="0">
        <v>1226</v>
      </c>
      <c r="AT176" t="s" s="0">
        <v>1681</v>
      </c>
      <c r="AU176" t="s" s="0">
        <v>1682</v>
      </c>
      <c r="AV176" t="s" s="0">
        <v>81</v>
      </c>
      <c r="AW176" t="s" s="0">
        <v>1683</v>
      </c>
      <c r="AX176" t="s" s="0">
        <v>1684</v>
      </c>
      <c r="AY176" t="s" s="0">
        <v>2903</v>
      </c>
      <c r="AZ176" t="s" s="0">
        <v>106</v>
      </c>
      <c r="BA176" t="s" s="0">
        <v>4031</v>
      </c>
      <c r="BB176" t="s" s="0">
        <v>81</v>
      </c>
      <c r="BC176" t="s" s="0">
        <v>81</v>
      </c>
      <c r="BD176" t="s" s="0">
        <v>81</v>
      </c>
      <c r="BE176" t="s" s="0">
        <v>81</v>
      </c>
      <c r="BF176" t="s" s="0">
        <v>81</v>
      </c>
      <c r="BG176" t="s" s="0">
        <v>81</v>
      </c>
      <c r="BH176" t="s" s="0">
        <v>81</v>
      </c>
      <c r="BI176" t="s" s="0">
        <v>4032</v>
      </c>
      <c r="BJ176" t="s" s="0">
        <v>4033</v>
      </c>
      <c r="BK176" t="s" s="349">
        <f>HYPERLINK("http://dx.doi.org/10.1016/j.cmpb.2026.109460","http://dx.doi.org/10.1016/j.cmpb.2026.109460")</f>
        <v>4034</v>
      </c>
      <c r="BL176" t="s" s="0">
        <v>81</v>
      </c>
      <c r="BM176" t="s" s="0">
        <v>81</v>
      </c>
      <c r="BN176" t="s" s="0">
        <v>363</v>
      </c>
      <c r="BO176" t="s" s="0">
        <v>1689</v>
      </c>
      <c r="BP176" t="s" s="0">
        <v>1449</v>
      </c>
      <c r="BQ176" t="s" s="0">
        <v>4035</v>
      </c>
      <c r="BR176" t="s" s="0">
        <v>4036</v>
      </c>
      <c r="BS176" t="s" s="0">
        <v>4037</v>
      </c>
      <c r="BT176" t="s" s="350">
        <f>HYPERLINK("https://www.webofscience.com/wos/woscc/full-record/WOS:001782745800001","View Record in Web of Science")</f>
        <v>118</v>
      </c>
      <c r="BU176" t="s" s="0">
        <v>4038</v>
      </c>
      <c r="BV176" t="s" s="0">
        <v>81</v>
      </c>
      <c r="BW176" t="s" s="0">
        <v>81</v>
      </c>
      <c r="BX176" t="s" s="0">
        <v>120</v>
      </c>
    </row>
    <row r="177">
      <c r="A177" t="s" s="0">
        <v>77</v>
      </c>
      <c r="B177" t="s" s="0">
        <v>77</v>
      </c>
      <c r="C177" t="s" s="0">
        <v>77</v>
      </c>
      <c r="D177" t="s" s="0">
        <v>77</v>
      </c>
      <c r="E177" t="s" s="0">
        <v>4039</v>
      </c>
      <c r="F177" t="s" s="0">
        <v>4040</v>
      </c>
      <c r="G177" t="s" s="0">
        <v>4041</v>
      </c>
      <c r="H177" t="s" s="0">
        <v>81</v>
      </c>
      <c r="I177" t="s" s="0">
        <v>82</v>
      </c>
      <c r="J177" t="s" s="0">
        <v>4042</v>
      </c>
      <c r="K177" t="s" s="0">
        <v>4043</v>
      </c>
      <c r="L177" t="s" s="0">
        <v>81</v>
      </c>
      <c r="M177" t="s" s="0">
        <v>81</v>
      </c>
      <c r="N177" t="s" s="0">
        <v>81</v>
      </c>
      <c r="O177" t="s" s="0">
        <v>4044</v>
      </c>
      <c r="P177" t="s" s="0">
        <v>4045</v>
      </c>
      <c r="Q177" t="s" s="0">
        <v>90</v>
      </c>
      <c r="R177" t="s" s="0">
        <v>81</v>
      </c>
      <c r="S177" t="s" s="0">
        <v>81</v>
      </c>
      <c r="T177" t="s" s="0">
        <v>81</v>
      </c>
      <c r="U177" t="s" s="0">
        <v>81</v>
      </c>
      <c r="V177" t="s" s="0">
        <v>4046</v>
      </c>
      <c r="W177" t="s" s="0">
        <v>4047</v>
      </c>
      <c r="X177" t="s" s="0">
        <v>81</v>
      </c>
      <c r="Y177" t="s" s="0">
        <v>81</v>
      </c>
      <c r="Z177" t="s" s="0">
        <v>93</v>
      </c>
      <c r="AA177" t="s" s="0">
        <v>94</v>
      </c>
      <c r="AB177" t="s" s="0">
        <v>81</v>
      </c>
      <c r="AC177" t="s" s="0">
        <v>81</v>
      </c>
      <c r="AD177" t="s" s="0">
        <v>81</v>
      </c>
      <c r="AE177" t="s" s="0">
        <v>81</v>
      </c>
      <c r="AF177" t="s" s="0">
        <v>81</v>
      </c>
      <c r="AG177" t="s" s="0">
        <v>4048</v>
      </c>
      <c r="AH177" t="s" s="0">
        <v>81</v>
      </c>
      <c r="AI177" t="s" s="0">
        <v>81</v>
      </c>
      <c r="AJ177" t="s" s="0">
        <v>81</v>
      </c>
      <c r="AK177" t="s" s="0">
        <v>81</v>
      </c>
      <c r="AL177" t="s" s="0">
        <v>225</v>
      </c>
      <c r="AM177" t="s" s="0">
        <v>108</v>
      </c>
      <c r="AN177" t="s" s="0">
        <v>108</v>
      </c>
      <c r="AO177" t="s" s="0">
        <v>77</v>
      </c>
      <c r="AP177" t="s" s="0">
        <v>77</v>
      </c>
      <c r="AQ177" t="s" s="0">
        <v>4049</v>
      </c>
      <c r="AR177" t="s" s="0">
        <v>4050</v>
      </c>
      <c r="AS177" t="s" s="0">
        <v>4051</v>
      </c>
      <c r="AT177" t="s" s="0">
        <v>4052</v>
      </c>
      <c r="AU177" t="s" s="0">
        <v>4053</v>
      </c>
      <c r="AV177" t="s" s="0">
        <v>81</v>
      </c>
      <c r="AW177" t="s" s="0">
        <v>4054</v>
      </c>
      <c r="AX177" t="s" s="0">
        <v>4055</v>
      </c>
      <c r="AY177" t="s" s="0">
        <v>2903</v>
      </c>
      <c r="AZ177" t="s" s="0">
        <v>106</v>
      </c>
      <c r="BA177" t="s" s="0">
        <v>4056</v>
      </c>
      <c r="BB177" t="s" s="0">
        <v>81</v>
      </c>
      <c r="BC177" t="s" s="0">
        <v>81</v>
      </c>
      <c r="BD177" t="s" s="0">
        <v>81</v>
      </c>
      <c r="BE177" t="s" s="0">
        <v>81</v>
      </c>
      <c r="BF177" t="s" s="0">
        <v>81</v>
      </c>
      <c r="BG177" t="s" s="0">
        <v>81</v>
      </c>
      <c r="BH177" t="s" s="0">
        <v>81</v>
      </c>
      <c r="BI177" t="s" s="0">
        <v>4057</v>
      </c>
      <c r="BJ177" t="s" s="0">
        <v>4058</v>
      </c>
      <c r="BK177" t="s" s="351">
        <f>HYPERLINK("http://dx.doi.org/10.1016/j.amjsurg.2026.117029","http://dx.doi.org/10.1016/j.amjsurg.2026.117029")</f>
        <v>4059</v>
      </c>
      <c r="BL177" t="s" s="0">
        <v>81</v>
      </c>
      <c r="BM177" t="s" s="0">
        <v>81</v>
      </c>
      <c r="BN177" t="s" s="0">
        <v>434</v>
      </c>
      <c r="BO177" t="s" s="0">
        <v>198</v>
      </c>
      <c r="BP177" t="s" s="0">
        <v>198</v>
      </c>
      <c r="BQ177" t="s" s="0">
        <v>4060</v>
      </c>
      <c r="BR177" t="s" s="0">
        <v>4061</v>
      </c>
      <c r="BS177" t="s" s="0">
        <v>4062</v>
      </c>
      <c r="BT177" t="s" s="352">
        <f>HYPERLINK("https://www.webofscience.com/wos/woscc/full-record/WOS:001779341600001","View Record in Web of Science")</f>
        <v>118</v>
      </c>
      <c r="BU177" t="s" s="0">
        <v>877</v>
      </c>
      <c r="BV177" t="s" s="0">
        <v>81</v>
      </c>
      <c r="BW177" t="s" s="0">
        <v>81</v>
      </c>
      <c r="BX177" t="s" s="0">
        <v>120</v>
      </c>
    </row>
    <row r="178">
      <c r="A178" t="s" s="0">
        <v>77</v>
      </c>
      <c r="B178" t="s" s="0">
        <v>77</v>
      </c>
      <c r="C178" t="s" s="0">
        <v>77</v>
      </c>
      <c r="D178" t="s" s="0">
        <v>77</v>
      </c>
      <c r="E178" t="s" s="0">
        <v>4063</v>
      </c>
      <c r="F178" t="s" s="0">
        <v>4064</v>
      </c>
      <c r="G178" t="s" s="0">
        <v>4065</v>
      </c>
      <c r="H178" t="s" s="0">
        <v>81</v>
      </c>
      <c r="I178" t="s" s="0">
        <v>82</v>
      </c>
      <c r="J178" t="s" s="0">
        <v>4066</v>
      </c>
      <c r="K178" t="s" s="0">
        <v>4067</v>
      </c>
      <c r="L178" t="s" s="0">
        <v>81</v>
      </c>
      <c r="M178" t="s" s="0">
        <v>81</v>
      </c>
      <c r="N178" t="s" s="0">
        <v>81</v>
      </c>
      <c r="O178" t="s" s="0">
        <v>4068</v>
      </c>
      <c r="P178" t="s" s="0">
        <v>2029</v>
      </c>
      <c r="Q178" t="s" s="0">
        <v>90</v>
      </c>
      <c r="R178" t="s" s="0">
        <v>81</v>
      </c>
      <c r="S178" t="s" s="0">
        <v>81</v>
      </c>
      <c r="T178" t="s" s="0">
        <v>81</v>
      </c>
      <c r="U178" t="s" s="0">
        <v>81</v>
      </c>
      <c r="V178" t="s" s="0">
        <v>4069</v>
      </c>
      <c r="W178" t="s" s="0">
        <v>1437</v>
      </c>
      <c r="X178" t="s" s="0">
        <v>81</v>
      </c>
      <c r="Y178" t="s" s="0">
        <v>81</v>
      </c>
      <c r="Z178" t="s" s="0">
        <v>93</v>
      </c>
      <c r="AA178" t="s" s="0">
        <v>94</v>
      </c>
      <c r="AB178" t="s" s="0">
        <v>81</v>
      </c>
      <c r="AC178" t="s" s="0">
        <v>81</v>
      </c>
      <c r="AD178" t="s" s="0">
        <v>81</v>
      </c>
      <c r="AE178" t="s" s="0">
        <v>81</v>
      </c>
      <c r="AF178" t="s" s="0">
        <v>81</v>
      </c>
      <c r="AG178" t="s" s="0">
        <v>4070</v>
      </c>
      <c r="AH178" t="s" s="0">
        <v>4071</v>
      </c>
      <c r="AI178" t="s" s="0">
        <v>4072</v>
      </c>
      <c r="AJ178" t="s" s="0">
        <v>81</v>
      </c>
      <c r="AK178" t="s" s="0">
        <v>81</v>
      </c>
      <c r="AL178" t="s" s="0">
        <v>2728</v>
      </c>
      <c r="AM178" t="s" s="0">
        <v>77</v>
      </c>
      <c r="AN178" t="s" s="0">
        <v>77</v>
      </c>
      <c r="AO178" t="s" s="0">
        <v>340</v>
      </c>
      <c r="AP178" t="s" s="0">
        <v>340</v>
      </c>
      <c r="AQ178" t="s" s="0">
        <v>892</v>
      </c>
      <c r="AR178" t="s" s="0">
        <v>893</v>
      </c>
      <c r="AS178" t="s" s="0">
        <v>894</v>
      </c>
      <c r="AT178" t="s" s="0">
        <v>1441</v>
      </c>
      <c r="AU178" t="s" s="0">
        <v>1442</v>
      </c>
      <c r="AV178" t="s" s="0">
        <v>81</v>
      </c>
      <c r="AW178" t="s" s="0">
        <v>1443</v>
      </c>
      <c r="AX178" t="s" s="0">
        <v>1444</v>
      </c>
      <c r="AY178" t="s" s="0">
        <v>2903</v>
      </c>
      <c r="AZ178" t="s" s="0">
        <v>106</v>
      </c>
      <c r="BA178" t="s" s="0">
        <v>4073</v>
      </c>
      <c r="BB178" t="s" s="0">
        <v>81</v>
      </c>
      <c r="BC178" t="s" s="0">
        <v>81</v>
      </c>
      <c r="BD178" t="s" s="0">
        <v>81</v>
      </c>
      <c r="BE178" t="s" s="0">
        <v>81</v>
      </c>
      <c r="BF178" t="s" s="0">
        <v>81</v>
      </c>
      <c r="BG178" t="s" s="0">
        <v>81</v>
      </c>
      <c r="BH178" t="s" s="0">
        <v>81</v>
      </c>
      <c r="BI178" t="s" s="0">
        <v>4074</v>
      </c>
      <c r="BJ178" t="s" s="0">
        <v>4075</v>
      </c>
      <c r="BK178" t="s" s="353">
        <f>HYPERLINK("http://dx.doi.org/10.1016/j.artmed.2026.103455","http://dx.doi.org/10.1016/j.artmed.2026.103455")</f>
        <v>4076</v>
      </c>
      <c r="BL178" t="s" s="0">
        <v>81</v>
      </c>
      <c r="BM178" t="s" s="0">
        <v>81</v>
      </c>
      <c r="BN178" t="s" s="0">
        <v>363</v>
      </c>
      <c r="BO178" t="s" s="0">
        <v>1448</v>
      </c>
      <c r="BP178" t="s" s="0">
        <v>1449</v>
      </c>
      <c r="BQ178" t="s" s="0">
        <v>4077</v>
      </c>
      <c r="BR178" t="s" s="0">
        <v>4078</v>
      </c>
      <c r="BS178" t="s" s="0">
        <v>4079</v>
      </c>
      <c r="BT178" t="s" s="354">
        <f>HYPERLINK("https://www.webofscience.com/wos/woscc/full-record/WOS:001779709500001","View Record in Web of Science")</f>
        <v>118</v>
      </c>
      <c r="BU178" t="s" s="0">
        <v>877</v>
      </c>
      <c r="BV178" t="s" s="0">
        <v>81</v>
      </c>
      <c r="BW178" t="s" s="0">
        <v>81</v>
      </c>
      <c r="BX178" t="s" s="0">
        <v>120</v>
      </c>
    </row>
    <row r="179">
      <c r="A179" t="s" s="0">
        <v>77</v>
      </c>
      <c r="B179" t="s" s="0">
        <v>77</v>
      </c>
      <c r="C179" t="s" s="0">
        <v>77</v>
      </c>
      <c r="D179" t="s" s="0">
        <v>77</v>
      </c>
      <c r="E179" t="s" s="0">
        <v>4080</v>
      </c>
      <c r="F179" t="s" s="0">
        <v>4081</v>
      </c>
      <c r="G179" t="s" s="0">
        <v>4082</v>
      </c>
      <c r="H179" t="s" s="0">
        <v>81</v>
      </c>
      <c r="I179" t="s" s="0">
        <v>82</v>
      </c>
      <c r="J179" t="s" s="0">
        <v>4083</v>
      </c>
      <c r="K179" t="s" s="0">
        <v>4084</v>
      </c>
      <c r="L179" t="s" s="0">
        <v>4085</v>
      </c>
      <c r="M179" t="s" s="0">
        <v>4086</v>
      </c>
      <c r="N179" t="s" s="0">
        <v>4087</v>
      </c>
      <c r="O179" t="s" s="0">
        <v>4088</v>
      </c>
      <c r="P179" t="s" s="0">
        <v>4089</v>
      </c>
      <c r="Q179" t="s" s="0">
        <v>90</v>
      </c>
      <c r="R179" t="s" s="0">
        <v>81</v>
      </c>
      <c r="S179" t="s" s="0">
        <v>81</v>
      </c>
      <c r="T179" t="s" s="0">
        <v>81</v>
      </c>
      <c r="U179" t="s" s="0">
        <v>81</v>
      </c>
      <c r="V179" t="s" s="0">
        <v>4090</v>
      </c>
      <c r="W179" t="s" s="0">
        <v>1416</v>
      </c>
      <c r="X179" t="s" s="0">
        <v>81</v>
      </c>
      <c r="Y179" t="s" s="0">
        <v>81</v>
      </c>
      <c r="Z179" t="s" s="0">
        <v>93</v>
      </c>
      <c r="AA179" t="s" s="0">
        <v>94</v>
      </c>
      <c r="AB179" t="s" s="0">
        <v>81</v>
      </c>
      <c r="AC179" t="s" s="0">
        <v>81</v>
      </c>
      <c r="AD179" t="s" s="0">
        <v>81</v>
      </c>
      <c r="AE179" t="s" s="0">
        <v>81</v>
      </c>
      <c r="AF179" t="s" s="0">
        <v>81</v>
      </c>
      <c r="AG179" t="s" s="0">
        <v>4091</v>
      </c>
      <c r="AH179" t="s" s="0">
        <v>81</v>
      </c>
      <c r="AI179" t="s" s="0">
        <v>81</v>
      </c>
      <c r="AJ179" t="s" s="0">
        <v>81</v>
      </c>
      <c r="AK179" t="s" s="0">
        <v>81</v>
      </c>
      <c r="AL179" t="s" s="0">
        <v>4092</v>
      </c>
      <c r="AM179" t="s" s="0">
        <v>77</v>
      </c>
      <c r="AN179" t="s" s="0">
        <v>77</v>
      </c>
      <c r="AO179" t="s" s="0">
        <v>340</v>
      </c>
      <c r="AP179" t="s" s="0">
        <v>340</v>
      </c>
      <c r="AQ179" t="s" s="0">
        <v>836</v>
      </c>
      <c r="AR179" t="s" s="0">
        <v>837</v>
      </c>
      <c r="AS179" t="s" s="0">
        <v>838</v>
      </c>
      <c r="AT179" t="s" s="0">
        <v>1419</v>
      </c>
      <c r="AU179" t="s" s="0">
        <v>1420</v>
      </c>
      <c r="AV179" t="s" s="0">
        <v>81</v>
      </c>
      <c r="AW179" t="s" s="0">
        <v>1421</v>
      </c>
      <c r="AX179" t="s" s="0">
        <v>1422</v>
      </c>
      <c r="AY179" t="s" s="0">
        <v>2903</v>
      </c>
      <c r="AZ179" t="s" s="0">
        <v>106</v>
      </c>
      <c r="BA179" t="s" s="0">
        <v>751</v>
      </c>
      <c r="BB179" t="s" s="0">
        <v>81</v>
      </c>
      <c r="BC179" t="s" s="0">
        <v>81</v>
      </c>
      <c r="BD179" t="s" s="0">
        <v>81</v>
      </c>
      <c r="BE179" t="s" s="0">
        <v>81</v>
      </c>
      <c r="BF179" t="s" s="0">
        <v>81</v>
      </c>
      <c r="BG179" t="s" s="0">
        <v>81</v>
      </c>
      <c r="BH179" t="s" s="0">
        <v>81</v>
      </c>
      <c r="BI179" t="s" s="0">
        <v>4093</v>
      </c>
      <c r="BJ179" t="s" s="0">
        <v>4094</v>
      </c>
      <c r="BK179" t="s" s="355">
        <f>HYPERLINK("http://dx.doi.org/10.1016/j.trac.2026.118899","http://dx.doi.org/10.1016/j.trac.2026.118899")</f>
        <v>4095</v>
      </c>
      <c r="BL179" t="s" s="0">
        <v>81</v>
      </c>
      <c r="BM179" t="s" s="0">
        <v>81</v>
      </c>
      <c r="BN179" t="s" s="0">
        <v>253</v>
      </c>
      <c r="BO179" t="s" s="0">
        <v>1427</v>
      </c>
      <c r="BP179" t="s" s="0">
        <v>1328</v>
      </c>
      <c r="BQ179" t="s" s="0">
        <v>4096</v>
      </c>
      <c r="BR179" t="s" s="0">
        <v>81</v>
      </c>
      <c r="BS179" t="s" s="0">
        <v>4097</v>
      </c>
      <c r="BT179" t="s" s="356">
        <f>HYPERLINK("https://www.webofscience.com/wos/woscc/full-record/WOS:001779284400001","View Record in Web of Science")</f>
        <v>118</v>
      </c>
      <c r="BU179" t="s" s="0">
        <v>81</v>
      </c>
      <c r="BV179" t="s" s="0">
        <v>81</v>
      </c>
      <c r="BW179" t="s" s="0">
        <v>81</v>
      </c>
      <c r="BX179" t="s" s="0">
        <v>120</v>
      </c>
    </row>
    <row r="180">
      <c r="A180" t="s" s="0">
        <v>77</v>
      </c>
      <c r="B180" t="s" s="0">
        <v>77</v>
      </c>
      <c r="C180" t="s" s="0">
        <v>77</v>
      </c>
      <c r="D180" t="s" s="0">
        <v>77</v>
      </c>
      <c r="E180" t="s" s="0">
        <v>4098</v>
      </c>
      <c r="F180" t="s" s="0">
        <v>4099</v>
      </c>
      <c r="G180" t="s" s="0">
        <v>4100</v>
      </c>
      <c r="H180" t="s" s="0">
        <v>81</v>
      </c>
      <c r="I180" t="s" s="0">
        <v>82</v>
      </c>
      <c r="J180" t="s" s="0">
        <v>4101</v>
      </c>
      <c r="K180" t="s" s="0">
        <v>4102</v>
      </c>
      <c r="L180" t="s" s="0">
        <v>4103</v>
      </c>
      <c r="M180" t="s" s="0">
        <v>4104</v>
      </c>
      <c r="N180" t="s" s="0">
        <v>4105</v>
      </c>
      <c r="O180" t="s" s="0">
        <v>4106</v>
      </c>
      <c r="P180" t="s" s="0">
        <v>4107</v>
      </c>
      <c r="Q180" t="s" s="0">
        <v>90</v>
      </c>
      <c r="R180" t="s" s="0">
        <v>81</v>
      </c>
      <c r="S180" t="s" s="0">
        <v>81</v>
      </c>
      <c r="T180" t="s" s="0">
        <v>81</v>
      </c>
      <c r="U180" t="s" s="0">
        <v>81</v>
      </c>
      <c r="V180" t="s" s="0">
        <v>4108</v>
      </c>
      <c r="W180" t="s" s="0">
        <v>1416</v>
      </c>
      <c r="X180" t="s" s="0">
        <v>81</v>
      </c>
      <c r="Y180" t="s" s="0">
        <v>81</v>
      </c>
      <c r="Z180" t="s" s="0">
        <v>93</v>
      </c>
      <c r="AA180" t="s" s="0">
        <v>94</v>
      </c>
      <c r="AB180" t="s" s="0">
        <v>81</v>
      </c>
      <c r="AC180" t="s" s="0">
        <v>81</v>
      </c>
      <c r="AD180" t="s" s="0">
        <v>81</v>
      </c>
      <c r="AE180" t="s" s="0">
        <v>81</v>
      </c>
      <c r="AF180" t="s" s="0">
        <v>81</v>
      </c>
      <c r="AG180" t="s" s="0">
        <v>4109</v>
      </c>
      <c r="AH180" t="s" s="0">
        <v>4110</v>
      </c>
      <c r="AI180" t="s" s="0">
        <v>81</v>
      </c>
      <c r="AJ180" t="s" s="0">
        <v>81</v>
      </c>
      <c r="AK180" t="s" s="0">
        <v>81</v>
      </c>
      <c r="AL180" t="s" s="0">
        <v>2570</v>
      </c>
      <c r="AM180" t="s" s="0">
        <v>77</v>
      </c>
      <c r="AN180" t="s" s="0">
        <v>77</v>
      </c>
      <c r="AO180" t="s" s="0">
        <v>144</v>
      </c>
      <c r="AP180" t="s" s="0">
        <v>144</v>
      </c>
      <c r="AQ180" t="s" s="0">
        <v>836</v>
      </c>
      <c r="AR180" t="s" s="0">
        <v>837</v>
      </c>
      <c r="AS180" t="s" s="0">
        <v>838</v>
      </c>
      <c r="AT180" t="s" s="0">
        <v>1419</v>
      </c>
      <c r="AU180" t="s" s="0">
        <v>1420</v>
      </c>
      <c r="AV180" t="s" s="0">
        <v>81</v>
      </c>
      <c r="AW180" t="s" s="0">
        <v>1421</v>
      </c>
      <c r="AX180" t="s" s="0">
        <v>1422</v>
      </c>
      <c r="AY180" t="s" s="0">
        <v>2903</v>
      </c>
      <c r="AZ180" t="s" s="0">
        <v>106</v>
      </c>
      <c r="BA180" t="s" s="0">
        <v>751</v>
      </c>
      <c r="BB180" t="s" s="0">
        <v>81</v>
      </c>
      <c r="BC180" t="s" s="0">
        <v>81</v>
      </c>
      <c r="BD180" t="s" s="0">
        <v>81</v>
      </c>
      <c r="BE180" t="s" s="0">
        <v>81</v>
      </c>
      <c r="BF180" t="s" s="0">
        <v>81</v>
      </c>
      <c r="BG180" t="s" s="0">
        <v>81</v>
      </c>
      <c r="BH180" t="s" s="0">
        <v>81</v>
      </c>
      <c r="BI180" t="s" s="0">
        <v>4111</v>
      </c>
      <c r="BJ180" t="s" s="0">
        <v>4112</v>
      </c>
      <c r="BK180" t="s" s="357">
        <f>HYPERLINK("http://dx.doi.org/10.1016/j.trac.2026.118900","http://dx.doi.org/10.1016/j.trac.2026.118900")</f>
        <v>4113</v>
      </c>
      <c r="BL180" t="s" s="0">
        <v>81</v>
      </c>
      <c r="BM180" t="s" s="0">
        <v>81</v>
      </c>
      <c r="BN180" t="s" s="0">
        <v>225</v>
      </c>
      <c r="BO180" t="s" s="0">
        <v>1427</v>
      </c>
      <c r="BP180" t="s" s="0">
        <v>1328</v>
      </c>
      <c r="BQ180" t="s" s="0">
        <v>4114</v>
      </c>
      <c r="BR180" t="s" s="0">
        <v>81</v>
      </c>
      <c r="BS180" t="s" s="0">
        <v>4115</v>
      </c>
      <c r="BT180" t="s" s="358">
        <f>HYPERLINK("https://www.webofscience.com/wos/woscc/full-record/WOS:001780891500001","View Record in Web of Science")</f>
        <v>118</v>
      </c>
      <c r="BU180" t="s" s="0">
        <v>81</v>
      </c>
      <c r="BV180" t="s" s="0">
        <v>81</v>
      </c>
      <c r="BW180" t="s" s="0">
        <v>81</v>
      </c>
      <c r="BX180" t="s" s="0">
        <v>120</v>
      </c>
    </row>
    <row r="181">
      <c r="A181" t="s" s="0">
        <v>77</v>
      </c>
      <c r="B181" t="s" s="0">
        <v>77</v>
      </c>
      <c r="C181" t="s" s="0">
        <v>77</v>
      </c>
      <c r="D181" t="s" s="0">
        <v>77</v>
      </c>
      <c r="E181" t="s" s="0">
        <v>4116</v>
      </c>
      <c r="F181" t="s" s="0">
        <v>4117</v>
      </c>
      <c r="G181" t="s" s="0">
        <v>4118</v>
      </c>
      <c r="H181" t="s" s="0">
        <v>81</v>
      </c>
      <c r="I181" t="s" s="0">
        <v>82</v>
      </c>
      <c r="J181" t="s" s="0">
        <v>4119</v>
      </c>
      <c r="K181" t="s" s="0">
        <v>4120</v>
      </c>
      <c r="L181" t="s" s="0">
        <v>4121</v>
      </c>
      <c r="M181" t="s" s="0">
        <v>4122</v>
      </c>
      <c r="N181" t="s" s="0">
        <v>4123</v>
      </c>
      <c r="O181" t="s" s="0">
        <v>4124</v>
      </c>
      <c r="P181" t="s" s="0">
        <v>4125</v>
      </c>
      <c r="Q181" t="s" s="0">
        <v>90</v>
      </c>
      <c r="R181" t="s" s="0">
        <v>81</v>
      </c>
      <c r="S181" t="s" s="0">
        <v>81</v>
      </c>
      <c r="T181" t="s" s="0">
        <v>81</v>
      </c>
      <c r="U181" t="s" s="0">
        <v>81</v>
      </c>
      <c r="V181" t="s" s="0">
        <v>4126</v>
      </c>
      <c r="W181" t="s" s="0">
        <v>4127</v>
      </c>
      <c r="X181" t="s" s="0">
        <v>81</v>
      </c>
      <c r="Y181" t="s" s="0">
        <v>81</v>
      </c>
      <c r="Z181" t="s" s="0">
        <v>93</v>
      </c>
      <c r="AA181" t="s" s="0">
        <v>94</v>
      </c>
      <c r="AB181" t="s" s="0">
        <v>81</v>
      </c>
      <c r="AC181" t="s" s="0">
        <v>81</v>
      </c>
      <c r="AD181" t="s" s="0">
        <v>81</v>
      </c>
      <c r="AE181" t="s" s="0">
        <v>81</v>
      </c>
      <c r="AF181" t="s" s="0">
        <v>81</v>
      </c>
      <c r="AG181" t="s" s="0">
        <v>4128</v>
      </c>
      <c r="AH181" t="s" s="0">
        <v>4129</v>
      </c>
      <c r="AI181" t="s" s="0">
        <v>4130</v>
      </c>
      <c r="AJ181" t="s" s="0">
        <v>81</v>
      </c>
      <c r="AK181" t="s" s="0">
        <v>81</v>
      </c>
      <c r="AL181" t="s" s="0">
        <v>4131</v>
      </c>
      <c r="AM181" t="s" s="0">
        <v>461</v>
      </c>
      <c r="AN181" t="s" s="0">
        <v>461</v>
      </c>
      <c r="AO181" t="s" s="0">
        <v>870</v>
      </c>
      <c r="AP181" t="s" s="0">
        <v>568</v>
      </c>
      <c r="AQ181" t="s" s="0">
        <v>4132</v>
      </c>
      <c r="AR181" t="s" s="0">
        <v>4133</v>
      </c>
      <c r="AS181" t="s" s="0">
        <v>4134</v>
      </c>
      <c r="AT181" t="s" s="0">
        <v>4135</v>
      </c>
      <c r="AU181" t="s" s="0">
        <v>4136</v>
      </c>
      <c r="AV181" t="s" s="0">
        <v>81</v>
      </c>
      <c r="AW181" t="s" s="0">
        <v>4137</v>
      </c>
      <c r="AX181" t="s" s="0">
        <v>4138</v>
      </c>
      <c r="AY181" t="s" s="0">
        <v>2903</v>
      </c>
      <c r="AZ181" t="s" s="0">
        <v>106</v>
      </c>
      <c r="BA181" t="s" s="0">
        <v>140</v>
      </c>
      <c r="BB181" t="s" s="0">
        <v>434</v>
      </c>
      <c r="BC181" t="s" s="0">
        <v>81</v>
      </c>
      <c r="BD181" t="s" s="0">
        <v>81</v>
      </c>
      <c r="BE181" t="s" s="0">
        <v>81</v>
      </c>
      <c r="BF181" t="s" s="0">
        <v>81</v>
      </c>
      <c r="BG181" t="s" s="0">
        <v>4139</v>
      </c>
      <c r="BH181" t="s" s="0">
        <v>4140</v>
      </c>
      <c r="BI181" t="s" s="0">
        <v>81</v>
      </c>
      <c r="BJ181" t="s" s="0">
        <v>4141</v>
      </c>
      <c r="BK181" t="s" s="359">
        <f>HYPERLINK("http://dx.doi.org/10.4103/NRR.NRR-D-25-00217","http://dx.doi.org/10.4103/NRR.NRR-D-25-00217")</f>
        <v>4142</v>
      </c>
      <c r="BL181" t="s" s="0">
        <v>81</v>
      </c>
      <c r="BM181" t="s" s="0">
        <v>81</v>
      </c>
      <c r="BN181" t="s" s="0">
        <v>225</v>
      </c>
      <c r="BO181" t="s" s="0">
        <v>4143</v>
      </c>
      <c r="BP181" t="s" s="0">
        <v>4144</v>
      </c>
      <c r="BQ181" t="s" s="0">
        <v>4145</v>
      </c>
      <c r="BR181" t="s" s="0">
        <v>4146</v>
      </c>
      <c r="BS181" t="s" s="0">
        <v>4147</v>
      </c>
      <c r="BT181" t="s" s="360">
        <f>HYPERLINK("https://www.webofscience.com/wos/woscc/full-record/WOS:001768603900050","View Record in Web of Science")</f>
        <v>118</v>
      </c>
      <c r="BU181" t="s" s="0">
        <v>177</v>
      </c>
      <c r="BV181" t="s" s="0">
        <v>81</v>
      </c>
      <c r="BW181" t="s" s="0">
        <v>81</v>
      </c>
      <c r="BX181" t="s" s="0">
        <v>120</v>
      </c>
    </row>
    <row r="182">
      <c r="A182" t="s" s="0">
        <v>77</v>
      </c>
      <c r="B182" t="s" s="0">
        <v>77</v>
      </c>
      <c r="C182" t="s" s="0">
        <v>77</v>
      </c>
      <c r="D182" t="s" s="0">
        <v>77</v>
      </c>
      <c r="E182" t="s" s="0">
        <v>4148</v>
      </c>
      <c r="F182" t="s" s="0">
        <v>4149</v>
      </c>
      <c r="G182" t="s" s="0">
        <v>4150</v>
      </c>
      <c r="H182" t="s" s="0">
        <v>81</v>
      </c>
      <c r="I182" t="s" s="0">
        <v>82</v>
      </c>
      <c r="J182" t="s" s="0">
        <v>4151</v>
      </c>
      <c r="K182" t="s" s="0">
        <v>4152</v>
      </c>
      <c r="L182" t="s" s="0">
        <v>4153</v>
      </c>
      <c r="M182" t="s" s="0">
        <v>4154</v>
      </c>
      <c r="N182" t="s" s="0">
        <v>4155</v>
      </c>
      <c r="O182" t="s" s="0">
        <v>4156</v>
      </c>
      <c r="P182" t="s" s="0">
        <v>4157</v>
      </c>
      <c r="Q182" t="s" s="0">
        <v>90</v>
      </c>
      <c r="R182" t="s" s="0">
        <v>81</v>
      </c>
      <c r="S182" t="s" s="0">
        <v>81</v>
      </c>
      <c r="T182" t="s" s="0">
        <v>81</v>
      </c>
      <c r="U182" t="s" s="0">
        <v>81</v>
      </c>
      <c r="V182" t="s" s="0">
        <v>4158</v>
      </c>
      <c r="W182" t="s" s="0">
        <v>4127</v>
      </c>
      <c r="X182" t="s" s="0">
        <v>81</v>
      </c>
      <c r="Y182" t="s" s="0">
        <v>81</v>
      </c>
      <c r="Z182" t="s" s="0">
        <v>93</v>
      </c>
      <c r="AA182" t="s" s="0">
        <v>94</v>
      </c>
      <c r="AB182" t="s" s="0">
        <v>81</v>
      </c>
      <c r="AC182" t="s" s="0">
        <v>81</v>
      </c>
      <c r="AD182" t="s" s="0">
        <v>81</v>
      </c>
      <c r="AE182" t="s" s="0">
        <v>81</v>
      </c>
      <c r="AF182" t="s" s="0">
        <v>81</v>
      </c>
      <c r="AG182" t="s" s="0">
        <v>4159</v>
      </c>
      <c r="AH182" t="s" s="0">
        <v>4160</v>
      </c>
      <c r="AI182" t="s" s="0">
        <v>81</v>
      </c>
      <c r="AJ182" t="s" s="0">
        <v>81</v>
      </c>
      <c r="AK182" t="s" s="0">
        <v>81</v>
      </c>
      <c r="AL182" t="s" s="0">
        <v>4161</v>
      </c>
      <c r="AM182" t="s" s="0">
        <v>77</v>
      </c>
      <c r="AN182" t="s" s="0">
        <v>77</v>
      </c>
      <c r="AO182" t="s" s="0">
        <v>596</v>
      </c>
      <c r="AP182" t="s" s="0">
        <v>720</v>
      </c>
      <c r="AQ182" t="s" s="0">
        <v>4132</v>
      </c>
      <c r="AR182" t="s" s="0">
        <v>4133</v>
      </c>
      <c r="AS182" t="s" s="0">
        <v>4134</v>
      </c>
      <c r="AT182" t="s" s="0">
        <v>4135</v>
      </c>
      <c r="AU182" t="s" s="0">
        <v>4136</v>
      </c>
      <c r="AV182" t="s" s="0">
        <v>81</v>
      </c>
      <c r="AW182" t="s" s="0">
        <v>4137</v>
      </c>
      <c r="AX182" t="s" s="0">
        <v>4138</v>
      </c>
      <c r="AY182" t="s" s="0">
        <v>2903</v>
      </c>
      <c r="AZ182" t="s" s="0">
        <v>106</v>
      </c>
      <c r="BA182" t="s" s="0">
        <v>140</v>
      </c>
      <c r="BB182" t="s" s="0">
        <v>434</v>
      </c>
      <c r="BC182" t="s" s="0">
        <v>81</v>
      </c>
      <c r="BD182" t="s" s="0">
        <v>81</v>
      </c>
      <c r="BE182" t="s" s="0">
        <v>81</v>
      </c>
      <c r="BF182" t="s" s="0">
        <v>81</v>
      </c>
      <c r="BG182" t="s" s="0">
        <v>4162</v>
      </c>
      <c r="BH182" t="s" s="0">
        <v>4163</v>
      </c>
      <c r="BI182" t="s" s="0">
        <v>81</v>
      </c>
      <c r="BJ182" t="s" s="0">
        <v>4164</v>
      </c>
      <c r="BK182" t="s" s="361">
        <f>HYPERLINK("http://dx.doi.org/10.4103/NRR.NRR-D-25-00561","http://dx.doi.org/10.4103/NRR.NRR-D-25-00561")</f>
        <v>4165</v>
      </c>
      <c r="BL182" t="s" s="0">
        <v>81</v>
      </c>
      <c r="BM182" t="s" s="0">
        <v>81</v>
      </c>
      <c r="BN182" t="s" s="0">
        <v>1236</v>
      </c>
      <c r="BO182" t="s" s="0">
        <v>4143</v>
      </c>
      <c r="BP182" t="s" s="0">
        <v>4144</v>
      </c>
      <c r="BQ182" t="s" s="0">
        <v>4145</v>
      </c>
      <c r="BR182" t="s" s="0">
        <v>4166</v>
      </c>
      <c r="BS182" t="s" s="0">
        <v>4167</v>
      </c>
      <c r="BT182" t="s" s="362">
        <f>HYPERLINK("https://www.webofscience.com/wos/woscc/full-record/WOS:001768603900006","View Record in Web of Science")</f>
        <v>118</v>
      </c>
      <c r="BU182" t="s" s="0">
        <v>177</v>
      </c>
      <c r="BV182" t="s" s="0">
        <v>81</v>
      </c>
      <c r="BW182" t="s" s="0">
        <v>81</v>
      </c>
      <c r="BX182" t="s" s="0">
        <v>120</v>
      </c>
    </row>
    <row r="183">
      <c r="A183" t="s" s="0">
        <v>77</v>
      </c>
      <c r="B183" t="s" s="0">
        <v>77</v>
      </c>
      <c r="C183" t="s" s="0">
        <v>77</v>
      </c>
      <c r="D183" t="s" s="0">
        <v>77</v>
      </c>
      <c r="E183" t="s" s="0">
        <v>4168</v>
      </c>
      <c r="F183" t="s" s="0">
        <v>4169</v>
      </c>
      <c r="G183" t="s" s="0">
        <v>4170</v>
      </c>
      <c r="H183" t="s" s="0">
        <v>81</v>
      </c>
      <c r="I183" t="s" s="0">
        <v>82</v>
      </c>
      <c r="J183" t="s" s="0">
        <v>4171</v>
      </c>
      <c r="K183" t="s" s="0">
        <v>4172</v>
      </c>
      <c r="L183" t="s" s="0">
        <v>4173</v>
      </c>
      <c r="M183" t="s" s="0">
        <v>4174</v>
      </c>
      <c r="N183" t="s" s="0">
        <v>4175</v>
      </c>
      <c r="O183" t="s" s="0">
        <v>4176</v>
      </c>
      <c r="P183" t="s" s="0">
        <v>4177</v>
      </c>
      <c r="Q183" t="s" s="0">
        <v>90</v>
      </c>
      <c r="R183" t="s" s="0">
        <v>81</v>
      </c>
      <c r="S183" t="s" s="0">
        <v>81</v>
      </c>
      <c r="T183" t="s" s="0">
        <v>81</v>
      </c>
      <c r="U183" t="s" s="0">
        <v>81</v>
      </c>
      <c r="V183" t="s" s="0">
        <v>4178</v>
      </c>
      <c r="W183" t="s" s="0">
        <v>4127</v>
      </c>
      <c r="X183" t="s" s="0">
        <v>81</v>
      </c>
      <c r="Y183" t="s" s="0">
        <v>81</v>
      </c>
      <c r="Z183" t="s" s="0">
        <v>93</v>
      </c>
      <c r="AA183" t="s" s="0">
        <v>94</v>
      </c>
      <c r="AB183" t="s" s="0">
        <v>81</v>
      </c>
      <c r="AC183" t="s" s="0">
        <v>81</v>
      </c>
      <c r="AD183" t="s" s="0">
        <v>81</v>
      </c>
      <c r="AE183" t="s" s="0">
        <v>81</v>
      </c>
      <c r="AF183" t="s" s="0">
        <v>81</v>
      </c>
      <c r="AG183" t="s" s="0">
        <v>4179</v>
      </c>
      <c r="AH183" t="s" s="0">
        <v>4180</v>
      </c>
      <c r="AI183" t="s" s="0">
        <v>81</v>
      </c>
      <c r="AJ183" t="s" s="0">
        <v>81</v>
      </c>
      <c r="AK183" t="s" s="0">
        <v>81</v>
      </c>
      <c r="AL183" t="s" s="0">
        <v>4181</v>
      </c>
      <c r="AM183" t="s" s="0">
        <v>108</v>
      </c>
      <c r="AN183" t="s" s="0">
        <v>108</v>
      </c>
      <c r="AO183" t="s" s="0">
        <v>511</v>
      </c>
      <c r="AP183" t="s" s="0">
        <v>511</v>
      </c>
      <c r="AQ183" t="s" s="0">
        <v>4132</v>
      </c>
      <c r="AR183" t="s" s="0">
        <v>4133</v>
      </c>
      <c r="AS183" t="s" s="0">
        <v>4134</v>
      </c>
      <c r="AT183" t="s" s="0">
        <v>4135</v>
      </c>
      <c r="AU183" t="s" s="0">
        <v>4136</v>
      </c>
      <c r="AV183" t="s" s="0">
        <v>81</v>
      </c>
      <c r="AW183" t="s" s="0">
        <v>4137</v>
      </c>
      <c r="AX183" t="s" s="0">
        <v>4138</v>
      </c>
      <c r="AY183" t="s" s="0">
        <v>2903</v>
      </c>
      <c r="AZ183" t="s" s="0">
        <v>106</v>
      </c>
      <c r="BA183" t="s" s="0">
        <v>140</v>
      </c>
      <c r="BB183" t="s" s="0">
        <v>434</v>
      </c>
      <c r="BC183" t="s" s="0">
        <v>81</v>
      </c>
      <c r="BD183" t="s" s="0">
        <v>81</v>
      </c>
      <c r="BE183" t="s" s="0">
        <v>81</v>
      </c>
      <c r="BF183" t="s" s="0">
        <v>81</v>
      </c>
      <c r="BG183" t="s" s="0">
        <v>4182</v>
      </c>
      <c r="BH183" t="s" s="0">
        <v>4183</v>
      </c>
      <c r="BI183" t="s" s="0">
        <v>81</v>
      </c>
      <c r="BJ183" t="s" s="0">
        <v>4184</v>
      </c>
      <c r="BK183" t="s" s="363">
        <f>HYPERLINK("http://dx.doi.org/10.4103/NRR.NRR-D-25-00332","http://dx.doi.org/10.4103/NRR.NRR-D-25-00332")</f>
        <v>4185</v>
      </c>
      <c r="BL183" t="s" s="0">
        <v>81</v>
      </c>
      <c r="BM183" t="s" s="0">
        <v>81</v>
      </c>
      <c r="BN183" t="s" s="0">
        <v>387</v>
      </c>
      <c r="BO183" t="s" s="0">
        <v>4143</v>
      </c>
      <c r="BP183" t="s" s="0">
        <v>4144</v>
      </c>
      <c r="BQ183" t="s" s="0">
        <v>4145</v>
      </c>
      <c r="BR183" t="s" s="0">
        <v>4186</v>
      </c>
      <c r="BS183" t="s" s="0">
        <v>4187</v>
      </c>
      <c r="BT183" t="s" s="364">
        <f>HYPERLINK("https://www.webofscience.com/wos/woscc/full-record/WOS:001768603900039","View Record in Web of Science")</f>
        <v>118</v>
      </c>
      <c r="BU183" t="s" s="0">
        <v>177</v>
      </c>
      <c r="BV183" t="s" s="0">
        <v>81</v>
      </c>
      <c r="BW183" t="s" s="0">
        <v>81</v>
      </c>
      <c r="BX183" t="s" s="0">
        <v>120</v>
      </c>
    </row>
    <row r="184">
      <c r="A184" t="s" s="0">
        <v>77</v>
      </c>
      <c r="B184" t="s" s="0">
        <v>77</v>
      </c>
      <c r="C184" t="s" s="0">
        <v>77</v>
      </c>
      <c r="D184" t="s" s="0">
        <v>77</v>
      </c>
      <c r="E184" t="s" s="0">
        <v>4188</v>
      </c>
      <c r="F184" t="s" s="0">
        <v>4189</v>
      </c>
      <c r="G184" t="s" s="0">
        <v>4190</v>
      </c>
      <c r="H184" t="s" s="0">
        <v>81</v>
      </c>
      <c r="I184" t="s" s="0">
        <v>82</v>
      </c>
      <c r="J184" t="s" s="0">
        <v>4191</v>
      </c>
      <c r="K184" t="s" s="0">
        <v>4192</v>
      </c>
      <c r="L184" t="s" s="0">
        <v>4193</v>
      </c>
      <c r="M184" t="s" s="0">
        <v>4194</v>
      </c>
      <c r="N184" t="s" s="0">
        <v>4195</v>
      </c>
      <c r="O184" t="s" s="0">
        <v>4196</v>
      </c>
      <c r="P184" t="s" s="0">
        <v>4197</v>
      </c>
      <c r="Q184" t="s" s="0">
        <v>90</v>
      </c>
      <c r="R184" t="s" s="0">
        <v>81</v>
      </c>
      <c r="S184" t="s" s="0">
        <v>81</v>
      </c>
      <c r="T184" t="s" s="0">
        <v>81</v>
      </c>
      <c r="U184" t="s" s="0">
        <v>81</v>
      </c>
      <c r="V184" t="s" s="0">
        <v>4198</v>
      </c>
      <c r="W184" t="s" s="0">
        <v>2003</v>
      </c>
      <c r="X184" t="s" s="0">
        <v>81</v>
      </c>
      <c r="Y184" t="s" s="0">
        <v>81</v>
      </c>
      <c r="Z184" t="s" s="0">
        <v>93</v>
      </c>
      <c r="AA184" t="s" s="0">
        <v>94</v>
      </c>
      <c r="AB184" t="s" s="0">
        <v>81</v>
      </c>
      <c r="AC184" t="s" s="0">
        <v>81</v>
      </c>
      <c r="AD184" t="s" s="0">
        <v>81</v>
      </c>
      <c r="AE184" t="s" s="0">
        <v>81</v>
      </c>
      <c r="AF184" t="s" s="0">
        <v>81</v>
      </c>
      <c r="AG184" t="s" s="0">
        <v>4199</v>
      </c>
      <c r="AH184" t="s" s="0">
        <v>4200</v>
      </c>
      <c r="AI184" t="s" s="0">
        <v>4201</v>
      </c>
      <c r="AJ184" t="s" s="0">
        <v>81</v>
      </c>
      <c r="AK184" t="s" s="0">
        <v>81</v>
      </c>
      <c r="AL184" t="s" s="0">
        <v>4202</v>
      </c>
      <c r="AM184" t="s" s="0">
        <v>340</v>
      </c>
      <c r="AN184" t="s" s="0">
        <v>340</v>
      </c>
      <c r="AO184" t="s" s="0">
        <v>1933</v>
      </c>
      <c r="AP184" t="s" s="0">
        <v>1933</v>
      </c>
      <c r="AQ184" t="s" s="0">
        <v>779</v>
      </c>
      <c r="AR184" t="s" s="0">
        <v>780</v>
      </c>
      <c r="AS184" t="s" s="0">
        <v>781</v>
      </c>
      <c r="AT184" t="s" s="0">
        <v>2009</v>
      </c>
      <c r="AU184" t="s" s="0">
        <v>2010</v>
      </c>
      <c r="AV184" t="s" s="0">
        <v>81</v>
      </c>
      <c r="AW184" t="s" s="0">
        <v>2011</v>
      </c>
      <c r="AX184" t="s" s="0">
        <v>2012</v>
      </c>
      <c r="AY184" t="s" s="0">
        <v>2903</v>
      </c>
      <c r="AZ184" t="s" s="0">
        <v>106</v>
      </c>
      <c r="BA184" t="s" s="0">
        <v>4203</v>
      </c>
      <c r="BB184" t="s" s="0">
        <v>81</v>
      </c>
      <c r="BC184" t="s" s="0">
        <v>81</v>
      </c>
      <c r="BD184" t="s" s="0">
        <v>81</v>
      </c>
      <c r="BE184" t="s" s="0">
        <v>81</v>
      </c>
      <c r="BF184" t="s" s="0">
        <v>81</v>
      </c>
      <c r="BG184" t="s" s="0">
        <v>81</v>
      </c>
      <c r="BH184" t="s" s="0">
        <v>81</v>
      </c>
      <c r="BI184" t="s" s="0">
        <v>4204</v>
      </c>
      <c r="BJ184" t="s" s="0">
        <v>4205</v>
      </c>
      <c r="BK184" t="s" s="365">
        <f>HYPERLINK("http://dx.doi.org/10.1016/j.pmatsci.2026.101725","http://dx.doi.org/10.1016/j.pmatsci.2026.101725")</f>
        <v>4206</v>
      </c>
      <c r="BL184" t="s" s="0">
        <v>81</v>
      </c>
      <c r="BM184" t="s" s="0">
        <v>81</v>
      </c>
      <c r="BN184" t="s" s="0">
        <v>809</v>
      </c>
      <c r="BO184" t="s" s="0">
        <v>2017</v>
      </c>
      <c r="BP184" t="s" s="0">
        <v>928</v>
      </c>
      <c r="BQ184" t="s" s="0">
        <v>4207</v>
      </c>
      <c r="BR184" t="s" s="0">
        <v>81</v>
      </c>
      <c r="BS184" t="s" s="0">
        <v>4208</v>
      </c>
      <c r="BT184" t="s" s="366">
        <f>HYPERLINK("https://www.webofscience.com/wos/woscc/full-record/WOS:001750415100001","View Record in Web of Science")</f>
        <v>118</v>
      </c>
      <c r="BU184" t="s" s="0">
        <v>81</v>
      </c>
      <c r="BV184" t="s" s="0">
        <v>81</v>
      </c>
      <c r="BW184" t="s" s="0">
        <v>81</v>
      </c>
      <c r="BX184" t="s" s="0">
        <v>120</v>
      </c>
    </row>
    <row r="185">
      <c r="A185" t="s" s="0">
        <v>77</v>
      </c>
      <c r="B185" t="s" s="0">
        <v>77</v>
      </c>
      <c r="C185" t="s" s="0">
        <v>77</v>
      </c>
      <c r="D185" t="s" s="0">
        <v>77</v>
      </c>
      <c r="E185" t="s" s="0">
        <v>4209</v>
      </c>
      <c r="F185" t="s" s="0">
        <v>4210</v>
      </c>
      <c r="G185" t="s" s="0">
        <v>4211</v>
      </c>
      <c r="H185" t="s" s="0">
        <v>81</v>
      </c>
      <c r="I185" t="s" s="0">
        <v>82</v>
      </c>
      <c r="J185" t="s" s="0">
        <v>4212</v>
      </c>
      <c r="K185" t="s" s="0">
        <v>4213</v>
      </c>
      <c r="L185" t="s" s="0">
        <v>4214</v>
      </c>
      <c r="M185" t="s" s="0">
        <v>4215</v>
      </c>
      <c r="N185" t="s" s="0">
        <v>4216</v>
      </c>
      <c r="O185" t="s" s="0">
        <v>4217</v>
      </c>
      <c r="P185" t="s" s="0">
        <v>4218</v>
      </c>
      <c r="Q185" t="s" s="0">
        <v>90</v>
      </c>
      <c r="R185" t="s" s="0">
        <v>81</v>
      </c>
      <c r="S185" t="s" s="0">
        <v>81</v>
      </c>
      <c r="T185" t="s" s="0">
        <v>81</v>
      </c>
      <c r="U185" t="s" s="0">
        <v>81</v>
      </c>
      <c r="V185" t="s" s="0">
        <v>4219</v>
      </c>
      <c r="W185" t="s" s="0">
        <v>4220</v>
      </c>
      <c r="X185" t="s" s="0">
        <v>81</v>
      </c>
      <c r="Y185" t="s" s="0">
        <v>81</v>
      </c>
      <c r="Z185" t="s" s="0">
        <v>93</v>
      </c>
      <c r="AA185" t="s" s="0">
        <v>94</v>
      </c>
      <c r="AB185" t="s" s="0">
        <v>81</v>
      </c>
      <c r="AC185" t="s" s="0">
        <v>81</v>
      </c>
      <c r="AD185" t="s" s="0">
        <v>81</v>
      </c>
      <c r="AE185" t="s" s="0">
        <v>81</v>
      </c>
      <c r="AF185" t="s" s="0">
        <v>81</v>
      </c>
      <c r="AG185" t="s" s="0">
        <v>4221</v>
      </c>
      <c r="AH185" t="s" s="0">
        <v>4222</v>
      </c>
      <c r="AI185" t="s" s="0">
        <v>4223</v>
      </c>
      <c r="AJ185" t="s" s="0">
        <v>81</v>
      </c>
      <c r="AK185" t="s" s="0">
        <v>81</v>
      </c>
      <c r="AL185" t="s" s="0">
        <v>4224</v>
      </c>
      <c r="AM185" t="s" s="0">
        <v>77</v>
      </c>
      <c r="AN185" t="s" s="0">
        <v>77</v>
      </c>
      <c r="AO185" t="s" s="0">
        <v>485</v>
      </c>
      <c r="AP185" t="s" s="0">
        <v>485</v>
      </c>
      <c r="AQ185" t="s" s="0">
        <v>892</v>
      </c>
      <c r="AR185" t="s" s="0">
        <v>893</v>
      </c>
      <c r="AS185" t="s" s="0">
        <v>894</v>
      </c>
      <c r="AT185" t="s" s="0">
        <v>4225</v>
      </c>
      <c r="AU185" t="s" s="0">
        <v>4226</v>
      </c>
      <c r="AV185" t="s" s="0">
        <v>81</v>
      </c>
      <c r="AW185" t="s" s="0">
        <v>4227</v>
      </c>
      <c r="AX185" t="s" s="0">
        <v>4228</v>
      </c>
      <c r="AY185" t="s" s="0">
        <v>3582</v>
      </c>
      <c r="AZ185" t="s" s="0">
        <v>106</v>
      </c>
      <c r="BA185" t="s" s="0">
        <v>4229</v>
      </c>
      <c r="BB185" t="s" s="0">
        <v>81</v>
      </c>
      <c r="BC185" t="s" s="0">
        <v>81</v>
      </c>
      <c r="BD185" t="s" s="0">
        <v>81</v>
      </c>
      <c r="BE185" t="s" s="0">
        <v>81</v>
      </c>
      <c r="BF185" t="s" s="0">
        <v>81</v>
      </c>
      <c r="BG185" t="s" s="0">
        <v>81</v>
      </c>
      <c r="BH185" t="s" s="0">
        <v>81</v>
      </c>
      <c r="BI185" t="s" s="0">
        <v>4230</v>
      </c>
      <c r="BJ185" t="s" s="0">
        <v>4231</v>
      </c>
      <c r="BK185" t="s" s="367">
        <f>HYPERLINK("http://dx.doi.org/10.1016/j.euromechflu.2026.204529","http://dx.doi.org/10.1016/j.euromechflu.2026.204529")</f>
        <v>4232</v>
      </c>
      <c r="BL185" t="s" s="0">
        <v>81</v>
      </c>
      <c r="BM185" t="s" s="0">
        <v>81</v>
      </c>
      <c r="BN185" t="s" s="0">
        <v>3549</v>
      </c>
      <c r="BO185" t="s" s="0">
        <v>4233</v>
      </c>
      <c r="BP185" t="s" s="0">
        <v>4234</v>
      </c>
      <c r="BQ185" t="s" s="0">
        <v>4235</v>
      </c>
      <c r="BR185" t="s" s="0">
        <v>81</v>
      </c>
      <c r="BS185" t="s" s="0">
        <v>4236</v>
      </c>
      <c r="BT185" t="s" s="368">
        <f>HYPERLINK("https://www.webofscience.com/wos/woscc/full-record/WOS:001734876600001","View Record in Web of Science")</f>
        <v>118</v>
      </c>
      <c r="BU185" t="s" s="0">
        <v>81</v>
      </c>
      <c r="BV185" t="s" s="0">
        <v>81</v>
      </c>
      <c r="BW185" t="s" s="0">
        <v>81</v>
      </c>
      <c r="BX185" t="s" s="0">
        <v>120</v>
      </c>
    </row>
    <row r="186">
      <c r="A186" t="s" s="0">
        <v>77</v>
      </c>
      <c r="B186" t="s" s="0">
        <v>77</v>
      </c>
      <c r="C186" t="s" s="0">
        <v>77</v>
      </c>
      <c r="D186" t="s" s="0">
        <v>77</v>
      </c>
      <c r="E186" t="s" s="0">
        <v>4237</v>
      </c>
      <c r="F186" t="s" s="0">
        <v>4238</v>
      </c>
      <c r="G186" t="s" s="0">
        <v>4239</v>
      </c>
      <c r="H186" t="s" s="0">
        <v>81</v>
      </c>
      <c r="I186" t="s" s="0">
        <v>82</v>
      </c>
      <c r="J186" t="s" s="0">
        <v>4240</v>
      </c>
      <c r="K186" t="s" s="0">
        <v>4241</v>
      </c>
      <c r="L186" t="s" s="0">
        <v>81</v>
      </c>
      <c r="M186" t="s" s="0">
        <v>81</v>
      </c>
      <c r="N186" t="s" s="0">
        <v>81</v>
      </c>
      <c r="O186" t="s" s="0">
        <v>4242</v>
      </c>
      <c r="P186" t="s" s="0">
        <v>4243</v>
      </c>
      <c r="Q186" t="s" s="0">
        <v>90</v>
      </c>
      <c r="R186" t="s" s="0">
        <v>81</v>
      </c>
      <c r="S186" t="s" s="0">
        <v>81</v>
      </c>
      <c r="T186" t="s" s="0">
        <v>81</v>
      </c>
      <c r="U186" t="s" s="0">
        <v>81</v>
      </c>
      <c r="V186" t="s" s="0">
        <v>4244</v>
      </c>
      <c r="W186" t="s" s="0">
        <v>4245</v>
      </c>
      <c r="X186" t="s" s="0">
        <v>81</v>
      </c>
      <c r="Y186" t="s" s="0">
        <v>81</v>
      </c>
      <c r="Z186" t="s" s="0">
        <v>93</v>
      </c>
      <c r="AA186" t="s" s="0">
        <v>94</v>
      </c>
      <c r="AB186" t="s" s="0">
        <v>81</v>
      </c>
      <c r="AC186" t="s" s="0">
        <v>81</v>
      </c>
      <c r="AD186" t="s" s="0">
        <v>81</v>
      </c>
      <c r="AE186" t="s" s="0">
        <v>81</v>
      </c>
      <c r="AF186" t="s" s="0">
        <v>81</v>
      </c>
      <c r="AG186" t="s" s="0">
        <v>4246</v>
      </c>
      <c r="AH186" t="s" s="0">
        <v>81</v>
      </c>
      <c r="AI186" t="s" s="0">
        <v>81</v>
      </c>
      <c r="AJ186" t="s" s="0">
        <v>81</v>
      </c>
      <c r="AK186" t="s" s="0">
        <v>81</v>
      </c>
      <c r="AL186" t="s" s="0">
        <v>4247</v>
      </c>
      <c r="AM186" t="s" s="0">
        <v>77</v>
      </c>
      <c r="AN186" t="s" s="0">
        <v>77</v>
      </c>
      <c r="AO186" t="s" s="0">
        <v>77</v>
      </c>
      <c r="AP186" t="s" s="0">
        <v>77</v>
      </c>
      <c r="AQ186" t="s" s="0">
        <v>3819</v>
      </c>
      <c r="AR186" t="s" s="0">
        <v>3820</v>
      </c>
      <c r="AS186" t="s" s="0">
        <v>3821</v>
      </c>
      <c r="AT186" t="s" s="0">
        <v>4248</v>
      </c>
      <c r="AU186" t="s" s="0">
        <v>4249</v>
      </c>
      <c r="AV186" t="s" s="0">
        <v>81</v>
      </c>
      <c r="AW186" t="s" s="0">
        <v>4250</v>
      </c>
      <c r="AX186" t="s" s="0">
        <v>4251</v>
      </c>
      <c r="AY186" t="s" s="0">
        <v>4252</v>
      </c>
      <c r="AZ186" t="s" s="0">
        <v>106</v>
      </c>
      <c r="BA186" t="s" s="0">
        <v>729</v>
      </c>
      <c r="BB186" t="s" s="0">
        <v>485</v>
      </c>
      <c r="BC186" t="s" s="0">
        <v>81</v>
      </c>
      <c r="BD186" t="s" s="0">
        <v>81</v>
      </c>
      <c r="BE186" t="s" s="0">
        <v>81</v>
      </c>
      <c r="BF186" t="s" s="0">
        <v>81</v>
      </c>
      <c r="BG186" t="s" s="0">
        <v>81</v>
      </c>
      <c r="BH186" t="s" s="0">
        <v>81</v>
      </c>
      <c r="BI186" t="s" s="0">
        <v>4253</v>
      </c>
      <c r="BJ186" t="s" s="0">
        <v>4254</v>
      </c>
      <c r="BK186" t="s" s="369">
        <f>HYPERLINK("http://dx.doi.org/10.1088/1361-6579/ae8b71","http://dx.doi.org/10.1088/1361-6579/ae8b71")</f>
        <v>4255</v>
      </c>
      <c r="BL186" t="s" s="0">
        <v>81</v>
      </c>
      <c r="BM186" t="s" s="0">
        <v>81</v>
      </c>
      <c r="BN186" t="s" s="0">
        <v>752</v>
      </c>
      <c r="BO186" t="s" s="0">
        <v>4256</v>
      </c>
      <c r="BP186" t="s" s="0">
        <v>4257</v>
      </c>
      <c r="BQ186" t="s" s="0">
        <v>4258</v>
      </c>
      <c r="BR186" t="s" s="0">
        <v>4259</v>
      </c>
      <c r="BS186" t="s" s="0">
        <v>4260</v>
      </c>
      <c r="BT186" t="s" s="370">
        <f>HYPERLINK("https://www.webofscience.com/wos/woscc/full-record/WOS:001845930000001","View Record in Web of Science")</f>
        <v>118</v>
      </c>
      <c r="BU186" t="s" s="0">
        <v>877</v>
      </c>
      <c r="BV186" t="s" s="0">
        <v>81</v>
      </c>
      <c r="BW186" t="s" s="0">
        <v>81</v>
      </c>
      <c r="BX186" t="s" s="0">
        <v>120</v>
      </c>
    </row>
    <row r="187">
      <c r="A187" t="s" s="0">
        <v>77</v>
      </c>
      <c r="B187" t="s" s="0">
        <v>77</v>
      </c>
      <c r="C187" t="s" s="0">
        <v>77</v>
      </c>
      <c r="D187" t="s" s="0">
        <v>77</v>
      </c>
      <c r="E187" t="s" s="0">
        <v>4261</v>
      </c>
      <c r="F187" t="s" s="0">
        <v>4262</v>
      </c>
      <c r="G187" t="s" s="0">
        <v>4263</v>
      </c>
      <c r="H187" t="s" s="0">
        <v>81</v>
      </c>
      <c r="I187" t="s" s="0">
        <v>82</v>
      </c>
      <c r="J187" t="s" s="0">
        <v>4264</v>
      </c>
      <c r="K187" t="s" s="0">
        <v>4265</v>
      </c>
      <c r="L187" t="s" s="0">
        <v>81</v>
      </c>
      <c r="M187" t="s" s="0">
        <v>81</v>
      </c>
      <c r="N187" t="s" s="0">
        <v>81</v>
      </c>
      <c r="O187" t="s" s="0">
        <v>4266</v>
      </c>
      <c r="P187" t="s" s="0">
        <v>4267</v>
      </c>
      <c r="Q187" t="s" s="0">
        <v>90</v>
      </c>
      <c r="R187" t="s" s="0">
        <v>81</v>
      </c>
      <c r="S187" t="s" s="0">
        <v>81</v>
      </c>
      <c r="T187" t="s" s="0">
        <v>81</v>
      </c>
      <c r="U187" t="s" s="0">
        <v>81</v>
      </c>
      <c r="V187" t="s" s="0">
        <v>4268</v>
      </c>
      <c r="W187" t="s" s="0">
        <v>4269</v>
      </c>
      <c r="X187" t="s" s="0">
        <v>81</v>
      </c>
      <c r="Y187" t="s" s="0">
        <v>81</v>
      </c>
      <c r="Z187" t="s" s="0">
        <v>93</v>
      </c>
      <c r="AA187" t="s" s="0">
        <v>94</v>
      </c>
      <c r="AB187" t="s" s="0">
        <v>81</v>
      </c>
      <c r="AC187" t="s" s="0">
        <v>81</v>
      </c>
      <c r="AD187" t="s" s="0">
        <v>81</v>
      </c>
      <c r="AE187" t="s" s="0">
        <v>81</v>
      </c>
      <c r="AF187" t="s" s="0">
        <v>81</v>
      </c>
      <c r="AG187" t="s" s="0">
        <v>4270</v>
      </c>
      <c r="AH187" t="s" s="0">
        <v>4271</v>
      </c>
      <c r="AI187" t="s" s="0">
        <v>81</v>
      </c>
      <c r="AJ187" t="s" s="0">
        <v>81</v>
      </c>
      <c r="AK187" t="s" s="0">
        <v>81</v>
      </c>
      <c r="AL187" t="s" s="0">
        <v>2702</v>
      </c>
      <c r="AM187" t="s" s="0">
        <v>77</v>
      </c>
      <c r="AN187" t="s" s="0">
        <v>77</v>
      </c>
      <c r="AO187" t="s" s="0">
        <v>77</v>
      </c>
      <c r="AP187" t="s" s="0">
        <v>77</v>
      </c>
      <c r="AQ187" t="s" s="0">
        <v>779</v>
      </c>
      <c r="AR187" t="s" s="0">
        <v>780</v>
      </c>
      <c r="AS187" t="s" s="0">
        <v>781</v>
      </c>
      <c r="AT187" t="s" s="0">
        <v>4272</v>
      </c>
      <c r="AU187" t="s" s="0">
        <v>4273</v>
      </c>
      <c r="AV187" t="s" s="0">
        <v>81</v>
      </c>
      <c r="AW187" t="s" s="0">
        <v>4274</v>
      </c>
      <c r="AX187" t="s" s="0">
        <v>4275</v>
      </c>
      <c r="AY187" t="s" s="0">
        <v>4276</v>
      </c>
      <c r="AZ187" t="s" s="0">
        <v>106</v>
      </c>
      <c r="BA187" t="s" s="0">
        <v>432</v>
      </c>
      <c r="BB187" t="s" s="0">
        <v>81</v>
      </c>
      <c r="BC187" t="s" s="0">
        <v>81</v>
      </c>
      <c r="BD187" t="s" s="0">
        <v>81</v>
      </c>
      <c r="BE187" t="s" s="0">
        <v>81</v>
      </c>
      <c r="BF187" t="s" s="0">
        <v>81</v>
      </c>
      <c r="BG187" t="s" s="0">
        <v>81</v>
      </c>
      <c r="BH187" t="s" s="0">
        <v>81</v>
      </c>
      <c r="BI187" t="s" s="0">
        <v>4277</v>
      </c>
      <c r="BJ187" t="s" s="0">
        <v>4278</v>
      </c>
      <c r="BK187" t="s" s="371">
        <f>HYPERLINK("http://dx.doi.org/10.1016/j.pnpbp.2026.111872","http://dx.doi.org/10.1016/j.pnpbp.2026.111872")</f>
        <v>4279</v>
      </c>
      <c r="BL187" t="s" s="0">
        <v>81</v>
      </c>
      <c r="BM187" t="s" s="0">
        <v>81</v>
      </c>
      <c r="BN187" t="s" s="0">
        <v>438</v>
      </c>
      <c r="BO187" t="s" s="0">
        <v>4280</v>
      </c>
      <c r="BP187" t="s" s="0">
        <v>4281</v>
      </c>
      <c r="BQ187" t="s" s="0">
        <v>4282</v>
      </c>
      <c r="BR187" t="s" s="0">
        <v>4283</v>
      </c>
      <c r="BS187" t="s" s="0">
        <v>4284</v>
      </c>
      <c r="BT187" t="s" s="372">
        <f>HYPERLINK("https://www.webofscience.com/wos/woscc/full-record/WOS:001847452900001","View Record in Web of Science")</f>
        <v>118</v>
      </c>
      <c r="BU187" t="s" s="0">
        <v>81</v>
      </c>
      <c r="BV187" t="s" s="0">
        <v>81</v>
      </c>
      <c r="BW187" t="s" s="0">
        <v>81</v>
      </c>
      <c r="BX187" t="s" s="0">
        <v>120</v>
      </c>
    </row>
    <row r="188">
      <c r="A188" t="s" s="0">
        <v>77</v>
      </c>
      <c r="B188" t="s" s="0">
        <v>77</v>
      </c>
      <c r="C188" t="s" s="0">
        <v>77</v>
      </c>
      <c r="D188" t="s" s="0">
        <v>77</v>
      </c>
      <c r="E188" t="s" s="0">
        <v>4285</v>
      </c>
      <c r="F188" t="s" s="0">
        <v>4286</v>
      </c>
      <c r="G188" t="s" s="0">
        <v>4287</v>
      </c>
      <c r="H188" t="s" s="0">
        <v>81</v>
      </c>
      <c r="I188" t="s" s="0">
        <v>82</v>
      </c>
      <c r="J188" t="s" s="0">
        <v>4288</v>
      </c>
      <c r="K188" t="s" s="0">
        <v>4289</v>
      </c>
      <c r="L188" t="s" s="0">
        <v>4290</v>
      </c>
      <c r="M188" t="s" s="0">
        <v>4291</v>
      </c>
      <c r="N188" t="s" s="0">
        <v>4292</v>
      </c>
      <c r="O188" t="s" s="0">
        <v>4293</v>
      </c>
      <c r="P188" t="s" s="0">
        <v>4294</v>
      </c>
      <c r="Q188" t="s" s="0">
        <v>90</v>
      </c>
      <c r="R188" t="s" s="0">
        <v>81</v>
      </c>
      <c r="S188" t="s" s="0">
        <v>81</v>
      </c>
      <c r="T188" t="s" s="0">
        <v>81</v>
      </c>
      <c r="U188" t="s" s="0">
        <v>81</v>
      </c>
      <c r="V188" t="s" s="0">
        <v>4295</v>
      </c>
      <c r="W188" t="s" s="0">
        <v>4296</v>
      </c>
      <c r="X188" t="s" s="0">
        <v>81</v>
      </c>
      <c r="Y188" t="s" s="0">
        <v>81</v>
      </c>
      <c r="Z188" t="s" s="0">
        <v>93</v>
      </c>
      <c r="AA188" t="s" s="0">
        <v>94</v>
      </c>
      <c r="AB188" t="s" s="0">
        <v>81</v>
      </c>
      <c r="AC188" t="s" s="0">
        <v>81</v>
      </c>
      <c r="AD188" t="s" s="0">
        <v>81</v>
      </c>
      <c r="AE188" t="s" s="0">
        <v>81</v>
      </c>
      <c r="AF188" t="s" s="0">
        <v>81</v>
      </c>
      <c r="AG188" t="s" s="0">
        <v>81</v>
      </c>
      <c r="AH188" t="s" s="0">
        <v>4297</v>
      </c>
      <c r="AI188" t="s" s="0">
        <v>81</v>
      </c>
      <c r="AJ188" t="s" s="0">
        <v>81</v>
      </c>
      <c r="AK188" t="s" s="0">
        <v>81</v>
      </c>
      <c r="AL188" t="s" s="0">
        <v>4161</v>
      </c>
      <c r="AM188" t="s" s="0">
        <v>77</v>
      </c>
      <c r="AN188" t="s" s="0">
        <v>77</v>
      </c>
      <c r="AO188" t="s" s="0">
        <v>77</v>
      </c>
      <c r="AP188" t="s" s="0">
        <v>77</v>
      </c>
      <c r="AQ188" t="s" s="0">
        <v>4298</v>
      </c>
      <c r="AR188" t="s" s="0">
        <v>4299</v>
      </c>
      <c r="AS188" t="s" s="0">
        <v>4300</v>
      </c>
      <c r="AT188" t="s" s="0">
        <v>4301</v>
      </c>
      <c r="AU188" t="s" s="0">
        <v>4302</v>
      </c>
      <c r="AV188" t="s" s="0">
        <v>81</v>
      </c>
      <c r="AW188" t="s" s="0">
        <v>4303</v>
      </c>
      <c r="AX188" t="s" s="0">
        <v>4304</v>
      </c>
      <c r="AY188" t="s" s="0">
        <v>4305</v>
      </c>
      <c r="AZ188" t="s" s="0">
        <v>106</v>
      </c>
      <c r="BA188" t="s" s="0">
        <v>339</v>
      </c>
      <c r="BB188" t="s" s="0">
        <v>413</v>
      </c>
      <c r="BC188" t="s" s="0">
        <v>81</v>
      </c>
      <c r="BD188" t="s" s="0">
        <v>81</v>
      </c>
      <c r="BE188" t="s" s="0">
        <v>81</v>
      </c>
      <c r="BF188" t="s" s="0">
        <v>81</v>
      </c>
      <c r="BG188" t="s" s="0">
        <v>81</v>
      </c>
      <c r="BH188" t="s" s="0">
        <v>81</v>
      </c>
      <c r="BI188" t="s" s="0">
        <v>4306</v>
      </c>
      <c r="BJ188" t="s" s="0">
        <v>4307</v>
      </c>
      <c r="BK188" t="s" s="373">
        <f>HYPERLINK("http://dx.doi.org/10.1149/1945-7111/ae9647","http://dx.doi.org/10.1149/1945-7111/ae9647")</f>
        <v>4308</v>
      </c>
      <c r="BL188" t="s" s="0">
        <v>81</v>
      </c>
      <c r="BM188" t="s" s="0">
        <v>81</v>
      </c>
      <c r="BN188" t="s" s="0">
        <v>225</v>
      </c>
      <c r="BO188" t="s" s="0">
        <v>4309</v>
      </c>
      <c r="BP188" t="s" s="0">
        <v>4310</v>
      </c>
      <c r="BQ188" t="s" s="0">
        <v>4311</v>
      </c>
      <c r="BR188" t="s" s="0">
        <v>81</v>
      </c>
      <c r="BS188" t="s" s="0">
        <v>4312</v>
      </c>
      <c r="BT188" t="s" s="374">
        <f>HYPERLINK("https://www.webofscience.com/wos/woscc/full-record/WOS:001854500700001","View Record in Web of Science")</f>
        <v>118</v>
      </c>
      <c r="BU188" t="s" s="0">
        <v>81</v>
      </c>
      <c r="BV188" t="s" s="0">
        <v>81</v>
      </c>
      <c r="BW188" t="s" s="0">
        <v>81</v>
      </c>
      <c r="BX188" t="s" s="0">
        <v>120</v>
      </c>
    </row>
    <row r="189">
      <c r="A189" t="s" s="0">
        <v>77</v>
      </c>
      <c r="B189" t="s" s="0">
        <v>77</v>
      </c>
      <c r="C189" t="s" s="0">
        <v>77</v>
      </c>
      <c r="D189" t="s" s="0">
        <v>77</v>
      </c>
      <c r="E189" t="s" s="0">
        <v>4313</v>
      </c>
      <c r="F189" t="s" s="0">
        <v>4314</v>
      </c>
      <c r="G189" t="s" s="0">
        <v>4315</v>
      </c>
      <c r="H189" t="s" s="0">
        <v>81</v>
      </c>
      <c r="I189" t="s" s="0">
        <v>82</v>
      </c>
      <c r="J189" t="s" s="0">
        <v>4316</v>
      </c>
      <c r="K189" t="s" s="0">
        <v>4317</v>
      </c>
      <c r="L189" t="s" s="0">
        <v>81</v>
      </c>
      <c r="M189" t="s" s="0">
        <v>81</v>
      </c>
      <c r="N189" t="s" s="0">
        <v>81</v>
      </c>
      <c r="O189" t="s" s="0">
        <v>4318</v>
      </c>
      <c r="P189" t="s" s="0">
        <v>4319</v>
      </c>
      <c r="Q189" t="s" s="0">
        <v>90</v>
      </c>
      <c r="R189" t="s" s="0">
        <v>81</v>
      </c>
      <c r="S189" t="s" s="0">
        <v>81</v>
      </c>
      <c r="T189" t="s" s="0">
        <v>81</v>
      </c>
      <c r="U189" t="s" s="0">
        <v>81</v>
      </c>
      <c r="V189" t="s" s="0">
        <v>4320</v>
      </c>
      <c r="W189" t="s" s="0">
        <v>2825</v>
      </c>
      <c r="X189" t="s" s="0">
        <v>81</v>
      </c>
      <c r="Y189" t="s" s="0">
        <v>81</v>
      </c>
      <c r="Z189" t="s" s="0">
        <v>93</v>
      </c>
      <c r="AA189" t="s" s="0">
        <v>94</v>
      </c>
      <c r="AB189" t="s" s="0">
        <v>81</v>
      </c>
      <c r="AC189" t="s" s="0">
        <v>81</v>
      </c>
      <c r="AD189" t="s" s="0">
        <v>81</v>
      </c>
      <c r="AE189" t="s" s="0">
        <v>81</v>
      </c>
      <c r="AF189" t="s" s="0">
        <v>81</v>
      </c>
      <c r="AG189" t="s" s="0">
        <v>4321</v>
      </c>
      <c r="AH189" t="s" s="0">
        <v>4322</v>
      </c>
      <c r="AI189" t="s" s="0">
        <v>4323</v>
      </c>
      <c r="AJ189" t="s" s="0">
        <v>4324</v>
      </c>
      <c r="AK189" t="s" s="0">
        <v>81</v>
      </c>
      <c r="AL189" t="s" s="0">
        <v>4325</v>
      </c>
      <c r="AM189" t="s" s="0">
        <v>77</v>
      </c>
      <c r="AN189" t="s" s="0">
        <v>77</v>
      </c>
      <c r="AO189" t="s" s="0">
        <v>433</v>
      </c>
      <c r="AP189" t="s" s="0">
        <v>433</v>
      </c>
      <c r="AQ189" t="s" s="0">
        <v>779</v>
      </c>
      <c r="AR189" t="s" s="0">
        <v>780</v>
      </c>
      <c r="AS189" t="s" s="0">
        <v>781</v>
      </c>
      <c r="AT189" t="s" s="0">
        <v>2829</v>
      </c>
      <c r="AU189" t="s" s="0">
        <v>2830</v>
      </c>
      <c r="AV189" t="s" s="0">
        <v>81</v>
      </c>
      <c r="AW189" t="s" s="0">
        <v>2825</v>
      </c>
      <c r="AX189" t="s" s="0">
        <v>2831</v>
      </c>
      <c r="AY189" t="s" s="0">
        <v>4305</v>
      </c>
      <c r="AZ189" t="s" s="0">
        <v>106</v>
      </c>
      <c r="BA189" t="s" s="0">
        <v>4326</v>
      </c>
      <c r="BB189" t="s" s="0">
        <v>81</v>
      </c>
      <c r="BC189" t="s" s="0">
        <v>81</v>
      </c>
      <c r="BD189" t="s" s="0">
        <v>81</v>
      </c>
      <c r="BE189" t="s" s="0">
        <v>81</v>
      </c>
      <c r="BF189" t="s" s="0">
        <v>81</v>
      </c>
      <c r="BG189" t="s" s="0">
        <v>870</v>
      </c>
      <c r="BH189" t="s" s="0">
        <v>2090</v>
      </c>
      <c r="BI189" t="s" s="0">
        <v>81</v>
      </c>
      <c r="BJ189" t="s" s="0">
        <v>4327</v>
      </c>
      <c r="BK189" t="s" s="375">
        <f>HYPERLINK("http://dx.doi.org/10.1016/j.neuroscience.2026.05.036","http://dx.doi.org/10.1016/j.neuroscience.2026.05.036")</f>
        <v>4328</v>
      </c>
      <c r="BL189" t="s" s="0">
        <v>81</v>
      </c>
      <c r="BM189" t="s" s="0">
        <v>81</v>
      </c>
      <c r="BN189" t="s" s="0">
        <v>2898</v>
      </c>
      <c r="BO189" t="s" s="0">
        <v>2838</v>
      </c>
      <c r="BP189" t="s" s="0">
        <v>146</v>
      </c>
      <c r="BQ189" t="s" s="0">
        <v>4329</v>
      </c>
      <c r="BR189" t="s" s="0">
        <v>4330</v>
      </c>
      <c r="BS189" t="s" s="0">
        <v>4331</v>
      </c>
      <c r="BT189" t="s" s="376">
        <f>HYPERLINK("https://www.webofscience.com/wos/woscc/full-record/WOS:001797701800001","View Record in Web of Science")</f>
        <v>118</v>
      </c>
      <c r="BU189" t="s" s="0">
        <v>81</v>
      </c>
      <c r="BV189" t="s" s="0">
        <v>81</v>
      </c>
      <c r="BW189" t="s" s="0">
        <v>81</v>
      </c>
      <c r="BX189" t="s" s="0">
        <v>120</v>
      </c>
    </row>
    <row r="190">
      <c r="A190" t="s" s="0">
        <v>77</v>
      </c>
      <c r="B190" t="s" s="0">
        <v>77</v>
      </c>
      <c r="C190" t="s" s="0">
        <v>77</v>
      </c>
      <c r="D190" t="s" s="0">
        <v>77</v>
      </c>
      <c r="E190" t="s" s="0">
        <v>4332</v>
      </c>
      <c r="F190" t="s" s="0">
        <v>4333</v>
      </c>
      <c r="G190" t="s" s="0">
        <v>4334</v>
      </c>
      <c r="H190" t="s" s="0">
        <v>81</v>
      </c>
      <c r="I190" t="s" s="0">
        <v>82</v>
      </c>
      <c r="J190" t="s" s="0">
        <v>4335</v>
      </c>
      <c r="K190" t="s" s="0">
        <v>4336</v>
      </c>
      <c r="L190" t="s" s="0">
        <v>81</v>
      </c>
      <c r="M190" t="s" s="0">
        <v>81</v>
      </c>
      <c r="N190" t="s" s="0">
        <v>81</v>
      </c>
      <c r="O190" t="s" s="0">
        <v>4337</v>
      </c>
      <c r="P190" t="s" s="0">
        <v>4338</v>
      </c>
      <c r="Q190" t="s" s="0">
        <v>90</v>
      </c>
      <c r="R190" t="s" s="0">
        <v>81</v>
      </c>
      <c r="S190" t="s" s="0">
        <v>81</v>
      </c>
      <c r="T190" t="s" s="0">
        <v>81</v>
      </c>
      <c r="U190" t="s" s="0">
        <v>81</v>
      </c>
      <c r="V190" t="s" s="0">
        <v>4339</v>
      </c>
      <c r="W190" t="s" s="0">
        <v>775</v>
      </c>
      <c r="X190" t="s" s="0">
        <v>81</v>
      </c>
      <c r="Y190" t="s" s="0">
        <v>81</v>
      </c>
      <c r="Z190" t="s" s="0">
        <v>93</v>
      </c>
      <c r="AA190" t="s" s="0">
        <v>94</v>
      </c>
      <c r="AB190" t="s" s="0">
        <v>81</v>
      </c>
      <c r="AC190" t="s" s="0">
        <v>81</v>
      </c>
      <c r="AD190" t="s" s="0">
        <v>81</v>
      </c>
      <c r="AE190" t="s" s="0">
        <v>81</v>
      </c>
      <c r="AF190" t="s" s="0">
        <v>81</v>
      </c>
      <c r="AG190" t="s" s="0">
        <v>4340</v>
      </c>
      <c r="AH190" t="s" s="0">
        <v>4341</v>
      </c>
      <c r="AI190" t="s" s="0">
        <v>4342</v>
      </c>
      <c r="AJ190" t="s" s="0">
        <v>81</v>
      </c>
      <c r="AK190" t="s" s="0">
        <v>81</v>
      </c>
      <c r="AL190" t="s" s="0">
        <v>4343</v>
      </c>
      <c r="AM190" t="s" s="0">
        <v>77</v>
      </c>
      <c r="AN190" t="s" s="0">
        <v>77</v>
      </c>
      <c r="AO190" t="s" s="0">
        <v>484</v>
      </c>
      <c r="AP190" t="s" s="0">
        <v>484</v>
      </c>
      <c r="AQ190" t="s" s="0">
        <v>779</v>
      </c>
      <c r="AR190" t="s" s="0">
        <v>780</v>
      </c>
      <c r="AS190" t="s" s="0">
        <v>781</v>
      </c>
      <c r="AT190" t="s" s="0">
        <v>782</v>
      </c>
      <c r="AU190" t="s" s="0">
        <v>783</v>
      </c>
      <c r="AV190" t="s" s="0">
        <v>81</v>
      </c>
      <c r="AW190" t="s" s="0">
        <v>784</v>
      </c>
      <c r="AX190" t="s" s="0">
        <v>785</v>
      </c>
      <c r="AY190" t="s" s="0">
        <v>4344</v>
      </c>
      <c r="AZ190" t="s" s="0">
        <v>106</v>
      </c>
      <c r="BA190" t="s" s="0">
        <v>4345</v>
      </c>
      <c r="BB190" t="s" s="0">
        <v>81</v>
      </c>
      <c r="BC190" t="s" s="0">
        <v>81</v>
      </c>
      <c r="BD190" t="s" s="0">
        <v>81</v>
      </c>
      <c r="BE190" t="s" s="0">
        <v>81</v>
      </c>
      <c r="BF190" t="s" s="0">
        <v>81</v>
      </c>
      <c r="BG190" t="s" s="0">
        <v>81</v>
      </c>
      <c r="BH190" t="s" s="0">
        <v>81</v>
      </c>
      <c r="BI190" t="s" s="0">
        <v>4346</v>
      </c>
      <c r="BJ190" t="s" s="0">
        <v>4347</v>
      </c>
      <c r="BK190" t="s" s="377">
        <f>HYPERLINK("http://dx.doi.org/10.1016/j.eswa.2026.132559","http://dx.doi.org/10.1016/j.eswa.2026.132559")</f>
        <v>4348</v>
      </c>
      <c r="BL190" t="s" s="0">
        <v>81</v>
      </c>
      <c r="BM190" t="s" s="0">
        <v>81</v>
      </c>
      <c r="BN190" t="s" s="0">
        <v>465</v>
      </c>
      <c r="BO190" t="s" s="0">
        <v>792</v>
      </c>
      <c r="BP190" t="s" s="0">
        <v>793</v>
      </c>
      <c r="BQ190" t="s" s="0">
        <v>4349</v>
      </c>
      <c r="BR190" t="s" s="0">
        <v>81</v>
      </c>
      <c r="BS190" t="s" s="0">
        <v>4350</v>
      </c>
      <c r="BT190" t="s" s="378">
        <f>HYPERLINK("https://www.webofscience.com/wos/woscc/full-record/WOS:001759464700001","View Record in Web of Science")</f>
        <v>118</v>
      </c>
      <c r="BU190" t="s" s="0">
        <v>81</v>
      </c>
      <c r="BV190" t="s" s="0">
        <v>81</v>
      </c>
      <c r="BW190" t="s" s="0">
        <v>81</v>
      </c>
      <c r="BX190" t="s" s="0">
        <v>120</v>
      </c>
    </row>
    <row r="191">
      <c r="A191" t="s" s="0">
        <v>77</v>
      </c>
      <c r="B191" t="s" s="0">
        <v>77</v>
      </c>
      <c r="C191" t="s" s="0">
        <v>77</v>
      </c>
      <c r="D191" t="s" s="0">
        <v>77</v>
      </c>
      <c r="E191" t="s" s="0">
        <v>4351</v>
      </c>
      <c r="F191" t="s" s="0">
        <v>4352</v>
      </c>
      <c r="G191" t="s" s="0">
        <v>4353</v>
      </c>
      <c r="H191" t="s" s="0">
        <v>81</v>
      </c>
      <c r="I191" t="s" s="0">
        <v>82</v>
      </c>
      <c r="J191" t="s" s="0">
        <v>4354</v>
      </c>
      <c r="K191" t="s" s="0">
        <v>4355</v>
      </c>
      <c r="L191" t="s" s="0">
        <v>4356</v>
      </c>
      <c r="M191" t="s" s="0">
        <v>330</v>
      </c>
      <c r="N191" t="s" s="0">
        <v>4357</v>
      </c>
      <c r="O191" t="s" s="0">
        <v>4358</v>
      </c>
      <c r="P191" t="s" s="0">
        <v>4359</v>
      </c>
      <c r="Q191" t="s" s="0">
        <v>90</v>
      </c>
      <c r="R191" t="s" s="0">
        <v>81</v>
      </c>
      <c r="S191" t="s" s="0">
        <v>81</v>
      </c>
      <c r="T191" t="s" s="0">
        <v>81</v>
      </c>
      <c r="U191" t="s" s="0">
        <v>81</v>
      </c>
      <c r="V191" t="s" s="0">
        <v>4360</v>
      </c>
      <c r="W191" t="s" s="0">
        <v>4361</v>
      </c>
      <c r="X191" t="s" s="0">
        <v>81</v>
      </c>
      <c r="Y191" t="s" s="0">
        <v>81</v>
      </c>
      <c r="Z191" t="s" s="0">
        <v>93</v>
      </c>
      <c r="AA191" t="s" s="0">
        <v>94</v>
      </c>
      <c r="AB191" t="s" s="0">
        <v>81</v>
      </c>
      <c r="AC191" t="s" s="0">
        <v>81</v>
      </c>
      <c r="AD191" t="s" s="0">
        <v>81</v>
      </c>
      <c r="AE191" t="s" s="0">
        <v>81</v>
      </c>
      <c r="AF191" t="s" s="0">
        <v>81</v>
      </c>
      <c r="AG191" t="s" s="0">
        <v>4362</v>
      </c>
      <c r="AH191" t="s" s="0">
        <v>4363</v>
      </c>
      <c r="AI191" t="s" s="0">
        <v>81</v>
      </c>
      <c r="AJ191" t="s" s="0">
        <v>81</v>
      </c>
      <c r="AK191" t="s" s="0">
        <v>81</v>
      </c>
      <c r="AL191" t="s" s="0">
        <v>4364</v>
      </c>
      <c r="AM191" t="s" s="0">
        <v>77</v>
      </c>
      <c r="AN191" t="s" s="0">
        <v>77</v>
      </c>
      <c r="AO191" t="s" s="0">
        <v>77</v>
      </c>
      <c r="AP191" t="s" s="0">
        <v>77</v>
      </c>
      <c r="AQ191" t="s" s="0">
        <v>4365</v>
      </c>
      <c r="AR191" t="s" s="0">
        <v>4366</v>
      </c>
      <c r="AS191" t="s" s="0">
        <v>4367</v>
      </c>
      <c r="AT191" t="s" s="0">
        <v>4368</v>
      </c>
      <c r="AU191" t="s" s="0">
        <v>4369</v>
      </c>
      <c r="AV191" t="s" s="0">
        <v>81</v>
      </c>
      <c r="AW191" t="s" s="0">
        <v>4370</v>
      </c>
      <c r="AX191" t="s" s="0">
        <v>4371</v>
      </c>
      <c r="AY191" t="s" s="0">
        <v>4372</v>
      </c>
      <c r="AZ191" t="s" s="0">
        <v>106</v>
      </c>
      <c r="BA191" t="s" s="0">
        <v>4373</v>
      </c>
      <c r="BB191" t="s" s="0">
        <v>434</v>
      </c>
      <c r="BC191" t="s" s="0">
        <v>81</v>
      </c>
      <c r="BD191" t="s" s="0">
        <v>81</v>
      </c>
      <c r="BE191" t="s" s="0">
        <v>81</v>
      </c>
      <c r="BF191" t="s" s="0">
        <v>81</v>
      </c>
      <c r="BG191" t="s" s="0">
        <v>81</v>
      </c>
      <c r="BH191" t="s" s="0">
        <v>81</v>
      </c>
      <c r="BI191" t="s" s="0">
        <v>4374</v>
      </c>
      <c r="BJ191" t="s" s="0">
        <v>4375</v>
      </c>
      <c r="BK191" t="s" s="379">
        <f>HYPERLINK("http://dx.doi.org/10.1007/s00604-026-08257-3","http://dx.doi.org/10.1007/s00604-026-08257-3")</f>
        <v>4376</v>
      </c>
      <c r="BL191" t="s" s="0">
        <v>81</v>
      </c>
      <c r="BM191" t="s" s="0">
        <v>81</v>
      </c>
      <c r="BN191" t="s" s="0">
        <v>493</v>
      </c>
      <c r="BO191" t="s" s="0">
        <v>1427</v>
      </c>
      <c r="BP191" t="s" s="0">
        <v>1328</v>
      </c>
      <c r="BQ191" t="s" s="0">
        <v>4377</v>
      </c>
      <c r="BR191" t="s" s="0">
        <v>4378</v>
      </c>
      <c r="BS191" t="s" s="0">
        <v>4379</v>
      </c>
      <c r="BT191" t="s" s="380">
        <f>HYPERLINK("https://www.webofscience.com/wos/woscc/full-record/WOS:001854336400001","View Record in Web of Science")</f>
        <v>118</v>
      </c>
      <c r="BU191" t="s" s="0">
        <v>81</v>
      </c>
      <c r="BV191" t="s" s="0">
        <v>81</v>
      </c>
      <c r="BW191" t="s" s="0">
        <v>81</v>
      </c>
      <c r="BX191" t="s" s="0">
        <v>120</v>
      </c>
    </row>
    <row r="192">
      <c r="A192" t="s" s="0">
        <v>77</v>
      </c>
      <c r="B192" t="s" s="0">
        <v>77</v>
      </c>
      <c r="C192" t="s" s="0">
        <v>77</v>
      </c>
      <c r="D192" t="s" s="0">
        <v>77</v>
      </c>
      <c r="E192" t="s" s="0">
        <v>4380</v>
      </c>
      <c r="F192" t="s" s="0">
        <v>4381</v>
      </c>
      <c r="G192" t="s" s="0">
        <v>4382</v>
      </c>
      <c r="H192" t="s" s="0">
        <v>81</v>
      </c>
      <c r="I192" t="s" s="0">
        <v>1004</v>
      </c>
      <c r="J192" t="s" s="0">
        <v>4383</v>
      </c>
      <c r="K192" t="s" s="0">
        <v>4384</v>
      </c>
      <c r="L192" t="s" s="0">
        <v>81</v>
      </c>
      <c r="M192" t="s" s="0">
        <v>81</v>
      </c>
      <c r="N192" t="s" s="0">
        <v>81</v>
      </c>
      <c r="O192" t="s" s="0">
        <v>4385</v>
      </c>
      <c r="P192" t="s" s="0">
        <v>4386</v>
      </c>
      <c r="Q192" t="s" s="0">
        <v>90</v>
      </c>
      <c r="R192" t="s" s="0">
        <v>81</v>
      </c>
      <c r="S192" t="s" s="0">
        <v>81</v>
      </c>
      <c r="T192" t="s" s="0">
        <v>81</v>
      </c>
      <c r="U192" t="s" s="0">
        <v>81</v>
      </c>
      <c r="V192" t="s" s="0">
        <v>4387</v>
      </c>
      <c r="W192" t="s" s="0">
        <v>4388</v>
      </c>
      <c r="X192" t="s" s="0">
        <v>81</v>
      </c>
      <c r="Y192" t="s" s="0">
        <v>81</v>
      </c>
      <c r="Z192" t="s" s="0">
        <v>93</v>
      </c>
      <c r="AA192" t="s" s="0">
        <v>4389</v>
      </c>
      <c r="AB192" t="s" s="0">
        <v>81</v>
      </c>
      <c r="AC192" t="s" s="0">
        <v>81</v>
      </c>
      <c r="AD192" t="s" s="0">
        <v>81</v>
      </c>
      <c r="AE192" t="s" s="0">
        <v>81</v>
      </c>
      <c r="AF192" t="s" s="0">
        <v>81</v>
      </c>
      <c r="AG192" t="s" s="0">
        <v>4390</v>
      </c>
      <c r="AH192" t="s" s="0">
        <v>4391</v>
      </c>
      <c r="AI192" t="s" s="0">
        <v>81</v>
      </c>
      <c r="AJ192" t="s" s="0">
        <v>81</v>
      </c>
      <c r="AK192" t="s" s="0">
        <v>81</v>
      </c>
      <c r="AL192" t="s" s="0">
        <v>1525</v>
      </c>
      <c r="AM192" t="s" s="0">
        <v>77</v>
      </c>
      <c r="AN192" t="s" s="0">
        <v>77</v>
      </c>
      <c r="AO192" t="s" s="0">
        <v>77</v>
      </c>
      <c r="AP192" t="s" s="0">
        <v>77</v>
      </c>
      <c r="AQ192" t="s" s="0">
        <v>133</v>
      </c>
      <c r="AR192" t="s" s="0">
        <v>134</v>
      </c>
      <c r="AS192" t="s" s="0">
        <v>135</v>
      </c>
      <c r="AT192" t="s" s="0">
        <v>4392</v>
      </c>
      <c r="AU192" t="s" s="0">
        <v>4393</v>
      </c>
      <c r="AV192" t="s" s="0">
        <v>81</v>
      </c>
      <c r="AW192" t="s" s="0">
        <v>4394</v>
      </c>
      <c r="AX192" t="s" s="0">
        <v>4395</v>
      </c>
      <c r="AY192" t="s" s="0">
        <v>81</v>
      </c>
      <c r="AZ192" t="s" s="0">
        <v>106</v>
      </c>
      <c r="BA192" t="s" s="0">
        <v>81</v>
      </c>
      <c r="BB192" t="s" s="0">
        <v>81</v>
      </c>
      <c r="BC192" t="s" s="0">
        <v>81</v>
      </c>
      <c r="BD192" t="s" s="0">
        <v>81</v>
      </c>
      <c r="BE192" t="s" s="0">
        <v>81</v>
      </c>
      <c r="BF192" t="s" s="0">
        <v>81</v>
      </c>
      <c r="BG192" t="s" s="0">
        <v>81</v>
      </c>
      <c r="BH192" t="s" s="0">
        <v>81</v>
      </c>
      <c r="BI192" t="s" s="0">
        <v>81</v>
      </c>
      <c r="BJ192" t="s" s="0">
        <v>4396</v>
      </c>
      <c r="BK192" t="s" s="381">
        <f>HYPERLINK("http://dx.doi.org/10.1080/14737167.2026.2719628","http://dx.doi.org/10.1080/14737167.2026.2719628")</f>
        <v>4397</v>
      </c>
      <c r="BL192" t="s" s="0">
        <v>81</v>
      </c>
      <c r="BM192" t="s" s="0">
        <v>4398</v>
      </c>
      <c r="BN192" t="s" s="0">
        <v>438</v>
      </c>
      <c r="BO192" t="s" s="0">
        <v>4399</v>
      </c>
      <c r="BP192" t="s" s="0">
        <v>4400</v>
      </c>
      <c r="BQ192" t="s" s="0">
        <v>4401</v>
      </c>
      <c r="BR192" t="s" s="0">
        <v>4402</v>
      </c>
      <c r="BS192" t="s" s="0">
        <v>4403</v>
      </c>
      <c r="BT192" t="s" s="382">
        <f>HYPERLINK("https://www.webofscience.com/wos/woscc/full-record/WOS:001853992100001","View Record in Web of Science")</f>
        <v>118</v>
      </c>
      <c r="BU192" t="s" s="0">
        <v>81</v>
      </c>
      <c r="BV192" t="s" s="0">
        <v>81</v>
      </c>
      <c r="BW192" t="s" s="0">
        <v>81</v>
      </c>
      <c r="BX192" t="s" s="0">
        <v>120</v>
      </c>
    </row>
    <row r="193">
      <c r="A193" t="s" s="0">
        <v>77</v>
      </c>
      <c r="B193" t="s" s="0">
        <v>77</v>
      </c>
      <c r="C193" t="s" s="0">
        <v>77</v>
      </c>
      <c r="D193" t="s" s="0">
        <v>77</v>
      </c>
      <c r="E193" t="s" s="0">
        <v>4404</v>
      </c>
      <c r="F193" t="s" s="0">
        <v>4405</v>
      </c>
      <c r="G193" t="s" s="0">
        <v>4406</v>
      </c>
      <c r="H193" t="s" s="0">
        <v>81</v>
      </c>
      <c r="I193" t="s" s="0">
        <v>82</v>
      </c>
      <c r="J193" t="s" s="0">
        <v>4407</v>
      </c>
      <c r="K193" t="s" s="0">
        <v>4408</v>
      </c>
      <c r="L193" t="s" s="0">
        <v>4409</v>
      </c>
      <c r="M193" t="s" s="0">
        <v>4410</v>
      </c>
      <c r="N193" t="s" s="0">
        <v>4411</v>
      </c>
      <c r="O193" t="s" s="0">
        <v>4412</v>
      </c>
      <c r="P193" t="s" s="0">
        <v>4413</v>
      </c>
      <c r="Q193" t="s" s="0">
        <v>90</v>
      </c>
      <c r="R193" t="s" s="0">
        <v>81</v>
      </c>
      <c r="S193" t="s" s="0">
        <v>81</v>
      </c>
      <c r="T193" t="s" s="0">
        <v>81</v>
      </c>
      <c r="U193" t="s" s="0">
        <v>81</v>
      </c>
      <c r="V193" t="s" s="0">
        <v>4414</v>
      </c>
      <c r="W193" t="s" s="0">
        <v>4415</v>
      </c>
      <c r="X193" t="s" s="0">
        <v>81</v>
      </c>
      <c r="Y193" t="s" s="0">
        <v>81</v>
      </c>
      <c r="Z193" t="s" s="0">
        <v>93</v>
      </c>
      <c r="AA193" t="s" s="0">
        <v>94</v>
      </c>
      <c r="AB193" t="s" s="0">
        <v>81</v>
      </c>
      <c r="AC193" t="s" s="0">
        <v>81</v>
      </c>
      <c r="AD193" t="s" s="0">
        <v>81</v>
      </c>
      <c r="AE193" t="s" s="0">
        <v>81</v>
      </c>
      <c r="AF193" t="s" s="0">
        <v>81</v>
      </c>
      <c r="AG193" t="s" s="0">
        <v>4416</v>
      </c>
      <c r="AH193" t="s" s="0">
        <v>4417</v>
      </c>
      <c r="AI193" t="s" s="0">
        <v>81</v>
      </c>
      <c r="AJ193" t="s" s="0">
        <v>81</v>
      </c>
      <c r="AK193" t="s" s="0">
        <v>81</v>
      </c>
      <c r="AL193" t="s" s="0">
        <v>1703</v>
      </c>
      <c r="AM193" t="s" s="0">
        <v>77</v>
      </c>
      <c r="AN193" t="s" s="0">
        <v>77</v>
      </c>
      <c r="AO193" t="s" s="0">
        <v>77</v>
      </c>
      <c r="AP193" t="s" s="0">
        <v>77</v>
      </c>
      <c r="AQ193" t="s" s="0">
        <v>4418</v>
      </c>
      <c r="AR193" t="s" s="0">
        <v>4419</v>
      </c>
      <c r="AS193" t="s" s="0">
        <v>4420</v>
      </c>
      <c r="AT193" t="s" s="0">
        <v>4421</v>
      </c>
      <c r="AU193" t="s" s="0">
        <v>4422</v>
      </c>
      <c r="AV193" t="s" s="0">
        <v>81</v>
      </c>
      <c r="AW193" t="s" s="0">
        <v>4423</v>
      </c>
      <c r="AX193" t="s" s="0">
        <v>4424</v>
      </c>
      <c r="AY193" t="s" s="0">
        <v>4372</v>
      </c>
      <c r="AZ193" t="s" s="0">
        <v>106</v>
      </c>
      <c r="BA193" t="s" s="0">
        <v>465</v>
      </c>
      <c r="BB193" t="s" s="0">
        <v>193</v>
      </c>
      <c r="BC193" t="s" s="0">
        <v>81</v>
      </c>
      <c r="BD193" t="s" s="0">
        <v>81</v>
      </c>
      <c r="BE193" t="s" s="0">
        <v>81</v>
      </c>
      <c r="BF193" t="s" s="0">
        <v>81</v>
      </c>
      <c r="BG193" t="s" s="0">
        <v>81</v>
      </c>
      <c r="BH193" t="s" s="0">
        <v>81</v>
      </c>
      <c r="BI193" t="s" s="0">
        <v>4425</v>
      </c>
      <c r="BJ193" t="s" s="0">
        <v>4426</v>
      </c>
      <c r="BK193" t="s" s="383">
        <f>HYPERLINK("http://dx.doi.org/10.3748/wjg.117869","http://dx.doi.org/10.3748/wjg.117869")</f>
        <v>4427</v>
      </c>
      <c r="BL193" t="s" s="0">
        <v>81</v>
      </c>
      <c r="BM193" t="s" s="0">
        <v>81</v>
      </c>
      <c r="BN193" t="s" s="0">
        <v>144</v>
      </c>
      <c r="BO193" t="s" s="0">
        <v>3102</v>
      </c>
      <c r="BP193" t="s" s="0">
        <v>3102</v>
      </c>
      <c r="BQ193" t="s" s="0">
        <v>4428</v>
      </c>
      <c r="BR193" t="s" s="0">
        <v>81</v>
      </c>
      <c r="BS193" t="s" s="0">
        <v>4429</v>
      </c>
      <c r="BT193" t="s" s="384">
        <f>HYPERLINK("https://www.webofscience.com/wos/woscc/full-record/WOS:001853790600010","View Record in Web of Science")</f>
        <v>118</v>
      </c>
      <c r="BU193" t="s" s="0">
        <v>877</v>
      </c>
      <c r="BV193" t="s" s="0">
        <v>81</v>
      </c>
      <c r="BW193" t="s" s="0">
        <v>81</v>
      </c>
      <c r="BX193" t="s" s="0">
        <v>120</v>
      </c>
    </row>
    <row r="194">
      <c r="A194" t="s" s="0">
        <v>77</v>
      </c>
      <c r="B194" t="s" s="0">
        <v>77</v>
      </c>
      <c r="C194" t="s" s="0">
        <v>77</v>
      </c>
      <c r="D194" t="s" s="0">
        <v>77</v>
      </c>
      <c r="E194" t="s" s="0">
        <v>4430</v>
      </c>
      <c r="F194" t="s" s="0">
        <v>4431</v>
      </c>
      <c r="G194" t="s" s="0">
        <v>4432</v>
      </c>
      <c r="H194" t="s" s="0">
        <v>81</v>
      </c>
      <c r="I194" t="s" s="0">
        <v>82</v>
      </c>
      <c r="J194" t="s" s="0">
        <v>4433</v>
      </c>
      <c r="K194" t="s" s="0">
        <v>4434</v>
      </c>
      <c r="L194" t="s" s="0">
        <v>81</v>
      </c>
      <c r="M194" t="s" s="0">
        <v>81</v>
      </c>
      <c r="N194" t="s" s="0">
        <v>81</v>
      </c>
      <c r="O194" t="s" s="0">
        <v>4435</v>
      </c>
      <c r="P194" t="s" s="0">
        <v>4436</v>
      </c>
      <c r="Q194" t="s" s="0">
        <v>90</v>
      </c>
      <c r="R194" t="s" s="0">
        <v>81</v>
      </c>
      <c r="S194" t="s" s="0">
        <v>81</v>
      </c>
      <c r="T194" t="s" s="0">
        <v>81</v>
      </c>
      <c r="U194" t="s" s="0">
        <v>81</v>
      </c>
      <c r="V194" t="s" s="0">
        <v>4437</v>
      </c>
      <c r="W194" t="s" s="0">
        <v>4438</v>
      </c>
      <c r="X194" t="s" s="0">
        <v>81</v>
      </c>
      <c r="Y194" t="s" s="0">
        <v>81</v>
      </c>
      <c r="Z194" t="s" s="0">
        <v>93</v>
      </c>
      <c r="AA194" t="s" s="0">
        <v>94</v>
      </c>
      <c r="AB194" t="s" s="0">
        <v>81</v>
      </c>
      <c r="AC194" t="s" s="0">
        <v>81</v>
      </c>
      <c r="AD194" t="s" s="0">
        <v>81</v>
      </c>
      <c r="AE194" t="s" s="0">
        <v>81</v>
      </c>
      <c r="AF194" t="s" s="0">
        <v>81</v>
      </c>
      <c r="AG194" t="s" s="0">
        <v>4439</v>
      </c>
      <c r="AH194" t="s" s="0">
        <v>81</v>
      </c>
      <c r="AI194" t="s" s="0">
        <v>81</v>
      </c>
      <c r="AJ194" t="s" s="0">
        <v>81</v>
      </c>
      <c r="AK194" t="s" s="0">
        <v>81</v>
      </c>
      <c r="AL194" t="s" s="0">
        <v>752</v>
      </c>
      <c r="AM194" t="s" s="0">
        <v>77</v>
      </c>
      <c r="AN194" t="s" s="0">
        <v>77</v>
      </c>
      <c r="AO194" t="s" s="0">
        <v>77</v>
      </c>
      <c r="AP194" t="s" s="0">
        <v>77</v>
      </c>
      <c r="AQ194" t="s" s="0">
        <v>4440</v>
      </c>
      <c r="AR194" t="s" s="0">
        <v>1104</v>
      </c>
      <c r="AS194" t="s" s="0">
        <v>4441</v>
      </c>
      <c r="AT194" t="s" s="0">
        <v>4442</v>
      </c>
      <c r="AU194" t="s" s="0">
        <v>4443</v>
      </c>
      <c r="AV194" t="s" s="0">
        <v>81</v>
      </c>
      <c r="AW194" t="s" s="0">
        <v>4438</v>
      </c>
      <c r="AX194" t="s" s="0">
        <v>4444</v>
      </c>
      <c r="AY194" t="s" s="0">
        <v>4445</v>
      </c>
      <c r="AZ194" t="s" s="0">
        <v>106</v>
      </c>
      <c r="BA194" t="s" s="0">
        <v>1863</v>
      </c>
      <c r="BB194" t="s" s="0">
        <v>720</v>
      </c>
      <c r="BC194" t="s" s="0">
        <v>81</v>
      </c>
      <c r="BD194" t="s" s="0">
        <v>81</v>
      </c>
      <c r="BE194" t="s" s="0">
        <v>81</v>
      </c>
      <c r="BF194" t="s" s="0">
        <v>81</v>
      </c>
      <c r="BG194" t="s" s="0">
        <v>81</v>
      </c>
      <c r="BH194" t="s" s="0">
        <v>81</v>
      </c>
      <c r="BI194" t="s" s="0">
        <v>244</v>
      </c>
      <c r="BJ194" t="s" s="0">
        <v>4446</v>
      </c>
      <c r="BK194" t="s" s="385">
        <f>HYPERLINK("http://dx.doi.org/10.1007/s11102-026-01747-w","http://dx.doi.org/10.1007/s11102-026-01747-w")</f>
        <v>4447</v>
      </c>
      <c r="BL194" t="s" s="0">
        <v>81</v>
      </c>
      <c r="BM194" t="s" s="0">
        <v>81</v>
      </c>
      <c r="BN194" t="s" s="0">
        <v>433</v>
      </c>
      <c r="BO194" t="s" s="0">
        <v>4448</v>
      </c>
      <c r="BP194" t="s" s="0">
        <v>4448</v>
      </c>
      <c r="BQ194" t="s" s="0">
        <v>4449</v>
      </c>
      <c r="BR194" t="s" s="0">
        <v>4450</v>
      </c>
      <c r="BS194" t="s" s="0">
        <v>4451</v>
      </c>
      <c r="BT194" t="s" s="386">
        <f>HYPERLINK("https://www.webofscience.com/wos/woscc/full-record/WOS:001854681600002","View Record in Web of Science")</f>
        <v>118</v>
      </c>
      <c r="BU194" t="s" s="0">
        <v>81</v>
      </c>
      <c r="BV194" t="s" s="0">
        <v>81</v>
      </c>
      <c r="BW194" t="s" s="0">
        <v>81</v>
      </c>
      <c r="BX194" t="s" s="0">
        <v>120</v>
      </c>
    </row>
    <row r="195">
      <c r="A195" t="s" s="0">
        <v>77</v>
      </c>
      <c r="B195" t="s" s="0">
        <v>77</v>
      </c>
      <c r="C195" t="s" s="0">
        <v>77</v>
      </c>
      <c r="D195" t="s" s="0">
        <v>77</v>
      </c>
      <c r="E195" t="s" s="0">
        <v>4452</v>
      </c>
      <c r="F195" t="s" s="0">
        <v>4453</v>
      </c>
      <c r="G195" t="s" s="0">
        <v>4454</v>
      </c>
      <c r="H195" t="s" s="0">
        <v>81</v>
      </c>
      <c r="I195" t="s" s="0">
        <v>82</v>
      </c>
      <c r="J195" t="s" s="0">
        <v>4455</v>
      </c>
      <c r="K195" t="s" s="0">
        <v>4456</v>
      </c>
      <c r="L195" t="s" s="0">
        <v>4457</v>
      </c>
      <c r="M195" t="s" s="0">
        <v>4458</v>
      </c>
      <c r="N195" t="s" s="0">
        <v>4459</v>
      </c>
      <c r="O195" t="s" s="0">
        <v>4460</v>
      </c>
      <c r="P195" t="s" s="0">
        <v>4461</v>
      </c>
      <c r="Q195" t="s" s="0">
        <v>90</v>
      </c>
      <c r="R195" t="s" s="0">
        <v>81</v>
      </c>
      <c r="S195" t="s" s="0">
        <v>81</v>
      </c>
      <c r="T195" t="s" s="0">
        <v>81</v>
      </c>
      <c r="U195" t="s" s="0">
        <v>81</v>
      </c>
      <c r="V195" t="s" s="0">
        <v>4462</v>
      </c>
      <c r="W195" t="s" s="0">
        <v>4463</v>
      </c>
      <c r="X195" t="s" s="0">
        <v>81</v>
      </c>
      <c r="Y195" t="s" s="0">
        <v>81</v>
      </c>
      <c r="Z195" t="s" s="0">
        <v>93</v>
      </c>
      <c r="AA195" t="s" s="0">
        <v>4389</v>
      </c>
      <c r="AB195" t="s" s="0">
        <v>81</v>
      </c>
      <c r="AC195" t="s" s="0">
        <v>81</v>
      </c>
      <c r="AD195" t="s" s="0">
        <v>81</v>
      </c>
      <c r="AE195" t="s" s="0">
        <v>81</v>
      </c>
      <c r="AF195" t="s" s="0">
        <v>81</v>
      </c>
      <c r="AG195" t="s" s="0">
        <v>81</v>
      </c>
      <c r="AH195" t="s" s="0">
        <v>4464</v>
      </c>
      <c r="AI195" t="s" s="0">
        <v>81</v>
      </c>
      <c r="AJ195" t="s" s="0">
        <v>81</v>
      </c>
      <c r="AK195" t="s" s="0">
        <v>81</v>
      </c>
      <c r="AL195" t="s" s="0">
        <v>622</v>
      </c>
      <c r="AM195" t="s" s="0">
        <v>77</v>
      </c>
      <c r="AN195" t="s" s="0">
        <v>77</v>
      </c>
      <c r="AO195" t="s" s="0">
        <v>77</v>
      </c>
      <c r="AP195" t="s" s="0">
        <v>77</v>
      </c>
      <c r="AQ195" t="s" s="0">
        <v>4465</v>
      </c>
      <c r="AR195" t="s" s="0">
        <v>4466</v>
      </c>
      <c r="AS195" t="s" s="0">
        <v>4467</v>
      </c>
      <c r="AT195" t="s" s="0">
        <v>4468</v>
      </c>
      <c r="AU195" t="s" s="0">
        <v>4469</v>
      </c>
      <c r="AV195" t="s" s="0">
        <v>81</v>
      </c>
      <c r="AW195" t="s" s="0">
        <v>4470</v>
      </c>
      <c r="AX195" t="s" s="0">
        <v>4471</v>
      </c>
      <c r="AY195" t="s" s="0">
        <v>81</v>
      </c>
      <c r="AZ195" t="s" s="0">
        <v>106</v>
      </c>
      <c r="BA195" t="s" s="0">
        <v>81</v>
      </c>
      <c r="BB195" t="s" s="0">
        <v>81</v>
      </c>
      <c r="BC195" t="s" s="0">
        <v>81</v>
      </c>
      <c r="BD195" t="s" s="0">
        <v>81</v>
      </c>
      <c r="BE195" t="s" s="0">
        <v>81</v>
      </c>
      <c r="BF195" t="s" s="0">
        <v>81</v>
      </c>
      <c r="BG195" t="s" s="0">
        <v>81</v>
      </c>
      <c r="BH195" t="s" s="0">
        <v>81</v>
      </c>
      <c r="BI195" t="s" s="0">
        <v>81</v>
      </c>
      <c r="BJ195" t="s" s="0">
        <v>4472</v>
      </c>
      <c r="BK195" t="s" s="387">
        <f>HYPERLINK("http://dx.doi.org/10.1140/epjs/s11734-026-02571-w","http://dx.doi.org/10.1140/epjs/s11734-026-02571-w")</f>
        <v>4473</v>
      </c>
      <c r="BL195" t="s" s="0">
        <v>81</v>
      </c>
      <c r="BM195" t="s" s="0">
        <v>4398</v>
      </c>
      <c r="BN195" t="s" s="0">
        <v>626</v>
      </c>
      <c r="BO195" t="s" s="0">
        <v>4474</v>
      </c>
      <c r="BP195" t="s" s="0">
        <v>4475</v>
      </c>
      <c r="BQ195" t="s" s="0">
        <v>4476</v>
      </c>
      <c r="BR195" t="s" s="0">
        <v>81</v>
      </c>
      <c r="BS195" t="s" s="0">
        <v>4477</v>
      </c>
      <c r="BT195" t="s" s="388">
        <f>HYPERLINK("https://www.webofscience.com/wos/woscc/full-record/WOS:001854153000001","View Record in Web of Science")</f>
        <v>118</v>
      </c>
      <c r="BU195" t="s" s="0">
        <v>81</v>
      </c>
      <c r="BV195" t="s" s="0">
        <v>81</v>
      </c>
      <c r="BW195" t="s" s="0">
        <v>81</v>
      </c>
      <c r="BX195" t="s" s="0">
        <v>120</v>
      </c>
    </row>
    <row r="196">
      <c r="A196" t="s" s="0">
        <v>77</v>
      </c>
      <c r="B196" t="s" s="0">
        <v>77</v>
      </c>
      <c r="C196" t="s" s="0">
        <v>77</v>
      </c>
      <c r="D196" t="s" s="0">
        <v>77</v>
      </c>
      <c r="E196" t="s" s="0">
        <v>4478</v>
      </c>
      <c r="F196" t="s" s="0">
        <v>4479</v>
      </c>
      <c r="G196" t="s" s="0">
        <v>4480</v>
      </c>
      <c r="H196" t="s" s="0">
        <v>81</v>
      </c>
      <c r="I196" t="s" s="0">
        <v>82</v>
      </c>
      <c r="J196" t="s" s="0">
        <v>4481</v>
      </c>
      <c r="K196" t="s" s="0">
        <v>4482</v>
      </c>
      <c r="L196" t="s" s="0">
        <v>81</v>
      </c>
      <c r="M196" t="s" s="0">
        <v>81</v>
      </c>
      <c r="N196" t="s" s="0">
        <v>81</v>
      </c>
      <c r="O196" t="s" s="0">
        <v>4483</v>
      </c>
      <c r="P196" t="s" s="0">
        <v>81</v>
      </c>
      <c r="Q196" t="s" s="0">
        <v>90</v>
      </c>
      <c r="R196" t="s" s="0">
        <v>81</v>
      </c>
      <c r="S196" t="s" s="0">
        <v>81</v>
      </c>
      <c r="T196" t="s" s="0">
        <v>81</v>
      </c>
      <c r="U196" t="s" s="0">
        <v>81</v>
      </c>
      <c r="V196" t="s" s="0">
        <v>4484</v>
      </c>
      <c r="W196" t="s" s="0">
        <v>4485</v>
      </c>
      <c r="X196" t="s" s="0">
        <v>81</v>
      </c>
      <c r="Y196" t="s" s="0">
        <v>81</v>
      </c>
      <c r="Z196" t="s" s="0">
        <v>93</v>
      </c>
      <c r="AA196" t="s" s="0">
        <v>4389</v>
      </c>
      <c r="AB196" t="s" s="0">
        <v>81</v>
      </c>
      <c r="AC196" t="s" s="0">
        <v>81</v>
      </c>
      <c r="AD196" t="s" s="0">
        <v>81</v>
      </c>
      <c r="AE196" t="s" s="0">
        <v>81</v>
      </c>
      <c r="AF196" t="s" s="0">
        <v>81</v>
      </c>
      <c r="AG196" t="s" s="0">
        <v>4486</v>
      </c>
      <c r="AH196" t="s" s="0">
        <v>4487</v>
      </c>
      <c r="AI196" t="s" s="0">
        <v>81</v>
      </c>
      <c r="AJ196" t="s" s="0">
        <v>81</v>
      </c>
      <c r="AK196" t="s" s="0">
        <v>81</v>
      </c>
      <c r="AL196" t="s" s="0">
        <v>1781</v>
      </c>
      <c r="AM196" t="s" s="0">
        <v>77</v>
      </c>
      <c r="AN196" t="s" s="0">
        <v>77</v>
      </c>
      <c r="AO196" t="s" s="0">
        <v>77</v>
      </c>
      <c r="AP196" t="s" s="0">
        <v>77</v>
      </c>
      <c r="AQ196" t="s" s="0">
        <v>4440</v>
      </c>
      <c r="AR196" t="s" s="0">
        <v>1104</v>
      </c>
      <c r="AS196" t="s" s="0">
        <v>4441</v>
      </c>
      <c r="AT196" t="s" s="0">
        <v>4488</v>
      </c>
      <c r="AU196" t="s" s="0">
        <v>4489</v>
      </c>
      <c r="AV196" t="s" s="0">
        <v>81</v>
      </c>
      <c r="AW196" t="s" s="0">
        <v>4490</v>
      </c>
      <c r="AX196" t="s" s="0">
        <v>4491</v>
      </c>
      <c r="AY196" t="s" s="0">
        <v>81</v>
      </c>
      <c r="AZ196" t="s" s="0">
        <v>106</v>
      </c>
      <c r="BA196" t="s" s="0">
        <v>81</v>
      </c>
      <c r="BB196" t="s" s="0">
        <v>81</v>
      </c>
      <c r="BC196" t="s" s="0">
        <v>81</v>
      </c>
      <c r="BD196" t="s" s="0">
        <v>81</v>
      </c>
      <c r="BE196" t="s" s="0">
        <v>81</v>
      </c>
      <c r="BF196" t="s" s="0">
        <v>81</v>
      </c>
      <c r="BG196" t="s" s="0">
        <v>81</v>
      </c>
      <c r="BH196" t="s" s="0">
        <v>81</v>
      </c>
      <c r="BI196" t="s" s="0">
        <v>81</v>
      </c>
      <c r="BJ196" t="s" s="0">
        <v>4492</v>
      </c>
      <c r="BK196" t="s" s="389">
        <f>HYPERLINK("http://dx.doi.org/10.1007/s00417-026-07390-2","http://dx.doi.org/10.1007/s00417-026-07390-2")</f>
        <v>4493</v>
      </c>
      <c r="BL196" t="s" s="0">
        <v>81</v>
      </c>
      <c r="BM196" t="s" s="0">
        <v>4398</v>
      </c>
      <c r="BN196" t="s" s="0">
        <v>253</v>
      </c>
      <c r="BO196" t="s" s="0">
        <v>3229</v>
      </c>
      <c r="BP196" t="s" s="0">
        <v>3229</v>
      </c>
      <c r="BQ196" t="s" s="0">
        <v>4494</v>
      </c>
      <c r="BR196" t="s" s="0">
        <v>4495</v>
      </c>
      <c r="BS196" t="s" s="0">
        <v>4496</v>
      </c>
      <c r="BT196" t="s" s="390">
        <f>HYPERLINK("https://www.webofscience.com/wos/woscc/full-record/WOS:001854187800001","View Record in Web of Science")</f>
        <v>118</v>
      </c>
      <c r="BU196" t="s" s="0">
        <v>81</v>
      </c>
      <c r="BV196" t="s" s="0">
        <v>81</v>
      </c>
      <c r="BW196" t="s" s="0">
        <v>81</v>
      </c>
      <c r="BX196" t="s" s="0">
        <v>120</v>
      </c>
    </row>
    <row r="197">
      <c r="A197" t="s" s="0">
        <v>77</v>
      </c>
      <c r="B197" t="s" s="0">
        <v>77</v>
      </c>
      <c r="C197" t="s" s="0">
        <v>77</v>
      </c>
      <c r="D197" t="s" s="0">
        <v>77</v>
      </c>
      <c r="E197" t="s" s="0">
        <v>4497</v>
      </c>
      <c r="F197" t="s" s="0">
        <v>4498</v>
      </c>
      <c r="G197" t="s" s="0">
        <v>4499</v>
      </c>
      <c r="H197" t="s" s="0">
        <v>81</v>
      </c>
      <c r="I197" t="s" s="0">
        <v>82</v>
      </c>
      <c r="J197" t="s" s="0">
        <v>4500</v>
      </c>
      <c r="K197" t="s" s="0">
        <v>4501</v>
      </c>
      <c r="L197" t="s" s="0">
        <v>4502</v>
      </c>
      <c r="M197" t="s" s="0">
        <v>4503</v>
      </c>
      <c r="N197" t="s" s="0">
        <v>4504</v>
      </c>
      <c r="O197" t="s" s="0">
        <v>4505</v>
      </c>
      <c r="P197" t="s" s="0">
        <v>4506</v>
      </c>
      <c r="Q197" t="s" s="0">
        <v>90</v>
      </c>
      <c r="R197" t="s" s="0">
        <v>81</v>
      </c>
      <c r="S197" t="s" s="0">
        <v>81</v>
      </c>
      <c r="T197" t="s" s="0">
        <v>81</v>
      </c>
      <c r="U197" t="s" s="0">
        <v>81</v>
      </c>
      <c r="V197" t="s" s="0">
        <v>4507</v>
      </c>
      <c r="W197" t="s" s="0">
        <v>4508</v>
      </c>
      <c r="X197" t="s" s="0">
        <v>81</v>
      </c>
      <c r="Y197" t="s" s="0">
        <v>81</v>
      </c>
      <c r="Z197" t="s" s="0">
        <v>93</v>
      </c>
      <c r="AA197" t="s" s="0">
        <v>4389</v>
      </c>
      <c r="AB197" t="s" s="0">
        <v>81</v>
      </c>
      <c r="AC197" t="s" s="0">
        <v>81</v>
      </c>
      <c r="AD197" t="s" s="0">
        <v>81</v>
      </c>
      <c r="AE197" t="s" s="0">
        <v>81</v>
      </c>
      <c r="AF197" t="s" s="0">
        <v>81</v>
      </c>
      <c r="AG197" t="s" s="0">
        <v>4509</v>
      </c>
      <c r="AH197" t="s" s="0">
        <v>4510</v>
      </c>
      <c r="AI197" t="s" s="0">
        <v>81</v>
      </c>
      <c r="AJ197" t="s" s="0">
        <v>81</v>
      </c>
      <c r="AK197" t="s" s="0">
        <v>81</v>
      </c>
      <c r="AL197" t="s" s="0">
        <v>1085</v>
      </c>
      <c r="AM197" t="s" s="0">
        <v>77</v>
      </c>
      <c r="AN197" t="s" s="0">
        <v>77</v>
      </c>
      <c r="AO197" t="s" s="0">
        <v>77</v>
      </c>
      <c r="AP197" t="s" s="0">
        <v>77</v>
      </c>
      <c r="AQ197" t="s" s="0">
        <v>4465</v>
      </c>
      <c r="AR197" t="s" s="0">
        <v>4466</v>
      </c>
      <c r="AS197" t="s" s="0">
        <v>4467</v>
      </c>
      <c r="AT197" t="s" s="0">
        <v>4511</v>
      </c>
      <c r="AU197" t="s" s="0">
        <v>4512</v>
      </c>
      <c r="AV197" t="s" s="0">
        <v>81</v>
      </c>
      <c r="AW197" t="s" s="0">
        <v>4513</v>
      </c>
      <c r="AX197" t="s" s="0">
        <v>4514</v>
      </c>
      <c r="AY197" t="s" s="0">
        <v>81</v>
      </c>
      <c r="AZ197" t="s" s="0">
        <v>106</v>
      </c>
      <c r="BA197" t="s" s="0">
        <v>81</v>
      </c>
      <c r="BB197" t="s" s="0">
        <v>81</v>
      </c>
      <c r="BC197" t="s" s="0">
        <v>81</v>
      </c>
      <c r="BD197" t="s" s="0">
        <v>81</v>
      </c>
      <c r="BE197" t="s" s="0">
        <v>81</v>
      </c>
      <c r="BF197" t="s" s="0">
        <v>81</v>
      </c>
      <c r="BG197" t="s" s="0">
        <v>81</v>
      </c>
      <c r="BH197" t="s" s="0">
        <v>81</v>
      </c>
      <c r="BI197" t="s" s="0">
        <v>81</v>
      </c>
      <c r="BJ197" t="s" s="0">
        <v>4515</v>
      </c>
      <c r="BK197" t="s" s="391">
        <f>HYPERLINK("http://dx.doi.org/10.1007/s10877-026-01449-5","http://dx.doi.org/10.1007/s10877-026-01449-5")</f>
        <v>4516</v>
      </c>
      <c r="BL197" t="s" s="0">
        <v>81</v>
      </c>
      <c r="BM197" t="s" s="0">
        <v>4398</v>
      </c>
      <c r="BN197" t="s" s="0">
        <v>413</v>
      </c>
      <c r="BO197" t="s" s="0">
        <v>4517</v>
      </c>
      <c r="BP197" t="s" s="0">
        <v>4517</v>
      </c>
      <c r="BQ197" t="s" s="0">
        <v>4518</v>
      </c>
      <c r="BR197" t="s" s="0">
        <v>4519</v>
      </c>
      <c r="BS197" t="s" s="0">
        <v>4520</v>
      </c>
      <c r="BT197" t="s" s="392">
        <f>HYPERLINK("https://www.webofscience.com/wos/woscc/full-record/WOS:001854189800001","View Record in Web of Science")</f>
        <v>118</v>
      </c>
      <c r="BU197" t="s" s="0">
        <v>877</v>
      </c>
      <c r="BV197" t="s" s="0">
        <v>81</v>
      </c>
      <c r="BW197" t="s" s="0">
        <v>81</v>
      </c>
      <c r="BX197" t="s" s="0">
        <v>120</v>
      </c>
    </row>
    <row r="198">
      <c r="A198" t="s" s="0">
        <v>77</v>
      </c>
      <c r="B198" t="s" s="0">
        <v>77</v>
      </c>
      <c r="C198" t="s" s="0">
        <v>77</v>
      </c>
      <c r="D198" t="s" s="0">
        <v>77</v>
      </c>
      <c r="E198" t="s" s="0">
        <v>4521</v>
      </c>
      <c r="F198" t="s" s="0">
        <v>4522</v>
      </c>
      <c r="G198" t="s" s="0">
        <v>4523</v>
      </c>
      <c r="H198" t="s" s="0">
        <v>81</v>
      </c>
      <c r="I198" t="s" s="0">
        <v>82</v>
      </c>
      <c r="J198" t="s" s="0">
        <v>4524</v>
      </c>
      <c r="K198" t="s" s="0">
        <v>4525</v>
      </c>
      <c r="L198" t="s" s="0">
        <v>4526</v>
      </c>
      <c r="M198" t="s" s="0">
        <v>4527</v>
      </c>
      <c r="N198" t="s" s="0">
        <v>4528</v>
      </c>
      <c r="O198" t="s" s="0">
        <v>4529</v>
      </c>
      <c r="P198" t="s" s="0">
        <v>4530</v>
      </c>
      <c r="Q198" t="s" s="0">
        <v>90</v>
      </c>
      <c r="R198" t="s" s="0">
        <v>81</v>
      </c>
      <c r="S198" t="s" s="0">
        <v>81</v>
      </c>
      <c r="T198" t="s" s="0">
        <v>81</v>
      </c>
      <c r="U198" t="s" s="0">
        <v>81</v>
      </c>
      <c r="V198" t="s" s="0">
        <v>4531</v>
      </c>
      <c r="W198" t="s" s="0">
        <v>4532</v>
      </c>
      <c r="X198" t="s" s="0">
        <v>81</v>
      </c>
      <c r="Y198" t="s" s="0">
        <v>81</v>
      </c>
      <c r="Z198" t="s" s="0">
        <v>93</v>
      </c>
      <c r="AA198" t="s" s="0">
        <v>94</v>
      </c>
      <c r="AB198" t="s" s="0">
        <v>81</v>
      </c>
      <c r="AC198" t="s" s="0">
        <v>81</v>
      </c>
      <c r="AD198" t="s" s="0">
        <v>81</v>
      </c>
      <c r="AE198" t="s" s="0">
        <v>81</v>
      </c>
      <c r="AF198" t="s" s="0">
        <v>81</v>
      </c>
      <c r="AG198" t="s" s="0">
        <v>81</v>
      </c>
      <c r="AH198" t="s" s="0">
        <v>4533</v>
      </c>
      <c r="AI198" t="s" s="0">
        <v>81</v>
      </c>
      <c r="AJ198" t="s" s="0">
        <v>81</v>
      </c>
      <c r="AK198" t="s" s="0">
        <v>81</v>
      </c>
      <c r="AL198" t="s" s="0">
        <v>4534</v>
      </c>
      <c r="AM198" t="s" s="0">
        <v>77</v>
      </c>
      <c r="AN198" t="s" s="0">
        <v>77</v>
      </c>
      <c r="AO198" t="s" s="0">
        <v>77</v>
      </c>
      <c r="AP198" t="s" s="0">
        <v>77</v>
      </c>
      <c r="AQ198" t="s" s="0">
        <v>4535</v>
      </c>
      <c r="AR198" t="s" s="0">
        <v>4536</v>
      </c>
      <c r="AS198" t="s" s="0">
        <v>4537</v>
      </c>
      <c r="AT198" t="s" s="0">
        <v>4538</v>
      </c>
      <c r="AU198" t="s" s="0">
        <v>4539</v>
      </c>
      <c r="AV198" t="s" s="0">
        <v>81</v>
      </c>
      <c r="AW198" t="s" s="0">
        <v>4532</v>
      </c>
      <c r="AX198" t="s" s="0">
        <v>4540</v>
      </c>
      <c r="AY198" t="s" s="0">
        <v>4445</v>
      </c>
      <c r="AZ198" t="s" s="0">
        <v>106</v>
      </c>
      <c r="BA198" t="s" s="0">
        <v>2734</v>
      </c>
      <c r="BB198" t="s" s="0">
        <v>4541</v>
      </c>
      <c r="BC198" t="s" s="0">
        <v>81</v>
      </c>
      <c r="BD198" t="s" s="0">
        <v>81</v>
      </c>
      <c r="BE198" t="s" s="0">
        <v>81</v>
      </c>
      <c r="BF198" t="s" s="0">
        <v>81</v>
      </c>
      <c r="BG198" t="s" s="0">
        <v>3248</v>
      </c>
      <c r="BH198" t="s" s="0">
        <v>4542</v>
      </c>
      <c r="BI198" t="s" s="0">
        <v>81</v>
      </c>
      <c r="BJ198" t="s" s="0">
        <v>4543</v>
      </c>
      <c r="BK198" t="s" s="393">
        <f>HYPERLINK("http://dx.doi.org/10.1038/s41586-026-10687-1","http://dx.doi.org/10.1038/s41586-026-10687-1")</f>
        <v>4544</v>
      </c>
      <c r="BL198" t="s" s="0">
        <v>81</v>
      </c>
      <c r="BM198" t="s" s="0">
        <v>81</v>
      </c>
      <c r="BN198" t="s" s="0">
        <v>387</v>
      </c>
      <c r="BO198" t="s" s="0">
        <v>575</v>
      </c>
      <c r="BP198" t="s" s="0">
        <v>576</v>
      </c>
      <c r="BQ198" t="s" s="0">
        <v>4545</v>
      </c>
      <c r="BR198" t="s" s="0">
        <v>4546</v>
      </c>
      <c r="BS198" t="s" s="0">
        <v>4547</v>
      </c>
      <c r="BT198" t="s" s="394">
        <f>HYPERLINK("https://www.webofscience.com/wos/woscc/full-record/WOS:001854072500034","View Record in Web of Science")</f>
        <v>118</v>
      </c>
      <c r="BU198" t="s" s="0">
        <v>81</v>
      </c>
      <c r="BV198" t="s" s="0">
        <v>81</v>
      </c>
      <c r="BW198" t="s" s="0">
        <v>81</v>
      </c>
      <c r="BX198" t="s" s="0">
        <v>120</v>
      </c>
    </row>
    <row r="199">
      <c r="A199" t="s" s="0">
        <v>77</v>
      </c>
      <c r="B199" t="s" s="0">
        <v>77</v>
      </c>
      <c r="C199" t="s" s="0">
        <v>77</v>
      </c>
      <c r="D199" t="s" s="0">
        <v>77</v>
      </c>
      <c r="E199" t="s" s="0">
        <v>4548</v>
      </c>
      <c r="F199" t="s" s="0">
        <v>4549</v>
      </c>
      <c r="G199" t="s" s="0">
        <v>4550</v>
      </c>
      <c r="H199" t="s" s="0">
        <v>81</v>
      </c>
      <c r="I199" t="s" s="0">
        <v>82</v>
      </c>
      <c r="J199" t="s" s="0">
        <v>4551</v>
      </c>
      <c r="K199" t="s" s="0">
        <v>4552</v>
      </c>
      <c r="L199" t="s" s="0">
        <v>81</v>
      </c>
      <c r="M199" t="s" s="0">
        <v>81</v>
      </c>
      <c r="N199" t="s" s="0">
        <v>81</v>
      </c>
      <c r="O199" t="s" s="0">
        <v>4553</v>
      </c>
      <c r="P199" t="s" s="0">
        <v>4554</v>
      </c>
      <c r="Q199" t="s" s="0">
        <v>90</v>
      </c>
      <c r="R199" t="s" s="0">
        <v>81</v>
      </c>
      <c r="S199" t="s" s="0">
        <v>81</v>
      </c>
      <c r="T199" t="s" s="0">
        <v>81</v>
      </c>
      <c r="U199" t="s" s="0">
        <v>81</v>
      </c>
      <c r="V199" t="s" s="0">
        <v>4555</v>
      </c>
      <c r="W199" t="s" s="0">
        <v>4556</v>
      </c>
      <c r="X199" t="s" s="0">
        <v>81</v>
      </c>
      <c r="Y199" t="s" s="0">
        <v>81</v>
      </c>
      <c r="Z199" t="s" s="0">
        <v>93</v>
      </c>
      <c r="AA199" t="s" s="0">
        <v>4389</v>
      </c>
      <c r="AB199" t="s" s="0">
        <v>81</v>
      </c>
      <c r="AC199" t="s" s="0">
        <v>81</v>
      </c>
      <c r="AD199" t="s" s="0">
        <v>81</v>
      </c>
      <c r="AE199" t="s" s="0">
        <v>81</v>
      </c>
      <c r="AF199" t="s" s="0">
        <v>81</v>
      </c>
      <c r="AG199" t="s" s="0">
        <v>4557</v>
      </c>
      <c r="AH199" t="s" s="0">
        <v>4558</v>
      </c>
      <c r="AI199" t="s" s="0">
        <v>81</v>
      </c>
      <c r="AJ199" t="s" s="0">
        <v>81</v>
      </c>
      <c r="AK199" t="s" s="0">
        <v>81</v>
      </c>
      <c r="AL199" t="s" s="0">
        <v>2509</v>
      </c>
      <c r="AM199" t="s" s="0">
        <v>77</v>
      </c>
      <c r="AN199" t="s" s="0">
        <v>77</v>
      </c>
      <c r="AO199" t="s" s="0">
        <v>77</v>
      </c>
      <c r="AP199" t="s" s="0">
        <v>77</v>
      </c>
      <c r="AQ199" t="s" s="0">
        <v>4440</v>
      </c>
      <c r="AR199" t="s" s="0">
        <v>1104</v>
      </c>
      <c r="AS199" t="s" s="0">
        <v>4441</v>
      </c>
      <c r="AT199" t="s" s="0">
        <v>4559</v>
      </c>
      <c r="AU199" t="s" s="0">
        <v>4560</v>
      </c>
      <c r="AV199" t="s" s="0">
        <v>81</v>
      </c>
      <c r="AW199" t="s" s="0">
        <v>4561</v>
      </c>
      <c r="AX199" t="s" s="0">
        <v>4562</v>
      </c>
      <c r="AY199" t="s" s="0">
        <v>81</v>
      </c>
      <c r="AZ199" t="s" s="0">
        <v>106</v>
      </c>
      <c r="BA199" t="s" s="0">
        <v>81</v>
      </c>
      <c r="BB199" t="s" s="0">
        <v>81</v>
      </c>
      <c r="BC199" t="s" s="0">
        <v>81</v>
      </c>
      <c r="BD199" t="s" s="0">
        <v>81</v>
      </c>
      <c r="BE199" t="s" s="0">
        <v>81</v>
      </c>
      <c r="BF199" t="s" s="0">
        <v>81</v>
      </c>
      <c r="BG199" t="s" s="0">
        <v>81</v>
      </c>
      <c r="BH199" t="s" s="0">
        <v>81</v>
      </c>
      <c r="BI199" t="s" s="0">
        <v>81</v>
      </c>
      <c r="BJ199" t="s" s="0">
        <v>4563</v>
      </c>
      <c r="BK199" t="s" s="395">
        <f>HYPERLINK("http://dx.doi.org/10.1007/s11695-026-08908-7","http://dx.doi.org/10.1007/s11695-026-08908-7")</f>
        <v>4564</v>
      </c>
      <c r="BL199" t="s" s="0">
        <v>81</v>
      </c>
      <c r="BM199" t="s" s="0">
        <v>4398</v>
      </c>
      <c r="BN199" t="s" s="0">
        <v>668</v>
      </c>
      <c r="BO199" t="s" s="0">
        <v>198</v>
      </c>
      <c r="BP199" t="s" s="0">
        <v>198</v>
      </c>
      <c r="BQ199" t="s" s="0">
        <v>4565</v>
      </c>
      <c r="BR199" t="s" s="0">
        <v>4566</v>
      </c>
      <c r="BS199" t="s" s="0">
        <v>4567</v>
      </c>
      <c r="BT199" t="s" s="396">
        <f>HYPERLINK("https://www.webofscience.com/wos/woscc/full-record/WOS:001854189700001","View Record in Web of Science")</f>
        <v>118</v>
      </c>
      <c r="BU199" t="s" s="0">
        <v>81</v>
      </c>
      <c r="BV199" t="s" s="0">
        <v>81</v>
      </c>
      <c r="BW199" t="s" s="0">
        <v>81</v>
      </c>
      <c r="BX199" t="s" s="0">
        <v>120</v>
      </c>
    </row>
    <row r="200">
      <c r="A200" t="s" s="0">
        <v>77</v>
      </c>
      <c r="B200" t="s" s="0">
        <v>77</v>
      </c>
      <c r="C200" t="s" s="0">
        <v>77</v>
      </c>
      <c r="D200" t="s" s="0">
        <v>77</v>
      </c>
      <c r="E200" t="s" s="0">
        <v>4568</v>
      </c>
      <c r="F200" t="s" s="0">
        <v>4569</v>
      </c>
      <c r="G200" t="s" s="0">
        <v>4570</v>
      </c>
      <c r="H200" t="s" s="0">
        <v>81</v>
      </c>
      <c r="I200" t="s" s="0">
        <v>82</v>
      </c>
      <c r="J200" t="s" s="0">
        <v>4571</v>
      </c>
      <c r="K200" t="s" s="0">
        <v>4572</v>
      </c>
      <c r="L200" t="s" s="0">
        <v>81</v>
      </c>
      <c r="M200" t="s" s="0">
        <v>81</v>
      </c>
      <c r="N200" t="s" s="0">
        <v>81</v>
      </c>
      <c r="O200" t="s" s="0">
        <v>4573</v>
      </c>
      <c r="P200" t="s" s="0">
        <v>4574</v>
      </c>
      <c r="Q200" t="s" s="0">
        <v>90</v>
      </c>
      <c r="R200" t="s" s="0">
        <v>81</v>
      </c>
      <c r="S200" t="s" s="0">
        <v>81</v>
      </c>
      <c r="T200" t="s" s="0">
        <v>81</v>
      </c>
      <c r="U200" t="s" s="0">
        <v>81</v>
      </c>
      <c r="V200" t="s" s="0">
        <v>4575</v>
      </c>
      <c r="W200" t="s" s="0">
        <v>4576</v>
      </c>
      <c r="X200" t="s" s="0">
        <v>81</v>
      </c>
      <c r="Y200" t="s" s="0">
        <v>81</v>
      </c>
      <c r="Z200" t="s" s="0">
        <v>93</v>
      </c>
      <c r="AA200" t="s" s="0">
        <v>94</v>
      </c>
      <c r="AB200" t="s" s="0">
        <v>81</v>
      </c>
      <c r="AC200" t="s" s="0">
        <v>81</v>
      </c>
      <c r="AD200" t="s" s="0">
        <v>81</v>
      </c>
      <c r="AE200" t="s" s="0">
        <v>81</v>
      </c>
      <c r="AF200" t="s" s="0">
        <v>81</v>
      </c>
      <c r="AG200" t="s" s="0">
        <v>4577</v>
      </c>
      <c r="AH200" t="s" s="0">
        <v>4578</v>
      </c>
      <c r="AI200" t="s" s="0">
        <v>4579</v>
      </c>
      <c r="AJ200" t="s" s="0">
        <v>81</v>
      </c>
      <c r="AK200" t="s" s="0">
        <v>81</v>
      </c>
      <c r="AL200" t="s" s="0">
        <v>4580</v>
      </c>
      <c r="AM200" t="s" s="0">
        <v>108</v>
      </c>
      <c r="AN200" t="s" s="0">
        <v>108</v>
      </c>
      <c r="AO200" t="s" s="0">
        <v>461</v>
      </c>
      <c r="AP200" t="s" s="0">
        <v>461</v>
      </c>
      <c r="AQ200" t="s" s="0">
        <v>892</v>
      </c>
      <c r="AR200" t="s" s="0">
        <v>893</v>
      </c>
      <c r="AS200" t="s" s="0">
        <v>894</v>
      </c>
      <c r="AT200" t="s" s="0">
        <v>4581</v>
      </c>
      <c r="AU200" t="s" s="0">
        <v>4582</v>
      </c>
      <c r="AV200" t="s" s="0">
        <v>81</v>
      </c>
      <c r="AW200" t="s" s="0">
        <v>4576</v>
      </c>
      <c r="AX200" t="s" s="0">
        <v>4583</v>
      </c>
      <c r="AY200" t="s" s="0">
        <v>4445</v>
      </c>
      <c r="AZ200" t="s" s="0">
        <v>106</v>
      </c>
      <c r="BA200" t="s" s="0">
        <v>4584</v>
      </c>
      <c r="BB200" t="s" s="0">
        <v>81</v>
      </c>
      <c r="BC200" t="s" s="0">
        <v>81</v>
      </c>
      <c r="BD200" t="s" s="0">
        <v>81</v>
      </c>
      <c r="BE200" t="s" s="0">
        <v>81</v>
      </c>
      <c r="BF200" t="s" s="0">
        <v>81</v>
      </c>
      <c r="BG200" t="s" s="0">
        <v>81</v>
      </c>
      <c r="BH200" t="s" s="0">
        <v>81</v>
      </c>
      <c r="BI200" t="s" s="0">
        <v>4585</v>
      </c>
      <c r="BJ200" t="s" s="0">
        <v>4586</v>
      </c>
      <c r="BK200" t="s" s="397">
        <f>HYPERLINK("http://dx.doi.org/10.1016/j.gene.2026.150217","http://dx.doi.org/10.1016/j.gene.2026.150217")</f>
        <v>4587</v>
      </c>
      <c r="BL200" t="s" s="0">
        <v>81</v>
      </c>
      <c r="BM200" t="s" s="0">
        <v>81</v>
      </c>
      <c r="BN200" t="s" s="0">
        <v>253</v>
      </c>
      <c r="BO200" t="s" s="0">
        <v>3995</v>
      </c>
      <c r="BP200" t="s" s="0">
        <v>3995</v>
      </c>
      <c r="BQ200" t="s" s="0">
        <v>4588</v>
      </c>
      <c r="BR200" t="s" s="0">
        <v>4589</v>
      </c>
      <c r="BS200" t="s" s="0">
        <v>4590</v>
      </c>
      <c r="BT200" t="s" s="398">
        <f>HYPERLINK("https://www.webofscience.com/wos/woscc/full-record/WOS:001778120100001","View Record in Web of Science")</f>
        <v>118</v>
      </c>
      <c r="BU200" t="s" s="0">
        <v>81</v>
      </c>
      <c r="BV200" t="s" s="0">
        <v>81</v>
      </c>
      <c r="BW200" t="s" s="0">
        <v>81</v>
      </c>
      <c r="BX200" t="s" s="0">
        <v>120</v>
      </c>
    </row>
    <row r="201">
      <c r="A201" t="s" s="0">
        <v>77</v>
      </c>
      <c r="B201" t="s" s="0">
        <v>77</v>
      </c>
      <c r="C201" t="s" s="0">
        <v>77</v>
      </c>
      <c r="D201" t="s" s="0">
        <v>77</v>
      </c>
      <c r="E201" t="s" s="0">
        <v>4591</v>
      </c>
      <c r="F201" t="s" s="0">
        <v>4592</v>
      </c>
      <c r="G201" t="s" s="0">
        <v>4593</v>
      </c>
      <c r="H201" t="s" s="0">
        <v>81</v>
      </c>
      <c r="I201" t="s" s="0">
        <v>124</v>
      </c>
      <c r="J201" t="s" s="0">
        <v>4594</v>
      </c>
      <c r="K201" t="s" s="0">
        <v>4595</v>
      </c>
      <c r="L201" t="s" s="0">
        <v>81</v>
      </c>
      <c r="M201" t="s" s="0">
        <v>81</v>
      </c>
      <c r="N201" t="s" s="0">
        <v>81</v>
      </c>
      <c r="O201" t="s" s="0">
        <v>4596</v>
      </c>
      <c r="P201" t="s" s="0">
        <v>4597</v>
      </c>
      <c r="Q201" t="s" s="0">
        <v>90</v>
      </c>
      <c r="R201" t="s" s="0">
        <v>81</v>
      </c>
      <c r="S201" t="s" s="0">
        <v>81</v>
      </c>
      <c r="T201" t="s" s="0">
        <v>81</v>
      </c>
      <c r="U201" t="s" s="0">
        <v>81</v>
      </c>
      <c r="V201" t="s" s="0">
        <v>4598</v>
      </c>
      <c r="W201" t="s" s="0">
        <v>4599</v>
      </c>
      <c r="X201" t="s" s="0">
        <v>81</v>
      </c>
      <c r="Y201" t="s" s="0">
        <v>81</v>
      </c>
      <c r="Z201" t="s" s="0">
        <v>93</v>
      </c>
      <c r="AA201" t="s" s="0">
        <v>4389</v>
      </c>
      <c r="AB201" t="s" s="0">
        <v>81</v>
      </c>
      <c r="AC201" t="s" s="0">
        <v>81</v>
      </c>
      <c r="AD201" t="s" s="0">
        <v>81</v>
      </c>
      <c r="AE201" t="s" s="0">
        <v>81</v>
      </c>
      <c r="AF201" t="s" s="0">
        <v>81</v>
      </c>
      <c r="AG201" t="s" s="0">
        <v>4600</v>
      </c>
      <c r="AH201" t="s" s="0">
        <v>81</v>
      </c>
      <c r="AI201" t="s" s="0">
        <v>81</v>
      </c>
      <c r="AJ201" t="s" s="0">
        <v>81</v>
      </c>
      <c r="AK201" t="s" s="0">
        <v>81</v>
      </c>
      <c r="AL201" t="s" s="0">
        <v>4601</v>
      </c>
      <c r="AM201" t="s" s="0">
        <v>77</v>
      </c>
      <c r="AN201" t="s" s="0">
        <v>77</v>
      </c>
      <c r="AO201" t="s" s="0">
        <v>77</v>
      </c>
      <c r="AP201" t="s" s="0">
        <v>77</v>
      </c>
      <c r="AQ201" t="s" s="0">
        <v>4602</v>
      </c>
      <c r="AR201" t="s" s="0">
        <v>755</v>
      </c>
      <c r="AS201" t="s" s="0">
        <v>4603</v>
      </c>
      <c r="AT201" t="s" s="0">
        <v>4604</v>
      </c>
      <c r="AU201" t="s" s="0">
        <v>4605</v>
      </c>
      <c r="AV201" t="s" s="0">
        <v>81</v>
      </c>
      <c r="AW201" t="s" s="0">
        <v>4606</v>
      </c>
      <c r="AX201" t="s" s="0">
        <v>4607</v>
      </c>
      <c r="AY201" t="s" s="0">
        <v>81</v>
      </c>
      <c r="AZ201" t="s" s="0">
        <v>106</v>
      </c>
      <c r="BA201" t="s" s="0">
        <v>81</v>
      </c>
      <c r="BB201" t="s" s="0">
        <v>81</v>
      </c>
      <c r="BC201" t="s" s="0">
        <v>81</v>
      </c>
      <c r="BD201" t="s" s="0">
        <v>81</v>
      </c>
      <c r="BE201" t="s" s="0">
        <v>81</v>
      </c>
      <c r="BF201" t="s" s="0">
        <v>81</v>
      </c>
      <c r="BG201" t="s" s="0">
        <v>81</v>
      </c>
      <c r="BH201" t="s" s="0">
        <v>81</v>
      </c>
      <c r="BI201" t="s" s="0">
        <v>81</v>
      </c>
      <c r="BJ201" t="s" s="0">
        <v>4608</v>
      </c>
      <c r="BK201" t="s" s="399">
        <f>HYPERLINK("http://dx.doi.org/10.1007/s13198-026-03379-6","http://dx.doi.org/10.1007/s13198-026-03379-6")</f>
        <v>4609</v>
      </c>
      <c r="BL201" t="s" s="0">
        <v>81</v>
      </c>
      <c r="BM201" t="s" s="0">
        <v>4398</v>
      </c>
      <c r="BN201" t="s" s="0">
        <v>1236</v>
      </c>
      <c r="BO201" t="s" s="0">
        <v>392</v>
      </c>
      <c r="BP201" t="s" s="0">
        <v>393</v>
      </c>
      <c r="BQ201" t="s" s="0">
        <v>4610</v>
      </c>
      <c r="BR201" t="s" s="0">
        <v>81</v>
      </c>
      <c r="BS201" t="s" s="0">
        <v>4611</v>
      </c>
      <c r="BT201" t="s" s="400">
        <f>HYPERLINK("https://www.webofscience.com/wos/woscc/full-record/WOS:001853036600001","View Record in Web of Science")</f>
        <v>118</v>
      </c>
      <c r="BU201" t="s" s="0">
        <v>81</v>
      </c>
      <c r="BV201" t="s" s="0">
        <v>81</v>
      </c>
      <c r="BW201" t="s" s="0">
        <v>81</v>
      </c>
      <c r="BX201" t="s" s="0">
        <v>120</v>
      </c>
    </row>
    <row r="202"/>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K102" r:id="rId201"/>
    <hyperlink ref="BT102" r:id="rId202"/>
    <hyperlink ref="BK103" r:id="rId203"/>
    <hyperlink ref="BT103" r:id="rId204"/>
    <hyperlink ref="BK104" r:id="rId205"/>
    <hyperlink ref="BT104" r:id="rId206"/>
    <hyperlink ref="BK105" r:id="rId207"/>
    <hyperlink ref="BT105" r:id="rId208"/>
    <hyperlink ref="BK106" r:id="rId209"/>
    <hyperlink ref="BT106" r:id="rId210"/>
    <hyperlink ref="BK107" r:id="rId211"/>
    <hyperlink ref="BT107" r:id="rId212"/>
    <hyperlink ref="BK108" r:id="rId213"/>
    <hyperlink ref="BT108" r:id="rId214"/>
    <hyperlink ref="BK109" r:id="rId215"/>
    <hyperlink ref="BT109" r:id="rId216"/>
    <hyperlink ref="BK110" r:id="rId217"/>
    <hyperlink ref="BT110" r:id="rId218"/>
    <hyperlink ref="BK111" r:id="rId219"/>
    <hyperlink ref="BT111" r:id="rId220"/>
    <hyperlink ref="BK112" r:id="rId221"/>
    <hyperlink ref="BT112" r:id="rId222"/>
    <hyperlink ref="BK113" r:id="rId223"/>
    <hyperlink ref="BT113" r:id="rId224"/>
    <hyperlink ref="BK114" r:id="rId225"/>
    <hyperlink ref="BT114" r:id="rId226"/>
    <hyperlink ref="BK115" r:id="rId227"/>
    <hyperlink ref="BT115" r:id="rId228"/>
    <hyperlink ref="BK116" r:id="rId229"/>
    <hyperlink ref="BT116" r:id="rId230"/>
    <hyperlink ref="BK117" r:id="rId231"/>
    <hyperlink ref="BT117" r:id="rId232"/>
    <hyperlink ref="BK118" r:id="rId233"/>
    <hyperlink ref="BT118" r:id="rId234"/>
    <hyperlink ref="BK119" r:id="rId235"/>
    <hyperlink ref="BT119" r:id="rId236"/>
    <hyperlink ref="BK120" r:id="rId237"/>
    <hyperlink ref="BT120" r:id="rId238"/>
    <hyperlink ref="BK121" r:id="rId239"/>
    <hyperlink ref="BT121" r:id="rId240"/>
    <hyperlink ref="BK122" r:id="rId241"/>
    <hyperlink ref="BT122" r:id="rId242"/>
    <hyperlink ref="BK123" r:id="rId243"/>
    <hyperlink ref="BT123" r:id="rId244"/>
    <hyperlink ref="BK124" r:id="rId245"/>
    <hyperlink ref="BT124" r:id="rId246"/>
    <hyperlink ref="BK125" r:id="rId247"/>
    <hyperlink ref="BT125" r:id="rId248"/>
    <hyperlink ref="BK126" r:id="rId249"/>
    <hyperlink ref="BT126" r:id="rId250"/>
    <hyperlink ref="BK127" r:id="rId251"/>
    <hyperlink ref="BT127" r:id="rId252"/>
    <hyperlink ref="BK128" r:id="rId253"/>
    <hyperlink ref="BT128" r:id="rId254"/>
    <hyperlink ref="BK129" r:id="rId255"/>
    <hyperlink ref="BT129" r:id="rId256"/>
    <hyperlink ref="BK130" r:id="rId257"/>
    <hyperlink ref="BT130" r:id="rId258"/>
    <hyperlink ref="BK131" r:id="rId259"/>
    <hyperlink ref="BT131" r:id="rId260"/>
    <hyperlink ref="BK132" r:id="rId261"/>
    <hyperlink ref="BT132" r:id="rId262"/>
    <hyperlink ref="BK133" r:id="rId263"/>
    <hyperlink ref="BT133" r:id="rId264"/>
    <hyperlink ref="BK134" r:id="rId265"/>
    <hyperlink ref="BT134" r:id="rId266"/>
    <hyperlink ref="BK135" r:id="rId267"/>
    <hyperlink ref="BT135" r:id="rId268"/>
    <hyperlink ref="BK136" r:id="rId269"/>
    <hyperlink ref="BT136" r:id="rId270"/>
    <hyperlink ref="BK137" r:id="rId271"/>
    <hyperlink ref="BT137" r:id="rId272"/>
    <hyperlink ref="BK138" r:id="rId273"/>
    <hyperlink ref="BT138" r:id="rId274"/>
    <hyperlink ref="BK139" r:id="rId275"/>
    <hyperlink ref="BT139" r:id="rId276"/>
    <hyperlink ref="BK140" r:id="rId277"/>
    <hyperlink ref="BT140" r:id="rId278"/>
    <hyperlink ref="BK141" r:id="rId279"/>
    <hyperlink ref="BT141" r:id="rId280"/>
    <hyperlink ref="BK142" r:id="rId281"/>
    <hyperlink ref="BT142" r:id="rId282"/>
    <hyperlink ref="BK143" r:id="rId283"/>
    <hyperlink ref="BT143" r:id="rId284"/>
    <hyperlink ref="BK144" r:id="rId285"/>
    <hyperlink ref="BT144" r:id="rId286"/>
    <hyperlink ref="BK145" r:id="rId287"/>
    <hyperlink ref="BT145" r:id="rId288"/>
    <hyperlink ref="BK146" r:id="rId289"/>
    <hyperlink ref="BT146" r:id="rId290"/>
    <hyperlink ref="BK147" r:id="rId291"/>
    <hyperlink ref="BT147" r:id="rId292"/>
    <hyperlink ref="BK148" r:id="rId293"/>
    <hyperlink ref="BT148" r:id="rId294"/>
    <hyperlink ref="BK149" r:id="rId295"/>
    <hyperlink ref="BT149" r:id="rId296"/>
    <hyperlink ref="BK150" r:id="rId297"/>
    <hyperlink ref="BT150" r:id="rId298"/>
    <hyperlink ref="BK151" r:id="rId299"/>
    <hyperlink ref="BT151" r:id="rId300"/>
    <hyperlink ref="BK152" r:id="rId301"/>
    <hyperlink ref="BT152" r:id="rId302"/>
    <hyperlink ref="BK153" r:id="rId303"/>
    <hyperlink ref="BT153" r:id="rId304"/>
    <hyperlink ref="BK154" r:id="rId305"/>
    <hyperlink ref="BT154" r:id="rId306"/>
    <hyperlink ref="BK155" r:id="rId307"/>
    <hyperlink ref="BT155" r:id="rId308"/>
    <hyperlink ref="BK156" r:id="rId309"/>
    <hyperlink ref="BT156" r:id="rId310"/>
    <hyperlink ref="BK157" r:id="rId311"/>
    <hyperlink ref="BT157" r:id="rId312"/>
    <hyperlink ref="BK158" r:id="rId313"/>
    <hyperlink ref="BT158" r:id="rId314"/>
    <hyperlink ref="BK159" r:id="rId315"/>
    <hyperlink ref="BT159" r:id="rId316"/>
    <hyperlink ref="BK160" r:id="rId317"/>
    <hyperlink ref="BT160" r:id="rId318"/>
    <hyperlink ref="BK161" r:id="rId319"/>
    <hyperlink ref="BT161" r:id="rId320"/>
    <hyperlink ref="BK162" r:id="rId321"/>
    <hyperlink ref="BT162" r:id="rId322"/>
    <hyperlink ref="BK163" r:id="rId323"/>
    <hyperlink ref="BT163" r:id="rId324"/>
    <hyperlink ref="BK164" r:id="rId325"/>
    <hyperlink ref="BT164" r:id="rId326"/>
    <hyperlink ref="BK165" r:id="rId327"/>
    <hyperlink ref="BT165" r:id="rId328"/>
    <hyperlink ref="BK166" r:id="rId329"/>
    <hyperlink ref="BT166" r:id="rId330"/>
    <hyperlink ref="BK167" r:id="rId331"/>
    <hyperlink ref="BT167" r:id="rId332"/>
    <hyperlink ref="BK168" r:id="rId333"/>
    <hyperlink ref="BT168" r:id="rId334"/>
    <hyperlink ref="BK169" r:id="rId335"/>
    <hyperlink ref="BT169" r:id="rId336"/>
    <hyperlink ref="BK170" r:id="rId337"/>
    <hyperlink ref="BT170" r:id="rId338"/>
    <hyperlink ref="BK171" r:id="rId339"/>
    <hyperlink ref="BT171" r:id="rId340"/>
    <hyperlink ref="BK172" r:id="rId341"/>
    <hyperlink ref="BT172" r:id="rId342"/>
    <hyperlink ref="BK173" r:id="rId343"/>
    <hyperlink ref="BT173" r:id="rId344"/>
    <hyperlink ref="BK174" r:id="rId345"/>
    <hyperlink ref="BT174" r:id="rId346"/>
    <hyperlink ref="BK175" r:id="rId347"/>
    <hyperlink ref="BT175" r:id="rId348"/>
    <hyperlink ref="BK176" r:id="rId349"/>
    <hyperlink ref="BT176" r:id="rId350"/>
    <hyperlink ref="BK177" r:id="rId351"/>
    <hyperlink ref="BT177" r:id="rId352"/>
    <hyperlink ref="BK178" r:id="rId353"/>
    <hyperlink ref="BT178" r:id="rId354"/>
    <hyperlink ref="BK179" r:id="rId355"/>
    <hyperlink ref="BT179" r:id="rId356"/>
    <hyperlink ref="BK180" r:id="rId357"/>
    <hyperlink ref="BT180" r:id="rId358"/>
    <hyperlink ref="BK181" r:id="rId359"/>
    <hyperlink ref="BT181" r:id="rId360"/>
    <hyperlink ref="BK182" r:id="rId361"/>
    <hyperlink ref="BT182" r:id="rId362"/>
    <hyperlink ref="BK183" r:id="rId363"/>
    <hyperlink ref="BT183" r:id="rId364"/>
    <hyperlink ref="BK184" r:id="rId365"/>
    <hyperlink ref="BT184" r:id="rId366"/>
    <hyperlink ref="BK185" r:id="rId367"/>
    <hyperlink ref="BT185" r:id="rId368"/>
    <hyperlink ref="BK186" r:id="rId369"/>
    <hyperlink ref="BT186" r:id="rId370"/>
    <hyperlink ref="BK187" r:id="rId371"/>
    <hyperlink ref="BT187" r:id="rId372"/>
    <hyperlink ref="BK188" r:id="rId373"/>
    <hyperlink ref="BT188" r:id="rId374"/>
    <hyperlink ref="BK189" r:id="rId375"/>
    <hyperlink ref="BT189" r:id="rId376"/>
    <hyperlink ref="BK190" r:id="rId377"/>
    <hyperlink ref="BT190" r:id="rId378"/>
    <hyperlink ref="BK191" r:id="rId379"/>
    <hyperlink ref="BT191" r:id="rId380"/>
    <hyperlink ref="BK192" r:id="rId381"/>
    <hyperlink ref="BT192" r:id="rId382"/>
    <hyperlink ref="BK193" r:id="rId383"/>
    <hyperlink ref="BT193" r:id="rId384"/>
    <hyperlink ref="BK194" r:id="rId385"/>
    <hyperlink ref="BT194" r:id="rId386"/>
    <hyperlink ref="BK195" r:id="rId387"/>
    <hyperlink ref="BT195" r:id="rId388"/>
    <hyperlink ref="BK196" r:id="rId389"/>
    <hyperlink ref="BT196" r:id="rId390"/>
    <hyperlink ref="BK197" r:id="rId391"/>
    <hyperlink ref="BT197" r:id="rId392"/>
    <hyperlink ref="BK198" r:id="rId393"/>
    <hyperlink ref="BT198" r:id="rId394"/>
    <hyperlink ref="BK199" r:id="rId395"/>
    <hyperlink ref="BT199" r:id="rId396"/>
    <hyperlink ref="BK200" r:id="rId397"/>
    <hyperlink ref="BT200" r:id="rId398"/>
    <hyperlink ref="BK201" r:id="rId399"/>
    <hyperlink ref="BT201" r:id="rId400"/>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2026-08-26T06:50:54Z</dcterms:created>
  <dc:creator>Apache POI</dc:creator>
</cp:coreProperties>
</file>
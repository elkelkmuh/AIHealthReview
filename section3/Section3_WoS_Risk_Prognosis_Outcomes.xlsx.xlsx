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<sst xmlns="http://schemas.openxmlformats.org/spreadsheetml/2006/main" count="22194" uniqueCount="7371">
  <si>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</si>
  <si>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</si>
  <si>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</si>
  <si>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</si>
  <si>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</si>
  <si>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</si>
  <si>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</si>
  <si>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</si>
  <si>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</si>
  <si>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</si>
  <si>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</si>
  <si>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</si>
  <si>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</si>
  <si>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</si>
  <si>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</si>
  <si>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</si>
  <si>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</si>
  <si>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</si>
  <si>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</si>
  <si>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</si>
  <si>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</si>
  <si>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</si>
  <si>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</si>
  <si>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</si>
  <si>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</si>
  <si>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</si>
  <si>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</si>
  <si>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</si>
  <si>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</si>
  <si>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</si>
  <si>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</si>
  <si>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</si>
  <si>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</si>
  <si>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</si>
  <si>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</si>
  <si>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</si>
  <si>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</si>
  <si>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</si>
  <si>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</si>
  <si>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</si>
  <si>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</si>
  <si>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</si>
  <si>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</si>
  <si>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</si>
  <si>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</si>
  <si>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</si>
  <si>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</si>
  <si>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</si>
  <si>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</si>
  <si>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</si>
  <si>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</si>
  <si>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</si>
  <si>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</si>
  <si>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</si>
  <si>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</si>
  <si>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</si>
  <si>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</si>
  <si>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</si>
  <si>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</si>
  <si>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</si>
  <si>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</si>
  <si>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</si>
  <si>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</si>
  <si>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</si>
  <si>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</si>
  <si>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</si>
  <si>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</si>
  <si>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</si>
  <si>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</si>
  <si>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</si>
  <si>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</si>
  <si>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</si>
  <si>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</si>
  <si>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</si>
  <si>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</si>
  <si>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</si>
  <si>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</si>
  <si>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4</t>
  </si>
  <si>
    <t>0</t>
  </si>
  <si>
    <t>30</t>
  </si>
  <si>
    <t>Su, TL; Jaki, T; Hickey, GL; Buchan, I; Sperrin, M</t>
  </si>
  <si>
    <t>A clinical prediction model is a tool for predicting healthcare outcomes, usually within a specific population and context. A common approach is to develop a new clinical prediction model for each population and context; however, this wastes potentially useful historical information. A better approach is to update or incorporate the existing clinical prediction models already developed for use in similar contexts or populations. In addition, clinical prediction models commonly become miscalibrated over time, and need replacing or updating. In this article, we review a range of approaches for re-using and updating clinical prediction models; these fall in into three main categories: simple coefficient updating, combining multiple previous clinical prediction models in a meta-model and dynamic updating of models. We evaluated the performance (discrimination and calibration) of the different strategies using data on mortality following cardiac surgery in the United Kingdom: We found that no single strategy performed sufficiently well to be used to the exclusion of the others. In conclusion, useful tools exist for updating existing clinical prediction models to a new population or context, and these should be implemented rather than developing a new clinical prediction model from scratch, using a breadth of complementary statistical methods.</t>
  </si>
  <si>
    <t>Su, Ting-Li; Jaki, Thomas; Hickey, Graeme L.; Buchan, Iain; Sperrin, Matthew</t>
  </si>
  <si>
    <t/>
  </si>
  <si>
    <t>Science Citation Index Expanded (SCI-EXPANDED)</t>
  </si>
  <si>
    <t>Su, TL (corresponding author), Univ Manchester, Sch Dent, Oxford Rd, Manchester M13 9PL, Lancs, England.</t>
  </si>
  <si>
    <t>ting-li.su@manchester.ac.uk</t>
  </si>
  <si>
    <t>National Institute for Health Research (NIHR) [NIHR-CDF-2010-03-32]; NIHR Research Methods Opportunity Funding Scheme [RMOFS 2012-09]; Medical Research Council funded Health e-Research Centre [MR/K006665/1]; MRC [MC_PC_13042, MR/K006665/1] Funding Source: UKRI; Medical Research Council [MR/K006665/1, MC_PC_13042] Funding Source: researchfish; National Institute for Health Research [CDF-2010-03-16] Funding Source: researchfish</t>
  </si>
  <si>
    <t>National Institute for Health Research (NIHR) (National Institutes of Health Research (NIHR)); NIHR Research Methods Opportunity Funding Scheme; Medical Research Council funded Health e-Research Centre (UK Research &amp; Innovation (UKRI), Medical Research Council UK (MRC)); MRC (UK Research &amp; Innovation (UKRI), Medical Research Council UK (MRC)); Medical Research Council (UK Research &amp; Innovation (UKRI), Medical Research Council UK (MRC)); National Institute for Health Research (National Institutes of Health Research (NIHR))</t>
  </si>
  <si>
    <t>The author(s) disclosed receipt of the following financial support for the research, authorship, and/or publication of this article: This work is independent research arising, in part, from Dr. Jaki's Career Development Fellowship (NIHR-CDF-2010-03-32) supported by the National Institute for Health Research (NIHR), NIHR Research Methods Opportunity Funding Scheme (RMOFS 2012-09), and the Medical Research Council funded Health e-Research Centre (MR/K006665/1).</t>
  </si>
  <si>
    <t>[Su, Ting-Li] Univ Manchester, Sch Dent, Oxford Rd, Manchester M13 9PL, Lancs, England; [Jaki, Thomas] Univ Lancaster, Dept Math &amp; Stat, Lancaster, England; [Hickey, Graeme L.] Univ Liverpool, Dept Biostat, Liverpool, Merseyside, England; [Buchan, Iain; Sperrin, Matthew] Univ Manchester, Inst Populat Hlth, Manchester, Lancs, England</t>
  </si>
  <si>
    <t>University of Manchester; Lancaster University; University of Liverpool; University of Manchester</t>
  </si>
  <si>
    <t>J</t>
  </si>
  <si>
    <t>A review of statistical updating methods for clinical prediction models</t>
  </si>
  <si>
    <t>STATISTICAL METHODS IN MEDICAL RESEARCH</t>
  </si>
  <si>
    <t>English</t>
  </si>
  <si>
    <t>Review</t>
  </si>
  <si>
    <t>Clinical prediction model; model updating; model validation; model recalibration; risk score</t>
  </si>
  <si>
    <t>INDIVIDUAL PARTICIPANT DATA; LOGISTIC-REGRESSION MODELS; CARDIAC-SURGERY; RISK MODELS; PROGNOSIS RESEARCH; VALIDATION; SOCIETY; PERFORMANCE; FRAMEWORK; CALIBRATION</t>
  </si>
  <si>
    <t>Jaki, Thomas/AAJ-1872-2020; Buchan, Iain/H-5767-2013</t>
  </si>
  <si>
    <t>Su, Ting-Li/0000-0003-3311-4998; Sperrin, Matthew/0000-0002-5351-9960; Jaki, Thomas/0000-0002-1096-188X; Buchan, Iain/0000-0003-3392-1650</t>
  </si>
  <si>
    <t>53</t>
  </si>
  <si>
    <t>103</t>
  </si>
  <si>
    <t>124</t>
  </si>
  <si>
    <t>105</t>
  </si>
  <si>
    <t>SAGE PUBLICATIONS LTD</t>
  </si>
  <si>
    <t>LONDON</t>
  </si>
  <si>
    <t>1 OLIVERS YARD, 55 CITY ROAD, LONDON EC1Y 1SP, ENGLAND</t>
  </si>
  <si>
    <t>0962-2802</t>
  </si>
  <si>
    <t>1477-0334</t>
  </si>
  <si>
    <t>STAT METHODS MED RES</t>
  </si>
  <si>
    <t>Stat. Methods Med. Res.</t>
  </si>
  <si>
    <t>JAN 2018</t>
  </si>
  <si>
    <t>2018</t>
  </si>
  <si>
    <t>27</t>
  </si>
  <si>
    <t>1</t>
  </si>
  <si>
    <t>185</t>
  </si>
  <si>
    <t>197</t>
  </si>
  <si>
    <t>10.1177/0962280215626466</t>
  </si>
  <si>
    <t>http://dx.doi.org/10.1177/0962280215626466</t>
  </si>
  <si>
    <t>13</t>
  </si>
  <si>
    <t>Health Care Sciences &amp; Services; Mathematical &amp; Computational Biology; Medical Informatics; Statistics &amp; Probability</t>
  </si>
  <si>
    <t>Health Care Sciences &amp; Services; Mathematical &amp; Computational Biology; Medical Informatics; Mathematics</t>
  </si>
  <si>
    <t>FS5YF</t>
  </si>
  <si>
    <t>27460537</t>
  </si>
  <si>
    <t>WOS:000419874400013</t>
  </si>
  <si>
    <t>View Record in Web of Science</t>
  </si>
  <si>
    <t>Green Submitted</t>
  </si>
  <si>
    <t>N</t>
  </si>
  <si>
    <t>Y</t>
  </si>
  <si>
    <t>2026-08-26</t>
  </si>
  <si>
    <t>Rees, CA; Haggie, S; Florin, TA</t>
  </si>
  <si>
    <t>Community acquired pneumonia (CAP) is a disease experienced by children the world over, though CAP-related morbidity and mortality differ markedly between low-and middle-income countries (LMICs) and high-income countries (HICs). Thus, setting-specific clinical prediction models are needed to identify children at risk for CAP-related morbidity and mortality. Here, we outline published clinical prediction models from LMICs and HICs for pediatric CAP-related outcomes. To date, there have been four clinical prediction models to predict treatment failure, two to predict a composite outcome of poor outcomes, and eight models for mortality prediction for CAP in LMICs. No prediction models developed in LMICs had publications that described their impact on clinical care through implementation. In HICs, to date there are three published clinical prediction models evaluating disease severity and one examining the need for major medical interventions. While clinical prediction models described in this review provide a strong foundation for risk stratification for children with CAP in HICs, there is a need for widespread external validation and implementation of optimally performing models. (c) 2025 Elsevier Ltd. All rights are reserved, including those for text and data mining, AI training, and similar technologies.</t>
  </si>
  <si>
    <t>Rees, Chris A.; Haggie, Stuart; Florin, Todd A.</t>
  </si>
  <si>
    <t>Florin, TA (corresponding author), Ann &amp; Robert H Lurie Childrens Hosp, Div Emergency Med, Chicago, IL 60611 USA.; Florin, TA (corresponding author), Northwestern Univ, Feinberg Sch Med, Dept Pediat, Chicago, IL 60611 USA.</t>
  </si>
  <si>
    <t>taflorin@luriechildrens.org</t>
  </si>
  <si>
    <t>United States National Institutes of Health [K23HL173694]</t>
  </si>
  <si>
    <t>United States National Institutes of Health (United States Department of Health &amp; Human Services, National Institutes of Health (NIH) - USA)</t>
  </si>
  <si>
    <t>The authors declare the following financial interests/personal relationships which may be considered as potential competing interests: Dr. Rees was supported by the United States National Institutes of Health (K23HL173694) . The funder played no part in this study's design and execution, data collection, management, analysis, or interpretation, nor in the preparation, review, or approval of this manuscript. Furthermore, the decision to submit this manuscript for publication was independent of any influence from the funder.</t>
  </si>
  <si>
    <t>[Rees, Chris A.] Emory Univ, Sch Med, Div Pediat Emergency Med, Atlanta, GA USA; [Haggie, Stuart] Childrens Healthcare Atlanta, Dept Emergency Med, Atlanta, GA USA; [Haggie, Stuart] Childrens Hosp Westmead, Dept Resp Med, Sydney, Australia; [Florin, Todd A.] Univ Wollongong, Grad Sch Med, Wollongong, Australia; [Florin, Todd A.] Ann &amp; Robert H Lurie Childrens Hosp, Div Emergency Med, Chicago, IL 60611 USA; [Florin, Todd A.] Northwestern Univ, Feinberg Sch Med, Dept Pediat, Chicago, IL 60611 USA</t>
  </si>
  <si>
    <t>Emory University; Children's Healthcare of Atlanta (CHOA); University of Sydney; NSW Health; The Children's Hospital at Westmead; University of Wollongong; Ann &amp; Robert H. Lurie Children's Hospital of Chicago; Northwestern University; Feinberg School of Medicine</t>
  </si>
  <si>
    <t>Narrative review of clinical prediction models for paediatric community acquired pneumonia</t>
  </si>
  <si>
    <t>PAEDIATRIC RESPIRATORY REVIEWS</t>
  </si>
  <si>
    <t>Paediatric; Community acquired pneumonia; Clinical prediction model; Prognosis</t>
  </si>
  <si>
    <t>CHILDREN; RISK</t>
  </si>
  <si>
    <t>Florin, Todd/J-6637-2019</t>
  </si>
  <si>
    <t>Florin, Todd/0000-0002-4387-2605</t>
  </si>
  <si>
    <t>46</t>
  </si>
  <si>
    <t>7</t>
  </si>
  <si>
    <t>8</t>
  </si>
  <si>
    <t>2</t>
  </si>
  <si>
    <t>ELSEVIER SCI LTD</t>
  </si>
  <si>
    <t>London</t>
  </si>
  <si>
    <t>125 London Wall, London, ENGLAND</t>
  </si>
  <si>
    <t>1526-0542</t>
  </si>
  <si>
    <t>1526-0550</t>
  </si>
  <si>
    <t>PAEDIATR RESPIR REV</t>
  </si>
  <si>
    <t>Paediatr. Respir. Rev.</t>
  </si>
  <si>
    <t>JUN 2025</t>
  </si>
  <si>
    <t>2025</t>
  </si>
  <si>
    <t>54</t>
  </si>
  <si>
    <t>19</t>
  </si>
  <si>
    <t>10.1016/j.prrv.2025.01.002</t>
  </si>
  <si>
    <t>http://dx.doi.org/10.1016/j.prrv.2025.01.002</t>
  </si>
  <si>
    <t>MAY 2025</t>
  </si>
  <si>
    <t>9</t>
  </si>
  <si>
    <t>Pediatrics; Respiratory System</t>
  </si>
  <si>
    <t>3JP1A</t>
  </si>
  <si>
    <t>39965990</t>
  </si>
  <si>
    <t>WOS:001501899200004</t>
  </si>
  <si>
    <t>43</t>
  </si>
  <si>
    <t>Lee, YH; Bang, H; Kim, DJ</t>
  </si>
  <si>
    <t>A clinical prediction model can be applied to several challenging clinical scenarios: screening high-risk individuals for asymptomatic disease, predicting, future events such as disease or death, and assisting medical decision-making, and health education. Despite the impact of clinical prediction models on practice, prediction modeling is a complex process requiting careful statistical analyses and sound clinical judgement. Although there is no definite consensus on the best methodology for model development and validation, a few recommendations and checklists have been proposed. hi this review, we summarize five steps for developing and validating a clinical prediction model: preparation for establishing clinical prediction models; dataset selection: handling variables; model generation; and model evaluation and validation. We also review several studies that detail methods for developing clinical prediction models with comparable examples from real practice. After model development and vigorous validation in relevant settings, possibly with evaluation of utility/usability and fine-tuning, good models can be ready for the use in practice. We anticipate that this framework will revitalize the use of predictive or prognostic research in endocrinology, leading to active applications in real clinical practice.</t>
  </si>
  <si>
    <t>Lee, Yong-ho; Bang, Heejung; Kim, Doe Jung</t>
  </si>
  <si>
    <t>Emerging Sources Citation Index (ESCI)</t>
  </si>
  <si>
    <t>Lee, YH (corresponding author), Yonsei Univ, Coll Med, Dept Internal Med, 50-1 Yonsei Ro, Seoul 03722, South Korea.; Kim, DJ (corresponding author), Ajou Univ, Sch Med, Dept Endocrinol &amp; Metab, 164 World Cup Ro, Suwon 16499, South Korea.</t>
  </si>
  <si>
    <t>djkim@ajou.ac.kr; yholee@yuhs.ac</t>
  </si>
  <si>
    <t>Korea Healthcare Technology R&amp;D Project, Ministry of Health and Welfare, Republic of Korea [HI14C2476]; National Center for Advancing Translational Sciences, National Institutes of Health [CU TR 000002]; Korean Health Technology R&amp;D Project, Ministry of Health and Welfare, Republic of Korea [HI13C0715]</t>
  </si>
  <si>
    <t>Korea Healthcare Technology R&amp;D Project, Ministry of Health and Welfare, Republic of Korea; National Center for Advancing Translational Sciences, National Institutes of Health (United States Department of Health &amp; Human Services, National Institutes of Health (NIH) - USA, NIH National Center for Advancing Translational Sciences (NCATS)); Korean Health Technology R&amp;D Project, Ministry of Health and Welfare, Republic of Korea</t>
  </si>
  <si>
    <t>This study was supported by a grant from the Korea Healthcare Technology R&amp;D Project, Ministry of Health and Welfare, Republic of Korea (No. HI14C2476). H.B. was partly supported by the National Center for Advancing Translational Sciences, National Institutes of Health, through grant CU TR 000002. D.K. was partly supported by a grant of the Korean Health Technology R&amp;D Project, Ministry of Health and Welfare, Republic of Korea (HI13C0715).</t>
  </si>
  <si>
    <t>[Lee, Yong-ho] Yonsei Univ, Coll Med, Dept Internal Med, 50-1 Yonsei Ro, Seoul 03722, South Korea; [Bang, Heejung] Univ Calif Davis, Div Biostat, Dept Publ Hlth Sci, Sch Med, Davis, CA 95616 USA; [Kim, Doe Jung] Ajou Univ, Sch Med, Dept Endocrinol &amp; Metab, 164 World Cup Ro, Suwon 16499, South Korea</t>
  </si>
  <si>
    <t>Yonsei University; Yonsei University Health System; University of California System; University of California Davis; Ajou University</t>
  </si>
  <si>
    <t>How to Establish Clinical Predicition Models</t>
  </si>
  <si>
    <t>ENDOCRINOLOGY AND METABOLISM</t>
  </si>
  <si>
    <t>Clinical prediction model; Developtnenr Validation; Clinical usefulness</t>
  </si>
  <si>
    <t>RISK SCORE; PREDICTION; VALIDATION; POPULATION; STATISTICS; REGRESSION; TOOL</t>
  </si>
  <si>
    <t>Kim, Dae Jung/AAJ-7518-2021; Lee, Yong-ho/AAT-4106-2020</t>
  </si>
  <si>
    <t>Kim, Dae Jung/0000-0003-1025-2044; Lee, Yong-ho/0000-0002-6219-4942</t>
  </si>
  <si>
    <t>35</t>
  </si>
  <si>
    <t>147</t>
  </si>
  <si>
    <t>176</t>
  </si>
  <si>
    <t>42</t>
  </si>
  <si>
    <t>KOREAN ENDOCRINE SOC</t>
  </si>
  <si>
    <t>SEOUL</t>
  </si>
  <si>
    <t>101-2503, 109 MAPO-DAERO, MAPO-GU, SEOUL, 04146, SOUTH KOREA</t>
  </si>
  <si>
    <t>2093-596X</t>
  </si>
  <si>
    <t>2093-5978</t>
  </si>
  <si>
    <t>ENDOCRINOL METAB</t>
  </si>
  <si>
    <t>Endocrinol. Metab.</t>
  </si>
  <si>
    <t>MAR 2016</t>
  </si>
  <si>
    <t>2016</t>
  </si>
  <si>
    <t>31</t>
  </si>
  <si>
    <t>38</t>
  </si>
  <si>
    <t>44</t>
  </si>
  <si>
    <t>10.3803/EnM.2016.31.1.38</t>
  </si>
  <si>
    <t>http://dx.doi.org/10.3803/EnM.2016.31.1.38</t>
  </si>
  <si>
    <t>Endocrinology &amp; Metabolism</t>
  </si>
  <si>
    <t>FD8VJ</t>
  </si>
  <si>
    <t>26996421</t>
  </si>
  <si>
    <t>WOS:000407801900006</t>
  </si>
  <si>
    <t>gold; Green Submitted</t>
  </si>
  <si>
    <t>10</t>
  </si>
  <si>
    <t>Ma, J; Dhiman, P; Qi, CTY; Bullock, G; van Smeden, M; Riley, RD; Collins, GS</t>
  </si>
  <si>
    <t>Background and Objectives: When developing a clinical prediction model, assuming a linear relationship between the continuous predictors and outcome is not recommended. Incorrect specification of the functional form of continuous predictors could reduce predictive accuracy. We examine how continuous predictors are handled in studies developing a clinical prediction model. Methods: We searched PubMed for clinical prediction model studies developing a logistic regression model for a binary outcome, published between July 01, 2020, and July 30, 2020.Results: In total, 118 studies were included in the review (18 studies (15%) assessed the linearity assumption or used methods to handle nonlinearity, and 100 studies (85%) did not). Transformation and splines were commonly used to handle nonlinearity, used in 7 (n = 7/18, 39%) and 6 (n = 6/18, 33%) studies, respectively. Categorization was most often used method to handle continuous predictors (n = 67/118, 56.8%) where most studies used dichotomization (n = 40/67, 60%). Only ten models included nonlinear terms in the final model (n = 10/ 18, 56%).Conclusion: Though widely recommended not to categorize continuous predictors or assume a linear relationship between outcome and continuous predictors, most studies categorize continuous predictors, few studies assess the linearity assumption, and even fewer use methodology to account for nonlinearity. Methodological guidance is provided to guide researchers on how to handle continuous predictors when developing a clinical prediction model. &amp; COPY; 2023 The Author(s). Published by Elsevier Inc. This is an open access article under the CC BY license (http://creativecommons.org/licenses/by/4.0/).</t>
  </si>
  <si>
    <t>Ma, Jie; Dhiman, Paula; Qi, Cathy; Bullock, Garrett; van Smeden, Maarten; Riley, Richard D.; Collins, Gary S.</t>
  </si>
  <si>
    <t>Ma, J (corresponding author), Univ Oxford, Nuffield Dept Orthopaed Rheumatol &amp; Musculoskeleta, Ctr Stat Med, Oxford, Oxon, England.</t>
  </si>
  <si>
    <t>jie.ma@csm.ox.ac.uk</t>
  </si>
  <si>
    <t>Cancer Research UK [C49297/A27294, PRCPJT-Nov21\100021]; NIHR Birmingham Biomedical Research Centre at the University Hospitals Birmingham NHS Foundation Trust; University of Birmingham</t>
  </si>
  <si>
    <t>Cancer Research UK (Cancer Research UK); NIHR Birmingham Biomedical Research Centre at the University Hospitals Birmingham NHS Foundation Trust; University of Birmingham (University of Birmingham)</t>
  </si>
  <si>
    <t>G.S.C. and J.M. were supported by Cancer Research UK (program grant: C49297/A27294). R.D.R. was supported by the NIHR Birmingham Biomedical Research Centre at the University Hospitals Birmingham NHS Foundation Trust and the University of Birmingham. P.D. was supported by Cancer Research UK grant (PRCPJT-Nov21\100021).</t>
  </si>
  <si>
    <t>[Ma, Jie; Dhiman, Paula; Collins, Gary S.] Univ Oxford, Ctr Stat Med, Nuffield Dept Orthopaed Rheumatol &amp; Musculoskeleta, Oxford OX3 7LD, England; [Qi, Cathy] Swansea Univ, Swansea Univ Med Sch, Fac Med Hlth &amp; Life Sci, Populat Data Sci, Singleton Pk Swansea, Swansea SA2 8PP, Wales; [Bullock, Garrett] Wake Forest Sch Med, Dept Orthopaed Surg, Winston Salem, NC USA; [Bullock, Garrett] Univ Oxford, Ctr Sport Exercise &amp; Osteoarthritis Res, Versus Arthrit, Oxford, England; [van Smeden, Maarten] Univ Utrecht, Univ Med Ctr Utrecht, Julius Ctr Hlth Sci &amp; Primary Care, Utrecht, Netherlands; [Riley, Richard D.] Univ Birmingham, Inst Appl Hlth Res, Coll Med &amp; Dent Sci, Birmingham B15 2TT, England; [Ma, Jie] Univ Oxford, Nuffield Dept Orthopaed Rheumatol &amp; Musculoskeleta, Ctr Stat Med, Oxford, Oxon, England</t>
  </si>
  <si>
    <t>University of Oxford; Swansea University; Wake Forest University; University of Oxford; Utrecht University; Utrecht University Medical Center; University of Birmingham; University of Oxford</t>
  </si>
  <si>
    <t>Poor handling of continuous predictors in clinical prediction models using logistic regression: a systematic review</t>
  </si>
  <si>
    <t>JOURNAL OF CLINICAL EPIDEMIOLOGY</t>
  </si>
  <si>
    <t>Prediction; Continuous predictors; Clinical prediction model; Model development; Nonlinear methods; Statistical modelling</t>
  </si>
  <si>
    <t>INDIVIDUAL PROGNOSIS; DIAGNOSIS TRIPOD; RISK; MORTALITY; APPLICABILITY; EXPLANATION; VALIDATION; VARIABLES; SURGERY; PROBAST</t>
  </si>
  <si>
    <t>Collins, Gary/A-2258-2014; Riley, Richard D/G-2406-2011; Dhiman, Paula/Y-7034-2019</t>
  </si>
  <si>
    <t>Qi, Cathy/0000-0002-0147-1985; Bullock, Garrett/0000-0003-0236-9015; Dhiman, Paula/0000-0002-0989-0623; Collins, Gary/0000-0002-2772-2316; Ma, Jie/0000-0002-3900-1903; Riley, Richard D/0000-0001-8699-0735; Dhiman, Paula/0000-0002-0989-0623</t>
  </si>
  <si>
    <t>69</t>
  </si>
  <si>
    <t>50</t>
  </si>
  <si>
    <t>56</t>
  </si>
  <si>
    <t>6</t>
  </si>
  <si>
    <t>11</t>
  </si>
  <si>
    <t>ELSEVIER SCIENCE INC</t>
  </si>
  <si>
    <t>NEW YORK</t>
  </si>
  <si>
    <t>101 Park Avenue, 24th Floor, NEW YORK, NY, UNITED STATES</t>
  </si>
  <si>
    <t>0895-4356</t>
  </si>
  <si>
    <t>1878-5921</t>
  </si>
  <si>
    <t>J CLIN EPIDEMIOL</t>
  </si>
  <si>
    <t>J. Clin. Epidemiol.</t>
  </si>
  <si>
    <t>SEP 2023</t>
  </si>
  <si>
    <t>2023</t>
  </si>
  <si>
    <t>161</t>
  </si>
  <si>
    <t>140</t>
  </si>
  <si>
    <t>151</t>
  </si>
  <si>
    <t>10.1016/j.jclinepi.2023.07.017</t>
  </si>
  <si>
    <t>http://dx.doi.org/10.1016/j.jclinepi.2023.07.017</t>
  </si>
  <si>
    <t>AUG 2023</t>
  </si>
  <si>
    <t>12</t>
  </si>
  <si>
    <t>Health Care Sciences &amp; Services; Public, Environmental &amp; Occupational Health</t>
  </si>
  <si>
    <t>S3WZ6</t>
  </si>
  <si>
    <t>37536504</t>
  </si>
  <si>
    <t>WOS:001070519900001</t>
  </si>
  <si>
    <t>hybrid; Green Submitted</t>
  </si>
  <si>
    <t>Yang, C; Kors, JA; Ioannou, S; John, LH; Markus, AF; Rekkas, A; de Ridder, MAJ; Seinen, TM; Williams, RD; Rijnbeek, PR</t>
  </si>
  <si>
    <t>Objectives This systematic review aims to provide further insights into the conduct and reporting of clinical prediction model development and validation over time. We focus on assessing the reporting of information necessary to enable external validation by other investigators. Materials and Methods We searched Embase, Medline, Web-of-Science, Cochrane Library, and Google Scholar to identify studies that developed 1 or more multivariable prognostic prediction models using electronic health record (EHR) data published in the period 2009-2019. Results We identified 422 studies that developed a total of 579 clinical prediction models using EHR data. We observed a steep increase over the years in the number of developed models. The percentage of models externally validated in the same paper remained at around 10%. Throughout 2009-2019, for both the target population and the outcome definitions, code lists were provided for less than 20% of the models. For about half of the models that were developed using regression analysis, the final model was not completely presented. Discussion Overall, we observed limited improvement over time in the conduct and reporting of clinical prediction model development and validation. In particular, the prediction problem definition was often not clearly reported, and the final model was often not completely presented. Conclusion Improvement in the reporting of information necessary to enable external validation by other investigators is still urgently needed to increase clinical adoption of developed models.</t>
  </si>
  <si>
    <t>Yang, Cynthia; Kors, Jan A.; Ioannou, Solomon; John, Luis H.; Markus, Aniek F.; Rekkas, Alexandros; de Ridder, Maria A. J.; Seinen, Tom M.; Williams, Ross D.; Rijnbeek, Peter R.</t>
  </si>
  <si>
    <t>Science Citation Index Expanded (SCI-EXPANDED); Social Science Citation Index (SSCI)</t>
  </si>
  <si>
    <t>Yang, C (corresponding author), Erasmus Univ, Dept Med Informat, Med Ctr, Dr Molewaterpl 40, NL-3015 GD Rotterdam, Netherlands.</t>
  </si>
  <si>
    <t>c.yang@erasmusmc.nl</t>
  </si>
  <si>
    <t>European Health Data &amp; Evidence Network (EHDEN) project; Innovative Medicines Initiative 2 Joint Undertaking (JU) [806968]; European Union; EFPIA</t>
  </si>
  <si>
    <t>European Health Data &amp; Evidence Network (EHDEN) project; Innovative Medicines Initiative 2 Joint Undertaking (JU); European Union (European Union (EU)); EFPIA</t>
  </si>
  <si>
    <t>This work has received support from the European Health Data &amp; Evidence Network (EHDEN) project. EHDEN has received funding from the Innovative Medicines Initiative 2 Joint Undertaking (JU) under grant agreement no 806968. The JU receives support from the European Union's Horizon 2020 research and innovation program and EFPIA.</t>
  </si>
  <si>
    <t>[Yang, Cynthia; Kors, Jan A.; Ioannou, Solomon; John, Luis H.; Markus, Aniek F.; Rekkas, Alexandros; de Ridder, Maria A. J.; Seinen, Tom M.; Williams, Ross D.; Rijnbeek, Peter R.] Erasmus Univ, Dept Med Informat, Med Ctr, Dr Molewaterpl 40, NL-3015 GD Rotterdam, Netherlands</t>
  </si>
  <si>
    <t>Erasmus University Rotterdam; Erasmus MC</t>
  </si>
  <si>
    <t>Trends in the conduct and reporting of clinical prediction model development and validation: a systematic review</t>
  </si>
  <si>
    <t>JOURNAL OF THE AMERICAN MEDICAL INFORMATICS ASSOCIATION</t>
  </si>
  <si>
    <t>clinical prediction model; electronic health record; external validation; machine learning; clinical decision support</t>
  </si>
  <si>
    <t>Rijnbeek, Peter/0000-0003-0621-1979; Williams, Ross/0000-0001-7723-417X; Yang, Cynthia/0000-0001-6769-3153; Ioannou, Solomon/0000-0003-1715-288X; Rekkas, Alexandros/0000-0002-5352-943X; Seinen, Tom/0000-0001-5369-8260; Markus, Aniek/0000-0001-5779-4794</t>
  </si>
  <si>
    <t>17</t>
  </si>
  <si>
    <t>59</t>
  </si>
  <si>
    <t>OXFORD UNIV PRESS</t>
  </si>
  <si>
    <t>OXFORD</t>
  </si>
  <si>
    <t>GREAT CLARENDON ST, OXFORD OX2 6DP, ENGLAND</t>
  </si>
  <si>
    <t>1067-5027</t>
  </si>
  <si>
    <t>1527-974X</t>
  </si>
  <si>
    <t>J AM MED INFORM ASSN</t>
  </si>
  <si>
    <t>J. Am. Med. Inf. Assoc.</t>
  </si>
  <si>
    <t>APR 13 2022</t>
  </si>
  <si>
    <t>2022</t>
  </si>
  <si>
    <t>29</t>
  </si>
  <si>
    <t>5</t>
  </si>
  <si>
    <t>983</t>
  </si>
  <si>
    <t>989</t>
  </si>
  <si>
    <t>10.1093/jamia/ocac002</t>
  </si>
  <si>
    <t>http://dx.doi.org/10.1093/jamia/ocac002</t>
  </si>
  <si>
    <t>JAN 2022</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</si>
  <si>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</si>
  <si>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</si>
  <si>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0M5HY</t>
  </si>
  <si>
    <t>35045179</t>
  </si>
  <si>
    <t>WOS:000782186000028</t>
  </si>
  <si>
    <t>hybrid; Green Accepted; Green Submitted</t>
  </si>
  <si>
    <t>Modi, ND; Sorich, MJ; Rowland, A; Logan, JM; McKinnon, RA; Kichenadasse, G; Wiese, MD; Hopkins, AM</t>
  </si>
  <si>
    <t>Despite advances in the breast cancer treatment, significant variability in patient outcomes remain. This results in significant stress to patients and clinicians. Treatment-specific clinical prediction models allow patients to be matched against historical outcomes of patients with similar characteristics; thereby reducing uncertainty by providing personalised estimates of benefits, harms, and prognosis. To achieve this objective, models need to be clinical-grade with evidence of accuracy, reproducibility, generalizability, and be user-friendly. A structured search was undertaken to identify treatment-specific clinical prediction models for therapeutic or adverse outcomes in breast cancer using clinicopathological data. Significant gaps in the presence of validated models for available treatments was identified, along with gaps in prediction of therapeutic and adverse outcomes. Most models did not have user-friendly tools available. With the aim being to facilitate the selection of the best medicine for a specific patient and shared-decision making, future research will need to address these gaps.</t>
  </si>
  <si>
    <t>Modi, Natansh D.; Sorich, Michael J.; Rowland, Andrew; Logan, Jessica M.; McKinnon, Ross A.; Kichenadasse, Ganessan; Wiese, Michael D.; Hopkins, Ashley M.</t>
  </si>
  <si>
    <t>Modi, ND (corresponding author), Flinders Univ S Australia, Coll Med &amp; Publ Hlth, Adelaide, SA, Australia.</t>
  </si>
  <si>
    <t>modi0037@flinders.edu.au</t>
  </si>
  <si>
    <t>Cancer Council South Australia; State Government through the Department of Health [1159924, 1127220]; Cancer Council's Beat Cancer Project; South Australian Department of Health; National Breast Cancer Foundation, Australia [PF-17-007]; Beat Cancer Mid-Career Research Fellowship from Cancer Council SA</t>
  </si>
  <si>
    <t>Cancer Council South Australia (Cancer Council South Australia); State Government through the Department of Health; Cancer Council's Beat Cancer Project; South Australian Department of Health; National Breast Cancer Foundation, Australia; Beat Cancer Mid-Career Research Fellowship from Cancer Council SA</t>
  </si>
  <si>
    <t>Research undertaken with the financial support of Cancer Council South Australia's Beat Cancer Project on behalf of its donors and the State Government through the Department of Health (Grant ID: 1159924 and 1127220). R.A.M receives financial support from the Cancer Council's Beat Cancer Project with support from its donors and the South Australian Department of Health. A.R. is supported by a Beat Cancer Mid-Career Research Fellowship from Cancer Council SA. A.M.H is a researcher funded by a Postdoctoral Fellowship from the National Breast Cancer Foundation, Australia (PF-17-007).</t>
  </si>
  <si>
    <t>[Modi, Natansh D.; Sorich, Michael J.; Rowland, Andrew; McKinnon, Ross A.; Kichenadasse, Ganessan; Hopkins, Ashley M.] Flinders Univ S Australia, Coll Med &amp; Publ Hlth, Adelaide, SA, Australia; [Logan, Jessica M.; Wiese, Michael D.] Univ South Australia, Sch Pharm &amp; Med Sci, Adelaide, SA, Australia</t>
  </si>
  <si>
    <t>Flinders University; Adelaide University; University of South Australia</t>
  </si>
  <si>
    <t>A literature review of treatment-specific clinical prediction models in patients with breast cancer</t>
  </si>
  <si>
    <t>CRITICAL REVIEWS IN ONCOLOGY HEMATOLOGY</t>
  </si>
  <si>
    <t>Clinical prediction model; Treatment-specific; Breast cancer; Literature review</t>
  </si>
  <si>
    <t>LOGISTIC-REGRESSION; PROGNOSTIC MODEL; ADJUVANT THERAPY; VALIDATION; RISK; TRASTUZUMAB; MANAGEMENT; OUTCOMES; PROGRAM</t>
  </si>
  <si>
    <t>Wiese, Michael/A-4743-2011; McKinnon, Ross/B-9340-2009; Logan, Jessica Marie/ABA-6692-2021; Hopkins, Ashley/W-9551-2019; Modi, Natansh/LBE-9675-2024; Sorich, Michael Joseph/A-1210-2011</t>
  </si>
  <si>
    <t>Wiese, Michael/0000-0002-3255-9242; McKinnon, Ross/0000-0002-3725-793X; Logan, Jessica Marie/0000-0003-4046-6908; Hopkins, Ashley/0000-0001-7652-4378; Modi, Natansh/0000-0003-3262-5374; Sorich, Michael Joseph/0000-0003-1999-866X</t>
  </si>
  <si>
    <t>15</t>
  </si>
  <si>
    <t>16</t>
  </si>
  <si>
    <t>STE 800, 230 PARK AVE, NEW YORK, NY 10169 USA</t>
  </si>
  <si>
    <t>1040-8428</t>
  </si>
  <si>
    <t>1879-0461</t>
  </si>
  <si>
    <t>CRIT REV ONCOL HEMAT</t>
  </si>
  <si>
    <t>Crit. Rev. Oncol./Hematol.</t>
  </si>
  <si>
    <t>APR 2020</t>
  </si>
  <si>
    <t>2020</t>
  </si>
  <si>
    <t>148</t>
  </si>
  <si>
    <t>102908</t>
  </si>
  <si>
    <t>10.1016/j.critrevonc.2020.102908</t>
  </si>
  <si>
    <t>http://dx.doi.org/10.1016/j.critrevonc.2020.102908</t>
  </si>
  <si>
    <t>Oncology; Hematology</t>
  </si>
  <si>
    <t>LF3BE</t>
  </si>
  <si>
    <t>32109714</t>
  </si>
  <si>
    <t>WOS:000527295500011</t>
  </si>
  <si>
    <t>Kaizu, Y; Tamura, S; Saito, H; Hayashi, S; Iwamoto, H; Miyata, K</t>
  </si>
  <si>
    <t>Background Several hip fracture clinical prediction models have been developed. We conducted this study to (i) map outcomes used in clinical prediction models for hip fracture, (ii) identify the domains and instruments of predictors, and (iii) assess the risk of bias.Methods We performed systematic searches of studies published from June 2002 to June 2023 in the PubMed, Cochrane Library, CINAHL, CiNii, and Ichushi databases. After the relevant articles were identified, we performed the data extraction and bias risk assessment. We used the Prediction Study Risk Of Bias Assessment Tool (PROBAST) to assess each study's risk of bias. Outcome mapping was performed for the core outcome set of hip fractures. Qualitative synthesis and the PROBAST evaluation were performed on other-than-mortality core outcomes, which are difficult to target in rehabilitation.Results We screened 3 206 studies for eligibility; 45 studies were included in the outcome mapping, and 10 studies were included in the qualitative synthesis. Outcomes included mortality (n = 35), mobility (n = 8), and activities of daily living (n = 2). No clinical prediction models had pain or health-related quality of life as an outcome. Predictors were reported in 8 domains and 38 measures. The PROBAST evaluation showed a high risk of bias in all 10 studies that were eligible for a qualitative synthesis.Conclusions The clinical prediction models had only mortality, mobility, and activities of daily living as outcomes. The development of clinical prediction models with pain and health-related quality of life as outcomes is necessary. Clinical prediction models overcoming the risk of bias identified in this study are also needed.</t>
  </si>
  <si>
    <t>Kaizu, Yoichi; Tamura, Shuntaro; Saito, Hiroyuki; Hayashi, Shota; Iwamoto, Hiroki; Miyata, Kazuhiro</t>
  </si>
  <si>
    <t>Kaizu, Y (corresponding author), Hidaka Hosp, Dept Rehabil Ctr, Takasaki, Japan.</t>
  </si>
  <si>
    <t>kaiduyoichi@yahoo.co.jp</t>
  </si>
  <si>
    <t>We thank Sota Kobayashi, a physical therapist at the Department of Rehabilitation, Public Nanokaichi Hospital, for his assistance with the technical aspects of the literature search. We also thank all of the researchers who responded to our requests.</t>
  </si>
  <si>
    <t>[Kaizu, Yoichi] Hidaka Hosp, Dept Rehabil Ctr, Takasaki, Japan; [Tamura, Shuntaro] Fujioka Gen Hosp, Dept Rehabil, Fujioka, Japan; [Saito, Hiroyuki] Geriatr Res Inst &amp; Hosp, Dept Rehabil, Maebashi, Japan; [Hayashi, Shota] Gunma Paz Univ, Grad Sch Hlth Sci, Dept Hlth Sci, Takasaki, Japan; [Hayashi, Shota] Gunma Paz Univ, Dept Phys Therapy, Takasaki, Japan; [Iwamoto, Hiroki] Hidaka Rehabil Hosp, Rehabil Ctr, Takasaki, Japan; [Miyata, Kazuhiro] Ibaraki Prefectural Univ Hlth Sci, Dept Phys Therapy, Ami, Ibaraki, Japan</t>
  </si>
  <si>
    <t>Clinical Prediction Models for Nonmortality Outcomes in Older Adults With Hip Fractures: A Systematic Review</t>
  </si>
  <si>
    <t>JOURNALS OF GERONTOLOGY SERIES A-BIOLOGICAL SCIENCES AND MEDICAL SCIENCES</t>
  </si>
  <si>
    <t>Diagnosis; Hip fracture; Older adult; Prediction model; Prognosis</t>
  </si>
  <si>
    <t>PROGNOSIS RESEARCH; ELDERLY-PATIENTS; REHABILITATION; APPLICABILITY; PROBAST; RISK; BIAS; TOOL</t>
  </si>
  <si>
    <t>Kaizu, Yoichi/AFV-4781-2022; /AAM-5906-2021</t>
  </si>
  <si>
    <t>Kaizu, Yoichi/0000-0001-9820-4703</t>
  </si>
  <si>
    <t>OXFORD UNIV PRESS INC</t>
  </si>
  <si>
    <t>CARY</t>
  </si>
  <si>
    <t>JOURNALS DEPT, 2001 EVANS RD, CARY, NC 27513 USA</t>
  </si>
  <si>
    <t>1079-5006</t>
  </si>
  <si>
    <t>1758-535X</t>
  </si>
  <si>
    <t>J GERONTOL A-BIOL</t>
  </si>
  <si>
    <t>J. Gerontol. Ser. A-Biol. Sci. Med. Sci.</t>
  </si>
  <si>
    <t>DEC 1 2023</t>
  </si>
  <si>
    <t>78</t>
  </si>
  <si>
    <t>2363</t>
  </si>
  <si>
    <t>2370</t>
  </si>
  <si>
    <t>10.1093/gerona/glad205</t>
  </si>
  <si>
    <t>http://dx.doi.org/10.1093/gerona/glad205</t>
  </si>
  <si>
    <t>Geriatrics &amp; Gerontology; Gerontology</t>
  </si>
  <si>
    <t>Geriatrics &amp; Gerontology</t>
  </si>
  <si>
    <t>CF0S1</t>
  </si>
  <si>
    <t>37607009</t>
  </si>
  <si>
    <t>WOS:001077350300001</t>
  </si>
  <si>
    <t>Bronze</t>
  </si>
  <si>
    <t>25</t>
  </si>
  <si>
    <t>Fernandez-Felix, BM; López-Alcalde, J; Roqué, M; Muriel, A; Zamora, J</t>
  </si>
  <si>
    <t>BackgroundSystematic reviews of studies of clinical prediction models are becoming increasingly abundant in the literature. Data extraction and risk of bias assessment are critical steps in any systematic review. CHARMS and PROBAST are the standard tools used for these steps in these reviews of clinical prediction models.ResultsWe developed an Excel template for data extraction and risk of bias assessment of clinical prediction models including both recommended tools. The template makes it easier for reviewers to extract data, to assess the risk of bias and applicability, and to produce results tables and figures ready for publication.ConclusionWe hope this template will simplify and standardize the process of conducting a systematic review of prediction models, and promote a better and more comprehensive reporting of these systematic reviews.</t>
  </si>
  <si>
    <t>Fernandez-Felix, Borja M.; Lopez-Alcalde, Jesus; Roque, Marta; Muriel, Alfonso; Zamora, Javier</t>
  </si>
  <si>
    <t>Fernandez-Felix, BM (corresponding author), Hosp Univ Ramon &amp; Cajal IRYCIS, Clin Biostat Unit, Madrid, Spain.; Fernandez-Felix, BM (corresponding author), CIBER Epidemiol &amp; Publ Hlth CIBERESP, Madrid, Spain.</t>
  </si>
  <si>
    <t>borjamanuel.fernandez@salud.madrid.org</t>
  </si>
  <si>
    <t>Ramon y Cajal Hospital</t>
  </si>
  <si>
    <t>AcknowledgementsWe are grateful to all members of Clinical Biostatistics Unit at Ramon y Cajal Hospital for their suggestions to improve the template.</t>
  </si>
  <si>
    <t>[Fernandez-Felix, Borja M.; Lopez-Alcalde, Jesus; Muriel, Alfonso; Zamora, Javier] Hosp Univ Ramon &amp; Cajal IRYCIS, Clin Biostat Unit, Madrid, Spain; [Fernandez-Felix, Borja M.; Lopez-Alcalde, Jesus; Roque, Marta; Muriel, Alfonso; Zamora, Javier] CIBER Epidemiol &amp; Publ Hlth CIBERESP, Madrid, Spain; [Lopez-Alcalde, Jesus] Univ Hosp Zurich, Inst Complementary &amp; Integrat Med, Zurich, Switzerland; [Lopez-Alcalde, Jesus] Univ Zurich, Zurich, Switzerland; [Lopez-Alcalde, Jesus] Univ Francisco Vitoria UFV, Fac Hlth Sci, Madrid, Spain; [Roque, Marta] St Pau Biomed Res Inst IIB St Pau, Iberoamer Cochrane Ctr, Barcelona, Spain; [Muriel, Alfonso] Univ Alcala Henares, Dept Nursing &amp; Physiotherapy, Alcala De Henares, Spain; [Zamora, Javier] Univ Birmingham, Inst Metab &amp; Syst Res, WHO Collaborating Ctr Global Womens Hlth, Birmingham, England</t>
  </si>
  <si>
    <t>Hospital Universitario Ramon y Cajal; CIBER - Centro de Investigacion Biomedica en Red; CIBERESP; University of Zurich; University Zurich Hospital; University of Zurich; Universidad Francisco de Vitoria; Institut de Recerca Sant Pau (IR SANT PAU); Universidad de Alcala; University of Birmingham</t>
  </si>
  <si>
    <t>CHARMS and PROBAST at your fingertips: a template for data extraction and risk of bias assessment in systematic reviews of predictive models</t>
  </si>
  <si>
    <t>BMC MEDICAL RESEARCH METHODOLOGY</t>
  </si>
  <si>
    <t>CHARMS; PROBAST; Systematic review; Prognostic model; Template</t>
  </si>
  <si>
    <t>INFECTIVE ENDOCARDITIS; CARDIAC-SURGERY; MORTALITY; APPLICABILITY; SCORE; VALVE; TOOL</t>
  </si>
  <si>
    <t>Zamora, Javier/AEO-0608-2022; Muriel, Alfonso/F-9948-2015; Fernandez-Felix, Borja/JJF-6926-2023; Lopez-Alcalde, Jesus/O-6052-2018</t>
  </si>
  <si>
    <t>Muriel, Alfonso/0000-0002-4805-4011; Lopez-Alcalde, Jesus/0000-0002-1598-8790; Roqué i Figuls, Marta/0000-0003-0043-1364</t>
  </si>
  <si>
    <t>18</t>
  </si>
  <si>
    <t>101</t>
  </si>
  <si>
    <t>111</t>
  </si>
  <si>
    <t>20</t>
  </si>
  <si>
    <t>BMC</t>
  </si>
  <si>
    <t>CAMPUS, 4 CRINAN ST, LONDON N1 9XW, ENGLAND</t>
  </si>
  <si>
    <t>1471-2288</t>
  </si>
  <si>
    <t>BMC MED RES METHODOL</t>
  </si>
  <si>
    <t>BMC Med. Res. Methodol.</t>
  </si>
  <si>
    <t>FEB 17 2023</t>
  </si>
  <si>
    <t>23</t>
  </si>
  <si>
    <t>10.1186/s12874-023-01849-0</t>
  </si>
  <si>
    <t>http://dx.doi.org/10.1186/s12874-023-01849-0</t>
  </si>
  <si>
    <t>Health Care Sciences &amp; Services</t>
  </si>
  <si>
    <t>9D2MG</t>
  </si>
  <si>
    <t>36800933</t>
  </si>
  <si>
    <t>WOS:000935936200003</t>
  </si>
  <si>
    <t>gold; Green Submitted; Green Accepted</t>
  </si>
  <si>
    <t>Battle, C; Cole, E; Carter, K; Baker, E</t>
  </si>
  <si>
    <t>BackgroundThe aim of this systematic review was to investigate how clinical prediction models compare in terms of their methodological development, validation, and predictive capabilities, for patients with blunt chest trauma presenting to the Emergency Department.MethodsA systematic review was conducted across databases from 1st Jan 2000 until 1st April 2024. Studies were categorised into three types of multivariable prediction research and data extracted regarding methodological issues and the predictive capabilities of each model. Risk of bias and applicability were assessed.Results41 studies were included that discussed 22 different models. The most commonly observed study design was a single-centre, retrospective, chart review. The most widely externally validated clinical prediction models with moderate to good discrimination were the Thoracic Trauma Severity Score and the STUMBL Score.DiscussionThis review demonstrates that the predictive ability of some of the existing clinical prediction models is acceptable, but high risk of bias and lack of subsequent external validation limits the extensive application of the models. The Thoracic Trauma Severity Score and STUMBL Score demonstrate better predictive accuracy in both development and external validation studies than the other models, but require recalibration and / or update and evaluation of their clinical and cost effectiveness.Review registrationPROSPERO database (https://www.crd.york.ac.uk/PROSPERO/display_record.php?RecordID=351638).</t>
  </si>
  <si>
    <t>Battle, Ceri; Cole, Elaine; Carter, Kym; Baker, Edward</t>
  </si>
  <si>
    <t>Battle, C (corresponding author), Swansea Bay Univ Hlth Board, Morriston Hosp, Physiotherapy Dept, Swansea SA6 6NL, Wales.; Battle, C (corresponding author), Swansea Univ, Med Sch, Swansea Trials Unit, Swansea, Wales.</t>
  </si>
  <si>
    <t>Ceri.battle@Wales.nhs.uk</t>
  </si>
  <si>
    <t>HCRW_ [RFPPB-16-1193] Funding Source: Medline; Health and Care Research Wales [RfPPB-16-1193] Funding Source: researchfish</t>
  </si>
  <si>
    <t>HCRW_; Health and Care Research Wales</t>
  </si>
  <si>
    <t>[Battle, Ceri] Swansea Bay Univ Hlth Board, Morriston Hosp, Physiotherapy Dept, Swansea SA6 6NL, Wales; [Battle, Ceri; Carter, Kym] Swansea Univ, Med Sch, Swansea Trials Unit, Swansea, Wales; [Cole, Elaine] Queen Mary Univ London, Blizard Inst, Ctr Trauma Sci, London, England; [Baker, Edward] Kings Coll Hosp London, Emergency Dept, London, England</t>
  </si>
  <si>
    <t>Morriston Hospital; Swansea University; University of London; Queen Mary University London; King's College Hospital NHS Foundation Trust; King's College Hospital</t>
  </si>
  <si>
    <t>Clinical prediction models for the management of blunt chest trauma in the emergency department: a systematic review</t>
  </si>
  <si>
    <t>BMC EMERGENCY MEDICINE</t>
  </si>
  <si>
    <t>Blunt chest trauma; Clinical prediction models; Systematic review</t>
  </si>
  <si>
    <t>SCORING SYSTEMS; THORACIC TRAUMA; SEVERITY SCORE; RISK-FACTORS; OUTCOMES; COMPLICATIONS; VALIDATION; ADMISSION; INJURY; MORTALITY</t>
  </si>
  <si>
    <t>Battle, Ceri/AAK-5856-2021</t>
  </si>
  <si>
    <t>Battle, Ceri/0000-0002-7503-1931; Baker, Edward/0000-0002-2633-0871</t>
  </si>
  <si>
    <t>61</t>
  </si>
  <si>
    <t>1471-227X</t>
  </si>
  <si>
    <t>BMC EMERG MED</t>
  </si>
  <si>
    <t>BMC Emerg. Med.</t>
  </si>
  <si>
    <t>OCT 12 2024</t>
  </si>
  <si>
    <t>2024</t>
  </si>
  <si>
    <t>24</t>
  </si>
  <si>
    <t>189</t>
  </si>
  <si>
    <t>10.1186/s12873-024-01107-6</t>
  </si>
  <si>
    <t>http://dx.doi.org/10.1186/s12873-024-01107-6</t>
  </si>
  <si>
    <t>14</t>
  </si>
  <si>
    <t>Emergency Medicine</t>
  </si>
  <si>
    <t>J3W8W</t>
  </si>
  <si>
    <t>39395934</t>
  </si>
  <si>
    <t>WOS:001336411100002</t>
  </si>
  <si>
    <t>Oliver, D; Arribas, M; Perry, BI; Whiting, D; Blackman, G; Krakowski, K; Seyedsalehi, A; Osimo, EF; Griff, SL; Stahl, D; Cipriani, A; Fazel, S; Fusar-Poli, P; McGuire, P</t>
  </si>
  <si>
    <t>The use of clinical prediction models to produce individualized risk estimates can facilitate the implementation of precision psychiatry. As a source of data from large, clinically representative patient samples, electronic health records (EHRs) provide a platform to develop and validate clinical prediction models, as well as potentially implement them in routine clinical care. The current review describes promising use cases for the application of precision psychiatry to EHR data and considers their performance in terms of discrimination (ability to separate individuals with and without the outcome) and calibration (extent to which predicted risk estimates correspond to observed outcomes), as well as their potential clinical utility (weighing benefits and costs associated with the model compared to different approaches across different assumptions of the number needed to test). We review 4 externally validated clinical prediction models designed to predict psychosis onset, psychotic relapse, cardiometabolic morbidity, and suicide risk. We then discuss the prospects for clinically implementing these models and the potential added value of integrating data from evidence syntheses, standardized psychometric assessments, and biological data into EHRs. Clinical prediction models can utilize routinely collected EHR data in an innovative way, representing a unique opportunity to inform real-world clinical decision making. Combining data from other sources (e.g., meta-analyses) or enhancing EHR data with information from research studies (clinical and biomarker data) may enhance our abilities to improve the performance of clinical prediction models.</t>
  </si>
  <si>
    <t>Oliver, Dominic; Arribas, Maite; Perry, Benjamin I.; Whiting, Daniel; Blackman, Graham; Krakowski, Kamil; Seyedsalehi, Aida; Osimo, Emanuele F.; Griff, Sian Lowri; Stahl, Daniel; Cipriani, Andrea; Fazel, Seena; Fusar-Poli, Paolo; McGuire, Philip</t>
  </si>
  <si>
    <t>Oliver, D (corresponding author), Univ Oxford, Dept Psychiat, Oxford, England.; Oliver, D (corresponding author), NIHR Oxford Hlth Biomed Res Ctr, Oxford, England.; Oliver, D (corresponding author), Oxford Hlth NHS Fdn Trust, OPEN Early Detect Serv, Oxford, England.; Oliver, D (corresponding author), Kings Coll London, Inst Psychiat Psychol &amp; Neurosci, Dept Psychosis Studies, Early Psychosis Intervent &amp; Clin Detect EP Lab, London, England.</t>
  </si>
  <si>
    <t>dominic.oliver@psych.ox.ac.uk</t>
  </si>
  <si>
    <t>Lundbeck; Angelini Pharma; Janssen</t>
  </si>
  <si>
    <t>Lundbeck (Lundbeck Corporation); Angelini Pharma; Janssen (Johnson &amp; Johnson, Johnson &amp; Johnson USA, Janssen Biotech Inc)</t>
  </si>
  <si>
    <t>MA is supported by the U.K. Medical Research Council (Grant No. MR/N013700/1) and King's College London member of the MRC Doctoral Training Partnership in Biomedical Sciences. AS is supported by a Department of Psychiatry Studentship (University of Oxford) , the Clarendon Fund, and the Robert Oxlade Scholarship (St John's College, Oxford) . DS and PF-P were partially funded by the National Institute for Health Research (NIHR) Maudsley Biomedical Research Centre at South London and Maudsley NHS Foundation Trust and King's College London. AC is sup-ported by the NIHR Oxford Cognitive Health Clinical Research Facility, by an NIHR Research Professorship (Grant No. RP-2017-08-ST2-006) , by the NIHR Oxford and Thames Valley Applied Research Collaboration, and by the NIHR Oxford Health Biomedical Research Centre (Grant No. NIHR203316) . The views expressed are those of the author (s) and not necessarily those of the NIHR or the Department of Health and Social Care. MA has been employed by F. Hoffmann-La Roche AG outside of the current work. AC has received research, educational, and consultancy fees from INCiPiT (Italian Network for Paediatric Trials) , Cariplo Foundation,Lundbeck, and Angelini Pharma; he is the principal investigator of one trial about seltorexant in adolescent depression, sponsored by Janssen. SF was part of the team that developed OxMIS. PF-P has received research fees from Lundbeck and received honoraria from Lundbeck, Angelini, Menarini, and Boehringer Ingelheim outside of the current work. All other authors report no biomedical financial interests or potential conflicts of interest.r Lundbeck, and Angelini Pharma; he is the principal investigator of one trial about seltorexant in adolescent depression, sponsored by Janssen. SF was part of the team that developed OxMIS. PF-P has received research fees from Lundbeck and received honoraria from Lundbeck, Angelini, Menarini, and Boehringer Ingelheim outside of the current work. All other authors report no biomedical financial interests or potential conflicts of interest.</t>
  </si>
  <si>
    <t>[Oliver, Dominic; Blackman, Graham; Seyedsalehi, Aida; Cipriani, Andrea; Fazel, Seena; McGuire, Philip] Univ Oxford, Dept Psychiat, Oxford, England; [Oliver, Dominic; Blackman, Graham; Cipriani, Andrea; Fazel, Seena; McGuire, Philip] NIHR Oxford Hlth Biomed Res Ctr, Oxford, England; [Oliver, Dominic; McGuire, Philip] Oxford Hlth NHS Fdn Trust, OPEN Early Detect Serv, Oxford, England; [Oliver, Dominic; Arribas, Maite; Krakowski, Kamil; Fusar-Poli, Paolo] Kings Coll London, Inst Psychiat Psychol &amp; Neurosci, Dept Psychosis Studies, Early Psychosis Intervent &amp; Clin Detect EP Lab, London, England; [Perry, Benjamin I.; Osimo, Emanuele F.] Univ Cambridge, Dept Psychiat, Cambridge, England; [Perry, Benjamin I.; Osimo, Emanuele F.] Cambridgeshire &amp; Peterborough NHS Fdn Trust, Cambridge, England; [Whiting, Daniel] Univ Nottingham, Inst Mental Hlth, Nottingham, England; [Krakowski, Kamil; Fusar-Poli, Paolo] Univ Pavia, Dept Brain &amp; Behav Sci, Pavia, Italy; [Osimo, Emanuele F.] Hammersmith Hosp Campus, Imperial Coll London Inst Clin Sci, London, England; [Osimo, Emanuele F.] Hammersmith Hosp Campus, UK Res &amp; Innovat MRC London Inst Med Sci, London, England; [Griff, Sian Lowri] Univ Birmingham, Inst Mental Hlth, Birmingham, England; [Griff, Sian Lowri] Univ Birmingham, Ctr Human Brain Hlth, Birmingham, England; [Stahl, Daniel] Inst Psychiat Psychol &amp; Neurosci, Dept Biostat &amp; Hlth Informat, London, England; [Cipriani, Andrea] Warneford Hosp, Oxford Hlth NHS Fdn Trust, Oxford, England; [Osimo, Emanuele F.; Fusar-Poli, Paolo] South London &amp; Maudsley Natl Hlth Serv Fdn Trust, London, England; [Fusar-Poli, Paolo] Ludwig Maximilian Univ Munich, Dept Psychiat &amp; Psychotherapy, Munich, Germany</t>
  </si>
  <si>
    <t>University of Oxford; Oxford Health NHS Foundation Trust; Oxford Health NHS Foundation Trust; University of London; King's College London; University of Cambridge; University of Nottingham; University of Pavia; University of Birmingham; University of Birmingham; Oxford Health NHS Foundation Trust; South London &amp; Maudsley NHS Trust; University of Munich</t>
  </si>
  <si>
    <t>Using Electronic Health Records to Facilitate Precision Psychiatry</t>
  </si>
  <si>
    <t>BIOLOGICAL PSYCHIATRY</t>
  </si>
  <si>
    <t>1ST EPISODE PSYCHOSIS; SEVERE MENTAL-ILLNESS; RISK CALCULATOR; TRANSDIAGNOSTIC PREDICTION; EXTERNAL VALIDATION; EARLY INTERVENTION; PROGNOSTIC MODELS; SUICIDE; PEOPLE; STATE</t>
  </si>
  <si>
    <t>Fusar-Poli, Paolo/D-8605-2011; Stahl, Daniel/B-9713-2011; Oliver, Dominic/I-8725-2019; Fazel, Seena/B-5307-2008; Osimo, Emanuele Felice/AAJ-6959-2020; McGuire, Philip/AFJ-9527-2022; Cipriani, Andrea/P-6944-2015</t>
  </si>
  <si>
    <t>Fusar-Poli, Paolo/0000-0003-3582-6788; Stahl, Daniel/0000-0001-7987-6619; Krakowski, Kamil/0009-0006-1414-0321; Perry, Benjamin I/0000-0002-1533-026X; Oliver, Dominic/0000-0002-8920-3407; Fazel, Seena/0000-0002-5383-5365; Osimo, Emanuele Felice/0000-0001-6239-5691; Whiting, Daniel/0000-0001-5323-364X; Blackman, Graham/0000-0001-7025-8670</t>
  </si>
  <si>
    <t>22</t>
  </si>
  <si>
    <t>0006-3223</t>
  </si>
  <si>
    <t>1873-2402</t>
  </si>
  <si>
    <t>BIOL PSYCHIAT</t>
  </si>
  <si>
    <t>Biol. Psychiatry</t>
  </si>
  <si>
    <t>OCT 1 2024</t>
  </si>
  <si>
    <t>96</t>
  </si>
  <si>
    <t>532</t>
  </si>
  <si>
    <t>542</t>
  </si>
  <si>
    <t>10.1016/j.biopsych.2024.02.1006</t>
  </si>
  <si>
    <t>http://dx.doi.org/10.1016/j.biopsych.2024.02.1006</t>
  </si>
  <si>
    <t>SEP 2024</t>
  </si>
  <si>
    <t>Neurosciences; Psychiatry</t>
  </si>
  <si>
    <t>Neurosciences &amp; Neurology; Psychiatry</t>
  </si>
  <si>
    <t>F8W3D</t>
  </si>
  <si>
    <t>38408535</t>
  </si>
  <si>
    <t>WOS:001312547300001</t>
  </si>
  <si>
    <t>Gillett, G; Tomlinson, A; Efthimiou, O; Cipriani, A</t>
  </si>
  <si>
    <t>There is increasing interest in clinical prediction models in psychiatry, which focus on developing multivariate algorithms to guide personalized diagnostic or management decisions. The main target of these models is the prediction of treatment response to different antidepressant therapies. This is because the ability to predict response based on patients' personal data may allow clinicians to make improved treatment decisions, and to provide more efficacious or more tolerable medications to the right patient. We searched the literature for systematic reviews about treatment prediction in the context of existing treatment modalities for adult unipolar depression, until July 2019. Treatment effect is defined broadly to include efficacy, safety, tolerability and acceptability outcomes. We first focused on the identification of individual predictor variables that might predict treatment response, and second, we considered multivariate clinical prediction models. Our meta-review included a total of 10 systematic reviews; seven (from 2014 to 2018) focusing on individual predictor variables and three focusing on clinical prediction models. These identified a number of sociodemographic, phenomenological, clinical, neuroimaging, remote monitoring, genetic and serum marker variables as possible predictor variables for treatment response, alongside statistical and machine-learning approaches to clinical prediction model development. Effect sizes for individual predictor variables were generally small and clinical prediction models had generally not been validated in external populations. There is a need for rigorous model validation in large external data-sets to prove the clinical utility of models. We also discuss potential future avenues in the field of personalized psychiatry, particularly the combination of multiple sources of data and the emerging field of artificial intelligence and digital mental health to identify new individual predictor variables. (C) 2020 Elsevier Inc. All rights reserved.</t>
  </si>
  <si>
    <t>Gillett, George; Tomlinson, Anneka; Efthimiou, Orestis; Cipriani, Andrea</t>
  </si>
  <si>
    <t>Tomlinson, A (corresponding author), Univ Oxford, Warneford Hosp, Dept Psychiat, Oxford OX3 7JX, England.</t>
  </si>
  <si>
    <t>anneka.tomlinson@psych.ox.ac.uk</t>
  </si>
  <si>
    <t>National Institute for Health Research (NIHR) Oxford Health Biomedical Research Centre [BRC-121520005]</t>
  </si>
  <si>
    <t>National Institute for Health Research (NIHR) Oxford Health Biomedical Research Centre (National Institutes of Health Research (NIHR))</t>
  </si>
  <si>
    <t>The study was funded by the National Institute for Health Research (NIHR) Oxford Health Biomedical Research Centre (grant BRC-121520005). The views expressed are those of the authors and not necessarily those of the UK National Health Service, the NIHR, or the UK Department of Health.</t>
  </si>
  <si>
    <t>[Gillett, George] Univ Oxford, Clin Acad Grad Sch, John Radcliffe Hosp, Oxford OX3 9DU, England; [Gillett, George; Tomlinson, Anneka; Cipriani, Andrea] Univ Oxford, Dept Psychiat, Oxford OX3 7JX, England; [Efthimiou, Orestis] Univ Bern, Inst Social &amp; Prevent Med, Bern, Switzerland; [Tomlinson, Anneka; Cipriani, Andrea] Oxford Hlth NHS Fdn Trust, Warneford Hosp, Oxford OX3 7JX, England</t>
  </si>
  <si>
    <t>University of Oxford; University of Oxford; University of Bern; Oxford Health NHS Foundation Trust</t>
  </si>
  <si>
    <t>Predicting treatment effects in unipolar depression: A meta-review</t>
  </si>
  <si>
    <t>PHARMACOLOGY &amp; THERAPEUTICS</t>
  </si>
  <si>
    <t>Antidepressant drugs; Prediction; Unipolar depression; Treatment response; Clinical prediction model; Precision psychiatry; Personalized medicine</t>
  </si>
  <si>
    <t>TRANSCRANIAL MAGNETIC STIMULATION; COGNITIVE-BEHAVIOR THERAPY; ANTIDEPRESSANT TREATMENT; ADULT DEPRESSION; MAJOR DEPRESSION; ELECTROCONVULSIVE-THERAPY; DOUBLE-BLIND; ATYPICAL DEPRESSION; METAANALYSIS; PSYCHOTHERAPY</t>
  </si>
  <si>
    <t>Gillett, George/HKV-1635-2023; Efthimiou, Orestis/AFM-8181-2022; Cipriani, Andrea/P-6944-2015</t>
  </si>
  <si>
    <t>Gillett, George/0000-0002-0270-9369; Efthimiou, Orestis/0000-0002-0955-7572; Tomlinson, Anneka/0000-0002-4721-2006; Cipriani, Andrea/0000-0001-5179-8321</t>
  </si>
  <si>
    <t>26</t>
  </si>
  <si>
    <t>34</t>
  </si>
  <si>
    <t>PERGAMON-ELSEVIER SCIENCE LTD</t>
  </si>
  <si>
    <t>THE BOULEVARD, LANGFORD LANE, KIDLINGTON, OXFORD OX5 1GB, ENGLAND</t>
  </si>
  <si>
    <t>0163-7258</t>
  </si>
  <si>
    <t>1879-016X</t>
  </si>
  <si>
    <t>PHARMACOL THERAPEUT</t>
  </si>
  <si>
    <t>Pharmacol. Ther.</t>
  </si>
  <si>
    <t>AUG 2020</t>
  </si>
  <si>
    <t>212</t>
  </si>
  <si>
    <t>107557</t>
  </si>
  <si>
    <t>10.1016/j.pharmthera.2020.107557</t>
  </si>
  <si>
    <t>http://dx.doi.org/10.1016/j.pharmthera.2020.107557</t>
  </si>
  <si>
    <t>Pharmacology &amp; Pharmacy</t>
  </si>
  <si>
    <t>LZ2SZ</t>
  </si>
  <si>
    <t>32437828</t>
  </si>
  <si>
    <t>WOS:000541079600004</t>
  </si>
  <si>
    <t>van Calster, B; van Smeden, M; van Amsterdam, W; Coemans, M; Wynants, L; Steyerberg, EW</t>
  </si>
  <si>
    <t>The current status of applied clinical prediction modeling is poor. Many models are developed with suboptimal methods and are not evaluated, and hence have little impact on clinical care. We review 12 challenges-provocatively labeled enemies-that jeopardize the creation of prediction models that make it to clinical practice to improve treatment decisions and clinical outcomes for individual patients. The challenges cover four areas: context, data, design and analysis, and scientific culture. We provide negative examples and recommendations for improvement, but also highlight positive examples and developments. Greater awareness of the complexities surrounding clinical prediction modeling is needed among researchers, funding agencies, health professionals as end users, and all of us as potential patients. To improve the utility of prediction models for healthcare and society, we need fewer but better models as well as more resources for model validation, impact assessment, and implementation.</t>
  </si>
  <si>
    <t>van Calster, Ben; van Smeden, Maarten; van Amsterdam, Wouter; Coemans, Maarten; Wynants, Laure; Steyerberg, Ewout W.</t>
  </si>
  <si>
    <t>van Calster, B (corresponding author), Katholieke Univ Leuven, Leuven Unit Hlth Technol Assessment Res LUHTAR, Leuven, Belgium.</t>
  </si>
  <si>
    <t>w.a.c.vanamsterdam-3@umcutrecht.nl; m.vansmeden@umcutrecht.nl; maarten.coemans@kuleuven.be; e.w.steyerberg@umcutrecht.nl; ben.vancalster@kuleuven.be; laure.wynants@maastrichtuniversity.nl</t>
  </si>
  <si>
    <t>Research Foundation - Flanders (FWO) [G097322N]; Internal Funds KU Leuven [C24M/20/064]; University Hospitals Leuven</t>
  </si>
  <si>
    <t>Research Foundation - Flanders (FWO) (FWO); Internal Funds KU Leuven; University Hospitals Leuven</t>
  </si>
  <si>
    <t>This work was made possible through funding from Research Foundation - Flanders (FWO) grant G097322N, Internal Funds KU Leuven grant C24M/20/064, and University Hospitals Leuven grant COPREDICT.</t>
  </si>
  <si>
    <t>[van Calster, Ben; Wynants, Laure] Katholieke Univ Leuven, Leuven Unit Hlth Technol Assessment Res LUHTAR, Leuven, Belgium; [van Calster, Ben; Wynants, Laure] Katholieke Univ Leuven, Dept Dev &amp; Regenerat, Leuven, Belgium; [van Smeden, Maarten; van Amsterdam, Wouter; Steyerberg, Ewout W.] Univ Med Ctr Utrecht, Julius Ctr Hlth Sci &amp; Primary Care, Utrecht, Netherlands; [Coemans, Maarten] Katholieke Univ Leuven, Dept Microbiol Immunol &amp; Transplantat, Leuven, Belgium; [Wynants, Laure] Maastricht Univ, CAPHRI Care &amp; Publ Hlth Res Inst, Dept Epidemiol, Maastricht, Netherlands</t>
  </si>
  <si>
    <t>KU Leuven; KU Leuven; Utrecht University; Utrecht University Medical Center; KU Leuven; Maastricht University</t>
  </si>
  <si>
    <t>The Enemies of Reliable and Useful Clinical Prediction Models: A Review of Statistical and Scientific Challenges</t>
  </si>
  <si>
    <t>ANNUAL REVIEW OF STATISTICS AND ITS APPLICATION</t>
  </si>
  <si>
    <t>clinical prediction models; methodology; model development; external validation; impact studies; model deployment</t>
  </si>
  <si>
    <t>DECISION-SUPPORT-SYSTEMS; LEARNING-METHODS; MISSING DATA; RISK MODELS; VALIDATION; BIAS; CARE; GENERALIZABILITY; IMPLEMENTATION; EXPLANATION</t>
  </si>
  <si>
    <t>Steyerberg, Ewout/C-1509-2018; Van Calster, Ben/F-9150-2010; van Amsterdam, Wouter/K-6699-2016; Coemans, Maarten/G-5544-2018; Wynants, Laure/AAA-2723-2020; van Smeden, Maarten/Y-7034-2019</t>
  </si>
  <si>
    <t>Wynants, Laure/0000-0002-3037-122X</t>
  </si>
  <si>
    <t>ANNUAL REVIEWS</t>
  </si>
  <si>
    <t>PALO ALTO</t>
  </si>
  <si>
    <t>4139 EL CAMINO WAY, PO BOX 10139, PALO ALTO, CA 94303-0139 USA</t>
  </si>
  <si>
    <t>2326-8298</t>
  </si>
  <si>
    <t>2326-831X</t>
  </si>
  <si>
    <t>ANNU REV STAT APPL</t>
  </si>
  <si>
    <t>Annu. Rev. Stat. Application</t>
  </si>
  <si>
    <t>MAR 9 2026</t>
  </si>
  <si>
    <t>2026</t>
  </si>
  <si>
    <t>465</t>
  </si>
  <si>
    <t>492</t>
  </si>
  <si>
    <t>10.1146/annurev-statistics-042324-123749</t>
  </si>
  <si>
    <t>http://dx.doi.org/10.1146/annurev-statistics-042324-123749</t>
  </si>
  <si>
    <t>28</t>
  </si>
  <si>
    <t>Mathematics, Interdisciplinary Applications; Statistics &amp; Probability</t>
  </si>
  <si>
    <t>Mathematics</t>
  </si>
  <si>
    <t>EU4XA</t>
  </si>
  <si>
    <t>WOS:001710034200002</t>
  </si>
  <si>
    <t>hybrid; Green Published; Green Accepted</t>
  </si>
  <si>
    <t>45</t>
  </si>
  <si>
    <t>Han, K; Song, K; Choi, BW</t>
  </si>
  <si>
    <t>Clinical prediction models are developed to calculate estimates of the probability of the presence/occurrence or future course of a particular prognostic or diagnostic outcome from multiple clinical or non-clinical parameters. Radiologic imaging techniques are being developed for accurate detection and early diagnosis of disease, which will eventually affect patient outcomes. Hence, results obtained by radiological means, especially diagnostic imaging, are frequently incorporated into a clinical prediction model as important predictive parameters, and the performance of the prediction model may improve in both diagnostic and prognostic settings. This article explains in a conceptual manner the overall process of developing and validating a clinical prediction model involving radiological parameters in relation to the study design and statistical methods. Collection of a raw dataset; selection of an appropriate statistical model; predictor selection; evaluation of model performance using a calibration plot, Hosmer-Lemeshow test and c-index; internal and external validation; comparison of different models using c-index, net reclassification improvement, and integrated discrimination improvement; and a method to create an easy-to-use prediction score system will be addressed. This article may serve as a practical methodological reference for clinical researchers.</t>
  </si>
  <si>
    <t>Han, Kyunghwa; Song, Kijun; Choi, Byoung Wook</t>
  </si>
  <si>
    <t>Song, K (corresponding author), Yonsei Univ, Coll Med, Dept Biostat &amp; Med Informat, 50-1 Yonsei Ro, Seoul 03722, South Korea.</t>
  </si>
  <si>
    <t>biostat@yuhs.ac</t>
  </si>
  <si>
    <t>[Han, Kyunghwa; Choi, Byoung Wook] Yonsei Univ, Coll Med, Severance Hosp, Dept Radiol, Seoul 03722, South Korea; [Han, Kyunghwa; Choi, Byoung Wook] Yonsei Univ, Coll Med, Severance Hosp, Res Inst Radiol Sci, Seoul 03722, South Korea; [Song, Kijun] Yonsei Univ, Coll Med, Dept Biostat &amp; Med Informat, 50-1 Yonsei Ro, Seoul 03722, South Korea</t>
  </si>
  <si>
    <t>Yonsei University; Severance Hospital; Yonsei University Health System; Yonsei University; Severance Hospital; Yonsei University Health System; Yonsei University; Yonsei University Health System</t>
  </si>
  <si>
    <t>How to Develop, Validate, and Compare Clinical Prediction Models Involving Radiological Parameters: Study Design and Statistical Methods</t>
  </si>
  <si>
    <t>KOREAN JOURNAL OF RADIOLOGY</t>
  </si>
  <si>
    <t>Prediction model; Prognosis; Diagnosis; Patient outcome</t>
  </si>
  <si>
    <t>EXTERNAL VALIDATION; INTEGRATED DISCRIMINATION; INDIVIDUAL PROGNOSIS; INCREMENTAL VALUE; DIAGNOSIS TRIPOD; RISK SCORE; ROC CURVE; REGRESSION; EVENTS; PERFORMANCE</t>
  </si>
  <si>
    <t>Song, Ki Jun/0000-0003-2505-4112; Choi, Byoung Wook/0000-0002-8873-5444; Han, Kyunghwa/0000-0002-5687-7237</t>
  </si>
  <si>
    <t>58</t>
  </si>
  <si>
    <t>139</t>
  </si>
  <si>
    <t>152</t>
  </si>
  <si>
    <t>KOREAN SOCIETY OF RADIOLOGY</t>
  </si>
  <si>
    <t>71, YANGJAECHEON-RO, SEOCHO-GU, SEOUL, SOUTH KOREA</t>
  </si>
  <si>
    <t>1229-6929</t>
  </si>
  <si>
    <t>2005-8330</t>
  </si>
  <si>
    <t>KOREAN J RADIOL</t>
  </si>
  <si>
    <t>Korean J. Radiol.</t>
  </si>
  <si>
    <t>MAY-JUN 2016</t>
  </si>
  <si>
    <t>3</t>
  </si>
  <si>
    <t>339</t>
  </si>
  <si>
    <t>350</t>
  </si>
  <si>
    <t>10.3348/kjr.2016.17.3.339</t>
  </si>
  <si>
    <t>http://dx.doi.org/10.3348/kjr.2016.17.3.339</t>
  </si>
  <si>
    <t>Radiology, Nuclear Medicine &amp; Medical Imaging</t>
  </si>
  <si>
    <t>DL8JZ</t>
  </si>
  <si>
    <t>27134523</t>
  </si>
  <si>
    <t>WOS:000375889600004</t>
  </si>
  <si>
    <t>Shao, YB; Yang, XY; Shi, Q; Xu, ZH; Liang, QQ</t>
  </si>
  <si>
    <t>Osteoporosis (OP) is a prevalent and serious comorbidity in rheumatoid arthritis (RA), significantly increasing the fracture burden. Although early detection is crucial, OP screening in RA is often delayed, representing an unmet clinical need. Clinical prediction models (CPMs) offer a solution for early risk stratification, yet a synthesis that integrates RA-OP risk factors and evaluates existing CPMs is lacking. This review addresses this gap by delineating the multidimensional risk network for RA-OP and evaluating the development, performance, and applicability of current CPMs. We find that despite evolution from basic to sophisticated biomarker-integrated algorithms, most CPMs are constrained by modest sample sizes, insufficient external validation, and suboptimal clinical translatability. The current paradigm focuses predominantly on diagnosis rather than prognosis. To address these limitations, future research should aim to enhance the methodological rigor and generalizability of models, expand their predictive scope to encompass future risk of OP and fractures, and develop RA-specific fracture prediction tools that incorporate disease-specific pathophysiology, with performance rigorously benchmarked against established tools such as the fracture risk assessment tool (FRAX). Progress along these lines may help shift the management paradigm toward more proactive and personalized prevention, with the potential to improve long-term skeletal health outcomes in RA.</t>
  </si>
  <si>
    <t>Shao, Yubo; Yang, XiaoYu; Shi, Qi; Xu, Zihang; Liang, Qianqian</t>
  </si>
  <si>
    <t>Liang, QQ (corresponding author), Shanghai Univ Tradit Chinese Med, Longhua Hosp, Shanghai 200032, Peoples R China.; Xu, ZH (corresponding author), Shanghai Univ Tradit Chinese Med, Sch Tradit Chinese Med, Shanghai 201203, Peoples R China.; Xu, ZH (corresponding author), Shanghai Univ Tradit Chinese Med, Sch Tradit Chinese Med, Shanghai Key Lab Hlth Identificat &amp; Assessment, Shanghai 201203, Peoples R China.</t>
  </si>
  <si>
    <t>xuzihang6207@shutcm.edu.cn; liangqianqian@shutcm.edu.cn</t>
  </si>
  <si>
    <t>Science and Technology Commission of Shanghai Municipality [25Y12800800]; National Natural Science Foundation of China [82474534]</t>
  </si>
  <si>
    <t>Science and Technology Commission of Shanghai Municipality (Science &amp; Technology Commission of Shanghai Municipality (STCSM)); National Natural Science Foundation of China (National Natural Science Foundation of China (NSFC))</t>
  </si>
  <si>
    <t>This study was supported by the National Natural Science Foundation of China (Grant No. 82474534), Key projects of the Shanghai Municipal Science and Technology Commission (Grant Nos. 25Y12800800 and 25Y12800801), and Shanghai's Dongfang Yingcai Program Leading Project.</t>
  </si>
  <si>
    <t>[Shao, Yubo; Shi, Qi; Liang, Qianqian] Shanghai Univ Tradit Chinese Med, Longhua Hosp, Shanghai 200032, Peoples R China; [Yang, XiaoYu] Shanghai Univ Tradit Chinese Med, Shanghai Municipal Hosp Tradit Chinese Med, Shanghai 200071, Peoples R China; [Xu, Zihang] Shanghai Univ Tradit Chinese Med, Sch Tradit Chinese Med, Shanghai 201203, Peoples R China; [Xu, Zihang] Shanghai Univ Tradit Chinese Med, Sch Tradit Chinese Med, Shanghai Key Lab Hlth Identificat &amp; Assessment, Shanghai 201203, Peoples R China</t>
  </si>
  <si>
    <t>Shanghai University of Traditional Chinese Medicine; Shanghai University of Traditional Chinese Medicine; Shanghai University of Traditional Chinese Medicine; Shanghai University of Traditional Chinese Medicine</t>
  </si>
  <si>
    <t>Osteoporosis in rheumatoid arthritis: a new perspective on risk factors and clinical prediction models</t>
  </si>
  <si>
    <t>OSTEOPOROSIS INTERNATIONAL</t>
  </si>
  <si>
    <t>Review; Early Access</t>
  </si>
  <si>
    <t>Biomarkers; Clinical prediction models; Osteoporosis; Pathogenesis; Rheumatoid arthritis; Risk factors</t>
  </si>
  <si>
    <t>WOMEN</t>
  </si>
  <si>
    <t>Shao, Yubo/MYV-5974-2025; Liang, Qianqian/AFO-7779-2022</t>
  </si>
  <si>
    <t>Shao, Yubo/0009-0003-4632-5759</t>
  </si>
  <si>
    <t>81</t>
  </si>
  <si>
    <t>SPRINGER LONDON LTD</t>
  </si>
  <si>
    <t>236 GRAYS INN RD, 6TH FLOOR, LONDON WC1X 8HL, ENGLAND</t>
  </si>
  <si>
    <t>0937-941X</t>
  </si>
  <si>
    <t>1433-2965</t>
  </si>
  <si>
    <t>OSTEOPOROSIS INT</t>
  </si>
  <si>
    <t>Osteoporosis Int.</t>
  </si>
  <si>
    <t>10.1007/s00198-026-08059-6</t>
  </si>
  <si>
    <t>http://dx.doi.org/10.1007/s00198-026-08059-6</t>
  </si>
  <si>
    <t>APR 2026</t>
  </si>
  <si>
    <t>HE0TD</t>
  </si>
  <si>
    <t>42049891</t>
  </si>
  <si>
    <t>WOS:001751842500001</t>
  </si>
  <si>
    <t>hybrid</t>
  </si>
  <si>
    <t>Fung, A; Loutet, M; Roth, DE; Wong, EL; Gill, PJ; Morris, SK; Beyene, J</t>
  </si>
  <si>
    <t>B ACKGROUND : Emerging evidence suggests that clinical prediction models that use repeated (time-varying) measurements within each patient may have higher predictive accuracy than models that use patient information from a single measurement. O BJECTIVE : To determine the breadth of the published literature reporting the development of clinical prediction models in children that use time-varying predictors. D ATA S OURCES : MEDLINE, EMBASE and Cochrane databases. E LIGIBILITY C RITERIA : We included studies reporting the development of a multivariable clinical prediction model in children, with or without validation, to predict a repeatedly measured binary or time-to-event outcome and utilizing at least one repeatedly measured predictor. S YNTHESIS M ETHODS : We categorized included studies by the method used to model time-varying predictors. R ESULTS : Of 99 clinical prediction model studies that had a repeated measurements data structure, only 27 (27%) used methods that incorporated the repeated measurements as time-varying predictors in a single model. Among these 27 time-varying prediction model studies, we grouped model types into nine categories: time- dependent Cox regression, generalized estimating equations, random effects model, landmark model, joint model, neural network, K-nearest neighbor, support vector machine and tree-based algorithms. Where there was comparison of time-varying models to single measurement models, using time-varying predictors improved predictive accuracy. C ONCLUSIONS : Various methods have been used to develop time-varying prediction models in children, but there is a paucity of pediatric time-varying models in the literature. Incorporating time- varying covariates in pediatric prediction models may improve predictive accuracy. Future research in pediatric prediction model development should further investigate whether incorporation of time-varying covariates improves predictive accuracy.</t>
  </si>
  <si>
    <t>Fung, Alastair; Loutet, Miranda; Roth, Daniel E.; Wong, Elliott; Gill, Peter J.; Morris, Shaun K.; Beyene, Joseph</t>
  </si>
  <si>
    <t>Fung, A (corresponding author), Hosp Sick Children, Div Paediat Med, 555 Univ Ave, Toronto, ON M5G 1X8, Canada.</t>
  </si>
  <si>
    <t>alastair.fung@sickkids.ca</t>
  </si>
  <si>
    <t>Canadian Institutes of Health Research [FBD-181380]; SickKids Clinician-Scientist Training Program [6030300488]</t>
  </si>
  <si>
    <t>Canadian Institutes of Health Research (Canadian Institutes of Health Research (CIHR)); SickKids Clinician-Scientist Training Program</t>
  </si>
  <si>
    <t>A CKNOWLEDGMENTS We acknowledge Elizabeth Uleryk for her guidance with the literature search. Financial statement : AF was supported by the Canadian Institutes of Health Research (Funding Reference Number: FBD-181380) and the SickKids Clinician-Scientist Training Program (Project ID: 6030300488) . Supporting institutions had no role in the study design, data collection, analysis and interpretation, writing of the manuscript, or decision to submit the manuscript for publication.</t>
  </si>
  <si>
    <t>[Fung, Alastair; Roth, Daniel E.; Gill, Peter J.] Hosp Sick Children, Div Paediat Med, Toronto, ON, Canada; [Fung, Alastair; Loutet, Miranda; Roth, Daniel E.; Gill, Peter J.; Morris, Shaun K.] Univ Toronto, Dalla Lana Sch Publ Hlth, Toronto, ON, Canada; [Fung, Alastair; Loutet, Miranda; Roth, Daniel E.] Hosp Sick Children, Ctr Global Child Hlth, Toronto, ON, Canada; [Roth, Daniel E.; Wong, Elliott; Gill, Peter J.; Morris, Shaun K.] Univ Toronto, Temerty Fac Med, Toronto, ON, Canada; [Roth, Daniel E.; Gill, Peter J.; Morris, Shaun K.] Hosp Sick Children, Res Inst, Child Hlth Evaluat Sci, Toronto, ON, Canada; [Morris, Shaun K.] Hosp Sick Children, Div Infect Dis, Toronto, ON, Canada; [Beyene, Joseph] McMaster Univ, Dept Hlth Res Methods Evidence &amp; Impact, Fac Hlth Sci, Hamilton, ON, Canada; [Fung, Alastair] Hosp Sick Children, Div Paediat Med, 555 Univ Ave, Toronto, ON M5G 1X8, Canada</t>
  </si>
  <si>
    <t>University of Toronto; Hospital for Sick Children (SickKids); University of Toronto; University of Toronto; Hospital for Sick Children (SickKids); University of Toronto; University of Toronto; Hospital for Sick Children (SickKids); University of Toronto; Hospital for Sick Children (SickKids); McMaster University; University of Toronto; Hospital for Sick Children (SickKids)</t>
  </si>
  <si>
    <t>Clinical prediction models in children that use repeated measurements with time-varying covariates: a scoping review</t>
  </si>
  <si>
    <t>ACADEMIC PEDIATRICS</t>
  </si>
  <si>
    <t>clinical decision rules; longitudinal studies; pediatrics; risk factors; time-dependent</t>
  </si>
  <si>
    <t>ELECTRONIC HEALTH RECORDS; RISK; VALIDATION; CALCULATOR; DISORDER; IMPACT; RULES; TREES</t>
  </si>
  <si>
    <t>Roth, Daniel/KFR-3099-2024; Morris, Shaun/KGL-8778-2024; Beyene, Joseph/ADF-9272-2022</t>
  </si>
  <si>
    <t>Loutet, Miranda/0000-0002-6293-3047; Fung, Alastair/0000-0001-5615-4947</t>
  </si>
  <si>
    <t>1876-2859</t>
  </si>
  <si>
    <t>1876-2867</t>
  </si>
  <si>
    <t>ACAD PEDIATR</t>
  </si>
  <si>
    <t>Acad. Pediatr.</t>
  </si>
  <si>
    <t>JUL 2024</t>
  </si>
  <si>
    <t>728</t>
  </si>
  <si>
    <t>740</t>
  </si>
  <si>
    <t>10.1016/j.acap.2024.03.016</t>
  </si>
  <si>
    <t>http://dx.doi.org/10.1016/j.acap.2024.03.016</t>
  </si>
  <si>
    <t>JUN 2024</t>
  </si>
  <si>
    <t>Pediatrics</t>
  </si>
  <si>
    <t>D4P3V</t>
  </si>
  <si>
    <t>38561061</t>
  </si>
  <si>
    <t>WOS:001296016600001</t>
  </si>
  <si>
    <t>Chandna, A; Tan, RE; Carter, M; van den Bruel, A; Verbakel, J; Koshiaris, C; Salim, N; Lubell, Y; Turner, P; Keitel, K</t>
  </si>
  <si>
    <t>Introduction Early identification of children at risk of severe febrile illness can optimise referral, admission and treatment decisions, particularly in resource-limited settings. We aimed to identify prognostic clinical and laboratory factors that predict progression to severe disease in febrile children presenting from the community. Methods We systematically reviewed publications retrieved from MEDLINE, Web of Science and Embase between 31 May 1999 and 30 April 2020, supplemented by hand search of reference lists and consultation with an expert Technical Advisory Panel. Studies evaluating prognostic factors or clinical prediction models in children presenting from the community with febrile illnesses were eligible. The primary outcome was any objective measure of disease severity ascertained within 30 days of enrolment. We calculated unadjusted likelihood ratios (LRs) for comparison of prognostic factors, and compared clinical prediction models using the area under the receiver operating characteristic curves (AUROCs). Risk of bias and applicability of studies were assessed using the Prediction Model Risk of Bias Assessment Tool and the Quality In Prognosis Studies tool. Results Of 5949 articles identified, 18 studies evaluating 200 prognostic factors and 25 clinical prediction models in 24 530 children were included. Heterogeneity between studies precluded formal meta-analysis. Malnutrition (positive LR range 1.56-11.13), hypoxia (2.10-8.11), altered consciousness (1.24-14.02), and markers of acidosis (1.36-7.71) and poor peripheral perfusion (1.78-17.38) were the most common predictors of severe disease. Clinical prediction model performance varied widely (AUROC range 0.49-0.97). Concerns regarding applicability were identified and most studies were at high risk of bias. Conclusions Few studies address this important public health question. We identified prognostic factors from a wide range of geographic contexts that can help clinicians assess febrile children at risk of progressing to severe disease. Multicentre studies that include outpatients are required to explore generalisability and develop data-driven tools to support patient prioritisation and triage at the community level. PROSPERO registration number CRD42019140542.</t>
  </si>
  <si>
    <t>Chandna, Arjun; Tan, Rainer; Carter, Michael; van den Bruel, Ann; Verbakel, Jan; Koshiaris, Constantinos; Salim, Nahya; Lubell, Yoel; Turner, Paul; Keitel, Kristina</t>
  </si>
  <si>
    <t>Chandna, A (corresponding author), Angkor Hosp Children, Cambodia Oxford Med Res Unit, Siem Reap, Cambodia.; Chandna, A (corresponding author), Univ Oxford, Ctr Trop Med &amp; Global Hlth, Oxford, England.</t>
  </si>
  <si>
    <t>arjun@tropmedres.ac</t>
  </si>
  <si>
    <t>Wellcome Trust Doctoral Training Fellowship; Botnar Foundation; UK Wellcome Trust [106 698Z/14/Z]; Tropical Health Education Trust in the UK</t>
  </si>
  <si>
    <t>Wellcome Trust Doctoral Training Fellowship (Wellcome Trust); Botnar Foundation; UK Wellcome Trust (Wellcome Trust); Tropical Health Education Trust in the UK</t>
  </si>
  <si>
    <t>AC is supported by a Wellcome Trust Doctoral Training Fellowship. RT is supported by the Botnar Foundation. The Cambodia Oxford Medical Research Unit and Mahidol-Oxford Tropical Medicine Research Unit are part of the Wellcome Trust Thailand Africa and Asia Programme, which receives core-funding from the UK Wellcome Trust (106 698Z/14/Z). The project also received seed funding from the Tropical Health Education Trust in the UK.</t>
  </si>
  <si>
    <t>[Chandna, Arjun; Turner, Paul] Angkor Hosp Children, Cambodia Oxford Med Res Unit, Siem Reap, Cambodia; [Chandna, Arjun; Lubell, Yoel; Turner, Paul] Univ Oxford, Ctr Trop Med &amp; Global Hlth, Oxford, England; [Tan, Rainer] Univ Lausanne, Unisante Ctr Primary Care &amp; Publ Hlth, Lausanne, Switzerland; [Tan, Rainer] Univ Basel, Basel, Switzerland; [Tan, Rainer; Keitel, Kristina] Swiss Trop &amp; Publ Hlth Inst, Basel, Switzerland; [Carter, Michael] Kings Coll London, Dept Women &amp; Childrens Hlth, London, England; [van den Bruel, Ann; Verbakel, Jan] Univ Leuven, Acad Ctr Gen Practice, Leuven, Flanders, Belgium; [van den Bruel, Ann; Verbakel, Jan; Koshiaris, Constantinos] Univ Oxford, Nuffield Dept Primary Care Hlth Sci, Oxford, England; [Salim, Nahya] Ifakara Hlth Inst, Dar Es Salaam, Tanzania; [Salim, Nahya] Muhimbili Univ Hlth &amp; Allied Sci, Dept Pediat &amp; Child Hlth, Dar Es Salaam, Tanzania; [Lubell, Yoel] Mahidol Oxford Trop Med Res Unit, Bangkok, Thailand; [Keitel, Kristina] Univ Bern, Univ Childrens Hosp, Dept Pediat, Div Emergency Med,Inselpital, Bern, Switzerland</t>
  </si>
  <si>
    <t>University of Oxford; University of Lausanne; Swiss School of Public Health (SSPH+); University of Basel; University of Basel; Swiss School of Public Health (SSPH+); Swiss Tropical &amp; Public Health Institute; University of London; King's College London; KU Leuven; University of Oxford; Ifakara Health Institute; Muhimbili University of Health &amp; Allied Sciences; Mahidol Oxford Tropical Medicine Research Unit (MORU); University of Bern; University Hospital of Bern</t>
  </si>
  <si>
    <t>Predictors of disease severity in children presenting from the community with febrile illnesses: a systematic review of prognostic studies</t>
  </si>
  <si>
    <t>BMJ GLOBAL HEALTH</t>
  </si>
  <si>
    <t>paediatrics; child health; public health; infections; diseases; disorders; injuries; systematic review</t>
  </si>
  <si>
    <t>DIAGNOSTIC-TEST; EMERGENCY-DEPARTMENT; TANZANIAN CHILDREN; CLINICAL-CRITERIA; MORTALITY; MALARIA; SEPSIS; DISTRICT; LACTATE; FEVER</t>
  </si>
  <si>
    <t>Verbakel, Jan/E-6758-2015; Van den Bruel, Ann/AAC-2442-2020; Tan, Rainer/HTM-5465-2023; Koshiaris, Constantinos/R-1263-2019; Lubell, Yoel/AGO-4665-2022</t>
  </si>
  <si>
    <t>Verbakel, Jan/0000-0002-7166-7211; Tan, Rainer/0000-0002-9273-9632; Turner, Paul/0000-0002-1013-7815; Koshiaris, Constantinos/0000-0002-9821-7608; CARTER, Michael/0000-0003-3403-4746; Keitel, Kristina/0000-0002-9663-3843; Lubell, Yoel/0000-0002-0237-1070; Chandna, Arjun/0000-0003-1313-7922</t>
  </si>
  <si>
    <t>64</t>
  </si>
  <si>
    <t>BMJ PUBLISHING GROUP</t>
  </si>
  <si>
    <t>BRITISH MED ASSOC HOUSE, TAVISTOCK SQUARE, LONDON WC1H 9JR, ENGLAND</t>
  </si>
  <si>
    <t>2059-7908</t>
  </si>
  <si>
    <t>BMJ GLOB HEALTH</t>
  </si>
  <si>
    <t>BMJ Glob. Health</t>
  </si>
  <si>
    <t>2021</t>
  </si>
  <si>
    <t>e003451</t>
  </si>
  <si>
    <t>10.1136/bmjgh-2020-003451</t>
  </si>
  <si>
    <t>http://dx.doi.org/10.1136/bmjgh-2020-003451</t>
  </si>
  <si>
    <t>Public, Environmental &amp; Occupational Health</t>
  </si>
  <si>
    <t>PZ7TC</t>
  </si>
  <si>
    <t>33472837</t>
  </si>
  <si>
    <t>WOS:000612942900003</t>
  </si>
  <si>
    <t>gold; Green Submitted; Green Accepted; Green Published</t>
  </si>
  <si>
    <t>Anderson, LA; Ensor, J; Gillies, CL; Lock, ST; Khunti, K; Gray, LJ</t>
  </si>
  <si>
    <t>Introduction Multiple long-term conditions (MLTCs) are being made a priority by funding bodies as prevalence rates increase. Improving early detection of individuals at high risk of developing MLTCs may delay or prevent complications and poor health outcomes. Predicting MLTCs remains a challenge, and methods for singular outcomes have been proven to be inappropriate for MLTC research. The aim of this paper is to present the protocol for a systematic review to identify all published models for prediction of MLTCs, and to summarise methods used for model development. Methods and analysis MEDLINE (Ovid), Embase (Ovid), CINAHL (EBSCOHost) and CENTRAL (Cochrane Library) will be searched from September 2015 to identify relevant clinical prediction models which predict the development of MLTCs. Screening, data extraction and the risk of bias will be undertaken by two reviewers independently. Data extraction will include primary items for methodology and model outcomes and secondary items including study descriptors, population information, measured outcomes, methodology, model performance measures, clinical usefulness measures and risk of bias. A narrative synthesis will be conducted to summarise current methodological practice and to identify areas for improvement to inform future methodological and model development. Ethics and dissemination Ethical approval is not required for this systematic review as it will use published literature only. The findings of the review will be submitted for publication in a peer reviewed journal.</t>
  </si>
  <si>
    <t>Anderson, Lauren A.; Ensor, Joie; Gillies, Clare L.; Lock, Selina T.; Khunti, Kamlesh; Gray, Laura J.</t>
  </si>
  <si>
    <t>Anderson, LA (corresponding author), Univ Leicester, Sch Med Sci, Div Publ Hlth &amp; Epidemiol, Leicester, England.; Anderson, LA (corresponding author), Univ Leicester, NIHR Leicester Biomed Res Ctr, Leicester, England.</t>
  </si>
  <si>
    <t>lg48@leicester.ac.uk; la289@leicester.ac.uk; clg13@leicester.ac.uk; stl5@leicester.ac.uk; j.ensor@bham.ac.uk; kk22@leicester.ac.uk</t>
  </si>
  <si>
    <t>National Institute for Health and Care Research, United Kingdom [NIHR203327]; National Institutes of Health Research (NIHR) [NIHR203327] Funding Source: National Institutes of Health Research (NIHR)</t>
  </si>
  <si>
    <t>National Institute for Health and Care Research, United Kingdom; National Institutes of Health Research (NIHR) (National Institutes of Health Research (NIHR))</t>
  </si>
  <si>
    <t>LAA is funded by the National Institute for Health and Care Research (NIHR) [NIHR203327] as part of the NIHR doctoral training program. Funder: https://www.nihr.ac.uk/.</t>
  </si>
  <si>
    <t>[Anderson, Lauren A.; Gray, Laura J.] Univ Leicester, Sch Med Sci, Div Publ Hlth &amp; Epidemiol, Leicester, England; [Anderson, Lauren A.; Gillies, Clare L.; Khunti, Kamlesh; Gray, Laura J.] Univ Leicester, NIHR Leicester Biomed Res Ctr, Leicester, England; [Ensor, Joie] Univ Birmingham, Coll Med &amp; Hlth, Sch Hlth Sci, Dept Appl Hlth Sci, Birmingham, England; [Ensor, Joie] Natl Inst Hlth &amp; Care Res NIHR, Birmingham Biomed Res Ctr, Birmingham, England; [Gillies, Clare L.] Diabet Res Ctr, Leicester Real World Evidence Unit, Leicester LE5 4PW, England; [Gillies, Clare L.; Khunti, Kamlesh] Leicester Gen Hosp, Leicester Diabet Ctr, Diabet Res Ctr, Leicester LE5 4PW, England; [Lock, Selina T.] Univ Leicester, Lib &amp; Learning Serv, Leicester, England</t>
  </si>
  <si>
    <t>University of Leicester; University of Leicester; University of Birmingham; University Hospitals of Leicester NHS Trust; Leicester General Hospital; University of Leicester</t>
  </si>
  <si>
    <t>A comparison of methodological approaches to developing clinical prediction models for individuals living with multiple long-term conditions: a protocol for a systematic review</t>
  </si>
  <si>
    <t>DIAGNOSTIC AND PROGNOSTIC RESEARCH</t>
  </si>
  <si>
    <t>Systematic review; MLTCs; Prognostic modelling; Risk prediction; Clinical prediction models</t>
  </si>
  <si>
    <t>Ensor, Joie/AAE-9109-2019; Lock, Selina/G-1735-2013; Khunti, Kamlesh/GQB-2573-2022</t>
  </si>
  <si>
    <t>Ensor, Joie/0000-0001-7481-0282; Anderson, Lauren/0009-0003-7661-1350; Lock, Selina/0000-0002-1090-1529; Khunti, Kamlesh/0000-0003-2343-7099; Gillies, Clare L/0000-0002-8417-9700</t>
  </si>
  <si>
    <t>SPRINGERNATURE</t>
  </si>
  <si>
    <t>CAMPUS, 4 CRINAN ST, LONDON, N1 9XW, ENGLAND</t>
  </si>
  <si>
    <t>2397-7523</t>
  </si>
  <si>
    <t>DIAGN PROGN RES</t>
  </si>
  <si>
    <t>Diagn. Progn. Res.</t>
  </si>
  <si>
    <t>FEB 6 2026</t>
  </si>
  <si>
    <t>10.1186/s41512-026-00221-2</t>
  </si>
  <si>
    <t>http://dx.doi.org/10.1186/s41512-026-00221-2</t>
  </si>
  <si>
    <t>Medicine, General &amp; Internal</t>
  </si>
  <si>
    <t>General &amp; Internal Medicine</t>
  </si>
  <si>
    <t>DG5MY</t>
  </si>
  <si>
    <t>41652522</t>
  </si>
  <si>
    <t>WOS:001682897800001</t>
  </si>
  <si>
    <t>Martin, GP; Riley, RD; Ensor, J; Grant, SW</t>
  </si>
  <si>
    <t>Clinical prediction models are statistical models or machine learning algorithms that combine information on a set of predictor variables about an individual to estimate their risk of a given clinical outcome. It is crucial to ensure that the sample size of the data used to develop or validate a clinical prediction model is large enough. If the data are inadequate, developed models can be unstable and estimates of predictive performance imprecise. This can lead to models that are unfit or even harmful for clinical practice. Recently, there have been a series of sample size formulae developed to estimate the minimum required sample size for prediction model development or external validation. The aim of this statistical primer is to provide an overview of these criteria, describe what information is required to make the calculations and illustrate their implementation through worked examples. The software that is available to implement the sample size criteria is reviewed, and code is provided for all the worked examples.Clinical prediction models (CPMs) are statistical models or machine learning algorithms that combine information on a set of predictor variables about an individual to estimate their risk or expected value of a given clinical outcome [1, 2].</t>
  </si>
  <si>
    <t>Martin, Glen P.; Riley, Richard D.; Ensor, Joie; Grant, Stuart W.</t>
  </si>
  <si>
    <t>Grant, SW (corresponding author), James Cook Univ Hosp, South Tees Hosp NHS Fdn Trust, Acad Cardiovasc Unit, Marton Rd, Middlesbrough TS4 3BW, England.</t>
  </si>
  <si>
    <t>stuart.grant@manchester.ac.uk</t>
  </si>
  <si>
    <t>MRC-NIHR Methodology Research Programme [MR/T025085/1]; EPSRC [EP/Y018516/1]; NIHR Birmingham Biomedical Research Centre at the University Hospitals Birmingham NHS Foundation Trust; University of Birmingham</t>
  </si>
  <si>
    <t>MRC-NIHR Methodology Research Programme; EPSRC (UK Research &amp; Innovation (UKRI), Engineering &amp; Physical Sciences Research Council (EPSRC)); NIHR Birmingham Biomedical Research Centre at the University Hospitals Birmingham NHS Foundation Trust; University of Birmingham (University of Birmingham)</t>
  </si>
  <si>
    <t>Glen P. Martin and Richard D. Riley are partially supported by funding from the MRC-NIHR Methodology Research Programme [grant number: MR/T025085/1]. Richard D. Riley and Joie Ensor are supported by an EPSRC grant (number: EP/Y018516/1) and the NIHR Birmingham Biomedical Research Centre at the University Hospitals Birmingham NHS Foundation Trust and the University of Birmingham. The views expressed are those of the author(s) and not necessarily those of the NHS, the NIHR or the Department of Health and Social Care.</t>
  </si>
  <si>
    <t>[Martin, Glen P.] Univ Manchester, Fac Biol Med &amp; Hlth, Div Informat Imaging &amp; Data Sci, Manchester, England; [Riley, Richard D.; Ensor, Joie] Univ Birmingham, Inst Appl Hlth Res, Coll Med &amp; Dent Sci, Birmingham, England; [Riley, Richard D.; Ensor, Joie] Natl Inst Hlth &amp; Care Res NIHR, Birmingham Biomed Res Ctr, Birmingham, England; [Grant, Stuart W.] James Cook Univ Hosp, South Tees Hosp NHS Fdn Trust, Acad Cardiovasc Unit, Marton Rd, Middlesbrough TS4 3BW, England; [Grant, Stuart W.] Univ Manchester, Div Cardiovasc Sci, Manchester, England</t>
  </si>
  <si>
    <t>University of Manchester; University of Birmingham; James Cook University Hospital; University of Manchester</t>
  </si>
  <si>
    <t>Statistical primer: sample size considerations for developing and validating clinical prediction models</t>
  </si>
  <si>
    <t>EUROPEAN JOURNAL OF CARDIO-THORACIC SURGERY</t>
  </si>
  <si>
    <t>Risk prediction; Sample size; Development; Validation; Overfitting; Evaluation</t>
  </si>
  <si>
    <t>EXTERNAL VALIDATION; REGRESSION-ANALYSIS; RISK MODELS; EVENTS; APPLICABILITY; EXPLANATION; SIMULATION; PROGNOSIS; PROBAST; BIAS</t>
  </si>
  <si>
    <t>Riley, Richard/G-2406-2011; Ensor, Joie/AAE-9109-2019; Martin, Glen Philip/I-7824-2019</t>
  </si>
  <si>
    <t>Ensor, Joie/0000-0001-7481-0282; Grant, Stuart/0000-0003-3468-591X; Martin, Glen Philip/0000-0002-3410-9472</t>
  </si>
  <si>
    <t>49</t>
  </si>
  <si>
    <t>1010-7940</t>
  </si>
  <si>
    <t>1873-734X</t>
  </si>
  <si>
    <t>EUR J CARDIO-THORAC</t>
  </si>
  <si>
    <t>Eur. J. Cardio-Thorac. Surg.</t>
  </si>
  <si>
    <t>67</t>
  </si>
  <si>
    <t>ezaf142</t>
  </si>
  <si>
    <t>10.1093/ejcts/ezaf142</t>
  </si>
  <si>
    <t>http://dx.doi.org/10.1093/ejcts/ezaf142</t>
  </si>
  <si>
    <t>Cardiac &amp; Cardiovascular Systems; Respiratory System; Surgery</t>
  </si>
  <si>
    <t>Cardiovascular System &amp; Cardiology; Respiratory System; Surgery</t>
  </si>
  <si>
    <t>3AC9N</t>
  </si>
  <si>
    <t>40279277</t>
  </si>
  <si>
    <t>WOS:001495450500001</t>
  </si>
  <si>
    <t>Costa, R; de Sousa, B; Kneib, T; Martins, R; Mayr, A</t>
  </si>
  <si>
    <t>Clinical prediction models play a crucial role in advancing personalized care for mental health disorders, providing essential insights for diagnosis, prognosis and intervention planning. This work examines the current methodological approaches used to develop such models, emphasizing their application to mental health problems, including depression. To illustrate these concepts, we used data on prenatal depression from a multinational observational study of 5,372 pregnant women. The goal is to develop an individual prognostic model for depressive symptoms that can be used already at the beginning of pregnancy. Our analysis explores variable selection strategies, validation methodologies and the integration of clinical expertise with data-driven approaches. Particular attention is given to addressing challenges such as population heterogeneity, overfitting and the importance of external validation for generalizability across diverse settings. We distinguish between statistical regression models and machine learning techniques, discussing their respective strengths and limitations in terms of interpretability, predictive accuracy and clinical usability. This work offers practical guidance for researchers and clinicians, focusing on the critical steps for model development and implementation. We highlight best practices to avoid common pitfalls, advocate for interdisciplinary collaboration and address challenges of integrating advanced statistical and machine learning tools into clinical practice. By providing practical guidance and addressing these issues, our aim is to support the development of robust and clinically relevant prediction models.</t>
  </si>
  <si>
    <t>Costa, Raquel; de Sousa, Bruno; Kneib, Thomas; Martins, Rui; Mayr, Andreas</t>
  </si>
  <si>
    <t>Mayr, A (corresponding author), Marburg Univ, Inst Med Biometry &amp; Stat, Marburg, Germany.</t>
  </si>
  <si>
    <t>andreas.mayr@uni-marburg.de</t>
  </si>
  <si>
    <t>European Social Fund [2023.06934.CEECIND]; Faculdade de Cincias e Tecnologia, Universidade Nova de Lisboa [UID/PPR/05380/2025; UID/PRR2/05380/2025; UID/05380/2025]</t>
  </si>
  <si>
    <t>European Social Fund (European Social Fund (ESF)); Faculdade de Cincias e Tecnologia, Universidade Nova de Lisboa</t>
  </si>
  <si>
    <t>This publication is based upon work from COST Action Research Innovation and Sustainable Pan-European Network in Peripartum Depression Disorder (Riseup-PPD), CA18138, as well as the COST Action TREASURE (Maternal Perinatal Stress and Adverse Outcomes in the Offspring: Maximising infants' development), CA22114, supported by COST (European Cooperation in Science and Technology).</t>
  </si>
  <si>
    <t>[Costa, Raquel] Lusofona Univ, HEI LAB Digital Human Environm Interact Labs, Campo Grande 376, P-1749024 Lisbon, Portugal; [de Sousa, Bruno] Univ Coimbra, Fac Psychol &amp; Educ Sci, CINEICC, Coimbra, Portugal; [Kneib, Thomas] Georg August Univ Gottingen, Campus Inst Data Sci, Fac Business &amp; Econ Sci, Chair Stat, Gottingen, Germany; [Martins, Rui] Univ Coimbra, Dept Math, Coimbra, Portugal; [Mayr, Andreas] Marburg Univ, Inst Med Biometry &amp; Stat, Marburg, Germany</t>
  </si>
  <si>
    <t>Lusofona University; Universidade de Coimbra; University of Gottingen; Universidade de Coimbra</t>
  </si>
  <si>
    <t>Methodological guidance on clinical prediction models in mental health research</t>
  </si>
  <si>
    <t>PSYCHOLOGICAL MEDICINE</t>
  </si>
  <si>
    <t>depression; mental health; clinical prediction models; prognostic models; personalized carer; diagnosis; prognosis; external validation; data-driven approaches; predictive accuracy; machine learning; AI-driven decision</t>
  </si>
  <si>
    <t>POSTNATAL DEPRESSION SCALE; BOOSTING ALGORITHMS; VALIDATION; REGRESSION; DIAGNOSIS; IMPACT</t>
  </si>
  <si>
    <t>Mayr, Andreas/IQR-8777-2023; Costa, Raquel/LEN-1129-2024; Martins, Rui/K-4635-2013</t>
  </si>
  <si>
    <t>114</t>
  </si>
  <si>
    <t>CAMBRIDGE UNIV PRESS</t>
  </si>
  <si>
    <t>CAMBRIDGE</t>
  </si>
  <si>
    <t>EDINBURGH BLDG, SHAFTESBURY RD, CB2 8RU CAMBRIDGE, ENGLAND</t>
  </si>
  <si>
    <t>0033-2917</t>
  </si>
  <si>
    <t>1469-8978</t>
  </si>
  <si>
    <t>PSYCHOL MED</t>
  </si>
  <si>
    <t>Psychol. Med.</t>
  </si>
  <si>
    <t>JUN 9 2026</t>
  </si>
  <si>
    <t>e190</t>
  </si>
  <si>
    <t>10.1017/S003329172610378X</t>
  </si>
  <si>
    <t>http://dx.doi.org/10.1017/S003329172610378X</t>
  </si>
  <si>
    <t>JUN 2026</t>
  </si>
  <si>
    <t>Psychology, Clinical; Psychiatry; Psychology</t>
  </si>
  <si>
    <t>Psychology; Psychiatry</t>
  </si>
  <si>
    <t>JE2CN</t>
  </si>
  <si>
    <t>42261225</t>
  </si>
  <si>
    <t>WOS:001787215500001</t>
  </si>
  <si>
    <t>Guan, GX; Pu, YF; Gao, Y; Liu, XL; Shi, F; Sun, Q; Xu, JJ; Zhang, LN; Zhang, XZ; Feng, W; Yang, W</t>
  </si>
  <si>
    <t>Clinical prediction models play an important role in the field of medicine. These can help predict the probability of an individual suffering from disease, complications, and treatment outcomes by applying specific methodologies. Polycystic ovary syndrome (PCOS) is a common disease with a high incidence rate, huge heterogeneity, short- and long-term complications, and complex treatments. In this systematic review study, we reviewed the progress of clinical prediction models in PCOS patients, including diagnosis and prediction models for PCOS complications and treatment outcomes. We aimed to provide ideas for medical researchers and clues for the management of PCOS. In the future, models with poor accuracy can be greatly improved by adding well-known parameters and validations, which will further expand our understanding of PCOS in terms of precision medicine. By developing a series of predictive models, we can make the definition of PCOS more accurate, which can improve the diagnosis of PCOS and reduce the likelihood of false positives and false negatives. It will also help discover complications earlier and treatment outcomes being known earlier, which can result in better outcomes for women with PCOS.</t>
  </si>
  <si>
    <t>Guan, Guixue; Pu, Yifu; Gao, Yuan; Liu, Xialei; Shi, Fan; Sun, Qian; Xu, Jinjin; Zhang, Linna; Zhang, Xiaozuo; Feng, Wen; Yang, Wen</t>
  </si>
  <si>
    <t>Yang, W (corresponding author), First Peoples Hosp Lianyungang, Lianyungang 222002, Jiangsu, Peoples R China.; Yang, W (corresponding author), Xuzhou Med Univ, Affiliated Hosp Lianyungang, Lianyungang 222002, Jiangsu, Peoples R China.; Yang, W (corresponding author), Nanjing Med Univ, Affiliated Hosp 1, Kangda Coll, Lianyungang 222002, Jiangsu, Peoples R China.</t>
  </si>
  <si>
    <t>1138514130@qq.com</t>
  </si>
  <si>
    <t>Research on the Intervention Effect of Multidisciplinary Joint Lifestyle on PCOS Patients under the Background of Internet + Medicine [F202103]; National Key Program R&amp;D Key Special Project [Research on Reproductive Health and Prevention and Control of Major Birth Defects] [SQ2018YFC100274]</t>
  </si>
  <si>
    <t>Research on the Intervention Effect of Multidisciplinary Joint Lifestyle on PCOS Patients under the Background of Internet + Medicine; National Key Program R&amp;D Key Special Project [Research on Reproductive Health and Prevention and Control of Major Birth Defects]</t>
  </si>
  <si>
    <t>[1] Research on the Intervention Effect of Multidisciplinary Joint Lifestyle on PCOS Patients under the Background of Internet + Medicine, No. F202103 ---Lianyungang Maternal and Child Health Research Project.[2] Research on the Impact of Environmental and Behavioral Factors on Embryonic Development and Pregnancy Based on Internal and External Exposure Monitoring, SQ2018YFC100274----National Key Program R&amp;D Key Special Project [Research on Reproductive Health and Prevention and Control of Major Birth Defects]</t>
  </si>
  <si>
    <t>[Guan, Guixue; Gao, Yuan; Liu, Xialei; Shi, Fan; Sun, Qian; Xu, Jinjin; Zhang, Linna; Zhang, Xiaozuo; Feng, Wen; Yang, Wen] First Peoples Hosp Lianyungang, Lianyungang 222002, Jiangsu, Peoples R China; [Guan, Guixue; Gao, Yuan; Liu, Xialei; Shi, Fan; Sun, Qian; Xu, Jinjin; Zhang, Linna; Zhang, Xiaozuo; Feng, Wen; Yang, Wen] Xuzhou Med Univ, Affiliated Hosp Lianyungang, Lianyungang 222002, Jiangsu, Peoples R China; [Guan, Guixue; Gao, Yuan; Liu, Xialei; Shi, Fan; Sun, Qian; Xu, Jinjin; Zhang, Linna; Zhang, Xiaozuo; Feng, Wen; Yang, Wen] Nanjing Med Univ, Affiliated Hosp 1, Kangda Coll, Lianyungang 222002, Jiangsu, Peoples R China; [Pu, Yifu] Sichuan Univ, West China Univ Hosp 2, Lab Genet Dis &amp; Perinatal Med, Minist Educ,Key Lab Birth Defects &amp; Related Dis Wo, Chengdu 610041, Sichuan, Peoples R China</t>
  </si>
  <si>
    <t>Xuzhou Medical University; Nanjing Medical University; Sichuan University</t>
  </si>
  <si>
    <t>Progress of the application clinical prediction model in polycystic ovary syndrome</t>
  </si>
  <si>
    <t>JOURNAL OF OVARIAN RESEARCH</t>
  </si>
  <si>
    <t>Clinical prediction model; Polycystic ovary syndrome; Application progress; Reproduction; Endocrine; Overweight PCOS</t>
  </si>
  <si>
    <t>CLOMIPHENE CITRATE INDUCTION; GENOME-WIDE ASSOCIATION; ANTI-MULLERIAN HORMONE; QUALITY-OF-LIFE; LIVE BIRTH; OVULATION INDUCTION; DIAGNOSTIC-CRITERIA; WOMEN; PREGNANCY; VARIANTS</t>
  </si>
  <si>
    <t>liu, xialei/AAP-4986-2020</t>
  </si>
  <si>
    <t>Sun, Qian/0000-0002-1068-1933</t>
  </si>
  <si>
    <t>1757-2215</t>
  </si>
  <si>
    <t>J OVARIAN RES</t>
  </si>
  <si>
    <t>J. Ovarian Res.</t>
  </si>
  <si>
    <t>NOV 25 2023</t>
  </si>
  <si>
    <t>230</t>
  </si>
  <si>
    <t>10.1186/s13048-023-01310-2</t>
  </si>
  <si>
    <t>http://dx.doi.org/10.1186/s13048-023-01310-2</t>
  </si>
  <si>
    <t>Reproductive Biology</t>
  </si>
  <si>
    <t>Z0WK1</t>
  </si>
  <si>
    <t>38007488</t>
  </si>
  <si>
    <t>WOS:001109369300001</t>
  </si>
  <si>
    <t>397</t>
  </si>
  <si>
    <t>Christodoulou, E; Ma, J; Collins, GS; Steyerberg, EW; Verbakel, JY; Van Calster, B</t>
  </si>
  <si>
    <t>Objectives: The objective of this study was to compare performance of logistic regression (LR) with machine learning (ML) for clinical prediction modeling in the literature.Study Design and Setting: We conducted a Medline literature search (1/2016 to 8/2017) and extracted comparisons between LR and ML models for binary outcomes.Results: We included 71 of 927 studies. The median sample size was 1,250 (range 72-3,994,872), with 19 predictors considered (range 5-563) and eight events per predictor (range 0.3-6,697). The most common ML methods were classification trees, random forests, artificial neural networks, and support vector machines. In 48 (68%) studies, we observed potential bias in the validation procedures. Sixty-four (90%) studies used the area under the receiver operating characteristic curve (AUC) to assess discrimination. Calibration was not addressed in 56 (79%) studies. We identified 282 comparisons between an LR and ML model (AUC range, 0.52-0.99). For 145 comparisons at low risk of bias, the difference in logit(AUC) between LR and ML was 0.00 (95% confidence interval, -0.18 to 0.18). For 137 comparisons at high risk of bias, logit(AUC) was 0.34 (0.20-0.47) higher for ML.Conclusion: We found no evidence of superior performance of ML over LR. Improvements in methodology and reporting are needed for studies that compare modeling algorithms. (C) 2019 Elsevier Inc. All rights reserved.</t>
  </si>
  <si>
    <t>Christodoulou, Evangelia; Ma, Jie; Collins, Gary S.; Steyerberg, Ewout W.; Verbakel, Jan Y.; Van Calster, Ben</t>
  </si>
  <si>
    <t>Van Calster, B (corresponding author), Katholieke Univ Leuven, Dept Dev &amp; Regenerat, Herestr 49 Box 805, B-3000 Leuven, Belgium.; Van Calster, B (corresponding author), Leiden Univ, Med Ctr, Dept Biomed Data Sci, Albinusdreef 2, NL-2333 ZA Leiden, Netherlands.</t>
  </si>
  <si>
    <t>ben.vancalster@kuleuven.be</t>
  </si>
  <si>
    <t>Research Foundation-Flanders (FWO) [G0B4716N]; Internal Funds KU Leuven [C24/15/037]; Cancer Research UK [5529/A16895]; NIHR Biomedical Research Centre, Oxford, UK; Cancer Research UK [16895] Funding Source: researchfish</t>
  </si>
  <si>
    <t>Research Foundation-Flanders (FWO) (FWO); Internal Funds KU Leuven; Cancer Research UK (Cancer Research UK); NIHR Biomedical Research Centre, Oxford, UK (National Institutes of Health Research (NIHR)); Cancer Research UK (Cancer Research UK)</t>
  </si>
  <si>
    <t>This work was supported by the Research Foundation-Flanders (FWO) [grant G0B4716N]; Internal Funds KU Leuven [grant C24/15/037]; Cancer Research UK [grant 5529/A16895]; the NIHR Biomedical Research Centre, Oxford, UK. The funding sources had no role in the conception, design, data collection, analysis, or reporting of this study.</t>
  </si>
  <si>
    <t>[Christodoulou, Evangelia; Verbakel, Jan Y.; Van Calster, Ben] Katholieke Univ Leuven, Dept Dev &amp; Regenerat, Herestr 49 Box 805, B-3000 Leuven, Belgium; [Ma, Jie; Collins, Gary S.] Univ Oxford, Ctr Stat Med, Nuffield Dept Orthopaed Rheumatol &amp; Musculoskelet, Botnar Res Ctr, Windmill Rd, Oxford OX3 7LD, England; [Collins, Gary S.] Oxford Univ Hosp NHS Fdn Trust, Oxford, England; [Steyerberg, Ewout W.; Van Calster, Ben] Leiden Univ, Med Ctr, Dept Biomed Data Sci, Albinusdreef 2, NL-2333 ZA Leiden, Netherlands; [Verbakel, Jan Y.] Katholieke Univ Leuven, Dept Publ Hlth &amp; Primary Care, Kapucijnenvoer 33J Box 7001, B-3000 Leuven, Belgium; [Verbakel, Jan Y.] Univ Oxford, Nuffield Dept Primary Care Hlth Sci, Woodstock Rd, Oxford OX2 6GG, England</t>
  </si>
  <si>
    <t>KU Leuven; University of Oxford; Oxford University Hospitals NHS Foundation Trust; Leiden University - Excl LUMC; Leiden University; Leiden University Medical Center (LUMC); KU Leuven; University of Oxford</t>
  </si>
  <si>
    <t>A systematic review shows no performance benefit of machine learning over logistic regression for clinical prediction models</t>
  </si>
  <si>
    <t>Clinical prediction models; Logistic regression; Machine learning; AUC; Calibration; Reporting</t>
  </si>
  <si>
    <t>ARTIFICIAL NEURAL-NETWORKS; BIG DATA; EMERGENCY-DEPARTMENT; VEIN-THROMBOSIS; RISK; CANCER; FAILURE; CLASSIFICATION; DIAGNOSIS; MORTALITY</t>
  </si>
  <si>
    <t>Christodoulou, Evangelia/AAF-5643-2021; Verbakel, Jan/E-6758-2015; Van Calster, Ben/F-9150-2010; Steyerberg, Ewout/C-1509-2018; Collins, Gary/A-2258-2014</t>
  </si>
  <si>
    <t>Christodoulou, Evangelia/0000-0001-7900-5952; Verbakel, Jan/0000-0002-7166-7211; Van Calster, Ben/0000-0003-1613-7450; Ma, Jie/0000-0002-3900-1903; Collins, Gary/0000-0002-2772-2316</t>
  </si>
  <si>
    <t>113</t>
  </si>
  <si>
    <t>1512</t>
  </si>
  <si>
    <t>1703</t>
  </si>
  <si>
    <t>358</t>
  </si>
  <si>
    <t>JUN 2019</t>
  </si>
  <si>
    <t>2019</t>
  </si>
  <si>
    <t>110</t>
  </si>
  <si>
    <t>10.1016/j.jclinepi.2019.02.004</t>
  </si>
  <si>
    <t>http://dx.doi.org/10.1016/j.jclinepi.2019.02.004</t>
  </si>
  <si>
    <t>IZ6LW</t>
  </si>
  <si>
    <t>30763612</t>
  </si>
  <si>
    <t>WOS:000487194400003</t>
  </si>
  <si>
    <t>Green Accepted</t>
  </si>
  <si>
    <t>Ardila, CM; Pineda-Vélez, E; Vivares-Builes, AM</t>
  </si>
  <si>
    <t>Peri-implantitis is a chronic inflammatory condition driven by dysregulated host immune responses, yet clinical risk assessment continues to rely on routinely collected clinical indicators. Clinical prediction models, including machine learning-based and conventional approaches, have been proposed to integrate these indicators for peri-implantitis risk stratification, but their conceptualization of immunopathological risk has not been systematically examined. This systematic review and functional meta-synthesis were conducted according to PRISMA 2020. Six eligible studies were included, comprising 1316 patients and 2438 dental implants. Four studies employed machine learning-based models, and two used conventional clinical prediction approaches. A functional meta-synthesis was performed to interpret how models integrate clinical predictors as surrogate manifestations of immune dysregulation. Additionally, an exploratory random-effects meta-analysis of area under the receiver operating characteristic curve (AUC) values was conducted where applicable. Discriminative performance ranged from moderate to high across studies, with overlapping AUC estimates between modeling paradigms. Despite methodological differences, both machine learning and conventional models converged on shared immunopathological constructs related to inflammatory burden, prior periodontal disease, plaque-related factors, and host systemic conditions. These findings support the clinical utility of immunopathologically informed prediction models for peri-implantitis and highlight the need for future studies incorporating external validation.</t>
  </si>
  <si>
    <t>Ardila, Carlos M.; Pineda-Velez, Eliana; Vivares-Builes, Anny M.</t>
  </si>
  <si>
    <t>Ardila, CM (corresponding author), Saveetha Univ, Saveetha Dent Coll &amp; Hosp, Saveetha Inst Med &amp; Tech Sci, Dept Periodont, Chennai 600077, India.; Ardila, CM (corresponding author), Univ Antioquia UA, Fac Dent, Basic Sci Dept, Biomed Stomatol Res Grp, Medellin 050010, Colombia.</t>
  </si>
  <si>
    <t>martin.ardila@udea.edu.co; eliana.pineda@uam.edu.co; anny.vivares@uam.edu.co</t>
  </si>
  <si>
    <t>[Ardila, Carlos M.] Saveetha Univ, Saveetha Dent Coll &amp; Hosp, Saveetha Inst Med &amp; Tech Sci, Dept Periodont, Chennai 600077, India; [Ardila, Carlos M.; Pineda-Velez, Eliana; Vivares-Builes, Anny M.] Univ Antioquia UA, Fac Dent, Basic Sci Dept, Biomed Stomatol Res Grp, Medellin 050010, Colombia; [Pineda-Velez, Eliana; Vivares-Builes, Anny M.] Inst Univ Vis Amer, Fac Dent, Medellin 050040, Colombia</t>
  </si>
  <si>
    <t>Saveetha Institute of Medical &amp; Technical Science; Saveetha Dental College &amp; Hospital; Universidad de Antioquia</t>
  </si>
  <si>
    <t>Clinical Prediction Models for Peri-Implantitis Through an Immunopathological Lens: A Systematic Review and Functional Meta-Synthesis of Machine Learning and Conventional Approaches</t>
  </si>
  <si>
    <t>IMMUNO</t>
  </si>
  <si>
    <t>peri-implantitis; clinical prediction models; machine learning; artificial intelligence; immunopathology; inflammation; risk assessment</t>
  </si>
  <si>
    <t>ARTIFICIAL-INTELLIGENCE; DIAGNOSIS; RISK</t>
  </si>
  <si>
    <t>Ardila, Carlos/AAH-2083-2019</t>
  </si>
  <si>
    <t>MDPI</t>
  </si>
  <si>
    <t>BASEL</t>
  </si>
  <si>
    <t>MDPI AG, Grosspeteranlage 5, CH-4052 BASEL, SWITZERLAND</t>
  </si>
  <si>
    <t>2673-5601</t>
  </si>
  <si>
    <t>IMMUNO-BASEL</t>
  </si>
  <si>
    <t>Immuno</t>
  </si>
  <si>
    <t>MAR 16 2026</t>
  </si>
  <si>
    <t>10.3390/immuno6010019</t>
  </si>
  <si>
    <t>http://dx.doi.org/10.3390/immuno6010019</t>
  </si>
  <si>
    <t>Immunology</t>
  </si>
  <si>
    <t>FR3HE</t>
  </si>
  <si>
    <t>WOS:001725547700001</t>
  </si>
  <si>
    <t>Li, QS; Zeng, ML; Liang, DM; Zheng, XM; Zhang, XX; Martin-Payo, R</t>
  </si>
  <si>
    <t>Background Machine learning (ML) has emerged as a transformative approach for developing high-performance clinical prediction models (CPMs). By leveraging multidimensional patient data, ML enables more accurate disease risk stratification, prognostic assessment, and clinical decision-making. In recent years, research on CPMs has expanded rapidly, with nearly 250,000 publications indexed as of 2024. Despite this remarkable growth, a comprehensive bibliometric analysis of the field is currently lacking. Objective This study aimed to analyze the global research status, evolutionary trends, and thematic hotspots of machine learning-based clinical prediction models (ML-CPMs) through bibliometric and visualization techniques. Methods Publications related to ML-CPMs were retrieved from the Web of Science Core Collection and the Scopus database (up to May 9, 2025). Bibliometric analyses were performed using various tools, including R, VOSviewer, and CiteSpace, to generate annual publication trends, collaboration networks, and journal distributions, as well as co-citation, clustering, and keyword analyses. Results A total of 8,619 publications (8,000 original articles and 619 reviews) from 118 countries were identified. Since 2015, annual publications have grown exponentially (R &amp; sup2; = 0.9919). While China led in total publication volume, the United States maintained the highest academic influence (H-index = 105; Total Citations = 66,788). Harvard University and BMC Medical Informatics and Decision Making emerged as the most productive institution and journal, respectively. Tian J from the Chinese Academy of Sciences led in publication count, while Wynants L from KU Leuven in Belgium recorded the highest citation frequency. Key research hotspots include algorithm optimization, multimodal data integration, and model interpretability, with clinical applications primarily focused on oncology, cardiovascular diseases, and critical care medicine. Conclusion Research on ML-CPMs has experienced rapid global growth over the past decade, forming extensive international collaboration networks. However, challenges such as limited interpretability, data heterogeneity, and privacy concerns persist. Future studies should prioritize external validation, clinical applicability, and the integration of human-AI collaborative decision-making to ensure robust implementation in real-world clinical settings.</t>
  </si>
  <si>
    <t>Li, Qinshan; Zeng, Mingli; Liang, Danmei; Zheng, Xuemei; Zhang, Xiaoxia; Martin-Payo, Ruben</t>
  </si>
  <si>
    <t>Zhang, XX (corresponding author), Sichuan Univ, West China Sch Nursing, Chengdu, Peoples R China.; Zhang, XX (corresponding author), Sichuan Univ, West China Hosp, Canc Ctr, Chengdu, Peoples R China.</t>
  </si>
  <si>
    <t>zhangxiaoxia@scu.edu.cn</t>
  </si>
  <si>
    <t>The author(s) declared that financial support was not received for this work and/or its publication.</t>
  </si>
  <si>
    <t>[Li, Qinshan; Liang, Danmei; Zhang, Xiaoxia] Sichuan Univ, West China Sch Nursing, Chengdu, Peoples R China; [Li, Qinshan; Zheng, Xuemei] Sichuan Univ, West China Hosp, Canc Ctr, Div Head &amp; Neck Tumor Multimodal Treatment, Chengdu, Peoples R China; [Zeng, Mingli; Zhang, Xiaoxia] Sichuan Univ, West China Hosp, Canc Ctr, Chengdu, Peoples R China; [Zeng, Mingli] Shangjin Nanfu Hosp, West China Hosp, Canc Ctr, Chengdu, Peoples R China; [Martin-Payo, Ruben] Univ Oviedo, Fac Med &amp; Ciencias Salud, Oviedo, Spain; [Martin-Payo, Ruben] Inst Invest Sanitaria Principado Asturias ISPA, Precam Res Grp, Oviedo, Spain</t>
  </si>
  <si>
    <t>Sichuan University; Sichuan University; Sichuan University; Instituto de Investigacion Sanitaria del Principado de Asturias (ISPA)</t>
  </si>
  <si>
    <t>Research on machine learning-based clinical prediction models: a bibliometric analysis</t>
  </si>
  <si>
    <t>FRONTIERS IN ONCOLOGY</t>
  </si>
  <si>
    <t>bibliometric analysis; CiteSpace; clinical prediction models; machine learning; VOSviewer</t>
  </si>
  <si>
    <t>LOGISTIC-REGRESSION; RADIOMICS; DIAGNOSIS; CANCER</t>
  </si>
  <si>
    <t>Martin-Payo, Ruben/K-3760-2017</t>
  </si>
  <si>
    <t>FRONTIERS MEDIA SA</t>
  </si>
  <si>
    <t>LAUSANNE</t>
  </si>
  <si>
    <t>AVENUE DU TRIBUNAL FEDERAL 34, LAUSANNE, CH-1015, SWITZERLAND</t>
  </si>
  <si>
    <t>2234-943X</t>
  </si>
  <si>
    <t>FRONT ONCOL</t>
  </si>
  <si>
    <t>Front. Oncol.</t>
  </si>
  <si>
    <t>APR 1 2026</t>
  </si>
  <si>
    <t>1786176</t>
  </si>
  <si>
    <t>10.3389/fonc.2026.1786176</t>
  </si>
  <si>
    <t>http://dx.doi.org/10.3389/fonc.2026.1786176</t>
  </si>
  <si>
    <t>Oncology</t>
  </si>
  <si>
    <t>GN0RK</t>
  </si>
  <si>
    <t>41994643</t>
  </si>
  <si>
    <t>WOS:001740298500001</t>
  </si>
  <si>
    <t>Burghoorn, DG; Booij, SH; Schoevers, RA; Riese, H</t>
  </si>
  <si>
    <t>Background Suboptimal treatment outcomes contribute to the high disease burden of mood, anxiety or psychotic disorders. Clinical prediction models could optimise treatment allocation, which may result in better outcomes. Whereas ample research on prediction models is performed, model performance in other clinical contexts (i.e. external validation) is rarely examined. This gap hampers generalisability and as such implementation in clinical practice.Aims Systematically appraise studies on externally validated clinical prediction models for estimated treatment outcomes for mood, anxiety and psychotic disorders by (1) reviewing methodological quality and applicability of studies and (2) investigating how model properties relate to differences in model performance.Method The review and meta-analysis protocol was prospectively registered with PROSPERO (registration number CRD42022307987). A search was conducted on 8 November 2021 in the databases PubMED, PsycINFO and EMBASE. Random-effects meta-analysis and meta-regression were conducted to examine between-study heterogeneity in discriminative performance and its relevant influencing factors.Results Twenty-eight studies were included. The majority of studies (n = 16) validated models for mood disorders. Clinical predictors (e.g. symptom severity) were most frequently included (n = 25). Low methodological and applicability concerns were found for two studies. The overall discrimination performance of the meta-analysis was fair with wide prediction intervals (0.72 [0.46; 0.89]). The between-study heterogeneity was not explained by number or type of predictors but by disorder diagnosis.Conclusions Few models seem ready for further implementation in clinical practice to aid treatment allocation. Besides the need for more external validation studies, we recommend close examination of the clinical setting before model implementation.</t>
  </si>
  <si>
    <t>Burghoorn, Desi G.; Booij, Sanne H.; Schoevers, Robert A.; Riese, Harriette</t>
  </si>
  <si>
    <t>Burghoorn, DG (corresponding author), Univ Groningen, Univ Med Ctr Groningen, Interdisciplinary Ctr Psychopathol &amp; Emot Regulat, Dept Psychiat, Groningen, Netherlands.</t>
  </si>
  <si>
    <t>d.g.burghoorn@umcg.nl</t>
  </si>
  <si>
    <t>[Burghoorn, Desi G.; Booij, Sanne H.; Schoevers, Robert A.; Riese, Harriette] Univ Groningen, Univ Med Ctr Groningen, Interdisciplinary Ctr Psychopathol &amp; Emot Regulat, Dept Psychiat, Groningen, Netherlands</t>
  </si>
  <si>
    <t>University of Groningen</t>
  </si>
  <si>
    <t>Externally validated clinical prediction models for estimating treatment outcomes for patients with a mood, anxiety or psychotic disorder: systematic review and meta-analysis</t>
  </si>
  <si>
    <t>BJPSYCH OPEN</t>
  </si>
  <si>
    <t>Anxiety or fear-related disorders; depressive disorders; psychotic disorders/schizophrenia; systematic review; meta-analysis</t>
  </si>
  <si>
    <t>RISK CALCULATOR; DEPRESSION; ALGORITHM; TOOL</t>
  </si>
  <si>
    <t>Riese, Harriëtte/E-7234-2012; Booij, Sanne/MCI-6714-2025</t>
  </si>
  <si>
    <t>Riese, Harriëtte/0000-0003-3661-3151; Schoevers, Robert A/0000-0003-0760-9866; Booij, Sanne/0000-0002-0611-4784; B, Desi/0000-0003-1524-4123</t>
  </si>
  <si>
    <t>60</t>
  </si>
  <si>
    <t>2056-4724</t>
  </si>
  <si>
    <t>BJPsych Open</t>
  </si>
  <si>
    <t>DEC 5 2024</t>
  </si>
  <si>
    <t>e221</t>
  </si>
  <si>
    <t>10.1192/bjo.2024.789</t>
  </si>
  <si>
    <t>http://dx.doi.org/10.1192/bjo.2024.789</t>
  </si>
  <si>
    <t>Psychiatry</t>
  </si>
  <si>
    <t>O3U2R</t>
  </si>
  <si>
    <t>39635739</t>
  </si>
  <si>
    <t>WOS:001370413500001</t>
  </si>
  <si>
    <t>gold; Green Submitted; Green Published</t>
  </si>
  <si>
    <t>Azad, TD; Ehresman, J; Ahmed, AK; Staartjes, VE; Lubelski, D; Stienen, MN; Veeravagu, A; Ratliff, JK</t>
  </si>
  <si>
    <t>As the use of machine learning algorithms in the development of clinical prediction models has increased, researchers are becoming more aware of the deleterious effects that stem from the lack of reporting standards. One of the most obvious consequences is the insufficient reproducibility found in current prediction models. In an attempt to characterize methods to improve reproducibility and to allow for better clinical performance, we utilize a previously proposed taxonomy that separates reproducibility into 3 components: technical, statistical, and conceptual reproducibility. By following this framework, we discuss common errors that lead to poor reproducibility, highlight the importance of generalizability when evaluating a ML model's performance, and provide suggestions to optimize generalizability to ensure adequate performance. These efforts are a necessity before such models are applied to patient care. (C) 2020 Elsevier Inc. All rights reserved.</t>
  </si>
  <si>
    <t>Azad, Tej D.; Ehresman, Jeff; Ahmed, Ali Karim; Staartjes, Victor E.; Lubelski, Daniel; Stienen, Martin N.; Veeravagu, Anand; Ratliff, John K.</t>
  </si>
  <si>
    <t>Ratliff, JK (corresponding author), Stanford Univ, Sch Med, 300 Pasteur Dr, Stanford, CA 94305 USA.</t>
  </si>
  <si>
    <t>jratliff@stanford.edu</t>
  </si>
  <si>
    <t>[Azad, Tej D.; Ehresman, Jeff; Ahmed, Ali Karim; Lubelski, Daniel] Johns Hopkins Univ Hosp, Dept Neurosurg, 1800 Orleans St, Baltimore, MD 21287 USA; [Staartjes, Victor E.; Stienen, Martin N.] Univ Zurich, Machine Intelligence Clin Neurosci MICN Lab, Clin Neurosci Ctr, Zurich, Switzerland; [Staartjes, Victor E.; Stienen, Martin N.] Univ Zurich Hosp, Dept Neurosurg, Zurich, Switzerland; [Veeravagu, Anand; Ratliff, John K.] Stanford Univ, Sch Med, Dept Neurosurg, Stanford, CA 94305 USA</t>
  </si>
  <si>
    <t>Johns Hopkins University; Johns Hopkins Medicine; Stanford Medicine; Stanford University</t>
  </si>
  <si>
    <t>Fostering reproducibility and generalizability in machine learning for clinical prediction modeling in spine surgery</t>
  </si>
  <si>
    <t>SPINE JOURNAL</t>
  </si>
  <si>
    <t>Machine learning; Predictive modeling; Overfitting; Reproducibility</t>
  </si>
  <si>
    <t>CLASSIFICATION</t>
  </si>
  <si>
    <t>Stienen, Martin/I-2547-2019; Staartjes, Victor/H-8346-2017</t>
  </si>
  <si>
    <t>Staartjes, Victor/0000-0003-1039-2098; Ratliff, John/0000-0003-3452-1907; Azad, Tej/0000-0001-7823-4294; Veeravagu, Anand/0009-0005-4678-7448</t>
  </si>
  <si>
    <t>48</t>
  </si>
  <si>
    <t>36</t>
  </si>
  <si>
    <t>40</t>
  </si>
  <si>
    <t>1529-9430</t>
  </si>
  <si>
    <t>1878-1632</t>
  </si>
  <si>
    <t>SPINE J</t>
  </si>
  <si>
    <t>Spine Journal</t>
  </si>
  <si>
    <t>OCT 2021</t>
  </si>
  <si>
    <t>21</t>
  </si>
  <si>
    <t>1610</t>
  </si>
  <si>
    <t>1616</t>
  </si>
  <si>
    <t>10.1016/j.spinee.2020.10.006</t>
  </si>
  <si>
    <t>http://dx.doi.org/10.1016/j.spinee.2020.10.006</t>
  </si>
  <si>
    <t>Clinical Neurology; Orthopedics</t>
  </si>
  <si>
    <t>Neurosciences &amp; Neurology; Orthopedics</t>
  </si>
  <si>
    <t>WD3SW</t>
  </si>
  <si>
    <t>33065274</t>
  </si>
  <si>
    <t>WOS:000704865800004</t>
  </si>
  <si>
    <t>Sun, JR; Sun, XN; Lu, BJ; Deng, BC</t>
  </si>
  <si>
    <t>Artificial intelligence (AI) is rapidly transforming the landscape of hepatology by enabling automated data interpretation, early disease detection, and individualized treatment strategies. Chronic liver diseases, including non-alcoholic fatty liver disease, cirrhosis, and hepatocellular carcinoma, often progress silently and pose diagnostic challenges due to reliance on invasive biopsies and operator-dependent imaging. This review explores the integration of AI across key domains such as big data analytics, deep learning-based image analysis, histopathological interpretation, biomarker discovery, and clinical prediction modeling. AI algorithms have demonstrated high accuracy in liver fibrosis staging, hepatocellular carcinoma detection, and non-alcoholic fatty liver disease risk stratification, while also enhancing survival prediction and treatment response assessment. For instance, convolutional neural networks trained on portal venous-phase computed tomography have achieved area under the curves up to 0.92 for significant fibrosis (F2-F4) and 0.89 for advanced fibrosis, with magnetic resonance imaging-based models reporting comparable performance. Advanced methodologies such as federated learning preserve patient privacy during cross-center model training, and explainable AI techniques promote transparency and clinician trust. Despite these advancements, clinical adoption remains limited by challenges including data heterogeneity, algorithmic bias, regulatory uncertainty, and lack of real-time integration into electronic health records. Looking forward, the convergence of multi-omics, imaging, and clinical data through interpretable and validated AI frameworks holds great promise for precision liver care. Continued efforts in model standardization, ethical oversight, and clinician-centered deployment will be essential to realize the full potential of AI in hepatopathy diagnosis and treatment.</t>
  </si>
  <si>
    <t>Sun, Jing-Ran; Sun, Xiao-Ning; Lu, Bing-Jiu; Deng, Bao-Cheng</t>
  </si>
  <si>
    <t>Deng, BC (corresponding author), China Med Univ, Affiliated Hosp 1, Dept Infect Dis 2, 155 Nanjing North St, Shenyang 110001, Liaoning, Peoples R China.; Lu, BJ (corresponding author), Liaoning Univ Tradit Chinese Med, Affiliated Hosp, Dept Hepatol, Shenyang 110032, Liaoning, Peoples R China.</t>
  </si>
  <si>
    <t>sydengbc@163.com</t>
  </si>
  <si>
    <t>Science Planning Project of Liaoning Province [2019JH2/10300031-05]; National Natural Science Foundation of China [12171074]</t>
  </si>
  <si>
    <t>Science Planning Project of Liaoning Province; National Natural Science Foundation of China (National Natural Science Foundation of China (NSFC))</t>
  </si>
  <si>
    <t>the Science Planning Project of Liaoning Province, No. 2019JH2/10300031-05; and the National Natural Science Foundation of China, No. 12171074.</t>
  </si>
  <si>
    <t>[Sun, Jing-Ran; Deng, Bao-Cheng] China Med Univ, Affiliated Hosp 1, Dept Infect Dis 2, 155 Nanjing North St, Shenyang 110001, Liaoning, Peoples R China; [Sun, Jing-Ran; Lu, Bing-Jiu] Liaoning Univ Tradit Chinese Med, Affiliated Hosp, Dept Hepatol, Shenyang 110032, Liaoning, Peoples R China; [Sun, Xiao-Ning] Liaoning Univ Tradit Chinese Med, Affiliated Hosp, Dept Geriatr, Shenyang 110032, Liaoning, Peoples R China</t>
  </si>
  <si>
    <t>China Medical University; Liaoning University of Traditional Chinese Medicine; Liaoning University of Traditional Chinese Medicine</t>
  </si>
  <si>
    <t>Artificial intelligence in hepatopathy diagnosis and treatment: Big data analytics, deep learning, and clinical prediction models</t>
  </si>
  <si>
    <t>WORLD JOURNAL OF GASTROENTEROLOGY</t>
  </si>
  <si>
    <t>Artificial intelligence; Hepatology; Liver disease diagnosis; Deep learning; Clinical prediction models</t>
  </si>
  <si>
    <t>CONVOLUTIONAL NEURAL-NETWORK; RADIOMICS; MEDICINE; FIBROSIS</t>
  </si>
  <si>
    <t>SUN, XIAONING/HIU-0781-2022</t>
  </si>
  <si>
    <t>BAISHIDENG PUBLISHING GROUP INC</t>
  </si>
  <si>
    <t>PLEASANTON</t>
  </si>
  <si>
    <t>7041 Koll Center Parkway, Suite 160, PLEASANTON, CA, UNITED STATES</t>
  </si>
  <si>
    <t>1007-9327</t>
  </si>
  <si>
    <t>2219-2840</t>
  </si>
  <si>
    <t>WORLD J GASTROENTERO</t>
  </si>
  <si>
    <t>World J. Gastroenterol.</t>
  </si>
  <si>
    <t>DEC 14 2025</t>
  </si>
  <si>
    <t>111176</t>
  </si>
  <si>
    <t>10.3748/wjg.v31.i46.111176</t>
  </si>
  <si>
    <t>http://dx.doi.org/10.3748/wjg.v31.i46.111176</t>
  </si>
  <si>
    <t>Gastroenterology &amp; Hepatology</t>
  </si>
  <si>
    <t>AM2NM</t>
  </si>
  <si>
    <t>41479639</t>
  </si>
  <si>
    <t>WOS:001651460600004</t>
  </si>
  <si>
    <t>hybrid; Green Accepted</t>
  </si>
  <si>
    <t>Yang, HL; Lu, SY; Yang, L</t>
  </si>
  <si>
    <t>BackgroundObstructive sleep apnea (OSA) is a common sleep disorder characterized by repetitive cessation or reduction in airflow during sleep. Stroke patients have a higher risk of OSA, which can worsen their cognitive and functional disabilities, prolong their hospitalization, and increase their mortality rates.MethodsWe conducted a comprehensive literature search in the databases of PubMed, CINAHL, Embase, PsycINFO, Cochrane Library, and CNKI, using a combination of keywords and MeSH words in both English and Chinese. Studies published up to March 1, 2022, which reported the development and/or validation of clinical prediction models for OSA diagnosis in stroke patients.ResultsWe identified 11 studies that met our inclusion criteria. Most of the studies used logistic regression models and machine learning approaches to predict the incidence of OSA in stroke patients. The most frequently selected predictors included body mass index, sex, neck circumference, snoring, and blood pressure. However, the predictive performance of these models ranged from poor to moderate, with the area under the receiver operating characteristic curve varying from 0.55 to 0.82. All the studies have a high overall risk of bias, mainly due to the small sample size and lack of external validation.ConclusionAlthough clinical prediction models have shown the potential for diagnosing OSA in stroke patients, their limited accuracy and high risk of bias restrict their implications. Future studies should focus on developing advanced algorithms that incorporate more predictors from larger and representative samples and externally validating their performance to enhance their clinical applicability and accuracy.</t>
  </si>
  <si>
    <t>Yang, Hualu; Lu, Shuya; Yang, Lin</t>
  </si>
  <si>
    <t>Yang, L (corresponding author), Hong Kong Polytech Univ, Sch Nursing, Hong Kong 999077, Peoples R China.</t>
  </si>
  <si>
    <t>l.yang@polyu.edu.hk</t>
  </si>
  <si>
    <t>Research fund of Shenzhen Nanshan District [NS2022025]</t>
  </si>
  <si>
    <t>Research fund of Shenzhen Nanshan District</t>
  </si>
  <si>
    <t>This study was supported by the research fund of Shenzhen Nanshan District (reference number NS2022025).</t>
  </si>
  <si>
    <t>[Yang, Hualu] Huazhong Univ Sci &amp; Technol, Union Shenzhen Hosp, Dept Rehabil, Shenzhen 581052, Peoples R China; [Yang, Hualu; Lu, Shuya; Yang, Lin] Hong Kong Polytech Univ, Sch Nursing, Hong Kong 999077, Peoples R China</t>
  </si>
  <si>
    <t>Huazhong University of Science &amp; Technology; Hong Kong Polytechnic University</t>
  </si>
  <si>
    <t>Clinical prediction models for the early diagnosis of obstructive sleep apnea in stroke patients: a systematic review</t>
  </si>
  <si>
    <t>SYSTEMATIC REVIEWS</t>
  </si>
  <si>
    <t>Obstructive sleep apnea; Stroke; Prediction models; Systematic review</t>
  </si>
  <si>
    <t>ISCHEMIC-STROKE; RISK-FACTOR; TOOL; INFLAMMATION; DYSFUNCTION; PREVALENCE; VALIDATION; BIOMARKERS; GUIDELINES; DYSPHAGIA</t>
  </si>
  <si>
    <t>Yang, Lin/F-9601-2014</t>
  </si>
  <si>
    <t>Yang, Lin/0000-0002-5964-3233</t>
  </si>
  <si>
    <t>2046-4053</t>
  </si>
  <si>
    <t>SYST REV-LONDON</t>
  </si>
  <si>
    <t>Syst. Rev.</t>
  </si>
  <si>
    <t>JAN 24 2024</t>
  </si>
  <si>
    <t>10.1186/s13643-024-02449-9</t>
  </si>
  <si>
    <t>http://dx.doi.org/10.1186/s13643-024-02449-9</t>
  </si>
  <si>
    <t>FU2F7</t>
  </si>
  <si>
    <t>38268059</t>
  </si>
  <si>
    <t>WOS:001148296800001</t>
  </si>
  <si>
    <t>Franco-Moreno, AI; Bustamante-Fermosel, A; Ruiz-Giardin, JM; Muñoz-Rivas, N; Torres-Macho, J; Brown-Lavalle, D</t>
  </si>
  <si>
    <t>Background and objective: Clinical prediction models determine the pre-test probability of pul-monary embolism (PE) and assess the need for tests for these patients. Coronavirus infection is associated with a greater risk of PE, increasing its severity and conferring a worse prognosis. The pathogenesis of PE appears to be different in patients with and without SARS-CoV-2 infec-tion. This systematic review aims to discover the utility of probability models developed for PE in patients with COVID-19 by reviewing the available literature. Methods: A literature search on the PubMed, Scopus, and EMBASE databases was carried out. All studies that reported data on the use of clinical prediction models for PE in patients with COVID-19 were included. Study quality was assessed using the Newcastle-Ottawa scale for non-randomized studies.Results: Thirteen studies that evaluated five prediction models (Wells score, Geneva score, YEARS algorithm, and PERC and PEGeD clinical decision rules) were included. The different scales were used in 1,187 patients with COVID-19. Overall, the models showed limited predictive ability. The two-level Wells score with low (or unlikely) clinical probability in combination with a D-dimer level &lt; 3000 ng/mL or a normal bedside lung ultrasound showed an adequate correlation for ruling out PE.Conclusions: Our systematic review suggests that the clinical prediction models available for PE that were developed in the general population are not applicable to patients with COVID-19. Therefore, their use is in clinical practice as the only diagnostic screening tool is not recommended. New clinical probability models for PE that are validated in these patients are needed.(c) 2022 Elsevier Espana, S.L.U. and Sociedad Espanola de Medicina Interna (SEMI). All rights reserved.</t>
  </si>
  <si>
    <t>Franco-Moreno, A. I.; Bustamante-Fermosel, A.; Ruiz-Giardin, J. M.; Munoz-Rivas, N.; Torres-Macho, J.; Brown-Lavalle, D.</t>
  </si>
  <si>
    <t>Franco-Moreno, AI (corresponding author), Hosp Univ Infanta Leonor, Hosp Virgen Torre, Serv Med Interna, Madrid, Spain.</t>
  </si>
  <si>
    <t>anaisabel.franco@salud.madrid.org</t>
  </si>
  <si>
    <t>[Franco-Moreno, A. I.; Bustamante-Fermosel, A.; Munoz-Rivas, N.; Torres-Macho, J.; Brown-Lavalle, D.] Hosp Univ Infanta Leonor, Hosp Virgen Torre, Serv Med Interna, Madrid, Spain; [Ruiz-Giardin, J. M.] Hosp Univ Fuenlabrada, Serv Med Interna, Madrid, Spain</t>
  </si>
  <si>
    <t>Hospital Universitario Infanta Leonor; Hospital Universitario Fuenlabrada</t>
  </si>
  <si>
    <t>Utility of probability scores for the diagnosis of pulmonary embolism in patients with SARS-CoV-2 infection: A systematic review</t>
  </si>
  <si>
    <t>REVISTA CLINICA ESPANOLA</t>
  </si>
  <si>
    <t>COVID-19; Pulmonary embolism; Diagnostic prediction model; Hypercoagulable state; Computed tomography pulmonary angiography; Thromboinflammation</t>
  </si>
  <si>
    <t>COVID-19; MANAGEMENT; DISEASE</t>
  </si>
  <si>
    <t>Ruiz Giardin, Jose Manuel/AAE-4105-2020</t>
  </si>
  <si>
    <t>Franco, Ana Isabel/0000-0003-1061-0200; Ruiz Giardin, Jose Manuel/0000-0001-9459-7386; Torres-Macho, Juan/0000-0002-8860-6837</t>
  </si>
  <si>
    <t>37</t>
  </si>
  <si>
    <t>EDICIONES DOYMA S A</t>
  </si>
  <si>
    <t>BARCELONA</t>
  </si>
  <si>
    <t>TRAV DE GRACIA 17-21, 08021 BARCELONA, SPAIN</t>
  </si>
  <si>
    <t>0014-2565</t>
  </si>
  <si>
    <t>1578-1860</t>
  </si>
  <si>
    <t>REV CLIN ESP</t>
  </si>
  <si>
    <t>Rev. Clin. Esp.</t>
  </si>
  <si>
    <t>JAN 2023</t>
  </si>
  <si>
    <t>223</t>
  </si>
  <si>
    <t>10.1016/j.rce.2022.07.004</t>
  </si>
  <si>
    <t>http://dx.doi.org/10.1016/j.rce.2022.07.004</t>
  </si>
  <si>
    <t>8H4NZ</t>
  </si>
  <si>
    <t>35945950</t>
  </si>
  <si>
    <t>WOS:000921012200001</t>
  </si>
  <si>
    <t>Weaver, CGW; Basmadjian, RB; Williamson, T; McBrien, K; Sajobi, T; Boyne, D; Yusuf, M; Ronksley, PE</t>
  </si>
  <si>
    <t>Background: With the growing excitement of the potential benefits of using machine learning and artificial intelligence in medicine, the number of published clinical prediction models that use these approaches has increased. However, there is evidence (albeit limited) that suggests that the reporting of machine learning-specific aspects in these studies is poor. Further, there are no reviews assessing the reporting quality or broadly accepted reporting guidelines for these aspects.Objective: This paper presents the protocol for a systematic review that will assess the reporting quality of machine learning-specific aspects in studies that use machine learning to develop clinical prediction models.Methods: We will include studies that use a supervised machine learning algorithm to develop a prediction model for use in clinical practice (ie, for diagnosis or prognosis of a condition or identification of candidates for health care interventions). We will search MEDLINE for studies published in 2019, pseudorandomly sort the records, and screen until we obtain 100 studies that meet our inclusion criteria. We will assess reporting quality with a novel checklist developed in parallel with this review, which includes content derived from existing reporting guidelines, textbooks, and consultations with experts. The checklist will cover 4 key areas where the reporting of machine learning studies is unique: modelling steps (order and data used for each step), model performance (eg, reporting the performance of each model compared), statistical methods (eg, describing the tuning approach), and presentation of models (eg, specifying the predictors that contributed to the final model).Results: We completed data analysis in August 2021 and are writing the manuscript. We expect to submit the results to a peer-reviewed journal in early 2022.Conclusions: This review will contribute to more standardized and complete reporting in the field by identifying areas where reporting is poor and can be improved.</t>
  </si>
  <si>
    <t>Weaver, Colin George Wyllie; Basmadjian, Robert B.; Williamson, Tyler; McBrien, Kerry; Sajobi, Tolu; Boyne, Devon; Yusuf, Mohamed; Ronksley, Paul Everett</t>
  </si>
  <si>
    <t>Ronksley, PE (corresponding author), Univ Calgary, Cumming Sch Med, Dept Community Hlth Sci, Teaching,Res &amp; Wellness Bldg 3E18B,3280 Hosp Dr N, Calgary, AB T2N 4Z6, Canada.</t>
  </si>
  <si>
    <t>peronksl@ucalgary.ca</t>
  </si>
  <si>
    <t>Canadian Institutes of Health Research; Alberta Innovates [201610416]; University of Calgary</t>
  </si>
  <si>
    <t>Canadian Institutes of Health Research (Canadian Institutes of Health Research (CIHR)); Alberta Innovates; University of Calgary (University of Calgary)</t>
  </si>
  <si>
    <t>We thank Diane Lorenzetti, PhD (University of Calgary), for helping us develop the search strategy. DB is supported by a postdoctoral fellowship from the Canadian Institutes of Health Research. CGWW was supported by studentships from the Canadian Institutes of Health Research, Alberta Innovates (201610416), and the University of Calgary. Neither these organizations nor the academic institutions we are affiliated with played a role in developing this protocol.</t>
  </si>
  <si>
    <t>[Weaver, Colin George Wyllie; Basmadjian, Robert B.; Williamson, Tyler; McBrien, Kerry; Sajobi, Tolu; Ronksley, Paul Everett] Univ Calgary, Cumming Sch Med, Dept Community Hlth Sci, Teaching,Res &amp; Wellness Bldg 3E18B,3280 Hosp Dr N, Calgary, AB T2N 4Z6, Canada; [McBrien, Kerry] Univ Calgary, Cumming Sch Med, Dept Family Med, Calgary, AB, Canada; [Boyne, Devon] Univ Calgary, Cumming Sch Med, Dept Oncol, Calgary, AB, Canada; [Yusuf, Mohamed] Manchester Metropolitan Univ, Fac Sci &amp; Engn, Manchester, Lancs, England</t>
  </si>
  <si>
    <t>University of Calgary; University of Calgary; University of Calgary; Manchester Metropolitan University</t>
  </si>
  <si>
    <t>Reporting of Model Performance and Statistical Methods in Studies That Use Machine Learning to Develop Clinical Prediction Models: Protocol for a Systematic Review</t>
  </si>
  <si>
    <t>JMIR RESEARCH PROTOCOLS</t>
  </si>
  <si>
    <t>machine learning; clinical prediction; research reporting; statistics; research methods; clinical prediction models; artificial intelligence; modeling; eHealth; digital medicine; prediction</t>
  </si>
  <si>
    <t>ARTIFICIAL-INTELLIGENCE; BIG DATA; RISK</t>
  </si>
  <si>
    <t>Yusuf, Mohamed/S-8709-2019</t>
  </si>
  <si>
    <t>Williamson, Tyler/0000-0001-5029-2345; Basmadjian, Robert B/0000-0002-9535-720X; Ronksley, Paul/0000-0002-3958-7561; Sajobi, Tolulope/0000-0002-5696-5552; Yusuf, Mohamed/0000-0002-9339-4613</t>
  </si>
  <si>
    <t>39</t>
  </si>
  <si>
    <t>JMIR PUBLICATIONS, INC</t>
  </si>
  <si>
    <t>TORONTO</t>
  </si>
  <si>
    <t>130 QUEENS QUAY East, Unit 1100, TORONTO, ON M5A 0P6, CANADA</t>
  </si>
  <si>
    <t>1929-0748</t>
  </si>
  <si>
    <t>JMIR RES PROTOC</t>
  </si>
  <si>
    <t>JMIR RES. Protoc.</t>
  </si>
  <si>
    <t>MAR 2022</t>
  </si>
  <si>
    <t>e30956</t>
  </si>
  <si>
    <t>10.2196/30956</t>
  </si>
  <si>
    <t>http://dx.doi.org/10.2196/30956</t>
  </si>
  <si>
    <t>0J3BJ</t>
  </si>
  <si>
    <t>35238322</t>
  </si>
  <si>
    <t>WOS:000779979500007</t>
  </si>
  <si>
    <t>gold; Green Accepted</t>
  </si>
  <si>
    <t>Dudareva, M; Hotchen, A; McNally, MA; Hartmann-Boyce, J; Scarborough, M; Collins, G</t>
  </si>
  <si>
    <t>Background: Classification systems for orthopaedic infection include patient health status, but there is no consensus about which comorbidities affect prognosis. Modifiable factors including substance use, glycaemic control, malnutrition and obesity may predict post-operative recovery from infection. Aim: This systematic review aimed (1) to critically appraise clinical prediction models for individual prognosis following surgical treatment for orthopaedic infection where an implant is not retained; (2) to understand the usefulness of modifiable prognostic factors for predicting treatment success. Methods: EMBASE and MEDLINE databases were searched for clinical prediction and prognostic studies in adults with orthopaedic infections. Infection recurrence or re-infection after at least 6 months was the primary outcome. The estimated odds ratios for the primary outcome in participants with modifiable prognostic factors were extracted and the direction of the effect reported. Results: Thirty-five retrospective prognostic cohort studies of 92 693 patients were included, of which two reported clinical prediction models. No studies were at low risk of bias, and no externally validated prediction models were identified. Most focused on prosthetic joint infection. A positive association was reported between body mass index and infection recurrence in 19 of 22 studies, similarly in 8 of 14 studies reporting smoking history and 3 of 4 studies reporting alcohol intake. Glycaemic control and malnutrition were rarely considered. Conclusion: Modifiable aspects of patient health appear to predict outcomes after surgery for orthopaedic infection. There is a need to understand which factors may have a causal effect. Development and validation of clinical prediction models that include participant health status will facilitate treatment decisions for orthopaedic infections.</t>
  </si>
  <si>
    <t>Dudareva, Maria; Hotchen, Andrew; McNally, Martin A.; Hartmann-Boyce, Jamie; Scarborough, Matthew; Collins, Gary</t>
  </si>
  <si>
    <t>Dudareva, M (corresponding author), Univ Oxford, Ctr Stat Med, Nuffield Dept Orthopaed Rheumatol &amp; Musculoskeleta, Oxford, England.; Dudareva, M (corresponding author), Univ Oxford, Hosp NHS Fdn Trust, Nuffield Orthopaed Ctr, Bone Infect Unit, Oxford, England.</t>
  </si>
  <si>
    <t>maria.dudareva@ouh.nhs.uk</t>
  </si>
  <si>
    <t>NIHR Doctoral Research Fellowship [300249]</t>
  </si>
  <si>
    <t>NIHR Doctoral Research Fellowship</t>
  </si>
  <si>
    <t>AcknowledgementsThis study was funded by NIHR Doctoral Research Fellowship grant 300249. We are grateful to Paula Dhiman for advice about prognostic study classification.</t>
  </si>
  <si>
    <t>[Dudareva, Maria; Collins, Gary] Univ Oxford, Ctr Stat Med, Nuffield Dept Orthopaed Rheumatol &amp; Musculoskeleta, Oxford, England; [Hotchen, Andrew] Cambridge Univ Hosp, Addenbrookes Hosp, Div Trauma &amp; Orthopaed Surg, Cambridge, England; [Dudareva, Maria; Hotchen, Andrew; McNally, Martin A.; Scarborough, Matthew] Univ Oxford, Hosp NHS Fdn Trust, Nuffield Orthopaed Ctr, Bone Infect Unit, Oxford, England; [Hartmann-Boyce, Jamie] Univ Oxford, Ctr Evidence Based Med, Nuffield Dept Primary Care Hlth Sci, Oxford, England</t>
  </si>
  <si>
    <t>University of Oxford; University of Cambridge; Cambridge University Hospitals NHS Foundation Trust; Addenbrooke's Hospital; University of Oxford; Oxford University Hospitals NHS Foundation Trust; Nuffield Orthopaedic Centre; University of Oxford</t>
  </si>
  <si>
    <t>Systematic review of risk prediction studies in bone and joint infection: are modifiable prognostic factors useful in predicting recurrence?</t>
  </si>
  <si>
    <t>JOURNAL OF BONE AND JOINT INFECTION</t>
  </si>
  <si>
    <t>TOTAL KNEE ARTHROPLASTY; 2-STAGE REVISION; INDIVIDUAL PROGNOSIS; REPEAT DEBRIDEMENT; SPACER RETENTION; DIAGNOSIS TRIPOD; AMPUTATION; MODEL; ARTHRODESIS; MORTALITY</t>
  </si>
  <si>
    <t>Collins, Gary/A-2258-2014; Hartmann-Boyce, Jamie/MIO-2144-2025</t>
  </si>
  <si>
    <t>Collins, Gary/0000-0002-2772-2316; McNally, Martin/0000-0003-2003-9044; Hartmann-Boyce, Jamie/0000-0001-9898-3049</t>
  </si>
  <si>
    <t>68</t>
  </si>
  <si>
    <t>COPERNICUS GESELLSCHAFT MBH</t>
  </si>
  <si>
    <t>GOTTINGEN</t>
  </si>
  <si>
    <t>BAHNHOFSALLEE 1E, GOTTINGEN, 37081, GERMANY</t>
  </si>
  <si>
    <t>2206-3552</t>
  </si>
  <si>
    <t>J BONE JOINT INFECT</t>
  </si>
  <si>
    <t>J. Bone Joint Infect.</t>
  </si>
  <si>
    <t>JUL 8 2021</t>
  </si>
  <si>
    <t>257</t>
  </si>
  <si>
    <t>271</t>
  </si>
  <si>
    <t>10.5194/jbji-6-257-2021</t>
  </si>
  <si>
    <t>http://dx.doi.org/10.5194/jbji-6-257-2021</t>
  </si>
  <si>
    <t>Infectious Diseases; Orthopedics; Surgery</t>
  </si>
  <si>
    <t>G4PZ4</t>
  </si>
  <si>
    <t>34285868</t>
  </si>
  <si>
    <t>WOS:000989006600001</t>
  </si>
  <si>
    <t>Riley, S; Zhang, Q; Tse, WY; Connor, A; Wei, YH</t>
  </si>
  <si>
    <t>Statistical models that can predict graft and patient survival outcomes following kidney transplantation could be of great clinical utility. We sought to appraise existing clinical prediction models for kidney transplant survival outcomes that could guide kidney donor acceptance decision-making. We searched for clinical prediction models for survival outcomes in adult recipients with single kidney-only transplants. Models that require information anticipated to become available only after the time of transplantation were excluded as, by that time, the kidney donor acceptance decision would have already been made. The outcomes of interest were all-cause and death-censored graft failure, and death. We summarised the methodological characteristics of the prediction models, predictive performance and risk of bias. We retrieved 4,026 citations from which 23 articles describing 74 models met the inclusion criteria. Discrimination was moderate for all-cause graft failure (C-statistic: 0.570-0.652; Harrell's C: 0.580-0.660; AUC: 0.530-0.742), death-censored graft failure (C-statistic: 0.540-0.660; Harrell's C: 0.590-0.700; AUC: 0.450-0.810) and death (C-statistic: 0.637-0.770; Harrell's C: 0.570-0.735). Calibration was seldom reported. Risk of bias was high in 49 of the 74 models, primarily due to methods for handling missing data. The currently available prediction models using pre-transplantation information show moderate discrimination and varied calibration. Further model development is needed to improve predictions for the purpose of clinical decision-making.</t>
  </si>
  <si>
    <t>Riley, Stephanie; Zhang, Qing; Tse, Wai-Yee; Connor, Andrew; Wei, Yinghui</t>
  </si>
  <si>
    <t>Wei, YH (corresponding author), Univ Plymouth, Ctr Math Sci, Sch Engn Comp &amp; Math, Plymouth, England.</t>
  </si>
  <si>
    <t>yinghui.wei@plymouth.ac.uk</t>
  </si>
  <si>
    <t>EPSRC DTP; University Hospitals Plymouth NHS Trust Renal Research Trust Funds [EP/T518153/1:243290]</t>
  </si>
  <si>
    <t>EPSRC DTP (UK Research &amp; Innovation (UKRI), Engineering &amp; Physical Sciences Research Council (EPSRC)); University Hospitals Plymouth NHS Trust Renal Research Trust Funds</t>
  </si>
  <si>
    <t>This research is funded by EPSRC DTP (EP/T518153/1:243290) and University Hospitals Plymouth NHS Trust Renal Research Trust Funds (1374).</t>
  </si>
  <si>
    <t>[Riley, Stephanie; Zhang, Qing; Wei, Yinghui] Univ Plymouth, Ctr Math Sci, Sch Engn Comp &amp; Math, Plymouth, England; [Tse, Wai-Yee; Connor, Andrew] Univ Hosp Plymouth NHS Trust, South West Transplant Ctr, Dept Renal Med, Plymouth, England</t>
  </si>
  <si>
    <t>University of Plymouth</t>
  </si>
  <si>
    <t>Using Information Available at the Time of Donor Offer to Predict Kidney Transplant Survival Outcomes: A Systematic Review of Prediction Models</t>
  </si>
  <si>
    <t>TRANSPLANT INTERNATIONAL</t>
  </si>
  <si>
    <t>kidney transplantation; prognosis; systematic review; clinical prediction model; decision-making; kidney transplant outcomes; prediction tool</t>
  </si>
  <si>
    <t>AGGREGATE PATHOLOGY INDEX; SCORING SYSTEM; RISK INDEX; VALIDATION; TOOL</t>
  </si>
  <si>
    <t>Wei, Yinghui/N-4516-2013</t>
  </si>
  <si>
    <t>Zhang, Qing/0000-0002-3990-1979; Riley, Stephanie/0000-0002-7429-6655; Wei, Yinghui/0000-0002-7873-0009</t>
  </si>
  <si>
    <t>0934-0874</t>
  </si>
  <si>
    <t>1432-2277</t>
  </si>
  <si>
    <t>TRANSPL INT</t>
  </si>
  <si>
    <t>Transpl. Int.</t>
  </si>
  <si>
    <t>JUN 23 2022</t>
  </si>
  <si>
    <t>10397</t>
  </si>
  <si>
    <t>10.3389/ti.2022.10397</t>
  </si>
  <si>
    <t>http://dx.doi.org/10.3389/ti.2022.10397</t>
  </si>
  <si>
    <t>Surgery; Transplantation</t>
  </si>
  <si>
    <t>6I4AU</t>
  </si>
  <si>
    <t>35812156</t>
  </si>
  <si>
    <t>WOS:000886070100001</t>
  </si>
  <si>
    <t>Diomatari, C; Martin, GP; Jenkins, DA; Jani, M</t>
  </si>
  <si>
    <t>Objectives: This systematic review aims to identify, summarize, and evaluate the methodological quality of existing clinical prediction models (CPMs) that predict adverse events (AEs) associated with medications prescribed for rheumatic and musculoskeletal diseases (RMDs). Methods: We searched PubMed, Embase, and Medline databases up to March 2024. Studies were included if they developed multivariable CPM predicting AEs in adult patients using RMD medications. Data extraction and quality assessment were conducted using the Critical Appraisal and Data Extraction for Systematic Reviews of Prediction Modelling Studies (CHARMS) and Prediction model Risk Of Bias Assessment Tool (PROBAST) checklists to ensure consistent reporting and assess the risk of bias (ROB). Results: Of 2406 studies identified, 1734 titles/abstracts were screened, and 38 were reviewed in full. Twelve studies reporting 17 CPMs met eligibility criteria. Most CPMs (76.4 %) focused on rheumatoid arthritis and disease modifying anti-rheumatic drugs (DMARDs) such as methotrexate (69.2 %) and biologic drugs (15.3 %). Cox proportional hazards or logistic regression models were commonly used. Twelve models (70.5 %) had high overall ROB due to inappropriate variable selection methods and sample size. Conclusions: This is the first systematic review summarising CPMs for AEs associated with RMD medications. It highlights that existing CPMs are affected by methodological pitfalls, including inappropriate variable selection and lack of clear sample size justification. Future models could consider a broader range of RMDs and medications. Emerging methods such as machine learning with the ability to model complex interactions, and multioutcome CPMs to predict several AEs to one class of drug may improve predictions.</t>
  </si>
  <si>
    <t>Diomatari, Christina; Martin, Glen P.; Jenkins, David A.; Jani, Meghna</t>
  </si>
  <si>
    <t>Jani, M (corresponding author), Univ Manchester, Oxford Rd, Manchester M13 9PL, England.</t>
  </si>
  <si>
    <t>meghna.jani@manchester.ac.uk</t>
  </si>
  <si>
    <t>National Institute for Health and Care Research (NIHR) Manchester Biomedical Research Centre (BRC) [NIHR203308]; NIHR Advanced Fellowship [NIHR301413]</t>
  </si>
  <si>
    <t>National Institute for Health and Care Research (NIHR) Manchester Biomedical Research Centre (BRC); NIHR Advanced Fellowship</t>
  </si>
  <si>
    <t>CD is funded by the National Institute for Health and Care Research (NIHR) Manchester Biomedical Research Centre (BRC) (NIHR203308) Core PhD Studentship. MJ is funded by an NIHR Advanced Fellowship (NIHR301413) . The views expressed in this publication are those of the authors and not necessarily those of the NIHR, NHS or the UK Department of Health and Social Care. The funder played no role in study design, data collection, analysis and interpretation of data, or the writing of this manuscript.</t>
  </si>
  <si>
    <t>[Diomatari, Christina; Jani, Meghna] Univ Manchester, Ctr Epidemiol Versus Arthrit, Ctr Musculoskeletal Res, Div Musculoskeletal &amp; Dermatol Sci, Manchester, England; [Martin, Glen P.; Jenkins, David A.] Univ Manchester, Ctr Hlth Informat, Div Informat Imaging &amp; Data Sci, Manchester, England; [Diomatari, Christina; Jenkins, David A.; Jani, Meghna] Manchester Acad Hlth Sci Ctr, Manchester NHS Fdn Trust, NIHR Manchester Biomed Res Ctr, Manchester, England</t>
  </si>
  <si>
    <t>University of Manchester; University of Manchester; University of Manchester; Wythenshawe Hospital NHS Foundation Trust</t>
  </si>
  <si>
    <t>Clinical prediction models for medication adverse events in patients with rheumatic and musculoskeletal conditions: A systematic literature review</t>
  </si>
  <si>
    <t>SEMINARS IN ARTHRITIS AND RHEUMATISM</t>
  </si>
  <si>
    <t>Clinical prediction models; adverse events; side effects; adverse drug reactions; prognosis; rheumatology; musculoskeletal</t>
  </si>
  <si>
    <t>SERIOUS INFECTION; RISK; ARTHRITIS; VALIDATION; OUTCOMES; SCORE</t>
  </si>
  <si>
    <t>Martin, Glen Philip/I-7824-2019; Jani, Meghna/D-5152-2016</t>
  </si>
  <si>
    <t>Jenkins, David A/0000-0001-6687-3507; Martin, Glen Philip/0000-0002-3410-9472; Jani, Meghna/0000-0002-1487-277X</t>
  </si>
  <si>
    <t>W B SAUNDERS CO-ELSEVIER INC</t>
  </si>
  <si>
    <t>PHILADELPHIA</t>
  </si>
  <si>
    <t>1600 JOHN F KENNEDY BOULEVARD, STE 1800, PHILADELPHIA, PA 19103-2899 USA</t>
  </si>
  <si>
    <t>0049-0172</t>
  </si>
  <si>
    <t>1532-866X</t>
  </si>
  <si>
    <t>SEMIN ARTHRITIS RHEU</t>
  </si>
  <si>
    <t>Semin. Arthritis Rheum.</t>
  </si>
  <si>
    <t>AUG 2025</t>
  </si>
  <si>
    <t>73</t>
  </si>
  <si>
    <t>152728</t>
  </si>
  <si>
    <t>10.1016/j.semarthrit.2025.152728</t>
  </si>
  <si>
    <t>http://dx.doi.org/10.1016/j.semarthrit.2025.152728</t>
  </si>
  <si>
    <t>JAN 2025</t>
  </si>
  <si>
    <t>Rheumatology</t>
  </si>
  <si>
    <t>1ZI1B</t>
  </si>
  <si>
    <t>40262328</t>
  </si>
  <si>
    <t>WOS:001477223500001</t>
  </si>
  <si>
    <t>Wessler, BS; Lundquist, CM; Koethe, B; Park, JG; Brown, K; Williamson, T; Ajlan, M; Natto, Z; Lutz, JS; Paulus, JK; Kent, DM</t>
  </si>
  <si>
    <t>Background-While many clinical prediction models (CPMs) exist to guide valvular heart disease treatment decisions, the relative performance of these CPMs is largely unknown. We systematically describe the CPMs available for patients with valvular heart disease with specific attention to performance in external validations.Methods and Results-A systematic review identified 49 CPMs for patients with valvular heart disease treated with surgery (n=34), percutaneous interventions (n=12), or no intervention (n=3). There were 204 external validations of these CPMs. Only 35 (71%) CPMs have been externally validated. Sixty-five percent (n=133) of the external validations were performed on distantly related populations. There was substantial heterogeneity in model performance and a median percentage change in discrimination of -27.1% (interquartile range, -49.4%- -5.7%). Nearly two-thirds of validations (n=129) demonstrate at least a 10% relative decline in discrimination. Discriminatory performance of EuroSCORE II and Society of Thoracic Surgeons (2009) models (accounting for 73% of external validations) varied widely: EuroSCORE II validation c-statistic range 0.50 to 0.95; Society of Thoracic Surgeons (2009) Models validation c-statistic range 0.50 to 0.86. These models performed well when tested on related populations (median related validation c-statistics: EuroSCORE II, 0.82 [0.76, 0.85]; Society of Thoracic Surgeons [2009], 0.72 [0.67, 0.79]). There remain few (n=9) external validations of transcatheter aortic valve replacement CPMs.Conclusions-Many CPMs for patients with valvular heart disease have never been externally validated and isolated external validations appear insufficient to assess the trustworthiness of predictions. For surgical valve interventions, there are existing predictive models that perform reasonably well on related populations. For transcatheter aortic valve replacement (CPMs additional external validations are needed to broadly understand the trustworthiness of predictions.</t>
  </si>
  <si>
    <t>Wessler, Benjamin S.; Lundquist, Christine M.; Koethe, Benjamin; Park, Jinny G.; Brown, Kristen; Williamson, Tatum; Ajlan, Muhammad; Natto, Zuhair; Lutz, Jennifer S.; Paulus, Jessica K.; Kent, David M.</t>
  </si>
  <si>
    <t>Wessler, BS (corresponding author), Tufts Med Ctr, ICRHPS, PACE, 800 Washington St,Box 63, Boston, MA 02111 USA.</t>
  </si>
  <si>
    <t>bwessler@tuftsmedicalcenter.org</t>
  </si>
  <si>
    <t>Patient-Centered Outcomes Research Institute Methods Award [ME-160635555]; National Institutes of Health [R03 AG056447, K23 AG055667]; Bellows Foundation Grant from the American College of Cardiology; National Center for Advancing Translational Sciences [UL1TR002544] Funding Source: NIH RePORTER; National Institute on Aging [K23AG055667] Funding Source: NIH RePORTER</t>
  </si>
  <si>
    <t>Patient-Centered Outcomes Research Institute Methods Award (Patient-Centered Outcomes Research Institute (PCORI)); National Institutes of Health (United States Department of Health &amp; Human Services, National Institutes of Health (NIH) - USA); Bellows Foundation Grant from the American College of Cardiology; National Center for Advancing Translational Sciences (United States Department of Health &amp; Human Services, National Institutes of Health (NIH) - USA, NIH National Center for Advancing Translational Sciences (NCATS)); National Institute on Aging (United States Department of Health &amp; Human Services, National Institutes of Health (NIH) - USA, NIH National Institute on Aging (NIA))</t>
  </si>
  <si>
    <t>This work was partially supported through a Patient-Centered Outcomes Research Institute Methods Award (ME-160635555), as well as by the National Institutes of Health (R03 AG056447 GEMSSTAR Grant and K23 AG055667) and Bellows Foundation Grant from the American College of Cardiology.</t>
  </si>
  <si>
    <t>[Wessler, Benjamin S.; Lundquist, Christine M.; Koethe, Benjamin; Park, Jinny G.; Brown, Kristen; Williamson, Tatum; Ajlan, Muhammad; Lutz, Jennifer S.; Paulus, Jessica K.; Kent, David M.] Tufts Med Ctr, ICRHPS, Predict Analyt &amp; Comparat Effectiveness PACE Ctr, Boston, MA 02111 USA; [Wessler, Benjamin S.] Tufts Med Ctr, Div Cardiol, Boston, MA 02111 USA; [Natto, Zuhair] King Abdulaziz Univ, Fac Dent, Dept Dent Publ Hlth, Jeddah, Saudi Arabia</t>
  </si>
  <si>
    <t>Tufts Medical Center; Tufts Medical Center; King Abdulaziz University</t>
  </si>
  <si>
    <t>Clinical Prediction Models for Valvular Heart Disease</t>
  </si>
  <si>
    <t>JOURNAL OF THE AMERICAN HEART ASSOCIATION</t>
  </si>
  <si>
    <t>clinical prediction models; risk; valvular heart disease</t>
  </si>
  <si>
    <t>AORTIC-VALVE-REPLACEMENT; IN-HOSPITAL MORTALITY; SURGICAL RISK SCORES; ARTERY-BYPASS GRAFT; CARE-UNIT STAY; EUROSCORE II; CARDIAC-SURGERY; SINGLE-CENTER; OPERATIVE RISK; 30-DAY MORTALITY</t>
  </si>
  <si>
    <t>Natto, Zuhair/U-6894-2019</t>
  </si>
  <si>
    <t>Kent, David M/0000-0002-9205-5070; Natto, Zuhair/0000-0003-2723-0255; Wessler, Benjamin/0000-0002-8652-1426</t>
  </si>
  <si>
    <t>WILEY</t>
  </si>
  <si>
    <t>HOBOKEN</t>
  </si>
  <si>
    <t>111 RIVER ST, HOBOKEN 07030-5774, NJ USA</t>
  </si>
  <si>
    <t>2047-9980</t>
  </si>
  <si>
    <t>J AM HEART ASSOC</t>
  </si>
  <si>
    <t>J. Am. Heart Assoc.</t>
  </si>
  <si>
    <t>OCT 15 2019</t>
  </si>
  <si>
    <t>e011972</t>
  </si>
  <si>
    <t>10.1161/JAHA.119.011972</t>
  </si>
  <si>
    <t>http://dx.doi.org/10.1161/JAHA.119.011972</t>
  </si>
  <si>
    <t>Cardiac &amp; Cardiovascular Systems</t>
  </si>
  <si>
    <t>Cardiovascular System &amp; Cardiology</t>
  </si>
  <si>
    <t>JJ0FD</t>
  </si>
  <si>
    <t>31583938</t>
  </si>
  <si>
    <t>WOS:000493837200026</t>
  </si>
  <si>
    <t>Giles-Clark, HJ; Skinner, SM; Rolnik, DL; Mol, B</t>
  </si>
  <si>
    <t>Clinical prediction models assist clinicians to estimate the natural course of a condition, and thus facilitate treatment decisions. The development of prediction models is increasingly common in obstetric research. Composite outcomes, whereby multiple outcomes are combined into a single endpoint, are frequently used in obstetric prediction models to increase statistical power when predicting rare events. Although existing literature has reviewed the positives and negatives of using composite outcomes in clinical trials, there has been minimal commentary on the implications of their use in the development and reporting of prognostic models. In this article, we review these issues, in particular, highlighting how unequal individual relationships between pre-dictors and individual component outcomes can result in misleading conclusions, which may result in the omission of important but rare predictors or inappropriately inform clinical decisions to implement an inter-vention. We propose careful use, or where possible avoidance, of composite outcomes in the development of prognostic models in obstetrics. Methodological standards for developing prognostic models should be updated to standardise and appraise composite outcomes when their use is necessary. We also support previous recom-mendations to report on the accuracy of key components and inconsistencies among predictor variables.</t>
  </si>
  <si>
    <t>Giles-Clark, Holly J.; Skinner, Sasha M.; Rolnik, Daniel L.; Mol, Ben W.</t>
  </si>
  <si>
    <t>Giles-Clark, HJ (corresponding author), Monash Med Ctr, 246 Clayton Rd, Clayton, Australia.</t>
  </si>
  <si>
    <t>daniel.rolnik@monash.edu; holly.giles-clark@monash.edu; sasha.skinner1@monash.edu; ben.mol@monash.edu</t>
  </si>
  <si>
    <t>[Giles-Clark, Holly J.; Skinner, Sasha M.; Rolnik, Daniel L.] Monash Hlth, Dept Obstet &amp; Gynaecol Womens &amp; Newborns, Clayton, Vic, Australia; [Giles-Clark, Holly J.; Skinner, Sasha M.; Rolnik, Daniel L.; Mol, Ben W.] Monash Univ, Dept Obstet &amp; Gynaecol, Clayton, Vic, Australia; [Mol, Ben W.] Univ Aberdeen, Aberdeen Ctr Womens Hlth Res, Sch Med Med Sci &amp; Nutr, Aberdeen, Scotland; [Giles-Clark, Holly J.] Monash Med Ctr, 246 Clayton Rd, Clayton, Australia</t>
  </si>
  <si>
    <t>Monash Health; Monash University; University of Aberdeen; Monash University; Monash Health; Monash Medical Centre</t>
  </si>
  <si>
    <t>Should we use composite outcomes in obstetric clinical prediction models?</t>
  </si>
  <si>
    <t>EUROPEAN JOURNAL OF OBSTETRICS &amp; GYNECOLOGY AND REPRODUCTIVE BIOLOGY</t>
  </si>
  <si>
    <t>Composite outcomes; Prediction modelling; Prognosis</t>
  </si>
  <si>
    <t>GESTATIONAL-AGE; RISK; TRIALS; BIAS</t>
  </si>
  <si>
    <t>Rolnik, Daniel Lorber/R-3706-2018; Mol, Ben/I-4526-2012</t>
  </si>
  <si>
    <t>Giles-Clark, Holly/0000-0001-8980-5451; Rolnik, Daniel Lorber/0000-0002-2263-3592</t>
  </si>
  <si>
    <t>ELSEVIER</t>
  </si>
  <si>
    <t>AMSTERDAM</t>
  </si>
  <si>
    <t>RADARWEG 29, 1043 NX AMSTERDAM, NETHERLANDS</t>
  </si>
  <si>
    <t>0301-2115</t>
  </si>
  <si>
    <t>1872-7654</t>
  </si>
  <si>
    <t>EUR J OBSTET GYN R B</t>
  </si>
  <si>
    <t>Eur. J. Obstet. Gynecol. Reprod. Biol.</t>
  </si>
  <si>
    <t>JUN 2023</t>
  </si>
  <si>
    <t>285</t>
  </si>
  <si>
    <t>193</t>
  </si>
  <si>
    <t>10.1016/j.ejogrb.2023.04.031</t>
  </si>
  <si>
    <t>http://dx.doi.org/10.1016/j.ejogrb.2023.04.031</t>
  </si>
  <si>
    <t>MAY 2023</t>
  </si>
  <si>
    <t>Obstetrics &amp; Gynecology; Reproductive Biology</t>
  </si>
  <si>
    <t>I9MZ2</t>
  </si>
  <si>
    <t>37148646</t>
  </si>
  <si>
    <t>WOS:001005961600001</t>
  </si>
  <si>
    <t>Langeslag, JF; Berendse, K; Daams, JG; Onland, W; Leeflang, MMG; van Kaam, AH; de Haan, TR</t>
  </si>
  <si>
    <t>Background: Although many predictive parameters have been studied, an internationally accepted, validated predictive model to predict the clinical outcome of asphyxiated infants suffering from hypoxic-ischemic encephalopathy is currently lacking. The aim of this study was to identify, appraise and summarize available clinical prediction models, and provide an overview of all investigated predictors for the outcome death or neurodevelopmental impairment in this population. Methods: A systematic literature search was performed in Medline and Embase. Two reviewers independently included eligible studies and extracted data. The quality was assessed using PROBAST for prediction model studies and QUIPS assessment tools for predictor studies. Results: A total of nine prediction models were included. These models were very heterogeneous in number of predictors assessed, methods of model derivation, and primary outcomes. All studies had a high risk of bias following the PROBAST assessment and low applicability due to complex model presentation. A total of 104 predictor studies were included investigating various predictors, showing tremendous heterogeneity in investigated predictors, timing of predictors, primary outcomes, results, and methodological quality according to QUIPS. Selected high-quality studies with accurate discriminating performance provide clinicians and researchers an evidence map of predictors for prognostication after HIE in newborns. Conclusion: Given the low methodological quality of the currently published clinical prediction models, implementation into clinical practice is not yet possible. Therefore, there is an urgent need to develop a prediction model which complies with the PROBAST guideline. An overview of potential predictors to include in a prediction model is presented. (c) 2023 The Author(s). Published by S. Karger AG, Basel</t>
  </si>
  <si>
    <t>Langeslag, Juliette F.; Berendse, Kevin; Daams, Joost G.; Onland, Wes; Leeflang, Mariska M. G.; van Kaam, Anton H.; de Haan, Timo R.</t>
  </si>
  <si>
    <t>de Haan, TR (corresponding author), Amsterdam UMC Locat Univ Amsterdam, Emma Childrens Hosp, Dept Neonatol, Amsterdam, Netherlands.; de Haan, TR (corresponding author), Amsterdam Reprod &amp; Dev Res Inst, Amsterdam, Netherlands.</t>
  </si>
  <si>
    <t>t.r.dehaan@amsterdamumc.nl</t>
  </si>
  <si>
    <t>Netherlands Organization for Health Research and Development ZonMW Priority Medicines for Children Grant [40-41500-98-9002]</t>
  </si>
  <si>
    <t>Netherlands Organization for Health Research and Development ZonMW Priority Medicines for Children Grant</t>
  </si>
  <si>
    <t>This study was funded by a Project Grant from The Netherlands Organization for Health Research and Development ZonMW Priority Medicines for Children Grant No. 40-41500-98-9002. The funding agency had no role in the design and conduct of the study; collection, management, analysis, and interpretation of the data; preparation, review, or approval of the manuscript; and decision to submit the manuscript for publication. The corresponding author had full access to all the data in the study and had final responsibility for the decision to submit for publication.</t>
  </si>
  <si>
    <t>[Langeslag, Juliette F.; Berendse, Kevin; Onland, Wes; van Kaam, Anton H.; de Haan, Timo R.] Amsterdam UMC Locat Univ Amsterdam, Emma Childrens Hosp, Dept Neonatol, Amsterdam, Netherlands; [Langeslag, Juliette F.; Onland, Wes; van Kaam, Anton H.; de Haan, Timo R.] Amsterdam Reprod &amp; Dev Res Inst, Amsterdam, Netherlands; [Daams, Joost G.] Amsterdam UMC Locat Univ Amsterdam, Med Lib, Amsterdam, Netherlands; [Leeflang, Mariska M. G.] Amsterdam UMC Locat Univ Amsterdam, Epidemiol &amp; Data Sci, Amsterdam, Netherlands</t>
  </si>
  <si>
    <t>Emma Children's Hospital; University of Amsterdam</t>
  </si>
  <si>
    <t>Clinical Prediction Models and Predictors for Death or Adverse Neurodevelopmental Outcome in Term Newborns with Hypoxic-Ischemic Encephalopathy: A Systematic Review of the Literature</t>
  </si>
  <si>
    <t>NEONATOLOGY</t>
  </si>
  <si>
    <t>Asphyxia; Neonatal; Outcome; Prediction; Systematic review</t>
  </si>
  <si>
    <t>HYPOTHERMIA; BIAS</t>
  </si>
  <si>
    <t>Daams, Joost/P-1507-2018; Leeflang, Mariska/AAF-8199-2019</t>
  </si>
  <si>
    <t>Onland, Wes/0000-0002-9623-0606</t>
  </si>
  <si>
    <t>KARGER</t>
  </si>
  <si>
    <t>ALLSCHWILERSTRASSE 10, CH-4009 BASEL, SWITZERLAND</t>
  </si>
  <si>
    <t>1661-7800</t>
  </si>
  <si>
    <t>1661-7819</t>
  </si>
  <si>
    <t>Neonatology</t>
  </si>
  <si>
    <t>DEC 2023</t>
  </si>
  <si>
    <t>120</t>
  </si>
  <si>
    <t>776</t>
  </si>
  <si>
    <t>788</t>
  </si>
  <si>
    <t>10.1159/000530411</t>
  </si>
  <si>
    <t>http://dx.doi.org/10.1159/000530411</t>
  </si>
  <si>
    <t>AA5Z5</t>
  </si>
  <si>
    <t>37536297</t>
  </si>
  <si>
    <t>WOS:001045827500001</t>
  </si>
  <si>
    <t>Daines, L; McLean, S; Buelo, A; Lewis, S; Sheikh, A; Pinnock, H</t>
  </si>
  <si>
    <t>Diagnosing asthma is challenging. Misdiagnosis can lead to untreated symptoms, incorrect treatment and avoidable deaths. The best combination of clinical features and tests to achieve a diagnosis of asthma is unclear. As asthma is usually diagnosed in non-specialist settings, a clinical prediction model to aid the assessment of the probability of asthma in primary care may improve diagnostic accuracy. We aimed to identify and describe existing prediction models to support the diagnosis of asthma in children and adults in primary care. We searched Medline, Embase, CINAHL, TRIP and US National Guidelines Clearinghouse databases from 1 January 1990 to 23 November 17. We included prediction models designed for use in primary care or equivalent settings to aid the diagnostic decision-making of clinicians assessing patients with symptoms suggesting asthma. Two reviewers independently screened titles, abstracts and full texts for eligibility, extracted data and assessed risk of bias. From 13,798 records, 53 full-text articles were reviewed. We included seven modelling studies; all were at high risk of bias. Model performance varied, and the area under the receiving operating characteristic curve ranged from 0.61 to 0.82. Patient-reported wheeze, symptom variability and history of allergy or allergic rhinitis were associated with asthma. In conclusion, clinical prediction models may support the diagnosis of asthma in primary care, but existing models are at high risk of bias and thus unreliable for informing practice. Future studies should adhere to recognised standards, conduct model validation and include a broader range of clinical data to derive a prediction model of value for clinicians.</t>
  </si>
  <si>
    <t>Daines, Luke; McLean, Susannah; Buelo, Audrey; Lewis, Steff; Sheikh, Aziz; Pinnock, Hilary</t>
  </si>
  <si>
    <t>Daines, L (corresponding author), Univ Edinburgh, Usher Inst Populat Hlth Sci &amp; Informat, Asthma UK Ctr Appl Res, Edinburgh, Midlothian, Scotland.</t>
  </si>
  <si>
    <t>luke.daines@ed.ac.uk</t>
  </si>
  <si>
    <t>Asthma UK; Chief Scientist Office, Edinburgh [CAF/17/01]; Farr Institute; Health Data Research UK; University of Edinburgh</t>
  </si>
  <si>
    <t>Asthma UK; Chief Scientist Office, Edinburgh (Chief Scientist Office - Scotland); Farr Institute; Health Data Research UK; University of Edinburgh (University of Edinburgh)</t>
  </si>
  <si>
    <t>We are grateful to Marshall Dozier, Academic Librarian at the University of Edinburgh, for her help in developing the search strategy and Asthma UK for their support of the Asthma UK Centre for Applied Research. L.D. is supported by a clinical academic fellowship from the Chief Scientist Office, Edinburgh (CAF/17/01). A.S. is supported by the Farr Institute and Health Data Research UK. Neither funder nor sponsor (University of Edinburgh) contributed to protocol development.</t>
  </si>
  <si>
    <t>[Daines, Luke; McLean, Susannah; Sheikh, Aziz; Pinnock, Hilary] Univ Edinburgh, Usher Inst Populat Hlth Sci &amp; Informat, Asthma UK Ctr Appl Res, Edinburgh, Midlothian, Scotland; [Buelo, Audrey] Univ Edinburgh, Scottish Collaborat Publ Hlth Res &amp; Policy, Edinburgh, Midlothian, Scotland; [Lewis, Steff] Univ Edinburgh, Usher Inst Populat Hlth Sci &amp; Informat, Edinburgh Clin Trials Unit, Edinburgh, Midlothian, Scotland</t>
  </si>
  <si>
    <t>University of Edinburgh; University of Edinburgh; University of Edinburgh</t>
  </si>
  <si>
    <t>Systematic review of clinical prediction models to support the diagnosis of asthma in primary care</t>
  </si>
  <si>
    <t>NPJ PRIMARY CARE RESPIRATORY MEDICINE</t>
  </si>
  <si>
    <t>SYMPTOMS; RULES; IMPLEMENTATION; ACCURACY; DISEASES; IMPACT</t>
  </si>
  <si>
    <t>Daines, Luke/AAH-3707-2019</t>
  </si>
  <si>
    <t>Mclean, Susannah/0000-0001-8238-5167; Sheikh, Aziz/0000-0001-7022-3056; Pinnock, Hilary/0000-0002-5976-8386; Lewis, Steff/0000-0003-1210-2314; Daines, Luke/0000-0003-0564-4000; Buelo, Auey/0009-0003-2935-9068</t>
  </si>
  <si>
    <t>NATURE PORTFOLIO</t>
  </si>
  <si>
    <t>BERLIN</t>
  </si>
  <si>
    <t>HEIDELBERGER PLATZ 3, BERLIN, 14197, GERMANY</t>
  </si>
  <si>
    <t>2055-1010</t>
  </si>
  <si>
    <t>NPJ PRIM CARE RESP M</t>
  </si>
  <si>
    <t>npj Prim. Care Respir. Med.</t>
  </si>
  <si>
    <t>MAY 9 2019</t>
  </si>
  <si>
    <t>10.1038/s41533-019-0132-z</t>
  </si>
  <si>
    <t>http://dx.doi.org/10.1038/s41533-019-0132-z</t>
  </si>
  <si>
    <t>Primary Health Care; Respiratory System</t>
  </si>
  <si>
    <t>General &amp; Internal Medicine; Respiratory System</t>
  </si>
  <si>
    <t>IA2MR</t>
  </si>
  <si>
    <t>31073125</t>
  </si>
  <si>
    <t>WOS:000469396000001</t>
  </si>
  <si>
    <t>Wang, HY; Ding, YM; Zhuang, M; Li, KX; Zhao, SJ; Li, DH</t>
  </si>
  <si>
    <t>Gastric cancer, as one of the malignant tumors with a significant disease burden globally, emphasizes the importance of early diagnosis and personalized treatment for improving patient prognosis. In recent years, clinical prediction models (CPMs) have played a crucial role in predicting disease risks, assisting medical decision-making, and evaluating clinical prognosis and benefits as tools for risk-benefit assessment. Nomograms, as an important visualization form of clinical prediction models, have been increasingly applied in tumor-related research. Numerous studies have constructed multiple nomogram models by integrating clinical, pathological, laboratory, imaging data, and genetic characteristics, providing an accurate and effective tool for predicting the risk of gastric cancer, early diagnosis, treatment response assessment, and prognosis analysis. This article aims to review the current clinical applications and research progress of nomograms in gastric cancer, with the goal of providing robust references and theoretical support for clinical practice.</t>
  </si>
  <si>
    <t>Wang, Haiyu; Ding, Yumin; Zhuang, Min; Li, Kaixu; Zhao, Shujing; Li, Dehong</t>
  </si>
  <si>
    <t>Li, DH (corresponding author), Gansu Prov Hosp, Dept Blood Transfus, Lanzhou, Gansu, Peoples R China.</t>
  </si>
  <si>
    <t>ldh810109@126.com</t>
  </si>
  <si>
    <t>[Wang, Haiyu; Ding, Yumin; Li, Kaixu; Zhao, Shujing] Gansu Univ Chinese Med, Sch Publ Hlth, Lanzhou, Gansu, Peoples R China; [Zhuang, Min] Gansu Univ Chinese Med, Coll Acupuncture Moxibust &amp; Tuina, Lanzhou, Gansu, Peoples R China; [Li, Dehong] Gansu Prov Hosp, Dept Blood Transfus, Lanzhou, Gansu, Peoples R China</t>
  </si>
  <si>
    <t>Gansu University of Chinese Medicine; Gansu University of Chinese Medicine</t>
  </si>
  <si>
    <t>Application and progress of nomograms in gastric cancer</t>
  </si>
  <si>
    <t>FRONTIERS IN MEDICINE</t>
  </si>
  <si>
    <t>gastric cancer; nomogram; risk prediction; disease assessment; treatment response; prognosis evaluation</t>
  </si>
  <si>
    <t>LYMPH-NODE METASTASIS; NEOADJUVANT CHEMOTHERAPY; ELDERLY-PATIENTS; RISK-FACTORS; PREDICTION; GASTRECTOMY; VALIDATION; RECURRENCE; SURVIVAL; SURGERY</t>
  </si>
  <si>
    <t>Li, DeHong/B-5083-2009</t>
  </si>
  <si>
    <t>115</t>
  </si>
  <si>
    <t>2296-858X</t>
  </si>
  <si>
    <t>FRONT MED-LAUSANNE</t>
  </si>
  <si>
    <t>Front. Med.</t>
  </si>
  <si>
    <t>JAN 29 2025</t>
  </si>
  <si>
    <t>1510742</t>
  </si>
  <si>
    <t>10.3389/fmed.2025.1510742</t>
  </si>
  <si>
    <t>http://dx.doi.org/10.3389/fmed.2025.1510742</t>
  </si>
  <si>
    <t>W3Z1O</t>
  </si>
  <si>
    <t>39944483</t>
  </si>
  <si>
    <t>WOS:001417989700001</t>
  </si>
  <si>
    <t>Veronese, N; Bolzetta, F; Gallo, L; Durante, G; Vernuccio, L; Saccaro, C; Gambino, CM; Custodero, C; Portincasa, P; Morotti, A; Galli, A; Trasciatti, C; Padovani, A; Pilotto, A; Barbagallo, M</t>
  </si>
  <si>
    <t>BackgroundWhile nearly half of all dementia cases are potentially preventable, early detection and targeted interventions are critical. Artificial intelligence (AI)-enhanced clinical prediction models offer promising tools to improve diagnostic and prognostic accuracy by leveraging machine learning (ML) to integrate diverse data sources. This systematic review evaluates the development, performance, and clinical applicability of AI-based prediction models in dementia.MethodsSearches of PubMed, Embase, and Web of Science identified peer-reviewed studies up to October 2024, focusing on AI-based models predicting dementia onset. Included studies were assessed for model accuracy, bias, and generalizability using the PROBAST tool. Data extraction adhered to the TRIPOD and CHARMS frameworks, capturing study design, participant demographics, predictor variables, and performance metrics.ResultsAmong 2699 articles initially screened, 21 studies were included, encompassing over 1 million participants. AI models, extremely heterogenous for their nature, demonstrated good predictive accuracy, with a mean area under the curve of 0.845. While internal validation was conducted in all studies, external validation was limited. Models incorporating ML methods like random forests and support vector machines outperformed traditional approaches. The most used parameters were clinical and cognitive data, whilst data about biomarkers were the less used. Risk of bias was generally low, though calibration and generalizability remained challenges.ConclusionsAI-based prediction models show strong potential for early dementia detection and personalized care. However, their integration into clinical practice requires addressing issues of external validation, data representativeness, and model interpretability. Further research should focus on robust validation and ethical implementation to optimize their utility in dementia care.</t>
  </si>
  <si>
    <t>Veronese, Nicola; Bolzetta, Francesco; Gallo, Livia; Durante, Giorgia; Vernuccio, Laura; Saccaro, Carlo; Gambino, Caterina Maria; Custodero, Carlo; Portincasa, Piero; Morotti, Andrea; Galli, Alice; Trasciatti, Chiara; Padovani, Alessandro; Pilotto, Andrea; Barbagallo, Mario</t>
  </si>
  <si>
    <t>Veronese, N (corresponding author), Univ Palermo, Dept Internal Med &amp; Geriatr, Geriatr Unit, Via Vespro 141, I-90127 Palermo, Italy.; Veronese, N (corresponding author), Azienda Osped Univ Policlin P Giaccone, Geriatr Sect, Palermo, Italy.; Veronese, N (corresponding author), St Camillus Univ, Fac Med, Rome, Italy.</t>
  </si>
  <si>
    <t>nicola.veronese@unipa.it</t>
  </si>
  <si>
    <t>European Union [PNRR-MCNT1-2023-12378321, CUP I73C23000440006]</t>
  </si>
  <si>
    <t>European Union (European Union (EU))</t>
  </si>
  <si>
    <t>The project has funded by the European Union-Next Generation EU-NRRP M6C2-Investment 2.1 Enhancement and strengthening of biomedical research in the NHS, under the project identification number PNRR-MCNT1-2023-12378321, CUP I73C23000440006. The funder had no role in the design of the study; in the collection, analysis, and interpretation of data; and in writing the manuscript.</t>
  </si>
  <si>
    <t>[Veronese, Nicola; Saccaro, Carlo; Barbagallo, Mario] Univ Palermo, Dept Internal Med &amp; Geriatr, Geriatr Unit, Via Vespro 141, I-90127 Palermo, Italy; [Veronese, Nicola; Vernuccio, Laura; Gambino, Caterina Maria; Barbagallo, Mario] Azienda Osped Univ Policlin P Giaccone, Geriatr Sect, Palermo, Italy; [Veronese, Nicola] St Camillus Univ, Fac Med, Rome, Italy; [Bolzetta, Francesco; Gallo, Livia; Durante, Giorgia] Azienda Unita Locale Socio Sanitaria 3, Venice, Italy; [Custodero, Carlo; Portincasa, Piero] Univ Bari Aldo Moro, Dept Precis &amp; Regenerat Med &amp; Ionian Area DiMePre, Clin Med Augusto Murri, Bari, Italy; [Morotti, Andrea; Galli, Alice; Trasciatti, Chiara; Padovani, Alessandro; Pilotto, Andrea] Univ Brescia, Dept Clin &amp; Expt Sci, SC Neurol, Brescia, Italy; [Morotti, Andrea; Padovani, Alessandro; Pilotto, Andrea] ASST Spedali Civili Hosp, Dept Continu Care &amp; Frailty, SC Neurol, Brescia, Italy; [Galli, Alice; Trasciatti, Chiara; Padovani, Alessandro; Pilotto, Andrea] Univ Brescia, Neurobiorepository &amp; Lab Adv Biol Markers, Brescia, Italy; [Padovani, Alessandro] Univ Brescia, Brain Hlth Ctr, Brescia, Italy; [Pilotto, Andrea] Karolinska Inst, Div Clin Geriatr, Dept Neurobiol Care Sci &amp; Soc NVS, Ctr Alzheimer Res, Stockholm, Sweden</t>
  </si>
  <si>
    <t>University of Palermo; University of Palermo; Policlinico Paolo Giaccone; Universita degli Studi di Bari Aldo Moro; University of Brescia; University of Brescia; University of Brescia; Karolinska Institutet</t>
  </si>
  <si>
    <t>Clinical prediction models using artificial intelligence approaches in dementia</t>
  </si>
  <si>
    <t>AGING CLINICAL AND EXPERIMENTAL RESEARCH</t>
  </si>
  <si>
    <t>Dementia; Artificial intelligence; Machine learning; Clinical prediction models</t>
  </si>
  <si>
    <t>RISK</t>
  </si>
  <si>
    <t>Galli, Alice/IAP-0801-2023; Padovani, Alessandro/ABI-7312-2020; Custodero, Carlo/AAS-4723-2021; Veronese, Nicola/K-4343-2018; portincasa, piero/J-7245-2018; GAMBINO, CATERINA/AAC-2871-2019; Pilotto, Andrea/J-6852-2018</t>
  </si>
  <si>
    <t>Padovani, Alessandro/0000-0002-0119-3639; Custodero, Carlo/0000-0003-1549-6451; Vernuccio, Laura/0009-0009-1444-5565</t>
  </si>
  <si>
    <t>47</t>
  </si>
  <si>
    <t>SPRINGER</t>
  </si>
  <si>
    <t>ONE NEW YORK PLAZA, SUITE 4600, NEW YORK, NY, UNITED STATES</t>
  </si>
  <si>
    <t>1594-0667</t>
  </si>
  <si>
    <t>1720-8319</t>
  </si>
  <si>
    <t>AGING CLIN EXP RES</t>
  </si>
  <si>
    <t>Aging Clin. Exp. Res.</t>
  </si>
  <si>
    <t>JUL 25 2025</t>
  </si>
  <si>
    <t>233</t>
  </si>
  <si>
    <t>10.1007/s40520-025-03112-6</t>
  </si>
  <si>
    <t>http://dx.doi.org/10.1007/s40520-025-03112-6</t>
  </si>
  <si>
    <t>5IN8A</t>
  </si>
  <si>
    <t>40715606</t>
  </si>
  <si>
    <t>WOS:001536516000003</t>
  </si>
  <si>
    <t>Archer, R; Hock, E; Hamilton, J; Stevens, J; Essat, M; Poku, E; Clowes, M; Pandor, A; Stevenson, M</t>
  </si>
  <si>
    <t>Background: Rheumatoid arthritis (RA) is a chronic, debilitating disease associated with reduced quality of life and substantial costs. It is unclear which tests and assessment tools allow the best assessment of prognosis in people with early RA and whether or not variables predict the response of patients to different drug treatments.Objective: To systematically review evidence on the use of selected tests and assessment tools in patients with early RA (1) in the evaluation of a prognosis (review 1) and (2) as predictive markers of treatment response (review 2).Data sources: Electronic databases (e.g. MEDLINE, EMBASE, The Cochrane Library, Web of Science Conference Proceedings; searched to September 2016), registers, key websites, hand-searching of reference lists of included studies and key systematic reviews and contact with experts.Study selection: Review 1 - primary studies on the development, external validation and impact of clinical prediction models for selected outcomes in adult early RA patients. Review 2 -primary studies on the interaction between selected baseline covariates and treatment (conventional and biological disease-modifying antirheumatic drugs) on salient outcomes in adult early RA patients.Results: Review 1 - 22 model development studies and one combined model development/external validation study reporting 39 clinical prediction models were included. Five external validation studies evaluating eight clinical prediction models for radiographic joint damage were also included. c-statistics from internal validation ranged from 0.63 to 0.87 for radiographic progression (different definitions, six studies) and 0.78 to 0.82 for the Health Assessment Questionnaire (HAQ). Predictive performance in external validations varied considerably. Three models [(1) Active controlled Study of Patients receiving Infliximab for the treatment of Rheumatoid arthritis of Early onset (ASPIRE) C-reactive protein (ASPIRE CRP), (2) ASPIRE erythrocyte sedimentation rate (ASPIRE ESR) and (3) Behandelings Strategie (BeSt)] were externally validated using the same outcome definition in more than one population. Results of the random-effects meta-analysis suggested substantial uncertainty in the expected predictive performance of models in a new sample of patients. Review 2 - 12 studies were identified. Covariates examined included anti-citrullinated protein/peptide anti-body (ACPA) status, smoking status, erosions, rheumatoid factor status, C-reactive protein level, erythrocyte sedimentation rate, swollen joint count (SJC), body mass index and vascularity of synovium on power Doppler ultrasound (PDUS). Outcomes examined included erosions/radiographic progression, disease activity, physical function and Disease Activity Score-28 remission. There was statistical evidence to suggest that ACPA status, SJC and PDUS status at baseline may be treatment effect modifiers, but not necessarily that they are prognostic of response for all treatments. Most of the results were subject to considerable uncertainty and were not statistically significant.Limitations: The meta-analysis in review 1 was limited by the availability of only a small number of external validation studies. Studies rarely investigated the interaction between predictors and treatment.Suggested research priorities: Collaborative research (including the use of individual participant data) is needed to further develop and externally validate the clinical prediction models. The clinical prediction models should be validated with respect to individual treatments. Future assessments of treatment by covariate interactions should follow good statistical practice.Conclusions: Review 1 - uncertainty remains over the optimal prediction model(s) for use in clinical practice. Review 2 - in general, there was insufficient evidence that the effect of treatment depended on baseline characteristics.</t>
  </si>
  <si>
    <t>Archer, Rachel; Hock, Emma; Hamilton, Jean; Stevens, John; Essat, Munira; Poku, Edith; Clowes, Mark; Pandor, Abdullah; Stevenson, Matt</t>
  </si>
  <si>
    <t>Archer, R (corresponding author), Univ Sheffield, Sch Hlth &amp; Related Res ScHARR, Sheffield, S Yorkshire, England.</t>
  </si>
  <si>
    <t>National Institute for Health Research Health Technology Assessment programme</t>
  </si>
  <si>
    <t>National Institute for Health Research Health Technology Assessment programme (National Institutes of Health Research (NIHR))</t>
  </si>
  <si>
    <t>The National Institute for Health Research Health Technology Assessment programme.</t>
  </si>
  <si>
    <t>[Archer, Rachel; Hock, Emma; Hamilton, Jean; Stevens, John; Essat, Munira; Poku, Edith; Clowes, Mark; Pandor, Abdullah; Stevenson, Matt] Univ Sheffield, Sch Hlth &amp; Related Res ScHARR, Sheffield, S Yorkshire, England</t>
  </si>
  <si>
    <t>University of Sheffield</t>
  </si>
  <si>
    <t>Assessing prognosis and prediction of treatment response in early rheumatoid arthritis: systematic reviews</t>
  </si>
  <si>
    <t>HEALTH TECHNOLOGY ASSESSMENT</t>
  </si>
  <si>
    <t>TUMOR-NECROSIS-FACTOR; DISEASE-ACTIVITY SCORE; RAPID RADIOGRAPHIC PROGRESSION; BODY-MASS INDEX; CITRULLINATED PEPTIDE ANTIBODIES; HEALTH-ASSESSMENT QUESTIONNAIRE; MODIFYING ANTIRHEUMATIC DRUGS; C-REACTIVE PROTEIN; RANDOMIZED CONTROLLED-TRIAL; SUSTAINED CLINICAL REMISSION</t>
  </si>
  <si>
    <t>Everson-Hock, Emma/A-3783-2010; Pandor, Abdullah/E-4643-2010; Clowes, Mark/KYQ-7472-2024</t>
  </si>
  <si>
    <t>Poku, Edith/0000-0001-6549-5081; Stevens, John/0000-0002-9867-7209; Hock, Emma/0000-0002-8617-8875; Stevenson, Matt/0000-0002-3099-9877; Essat, Munira/0000-0003-2397-402X; Pandor, Abdullah/0000-0003-2552-5260; Hamilton, Jean/0000-0003-3326-9842; Clowes, Mark/0000-0002-5582-9946</t>
  </si>
  <si>
    <t>819</t>
  </si>
  <si>
    <t>NIHR JOURNALS LIBRARY</t>
  </si>
  <si>
    <t>SOUTHAMPTON</t>
  </si>
  <si>
    <t>UNIV SOUTHAMPTON, EVALUATION, TRIALS &amp; STUDIES COORDINATING CENTRE, ALPHA HOUSE, ENTERPRISE RD, SOUTHAMPTON, SO16 7NS, ENGLAND</t>
  </si>
  <si>
    <t>1366-5278</t>
  </si>
  <si>
    <t>2046-4924</t>
  </si>
  <si>
    <t>HEALTH TECHNOL ASSES</t>
  </si>
  <si>
    <t>Health Technol. Assess.</t>
  </si>
  <si>
    <t>NOV 2018</t>
  </si>
  <si>
    <t>66</t>
  </si>
  <si>
    <t>+</t>
  </si>
  <si>
    <t>10.3310/hta22660</t>
  </si>
  <si>
    <t>http://dx.doi.org/10.3310/hta22660</t>
  </si>
  <si>
    <t>295</t>
  </si>
  <si>
    <t>HC9NC</t>
  </si>
  <si>
    <t>30501821</t>
  </si>
  <si>
    <t>WOS:000452132100001</t>
  </si>
  <si>
    <t>Kokkinakis, S; Ziogas, IA; Salazar, JDL; Moris, DP; Tsoulfas, G</t>
  </si>
  <si>
    <t>Simple Summary Interest in stratification of prognosis for patients with colorectal liver metastases is growing. Numerous clinical prediction models have been developed for this purpose in recent years, either with the aid of traditional statistical methods or by using the aid of artificial intelligence techniques. We herein provide an overview of relevant studies discussing the different types of predictors proven to be of importance and critically assess the variable model development and validation techniques as well as the performance of the reported models.Abstract Colorectal liver metastasis (CRLM) is a disease entity that warrants special attention due to its high frequency and potential curability. Identification of "high-risk" patients is increasingly popular for risk stratification and personalization of the management pathway. Traditional regression-based methods have been used to derive prediction models for these patients, and lately, focus has shifted to artificial intelligence-based models, with employment of variable supervised and unsupervised techniques. Multiple endpoints, like overall survival (OS), disease-free survival (DFS) and development or recurrence of postoperative complications have all been used as outcomes in these studies. This review provides an extensive overview of available clinical prediction models focusing on the prognosis of CRLM and highlights the different predictor types incorporated in each model. An overview of the modelling strategies and the outcomes chosen is provided. Specific patient and treatment characteristics included in the models are discussed in detail. Model development and validation methods are presented and critically appraised, and model performance is assessed within a proposed framework.</t>
  </si>
  <si>
    <t>Kokkinakis, Stamatios; Ziogas, Ioannis A.; Salazar, Jose D. Llaque; Moris, Dimitrios P.; Tsoulfas, Georgios</t>
  </si>
  <si>
    <t>Tsoulfas, G (corresponding author), Aristotle Univ Thessaloniki, Sch Med, Ctr Res &amp; Innovat Solid Organ Transplantat, Dept Transplantat Surg, Thessaloniki 54124, Greece.</t>
  </si>
  <si>
    <t>ioannis.ziogas@cuanschutz.edu; stamatioskokkinakis@gmail.com; jose.llaquesalazar@cuanschutz.edu; tsoulfasg@auth.gr; dimitrios.moris@duke.edu</t>
  </si>
  <si>
    <t>[Kokkinakis, Stamatios] Univ Hosp Heraklion, Univ Crete, Sch Med, Dept Gen Surg, Iraklion 71500, Greece; [Ziogas, Ioannis A.; Salazar, Jose D. Llaque] Univ Colorado, Dept Surg, Anschutz Med Campus, Aurora, CO 80045 USA; [Moris, Dimitrios P.] Duke Univ, Med Ctr, Dept Surg, Durham, NC 27710 USA; [Tsoulfas, Georgios] Aristotle Univ Thessaloniki, Sch Med, Ctr Res &amp; Innovat Solid Organ Transplantat, Dept Transplantat Surg, Thessaloniki 54124, Greece</t>
  </si>
  <si>
    <t>University of Crete; University Hospital of Heraklion; University of Colorado System; University of Colorado Anschutz; Duke University; Aristotle University of Thessaloniki</t>
  </si>
  <si>
    <t>Clinical Prediction Models for Prognosis of Colorectal Liver Metastases: A Comprehensive Review of Regression-Based and Machine Learning Models</t>
  </si>
  <si>
    <t>CANCERS</t>
  </si>
  <si>
    <t>colorectal cancer; liver metastases; machine learning; prognosis; risk assessment</t>
  </si>
  <si>
    <t>PROGRESSION-FREE SURVIVAL; HEPATIC RESECTION; SURGICAL RESECTION; SCORING SYSTEM; CANCER; NOMOGRAM; RECURRENCE; RISK; CLASSIFICATION; CHEMOTHERAPY</t>
  </si>
  <si>
    <t>Ziogas, Ioannis/AFL-2060-2022; Kokkinakis, Stamatios/GVR-7667-2022</t>
  </si>
  <si>
    <t>Kokkinakis, Stamatios/0000-0003-2733-314X; Moris, Dimitrios/0000-0002-5276-0699</t>
  </si>
  <si>
    <t>2072-6694</t>
  </si>
  <si>
    <t>Cancers</t>
  </si>
  <si>
    <t>MAY 2024</t>
  </si>
  <si>
    <t>1645</t>
  </si>
  <si>
    <t>10.3390/cancers16091645</t>
  </si>
  <si>
    <t>http://dx.doi.org/10.3390/cancers16091645</t>
  </si>
  <si>
    <t>QH4D0</t>
  </si>
  <si>
    <t>38730597</t>
  </si>
  <si>
    <t>WOS:001219964500001</t>
  </si>
  <si>
    <t>Binuya, MAE; Engelhardt, EG; Schats, W; Schmidt, MK; Steyerberg, EW</t>
  </si>
  <si>
    <t>Background: Clinical prediction models are often not evaluated properly in specific settings or updated, for instance, with information from new markers. These key steps are needed such that models are fit for purpose and remain relevant in the long-term. We aimed to present an overview of methodological guidance for the evaluation (i.e., validation and impact assessment) and updating of clinical prediction models. Methods: We systematically searched nine databases from January 2000 to January 2022 for articles in English with methodological recommendations for the post-derivation stages of interest. Qualitative analysis was used to summarize the 70 selected guidance papers. Results: Key aspects for validation are the assessment of statistical performance using measures for discrimination (e.g., C-statistic) and calibration (e.g., calibration-in-the-large and calibration slope). For assessing impact or usefulness in clinical decision-making, recent papers advise using decision-analytic measures (e.g., the Net Benefit) over simplistic classification measures that ignore clinical consequences (e.g., accuracy, overall Net Reclassification Index). Commonly recommended methods for model updating are recalibration (i.e., adjustment of intercept or baseline hazard and/or slope), revision (i.e., re-estimation of individual predictor effects), and extension (i.e., addition of new markers). Additional methodological guidance is needed for newer types of updating (e.g., meta-model and dynamic updating) and machine learning-based models. Conclusion: Substantial guidance was found for model evaluation and more conventional updating of regression-based models. An important development in model evaluation is the introduction of a decision-analytic framework for assessing clinical usefulness. Consensus is emerging on methods for model updating.</t>
  </si>
  <si>
    <t>Binuya, M. A. E.; Engelhardt, E. G.; Schats, W.; Schmidt, M. K.; Steyerberg, E. W.</t>
  </si>
  <si>
    <t>Binuya, MAE (corresponding author), Leiden Univ, Dept Clin Genet, Med Ctr, Leiden, Netherlands.</t>
  </si>
  <si>
    <t>m.binuya@nki.nl</t>
  </si>
  <si>
    <t>Health~Holland grant</t>
  </si>
  <si>
    <t>This work was financially supported by Health~Holland grant number LSHM19121 (https:// www. health- holla nd. com) received by MKS. The funder had no role in study design, data collection and analysis, decision to publish, or preparation of the manuscript.</t>
  </si>
  <si>
    <t>[Binuya, M. A. E.; Engelhardt, E. G.; Schmidt, M. K.] Antoni van Leeuwenhoek Hosp, Netherlands Canc Inst, Div Mol Pathol, Plesmanlaan 121, NL-1066 CX Amsterdam, Netherlands; [Binuya, M. A. E.; Steyerberg, E. W.] Leiden Univ, Dept Biomed Data Sci, Med Ctr, Leiden, Netherlands; [Binuya, M. A. E.; Schmidt, M. K.] Leiden Univ, Dept Clin Genet, Med Ctr, Leiden, Netherlands; [Engelhardt, E. G.] Antoni van Leeuwenhoek Hosp, Netherlands Canc Inst, Div Psychosocial Res &amp; Epidemiol, Amsterdam, Netherlands; [Schats, W.] Antoni van Leeuwenhoek Hosp, Netherlands Canc Inst, Sci Informat Serv, Amsterdam, Netherlands</t>
  </si>
  <si>
    <t>Netherlands Cancer Institute; Leiden University; Leiden University - Excl LUMC; Leiden University Medical Center (LUMC); Leiden University - Excl LUMC; Leiden University; Leiden University Medical Center (LUMC); Netherlands Cancer Institute; Netherlands Cancer Institute</t>
  </si>
  <si>
    <t>Methodological guidance for the evaluation and updating of clinical prediction models: a systematic review</t>
  </si>
  <si>
    <t>Prediction model; Model evaluation; Validation; Impact assessment; Discrimination; Calibration; Clinical usefulness; Model updating</t>
  </si>
  <si>
    <t>NET RECLASSIFICATION IMPROVEMENT; INDIVIDUAL PARTICIPANT DATA; EXTERNAL VALIDATION; REGRESSION-MODELS; PROGNOSTIC MODELS; FRAMEWORK; IMPACT; RULES; PERFORMANCE; CALIBRATION</t>
  </si>
  <si>
    <t>Schmidt, Marjanka/HPE-6946-2023; Steyerberg, Ewout/C-1509-2018</t>
  </si>
  <si>
    <t>Binuya, Mary Ann/0000-0001-8682-8690; Schats, Winnie/0000-0003-1470-9515</t>
  </si>
  <si>
    <t>119</t>
  </si>
  <si>
    <t>179</t>
  </si>
  <si>
    <t>198</t>
  </si>
  <si>
    <t>DEC 12 2022</t>
  </si>
  <si>
    <t>316</t>
  </si>
  <si>
    <t>10.1186/s12874-022-01801-8</t>
  </si>
  <si>
    <t>http://dx.doi.org/10.1186/s12874-022-01801-8</t>
  </si>
  <si>
    <t>7A5MJ</t>
  </si>
  <si>
    <t>36510134</t>
  </si>
  <si>
    <t>WOS:000898499700001</t>
  </si>
  <si>
    <t>Neal, SR; Musorowegomo, D; Gannon, H; Borja, MC; Heys, M; Chimhini, G; Fitzgerald, F</t>
  </si>
  <si>
    <t>Introduction Neonatal sepsis is responsible for significant morbidity and mortality worldwide. Diagnosis is often difficult due to non-specific clinical features and the unavailability of laboratory tests in many low-income and middle-income countries (LMICs). Clinical prediction models have the potential to improve diagnostic accuracy and rationalise antibiotic usage in neonatal units, which may result in reduced antimicrobial resistance and improved neonatal outcomes. In this paper, we outline our scoping review protocol to map the literature concerning clinical prediction models to diagnose neonatal sepsis. We aim to provide an overview of existing models and evidence underlying their use and compare prediction models between high-income countries and LMICs. Methods and analysis The protocol was developed with reference to recommendations by the Joanna Briggs Institute. Searches will include six electronic databases (Ovid MEDLINE, Ovid Embase, Scopus, Web of Science, Global Index Medicus and the Cochrane Library) supplemented by hand searching of reference lists and citation analysis on included studies. No time period restrictions will be applied but only studies published in English or Spanish will be included. Screening and data extraction will be performed independently by two reviewers, with a third reviewer used to resolve conflicts. The results will be reported by narrative synthesis in line with the Preferred Reporting Items for Systematic reviews and Meta-Analyses extension for Scoping Reviews guidelines. Ethics and dissemination The nature of the scoping review methodology means that this study does not require ethical approval. Results will be disseminated through peer-reviewed publications and conference presentations, as well as through engagement with peers and relevant stakeholders.</t>
  </si>
  <si>
    <t>Neal, Samuel R.; Musorowegomo, David; Gannon, Hannah; Borja, Mario Cortina; Heys, Michelle; Chimhini, Gwen; Fitzgerald, Felicity</t>
  </si>
  <si>
    <t>Fitzgerald, F (corresponding author), UCL, Infect Immun &amp; Inflammat, UCL Great Ormond St Inst Child Hlth, London, England.</t>
  </si>
  <si>
    <t>felicity.fitzgerald@ucl.ac.uk</t>
  </si>
  <si>
    <t>National Institute for Health Research (NIHR) Great Ormond Street Hospital Biomedical Research Centre; Academy of Medical Sciences; Starter Grant for Clinical Lecturers scheme; NIHR Great Ormond Street Hospital Biomedical Research Centre</t>
  </si>
  <si>
    <t>National Institute for Health Research (NIHR) Great Ormond Street Hospital Biomedical Research Centre; Academy of Medical Sciences (Academy of Medical Sciences (AMS)); Starter Grant for Clinical Lecturers scheme; NIHR Great Ormond Street Hospital Biomedical Research Centre</t>
  </si>
  <si>
    <t>This research received no specific grant from any funding agency in the public, commercial or not--for--profit sectors but was supported by the National Institute for Health Research (NIHR) Great Ormond Street Hospital Biomedical Research Centre. FF is supported by the Academy of Medical Sciences, the funders of the Starter Grant for Clinical Lecturers scheme and the NIHR Great Ormond Street Hospital Biomedical Research Centre. The views expressed are those of the authors and not necessarily those of the National Health Service (NHS), the NIHR or the UK Department of Health.</t>
  </si>
  <si>
    <t>[Neal, Samuel R.; Fitzgerald, Felicity] UCL, Infect Immun &amp; Inflammat, UCL Great Ormond St Inst Child Hlth, London, England; [Musorowegomo, David; Chimhini, Gwen] Univ Zimbabwe, Dept Paediat &amp; Child Hlth, Coll Hlth Sci, Harare, Zimbabwe; [Gannon, Hannah; Borja, Mario Cortina; Heys, Michelle] UCL, UCL Great Ormond St Inst Child Hlth, Populat Policy &amp; Practice, London, England; [Heys, Michelle] East London NHS Fdn Trust, Specialist Childrens &amp; Young Peoples Serv, London, England</t>
  </si>
  <si>
    <t>University College London; University of London; University College London; University of Zimbabwe; University College London; University of London; University College London</t>
  </si>
  <si>
    <t>Clinical prediction models to diagnose neonatal sepsis: a scoping review protocol</t>
  </si>
  <si>
    <t>BMJ OPEN</t>
  </si>
  <si>
    <t>neonatology; infectious diseases; statistics &amp; research methods; neonatal intensive &amp; critical care; paediatrics</t>
  </si>
  <si>
    <t>INFECTIONS; ACCESS</t>
  </si>
  <si>
    <t>Cortina Borja, Mario/A-3847-2009; Neal, Samuel/AFI-3825-2022</t>
  </si>
  <si>
    <t>Cortina Borja, Mario/0000-0003-0627-2624; Neal, Samuel/0000-0001-6832-9839; Fitzgerald, Felicity/0000-0001-9594-3228; Heys, Michelle/0000-0002-1458-505X; Gannon, Hannah/0000-0002-5726-2752</t>
  </si>
  <si>
    <t>2044-6055</t>
  </si>
  <si>
    <t>BMJ Open</t>
  </si>
  <si>
    <t>e039712</t>
  </si>
  <si>
    <t>10.1136/bmjopen-2020-039712</t>
  </si>
  <si>
    <t>http://dx.doi.org/10.1136/bmjopen-2020-039712</t>
  </si>
  <si>
    <t>NH0DY</t>
  </si>
  <si>
    <t>32819959</t>
  </si>
  <si>
    <t>WOS:000564351500005</t>
  </si>
  <si>
    <t>Woll, C; Neuman, MI; Aronson, PL</t>
  </si>
  <si>
    <t>Infants aged 90 days or younger with fever are frequently evaluated in the pediatric emergency department. Physical examination findings and individual laboratory investigations are not reliable to differentiate benign viral infections from serious bacterial infections in febrile infants. Clinical prediction models were developed more than 25 years ago and have high sensitivity but relatively low specificity to identify bacterial infections in febrile infants. Newer laboratory investigations such as C-reactive protein and procalcitonin have favorable test characteristics compared with traditional laboratory studies such as a white blood cell count. These novel biomarkers have not gained widespread acceptance because of lack of robust prospectively collected data, varying thresholds to define positivity, and differing inclusion criteria across studies. However, C-reactive protein and procalcitonin, when combined with other patient characteristics in the step-by-step approach, have a high sensitivity for detection of serious bacterial infection. The RNA biosignatures are a novel biomarker under investigation for detection of bacterial infection in febrile infants.</t>
  </si>
  <si>
    <t>Woll, Christopher; Neuman, Mark I.; Aronson, Paul L.</t>
  </si>
  <si>
    <t>Aronson, PL (corresponding author), Yale Sch Med, Sect Pediat Emergency Med, 100 York St,Suite 1 F, New Haven, CT 06511 USA.</t>
  </si>
  <si>
    <t>paul.aronson@yale.edu</t>
  </si>
  <si>
    <t>CTSA grant from the National Center for Advancing Translational Science (NCATS), a component of the National Institutes of Health (NIH) [KL2 TR001862]; National Center for Advancing Translational Sciences [UL1TR001863, KL2TR001862] Funding Source: NIH RePORTER</t>
  </si>
  <si>
    <t>CTSA grant from the National Center for Advancing Translational Science (NCATS), a component of the National Institutes of Health (NIH) (United States Department of Health &amp; Human Services, National Institutes of Health (NIH) - USA, NIH National Center for Advancing Translational Sciences (NCATS)); National Center for Advancing Translational Sciences (United States Department of Health &amp; Human Services, National Institutes of Health (NIH) - USA, NIH National Center for Advancing Translational Sciences (NCATS))</t>
  </si>
  <si>
    <t>This study was supported by CTSA grant number KL2 TR001862 (P.A.) from the National Center for Advancing Translational Science (NCATS), a component of the National Institutes of Health (NIH).</t>
  </si>
  <si>
    <t>[Woll, Christopher; Aronson, Paul L.] Yale Sch Med, Sect Pediat Emergency Med, Dept Pediat, New Haven, CT 06511 USA; [Woll, Christopher; Aronson, Paul L.] Yale Sch Med, Sect Pediat Emergency Med, Dept Emergency Med, New Haven, CT 06511 USA; [Neuman, Mark I.] Harvard Med Sch, Boston Childrens Hosp, Div Emergency Med, Dept Pediat, Boston, MA USA</t>
  </si>
  <si>
    <t>Yale University; Yale University; Harvard University; Harvard Medical School; Harvard University Medical Affiliates; Boston Children's Hospital</t>
  </si>
  <si>
    <t>Management of the Febrile Young Infant: Update for the 21st Century</t>
  </si>
  <si>
    <t>PEDIATRIC EMERGENCY CARE</t>
  </si>
  <si>
    <t>febrile young infant; c-reactive protein; procalcitonin; clinical prediction model; serious bacterial infection</t>
  </si>
  <si>
    <t>SERIOUS BACTERIAL-INFECTIONS; C-REACTIVE PROTEIN; INVASIVE PNEUMOCOCCAL DISEASE; CHANGING EPIDEMIOLOGY; PROCALCITONIN; FEVER; CHILDREN; BACTEREMIA; ILLNESS; PERFORMANCE</t>
  </si>
  <si>
    <t>51</t>
  </si>
  <si>
    <t>LIPPINCOTT WILLIAMS &amp; WILKINS</t>
  </si>
  <si>
    <t>TWO COMMERCE SQ, 2001 MARKET ST, PHILADELPHIA, PA 19103 USA</t>
  </si>
  <si>
    <t>0749-5161</t>
  </si>
  <si>
    <t>1535-1815</t>
  </si>
  <si>
    <t>PEDIATR EMERG CARE</t>
  </si>
  <si>
    <t>Pediatr. Emerg. Care</t>
  </si>
  <si>
    <t>NOV 2017</t>
  </si>
  <si>
    <t>2017</t>
  </si>
  <si>
    <t>33</t>
  </si>
  <si>
    <t>748</t>
  </si>
  <si>
    <t>753</t>
  </si>
  <si>
    <t>10.1097/PEC.0000000000001303</t>
  </si>
  <si>
    <t>http://dx.doi.org/10.1097/PEC.0000000000001303</t>
  </si>
  <si>
    <t>Emergency Medicine; Pediatrics</t>
  </si>
  <si>
    <t>FM6AX</t>
  </si>
  <si>
    <t>29095773</t>
  </si>
  <si>
    <t>WOS:000415128500019</t>
  </si>
  <si>
    <t>Collins, GS; Chester-Jones, M; Gerry, S; Ma, J; Matos, J; Sehjal, J; Tsegaye, B; Dhiman, P</t>
  </si>
  <si>
    <t>Clinical prediction models are widely developed in the field of oncology, providing individualised risk estimates to aid diagnosis and prognosis. Machine learning methods are increasingly being used to develop prediction models, yet many suffer from methodological flaws limiting clinical implementation. This review outlines key considerations for developing robust, equitable prediction models in cancer care. Critical steps include systematic review of existing models, protocol development, registration, end-user engagement, sample size calculations and ensuring data representativeness across target populations. Technical challenges encompass handling missing data, addressing fairness across demographic groups and managing complex data structures, including censored observations, competing risks or clustering effects. Comprehensive internal and external evaluation requires assessment of both statistical performance (discrimination and calibration) and clinical utility. Implementation barriers include limited stakeholder engagement, insufficient clinical utility evidence, a lack of consideration of workflow integration and the absence of post-deployment monitoring plans. Despite significant potential for personalising cancer care, most prediction models remain unimplemented due to these methodological and translational challenges. Addressing these considerations from study design through post implementation monitoring is essential for developing trustworthy tools that bridge the gap between model development and clinical practice in oncology.</t>
  </si>
  <si>
    <t>Collins, Gary S.; Chester-Jones, Mae; Gerry, Stephen; Ma, Jie; Matos, Joao; Sehjal, Jyoti; Tsegaye, Biruk; Dhiman, Paula</t>
  </si>
  <si>
    <t>Collins, GS (corresponding author), Univ Birmingham, Dept Appl Hlth Sci, Birmingham, England.</t>
  </si>
  <si>
    <t>biruk.tsegaye@ndorms.ox.ac.uk; mae.chester-jones@ndorms.ox.ac.uk; jie.ma@csm.ox.ac.uk; jyoti.sehjal@st-hughs.ox.ac.uk; joao.matos@ndorms.ox.ac.uk; g.s.collins@bham.ac.uk; stephen.gerry@csm.ox.ac.uk; paula.dhiman@ndorms.ox.ac.uk</t>
  </si>
  <si>
    <t>Cancer Research UK [CANCTA-2023/100008, PRCPJT-Nov21\100021]; Medical Research Council [MR/Z503873/1]; National Institute for Health and Care Research [NIHR302985]; Engineering and Physical Sciences Research Council [EP/Y018516/1]; National Institutes of Health Research (NIHR) [NIHR302985] Funding Source: National Institutes of Health Research (NIHR)</t>
  </si>
  <si>
    <t>Cancer Research UK (Cancer Research UK); Medical Research Council (UK Research &amp; Innovation (UKRI), Medical Research Council UK (MRC)); National Institute for Health and Care Research; Engineering and Physical Sciences Research Council (UK Research &amp; Innovation (UKRI), Engineering &amp; Physical Sciences Research Council (EPSRC)); National Institutes of Health Research (NIHR) (National Institutes of Health Research (NIHR))</t>
  </si>
  <si>
    <t>GSC is supported by the EPSRC (Engineering and Physical Sciences Research Council) grant for Artificial intelligence innovation to accelerate health research (EP/Y018516/1) and MRC-NIHR Better Methods Better Research grant (MR/Z503873/1). JMat is funded by a Clarendon Fund Scholarship at University of Oxford. PD and BT are supported by CRUK (project grant: PRCPJT-Nov21\100021). MC-J is funded by a National Institute for Health Research (NIHR) doctoral research fellowship (NIHR302985). JS is funded by Cancer Research UK (CANCTA-2023/100008). The funders had no role in considering the study design or in the collection, analysis, interpretation of data, writing of the report or decision to submit the article for publication.</t>
  </si>
  <si>
    <t>[Collins, Gary S.] Univ Birmingham, Dept Appl Hlth Sci, Birmingham, England; [Chester-Jones, Mae; Gerry, Stephen; Ma, Jie; Matos, Joao; Sehjal, Jyoti; Tsegaye, Biruk; Dhiman, Paula] Univ Oxford, Oxford, England</t>
  </si>
  <si>
    <t>University of Birmingham; University of Oxford</t>
  </si>
  <si>
    <t>Clinical prediction models using machine learning in oncology: challenges and recommendations</t>
  </si>
  <si>
    <t>BMJ ONCOLOGY</t>
  </si>
  <si>
    <t>Epidemiology</t>
  </si>
  <si>
    <t>CANCER; RISK; VALIDATION; DECISION; DISPARITIES; BIAS</t>
  </si>
  <si>
    <t>van Smeden, Maarten/Y-7034-2019; Collins, Gary/A-2258-2014</t>
  </si>
  <si>
    <t>Chester-Jones, Mae/0000-0002-9710-5866; Ma, Jie/0000-0002-3900-1903</t>
  </si>
  <si>
    <t>85</t>
  </si>
  <si>
    <t>2752-7948</t>
  </si>
  <si>
    <t>BMJ ONCOL</t>
  </si>
  <si>
    <t>BMJ Oncol.</t>
  </si>
  <si>
    <t>OCT 7 2025</t>
  </si>
  <si>
    <t>e000914</t>
  </si>
  <si>
    <t>10.1136/bmjonc-2025-000914</t>
  </si>
  <si>
    <t>http://dx.doi.org/10.1136/bmjonc-2025-000914</t>
  </si>
  <si>
    <t>GC1PK</t>
  </si>
  <si>
    <t>41070156</t>
  </si>
  <si>
    <t>WOS:001732886400001</t>
  </si>
  <si>
    <t>Hagan, JL</t>
  </si>
  <si>
    <t>Background: The neonatal intensive care unit (NICU) is one of medicine's most data-rich Internet of Things (IoT) environments, and monitoring digital twins (DTs) that predict clinical events from continuously acquired physiologic streams are a leading proposed application. Methodological standards for validating the prediction models that underlie such DTs remain poorly defined. A monitoring DT can be no more trustworthy than the validation of the prediction models it contains. NICU physiologic data are characterized by repeated within-subject measurements and clustering by infant and center, structural features that violate the independence assumptions of standard prediction model validation methods. Methods: This methodological review examines validation strategies for clinical prediction models with repeated-measures predictors, with emphasis on cross-validation approaches that preserve validity under within-subject dependence, calibration-aware model evaluation, and feature selection stability. Results: Several methodological gaps are identified across the monitoring DT development pipeline. Recent simulation evidence quantifying the optimism produced by naive cross-validation in this setting is summarized and positioned as the foundation for the validation strategies recommended here. Conclusions: The NICU DT Validation Framework (NICU-DTVF) is proposed, articulating the validation conditions a trustworthy monitoring DT should satisfy, at a level of methodological maturity that is stated explicitly for each component. An open-source R package (cawCV) implementing cluster-aware validation as one component of that framework is under development. The validation principles described are general and extend to clustered, repeated-measures prediction problems beyond the neonatal setting.</t>
  </si>
  <si>
    <t>Hagan, Joseph L.</t>
  </si>
  <si>
    <t>Hagan, JL (corresponding author), Baylor Coll Med, Dept Pediat, Sect Neonatol, Houston, TX 77030 USA.</t>
  </si>
  <si>
    <t>jlhagan@bcm.edu</t>
  </si>
  <si>
    <t>This research received no external funding.</t>
  </si>
  <si>
    <t>[Hagan, Joseph L.] Baylor Coll Med, Dept Pediat, Sect Neonatol, Houston, TX 77030 USA</t>
  </si>
  <si>
    <t>Baylor College of Medicine</t>
  </si>
  <si>
    <t>Validation of Clinical Prediction Models with Repeated-Measures Predictors: A Methodological Framework for Neonatal Digital Twins in IoT Environments</t>
  </si>
  <si>
    <t>APPLIED SCIENCES-BASEL</t>
  </si>
  <si>
    <t>digital twin; monitoring digital twin; neonatal intensive care; clinical prediction model; cross-validation; repeated measures; cluster-aware validation; calibration; Internet of Things; machine learning</t>
  </si>
  <si>
    <t>SELECTION</t>
  </si>
  <si>
    <t>2076-3417</t>
  </si>
  <si>
    <t>APPL SCI-BASEL</t>
  </si>
  <si>
    <t>Appl. Sci.-Basel</t>
  </si>
  <si>
    <t>JUL 17 2026</t>
  </si>
  <si>
    <t>7171</t>
  </si>
  <si>
    <t>10.3390/app16147171</t>
  </si>
  <si>
    <t>http://dx.doi.org/10.3390/app16147171</t>
  </si>
  <si>
    <t>Chemistry, Multidisciplinary; Engineering, Multidisciplinary; Materials Science, Multidisciplinary; Physics, Applied</t>
  </si>
  <si>
    <t>Chemistry; Engineering; Materials Science; Physics</t>
  </si>
  <si>
    <t>LR4VX</t>
  </si>
  <si>
    <t>WOS:001831483000001</t>
  </si>
  <si>
    <t>gold</t>
  </si>
  <si>
    <t>Su, XR; Ambler, G; Green, N; Pavlou, M</t>
  </si>
  <si>
    <t>Objectives: Clinical prediction models are valuable tools that can support medical decision-making. Concise and interpretable models are more likely to be adopted in clinical practice; therefore, appropriate selection of predictor variables is often considered essential in model development. Typically, researchers specify a list of candidate predictors based on literature reviews and expert knowledge. Data-driven variable selection methods are then often used to further reduce the number of variables in the final model. However, many commonly used approaches, such as univariable selection, have been generally discouraged in prediction modeling. This systematic review aims to examine current practice regarding the use of data-driven variable selection when developing clinical prediction models for binary outcomes using logistic regression. Study Design and Setting: We focused on published articles in PubMed between October 1 and October 21, 2024, that developed prediction models for binary health outcomes using logistic regression. We extracted information on the study characteristics and, if applicable, the methodology used for variable selection. Results: In total, 141 studies were included in the review. We found that nearly all studies (140/141) used data-driven variable selection. Univariable selection was by far the most used method; it was used in 78% (110/141) of studies. Other frequently used methods included backward elimination (BE) (60/141, 43%), "bulk removal'' of variables (BR) from a single multivariable model (58/141, 41%), and Least Absolute Shrinkage and Selection Operator (LASSO) (35/141, 25%). Many studies applied a sequential application of variable selection methods; the most common two-step combinations were univariable selection followed by BE (45/139, 32%) and univariable selection followed by BR (43/139, 31%). In addition, many studies lacked sufficient detail in their reporting. Common problems included incomplete reporting of candidate predictors, and unclear specification of variable selection methods. Conclusion: Although data-driven variable selection is generally discouraged in clinical prediction modeling, nearly all studies in our review employed at least one such method, with many studies using two methods. Some of the most frequently criticized methods such as univariable selection and BE were commonly used. Modern penalized methods such as LASSO, which directly aim to optimize out-ofsample predictive performance while also removing redundant variables, were used less frequently. (c) 2026 The Author(s). Published by Elsevier Inc. This is an open access article under the CC BY license (http://creativecommons.org/licenses/by/4.0/).</t>
  </si>
  <si>
    <t>Su, Xinrui; Ambler, Gareth; Green, Nathan; Pavlou, Menelaos</t>
  </si>
  <si>
    <t>Su, XR (corresponding author), UCL, CASA, 1-19 Torrington Pl,Gower St, London WC1E 6BT, England.</t>
  </si>
  <si>
    <t>ucaksua@ucl.ac.uk</t>
  </si>
  <si>
    <t>China Scholarship Council; National Institute for Health and Care Research (NIHR) University College London Hospitals Biomedical Research Center</t>
  </si>
  <si>
    <t>China Scholarship Council (China Scholarship Council); National Institute for Health and Care Research (NIHR) University College London Hospitals Biomedical Research Center</t>
  </si>
  <si>
    <t>Declaration of competing interest Xinrui Su reports financial support was provided by China Scholarship Council. Gareth Ambler reports finan-cial support was provided by National Institute for Health and Care Research (NIHR) University College London Hospitals Biomedical Research Center. If there are other authors, they declare that they have no known competing financial interests or personal relationships that could have appeared to influence the work reported in this paper.</t>
  </si>
  <si>
    <t>[Su, Xinrui; Ambler, Gareth; Green, Nathan; Pavlou, Menelaos] UCL, Dept Stat Sci, London, England</t>
  </si>
  <si>
    <t>University College London; University of London; University College London</t>
  </si>
  <si>
    <t>The use of variable selection in clinical prediction modeling for binary outcomes: a systematic review</t>
  </si>
  <si>
    <t>Variable selection; Prediction model; Univariable selection; Stepwise selection; Penalized regression; Model development</t>
  </si>
  <si>
    <t>INDIVIDUAL PROGNOSIS; DIAGNOSIS TRIPOD; REGRESSION</t>
  </si>
  <si>
    <t>Pavlou, Menelaos/AFM-6843-2022</t>
  </si>
  <si>
    <t>Su, Xinrui/0009-0009-1967-7365</t>
  </si>
  <si>
    <t>SEP 2026</t>
  </si>
  <si>
    <t>112371</t>
  </si>
  <si>
    <t>10.1016/j.jclinepi.2026.112371</t>
  </si>
  <si>
    <t>http://dx.doi.org/10.1016/j.jclinepi.2026.112371</t>
  </si>
  <si>
    <t>JUL 2026</t>
  </si>
  <si>
    <t>LC6XA</t>
  </si>
  <si>
    <t>42276177</t>
  </si>
  <si>
    <t>WOS:001821453800001</t>
  </si>
  <si>
    <t>Razaghizad, A; Oulousian, E; Randhawa, VK; Ferreira, JP; Brophy, JM; Greene, SJ; Guida, J; Felker, GM; Fudim, M; Tsoukas, M; Peters, TM; Mavrakanas, TA; Giannetti, N; Ezekowitz, J; Sharma, A</t>
  </si>
  <si>
    <t>Background Clinical prediction models have been developed for hospitalization for heart failure in type 2 diabetes. However, a systematic evaluation of these models' performance, applicability, and clinical impact is absent. Methods and Results We searched Embase, MEDLINE, Web of Science, Google Scholar, and Tufts' clinical prediction registry through February 2021. Studies needed to report the development, validation, clinical impact, or update of a prediction model for hospitalization for heart failure in type 2 diabetes with measures of model performance and sufficient information for clinical use. Model assessment was done with the Prediction Model Risk of Bias Assessment Tool, and meta-analyses of model discrimination were performed. We included 15 model development and 3 external validation studies with data from 999 167 people with type 2 diabetes. Of the 15 models, 6 had undergone external validation and only 1 had low concern for risk of bias and applicability (Risk Equations for Complications of Type 2 Diabetes). Seven models were presented in a clinically useful manner (eg, risk score, online calculator) and 2 models were classified as the most suitable for clinical use based on study design, external validity, and point-of-care usability. These were Risk Equations for Complications of Type 2 Diabetes (meta-analyzed c-statistic, 0.76) and the Thrombolysis in Myocardial Infarction Risk Score for Heart Failure in Diabetes (meta-analyzed c-statistic, 0.78), which was the simplest model with only 5 variables. No studies reported clinical impact. Conclusions Most prediction models for hospitalization for heart failure in patients with type 2 diabetes have potential concerns with risk of bias or applicability, and uncertain external validity and clinical impact. Future research is needed to address these knowledge gaps.</t>
  </si>
  <si>
    <t>Razaghizad, Amir; Oulousian, Emily; Randhawa, Varinder Kaur; Ferreira, Joao Pedro; Brophy, James M.; Greene, Stephen J.; Guida, Julian; Felker, G. Michael; Fudim, Marat; Tsoukas, Michael; Peters, Tricia M.; Mavrakanas, Thomas A.; Giannetti, Nadia; Ezekowitz, Justin; Sharma, Abhinav</t>
  </si>
  <si>
    <t>Sharma, A (corresponding author), McGill Univ, Div Cardiol, 1001 Decarie Blvrd, Montreal, PQ H4A 3J1, Canada.; Sharma, A (corresponding author), McGill Univ, Div Expt Med, 1001 Decarie Blvrd, Montreal, PQ H4A 3J1, Canada.</t>
  </si>
  <si>
    <t>abhinav.sharma@mcgill.ca</t>
  </si>
  <si>
    <t>National Heart Lung and Blood Institute [K23HL151744] Funding Source: NIH RePORTER; NHLBI NIH HHS [K23 HL151744] Funding Source: Medline</t>
  </si>
  <si>
    <t>National Heart Lung and Blood Institute (United States Department of Health &amp; Human Services, National Institutes of Health (NIH) - USA, NIH National Heart Lung &amp; Blood Institute (NHLBI)); NHLBI NIH HHS (United States Department of Health &amp; Human Services, National Institutes of Health (NIH) - USA, NIH National Heart Lung &amp; Blood Institute (NHLBI))</t>
  </si>
  <si>
    <t>[Razaghizad, Amir; Brophy, James M.; Sharma, Abhinav] McGill Univ, Hlth Ctr, Res Inst, Ctr Outcomes Res &amp; Evaluat, Montreal, PQ, Canada; [Razaghizad, Amir; Brophy, James M.; Giannetti, Nadia; Sharma, Abhinav] McGill Univ, Ctr Hlth, Div Cardiol, Montreal, PQ, Canada; [Razaghizad, Amir; Oulousian, Emily; Guida, Julian; Sharma, Abhinav] McGill Univ, Hlth Ctr, DREAM CV Lab, Montreal, PQ, Canada; [Randhawa, Varinder Kaur] Cleveland Clin, Heart Vasc &amp; Thorac Inst, Kaufman Ctr Heart Failure &amp; Recovery, Dept Cardiovasc Med, Cleveland, OH 44106 USA; [Ferreira, Joao Pedro] Univ Porto, Dept Surg &amp; Physiol, Cardiovasc Res &amp; Dev Ctr, Fac Med, Porto, Portugal; [Greene, Stephen J.; Felker, G. Michael; Fudim, Marat] Duke Clin Res Inst, Div Cardiol, Durham, NC USA; [Tsoukas, Michael; Peters, Tricia M.] McGill Univ, Dept Med, Div Endocrinol, Montreal, PQ, Canada; [Peters, Tricia M.] Lady Davis Inst Med Res, Ctr Clin Epidemiol, Montreal, PQ, Canada; [Mavrakanas, Thomas A.] McGill Univ, Ctr Hlth, Div Nephrol, Dept Med, Montreal, PQ, Canada; [Mavrakanas, Thomas A.] McGill Univ, Ctr Hlth, Res Inst, Montreal, PQ, Canada; [Ezekowitz, Justin] Univ Alberta, Div Cardiol, Edmonton, AB, Canada</t>
  </si>
  <si>
    <t>McGill University; McGill University; McGill University; Cleveland Clinic Foundation; Universidade do Porto; Duke University; McGill University; Lady Davis Institute; McGill University; McGill University; University of Alberta</t>
  </si>
  <si>
    <t>Clinical Prediction Models for Heart Failure Hospitalization in Type 2 Diabetes: A Systematic Review and Meta-Analysis</t>
  </si>
  <si>
    <t>clinical prediction models; diabetes; heart failure; meta-analysis; prognostication; risk evaluation; systematic review</t>
  </si>
  <si>
    <t>INDIVIDUAL PARTICIPANT DATA; EXTERNAL VALIDATION; CARDIOVASCULAR RISK; SURVIVAL-DATA; COMPLICATIONS; CALIBRATION; EQUATIONS; IMPACT</t>
  </si>
  <si>
    <t>Ferreira, João Pedro/AAB-2489-2022; Razaghizad, Amir/ACD-3824-2022; Brophy, James/H-6673-2019; Greene, Stephen/PXB-3780-2026; Mavrakanas, Thomas/ABE-9023-2020</t>
  </si>
  <si>
    <t>Ferreira, João Pedro/0000-0002-2304-6138; Felker, Gary/0000-0002-5931-1239; Fudim, Marat/0000-0002-8671-7007; Razaghizad, Amir/0000-0001-8397-7949; Brophy, James/0000-0001-8049-6875; Mavrakanas, Thomas/0000-0002-3368-247X; Sharma, Abhinav/0000-0002-2346-8330</t>
  </si>
  <si>
    <t>MAY 17 2022</t>
  </si>
  <si>
    <t>e024833</t>
  </si>
  <si>
    <t>10.1161/JAHA.121.024833</t>
  </si>
  <si>
    <t>http://dx.doi.org/10.1161/JAHA.121.024833</t>
  </si>
  <si>
    <t>1H6FM</t>
  </si>
  <si>
    <t>35574959</t>
  </si>
  <si>
    <t>WOS:000796637400014</t>
  </si>
  <si>
    <t>Gupta, P; Richards, S; Farid, SD; Paul, G</t>
  </si>
  <si>
    <t>Objectives: Artificial intelligence (AI) applications are being increasingly explored in pain medicine due to AI's ability to handle multidimensional data and analyze complex, nonlinear relationships. There is a need to identify and understand the advances that have been made in developing AI-based clinical prediction models in interventional pain medicine for spine disorders. Therefore, the purpose of this study is to conduct a systematic review of AI-based prediction models for clinical outcomes in interventional spine medicine with a focus on model field of application, performance, and generalizability. Methods: A systematic review evaluating AI-based clinical prediction models in interventional pain medicine for spine disorders was conducted using the PubMed/MEDLINE and Scopus databases in February of 2025. Articles meeting eligibility criteria had standardized data extracted and were assessed for their application, performance (primarily based on area under the receiver operating characteristic curve [AUROC] and accuracy), and generalizability (internal and/or external validation). Results: A final total of nine studies were included in this systematic review. Of these nine, four of the studies were pertaining to epidural steroid injections and five of the studies were pertaining to spinal cord stimulators. Two studies (22.2%) out of nine achieved an excellent (&gt; 0.90) AUROC or accuracy for their AI-based prediction models. One study (11.1%) externally validated their AI-based prediction model. Discussion: AI-based clinical prediction models are limited to epidural steroid injections and spinal cord stimulators. Additionally, there is a need to improve model performance and generalizability through external validation prior to clinical translation.</t>
  </si>
  <si>
    <t>Gupta, Puneet; Richards, Stephen; Farid, Sina Davari; Paul, Geet</t>
  </si>
  <si>
    <t>Gupta, P (corresponding author), George Washington Univ, Sch Med &amp; Hlth Sci, Dept Anesthesiol &amp; Crit Care Med, Washington, DC 20052 USA.</t>
  </si>
  <si>
    <t>guptap14@gwu.edu</t>
  </si>
  <si>
    <t>[Gupta, Puneet; Richards, Stephen; Farid, Sina Davari; Paul, Geet] George Washington Univ, Sch Med &amp; Hlth Sci, Dept Anesthesiol &amp; Crit Care Med, Washington, DC 20052 USA</t>
  </si>
  <si>
    <t>George Washington University</t>
  </si>
  <si>
    <t>Artificial Intelligence for Predicting Clinical Outcomes in Interventional Pain Medicine for Spine Disorders: A Systematic Review</t>
  </si>
  <si>
    <t>PAIN PRACTICE</t>
  </si>
  <si>
    <t>artificial intelligence; chronic back pain; interventional spine; prediction models</t>
  </si>
  <si>
    <t>EPIDURAL STEROID INJECTION; SUCCESS</t>
  </si>
  <si>
    <t>1530-7085</t>
  </si>
  <si>
    <t>1533-2500</t>
  </si>
  <si>
    <t>PAIN PRACT</t>
  </si>
  <si>
    <t>Pain Pract.</t>
  </si>
  <si>
    <t>MAR 2026</t>
  </si>
  <si>
    <t>e70129</t>
  </si>
  <si>
    <t>10.1111/papr.70129</t>
  </si>
  <si>
    <t>http://dx.doi.org/10.1111/papr.70129</t>
  </si>
  <si>
    <t>Anesthesiology; Clinical Neurology</t>
  </si>
  <si>
    <t>Anesthesiology; Neurosciences &amp; Neurology</t>
  </si>
  <si>
    <t>FA3XG</t>
  </si>
  <si>
    <t>41728639</t>
  </si>
  <si>
    <t>WOS:001714039900014</t>
  </si>
  <si>
    <t>Gehringer, CK; Martin, GP; Hyrich, KL; Verstappen, SMM; Sergeant, JC</t>
  </si>
  <si>
    <t>Background: In the management of rheumatoid arthritis (RA), there is a clinical need to identify which patients are at high-risk of not responding to methotrexate (MTX), or experiencing adverse events (AEs), to enable earlier alternative treatments. Many clinical prediction models (CPMs) have previously been developed, but a summary of such models and their methodological quality is lacking. This systematic review aimed to (i) identify and summarize previously published CPMs of MTX outcomes in biologic-naive RA patients, and (ii) critically appraise their methodological properties. Methods: Medline and Embase were searched to identify studies developing or validating CPMs of MTX outcomes in RA patients. The risk of bias (ROB) was assessed using PROBAST (prediction model risk of bias assessment tool). A fixed effects meta-analysis summarised discrimination for models with multiple external validations. Results: The systematic review identified 20 CPMs across 13 studies, and 4 validation studies. Three outcome types were used: a state of disease activity (n = 14, 70%); EULAR response criteria (n = 4, 20%); or discon-tinuation due to AEs (n = 2, 10%). Only one model accounted for potential competing risks, and nine (45%) were internally validated. Eight (40%) models used multiple imputation for missing data, others were often limited to complete case analysis. There was overall high ROB. The meta-analysis summarised c-statistics for two models with multiple external validations was 0.77 (95% CI: 0.69, 0.84) and 0.68 (0.64, 0.71). Conclusion: This review highlights several methodological shortcomings that should be addressed in future model development to increase potential for implementation into practice.</t>
  </si>
  <si>
    <t>Gehringer, Celina K.; Martin, Glen P.; Hyrich, Kimme L.; Verstappen, Suzanne M. M.; Sergeant, Jamie C.</t>
  </si>
  <si>
    <t>Gehringer, CK (corresponding author), Univ Manchester, Ctr Epidemiol Versus Arthrit, Manchester Acad Hlth Sci Ctr, Div Musculoskeletal &amp; Dermatol Sci, Stopford Bldg,Oxford Rd, Manchester M13 9PG, England.</t>
  </si>
  <si>
    <t>celina.gehringer@postgrad.manchester.ac.uk</t>
  </si>
  <si>
    <t>Versus Arthritis [21,755]; NIHR Manchester Biomedical Research center</t>
  </si>
  <si>
    <t>Versus Arthritis (Versus Arthritis); NIHR Manchester Biomedical Research center</t>
  </si>
  <si>
    <t>This work was funded by Versus Arthritis (grant number 21,755) . KLH is supported by the NIHR Manchester Biomedical Research center.</t>
  </si>
  <si>
    <t>[Gehringer, Celina K.; Hyrich, Kimme L.; Verstappen, Suzanne M. M.; Sergeant, Jamie C.] Univ Manchester, Ctr Epidemiol Versus Arthrit, Manchester Acad Hlth Sci Ctr, Div Musculoskeletal &amp; Dermatol Sci, Stopford Bldg,Oxford Rd, Manchester M13 9PG, England; [Martin, Glen P.] Univ Manchester, Ctr Hlth Informat, Div Informat Imaging &amp; Data Sci, Manchester, England; [Hyrich, Kimme L.; Verstappen, Suzanne M. M.] Manchester NHS Fdn Trust, Manchester Acad Hlth Sci Ctr, NIHR Manchester Biomed Res Ctr, Manchester, England; [Sergeant, Jamie C.] Univ Manchester, Manchester Acad Hlth Sci Ctr, Ctr Biostat, Manchester, England</t>
  </si>
  <si>
    <t>University of Manchester; University of Manchester; University of Manchester; Wythenshawe Hospital NHS Foundation Trust; University of Manchester</t>
  </si>
  <si>
    <t>Clinical prediction models for methotrexate treatment outcomes in patients with rheumatoid arthritis: A systematic review and meta-analysis</t>
  </si>
  <si>
    <t>Clinical prediction model; Methotrexate; Treatment outcome; Rheumatoid arthritis; Systematic review; Meta -analysis</t>
  </si>
  <si>
    <t>PHARMACOGENETIC MODEL; ADVERSE EVENTS; RISK; BIAS; DISCRIMINATION; APPLICABILITY; MONOTHERAPY; CALIBRATION; REMISSION; EFFICACY</t>
  </si>
  <si>
    <t>Sergeant, Jamie/B-2534-2015; Martin, Glen/I-7824-2019</t>
  </si>
  <si>
    <t>Sergeant, Jamie/0000-0002-9000-4413; Hyrich, Kimme/0000-0001-8242-9262; Verstappen, Suzanne/0000-0001-6181-0646; Gehringer, Celina/0000-0001-7328-6490</t>
  </si>
  <si>
    <t>OCT 2022</t>
  </si>
  <si>
    <t>152076</t>
  </si>
  <si>
    <t>10.1016/j.semarthrit.2022.152076</t>
  </si>
  <si>
    <t>http://dx.doi.org/10.1016/j.semarthrit.2022.152076</t>
  </si>
  <si>
    <t>JUL 2022</t>
  </si>
  <si>
    <t>4G3RH</t>
  </si>
  <si>
    <t>35921745</t>
  </si>
  <si>
    <t>WOS:000849117700009</t>
  </si>
  <si>
    <t>Chen, JW; Zhong, XP; Zhai, YJ; Zhao, CX; Lan, JJ; Chen, LP; Xia, ZL</t>
  </si>
  <si>
    <t>BackgroundPostoperative blood transfusion remains a significant concern following total knee arthroplasty. Clinical prediction models can facilitate early identification of patients at risk, enabling targeted blood management to reduce unnecessary transfusions and related complications. However, the predictive performance, methodological quality, and clinical applicability of these models remain uncertain. Therefore, we systematically reviewed existing models for predicting postoperative transfusion in total knee arthroplasty.MethodsTen English and Chinese databases were comprehensively searched from database inception to February 2025 to identify relevant studies. Two reviewers independently extracted data based on the checklist for Critical Appraisal and Data Extraction for Systematic Reviews of Prediction Modelling Studies (CHARMS). The risk of bias and the applicability of each study was evaluated applying the Prediction model Risk Of Bias Assessment Tool (PROBAST). Extracted AUC of included models were pooled and analyzed utilizing a random-effects meta-analysis. A leave-one-out sensitivity analysis and an exploratory subgroup meta-analysis by modelling approach were also conducted to explore the sources of heterogeneity. All statistical analyses were performed in Stata 17.0 software.ResultsTwelve studies involving eighteen models were incorporated in this review. All studies established the prediction models employing logistic regression or machine learning methods. The most commonly used predictors were preoperative hemoglobin, age, body mass index, surgery duration, and the use of tranexamic acid. The pooled AUC for the six internally validated models was 0.83 (95% CI: 0.74-0.92), demonstrating a relatively high predictive discrimination. Sensitivity analysis did not materially change the estimates, and the subgroup meta-analyses showed that the modelling approach alone could not explain the heterogeneity (p = 0.406). However, all model were considered as having a high risk of bias, mainly owing to the unsuitable study design and poor reporting within the analysis domain.ConclusionsDespite the included studies demonstrating moderate to excellent discrimination for predicting postoperative transfusion after total knee arthroplasty, all studies were considered as having a high risk of bias following the PROBAST due to some methodological shortcomings and inadequate external validation. Future research should focus on improving methodological quality and performing multicenter external validation to ensure clinical applicability.Clinical trial numberNot applicable.</t>
  </si>
  <si>
    <t>Chen, Jingwen; Zhong, Xiaoping; Zhai, Yaojie; Zhao, Cuixian; Lan, Jingjing; Chen, Liping; Xia, Zhenlan</t>
  </si>
  <si>
    <t>Xia, ZL (corresponding author), Guangzhou Med Univ, Guangdong Prov Clin Res Ctr Obstet &amp; Gynecol, Guangdong Prov Key Lab Major Obstet Dis, Dept Orthopaed Surg,Affiliated Hosp 3, Guangzhou, Peoples R China.; Chen, LP (corresponding author), Guangzhou Med Univ, Guangdong Prov Clin Res Ctr Obstet &amp; Gynecol, Guangdong Prov Key Lab Major Obstet Dis, Dept Nursing,Affiliated Hosp 3, Guangzhou, Peoples R China.</t>
  </si>
  <si>
    <t>clp202306@163.com; 421170624@qq.com</t>
  </si>
  <si>
    <t>[Chen, Jingwen; Zhong, Xiaoping; Zhai, Yaojie; Zhao, Cuixian] Guangzhou Med Univ, Clin Coll 3, Nursing Coll, Guangzhou, Peoples R China; [Lan, Jingjing; Xia, Zhenlan] Guangzhou Med Univ, Guangdong Prov Clin Res Ctr Obstet &amp; Gynecol, Guangdong Prov Key Lab Major Obstet Dis, Dept Orthopaed Surg,Affiliated Hosp 3, Guangzhou, Peoples R China; [Chen, Liping] Guangzhou Med Univ, Guangdong Prov Clin Res Ctr Obstet &amp; Gynecol, Guangdong Prov Key Lab Major Obstet Dis, Dept Nursing,Affiliated Hosp 3, Guangzhou, Peoples R China</t>
  </si>
  <si>
    <t>Guangzhou Medical University; Guangzhou Medical University; Guangzhou Medical University</t>
  </si>
  <si>
    <t>Clinical prediction models for postoperative blood transfusion after total knee arthroplasty: a systematic review and meta-analysis</t>
  </si>
  <si>
    <t>BMC MUSCULOSKELETAL DISORDERS</t>
  </si>
  <si>
    <t>Blood transfusion; Total knee arthroplasty; Clinical prediction model; Systematic reviews; Meta-Analyses</t>
  </si>
  <si>
    <t>TOTAL HIP; RISK; APPLICABILITY; MANAGEMENT; PROBAST; BIAS; TOOL</t>
  </si>
  <si>
    <t>Xiaoping, Zhong/ADX-6497-2022</t>
  </si>
  <si>
    <t>52</t>
  </si>
  <si>
    <t>1471-2474</t>
  </si>
  <si>
    <t>BMC MUSCULOSKEL DIS</t>
  </si>
  <si>
    <t>BMC Musculoskelet. Disord.</t>
  </si>
  <si>
    <t>OCT 1 2025</t>
  </si>
  <si>
    <t>892</t>
  </si>
  <si>
    <t>10.1186/s12891-025-09164-z</t>
  </si>
  <si>
    <t>http://dx.doi.org/10.1186/s12891-025-09164-z</t>
  </si>
  <si>
    <t>Orthopedics; Rheumatology</t>
  </si>
  <si>
    <t>8EH1E</t>
  </si>
  <si>
    <t>41034914</t>
  </si>
  <si>
    <t>WOS:001586608500006</t>
  </si>
  <si>
    <t>Han, J; Vlieg, AV; Rosendaal, FR</t>
  </si>
  <si>
    <t>Venous thromboembolism (VTE) refers to abnormal blood clots in veins occurring in 1 to 2 per 1000 individuals every year. While anticoagulant treatment can prevent VTE, it increases the risk of bleeding. This emphasizes the importance of identifying individuals with a high risk of VTE and providing prophylactic interventions to these individuals to reduce both VTE and bleeding risks. Current risk assessment of VTE is based on the combination of mainly clinical risk factors. With the identification of an increasing number of genetic variants associated with the risk of VTE, the addition of genetic findings to clinical prediction models can improve risk prediction for VTE. Especially for individuals in high-risk situations, the added value of genetic findings to clinical prediction models may have benefits such as better prophylaxis of VTE and the reduced side effects of bleeding from unnecessary treatment. Nevertheless, the question of whether these models will eventually have clinical utility remains to be proven. Here, we review the current state of knowledge on genetic risk factors for VTE, explore genetic prediction models for VTE, and discuss their clinical implications and challenges.</t>
  </si>
  <si>
    <t>Han, Jihee; Vlieg, Astrid van Hylckama; Rosendaal, Frits R.</t>
  </si>
  <si>
    <t>Rosendaal, FR (corresponding author), Leiden Univ, Med Ctr, Dept Clin Epidemiol, C7 P, NL-2300 RC Leiden, Netherlands.</t>
  </si>
  <si>
    <t>f.r.rosendaal@lumc.nl</t>
  </si>
  <si>
    <t>[Han, Jihee; Vlieg, Astrid van Hylckama; Rosendaal, Frits R.] Leiden Univ, Med Ctr, Dept Clin Epidemiol, Leiden, Netherlands; [Rosendaal, Frits R.] Leiden Univ, Med Ctr, Dept Clin Epidemiol, C7 P, NL-2300 RC Leiden, Netherlands</t>
  </si>
  <si>
    <t>Leiden University - Excl LUMC; Leiden University; Leiden University Medical Center (LUMC); Leiden University; Leiden University - Excl LUMC; Leiden University Medical Center (LUMC)</t>
  </si>
  <si>
    <t>Genomic science of risk prediction for venous thromboembolic disease: convenient clarification or compounding complexity</t>
  </si>
  <si>
    <t>JOURNAL OF THROMBOSIS AND HAEMOSTASIS</t>
  </si>
  <si>
    <t>genetic risk prediction; genetics; prediction; review; venous thromboembolism</t>
  </si>
  <si>
    <t>ACTIVATED PROTEIN-C; FACTOR-V-LEIDEN; POOR ANTICOAGULANT RESPONSE; GENETIC-VARIATION; WIDE ASSOCIATION; ANTIGEN LEVELS; THROMBOSIS; DEFICIENCY; SUSCEPTIBILITY; VARIANTS</t>
  </si>
  <si>
    <t>Han, Jihee/ADK-2697-2022; van Hylckama Vlieg, Astrid/A-3323-2017; Rosendaal, Frits/Q-3842-2017</t>
  </si>
  <si>
    <t>89</t>
  </si>
  <si>
    <t>1538-7933</t>
  </si>
  <si>
    <t>1538-7836</t>
  </si>
  <si>
    <t>J THROMB HAEMOST</t>
  </si>
  <si>
    <t>J. Thromb. Haemost.</t>
  </si>
  <si>
    <t>3292</t>
  </si>
  <si>
    <t>3303</t>
  </si>
  <si>
    <t>10.1016/j.jtha.2023.09.006</t>
  </si>
  <si>
    <t>http://dx.doi.org/10.1016/j.jtha.2023.09.006</t>
  </si>
  <si>
    <t>NOV 2023</t>
  </si>
  <si>
    <t>Hematology; Peripheral Vascular Disease</t>
  </si>
  <si>
    <t>Hematology; Cardiovascular System &amp; Cardiology</t>
  </si>
  <si>
    <t>CG8Z6</t>
  </si>
  <si>
    <t>37838557</t>
  </si>
  <si>
    <t>WOS:001124205800001</t>
  </si>
  <si>
    <t>Allan, S; Olaiya, R; Burhan, R</t>
  </si>
  <si>
    <t>Cardiovascular disease (CVD) is one of the leading causes of death across the world. CVD can lead to angina, heart attacks, heart failure, strokes, and eventually, death; among many other serious conditions. The early intervention with those at a higher risk of developing CVD, typically with statin treatment, leads to better health outcomes. For this reason, clinical prediction models (CPMs) have been developed to identify those at a high risk of developing CVD so that treatment can begin at an earlier stage. Currently, CPMs are built around statistical analysis of factors linked to developing CVD, such as body mass index and family history. The emerging field of machine learning (ML) in healthcare, using computer algorithms that learn from a dataset without explicit programming, has the potential to outperform the CPMs available today. ML has already shown exciting progress in the detection of skin malignancies, bone fractures and many other medical conditions. In this review, we will analyse and explain the CPMs currently in use with comparisons to their developing ML counterparts. We have found that although the newest non-ML CPMs are effective, ML-based approaches consistently outperform them. However, improvements to the literature need to be made before ML should be implemented over current CPMs.</t>
  </si>
  <si>
    <t>Allan, Simon; Olaiya, Raphael; Burhan, Rasan</t>
  </si>
  <si>
    <t>Allan, S (corresponding author), Univ Manchester, Manchester M14 6AS, Lancs, England.</t>
  </si>
  <si>
    <t>simon.allan@student.manchester.ac.uk</t>
  </si>
  <si>
    <t>[Allan, Simon] Univ Manchester, Manchester Med Sch, Manchester, Lancs, England; [Olaiya, Raphael] UCL, UCL Ctr Artificial Intelligence, London, England; [Burhan, Rasan] St Georges Healthcare NHS Trust, London, England</t>
  </si>
  <si>
    <t>University of Manchester; University of London; University College London; City St Georges, University of London</t>
  </si>
  <si>
    <t>Reviewing the use and quality of machine learning in developing clinical prediction models for cardiovascular disease</t>
  </si>
  <si>
    <t>POSTGRADUATE MEDICAL JOURNAL</t>
  </si>
  <si>
    <t>cardiology; epidemiology; general medicine (see Internal Medicine); public health; statistics &amp; research methods</t>
  </si>
  <si>
    <t>RISK; REGRESSION</t>
  </si>
  <si>
    <t>Allan, Simon/0000-0002-9578-6469; Burhan, Rasan/0000-0002-3442-4544</t>
  </si>
  <si>
    <t>0032-5473</t>
  </si>
  <si>
    <t>1469-0756</t>
  </si>
  <si>
    <t>POSTGRAD MED J</t>
  </si>
  <si>
    <t>Postgrad. Med. J.</t>
  </si>
  <si>
    <t>98</t>
  </si>
  <si>
    <t>1161</t>
  </si>
  <si>
    <t>551</t>
  </si>
  <si>
    <t>558</t>
  </si>
  <si>
    <t>10.1136/postgradmedj-2020-139352</t>
  </si>
  <si>
    <t>http://dx.doi.org/10.1136/postgradmedj-2020-139352</t>
  </si>
  <si>
    <t>MAR 2021</t>
  </si>
  <si>
    <t>2L7SC</t>
  </si>
  <si>
    <t>33692158</t>
  </si>
  <si>
    <t>WOS:000727496900001</t>
  </si>
  <si>
    <t>Jarrah, MM; Al-Shamsi, HO; Abuhelwa, Z; Bustanji, Y; Semreen, MH; Mckinnon, RA; Sorich, MJ; Hopkins, AM; Abuhelwa, AY</t>
  </si>
  <si>
    <t>Background and Objectives Multiple myeloma (MM) is characterized by substantial clinical heterogeneity, leading to wide variability in treatment response and toxicity. Although numerous prognostic tools exist, relatively few models estimate outcomes conditional on a specific therapeutic regimen. Treatment-specific prediction models are an important step toward individualized therapy selection. This review synthesizes the current landscape of treatment-specific clinical prediction models in MM.Methods A structured search of PubMed and Embase/Scopus identified multivariable clinical prediction models developed within a static treatment framework, evaluating treatment-specific therapeutic or toxicity-related outcomes in MM. Information was extracted on treatment regimens, predictors, modeling methods, validation strategies, and reporting of clinical utility.Results Thirteen models were identified, evaluating therapeutic (n = 10) or toxicity-related (n = 3) outcomes across regimens including bortezomib-based induction, daratumumab-containing combinations, ixazomib-based triplets, and CAR-T therapy. Predictors were mainly routine clinical and laboratory variables, with limited integration of cytogenetics or patient-reported outcomes. Most models used traditional regression methods; calibration was inconsistently reported, and external validation was performed in seven studies. Decision curve analysis was included in only two models.Conclusions Methodological and translational gaps remain, including limited transparency, scarce external validation, and lack of patient-reported or longitudinal predictors. None of the models have been implemented as online calculators or integrated into electronic decision-support systems, limiting real-world uptake. Addressing these gaps is essential for developing clinically meaningful prediction tools to support personalized treatment in MM.</t>
  </si>
  <si>
    <t>Jarrah, Mays M.; Al-shamsi, Humaid O.; Abuhelwa, Ziad; Bustanji, Yasser; Semreen, Mohammad H.; Mckinnon, Ross A.; Sorich, Michael J.; Hopkins, Ashley M.; Abuhelwa, Ahmad Y.</t>
  </si>
  <si>
    <t>Abuhelwa, AY (corresponding author), Univ Sharjah, Coll Pharm, Sharjah, U Arab Emirates.; Abuhelwa, AY (corresponding author), Univ Sharjah, Res Inst Med &amp; Hlth Sci, Sharjah, U Arab Emirates.</t>
  </si>
  <si>
    <t>ahmad.abuhelwa@sharjah.ac.ae</t>
  </si>
  <si>
    <t>National Health and Medical Research Council (NHMRC) [APP2008119]; University of Sharjah [2301110392]; Tour De Cure [RSP-117-FY2023]</t>
  </si>
  <si>
    <t>National Health and Medical Research Council (NHMRC) (National Health &amp; Medical Research Council (NHMRC) of Australia); University of Sharjah (University of Sharjah); Tour De Cure</t>
  </si>
  <si>
    <t>This study was supported by the University of Sharjah Targeted Research Grant No. 2301110392. Ashley M. Hopkins is a National Health and Medical Research Council (NHMRC) Fellow (APP2008119) who is supported by research funding from Tour De Cure (RSP-117-FY2023).</t>
  </si>
  <si>
    <t>[Jarrah, Mays M.; Semreen, Mohammad H.; Abuhelwa, Ahmad Y.] Univ Sharjah, Coll Pharm, Sharjah, U Arab Emirates; [Jarrah, Mays M.; Semreen, Mohammad H.; Abuhelwa, Ahmad Y.] Univ Sharjah, Res Inst Med &amp; Hlth Sci, Sharjah, U Arab Emirates; [Al-shamsi, Humaid O.] Burjeel Canc Inst, Dept Oncol, Abu Dhabi, U Arab Emirates; [Al-shamsi, Humaid O.] Ras Al Khaimah Med &amp; Hlth Sci, Coll Med, Ras Al Khaymah, U Arab Emirates; [Al-shamsi, Humaid O.] Harvard Med Sch, Dana Farber Canc Inst, Dept Med Oncol, Boston, MA USA; [Abuhelwa, Ziad] Univ S Florida, H Lee Moffitt Canc Ctr &amp; Res Inst, Dept Hematol &amp; Med Oncol, Tampa, FL USA; [Bustanji, Yasser] Univ Sharjah, Coll Med, Sharjah, U Arab Emirates; [Bustanji, Yasser] Univ Jordan, Sch Pharm, Amman, Jordan; [Mckinnon, Ross A.; Sorich, Michael J.; Hopkins, Ashley M.] Flinders Univ S Australia, Coll Med &amp; Publ Hlth, Bedford Pk, SA, Australia</t>
  </si>
  <si>
    <t>University of Sharjah; University of Sharjah; RAK Medical &amp; Health Sciences University; Harvard University; Harvard Medical School; Harvard University Medical Affiliates; Dana-Farber Cancer Institute; State University System of Florida; H Lee Moffitt Cancer Center &amp; Research Institute; University of South Florida; University of Sharjah; University of Jordan; Flinders University</t>
  </si>
  <si>
    <t>Treatment-Specific Prediction Models in Multiple Myeloma: A Critical Review of Current Evidence and Future Directions</t>
  </si>
  <si>
    <t>EUROPEAN JOURNAL OF HAEMATOLOGY</t>
  </si>
  <si>
    <t>machine learning; multiple myeloma; personalized medicine; prediction models; prognostic modelling; risk stratification; toxicity prediction; treatment-specific outcomes</t>
  </si>
  <si>
    <t>Hopkins, Ashley/W-9551-2019; Abuhelwa, Ahmad/K-1093-2015; Bustanji, Yasser/C-2626-2015; Sorich, Michael Joseph/A-1210-2011; McKinnon, Ross/B-9340-2009</t>
  </si>
  <si>
    <t>Sorich, Michael Joseph/0000-0003-1999-866X; McKinnon, Ross/0000-0002-3725-793X</t>
  </si>
  <si>
    <t>0902-4441</t>
  </si>
  <si>
    <t>1600-0609</t>
  </si>
  <si>
    <t>EUR J HAEMATOL</t>
  </si>
  <si>
    <t>Eur. J. Haematol.</t>
  </si>
  <si>
    <t>117</t>
  </si>
  <si>
    <t>100</t>
  </si>
  <si>
    <t>116</t>
  </si>
  <si>
    <t>10.1111/ejh.70177</t>
  </si>
  <si>
    <t>http://dx.doi.org/10.1111/ejh.70177</t>
  </si>
  <si>
    <t>Hematology</t>
  </si>
  <si>
    <t>IZ6UZ</t>
  </si>
  <si>
    <t>41909977</t>
  </si>
  <si>
    <t>WOS:001727852400001</t>
  </si>
  <si>
    <t>Moons, KGM; Altman, DG; Reitsma, JB; Collins, GS</t>
  </si>
  <si>
    <t>Prediction models are developed to aid health care providers in estimating the probability that a specific outcome or disease is present (diagnostic prediction models) or will occur in the future (prognostic prediction models), to inform their decision making. Prognostic models here also include models to predict treatment outcomes or responses; in the cancer literature often referred to as predictive models. Clinical prediction models have become abundant. Pathology measurement or results are frequently included as predictors in such prediction models, certainly in the cancer domain. Only when full information on all aspects of a prediction modeling study are clearly reported, risk of bias and potential usefulness of the prediction model can be adequately assessed. Many reviews have illustrated that the quality of reports on the development, validation, and/or adjusting (updating) of prediction models, is very poor. Hence, the Transparent Reporting of a multivariable prediction model for Individual Prognosis Or Diagnosis (TRIPOD) initiative has developed a comprehensive and user-friendly checklist for the reporting of studies on, both diagnostic and prognostic, prediction models. The TRIPOD Statement intends to improve the transparency and completeness of reporting of studies that report solely on development, both development and validation, and solely on the validation (with or without updating) of diagnostic or prognostic, including predictive, models.</t>
  </si>
  <si>
    <t>Moons, Karel G. M.; Altman, Douglas G.; Reitsma, Johannes B.; Collins, Gary S.</t>
  </si>
  <si>
    <t>Moons, KGM (corresponding author), Univ Med Ctr Utrecht, Julius Ctr Hlth Sci &amp; Primary Care, POB 85500, NL-3508 GA Utrecht, Netherlands.</t>
  </si>
  <si>
    <t>K.G.M.Moons@umcutrecht.nl</t>
  </si>
  <si>
    <t>Cancer Research UK [16895] Funding Source: Medline; Medical Research Council [G1100513, G0902393] Funding Source: Medline; MRC [G1100513, G0902393] Funding Source: UKRI; Cancer Research UK [16895] Funding Source: researchfish; Medical Research Council [G1100513, G0902393] Funding Source: researchfish</t>
  </si>
  <si>
    <t>Cancer Research UK (Cancer Research UK); Medical Research Council (UK Research &amp; Innovation (UKRI), Medical Research Council UK (MRC)); MRC (UK Research &amp; Innovation (UKRI), Medical Research Council UK (MRC)); Cancer Research UK (Cancer Research UK); Medical Research Council (UK Research &amp; Innovation (UKRI), Medical Research Council UK (MRC))</t>
  </si>
  <si>
    <t>[Moons, Karel G. M.; Reitsma, Johannes B.] Univ Med Ctr Utrecht, Julius Ctr Hlth Sci &amp; Primary Care, NL-3508 GA Utrecht, Netherlands; [Altman, Douglas G.; Collins, Gary S.] Univ Oxford, Ctr Stat Med, Nuffield Dept Orthopaed Rheumatol &amp; Musculoskelet, Oxford, England</t>
  </si>
  <si>
    <t>Utrecht University; Utrecht University Medical Center; University of Oxford</t>
  </si>
  <si>
    <t>New Guideline for the Reporting of Studies Developing, Validating, or Updating a Multivariable Clinical Prediction Model: The TRIPOD Statement</t>
  </si>
  <si>
    <t>ADVANCES IN ANATOMIC PATHOLOGY</t>
  </si>
  <si>
    <t>prediction; prediction model; prognostic model; predictive model; diagnostic model; reporting; transparency</t>
  </si>
  <si>
    <t>Moons, Karel GM/JPA-4011-2023; Reitsma, Johannes B/PCT-8920-2025; Collins, Gary/A-2258-2014; Altman, Douglas/A-9714-2012</t>
  </si>
  <si>
    <t>Reitsma, Johannes B/0000-0003-4026-4345; Collins, Gary/0000-0002-2772-2316</t>
  </si>
  <si>
    <t>129</t>
  </si>
  <si>
    <t>1072-4109</t>
  </si>
  <si>
    <t>1533-4031</t>
  </si>
  <si>
    <t>ADV ANAT PATHOL</t>
  </si>
  <si>
    <t>Adv. Anat. Pathol.</t>
  </si>
  <si>
    <t>SEP 2015</t>
  </si>
  <si>
    <t>2015</t>
  </si>
  <si>
    <t>303</t>
  </si>
  <si>
    <t>305</t>
  </si>
  <si>
    <t>10.1097/PAP.0000000000000072</t>
  </si>
  <si>
    <t>http://dx.doi.org/10.1097/PAP.0000000000000072</t>
  </si>
  <si>
    <t>Pathology</t>
  </si>
  <si>
    <t>CQ4QG</t>
  </si>
  <si>
    <t>26262512</t>
  </si>
  <si>
    <t>WOS:000360589100003</t>
  </si>
  <si>
    <t>Whittle, R; Peat, G; Belcher, J; Collins, GS; Riley, RD</t>
  </si>
  <si>
    <t>Objective: Measurement error in predictor variables may threaten the validity of clinical prediction models. We sought to evaluate the possible extent of the problem. A secondary objective was to examine whether predictors are measured at the intended moment of model use.Methods: A systematic search of Medline was used to identify a sample of articles reporting the development of a clinical prediction model published in 2015. After screening according to a predefined inclusion criteria, information on predictors, strategies to control for measurement error, and intended moment of model use were extracted. Susceptibility to measurement error for each predictor was classified into low and high risks.Results: Thirty-three studies were reviewed, including 151 different predictors in the final prediction models. Fifty-one (33.7%) predictors were categorized as high risk of error; however, this was not accounted for in the model development. Only 8 (24.2%) studies explicitly stated the intended moment of model use and when the predictors were measured.Conclusion: Reporting of measurement error and intended moment of model use is poor in prediction model studies. There is a need to identify circumstances where ignoring measurement error in prediction models is consequential and whether accounting for the error will improve the predictions. (C) 2018 Elsevier Inc. All rights reserved.</t>
  </si>
  <si>
    <t>Whittle, Rebecca; Peat, George; Belcher, John; Collins, Gary S.; Riley, Richard D.</t>
  </si>
  <si>
    <t>Whittle, R (corresponding author), Keele Univ, Ctr Prognosis Res, Arthritis Res UK Primary Care Ctr, Res Inst Primary Care &amp; Hlth Sci, Keele, Staffs, England.</t>
  </si>
  <si>
    <t>r.l.whittle@keele.ac.uk</t>
  </si>
  <si>
    <t>NIHR Research Professorship in General Practice for Christian Mallen [NIHR-RP-2014-04-026]; NIHR Biomedical Research Centre, Oxford; Cancer Research UK [16895] Funding Source: researchfish</t>
  </si>
  <si>
    <t>NIHR Research Professorship in General Practice for Christian Mallen; NIHR Biomedical Research Centre, Oxford (National Institutes of Health Research (NIHR)); Cancer Research UK (Cancer Research UK)</t>
  </si>
  <si>
    <t>R.W. was funded through an NIHR Research Professorship in General Practice for Christian Mallen (NIHR-RP-2014-04-026). G.S.C. was supported by the NIHR Biomedical Research Centre, Oxford. The views expressed in this article are those of the author(s) and not necessarily those of the NHS, the NIHR, or the Department of Health.</t>
  </si>
  <si>
    <t>[Whittle, Rebecca; Peat, George; Belcher, John; Riley, Richard D.] Keele Univ, Ctr Prognosis Res, Arthritis Res UK Primary Care Ctr, Res Inst Primary Care &amp; Hlth Sci, Keele, Staffs, England; [Collins, Gary S.] Univ Oxford, Nuffield Dept Orthopaed Rheumatol &amp; Musculoskelet, Botnar Res Ctr, Ctr Stat Med, Oxford, England</t>
  </si>
  <si>
    <t>Keele University; University of Oxford</t>
  </si>
  <si>
    <t>Measurement error and timing of predictor values for multivariable risk prediction models are poorly reported</t>
  </si>
  <si>
    <t>Prediction models; Prediction; Prognosis; Diagnosis; Measurement error; Error</t>
  </si>
  <si>
    <t>C-REACTIVE PROTEIN; PRIMARY-CARE; CYTOREDUCTIVE SURGERY; INDIVIDUAL PROGNOSIS; BIOLOGICAL VARIATION; DIAGNOSIS TRIPOD; SINGLE-CENTER; CANCER; SCORE; VARIABILITY</t>
  </si>
  <si>
    <t>Collins, Gary/A-2258-2014; Riley, Richard D/G-2406-2011; Peat, George/HSF-8122-2023; Whittle, Rebecca/JGD-7988-2023</t>
  </si>
  <si>
    <t>Collins, Gary/0000-0002-2772-2316; Riley, Richard D/0000-0001-8699-0735; Peat, George/0000-0002-9008-0184; Whittle, Rebecca/0000-0003-1793-0135</t>
  </si>
  <si>
    <t>OCT 2018</t>
  </si>
  <si>
    <t>102</t>
  </si>
  <si>
    <t>10.1016/j.jclinepi.2018.05.008</t>
  </si>
  <si>
    <t>http://dx.doi.org/10.1016/j.jclinepi.2018.05.008</t>
  </si>
  <si>
    <t>GT6WU</t>
  </si>
  <si>
    <t>29782997</t>
  </si>
  <si>
    <t>WOS:000444662400005</t>
  </si>
  <si>
    <t>Haq, MU; Pritchard, DM; Myint, AS; Javed, MA; Duckworth, CA; Than, NW; Bonnett, LJ; Hughes, DM</t>
  </si>
  <si>
    <t>Background: Currently, there are no clinically predictive models that can prognosticate the response of rectal cancers to Contact X-ray brachytherapy (CXB). This review aims to critically evaluate existing models that have attempted to predict the response of rectal cancer to external beam radiotherapy, with the objective of laying the foundation for the development of a CXB-specific prediction model. Methods: A random-effects meta-analysis was employed to calculate pooled estimates of the discriminative ability of published models. Using the Prediction Model Risk Of Bias Assessment Tool (PROBAST), each model was evaluated for its risk of bias and applicability. Additionally, the frequency of commonly utilised predictive factors was documented. Results: Twelve papers discussed fifteen models based on pre-treatment factors. Models predicting response based on the Tumour regression grade (TRG) classified responders as patients who achieved a complete response or near complete response and achieved a pooled AUC of 0.82 (95% CI 0.74-0.89). Models that predicted pathologic complete response (pCR) had a pooled AUC of 0.76 (95% CI 0.71-0.82). The most utilised predictive parameters were age, tumour grade and T stage. However, these models were prone to significant risk of bias and had limited applicability to the general population. Conclusions: Although the existing models were statistically robust, they lacked broad applicability. This was primarily due to a lack of external validation, which limits their clinical utility. A future CXB-specific model should prioritise dedicated data collection based on pre-calculated sample size and include the predictive factors identified in this review.</t>
  </si>
  <si>
    <t>Haq, Muneeb Ul; Pritchard, D. Mark; Myint, Arthur Sun; Javed, Muhammad Ahsan; Duckworth, Carrie A.; Than, Ngu Wah; Bonnett, Laura J.; Hughes, David M.</t>
  </si>
  <si>
    <t>Haq, MU (corresponding author), Univ Liverpool, Inst Syst Mol &amp; Integrat Biol, Liverpool, England.; Haq, MU (corresponding author), Clatterbridge Canc Ctr NHS Fdn Trust, Liverpool, England.</t>
  </si>
  <si>
    <t>muneeb.haq@liverpool.ac.uk</t>
  </si>
  <si>
    <t>European Union [857894-CAST]</t>
  </si>
  <si>
    <t>This project has received funding from the European Union's Horizon 2020 research and innovation programme under the Marie Sklodowska- Curie grant agreement No 857894-CAST.</t>
  </si>
  <si>
    <t>[Haq, Muneeb Ul; Pritchard, D. Mark; Duckworth, Carrie A.; Than, Ngu Wah] Univ Liverpool, Inst Syst Mol &amp; Integrat Biol, Liverpool, England; [Haq, Muneeb Ul; Myint, Arthur Sun; Than, Ngu Wah] Clatterbridge Canc Ctr NHS Fdn Trust, Liverpool, England; [Pritchard, D. Mark; Javed, Muhammad Ahsan] Liverpool Univ Hosp NHS Fdn Trust, Liverpool, England; [Javed, Muhammad Ahsan] Univ Liverpool, Inst Life Course &amp; Med Sci, Liverpool, England; [Bonnett, Laura J.; Hughes, David M.] Univ Liverpool, Inst Populat Hlth, Dept Hlth Data Sci, Liverpool, England</t>
  </si>
  <si>
    <t>University of Liverpool; University of Liverpool; University of Liverpool</t>
  </si>
  <si>
    <t>Clinical Prediction Models for Contact X-Ray Brachytherapy in Managing Rectal Cancers: A Scoping Review</t>
  </si>
  <si>
    <t>CANCER MEDICINE</t>
  </si>
  <si>
    <t>brachytherapy; clinical prediction models; rectal cancers</t>
  </si>
  <si>
    <t>ORGAN PRESERVATION; NEOADJUVANT CHEMORADIOTHERAPY; CHEMORADIATION THERAPY; ADENOCARCINOMA; RADIOTHERAPY; REGRESSION; METAANALYSIS; PERFORMANCE; OUTCOMES; WATCH</t>
  </si>
  <si>
    <t>Sun Myint, Arthur/L-2714-2019; Bonnett, Laura/A-2159-2015; Duckworth, Carrie/K-7302-2014</t>
  </si>
  <si>
    <t>Ul Haq, Muneeb/0000-0002-2303-7469; Than, Ngu/0000-0003-4991-5431; Sun Myint, Arthur/0000-0001-5323-5696; Pritchard, David Mark/0000-0001-7971-3561; Javed, Muhammad Ahsan/0000-0003-0402-2285; Bonnett, Laura/0000-0002-6981-9212</t>
  </si>
  <si>
    <t>2045-7634</t>
  </si>
  <si>
    <t>CANCER MED-US</t>
  </si>
  <si>
    <t>Cancer Med.</t>
  </si>
  <si>
    <t>APR 3 2025</t>
  </si>
  <si>
    <t>e70697</t>
  </si>
  <si>
    <t>10.1002/cam4.70697</t>
  </si>
  <si>
    <t>http://dx.doi.org/10.1002/cam4.70697</t>
  </si>
  <si>
    <t>0XP9F</t>
  </si>
  <si>
    <t>40178039</t>
  </si>
  <si>
    <t>WOS:001458446100001</t>
  </si>
  <si>
    <t>Battle, C; Cole, E; Whelan, R; Baker, E</t>
  </si>
  <si>
    <t>Introduction: The STUMBL Score clinical prediction model was originally developed and externally validated to support clinical decision-making of patients with blunt chest wall trauma in the Emergency Department. The aim of this scoping review was to understand the extent and type of evidence in relation to the STUMBL Score clinical prediction model as a component of the management of patients with blunt chest wall trauma managed in the Emergency Care setting.Methods: A systematic search was conducted across databases, including Medline, Embase and the Cochrane Central Register of Controlled Trials from Jan 2014 to Feb 2023. In addition, a search of the grey literature was undertaken along with citation searching of relevant studies. Published and non-published sources of all research designs were included. Data extracted included specific details about the participants, concept, context, study methods and key findings relevant to the review question. Data extraction followed the JBI guidance and results presented in tabular format accompanied with a narrative summary.Results: A total of 44 sources originating from eight countries were identified, 28 were published and 16 grey literature. Sources were grouped into four separate categories: 1) external validation studies, 2) guidance doc-uments, 3) practice reviews and educational resources 3) research studies and quality improvement projects, 4) grey literature unpublished resources. This body of evidence describes the clinical utility of the STUMBL Score and has identify how the score is being implemented and used differently in different settings including analgesic selection and participant eligibility for including in chest wall injury research studies.Discussion: This review demonstrates how the STUMBL Score has evolved from solely predicting risk of respi-ratory complications to a measure which supports clinical decision making for the use of complex analgesic modes and as a guide for eligibility in chest wall injury trauma research studies. Despite external validation of the STUMBL Score, there is a need for further calibration and evaluation, particularly relating to these repurposed functions of the score. Overall, the clinical benefit of the score remains clear and its wide usage demonstrates the impact it has on clinical care, patient experience and clinician decision making.</t>
  </si>
  <si>
    <t>Battle, Ceri; Cole, Elaine; Whelan, Rhys; Baker, Edward</t>
  </si>
  <si>
    <t>Battle, C (corresponding author), Swansea Bay Univ Hlth Board, Morriston Hosp, Physiotherapy Dept, Swansea SA6 6NL, Wales.</t>
  </si>
  <si>
    <t>edwardbaker@nhs.net; Ceri.battle@Wales.nhs.uk; Rhys.whelan@wales.nhs.uk; e.cole@qmul.ac.uk</t>
  </si>
  <si>
    <t>[Battle, Ceri] Swansea Bay Univ Hlth Board, Morriston Hosp, Physiotherapy Dept, Swansea SA6 6NL, Wales; [Cole, Elaine] Queen Mary Univ London, Blizard Inst, Ctr Trauma Sci, London, England; [Whelan, Rhys] Swansea Bay Univ Hlth Board, Morriston Hosp, Lib &amp; Knowledge Serv, Swansea, Wales; [Baker, Edward] Kings Coll Hosp London, Emergency Dept, London, England</t>
  </si>
  <si>
    <t>Morriston Hospital; University of London; Queen Mary University London; Morriston Hospital; King's College Hospital NHS Foundation Trust; King's College Hospital</t>
  </si>
  <si>
    <t>Scoping review of the literature to ascertain how the STUMBL Score clinical prediction model is used to manage patients with blunt chest wall trauma in emergency care</t>
  </si>
  <si>
    <t>INJURY-INTERNATIONAL JOURNAL OF THE CARE OF THE INJURED</t>
  </si>
  <si>
    <t>Blunt chest wall trauma; Clinical practice; Emergency care; Evidence synthesis; Risk stratification</t>
  </si>
  <si>
    <t>Whelan, Rhys/0000-0001-6722-7726; Battle, Ceri/0000-0002-7503-1931; Cole, Elaine/0000-0002-3642-3537; Baker, Edward/0000-0002-2633-0871</t>
  </si>
  <si>
    <t>41</t>
  </si>
  <si>
    <t>0020-1383</t>
  </si>
  <si>
    <t>1879-0267</t>
  </si>
  <si>
    <t>INJURY</t>
  </si>
  <si>
    <t>Injury-Int. J. Care Inj.</t>
  </si>
  <si>
    <t>JUL 2023</t>
  </si>
  <si>
    <t>110796</t>
  </si>
  <si>
    <t>10.1016/j.injury.2023.05.027</t>
  </si>
  <si>
    <t>http://dx.doi.org/10.1016/j.injury.2023.05.027</t>
  </si>
  <si>
    <t>Critical Care Medicine; Emergency Medicine; Orthopedics; Surgery</t>
  </si>
  <si>
    <t>General &amp; Internal Medicine; Emergency Medicine; Orthopedics; Surgery</t>
  </si>
  <si>
    <t>K5CS1</t>
  </si>
  <si>
    <t>37208252</t>
  </si>
  <si>
    <t>WOS:001016622800001</t>
  </si>
  <si>
    <t>Howard, HR; Hasanova, M; Tiwari, A; Ghose, A; Winayak, R; Nahar, T; Chauhan, V; Arun, S; Palmer, K; Houston, A; Kumar, NS; Lalwani, S; Januszewski, A; Conibear, J; Jain, A; Cortellini, A; Passaro, A; Addeo, A; Noronha, V; Banna, GL; Boussios, S</t>
  </si>
  <si>
    <t>Globally, lung cancer remains the most common cause of cancer mortality, with non-small-cell lung cancer (NSCLC) being the most common subtype of lung cancer diagnosed. This review paper provides a comprehensive landscape of clinical prediction models (CPMs) in NSCLC, including in early-stage and metastatic disease, and the recent acceleration of artificial intelligence integration. Prediction models are developed using multimodal patient data to allow oncologists to make evidence-based decisions regarding patient treatment options. Despite these models in early-stage and metastatic NSCLC showing promise, their clinical application provides challenges, involving an unmet need for external validation, alongside a lack of prospective modelling. However, the continued advancements in this field, comprising production and accessibility of large-scale pathology databases and external validation of developed models, allow for continued research and progress. These models have potential to assist in personalised treatment selection, supporting oncologists in perceiving future risk factors or issues associated with a specific targeted therapy for an individual patient, ultimately optimising treatment to precise, personalised options for individuals diagnosed with NSCLC.</t>
  </si>
  <si>
    <t>Howard, H. R.; Hasanova, M.; Tiwari, A.; Ghose, A.; Winayak, R.; Nahar, T.; Chauhan, V.; Arun, S.; Palmer, K.; Houston, A.; Kumar, N. S.; Lalwani, S.; Januszewski, A.; Conibear, J.; Jain, A.; Cortellini, A.; Passaro, A.; Addeo, A.; Noronha, V.; Banna, G. L.; Boussios, S.</t>
  </si>
  <si>
    <t>Ghose, A (corresponding author), OncoFlowTM, London, England.; Ghose, A (corresponding author), Queen Mary Univ London, Barts Canc Inst, London, England.; Ghose, A (corresponding author), Barts Hlth NHS Trust, St Bartholomews Hosp, Barts Canc Ctr, London EC1A 7BE, England.; Ghose, A (corresponding author), European Canc Org, Hlth Syst &amp; Treatment Optimisat Network, Brussels, Belgium.; Ghose, A (corresponding author), Medway NHS Fdn Trust, Dept Res &amp; Innovat, Med Oncol, Gillingham, England.; Ghose, A (corresponding author), European Canc Org, Hlth Syst &amp; Treatment Optimisat Network, Brussels, Belgium.; Ghose, A (corresponding author), Royal Soc Med, Oncol Council, London, England.</t>
  </si>
  <si>
    <t>aruni.ghose1@gmail.com</t>
  </si>
  <si>
    <t>[Howard, H. R.] UCL, Canc Inst, London, England; [Hasanova, M.] UCL, Div Biosci, London, England; [Hasanova, M.; Ghose, A.] OncoFlowTM, London, England; [Tiwari, A.] Princess Alexandra Hosp NHS Trust, Canc Serv, Harlow, England; [Tiwari, A.; Ghose, A.; Chauhan, V.; Lalwani, S.; Januszewski, A.; Conibear, J.] Queen Mary Univ London, Barts Canc Inst, London, England; [Ghose, A.; Lalwani, S.; Januszewski, A.; Conibear, J.] Barts Hlth NHS Trust, St Bartholomews Hosp, Barts Canc Ctr, London EC1A 7BE, England; [Ghose, A.; Boussios, S.] Medway NHS Fdn Trust, Dept Res &amp; Innovat, Gillingham, England; [Ghose, A.] European Canc Org, Hlth Syst &amp; Treatment Optimisat Network, Brussels, Belgium; [Winayak, R.] Maidstone &amp; Tunbridge Wells NHS Trust, Kent Oncol Ctr, Maidstone, England; [Nahar, T.] Queens Univ, Sch Med Dent &amp; Biomed Sci, Belfast, North Ireland; [Chauhan, V.] NHS Lothian, Royal Infirm Edinburgh, Dept Gen Internal Med, Edinburgh, Scotland; [Arun, S.] Queen Mary Univ London, Wolfson Inst Populat Hlth, Ctr Canc Screening Prevent &amp; Early Diag, London, England; [Palmer, K.] Univ Coll London Hosp NHS Fdn Trust, Dept Clin Oncol, London, England; [Houston, A.] Barts Hlth NHS Trust, Barts Life Sci, London, England; [Houston, A.] Queen Mary Univ London, Digital Environm Res Inst, London, England; [Kumar, N. S.] Univ Leicester, Coll Life Sci, Leicester, England; [Kumar, N. S.] Natl Med Res Assoc, London, England; [Jain, A.] Indraprastha Apollo Hosp, Apollo Canc Ctr, New Delhi, India; [Jain, A.] Royal Wolverhampton NHS Trust, New Cross Hosp, Deanesly Ctr Canc Serv, Wolverhampton, England; [Cortellini, A.] Fdn Policlin Univ Campus Biomed, Operat Res Unit Med Oncol, Rome, Italy; [Cortellini, A.] Univ Campus Biomed Roma, Dept Med &amp; Surg, Rome, Italy; [Cortellini, A.] Imperial Coll London, Dept Surg &amp; Canc, Hammersmith Hosp Campus, London, England; [Passaro, A.] European Inst Oncol IRCCS, Div Thorac Oncol, Milan, Italy; [Addeo, A.] Geneva Univ Hosp, Oncol Serv, Geneva, Switzerland; [Noronha, V.] Tata Mem Hosp, Homi Bhabha Natl Inst, Dept Med Oncol, Mumbai, India; [Banna, G. L.] Portsmouth Hosp Univ NHS Trust, Dept Med Oncol, Portsmouth, England; [Banna, G. L.] Univ Portsmouth, Fac Sci &amp; Hlth, Sch Pharm &amp; Biomed Sci, Portsmouth, England; [Boussios, S.] Ioannina Univ Hosp, Dept Med Oncol, Ioannina, Greece; [Boussios, S.] Univ Ioannina, Fac Med, Sch Hlth Sci, Ioannina, Greece; [Boussios, S.] AELIA Org, Thessaloniki, Greece; [Boussios, S.] Univ Kent, Kent &amp; Medway Med Sch, Canterbury, England; [Boussios, S.] Canterbury Christ Church Univ, Fac Med Hlth &amp; Social Care, Canterbury, England; [Boussios, S.] Kings Coll London, Fac Life Sci &amp; Med, Sch Canc &amp; Pharmaceut Sci, London, England; [Ghose, A.] Barts Hlth NHS Trust, Barts Canc Ctr, St Bartholomews Hosp, London EC1A 7BE, England</t>
  </si>
  <si>
    <t>University of London; University College London; University of London; University College London; Princess Alexandra Hospital NHS Trust; University of London; Queen Mary University London; Barts Health NHS Trust; University of London; Queen Mary University London; Queens University Belfast; Royal Infirmary of Edinburgh; University of London; Queen Mary University London; University of London; University College London Hospitals NHS Foundation Trust; University College London; Barts Health NHS Trust; University of London; Queen Mary University London; University of Leicester; New Cross Hospital; Fondazione Policlinico Universitario Campus Bio-Medico; University Campus Bio-Medico - Rome Italy; Imperial College London; IRCCS European Institute of Oncology (IEO); University of Geneva; Tata Memorial Centre (TMC); Homi Bhabha National Institute; Tata Memorial Hospital; University of Portsmouth; University Hospital Ioannina; University of Ioannina; University of Kent; Canterbury Christ Church University; University of London; King's College London; Barts Health NHS Trust; University of London; Queen Mary University London</t>
  </si>
  <si>
    <t>The landscape of conventional and artificial intelligence-based clinical prediction models in non-small-cell lung cancer: from development to real-world validation</t>
  </si>
  <si>
    <t>ESMO OPEN</t>
  </si>
  <si>
    <t>clinical prediction; predictive model; lung cancer; cancer prognosis; artificial intelligence; NSCLC</t>
  </si>
  <si>
    <t>TO-LYMPHOCYTE RATIO; TNM CLASSIFICATION; PROGNOSTIC-FACTORS; SURVIVAL; IMPACT; MULTICENTER; BIOMARKERS; PROPOSALS; SIGNATURE; EDITION</t>
  </si>
  <si>
    <t>Cortellini, Alessio/AAB-8609-2019; Banna, Giuseppe/AEN-7940-2022; Boussios, Stergios/AAH-2933-2019; Addeo, Alfredo/AAE-2064-2020</t>
  </si>
  <si>
    <t>GHOSE, ARUNI/0000-0001-8332-8033; Kukreja, Niraj/0000-0003-1843-0028; Houston, Anew/0000-0001-9973-3818; Nahar, Tulika/0000-0001-8766-1765; Boussios, Stergios/0000-0002-2512-6131; Howard, Harriet Rose/0009-0000-0963-8471; Palmer, Kieran/0000-0003-3710-1588; Winayak, Rahul/0009-0005-7952-9904</t>
  </si>
  <si>
    <t>2059-7029</t>
  </si>
  <si>
    <t>ESMO Open</t>
  </si>
  <si>
    <t>SEP 2025</t>
  </si>
  <si>
    <t>105557</t>
  </si>
  <si>
    <t>10.1016/j.esmoop.2025.105557</t>
  </si>
  <si>
    <t>http://dx.doi.org/10.1016/j.esmoop.2025.105557</t>
  </si>
  <si>
    <t>8EQ8O</t>
  </si>
  <si>
    <t>40840236</t>
  </si>
  <si>
    <t>WOS:001586862100001</t>
  </si>
  <si>
    <t>Lim, SMS; Wong, PL; Sulaiman, H; Atiya, N; Shunmugam, RH; Liew, SM</t>
  </si>
  <si>
    <t>Background: beta-Lactamase resistance among certain Gram-negative bacteria has been associated with increased mortality, length of hospitalization, and hospital costs.Aim: To identify and critically appraise existing clinical prediction models of extended-spectrum beta-lactamase-producing Enterobacteriaceae (ESBL-EKP) infection or colonization.Methods: Electronic databases, reference lists, and citations were searched from inception to April 2018. Papers were included in any language describing the development or validation, or both, of models and scores to predict the risk of ESBL-EKP infection or colonization.Findings: In all, 1795 references were screened, of which four articles were included in the review. The included studies were carried out in different geographical locations with differing study designs, and inclusion and exclusion criteria. Most if not all studies lacked external validation and blinding of reviewers during the evaluation of the predictor variables and outcome. All studies excluded missing data and most studies did not report the number of patients excluded due to missing data. Fifteen predictors of infection or colonization with ESBL-EKP were identified. Commonly included predictors were previous antibiotic use, previous hospitalization, transfer from another healthcare facility, and previous procedures (urinary catheterization and invasive procedures).Conclusion: Due to limitations and variations in the study design, clinicians would have to take these differences into consideration when deciding on how to use these models in clinical practice. Due to lack of external validation, the generalizability of these models remains a question. Therefore, further external validation in local settings is needed to confirm the usefulness of these models in supporting decision-making. (C) 2019 The Healthcare Infection Society. Published by Elsevier Ltd. All rights reserved.</t>
  </si>
  <si>
    <t>Lim, S. Mohd Sazlly; Wong, P. L.; Sulaiman, H.; Atiya, N.; Shunmugam, R. Hisham; Liew, S. M.</t>
  </si>
  <si>
    <t>Lim, SMS (corresponding author), Univ Putra Malaysia, Dept Med, Fac Med &amp; Hlth Sci, Serdang 434000, Selangor, Malaysia.</t>
  </si>
  <si>
    <t>sazlyna@upm.edu.my</t>
  </si>
  <si>
    <t>[Lim, S. Mohd Sazlly] Univ Putra Malaysia, Dept Med, Fac Med &amp; Hlth Sci, Serdang 434000, Selangor, Malaysia; [Wong, P. L.; Sulaiman, H.] Univ Malaya, Dept Med, Fac Med, Infect Dis Unit, Jalan Univ, Kuala Lumpur, Malaysia; [Atiya, N.] Univ Malaya, Fac Med, Dept Med Microbiol, Jalan Univ, Kuala Lumpur, Malaysia; [Shunmugam, R. Hisham] Univ Malaya, Univ Malaya Lib, Jalan Univ, Kuala Lumpur, Malaysia; [Liew, S. M.] Univ Malaya, Dept Primary Care Med, Fac Med, Jalan Univ, Kuala Lumpur, Malaysia</t>
  </si>
  <si>
    <t>Universiti Putra Malaysia; Universiti Malaya; Universiti Malaya; Universiti Malaya; Universiti Malaya</t>
  </si>
  <si>
    <t>Clinical prediction models for ESBL-Enterobacteriaceae colonization or infection: a systematic review</t>
  </si>
  <si>
    <t>JOURNAL OF HOSPITAL INFECTION</t>
  </si>
  <si>
    <t>ESBL; Extended-spectrum beta-lactamases score; Prediction; Risk stratification</t>
  </si>
  <si>
    <t>LACTAMASE-PRODUCING ENTEROBACTERIACEAE; ESCHERICHIA-COLI; ECONOMIC-IMPACT; BACTEREMIA; MORTALITY; COSTS</t>
  </si>
  <si>
    <t>Liew, Su May/B-8852-2010; Atiya, Nadia/HJA-9420-2022; /AAN-3407-2021; Wong, Pui Li/PFR-3777-2026; hisham, ranita/F-5073-2011; Sulaiman, Helmi/GOV-4850-2022</t>
  </si>
  <si>
    <t>Liew, Su May/0000-0003-2865-7955; Atiya, Nadia/0000-0002-2547-4996; hisham, ranita/0000-0002-3356-2291; Sulaiman, Helmi/0000-0001-7541-6615</t>
  </si>
  <si>
    <t>W B SAUNDERS CO LTD</t>
  </si>
  <si>
    <t>32 JAMESTOWN RD, LONDON NW1 7BY, ENGLAND</t>
  </si>
  <si>
    <t>0195-6701</t>
  </si>
  <si>
    <t>1532-2939</t>
  </si>
  <si>
    <t>J HOSP INFECT</t>
  </si>
  <si>
    <t>J. Hosp. Infect.</t>
  </si>
  <si>
    <t>MAY 2019</t>
  </si>
  <si>
    <t>10.1016/j.jhin.2019.01.012</t>
  </si>
  <si>
    <t>http://dx.doi.org/10.1016/j.jhin.2019.01.012</t>
  </si>
  <si>
    <t>Public, Environmental &amp; Occupational Health; Infectious Diseases</t>
  </si>
  <si>
    <t>HU4ZQ</t>
  </si>
  <si>
    <t>30653999</t>
  </si>
  <si>
    <t>WOS:000465285500002</t>
  </si>
  <si>
    <t>Koca, O; Eskazan, AE</t>
  </si>
  <si>
    <t>Classical Hodgkin lymphoma (cHL) is a haematological malignancy with high curability; however, prognosis varies significantly based on clinical and biological factors. To enhance risk stratification, several clinical prediction models have been developed over time, particularly for advanced-stage cHL. The International Prognostic Score (IPS), introduced in 1998, was the first widely adopted model, later refined in 2012 (updated IPS) and further simplified in 2015 (IPS-3). Despite their prognostic utility, these models have demonstrated declining predictive performance due to advancements in cHL treatment. In response, the HoLISTIC consortium recently introduced the Advanced-Stage Hodgkin Lymphoma International Prognostic Index (A-HIPI) in 2023. Unlike previous models, A-HIPI incorporates continuous variables, aiming to provide a more precise risk assessment. However, its applicability to older patients remains uncertain, necessitating further validation studies. Additionally, none of the existing models incorporate dynamic treatment response markers such as interim positron emission tomography/computed tomography (PET/CT), which have shown strong prognostic value. This review comprehensively discusses the evolution, strengths and limitations of these prediction models, their clinical implications and the necessity for future refinements integrating dynamic biomarkers and treatment response indicators. The integration of machine learning and multi-omics approaches could further enhance risk stratification, improve treatment personalization and optimize patient outcomes in cHL.</t>
  </si>
  <si>
    <t>Koca, Oguzhan; Eskazan, Ahmet Emre</t>
  </si>
  <si>
    <t>Koca, O (corresponding author), Istanbul Univ Cerrahpasa, Cerrahpasa Fac Med, Dept Internal Med, Istanbul, Turkiye.; Koca, O (corresponding author), Imperial Coll London, Fac Med, Dept Immunol &amp; Inflammat, London, England.</t>
  </si>
  <si>
    <t>ok124@ic.ac.uk</t>
  </si>
  <si>
    <t>[Koca, Oguzhan] Istanbul Univ Cerrahpasa, Cerrahpasa Fac Med, Dept Internal Med, Istanbul, Turkiye; [Koca, Oguzhan] Imperial Coll London, Fac Med, Dept Immunol &amp; Inflammat, London, England; [Eskazan, Ahmet Emre] Istanbul Univ Cerrahpasa, Cerrahpasa Fac Med, Dept Internal Med, Div Hematol, Istanbul, Turkiye</t>
  </si>
  <si>
    <t>Istanbul University - Cerrahpasa; Istanbul University; Imperial College London; Istanbul University; Istanbul University - Cerrahpasa</t>
  </si>
  <si>
    <t>Refining the risk stratification in advanced-stage classical Hodgkin lymphoma: A critical analysis of clinical prediction models</t>
  </si>
  <si>
    <t>BRITISH JOURNAL OF HAEMATOLOGY</t>
  </si>
  <si>
    <t>A-HIPI; Hodgkin lymphoma; IPS; prediction model; prognosis</t>
  </si>
  <si>
    <t>TUMOR-ASSOCIATED MACROPHAGES; INTERNATIONAL PROGNOSTIC SCORE; VALIDATION; SURVIVAL; OUTCOMES</t>
  </si>
  <si>
    <t>Eşkazan, Ahmet Emre/B-8278-2015; Koca, Oguzhan/HHC-2629-2022</t>
  </si>
  <si>
    <t>Eşkazan, Ahmet Emre/0000-0001-9568-0894; Koca, Oguzhan/0000-0003-1239-3246</t>
  </si>
  <si>
    <t>0007-1048</t>
  </si>
  <si>
    <t>1365-2141</t>
  </si>
  <si>
    <t>BRIT J HAEMATOL</t>
  </si>
  <si>
    <t>Br. J. Haematol.</t>
  </si>
  <si>
    <t>NOV 2025</t>
  </si>
  <si>
    <t>207</t>
  </si>
  <si>
    <t>1744</t>
  </si>
  <si>
    <t>1754</t>
  </si>
  <si>
    <t>10.1111/bjh.70115</t>
  </si>
  <si>
    <t>http://dx.doi.org/10.1111/bjh.70115</t>
  </si>
  <si>
    <t>A4320</t>
  </si>
  <si>
    <t>40843643</t>
  </si>
  <si>
    <t>WOS:001554843900001</t>
  </si>
  <si>
    <t>Colunga-Lozano, LE; Foroutan, F; Rayner, D; De Luca, C; Hernández-Wolters, B; Couban, R; Ibrahim, Q; Guyatt, G</t>
  </si>
  <si>
    <t>Objectives: To systematically review the comparative statistical performance (discrimination and/or calibration) of prognostic clinical prediction models (CPMs) and clinical judgment (CJ). Study Design and Setting: We conducted a systematic review of observational studies in PubMed, Medline, Embase, and CINAHL. Eligible studies reported direct statistical comparison between prognostic CPMs and CJ. Risk of bias was assessed using the Prediction model Risk Of Bias ASsessment tool.Results: We identified 41 studies, most with high risk of bias (39 studies). Of these, 41 studies, 39 examined discrimination, and 12 studies assessed calibration. Prognostic CPMs had a median area under the receiver operating characteristic curve of 0.73 (interquartile range, 0.62-0.81), while CJ had a median area under the receiver operating characteristic curve of 0.71 (interquartile range, 0.62-0.81). Twenty nine studies provided 124 discrimination metrics useful for comparative analysis. Among these, 58 (46.7%) found no significant difference between prognostic CPMs and CJ (P O 0.05); 31 (25%) favored prognostic CPMs and 35 (28.2%) favored CJ. Four studies compared calibration, showing better performance on prognostic CPMs.Conclusion: In many instances, CJ frequently demonstrates comparable or superior discrimination compared to prognostic CPMs, although models outperform CJ on calibration. Studies comparing performance of prognostic CPMs and CJ require large improvements in reporting. (c) 2023 Elsevier Inc. All rights reserved.</t>
  </si>
  <si>
    <t>Colunga-Lozano, Luis Enrique; Foroutan, Farid; Rayner, Daniel; De Luca, Christopher; Hernandez-Wolters, Benjamin; Couban, Rachel; Ibrahim, Quazi; Guyatt, Gordon</t>
  </si>
  <si>
    <t>Colunga-Lozano, LE (corresponding author), Univ Hlth Ctr Sci, Univ Guadalajara, Dept Clin Med, Sierra Mojada St,950 Independencia Oriente Sect, Guadalajara 44340, Jalisco, Mexico.</t>
  </si>
  <si>
    <t>dr.colunga.lozano@gmail.com</t>
  </si>
  <si>
    <t>Einstein Foundation Berlin as part of the Einstein Foundation Award for Promoting Quality in Research</t>
  </si>
  <si>
    <t>This project was supported by the Einstein Foundation Berlin as part of the Einstein Foundation Award for Promoting Quality in Research. The contents are those of the author (s) and do not necessarily represent the official views of, nor an endorsement by, the Einstein Foundation or the award jury.</t>
  </si>
  <si>
    <t>[Colunga-Lozano, Luis Enrique] Univ Guadalajara, Hlth Sci Ctr, Dept Clin Med, Guadalajara, Jalisco, Mexico; [Colunga-Lozano, Luis Enrique; Foroutan, Farid; Rayner, Daniel; Couban, Rachel; Ibrahim, Quazi; Guyatt, Gordon] McMaster Univ, Dept Hlth Res Methods Evidence &amp; Impact, Hamilton, ON, Canada; [De Luca, Christopher] Univ Western Ontario, Schulich Sch Med &amp; Dent, Fac Hlth Sci, London, ON, Canada; [Hernandez-Wolters, Benjamin] Univ Guadalajara, Hlth Sci Ctr, Guadalajara, Jalisco, Mexico; [Colunga-Lozano, Luis Enrique] Univ Hlth Ctr Sci, Univ Guadalajara, Dept Clin Med, Sierra Mojada St,950 Independencia Oriente Sect, Guadalajara 44340, Jalisco, Mexico</t>
  </si>
  <si>
    <t>Universidad de Guadalajara; McMaster University; Western University (University of Western Ontario); Universidad de Guadalajara; Universidad de Guadalajara</t>
  </si>
  <si>
    <t>Clinical judgment shows similar and sometimes superior discrimination compared to prognostic clinical prediction models: a systematic review</t>
  </si>
  <si>
    <t>Clinical decision rules; Systematic review; Prognosis; Clinical reasoning; Area under curve; Calibration</t>
  </si>
  <si>
    <t>INTENSIVE-CARE-UNIT; STATISTICAL-MODEL; RISK; SCORE; PHYSICIANS; MORTALITY; ACCURACY; ALGORITHMS; INTUITION; SURVIVAL</t>
  </si>
  <si>
    <t>Colunga-Lozano, Luis Enrique/AAD-6850-2022; Couban, Rachel/AAV-1568-2021; Guyatt, Gordon/ACB-1302-2022</t>
  </si>
  <si>
    <t>Foroutan, Farid/0000-0002-1029-1812; Colunga-Lozano, Luis Enrique/0000-0001-7737-4914; Couban, Rachel/0000-0001-8672-2845; De Luca, Christopher/0000-0001-6366-4451; Rayner, Daniel/0000-0001-6699-3090; Ibrahim, Quazi/0000-0001-9302-0884</t>
  </si>
  <si>
    <t>JAN 2024</t>
  </si>
  <si>
    <t>165</t>
  </si>
  <si>
    <t>111200</t>
  </si>
  <si>
    <t>10.1016/j.jclinepi.2023.10.016</t>
  </si>
  <si>
    <t>http://dx.doi.org/10.1016/j.jclinepi.2023.10.016</t>
  </si>
  <si>
    <t>DC5S3</t>
  </si>
  <si>
    <t>39492557</t>
  </si>
  <si>
    <t>WOS:001129852100001</t>
  </si>
  <si>
    <t>Strandberg, R; Jepsen, P; Hagström, H</t>
  </si>
  <si>
    <t>Prediction models are everywhere in clinical medicine. We use them to assign a diagnosis or a prognosis, and there have been continuous efforts to develop better prediction models. It is important to understand the fundamentals of prediction modelling, thus, we herein describe nine steps to develop and validate a clinical prediction model with the intention of implementing it in clinical practice: Determine if there is a need for a new prediction model; define the purpose and intended use of the model; assess the quality and quantity of the data you wish to develop the model on; develop the model using sound statistical methods; generate risk predictions on the probability scale (0-100%); evaluate the performance of the model in terms of discrimination, calibration, and clinical utility; validate the model using bootstrapping to correct for the apparent optimism in performance; validate the model on external datasets to assess the generalisability and transportability of the model; and finally publish the model so that it can be implemented or validated by others. (c) 2024 The Author(s). Published by Elsevier B.V. on behalf of European Association for the Study of the Liver. This is an open access article under the CC BY license (http://creativecommons.org/licenses/by/4.0/).</t>
  </si>
  <si>
    <t>Strandberg, Rickard; Jepsen, Peter; Hagstrom, Hannes</t>
  </si>
  <si>
    <t>Strandberg, R (corresponding author), Karolinska Univ Hosp, Div Hepatol, C1 77, S-14186 Stockholm, Sweden.</t>
  </si>
  <si>
    <t>rickard.strandberg@ki.se</t>
  </si>
  <si>
    <t>Novo Nordisk Foundation [NNF19OC0054612]; Astra Zeneca; EchoSens; Gilead; Intercept; MSD; Novo Nordisk; Pfizer</t>
  </si>
  <si>
    <t>Novo Nordisk Foundation (Novo Nordisk Foundation); Astra Zeneca (AstraZeneca); EchoSens; Gilead (Gilead Sciences); Intercept; MSD; Novo Nordisk (Novo Nordisk, Novo Nordisk Foundation); Pfizer (Pfizer)</t>
  </si>
  <si>
    <t>Conflicts of interest PJ's research is supported by a grant from the Novo Nordisk Foundation (NNF19OC0054612). HH:s institutions have received research funding from Astra Zeneca, EchoSens, Gilead, Intercept, MSD, Novo Nordisk and Pfizer. He has served as consultant or on advisory boards for Astra Zeneca, Bristol Myers-Squibb, MSD and Novo Nordisk and has been part of hepatic events adjudication committees for Boehringer Ingelheim, KOWA and GW Pharma. All unrelated to the current manuscript.Please refer to the accompanying ICMJE disclosure forms for further details.</t>
  </si>
  <si>
    <t>[Strandberg, Rickard; Hagstrom, Hannes] Karolinska Inst, Dept Med, Stockholm, Sweden; [Jepsen, Peter] Aarhus Univ Hosp, Dept Hepatol &amp; Gastroenterol, Aarhus, Denmark; [Jepsen, Peter] Aarhus Univ Hosp, Dept Clin Epidemiol, Aarhus, Denmark; [Hagstrom, Hannes] Karolinska Univ Hosp, Dept Upper GI, Div Hepatol, Stockholm, Sweden</t>
  </si>
  <si>
    <t>Karolinska Institutet; Aarhus University; Aarhus University; Karolinska Institutet; Karolinska University Hospital</t>
  </si>
  <si>
    <t>Developing and validating clinical prediction models in hepatology - An overview for clinicians</t>
  </si>
  <si>
    <t>JOURNAL OF HEPATOLOGY</t>
  </si>
  <si>
    <t>Diagnosis; Prognosis; Hepatology; Modeling; Prediction; Discrimination; Calibration; Validation; Utility</t>
  </si>
  <si>
    <t>PROPORTIONAL-HAZARDS; PROGNOSTIC MODELS; LIVER-DISEASE; REGRESSION; CALIBRATION; DIAGNOSIS; SURVIVAL; LASSO</t>
  </si>
  <si>
    <t>Hagström, Hannes/I-2036-2019</t>
  </si>
  <si>
    <t>Jepsen, Peter/0000-0002-6641-1430; Hagström, Hannes/0000-0002-8474-1759</t>
  </si>
  <si>
    <t>32</t>
  </si>
  <si>
    <t>0168-8278</t>
  </si>
  <si>
    <t>1600-0641</t>
  </si>
  <si>
    <t>J HEPATOL</t>
  </si>
  <si>
    <t>J. Hepatol.</t>
  </si>
  <si>
    <t>149</t>
  </si>
  <si>
    <t>162</t>
  </si>
  <si>
    <t>10.1016/j.jhep.2024.03.030</t>
  </si>
  <si>
    <t>http://dx.doi.org/10.1016/j.jhep.2024.03.030</t>
  </si>
  <si>
    <t>D1G7M</t>
  </si>
  <si>
    <t>38531493</t>
  </si>
  <si>
    <t>WOS:001293745500001</t>
  </si>
  <si>
    <t>Papadomanolakis-Pakis, N; Uhrbrand, P; Haroutounian, S; Nikolajsen, L</t>
  </si>
  <si>
    <t>Chronic postsurgical pain (CPSP) affects an estimated 10% to 50% of adults depending on the type of surgical procedure. Clinical prediction models can help clinicians target preventive strategies towards patients at high risk for CPSP. Therefore, the objective of this systematic review was to identify and describe existing prediction models for CPSP in adults. A systematic search was performed in MEDLINE, Embase, PsychINFO, and the Cochrane Database of Systematic Reviews in March 2020 for English peer-reviewed studies that used data collected between 2000 and 2020. Studies that developed, validated, or updated a prediction model in adult patients who underwent any surgical procedure were included. Two reviewers independently screened titles, abstracts, and full texts for eligibility; extracted data; and assessed risk of bias using the Prediction model Risk of Bias Assessment Tool. The search identified 2037 records; 28 articles were reviewed in full text. Fifteen studies reporting on 19 prediction models were included; all were at high risk of bias. Model discrimination, measured by the area under receiver operating curves or c-statistic, ranged from 0.690 to 0.816. The most common predictors identified in final prediction models included preoperative pain in the surgical area, preoperative pain in other areas, age, sex or gender, and acute postsurgical pain. Clinical prediction models may support prevention and management of CPSP, but existing models are at high risk of bias that affects their reliability to inform practice and generalizability to wider populations. Adherence to standardized guidelines for clinical prediction model development is necessary to derive a prediction model of value to clinicians.</t>
  </si>
  <si>
    <t>Papadomanolakis-Pakis, Nicholas; Uhrbrand, Peter; Haroutounian, Simon; Nikolajsen, Lone</t>
  </si>
  <si>
    <t>Papadomanolakis-Pakis, N (corresponding author), Aarhus Univ, Dept Clin Med, Aarhus Univ Hosp, Denmark Res C319,Palle Juul Jensens Blvd 99, DK-8200 Aarhus N, Denmark.</t>
  </si>
  <si>
    <t>nicholas.pakis@clin.au.dk</t>
  </si>
  <si>
    <t>Department of Clinical Medicine at Aarhus University</t>
  </si>
  <si>
    <t>Acknowledgement of technical help. The authors thank Aarhus University Librarian, Karen Rodriguez Sigaard, for assisting with the development of our database search strategy. This research was funded by the Department of Clinical Medicine at Aarhus University in the form of PhD salary for N. PapadomanolakisPakis.</t>
  </si>
  <si>
    <t>[Papadomanolakis-Pakis, Nicholas; Uhrbrand, Peter; Nikolajsen, Lone] Aarhus Univ, Dept Clin Med, Aarhus, Denmark; [Haroutounian, Simon] Washington Univ, Dept Anesthesiol, Sch Med St Louis, St Louis, MO USA; [Nikolajsen, Lone] Aarhus Univ Hosp, Dept Anaesthesiol &amp; Intens Care, Aarhus, Denmark</t>
  </si>
  <si>
    <t>Aarhus University; Washington University (WUSTL); Saint Louis University; Aarhus University</t>
  </si>
  <si>
    <t>Prognostic prediction models for chronic postsurgical pain in adults: a systematic review</t>
  </si>
  <si>
    <t>PAIN</t>
  </si>
  <si>
    <t>Systematic review; Chronic postsurgical pain; Chronic; Post; Surgical; Pain; Surgery; Clinical; Risk prediction; Prediction; Prognostic; Models; Prognosis; Postoperative pain; Model development; Validation; Adults</t>
  </si>
  <si>
    <t>INGUINAL-HERNIA REPAIR; NUMERIC RATING-SCALE; PERSISTENT PAIN; POSTOPERATIVE PAIN; RISK-FACTORS; SAMPLE-SIZE; EXTERNAL VALIDATION; BACK-PAIN; SURGERY; CANCER</t>
  </si>
  <si>
    <t>Papadomanolakis-Pakis, Nicholas/AAC-4569-2021</t>
  </si>
  <si>
    <t>Haroutounian, Simon/0000-0003-2231-5452; Papadomanolakis-Pakis, Nicholas/0000-0002-9624-6552; Nikolajsen, Lone/0000-0002-2705-7088</t>
  </si>
  <si>
    <t>109</t>
  </si>
  <si>
    <t>74</t>
  </si>
  <si>
    <t>88</t>
  </si>
  <si>
    <t>0304-3959</t>
  </si>
  <si>
    <t>1872-6623</t>
  </si>
  <si>
    <t>Pain</t>
  </si>
  <si>
    <t>NOV 2021</t>
  </si>
  <si>
    <t>2644</t>
  </si>
  <si>
    <t>2657</t>
  </si>
  <si>
    <t>10.1097/j.pain.0000000000002261</t>
  </si>
  <si>
    <t>http://dx.doi.org/10.1097/j.pain.0000000000002261</t>
  </si>
  <si>
    <t>Anesthesiology; Clinical Neurology; Neurosciences</t>
  </si>
  <si>
    <t>WH0ZL</t>
  </si>
  <si>
    <t>34652320</t>
  </si>
  <si>
    <t>WOS:000707417300006</t>
  </si>
  <si>
    <t>Shao, YB; Zhang, H; Shi, Q; Wang, YJ; Liang, QQ</t>
  </si>
  <si>
    <t>Rheumatoid arthritis (RA) is a chronic, systemic, autoimmune disease of unknown etiology with erosive, symmetric polyarthritis as the main clinical manifestations. Its basic pathological changes are the formation of synovitis, and patients gradually develop destruction of articular cartilage destruction and bone erosion, which eventually leads to joint deformity, disability, and various extra-articular manifestations. Clinical prediction models (CPMs), also known as risk prediction models or risk scores, are mathematical formulas used to estimate the probability that a given individual will have a disease or an outcome in the future. The models are mainly divided into two categories: diagnostic models and prognostic models, which can be used to provide information on disease diagnosis or prognosis to help make better medical decisions. Currently, there is no cure for RA, but effective early diagnosis and treatment are crucial for limiting the severity of the disease and preventing the occurrence and development of complications. This paper reviews the CPMs associated with RA and its related complications, including cardiovascular disease (CVD) and interstitial lung disease (ILD), in order to provide reference and evidence for the early diagnosis and treatment of these diseases and personalized medicine for patients. In addition, the possible pathogenesis and risk factors of these comorbidities are summarized, and possible directions for future related research are prospected.</t>
  </si>
  <si>
    <t>Shao, Yubo; Zhang, Hong; Shi, Qi; Wang, Yongjun; Liang, Qianqian</t>
  </si>
  <si>
    <t>Wang, YJ; Liang, QQ (corresponding author), Shanghai Univ Tradit Chinese Med, Longhua Hosp, Shanghai 200032, Peoples R China.; Wang, YJ; Liang, QQ (corresponding author), Shanghai Univ Tradit Chinese Med, Spine Inst, Shanghai 200032, Peoples R China.; Wang, YJ; Liang, QQ (corresponding author), Shanghai Univ Tradit Chinese Med, Key Lab Minist Educ Theory &amp; Therapy Muscles &amp; Bon, Shanghai 200032, Peoples R China.</t>
  </si>
  <si>
    <t>yjwang8888@126.com; Liangqianqian@shutcm.edu.cn</t>
  </si>
  <si>
    <t>Not applicable.</t>
  </si>
  <si>
    <t>[Shao, Yubo; Zhang, Hong; Shi, Qi; Wang, Yongjun; Liang, Qianqian] Shanghai Univ Tradit Chinese Med, Longhua Hosp, Shanghai 200032, Peoples R China; [Shao, Yubo; Zhang, Hong; Shi, Qi; Wang, Yongjun; Liang, Qianqian] Shanghai Univ Tradit Chinese Med, Spine Inst, Shanghai 200032, Peoples R China; [Shao, Yubo] Shanghai Univ Tradit Chinese Med, Sch Grad, Shanghai 201203, Peoples R China; [Shao, Yubo; Zhang, Hong; Shi, Qi; Wang, Yongjun; Liang, Qianqian] Shanghai Univ Tradit Chinese Med, Key Lab Minist Educ Theory &amp; Therapy Muscles &amp; Bon, Shanghai 200032, Peoples R China</t>
  </si>
  <si>
    <t>Clinical prediction models of rheumatoid arthritis and its complications: focus on cardiovascular disease and interstitial lung disease</t>
  </si>
  <si>
    <t>ARTHRITIS RESEARCH &amp; THERAPY</t>
  </si>
  <si>
    <t>Rheumatoid arthritis; Cardiovascular disease; Interstitial lung disease; Prediction models; Pathogenesis</t>
  </si>
  <si>
    <t>ENDOTHELIAL FUNCTION; GENETIC RISK; METHOTREXATE; INFLAMMATION; EFFICACY; DIFFERENTIATION; VALIDATION; MANAGEMENT; REMISSION; RITUXIMAB</t>
  </si>
  <si>
    <t>wang, ying/L-2593-2018; Shao, Yubo/MYV-5974-2025; Liang, Qianqian/AFO-7779-2022; Zhang, Hong/AAE-2671-2022</t>
  </si>
  <si>
    <t>91</t>
  </si>
  <si>
    <t>1478-6354</t>
  </si>
  <si>
    <t>1478-6362</t>
  </si>
  <si>
    <t>ARTHRITIS RES THER</t>
  </si>
  <si>
    <t>Arthritis Res. Ther.</t>
  </si>
  <si>
    <t>SEP 1 2023</t>
  </si>
  <si>
    <t>159</t>
  </si>
  <si>
    <t>10.1186/s13075-023-03140-5</t>
  </si>
  <si>
    <t>http://dx.doi.org/10.1186/s13075-023-03140-5</t>
  </si>
  <si>
    <t>Q3DE1</t>
  </si>
  <si>
    <t>37658422</t>
  </si>
  <si>
    <t>WOS:001056344000001</t>
  </si>
  <si>
    <t>Studerus, E; Ramyead, A; Riecher-Rössler, A</t>
  </si>
  <si>
    <t>Background. To enhance indicated prevention in patients with a clinical high risk (CHR) for psychosis, recent research efforts have been increasingly directed towards estimating the risk of developing psychosis on an individual level using multivariable clinical prediction models. The aim of this study was to systematically review the methodological quality and reporting of studies developing or validating such models.Method. A systematic literature search was carried out (up to 14 March 2016) to find all studies that developed or validated a clinical prediction model predicting the transition to psychosis in CHR patients. Data were extracted using a comprehensive item list which was based on current methodological recommendations.Results. A total of 91 studies met the inclusion criteria. None of the retrieved studies performed a true external validation of an existing model. Only three studies (3.5%) had an event per variable ratio of at least 10, which is the recommended minimum to avoid overfitting. Internal validation was performed in only 14 studies (15%) and seven of these used biased internal validation strategies. Other frequently observed modeling approaches not recommended by methodologists included univariable screening of candidate predictors, stepwise variable selection, categorization of continuous variables, and poor handling and reporting of missing data.Conclusions. Our systematic review revealed that poor methods and reporting are widespread in prediction of psychosis research. Since most studies relied on small sample sizes, did not perform internal or external cross-validation, and used poor model development strategies, most published models are probably overfitted and their reported predictive accuracy is likely to be overoptimistic.</t>
  </si>
  <si>
    <t>Studerus, E.; Ramyead, A.; Riecher-Rossler, A.</t>
  </si>
  <si>
    <t>Riecher-Rössler, A (corresponding author), Univ Basel, Psychiat Clin, Ctr Gender Res &amp; Early Detect, Kornhausgasse 7, CH-4051 Basel, Switzerland.</t>
  </si>
  <si>
    <t>anita.riecher@upkbs.ch</t>
  </si>
  <si>
    <t>Swiss National Science Foundation [P2BSP3-165392]; Swiss National Science Foundation (SNF) [P2BSP3_165392] Funding Source: Swiss National Science Foundation (SNF)</t>
  </si>
  <si>
    <t>Swiss National Science Foundation (Swiss National Science Foundation (SNSF)); Swiss National Science Foundation (SNF) (Swiss National Science Foundation (SNSF))</t>
  </si>
  <si>
    <t>This work was supported by the Swiss National Science Foundation (P2BSP3-165392).</t>
  </si>
  <si>
    <t>[Studerus, E.; Riecher-Rossler, A.] Univ Basel, Psychiat Hosp, Ctr Gender Res &amp; Early Detect, Basel, Switzerland; [Ramyead, A.] Univ Calif San Francisco, Dept Psychiat, Weill Inst Neurosci, San Francisco, CA 94143 USA</t>
  </si>
  <si>
    <t>University of Basel; University of California System; University of California San Francisco</t>
  </si>
  <si>
    <t>Prediction of transition to psychosis in patients with a clinical high risk for psychosis: a systematic review of methodology and reporting</t>
  </si>
  <si>
    <t>Clinical high risk; prediction; prognostic models; psychosis; schizophrenia</t>
  </si>
  <si>
    <t>ULTRA-HIGH-RISK; MODERN MODELING TECHNIQUES; 1ST EPISODE PSYCHOSIS; FOLLOW-UP; INDIVIDUALS; REGRESSION; CONVERSION; SELECTION; DISEASE; ONSET</t>
  </si>
  <si>
    <t>Studerus, Erich/AAB-1632-2020; Riecher-Rössler, Anita/ABF-5752-2020</t>
  </si>
  <si>
    <t>Studerus, Erich/0000-0003-4233-0182; Riecher-Rössler, Anita/0000-0001-6361-8789</t>
  </si>
  <si>
    <t>77</t>
  </si>
  <si>
    <t>80</t>
  </si>
  <si>
    <t>MAY 2017</t>
  </si>
  <si>
    <t>1163</t>
  </si>
  <si>
    <t>1178</t>
  </si>
  <si>
    <t>10.1017/S0033291716003494</t>
  </si>
  <si>
    <t>http://dx.doi.org/10.1017/S0033291716003494</t>
  </si>
  <si>
    <t>ER4UO</t>
  </si>
  <si>
    <t>28091343</t>
  </si>
  <si>
    <t>WOS:000398797100001</t>
  </si>
  <si>
    <t>Fahey, M; Crayton, E; Wolfe, C; Douiri, A</t>
  </si>
  <si>
    <t>ObjectiveWe aim to identify and critically appraise clinical prediction models of mortality and function following ischaemic stroke.MethodsElectronic databases, reference lists, citations were searched from inception to September 2015. Studies were selected for inclusion, according to pre-specified criteria and critically appraised by independent, blinded reviewers. The discrimination of the prediction models was measured by the area under the curve receiver operating characteristic curve or c-statistic in random effects meta-analysis. Heterogeneity was measured using I2. Appropriate appraisal tools and reporting guidelines were used in this review.Results31395 references were screened, of which 109 articles were included in the review. These articles described 66 different predictive risk models. Appraisal identified poor methodological quality and a high risk of bias for most models. However, all models precede the development of reporting guidelines for prediction modelling studies. Generalisability of models could be improved, less than half of the included models have been externally validated(n = 27/66). 152 predictors of mortality and 192 predictors and functional outcome were identified. No studies assessing ability to improve patient outcome (model impact studies) were identified.ConclusionsFurther external validation and model impact studies to confirm the utility of existing models in supporting decision-making is required. Existing models have much potential. Those wishing to predict stroke outcome are advised to build on previous work, to update and adapt validated models to their specific contexts opposed to designing new ones.</t>
  </si>
  <si>
    <t>Fahey, Marion; Crayton, Elise; Wolfe, Charles; Douiri, Abdel</t>
  </si>
  <si>
    <t>Fahey, M (corresponding author), Kings Coll London, Fac Life Sci &amp; Med, Div Hlth &amp; Social Care Res, London, England.</t>
  </si>
  <si>
    <t>marion.fahey@kcl.ac.uk</t>
  </si>
  <si>
    <t>National Institute for Health Research Biomedical Research Centre at Guy's and St Thomas' National Health Service (NHS) Foundation Trust and King's College London; NIHR Collaboration for Leadership in Applied Health Research and Care South London; Division of Health and Social Care Research, Faculty of Life Sciences and Medicine, Kings College London; Stroke Association [TSA2009/02] Funding Source: researchfish</t>
  </si>
  <si>
    <t>National Institute for Health Research Biomedical Research Centre at Guy's and St Thomas' National Health Service (NHS) Foundation Trust and King's College London (King's College London); NIHR Collaboration for Leadership in Applied Health Research and Care South London; Division of Health and Social Care Research, Faculty of Life Sciences and Medicine, Kings College London (King's College London); Stroke Association</t>
  </si>
  <si>
    <t>We wish to thank all the patients, their families, and the health care professionals involved. Particular thanks to all the fieldworkers and the whole team who have collected data since 1995 for the South London Stroke Register. MF and EC acknowledge PhD Studentship at Division of Health and Social Care Research, Faculty of Life Sciences and Medicine, Kings College London. CW and AD acknowledge financial support from the National Institute for Health Research Biomedical Research Centre at Guy's and St Thomas' National Health Service (NHS) Foundation Trust and King's College London. CW also acknowledges support from the NIHR Collaboration for Leadership in Applied Health Research and Care South London. The views expressed are those of the authors and not necessarily those of the NHS, the NIHR or the Department of Health.</t>
  </si>
  <si>
    <t>[Fahey, Marion; Crayton, Elise; Wolfe, Charles; Douiri, Abdel] Kings Coll London, Fac Life Sci &amp; Med, Div Hlth &amp; Social Care Res, London, England</t>
  </si>
  <si>
    <t>King's College London; University of London; King's College London</t>
  </si>
  <si>
    <t>Clinical prediction models for mortality and functional outcome following ischemic stroke: A systematic review and meta-analysis</t>
  </si>
  <si>
    <t>PLOS ONE</t>
  </si>
  <si>
    <t>RISK PREDICTION; SCORE; VALIDATION; DISEASE; EVENTS; THROMBOLYSIS; DRAGON; MARKER</t>
  </si>
  <si>
    <t>Crayton, Elisa/AAA-2945-2021; Douiri, Abdel/HQY-8025-2023; Crayton, Elise/AAA-2945-2021</t>
  </si>
  <si>
    <t>Crayton, Elisa/0009-0002-2056-5351; Douiri, Abdel/0000-0002-4354-4433; Crayton, Elise/0000-0002-9266-1302</t>
  </si>
  <si>
    <t>76</t>
  </si>
  <si>
    <t>84</t>
  </si>
  <si>
    <t>PUBLIC LIBRARY SCIENCE</t>
  </si>
  <si>
    <t>SAN FRANCISCO</t>
  </si>
  <si>
    <t>1160 BATTERY STREET, STE 100, SAN FRANCISCO, CA 94111 USA</t>
  </si>
  <si>
    <t>1932-6203</t>
  </si>
  <si>
    <t>PLoS One</t>
  </si>
  <si>
    <t>JAN 29 2018</t>
  </si>
  <si>
    <t>e0185402</t>
  </si>
  <si>
    <t>10.1371/journal.pone.0185402</t>
  </si>
  <si>
    <t>http://dx.doi.org/10.1371/journal.pone.0185402</t>
  </si>
  <si>
    <t>Multidisciplinary Sciences</t>
  </si>
  <si>
    <t>Science &amp; Technology - Other Topics</t>
  </si>
  <si>
    <t>FU0AV</t>
  </si>
  <si>
    <t>29377923</t>
  </si>
  <si>
    <t>WOS:000423514700001</t>
  </si>
  <si>
    <t>Huang, L; Feng, LH; Lu, Y; Hu, BB; Liang, HQ; Ren, AL; Wang, H; He, WM; Deng, CF; Su, MH; Jiang, JN</t>
  </si>
  <si>
    <t>Objectives Chronic viral hepatitis B (CHB) is a prevalent liver disease with primary hepatic carcinoma (HCC) as a severe complication. Clinical prediction models have gained attention for predicting HBV-related HCC (HBV-HCC). This study aimed to evaluate the predictive value of existing models for HBV-HCC through meta-analysis. Design Meta-analysis. Data sources Embase, PubMed, the Chinese Biomedical Literature Service System, and the Cochrane database were used for searches between 1970 and 2022. Methods A meta-analysis was conducted to assess original studies on HBV-HCC prediction models. The REACH-B, GAGHCC, and CUHCC models were externally validated in a Guangxi cohort. The C-index and calibration curve evaluated 5 years predictive performance, with subgroup analysis by region and risk bias. Results After screening, 27 research articles were included, covering the GAGHCC, REACH-B, PAGE-B, CU-HCC, CAMD, and mPAGE-B models. The meta-analysis indicated that these models had moderate discrimination in predicting HCC risk in HBV-infected patients, with C-index values from 0.75 to 0.82. The mPAGE-B (0.79, 95% CI: 0.79-0.80), GAG-HCC (0.80, 95% CI: 0.78-0.82), and CAMD (0.80, 95% CI: 0.78-0.81) models demonstrated better discrimination than others (P &lt; 0.05), but most studies did not report model calibration. Subgroup analysis suggested that ethnicity and research bias might contribute to differences in model discrimination. Sensitivity analysis indicated stable meta-analysis results. The REACH-B, GAGHCC, CUHCC, PAGE-B, and mPAGE-B models had average predictive performance in Guangxi, with medium to low 3 and 5 years HCC risk prediction discrimination. Conclusion Existing models have predictive value for HBV-infected patients but show geographical limitations and reduced effectiveness in Guangxi.</t>
  </si>
  <si>
    <t>Huang, Long; Feng, Luhuai; Lu, Yang; Hu, Bobin; Liang, Hongqian; Ren, Aoli; Wang, Hang; He, Wenming; Deng, Caifang; Su, Minghua; Jiang, Jianning</t>
  </si>
  <si>
    <t>Su, MH; Jiang, JN (corresponding author), Guangxi Med Univ, Affiliated Hosp 1, Dept Infect Dis, Nanning, Guangxi, Peoples R China.; Jiang, JN (corresponding author), Guangxi Med Univ, Key Lab Early Prevent &amp; Treatment Reg High Frequen, Minist Educ, Nanning, Guangxi, Peoples R China.</t>
  </si>
  <si>
    <t>smh9292@163.com; gxjjianning@163.com</t>
  </si>
  <si>
    <t>National Natural Science Foundation of China10.13039/501100001809</t>
  </si>
  <si>
    <t>National Natural Science Foundation of China10.13039/501100001809 (National Natural Science Foundation of China (NSFC))</t>
  </si>
  <si>
    <t>We would like to extend our heartfelt appreciation to the patients and their families for their invaluable contributions to this study.</t>
  </si>
  <si>
    <t>[Huang, Long; Feng, Luhuai; Lu, Yang; Hu, Bobin; Liang, Hongqian; Ren, Aoli; Wang, Hang; He, Wenming; Deng, Caifang; Su, Minghua; Jiang, Jianning] Guangxi Med Univ, Affiliated Hosp 1, Dept Infect Dis, Nanning, Guangxi, Peoples R China; [Jiang, Jianning] Guangxi Med Univ, Key Lab Early Prevent &amp; Treatment Reg High Frequen, Minist Educ, Nanning, Guangxi, Peoples R China</t>
  </si>
  <si>
    <t>Guangxi Medical University; Guangxi Medical University</t>
  </si>
  <si>
    <t>Evaluating the predictive value of clinical models for HBV-related hepatocellular carcinoma: A meta-analysis</t>
  </si>
  <si>
    <t>clinical prediction model; external validation; full management; chronic HBV infection; hepatic carcinoma</t>
  </si>
  <si>
    <t>CHRONIC HEPATITIS-B; SCORING SYSTEM; RISK SCORE; VALIDATION; HCC</t>
  </si>
  <si>
    <t>FEB 21 2025</t>
  </si>
  <si>
    <t>1529201</t>
  </si>
  <si>
    <t>10.3389/fmed.2025.1529201</t>
  </si>
  <si>
    <t>http://dx.doi.org/10.3389/fmed.2025.1529201</t>
  </si>
  <si>
    <t>Z4S1I</t>
  </si>
  <si>
    <t>40061381</t>
  </si>
  <si>
    <t>WOS:001438815100001</t>
  </si>
  <si>
    <t>Substantial over-diagnosis and under-diagnosis of asthma in adults and children has recently been reported. As asthma is mostly diagnosed in non-specialist settings, a clinical prediction model (CPM) to aid the diagnosis of asthma in primary care may help improve diagnostic accuracy. We aim to systematically identify, describe, compare, and synthesise existing CPMs designed to support the diagnosis of asthma in children and adults presenting with symptoms suggestive of the disease, in primary care settings or equivalent populations. We will systematically search Medline, Embase and CINAHL from 1 January 1990 to present. Any CPM derived for use in a primary care population will be included. Equivalent populations in countries without a developed primary care service will also be included. The probability of asthma diagnosis will be the primary outcome. We will include CPMs designed for use in clinical practice to aid the diagnostic decision making of a healthcare professional during the assessment of an individual with symptoms suggestive of asthma. We will include derivation studies, and external model validation studies. Two reviewers will independently screen titles/abstracts and full texts for eligibility and extract data from included papers. The CHARMS checklist (or PROBAST if available) will be used to assess risk of bias within each study. Results will be summarised by narrative synthesis with meta-analyses completed if possible. This systematic review will provide comprehensive information about existing CPMs for the diagnosis of asthma in primary care and will inform the development of a future diagnostic model.</t>
  </si>
  <si>
    <t>Daines, L.; McLean, S.; Buelo, A.; Lewis, S.; Sheikh, A.; Pinnock, H.</t>
  </si>
  <si>
    <t>Chief Scientist Office, Edinburgh [CAF/17/01]; Medical Research Council [HDR-5009] Funding Source: researchfish</t>
  </si>
  <si>
    <t>Chief Scientist Office, Edinburgh (Chief Scientist Office - Scotland); Medical Research Council (UK Research &amp; Innovation (UKRI), Medical Research Council UK (MRC))</t>
  </si>
  <si>
    <t>We are grateful to Marshall Dozier, Academic Librarian at the University of Edinburgh, for her help in developing the search strategy. L.D. is supported by a clinical academic fellowship from Chief Scientist Office, Edinburgh (CAF/17/01). Neither funder nor sponsor (University of Edinburgh) contributed to protocol development.</t>
  </si>
  <si>
    <t>[Daines, L.; McLean, S.; Sheikh, A.; Pinnock, H.] Univ Edinburgh, Usher Inst Populat Hlth Sci &amp; Informat, Asthma UK Ctr Appl Res, Edinburgh, Midlothian, Scotland; [Buelo, A.] Univ Edinburgh, Scottish Collaborat Publ Hlth Res &amp; Policy, Edinburgh, Midlothian, Scotland; [Lewis, S.] Univ Edinburgh, Usher Inst Populat Hlth Sci &amp; Informat, Edinburgh Clin Trials Unit, Edinburgh, Midlothian, Scotland</t>
  </si>
  <si>
    <t>Clinical prediction models to support the diagnosis of asthma in primary care: a systematic review protocol</t>
  </si>
  <si>
    <t>RULES</t>
  </si>
  <si>
    <t>Lewis, Steff/0000-0003-1210-2314; Buelo, Auey/0009-0003-2935-9068; Pinnock, Hilary/0000-0002-5976-8386; Sheikh, Aziz/0000-0001-7022-3056; Daines, Luke/0000-0003-0564-4000</t>
  </si>
  <si>
    <t>MAY 18 2018</t>
  </si>
  <si>
    <t>10.1038/s41533-018-0086-6</t>
  </si>
  <si>
    <t>http://dx.doi.org/10.1038/s41533-018-0086-6</t>
  </si>
  <si>
    <t>GG5SK</t>
  </si>
  <si>
    <t>29777106</t>
  </si>
  <si>
    <t>WOS:000432755800001</t>
  </si>
  <si>
    <t>Xie, F; Yuan, H; Ning, YL; Ong, MEH; Feng, ML; Hsu, W; Chakraborty, B; Liu, N</t>
  </si>
  <si>
    <t>Objective: Temporal electronic health records (EHRs) contain a wealth of information for secondary uses, such as clinical events prediction and chronic disease management. However, challenges exist for temporal data representation. We therefore sought to identify these challenges and evaluate novel methodologies for addressing them through a systematic examination of deep learning solutions. Methods: We searched five databases (PubMed, Embase, the Institute of Electrical and Electronics Engineers [IEEE] Xplore Digital Library, the Association for Computing Machinery [ACM] Digital Library, and Web of Science) complemented with hand-searching in several prestigious computer science conference proceedings. We sought articles that reported deep learning methodologies on temporal data representation in structured EHR data from January 1, 2010, to August 30, 2020. We summarized and analyzed the selected articles from three perspectives: nature of time series, methodology, and model implementation. Results: We included 98 articles related to temporal data representation using deep learning. Four major challenges were identified, including data irregularity, heterogeneity, sparsity, and model opacity. We then studied how deep learning techniques were applied to address these challenges. Finally, we discuss some open challenges arising from deep learning. Conclusion: Temporal EHR data present several major challenges for clinical prediction modeling and data utilization. To some extent, current deep learning solutions can address these challenges. Future studies may consider designing comprehensive and integrated solutions. Moreover, researchers should incorporate clinical domain knowledge into study designs and enhance model interpretability to facilitate clinical implementation.</t>
  </si>
  <si>
    <t>Xie, Feng; Yuan, Han; Ning, Yilin; Ong, Marcus Eng Hock; Feng, Mengling; Hsu, Wynne; Chakraborty, Bibhas; Liu, Nan</t>
  </si>
  <si>
    <t>Liu, N (corresponding author), Duke NUS Med Sch, Programme Hlth Serv &amp; Syst Res, 8 Coll Rd, Singapore 169857, Singapore.</t>
  </si>
  <si>
    <t>liu.nan@duke-nus.edu.sg</t>
  </si>
  <si>
    <t>[Xie, Feng; Ong, Marcus Eng Hock; Chakraborty, Bibhas; Liu, Nan] Duke NUS Med Sch, Programme Hlth Serv &amp; Syst Res, 8 Coll Rd, Singapore 169857, Singapore; [Xie, Feng; Yuan, Han; Ning, Yilin; Chakraborty, Bibhas; Liu, Nan] Duke NUS Med Sch, Ctr Quantitat Med, Singapore, Singapore; [Ong, Marcus Eng Hock] Singapore Gen Hosp, Dept Emergency Med, Singapore, Singapore; [Feng, Mengling] Natl Univ Singapore, Saw Swee Hock Sch Publ Hlth, Singapore, Singapore; [Hsu, Wynne] Natl Univ Singapore, Sch Comp, Singapore, Singapore; [Hsu, Wynne; Liu, Nan] Natl Univ Singapore, Inst Data Sci, Singapore, Singapore; [Chakraborty, Bibhas] Natl Univ Singapore, Dept Stat &amp; Data Sci, Singapore, Singapore; [Chakraborty, Bibhas] Duke Univ, Dept Biostat &amp; Bioinformat, Durham, NC USA; [Liu, Nan] Singapore Hlth Serv, SingHlth AI Hlth Program, Singapore, Singapore</t>
  </si>
  <si>
    <t>National University of Singapore; National University of Singapore; Singapore General Hospital; National University of Singapore; National University of Singapore; National University of Singapore; National University of Singapore; Duke University</t>
  </si>
  <si>
    <t>Deep learning for temporal data representation in electronic health records: A systematic review of challenges and methodologies</t>
  </si>
  <si>
    <t>JOURNAL OF BIOMEDICAL INFORMATICS</t>
  </si>
  <si>
    <t>Systematic review; Electronic health records; Temporal data; Representation; Deep learning</t>
  </si>
  <si>
    <t>CLINICAL-PREDICTION MODEL; NEURAL-NETWORKS; RISK PREDICTION; STRATIFICATION; MEDICATIONS; CODES</t>
  </si>
  <si>
    <t>Liu, Nan/HCS-2632-2022; Yuan, Han/IZE-8404-2023; /HPF-9653-2023; Ning, Yilin/JFJ-2551-2023; Ong, Marcus/LNP-4888-2024</t>
  </si>
  <si>
    <t>Liu, Nan/0000-0003-3610-4883; Yuan, Han/0000-0002-2674-6068; Ning, Yilin/0000-0002-6758-4472</t>
  </si>
  <si>
    <t>166</t>
  </si>
  <si>
    <t>87</t>
  </si>
  <si>
    <t>ACADEMIC PRESS INC ELSEVIER SCIENCE</t>
  </si>
  <si>
    <t>SAN DIEGO</t>
  </si>
  <si>
    <t>525 B ST, STE 1900, SAN DIEGO, CA 92101-4495 USA</t>
  </si>
  <si>
    <t>1532-0464</t>
  </si>
  <si>
    <t>1532-0480</t>
  </si>
  <si>
    <t>J BIOMED INFORM</t>
  </si>
  <si>
    <t>J. Biomed. Inform.</t>
  </si>
  <si>
    <t>FEB 2022</t>
  </si>
  <si>
    <t>126</t>
  </si>
  <si>
    <t>103980</t>
  </si>
  <si>
    <t>10.1016/j.jbi.2021.103980</t>
  </si>
  <si>
    <t>http://dx.doi.org/10.1016/j.jbi.2021.103980</t>
  </si>
  <si>
    <t>Computer Science, Interdisciplinary Applications; Medical Informatics</t>
  </si>
  <si>
    <t>Computer Science; Medical Informatics</t>
  </si>
  <si>
    <t>ZR6JT</t>
  </si>
  <si>
    <t>34974189</t>
  </si>
  <si>
    <t>WOS:000767887400004</t>
  </si>
  <si>
    <t>Bruninx, A; Scheenstra, B; Dekker, A; Maessen, J; Hof, AV; Kietselaer, B; Bermejo, I</t>
  </si>
  <si>
    <t>This study aimed to systematically review the use of clinical prediction models (CPMs) in personalised lifestyle interventions for the prevention of cardiovascular disease. We searched PubMed and PsycInfo for articles describing relevant studies published up to August 1, 2021. These were supplemented with items retrieved via screening references of citations and cited by references. In total, 32 studies were included. Nineteen different CPMs were used to guide the intervention. Most frequently, a version of the Framingham risk score was used. The CPM was used to inform the intensity of the intervention in five studies (16 %), and the intervention's type in 31 studies (97 %). The CPM was supplemented with relative risk estimates for additional risk factors in three studies (9 %), and relative risk estimates for intervention effects in four (13 %). In addition to the estimated risk, the personalisation was determined using criteria based on univariable risk factors in 18 studies (56 %), a lifestyle score in three (9 %), and a physical examination index in one (3 %). We noted insufficient detail in reporting regarding the CPM's use in 20 studies (63 %). In 15 studies (47 %), the primary outcome was a CPM estimate. A statistically significant effect favouring the intervention to the comparator arm was reported in four out of eight analyses (50 %), and a statistically significant improvement compared to baseline in five out of seven analyses (71 %). Due to the design of the included studies, the effect of the use of CPMs is still unclear. Therefore, we see a need for future research.</t>
  </si>
  <si>
    <t>Bruninx, Anke; Scheenstra, Bart; Dekker, Andre; Maessen, Jos; Hof, Arnoud van 't; Kietselaer, Bas; Bermejo, Inigo</t>
  </si>
  <si>
    <t>Bruninx, A (corresponding author), Clin Data Sci, Paul Henri Spaaklaan 1, NL-6229 EN Maastricht, Netherlands.</t>
  </si>
  <si>
    <t>a.bruninx@maastrichtuniversity.nl</t>
  </si>
  <si>
    <t>Netherlands Organisation for Scientific Research (NWO): Coronary ARtery disease: Risk estimations and Interventions for prevention and EaRly detection (CARRIER) [628.011.212]</t>
  </si>
  <si>
    <t>Netherlands Organisation for Scientific Research (NWO): Coronary ARtery disease: Risk estimations and Interventions for prevention and EaRly detection (CARRIER) (Netherlands Organization for Scientific Research (NWO))</t>
  </si>
  <si>
    <t>This research received funding from the Netherlands Organisation for Scientific Research (NWO): Coronary ARtery disease: Risk estimations and Interventions for prevention and EaRly detection (CARRIER): project nr. 628.011.212.</t>
  </si>
  <si>
    <t>[Bruninx, Anke; Dekker, Andre; Bermejo, Inigo] Maastricht Univ, Grow Sch Oncol &amp; Dev Biol, Dept Radiat Oncol MAASTRO, Med Ctr, Maastricht, Netherlands; [Scheenstra, Bart; Maessen, Jos] Maastricht Univ, Dept Cardiothorac Surg, Med Ctr, Maastricht, Netherlands; [Scheenstra, Bart; Maessen, Jos; Hof, Arnoud van 't; Kietselaer, Bas] Cardiovasc Res Inst Maastricht CARIM, Maastricht, Netherlands; [Hof, Arnoud van 't; Kietselaer, Bas] Maastricht Univ, Dept Cardiol, Med Ctr, Maastricht, Netherlands; [Hof, Arnoud van 't; Kietselaer, Bas] Zuyderland Med Ctr, Dept Cardiol, Heerlen, Netherlands</t>
  </si>
  <si>
    <t>Maastricht University; Maastricht University Medical Centre (MUMC); Maastricht University; Maastricht University; Maastricht University; Zuyderland Medical Center</t>
  </si>
  <si>
    <t>Using clinical prediction models to personalise lifestyle interventions for cardiovascular disease prevention: A systematic literature review</t>
  </si>
  <si>
    <t>PREVENTIVE MEDICINE REPORTS</t>
  </si>
  <si>
    <t>Cardiovascular diseases/prevention and control; Behavioral medicine; Decision support techniques; Models, cardiovascular; Patient-specific modeling</t>
  </si>
  <si>
    <t>CORONARY-HEART-DISEASE; RISK-MANAGEMENT ANCHOR; PRIMARY-CARE; 10-YEAR RISK; FOLLOW-UP; GENERAL-PRACTICE; BLOOD-PRESSURE; HEALTH; TRIAL; COMMUNICATION</t>
  </si>
  <si>
    <t>Dekker, Andre/AAE-4830-2019; Kietselaer, Bas/QKY-9161-2026; Bermejo, Iñigo/AAE-7769-2022</t>
  </si>
  <si>
    <t>Dekker, Andre/0000-0002-0422-7996; Kietselaer, Bas/0000-0002-0096-8594; Maessen, Jos G/0000-0003-3230-7712; Bruninx, Anke/0000-0002-5916-8735; Bermejo, Iñigo/0000-0001-9105-8088; van 't Hof, Arnoud/0000-0002-2344-7564</t>
  </si>
  <si>
    <t>92</t>
  </si>
  <si>
    <t>2211-3355</t>
  </si>
  <si>
    <t>PREV MED REP</t>
  </si>
  <si>
    <t>Prev. Med. Rep.</t>
  </si>
  <si>
    <t>101672</t>
  </si>
  <si>
    <t>10.1016/j.pmedr.2021.101672</t>
  </si>
  <si>
    <t>http://dx.doi.org/10.1016/j.pmedr.2021.101672</t>
  </si>
  <si>
    <t>DEC 2021</t>
  </si>
  <si>
    <t>YP2EC</t>
  </si>
  <si>
    <t>35127352</t>
  </si>
  <si>
    <t>WOS:000748438200016</t>
  </si>
  <si>
    <t>gold; Green Published; Green Submitted</t>
  </si>
  <si>
    <t>Taylor, M; Whittaker, G; Grant, SW; Booton, R; Shah, R</t>
  </si>
  <si>
    <t>Patients with lung cancer being considered for lung resection should undergo a tripartite assessment to ensure that the risks associated with surgery are not prohibitively high. A key component of the tripartite assessment is estimating the risk of peri-operative mortality which is normally calculated using a clinical prediction model. Clinical prediction models are mathematical equations that use information from patient risk factors to predict the risk of a healthcare outcome. When developed using appropriate statistical methodology and externally validated with acceptable rigour, their role in clinical practice is important. However, if inaccurately developed or incorrectly applied, their use can lead to patients being erroneously accepted for or denied surgery according to their perceived risk. Although several different models have been developed to predict operative risk in patients with lung cancer, contemporary validation studies demonstrate that no single model can currently be recommended for use in routine clinical practice. This is due to either inadequate statistical performance, inclusion of only a limited number of relevant clinical variables or utilisation of an outcome that does not adequately capture all deaths related to the index surgical procedure. Although surgery remains the gold standard approach for the treatment of lung cancer, an increasing number of non-surgical treatments for lung cancer with ever-improving outcomes are available. As a result, accurate risk stratification of patients with lung cancer has assumed an even greater significance. The absence of well-performing models designed to predict appropriate outcome metrics demonstrates the need for further work in this important area of lung cancer surgery.</t>
  </si>
  <si>
    <t>Taylor, Marcus; Whittaker, George; Grant, Stuart W.; Booton, Richard; Shah, Rajesh</t>
  </si>
  <si>
    <t>Taylor, M (corresponding author), Manchester Univ Hosp NHS Fdn Trust, Wythenshawe Hosp, Dept Cardiothorac Surg, Southmoor Rd, Manchester M23 9LT, Lancs, England.</t>
  </si>
  <si>
    <t>Marcus.taylor1@nhs.net</t>
  </si>
  <si>
    <t>[Taylor, Marcus; Whittaker, George; Shah, Rajesh] Manchester Univ Hosp NHS Fdn Trust, Wythenshawe Hosp, Dept Cardiothorac Surg, Southmoor Rd, Manchester M23 9LT, Lancs, England; [Grant, Stuart W.] Univ Manchester, Manchester Univ Hosp NHS Fdn Trust, Div Cardiovasc Sci, Manchester, Lancs, England; [Booton, Richard] Manchester Univ Hosp NHS Fdn Trust, Wythenshawe Hosp, Dept Resp Med, Manchester, Lancs, England</t>
  </si>
  <si>
    <t>Wythenshawe Hospital NHS Foundation Trust; Wythenshawe Hospital; University of Manchester; Wythenshawe Hospital NHS Foundation Trust; Wythenshawe Hospital NHS Foundation Trust; Wythenshawe Hospital</t>
  </si>
  <si>
    <t>Risk prediction for lung cancer surgery in the current era</t>
  </si>
  <si>
    <t>VIDEO-ASSISTED THORACIC SURGERY</t>
  </si>
  <si>
    <t>Risk prediction; risk model; 90-day mortality; RESECT-90; lung cancer surgery</t>
  </si>
  <si>
    <t>SHUTTLE WALK TEST; 2 SCORING SYSTEMS; CARDIAC RISK; POSTOPERATIVE MORTALITY; OPERATIVE MORTALITY; DIFFUSING-CAPACITY; 90-DAY MORTALITY; RESECTION; COMPLICATIONS; THORACOSCORE</t>
  </si>
  <si>
    <t>Booton, Richard/NIS-5833-2025</t>
  </si>
  <si>
    <t>Taylor, Marcus/0000-0001-5379-7090</t>
  </si>
  <si>
    <t>AME PUBLISHING COMPANY</t>
  </si>
  <si>
    <t>SHATIN</t>
  </si>
  <si>
    <t>FLAT-RM C 16F, KINGS WING PLAZA 1, NO 3 KWAN ST, SHATIN, HONG KONG 00000, PEOPLES R CHINA</t>
  </si>
  <si>
    <t>2519-0792</t>
  </si>
  <si>
    <t>VIDEO-ASSIST THORAC</t>
  </si>
  <si>
    <t>Video-Assist. Thorac. Surg.</t>
  </si>
  <si>
    <t>10.21037/vats-21-47</t>
  </si>
  <si>
    <t>http://dx.doi.org/10.21037/vats-21-47</t>
  </si>
  <si>
    <t>Surgery</t>
  </si>
  <si>
    <t>ZY9NM</t>
  </si>
  <si>
    <t>WOS:000768385300001</t>
  </si>
  <si>
    <t>Wynants, L; Collins, GS; Van Calster, B</t>
  </si>
  <si>
    <t>Models for estimating an individual's risk of having or developing a disease are abundant in the medical literature, yet many do not meet the methodological standards that have been set to maximise generalisability and utility. This paper presents an overview of ten steps from the conception of the study to the implementation of the risk model and discusses common pitfalls. We discuss crucial aspects of study design, data collection, model development and performance evaluation, and discuss how to bring the model to clinical practice.</t>
  </si>
  <si>
    <t>Wynants, L.; Collins, G. S.; Van Calster, B.</t>
  </si>
  <si>
    <t>Van Calster, B (corresponding author), Katholieke Univ Leuven, Dept Dev &amp; Regenerat, Herestr 49 Box 805, B-3000 Leuven, Belgium.</t>
  </si>
  <si>
    <t>KU Leuven [C24/15/037]; Research Foundation Flanders (FWO) [G049312N]; Flanders' Agency for Innovation by Science and Technology (IWT Vlaanderen) [IWT-TBM 070706-IOTA3]; Medical Research Council [G1100513]; MRC [G0902418, G1100513] Funding Source: UKRI; Medical Research Council [G1100513, G0902418] Funding Source: researchfish</t>
  </si>
  <si>
    <t>KU Leuven (KU Leuven); Research Foundation Flanders (FWO) (FWO); Flanders' Agency for Innovation by Science and Technology (IWT Vlaanderen) (Institute for the Promotion of Innovation by Science and Technology in Flanders (IWT)); Medical Research Council (UK Research &amp; Innovation (UKRI), Medical Research Council UK (MRC)); MRC (UK Research &amp; Innovation (UKRI), Medical Research Council UK (MRC)); Medical Research Council (UK Research &amp; Innovation (UKRI), Medical Research Council UK (MRC))</t>
  </si>
  <si>
    <t>This work was supported by KU Leuven (grant C24/15/037), Research Foundation Flanders (FWO grant G049312N), Flanders' Agency for Innovation by Science and Technology (IWT Vlaanderen, grant IWT-TBM 070706-IOTA3) and the Medical Research Council (grant number G1100513). L.W. is a PhD fellow of IWT Vlaanderen.</t>
  </si>
  <si>
    <t>[Wynants, L.] Katholieke Univ Leuven, Dept Elect Engn ESAT, STADIUS Ctr Dynam Syst Signal Proc &amp; Data Analyt, iMinds Med IT Dept, Leuven, Belgium; [Collins, G. S.] Univ Oxford, Ctr Stat Med, Nuffield Dept Orthopaed Rheumatol &amp; Musculoskelet, Oxford, England; [Van Calster, B.] Katholieke Univ Leuven, Dept Dev &amp; Regenerat, Herestr 49 Box 805, B-3000 Leuven, Belgium</t>
  </si>
  <si>
    <t>KU Leuven; Interuniversity Microelectronics Centre; University of Oxford; KU Leuven</t>
  </si>
  <si>
    <t>Key steps and common pitfalls in developing and validating risk models</t>
  </si>
  <si>
    <t>BJOG-AN INTERNATIONAL JOURNAL OF OBSTETRICS AND GYNAECOLOGY</t>
  </si>
  <si>
    <t>Clinical prediction model; logistic regression; model development; model reporting; model validation; risk model</t>
  </si>
  <si>
    <t>MISSING PREDICTOR VALUES; NET RECLASSIFICATION IMPROVEMENT; DEVELOPING PROGNOSTIC MODELS; LOGISTIC-REGRESSION MODELS; EXTERNAL VALIDATION; CESAREAN-SECTION; INDIVIDUAL PROGNOSIS; CLINICAL-PRACTICE; MEASUREMENT ERROR; DIAGNOSIS TRIPOD</t>
  </si>
  <si>
    <t>Van Calster, Ben/F-9150-2010; Wynants, Laure/AAA-2723-2020; Collins, Gary/A-2258-2014</t>
  </si>
  <si>
    <t>Van Calster, Ben/0000-0003-1613-7450; Wynants, Laure/0000-0002-3037-122X; Collins, Gary/0000-0002-2772-2316</t>
  </si>
  <si>
    <t>86</t>
  </si>
  <si>
    <t>1470-0328</t>
  </si>
  <si>
    <t>1471-0528</t>
  </si>
  <si>
    <t>BJOG-INT J OBSTET GY</t>
  </si>
  <si>
    <t>BJOG</t>
  </si>
  <si>
    <t>FEB 2017</t>
  </si>
  <si>
    <t>423</t>
  </si>
  <si>
    <t>432</t>
  </si>
  <si>
    <t>10.1111/1471-0528.14170</t>
  </si>
  <si>
    <t>http://dx.doi.org/10.1111/1471-0528.14170</t>
  </si>
  <si>
    <t>Obstetrics &amp; Gynecology</t>
  </si>
  <si>
    <t>EO9KL</t>
  </si>
  <si>
    <t>27362778</t>
  </si>
  <si>
    <t>WOS:000397007500013</t>
  </si>
  <si>
    <t>van den Boorn, HG; Engelhardt, EG; van Kleef, J; Sprangers, MAG; van Oijen, MGH; Abu-Hanna, A; Zwinderman, AH; Coupé, VMH; van Laarhoven, HWM</t>
  </si>
  <si>
    <t>BackgroundClinical prediction models are increasingly used to predict outcomes such as survival in cancer patients. The aim of this study was threefold. First, to perform a systematic review to identify available clinical prediction models for patients with esophageal and/or gastric cancer. Second, to evaluate sources of bias in the included studies. Third, to investigate the predictive performance of the prediction models using meta-analysis.MethodsMEDLINE, EMBASE, PsycINFO, CINAHL, and The Cochrane Library were searched for publications from the year 2000 onwards. Studies describing models predicting survival, adverse events and/or health-related quality of life (HRQoL) for esophageal or gastric cancer patients were included. Potential sources of bias were assessed and a meta-analysis, pooled per prediction model, was performed on the discriminative abilities (c-indices).ResultsA total of 61 studies were included (45 development and 16 validation studies), describing 47 prediction models. Most models predicted survival after a curative resection. Nearly 75% of the studies exhibited bias in at least 3 areas and model calibration was rarely reported. The meta-analysis showed that the averaged c-index of the models is fair (0.75) and ranges from 0.65 to 0.85.ConclusionMost available prediction models only focus on survival after a curative resection, which is only relevant to a limited patient population. Few models predicted adverse events after resection, and none focused on patient's HRQoL, despite its relevance. Generally, the quality of reporting is poor and external model validation is limited. We conclude that there is a need for prediction models that better meet patients' information needs, and provide information on both the benefits and harms of the various treatment options in terms of survival, adverse events and HRQoL.</t>
  </si>
  <si>
    <t>van den Boorn, H. G.; Engelhardt, E. G.; van Kleef, J.; Sprangers, M. A. G.; van Oijen, M. G. H.; Abu-Hanna, A.; Zwinderman, A. H.; Coupe, V. M. H.; van Laarhoven, H. W. M.</t>
  </si>
  <si>
    <t>van den Boorn, HG (corresponding author), Canc Ctr Amsterdam, Amsterdam, Netherlands.; van den Boorn, HG (corresponding author), Univ Amsterdam, Acad Med Ctr, Dept Med Oncol, Amsterdam, Netherlands.</t>
  </si>
  <si>
    <t>h.g.vandenboorn@amc.uva.nl</t>
  </si>
  <si>
    <t>Dutch Cancer Society (KWF) [UVA 2014-7000]</t>
  </si>
  <si>
    <t>Dutch Cancer Society (KWF) (KWF Kankerbestrijding)</t>
  </si>
  <si>
    <t>This project is supported by a grant of the Dutch Cancer Society (KWF), https://www.kwf.nl/english/pages/default.aspx, grant number UVA 2014-7000 to Hanneke van Laarhoven.</t>
  </si>
  <si>
    <t>[van den Boorn, H. G.; van Kleef, J.; van Oijen, M. G. H.; van Laarhoven, H. W. M.] Canc Ctr Amsterdam, Amsterdam, Netherlands; [van den Boorn, H. G.; van Kleef, J.; van Oijen, M. G. H.; van Laarhoven, H. W. M.] Univ Amsterdam, Acad Med Ctr, Dept Med Oncol, Amsterdam, Netherlands; [Engelhardt, E. G.; Sprangers, M. A. G.] Amsterdam Publ Hlth Res Inst, Amsterdam, Netherlands; [Engelhardt, E. G.; Coupe, V. M. H.] Vrije Univ Amsterdam, Med Ctr, Dept Epidemiol &amp; Biostat, Amsterdam, Netherlands; [Sprangers, M. A. G.] Univ Amsterdam, Acad Med Ctr, Dept Med Psychol, Amsterdam, Netherlands; [Abu-Hanna, A.] Univ Amsterdam, Acad Med Ctr, Dept Med Informat, Amsterdam, Netherlands; [Zwinderman, A. H.] Univ Amsterdam, Acad Med Ctr, Dept Clin Epidemiol Biostat &amp; Bioinformat, Amsterdam, Netherlands</t>
  </si>
  <si>
    <t>University of Amsterdam; Vrije Universiteit Amsterdam; University of Amsterdam; Academic Medical Center Amsterdam; Vrije Universiteit Amsterdam; Amsterdam University Medical Center; Vrije Universiteit Amsterdam; University of Amsterdam; Academic Medical Center Amsterdam; University of Amsterdam; Academic Medical Center Amsterdam; University of Amsterdam; Academic Medical Center Amsterdam</t>
  </si>
  <si>
    <t>Prediction models for patients with esophageal or gastric cancer: A systematic review and meta-analysis</t>
  </si>
  <si>
    <t>DISEASE-SPECIFIC SURVIVAL; RISK-ADJUSTMENT MODELS; QUALITY-OF-LIFE; PROGNOSTIC NOMOGRAM; EXTERNAL VALIDATION; CURATIVE RESECTION; R0 RESECTION; NEOADJUVANT CHEMORADIOTHERAPY; INDIVIDUAL SURVIVAL; DECISION-MAKING</t>
  </si>
  <si>
    <t>van Laarhoven, H.W.M/AAW-3464-2021; van Kleef, Jessy/L-2465-2019</t>
  </si>
  <si>
    <t>van Laarhoven, H.W.M/0000-0003-1274-5643; Abu-Hanna, Ameen/0000-0003-4324-7954; Coupé, Veerle/0000-0002-9553-9791; Engelhardt, Ellen/0000-0003-0016-4972</t>
  </si>
  <si>
    <t>55</t>
  </si>
  <si>
    <t>FEB 8 2018</t>
  </si>
  <si>
    <t>e0192310</t>
  </si>
  <si>
    <t>10.1371/journal.pone.0192310</t>
  </si>
  <si>
    <t>http://dx.doi.org/10.1371/journal.pone.0192310</t>
  </si>
  <si>
    <t>FV4BG</t>
  </si>
  <si>
    <t>29420636</t>
  </si>
  <si>
    <t>WOS:000424517900065</t>
  </si>
  <si>
    <t>Deawjaroen, K; Sillabutra, J; Poolsup, N; Stewart, D; Suksomboon, N</t>
  </si>
  <si>
    <t>Aims This study aimed to review systematically all available prediction tools identifying adult hospitalized patients at risk of drug-related problems, and to synthesize the evidence on performance and clinical usefulness. Methods PubMed, Scopus, Web of Science, Embase, and CINAHL databases were searched for relevant studies. Titles, abstracts and full-text studies were sequentially screened for inclusion by two independent reviewers. The Prediction Model Risk of Bias Assessment Tool (PROBAST) and the Revised Quality Assessment of Diagnostic Accuracy Studies (QUADAS-2) checklists were used to assess risk of bias and applicability of prediction tools. A narrative synthesis was performed. Results A total of 21 studies were included, 14 of which described the development of new prediction tools (four risk assessment tools and ten clinical prediction models) and six studies were validation based and one an impact study. There were variations in tool development processes, outcome measures and included predictors. Overall, tool performance had limitations in reporting and consistency, with the discriminatory ability based on area under the curve receiver operating characteristics (AUROC) ranging from poor to good (0.62-0.81), sensitivity and specificity ranging from 57.0% to 89.9% and 30.2% to 88.0%, respectively. The Medicines Optimisation Assessment tool and Assessment of Risk tool were prediction tools with the lowest risk of bias and low concern for applicability. Studies reporting external validation and impact on patient outcomes were scarce. Conclusion Most prediction tools have limitations in development and validation processes, as well as scarce evidence of clinical usefulness. Future studies should attempt to either refine currently available tools or apply a rigorous process capturing evidence of acceptance, usefulness, performance and outcomes.</t>
  </si>
  <si>
    <t>Deawjaroen, Kulchalee; Sillabutra, Jutatip; Poolsup, Nalinee; Stewart, Derek; Suksomboon, Naeti</t>
  </si>
  <si>
    <t>Suksomboon, N (corresponding author), Mahidol Univ, Fac Pharm, Dept Pharm, Bangkok, Thailand.</t>
  </si>
  <si>
    <t>naeti.suk@mahidol.ac.th</t>
  </si>
  <si>
    <t>Royal Golden Jubilee [PHD/0214/2559]; National Research Council of Thailand; Thailand Research Fund</t>
  </si>
  <si>
    <t>Royal Golden Jubilee; National Research Council of Thailand (National Research Council of Thailand (NRCT)); Thailand Research Fund (Thailand Research Fund (TRF))</t>
  </si>
  <si>
    <t>Royal Golden Jubilee, Grant/Award Number: PHD/0214/2559; National Research Council of Thailand; Thailand Research Fund</t>
  </si>
  <si>
    <t>[Deawjaroen, Kulchalee; Suksomboon, Naeti] Mahidol Univ, Fac Pharm, Dept Pharm, Bangkok, Thailand; [Sillabutra, Jutatip] Mahidol Univ, Fac Publ Hlth, Bangkok, Thailand; [Poolsup, Nalinee] Samrejvittaya Sch, Aranyaprathet, Sakaeo, Thailand; [Stewart, Derek] Qatar Univ, Coll Pharm, QU Hlth, Doha, Qatar</t>
  </si>
  <si>
    <t>Mahidol University; Mahidol University; Qatar University</t>
  </si>
  <si>
    <t>Clinical usefulness of prediction tools to identify adult hospitalized patients at risk of drug-related problems: A systematic review of clinical prediction models and risk assessment tools</t>
  </si>
  <si>
    <t>BRITISH JOURNAL OF CLINICAL PHARMACOLOGY</t>
  </si>
  <si>
    <t>adverse drug event; hospitalized patient; drug-related problem; prediction tool; risk assessment</t>
  </si>
  <si>
    <t>VALIDATION; MEDICATION; EVENTS; SCORE; PRIORITIZATION; INPATIENTS; PHARMACIST; CONSENSUS; IMPACT; ERRORS</t>
  </si>
  <si>
    <t>SILLABUTRA, JUTATIP/JGD-2461-2023</t>
  </si>
  <si>
    <t>Suksomboon, Naeti/0000-0002-0641-5878; Stewart, Derek/0000-0001-7360-8592</t>
  </si>
  <si>
    <t>0306-5251</t>
  </si>
  <si>
    <t>1365-2125</t>
  </si>
  <si>
    <t>BRIT J CLIN PHARMACO</t>
  </si>
  <si>
    <t>Br. J. Clin. Pharmacol.</t>
  </si>
  <si>
    <t>1613</t>
  </si>
  <si>
    <t>1629</t>
  </si>
  <si>
    <t>10.1111/bcp.15104</t>
  </si>
  <si>
    <t>http://dx.doi.org/10.1111/bcp.15104</t>
  </si>
  <si>
    <t>ZX4MF</t>
  </si>
  <si>
    <t>34626130</t>
  </si>
  <si>
    <t>WOS:000712887300001</t>
  </si>
  <si>
    <t>Silva, FG; Costa, LOP; Hancock, MJ; Palomo, GA; Costa, LCM; da Silva, T</t>
  </si>
  <si>
    <t>Objective: What model development and external validation studies exist that focus on the prognosis of patients with recent-onset low back pain (LBP)? What is the performance (in terms of discrimination and calibration) of these clinical prediction models? Methods: Systematic searches on MEDLINE, Embase and CINAHL were conducted. Model development and/or external validation studies of patients with recent onset LBP were selected. Models predicting outcomes of pain, disability, sick leave, work absence and self reported recovery, with at least 12 weeks of follow-up, were included. Risk of bias was assessed using the PROBAST instrument. Results: We identified 17 prognostic models developed to predict outcomes in people with recent-onset LBP: six models were in the development phase and 11 were in the validation phase. The most assessed prediction model was the Original Orebro Musculoskeletal Pain Questionnaire. The Da Silva Clinical Prediction Model was the only model, from a study with low risk of bias, that presented acceptable discrimination, demonstrating 'good' performance in predicting recovery from pain (C-statistic 0.71, 95% CI 0.63 to 0.78) and overall acceptable agreement in calibration. Conclusion: Most prediction models for prognosis of patients with recent-onset LBP did not perform well at discrimination, few studies reported calibration and their performance varied across studies. It seems premature to advocate use of the available models, at their current state of development and validation, for low back pain in primary care, considering their generally poor methods and performance. Registration: CRD42020160988. [Silva FG, Costa LOP, Hancock MJ, Palomo GA, Costa LCM, da Silva T (2022) No prognostic model for people with recent-onset low back pain has yet been demonstrated to be suitable for use in clinical practice: a systematic review. Journal of Physiotherapy 68:99-109] (c) 2022 Australian Physiotherapy Association. Published by Elsevier B.V. This is an open access article under the CC BY-NC-ND license (http://creativecommons.org/licenses/by-nc-nd/4.0/).</t>
  </si>
  <si>
    <t>Silva, Fernanda G.; Costa, Leonardo O. P.; Hancock, Mark J.; Palomo, Gabriele A.; Costa, Luciola C. M.; da Silva, Tatiane</t>
  </si>
  <si>
    <t>Silva, FG (corresponding author), Univ Cidade Sao Paulo, Masters &amp; Doctoral Programs Phys Therapy, Sao Paulo, Brazil.</t>
  </si>
  <si>
    <t>nanda_fgs94@hotmail.com</t>
  </si>
  <si>
    <t>Coordination for the Improvement of Higher Education Personnel (CAPES), Ministry of Education of Brazil; FAPESP (Sao Paulo Research Foundation) [2020/07802-9, 2019/18187-6, 2018/20035-7]</t>
  </si>
  <si>
    <t>Coordination for the Improvement of Higher Education Personnel (CAPES), Ministry of Education of Brazil; FAPESP (Sao Paulo Research Foundation) (Fundacao de Amparo a Pesquisa do Estado de Sao Paulo (FAPESP))</t>
  </si>
  <si>
    <t>FGS received a scholarship from Coordination for the Improvement of Higher Education Personnel (CAPES), Ministry of Education of Brazil and FAPESP (Sao Paulo Research Foundation) with grant number: 2020/07802-9. The study received a grant from FAPESP (Sao Paulo Research Foundation) with number: 2019/18187-6. TS received a fellowship from FAPESP (Sao Paulo Research Foundation) with grant number: 2018/20035-7. The funding agencies had no role in the design of the study, collection, analysis, interpretation of data, writing the manuscript and in decision to publish.</t>
  </si>
  <si>
    <t>[Silva, Fernanda G.; Costa, Leonardo O. P.; Palomo, Gabriele A.; Costa, Luciola C. M.; da Silva, Tatiane] Univ Cidade Sao Paulo, Masters &amp; Doctoral Programs Phys Therapy, Sao Paulo, Brazil; [Hancock, Mark J.] Macquarie Univ, Fac Med Hlth &amp; Human Sci, Sydney, NSW, Australia</t>
  </si>
  <si>
    <t>Universidade Cidade de Sao Paulo; Macquarie University</t>
  </si>
  <si>
    <t>No prognostic model for people with recent-onset low back pain has yet been demonstrated to be suitable for use in clinical practice: a systematic review</t>
  </si>
  <si>
    <t>JOURNAL OF PHYSIOTHERAPY</t>
  </si>
  <si>
    <t>Systematic review; Low back pain; Clinical prediction model; Prognosis; Physical therapy</t>
  </si>
  <si>
    <t>MULTIVARIABLE PREDICTION MODEL; INDIVIDUAL PROGNOSIS; PHYSICAL-THERAPY; DIAGNOSIS TRIPOD; DISABILITY RISK; SCREENING TOOL; SHORT-FORM; GUIDELINES; RECOVERY; PROBAST</t>
  </si>
  <si>
    <t>Silva, Fernanda/AAS-2971-2021; /B-4844-2013; Hancock, Mark/B-6999-2013; Costa, Leonardo/B-7224-2011; da Silva Munhoz, Tatiane/E-9183-2018</t>
  </si>
  <si>
    <t>Hancock, Mark/0000-0002-9277-5377; Costa, Leonardo/0000-0003-3309-5619; da Silva Munhoz, Tatiane/0000-0001-6882-8785</t>
  </si>
  <si>
    <t>AUSTRALIAN PHYSIOTHERAPY ASSOC</t>
  </si>
  <si>
    <t>ST KILDA</t>
  </si>
  <si>
    <t>LEVEL 3, 201 FITZROY ST, ST KILDA, 3182, AUSTRALIA</t>
  </si>
  <si>
    <t>1836-9553</t>
  </si>
  <si>
    <t>1836-9561</t>
  </si>
  <si>
    <t>J PHYSIOTHER</t>
  </si>
  <si>
    <t>J. Physiother.</t>
  </si>
  <si>
    <t>APR 2022</t>
  </si>
  <si>
    <t>99</t>
  </si>
  <si>
    <t>10.1016/j.jphys.2022.03.009</t>
  </si>
  <si>
    <t>http://dx.doi.org/10.1016/j.jphys.2022.03.009</t>
  </si>
  <si>
    <t>Orthopedics; Rehabilitation</t>
  </si>
  <si>
    <t>1R9SW</t>
  </si>
  <si>
    <t>35400608</t>
  </si>
  <si>
    <t>WOS:000803702600007</t>
  </si>
  <si>
    <t>Martin, GP; Sperrin, M; Mamas, MA</t>
  </si>
  <si>
    <t>Transcatheter aortic valve implantation (TAVI) has emerged as the standard treatment option for patients with symptomatic aortic stenosis who are considered intermediate to high surgical risk. Nonetheless, optimal clinical outcomes following the procedure require careful consideration of procedural risk by the Heart Team. While this decision-making could be supported through the development of TAVI-specific clinical prediction models (CPMs), current models remain suboptimal. In this review paper, we aimed to outline the performance of several recently derived TAVI CPMs that predict mortality and present some future research directions. We discuss how the existing risk models have achieved only moderate discrimination but highlight that some of the models are well calibrated across multiple populations, indicating the feasibility of using them to aid benchmarking analyses. Moreover, we suggest that future work should focus on the development of CPMs in cohorts of patients with aortic stenosis that include multiple treatment modalities. Supported by appropriate modelling of 'what if' scenarios, this would allow the Heart Teams to predict and compare outcomes across surgical aortic valve replacement, medical management and TAVI, thereby allowing one to personalise treatment decisions to the individual patient. Such a goal could be facilitated by considering novel risk factors, shifting the focus to endpoints other than mortality, and through collaborative efforts to combine the evidence base and existing models across wider populations.</t>
  </si>
  <si>
    <t>Martin, Glen P.; Sperrin, Matthew; Mamas, Mamas A.</t>
  </si>
  <si>
    <t>Martin, GP (corresponding author), Univ Manchester, Div Informat Imaging &amp; Data Sci, Fac Biol Med &amp; Hlth, Vaughan House, Manchester M13 9GB, Lancs, England.</t>
  </si>
  <si>
    <t>glen.martin@manchester.ac.uk</t>
  </si>
  <si>
    <t>Medical Research Council through the Health e-Research Centre, University of Manchester [MR/K006665/1]</t>
  </si>
  <si>
    <t>Medical Research Council through the Health e-Research Centre, University of Manchester (UK Research &amp; Innovation (UKRI), Medical Research Council UK (MRC))</t>
  </si>
  <si>
    <t>This work was partially funded by the Medical Research Council through the Health e-Research Centre, University of Manchester [MR/K006665/1].</t>
  </si>
  <si>
    <t>[Martin, Glen P.; Sperrin, Matthew] Univ Manchester, Div Informat Imaging &amp; Data Sci, Fac Biol Med &amp; Hlth, Manchester Acad Hlth Sci Ctr, Manchester, Lancs, England; [Mamas, Mamas A.] Keele Univ, Keele Cardiovasc Res Grp, Ctr Prognosis Res, Inst Primary Care &amp; Hlth Sci, Stoke On Trent, Staffs, England</t>
  </si>
  <si>
    <t>University of Manchester; Keele University</t>
  </si>
  <si>
    <t>Pre-procedural risk models for patients undergoing transcatheter aortic valve implantation</t>
  </si>
  <si>
    <t>JOURNAL OF THORACIC DISEASE</t>
  </si>
  <si>
    <t>Transcatheter aortic valve implantation (TAVI); aortic stenosis; clinical prediction models (CPMs); mortality; risk assessment; surgical aortic valve replacement (SAVR)</t>
  </si>
  <si>
    <t>LOGISTIC EUROSCORE; PREDICTION MODELS; CLINICAL FRAILTY; CARDIAC-SURGERY; REPLACEMENT; MORTALITY; SCORE; VALIDATION; OUTCOMES; SOCIETY</t>
  </si>
  <si>
    <t>Mamas, Mamas/A-2549-2019; Martin, Glen Philip/I-7824-2019</t>
  </si>
  <si>
    <t>Mamas, Mamas/0000-0001-9241-8890; Martin, Glen Philip/0000-0002-3410-9472; Sperrin, Matthew/0000-0002-5351-9960</t>
  </si>
  <si>
    <t>2072-1439</t>
  </si>
  <si>
    <t>2077-6624</t>
  </si>
  <si>
    <t>J THORAC DIS</t>
  </si>
  <si>
    <t>J. Thorac. Dis.</t>
  </si>
  <si>
    <t>SI</t>
  </si>
  <si>
    <t>S3560</t>
  </si>
  <si>
    <t>S3567</t>
  </si>
  <si>
    <t>10.21037/jtd.2018.05.67</t>
  </si>
  <si>
    <t>http://dx.doi.org/10.21037/jtd.2018.05.67</t>
  </si>
  <si>
    <t>Respiratory System</t>
  </si>
  <si>
    <t>GZ4BM</t>
  </si>
  <si>
    <t>30505535</t>
  </si>
  <si>
    <t>WOS:000449336700002</t>
  </si>
  <si>
    <t>Wu, T; Long, Q; Zeng, LY; Zhu, JF; Gao, HY; Deng, YQ; Han, Y; Qu, LM; Yi, WJ</t>
  </si>
  <si>
    <t>Axillary lymph node status, which was routinely assessed by axillary lymph node dissection (ALND) until the 1990s, is a crucial factor in determining the stage, prognosis, and therapeutic strategy used for breast cancer patients. Axillary surgery for breast cancer patients has evolved from ALND to minimally invasive approaches. Over the decades, the application of noninvasive imaging techniques, machine learning approaches and emerging clinical prediction models for the detection of axillary lymph node metastasis greatly improves clinical diagnostic efficacy and provides optimal surgical selection. In this work, we summarize the historical axillary surgery and updated perspectives of axillary management for breast cancer patients.</t>
  </si>
  <si>
    <t>Wu, Tong; Long, Qian; Zeng, Liyun; Zhu, Jinfeng; Gao, Hongyu; Deng, Yueqiong; Han, Yi; Qu, Limeng; Yi, Wenjun</t>
  </si>
  <si>
    <t>Qu, LM; Yi, WJ (corresponding author), Cent South Univ, Xiangya Hosp 2, Dept Gen Surg, Changsha 410011, Hunan, Peoples R China.; Qu, LM; Yi, WJ (corresponding author), Clin Res Ctr Breast Dis Hunan Prov, Changsha 410011, Peoples R China.</t>
  </si>
  <si>
    <t>yiwenjun@csu.edu.cn; 238202131@csu.edu.cn</t>
  </si>
  <si>
    <t>Innovation Platform and Talent Plan of Hunan Province [2023SK4019]</t>
  </si>
  <si>
    <t>Innovation Platform and Talent Plan of Hunan Province</t>
  </si>
  <si>
    <t>This work was supported by the Innovation Platform and Talent Plan of Hunan Province (2023SK4019).</t>
  </si>
  <si>
    <t>[Wu, Tong; Long, Qian; Zeng, Liyun; Zhu, Jinfeng; Gao, Hongyu; Deng, Yueqiong; Han, Yi; Qu, Limeng; Yi, Wenjun] Cent South Univ, Xiangya Hosp 2, Dept Gen Surg, Changsha 410011, Hunan, Peoples R China; [Wu, Tong; Long, Qian; Zeng, Liyun; Zhu, Jinfeng; Gao, Hongyu; Deng, Yueqiong; Han, Yi; Qu, Limeng; Yi, Wenjun] Clin Res Ctr Breast Dis Hunan Prov, Changsha 410011, Peoples R China</t>
  </si>
  <si>
    <t>Central South University</t>
  </si>
  <si>
    <t>Axillary lymph node metastasis in breast cancer: from historical axillary surgery to updated advances in the preoperative diagnosis and axillary management</t>
  </si>
  <si>
    <t>BMC SURGERY</t>
  </si>
  <si>
    <t>Breast cancer, Axillary surgery, Axillary lymph node metastasis, Diagnosis, Treatment</t>
  </si>
  <si>
    <t>SURGICAL ADJUVANT BREAST; SENTINEL-NODE; NEOADJUVANT CHEMOTHERAPY; PROGNOSTIC-SIGNIFICANCE; FOLLOW-UP; SERUM MICRORNA; PET-CT; DISSECTION; BIOPSY; MULTICENTER</t>
  </si>
  <si>
    <t>Long, Qian/IUO-2434-2023; Qu, Limeng/OUH-6223-2025; Zhu, Jinfeng/ACP-3605-2022</t>
  </si>
  <si>
    <t>Long, Qian/0000-0002-4892-6588</t>
  </si>
  <si>
    <t>134</t>
  </si>
  <si>
    <t>1471-2482</t>
  </si>
  <si>
    <t>BMC SURG</t>
  </si>
  <si>
    <t>BMC Surg.</t>
  </si>
  <si>
    <t>FEB 27 2025</t>
  </si>
  <si>
    <t>10.1186/s12893-025-02802-2</t>
  </si>
  <si>
    <t>http://dx.doi.org/10.1186/s12893-025-02802-2</t>
  </si>
  <si>
    <t>Y9A3W</t>
  </si>
  <si>
    <t>40016717</t>
  </si>
  <si>
    <t>WOS:001434956700001</t>
  </si>
  <si>
    <t>Su, NC; van der Linden, M; Faggion, CM Jr; van der Aa, N</t>
  </si>
  <si>
    <t>Objective Dental patient-reported outcomes (dPROs) are critical indicators of shared decision-making in oral healthcare. This study aimed to assess the frequency of use of dPROs and dPRO-related factors being used as predictors or predicted outcomes in clinical prediction models (CPMs) in oral health, and to identify variables associated with the use of dPROs and/or dPRO-related factors in CPMs. Methods A PubMed search was conducted on 17th May, 2024, to identify eligible studies. The studies which aimed to develop CPMs in oral health using traditional statistical techniques (e.g. logistic or Cox regression) and were published from 2018 onwards were included. The dPROs and dPRO-related factors used as potential predictors, final predictors, and predicted outcomes in the CPMs were extracted and summarized. Logistic regression analyses were performed to assess the associations between various variables and the use of dPROs and dPRO-related factors. Results A total of 144 studies were included, of which 88.2% were retrospective studies and 73.6% were on oral oncology. dPROs and/or dPRO-related factors were used as potential predictors, final predictors, and predicted outcomes in 28 (19.4%), 21 (14.6%), and 7 (4.9%) studies, respectively. The most frequently used dPRO as both potential and final predictors was self-reported orofacial pain, while the most frequently used dPRO-related factor was self-reported toothbrushing. The most frequently used dPRO as a predicted outcome was self-reported xerostomia, while no studies used dPRO-related factors as outcomes. The study topic was statistically significantly associated with the use of dPROs and/or dPROrelated factors (Odds Ratio [OR]: 9.98; 95% confidence interval [CI]: 3.36 29.67; P &lt; .01). Conclusions dPROs and dPRO-related factors were infrequently used as predictors or predicted outcomes in prediction modeling studies in oral health. Studies in dental fields other than oral oncology, such as cariology and periodontology, were more likely to use dPROs and/or dPRO-related factors compared to those in oral oncology.</t>
  </si>
  <si>
    <t>Su, Naichuan; van der Linden, Michiel; Faggion Jr, Clovis mariano; van der Aa, Niels</t>
  </si>
  <si>
    <t>Su, NC (corresponding author), Univ Amsterdam, Acad Ctr Dent Amsterdam ACTA, Dept Social Dent, Gustav Mahlerlaan 3004, NL-1081 LA Amsterdam, Netherlands.</t>
  </si>
  <si>
    <t>n.su@acta.nl</t>
  </si>
  <si>
    <t>[Su, Naichuan; van der Linden, Michiel; van der Aa, Niels] Univ Amsterdam, Acad Ctr Dent Amsterdam ACTA, Dept Oral Publ Hlth, Amsterdam, Netherlands; [Su, Naichuan; van der Linden, Michiel; van der Aa, Niels] Vrije Univ Amsterdam, Amsterdam, Netherlands; [Faggion Jr, Clovis mariano] Univ Hosp Munster, Dept Periodontol &amp; Operat Dent, Munster, Germany</t>
  </si>
  <si>
    <t>University of Amsterdam; Vrije Universiteit Amsterdam; Vrije Universiteit Amsterdam; University of Munster</t>
  </si>
  <si>
    <t>THE USE OF DENTAL PATIENT-REPORTED OUTCOMES (DPROS) IN PREDICTION MODELING STUDIES IN ORAL HEALTH: A METHODOLOGICAL REVIEW</t>
  </si>
  <si>
    <t>JOURNAL OF EVIDENCE-BASED DENTAL PRACTICE</t>
  </si>
  <si>
    <t>dPROs; Clinical prediction models; Oral health; Orofacial pain; Toothbrushing</t>
  </si>
  <si>
    <t>CARIES; CHILDREN</t>
  </si>
  <si>
    <t>van der Linden, M.W/LZG-4428-2025; Su, Naichuan/HLX-7494-2023</t>
  </si>
  <si>
    <t>van der Linden, M.W/0000-0002-0665-940X; Su, Naichuan/0000-0001-8034-9410</t>
  </si>
  <si>
    <t>ELSEVIER INC</t>
  </si>
  <si>
    <t>525 B STREET, STE 1900, SAN DIEGO, CA 92101-4495 USA</t>
  </si>
  <si>
    <t>1532-3382</t>
  </si>
  <si>
    <t>1532-3390</t>
  </si>
  <si>
    <t>J EVID-BASED DENT PR</t>
  </si>
  <si>
    <t>J. Evid.-Based Dent. Pract.</t>
  </si>
  <si>
    <t>MAR 2025</t>
  </si>
  <si>
    <t>S</t>
  </si>
  <si>
    <t>102057</t>
  </si>
  <si>
    <t>10.1016/j.jebdp.2024.102057</t>
  </si>
  <si>
    <t>http://dx.doi.org/10.1016/j.jebdp.2024.102057</t>
  </si>
  <si>
    <t>Dentistry, Oral Surgery &amp; Medicine</t>
  </si>
  <si>
    <t>0HF6N</t>
  </si>
  <si>
    <t>40087020</t>
  </si>
  <si>
    <t>WOS:001447310300001</t>
  </si>
  <si>
    <t>hybrid; Green Published</t>
  </si>
  <si>
    <t>Seinen, TM; Fridgeirsson, EA; Ioannou, S; Jeannetot, D; John, LH; Kors, JA; Markus, AF; Pera, V; Rekkas, A; Williams, RD; Yang, C; van Mulligen, EM; Rijnbeek, PR</t>
  </si>
  <si>
    <t>Objective This systematic review aims to assess how information from unstructured text is used to develop and validate clinical prognostic prediction models. We summarize the prediction problems and methodological landscape and determine whether using text data in addition to more commonly used structured data improves the prediction performance. Materials and Methods We searched Embase, MEDLINE, Web of Science, and Google Scholar to identify studies that developed prognostic prediction models using information extracted from unstructured text in a data-driven manner, published in the period from January 2005 to March 2021. Data items were extracted, analyzed, and a meta-analysis of the model performance was carried out to assess the added value of text to structured-data models. Results We identified 126 studies that described 145 clinical prediction problems. Combining text and structured data improved model performance, compared with using only text or only structured data. In these studies, a wide variety of dense and sparse numeric text representations were combined with both deep learning and more traditional machine learning methods. External validation, public availability, and attention for the explainability of the developed models were limited. Conclusion The use of unstructured text in the development of prognostic prediction models has been found beneficial in addition to structured data in most studies. The text data are source of valuable information for prediction model development and should not be neglected. We suggest a future focus on explainability and external validation of the developed models, promoting robust and trustworthy prediction models in clinical practice.</t>
  </si>
  <si>
    <t>Seinen, Tom M.; Fridgeirsson, Egill A.; Ioannou, Solomon; Jeannetot, Daniel; John, Luis H.; Kors, Jan A.; Markus, Aniek F.; Pera, Victor; Rekkas, Alexandros; Williams, Ross D.; Yang, Cynthia; van Mulligen, Erik M.; Rijnbeek, Peter R.</t>
  </si>
  <si>
    <t>Seinen, TM (corresponding author), Erasmus MC, Dept Med Informat, Molewaterpl 40, NL-3015 GD Rotterdam, Netherlands.</t>
  </si>
  <si>
    <t>t.seinen@erasmusmc.nl</t>
  </si>
  <si>
    <t>This work has received support from the European Health Data &amp; Evidence Network (EHDEN) project. EHDEN has received funding from the Innovative Medicines Initiative 2 Joint Undertaking (JU) under grant agreement No. 806968. The JU receives support from the European Union's Horizon 2020 research and innovation program and EFPIA.</t>
  </si>
  <si>
    <t>[Seinen, Tom M.; Fridgeirsson, Egill A.; Ioannou, Solomon; Jeannetot, Daniel; John, Luis H.; Kors, Jan A.; Markus, Aniek F.; Pera, Victor; Rekkas, Alexandros; Williams, Ross D.; Yang, Cynthia; van Mulligen, Erik M.; Rijnbeek, Peter R.] Erasmus MC, Dept Med Informat, Molewaterpl 40, NL-3015 GD Rotterdam, Netherlands</t>
  </si>
  <si>
    <t>Use of unstructured text in prognostic clinical prediction models: a systematic review</t>
  </si>
  <si>
    <t>clinical prediction model; prognostic prediction; natural language processing; machine learning; electronic health records</t>
  </si>
  <si>
    <t>VALIDATION; RECORDS; TRENDS; UMLS</t>
  </si>
  <si>
    <t>van Mulligen, Erik/MBG-3080-2025; Pera, Victor/JYP-8151-2024</t>
  </si>
  <si>
    <t>van Mulligen, Erik/0000-0003-1377-9386; Seinen, Tom/0000-0001-5369-8260; Fridgeirsson, Egill A/0000-0001-9085-9369; Rekkas, Alexandros/0000-0002-5352-943X; Ioannou, Solomon/0000-0003-1715-288X; Pera, Victor/0000-0002-0786-4712; Williams, Ross/0000-0001-7723-417X</t>
  </si>
  <si>
    <t>70</t>
  </si>
  <si>
    <t>10.1093/jamia/ocac058</t>
  </si>
  <si>
    <t>http://dx.doi.org/10.1093/jamia/ocac058</t>
  </si>
  <si>
    <t>0U7XG</t>
  </si>
  <si>
    <t>35475536</t>
  </si>
  <si>
    <t>WOS:000787860800001</t>
  </si>
  <si>
    <t>Jones, C; Taylor, M; Sperrin, M; Grant, SW</t>
  </si>
  <si>
    <t>Background Most cardiac surgery clinical prediction models (CPMs) are developed using pre-operative variables to predict post-operative outcomes. Some CPMs are developed with intra-operative variables, but none are widely used. The objective of this systematic review was to identify CPMs with intra-operative variables that predict short-term outcomes following adult cardiac surgery.Methods Ovid MEDLINE and EMBASE databases were searched from inception to December 2022, for studies developing a CPM with at least one intra-operative variable. Data were extracted using a critical appraisal framework and bias assessment tool. Model performance was analysed using discrimination and calibration measures.Results A total of 24 models were identified. Frequent predicted outcomes were acute kidney injury (9/24 studies) and peri-operative mortality (6/24 studies). Frequent pre-operative variables were age (18/24 studies) and creatinine/eGFR (18/24 studies). Common intra-operative variables were cardiopulmonary bypass time (16/24 studies) and transfusion (13/24 studies). Model discrimination was acceptable for all internally validated models (AUC 0.69-0.91). Calibration was poor (15/24 studies) or unreported (8/24 studies). Most CPMs were at a high or indeterminate risk of bias (23/24 models). The added value of intra-operative variables was assessed in six studies with statistically significantly improved discrimination demonstrated in two.Conclusion Weak reporting and methodological limitations may restrict wider applicability and adoption of existing CPMs that include intra-operative variables. There is some evidence that CPM discrimination is improved with the addition of intra-operative variables. Further work is required to understand the role of intra-operative CPMs in the management of cardiac surgery patients.</t>
  </si>
  <si>
    <t>Jones, Ceri; Taylor, Marcus; Sperrin, Matthew; Grant, Stuart W.</t>
  </si>
  <si>
    <t>Jones, C (corresponding author), Univ Manchester, Fac Biol Med &amp; Hlth, Manchester Acad Hlth Sci Ctr, Div Informat Imaging &amp; Data Sci, Oxford Rd, Manchester M13 9PL, England.</t>
  </si>
  <si>
    <t>ceri.jones-4@postgrad.manchester.ac.uk</t>
  </si>
  <si>
    <t>[Jones, Ceri; Sperrin, Matthew] Univ Manchester, Fac Biol Med &amp; Hlth, Manchester Acad Hlth Sci Ctr, Div Informat Imaging &amp; Data Sci, Oxford Rd, Manchester M13 9PL, England; [Jones, Ceri] Univ Hosp Southampton NHS Fdn Trust, Southampton Gen Hosp, Dept Clin Perfus, Southampton, England; [Taylor, Marcus] Manchester Univ Hosp Fdn Trust, Wythenshawe Hosp, Dept Cardiothorac Surg, Manchester, England; [Grant, Stuart W.] Univ Manchester, Manchester Univ Hosp Fdn Trust, Div Cardiovasc Sci, ERC, Manchester, England; [Grant, Stuart W.] South Tees Hosp NHS Fdn Trust, South Tees Acad Cardiovasc Unit, Middlesbrough, England</t>
  </si>
  <si>
    <t>University of Manchester; University Hospital Southampton NHS Foundation Trust; University of Southampton; University Hospital Southampton NHS Foundation Trust; Wythenshawe Hospital NHS Foundation Trust; Wythenshawe Hospital; University of Manchester</t>
  </si>
  <si>
    <t>A systematic review of cardiac surgery clinical prediction models that include intra-operative variables</t>
  </si>
  <si>
    <t>PERFUSION-UK</t>
  </si>
  <si>
    <t>Intra-operative variables; cardiac surgery; risk model; model validation; mortality; morbidity</t>
  </si>
  <si>
    <t>ACUTE KIDNEY INJURY; RISK SCORE; PNEUMONIA; EUROSCORE; VALIDATION; FAILURE</t>
  </si>
  <si>
    <t>Sperrin, Matthew/0000-0002-5351-9960; Grant, Stuart/0000-0003-3468-591X; Taylor, Marcus/0000-0001-5379-7090; Jones, Ceri/0000-0002-0882-1773</t>
  </si>
  <si>
    <t>0267-6591</t>
  </si>
  <si>
    <t>1477-111X</t>
  </si>
  <si>
    <t>Perfusion-UK</t>
  </si>
  <si>
    <t>328</t>
  </si>
  <si>
    <t>342</t>
  </si>
  <si>
    <t>10.1177/02676591241237758</t>
  </si>
  <si>
    <t>http://dx.doi.org/10.1177/02676591241237758</t>
  </si>
  <si>
    <t>APR 2024</t>
  </si>
  <si>
    <t>Cardiac &amp; Cardiovascular Systems; Peripheral Vascular Disease</t>
  </si>
  <si>
    <t>Y3Y9E</t>
  </si>
  <si>
    <t>38649154</t>
  </si>
  <si>
    <t>WOS:001206505700001</t>
  </si>
  <si>
    <t>Blennerhassett, R; Curnow, J; Pasalic, L</t>
  </si>
  <si>
    <t>Immune-mediated thrombotic thrombocytopenic purpura (iTTP) is a rare and potentially lethal disease characterized by fragmentary hemolysis, moderate-to-severe thrombocytopenia, end-organ dysfunction, and severely reduced ADAMTS13 levels (&lt; 10%). Survival in iTTP has improved significantly since the introduction of plasma exchange as standard therapy combined with immune suppression to address the underlying pathophysiology. A host of challenges remain including prompt recognition of the disease, treatment of the end-organ effects of the disease, improving the early mortality rate, significantly reducing the relapse rate as well as addressing refractory disease. Discussed in this narrative review of iTTP are the recent measures aimed at addressing these issues, including improvements in clinical prediction models, postremission maintenance approaches with early retreatment as well as the development of novel therapies.</t>
  </si>
  <si>
    <t>Blennerhassett, Richard; Curnow, Jennifer; Pasalic, Leonardo</t>
  </si>
  <si>
    <t>Pasalic, L (corresponding author), Westmead Hosp, NSW Hlth Pathol, Dept Haematol, Inst Clin Pathol &amp; Med Res, Westmead, NSW 2145, Australia.</t>
  </si>
  <si>
    <t>leonardo.pasalic@health.nsw.gov.au</t>
  </si>
  <si>
    <t>[Blennerhassett, Richard; Curnow, Jennifer; Pasalic, Leonardo] Univ Sydney, Sydney Med Sch, Sydney, NSW, Australia; [Blennerhassett, Richard] Royal North Shore Hosp, Dept Haematol, Sydney, NSW, Australia; [Curnow, Jennifer; Pasalic, Leonardo] Sydney Ctr Thrombosis &amp; Haemostasis, Sydney, NSW, Australia; [Curnow, Jennifer] WSLHD, Westmead Hosp, Dept Haematol, Sydney, NSW, Australia; [Pasalic, Leonardo] Westmead Hosp, NSW Hlth Pathol, Dept Haematol, Inst Clin Pathol &amp; Med Res, Westmead, NSW 2145, Australia</t>
  </si>
  <si>
    <t>University of Sydney; Royal North Shore Hospital; NSW Health; University of Sydney; Westmead Hospital; NSW Health; University of Sydney; Westmead Hospital</t>
  </si>
  <si>
    <t>Immune-Mediated Thrombotic Thrombocytopenic Purpura: A Narrative Review of Diagnosis and Treatment in Adults</t>
  </si>
  <si>
    <t>SEMINARS IN THROMBOSIS AND HEMOSTASIS</t>
  </si>
  <si>
    <t>thrombocytopenic purpura; thrombotic microangiopathy; ADAMTS13; plasma exchange</t>
  </si>
  <si>
    <t>FACTOR-CLEAVING PROTEASE; HEMOLYTIC-UREMIC-SYNDROME; PLASMA-EXCHANGE; ADAMTS13 ACTIVITY; SUBOPTIMAL RESPONSE; RITUXIMAB; EFFICACY; MICROANGIOPATHIES; EXPERIENCE; MANAGEMENT</t>
  </si>
  <si>
    <t>Pasalic, Leonardo/IQU-1479-2023</t>
  </si>
  <si>
    <t>Pasalic, Leonardo/0000-0002-8237-6743</t>
  </si>
  <si>
    <t>THIEME MEDICAL PUBL INC</t>
  </si>
  <si>
    <t>333 SEVENTH AVE, NEW YORK, NY 10001 USA</t>
  </si>
  <si>
    <t>0094-6176</t>
  </si>
  <si>
    <t>1098-9064</t>
  </si>
  <si>
    <t>SEMIN THROMB HEMOST</t>
  </si>
  <si>
    <t>Semin. Thromb. Hemost.</t>
  </si>
  <si>
    <t>289</t>
  </si>
  <si>
    <t>301</t>
  </si>
  <si>
    <t>10.1055/s-0040-1708541</t>
  </si>
  <si>
    <t>http://dx.doi.org/10.1055/s-0040-1708541</t>
  </si>
  <si>
    <t>LH8EQ</t>
  </si>
  <si>
    <t>32259874</t>
  </si>
  <si>
    <t>WOS:000529016400007</t>
  </si>
  <si>
    <t>Huang, JG; Dai, XW; Sun, J; Fan, Y; Guo, C</t>
  </si>
  <si>
    <t>Even though robotic-assisted laparoscopic radical prostatectomy (RARP) is superior to open surgery in reducing postoperative complications, 6-20% of patients still experience urinary incontinence (UI) after surgery. Therefore, many researchers have established predictive models for UI occurrence after RARP, but the predictive performance of these models is inconsistent. This study aims to systematically review and critically evaluate the published prediction models of UI risk for patients after RARP. We conducted a comprehensive literature search in the databases of PubMed, Cochrane Library, Web of Science, and Embase. Literature published from inception to March 20, 2024, which reported the development and/or validation of clinical prediction models for the occurrence of UI after RARP. We identified seven studies with eight models that met our inclusion criteria. Most of the studies used logistic regression models to predict the occurrence of UI after RARP. The most common predictors included age, body mass index, and nerve sparing procedure. The model performance ranged from poor to good, with the area under the receiver operating characteristic curves ranging from 0.64 to 0.98 in studies. All the studies have a high risk of bias. Despite their potential for predicting UI after RARP, clinical prediction models are restricted by their limited accuracy and high risk of bias. In the future, the study design should be improved, the potential predictors should be considered from larger and representative samples comprehensively, and high-quality risk prediction models should be established. And externally validating models performance to enhance their clinical accuracy and applicability.</t>
  </si>
  <si>
    <t>Huang, Jiaguo; Dai, Xiaowei; Sun, Ji; Fan, Yi; Guo, Chuan</t>
  </si>
  <si>
    <t>Guo, C (corresponding author), Chengfei Hosp, Dept Urol, Chengdu, Peoples R China.</t>
  </si>
  <si>
    <t>chengfeichuanguo@126.com</t>
  </si>
  <si>
    <t>[Huang, Jiaguo; Sun, Ji; Fan, Yi] Hangzhou Normal Univ, Affiliated Xiaoshan Hosp, Dept Urol, Hangzhou, Peoples R China; [Dai, Xiaowei] Jilin Univ, Dept Reprod Med Ctr, Norman Bethune Hosp 2, Changchun, Peoples R China; [Guo, Chuan] Chengfei Hosp, Dept Urol, Chengdu, Peoples R China</t>
  </si>
  <si>
    <t>Hangzhou Normal University; Jilin University</t>
  </si>
  <si>
    <t>Prediction models for urinary incontinence after robotic-assisted laparoscopic radical prostatectomy: a systematic review</t>
  </si>
  <si>
    <t>JOURNAL OF ROBOTIC SURGERY</t>
  </si>
  <si>
    <t>Robotic-assisted laparoscopic radical prostatectomy; Urinary incontinence; Prediction models; Systematic review</t>
  </si>
  <si>
    <t>QUALITY-OF-LIFE; CONTINENCE RECOVERY; CANCER; RISK; OUTCOMES</t>
  </si>
  <si>
    <t>1863-2483</t>
  </si>
  <si>
    <t>1863-2491</t>
  </si>
  <si>
    <t>J ROBOT SURG</t>
  </si>
  <si>
    <t>J. Robot. Surg.</t>
  </si>
  <si>
    <t>JUN 13 2024</t>
  </si>
  <si>
    <t>249</t>
  </si>
  <si>
    <t>10.1007/s11701-024-02009-2</t>
  </si>
  <si>
    <t>http://dx.doi.org/10.1007/s11701-024-02009-2</t>
  </si>
  <si>
    <t>UP1J4</t>
  </si>
  <si>
    <t>38869689</t>
  </si>
  <si>
    <t>WOS:001249165800001</t>
  </si>
  <si>
    <t>Serhal, M; Barnes, GD</t>
  </si>
  <si>
    <t>Venous thromboembolism (VTE) is a common vascular condition. New medications are available to prevent hospital-associated VTE. Strategies are being studied to increase appropriate diagnostic testing utilization. Management of deep vein thrombosis (DVT) and pulmonary embolism (PE) has evolved with the advent of new anticoagulant options and catheter-directed intervention. In light of this, providers are commonly challenged with the decision regarding inpatient versus outpatient management. Which patients require long-term (&gt; 3 months) anticoagulation is challenging and multiple clinical prediction models may be used to help determine the risk-benefit ratio in each patient. The management of VTE is an ongoing area of research and is rapidly evolving.</t>
  </si>
  <si>
    <t>Serhal, Maya; Barnes, Geoffrey D.</t>
  </si>
  <si>
    <t>Serhal, M (corresponding author), Boston Med Ctr, 88 East Newton St, Boston, MA 02118 USA.</t>
  </si>
  <si>
    <t>Maya.Serhal@bmc.org</t>
  </si>
  <si>
    <t>[Serhal, Maya] Boston Univ, Sch Med, Boston Med Ctr, Cardiovasc Med,Dept Internal Med, Boston, MA 02118 USA; [Barnes, Geoffrey D.] Univ Michigan, Dept Internal Med, Div Cardiovasc Med, Frankel Cardiovasc Ctr, Ann Arbor, MI 48109 USA</t>
  </si>
  <si>
    <t>Boston University; Boston Medical Center; University of Michigan; University of Michigan System; University of Michigan</t>
  </si>
  <si>
    <t>Venous thromboembolism: A clinician update</t>
  </si>
  <si>
    <t>VASCULAR MEDICINE</t>
  </si>
  <si>
    <t>venous thromboembolism (VTE); acute management of VTE; post-thrombotic syndrome; deep vein thrombosis (DVT); pulmonary embolism (PE)</t>
  </si>
  <si>
    <t>DEEP-VEIN THROMBOSIS; ED AMERICAN-COLLEGE; PATIENTS ANTITHROMBOTIC THERAPY; CATHETER-DIRECTED THROMBOLYSIS; HOSPITALIZED MEDICAL PATIENTS; PULMONARY-EMBOLISM; RISK-ASSESSMENT; EXTENDED THROMBOPROPHYLAXIS; PREDICTING RECURRENCE; PRETEST PROBABILITY</t>
  </si>
  <si>
    <t>Barnes, Geoffrey/AAK-1780-2020</t>
  </si>
  <si>
    <t>Barnes, Geoffrey/0000-0002-6532-8440</t>
  </si>
  <si>
    <t>71</t>
  </si>
  <si>
    <t>1358-863X</t>
  </si>
  <si>
    <t>1477-0377</t>
  </si>
  <si>
    <t>VASC MED</t>
  </si>
  <si>
    <t>Vasc. Med.</t>
  </si>
  <si>
    <t>APR 2019</t>
  </si>
  <si>
    <t>122</t>
  </si>
  <si>
    <t>131</t>
  </si>
  <si>
    <t>10.1177/1358863X18821159</t>
  </si>
  <si>
    <t>http://dx.doi.org/10.1177/1358863X18821159</t>
  </si>
  <si>
    <t>Peripheral Vascular Disease</t>
  </si>
  <si>
    <t>HS1PB</t>
  </si>
  <si>
    <t>30950331</t>
  </si>
  <si>
    <t>WOS:000463633200005</t>
  </si>
  <si>
    <t>Tsegaye, B; Snell, KIE; Archer, L; Kirtley, S; Riley, RD; Sperrin, M; Van Calster, B; Collins, GS; Dhiman, P</t>
  </si>
  <si>
    <t>Background and Objectives: Having a sufficient sample size is crucial when developing a clinical prediction model. We reviewed details of sample size in studies developing prediction models for binary outcomes using machine learning (ML) methods within oncology and compared the sample size used to develop the models with the minimum required sample size needed when developing a regressionMethods: We searched the Medline (via OVID) database for studies developing a prediction model using ML methods published in December 2022. We reviewed how sample size was justified. We calculated Nmin, which is the Nmin, and compared this with the sample size that was used to develop the models. Results: Only one of 36 included studies justified their sample size. We were able to calculate Nmin for 17 (47%) studies. 5/17 studies met Nmin, allowing to precisely estimate the overall risk and minimize overfitting. There was a median deficit of 302 participants with the event (n 5 17; range: 21,331 to 2298) when developing the ML models. An additional three out of the 17 studies met the required sample size to precisely estimate the overall risk only. Conclusion: Studies developing a prediction model using ML in oncology seldom justified their sample size and sample sizes were often smaller than Nmin. As ML models almost certainly require a larger sample size than regression models, the deficit is likely larger. We recommend that researchers consider and report their sample size and at least meet the minimum sample size required when developing a regression-based model. (c) 2025 The Author(s). Published by Elsevier Inc. This is an open access article under the CC BY license</t>
  </si>
  <si>
    <t>Tsegaye, Biruk; Snell, Kym I. E.; Archer, Lucinda; Kirtley, Shona; Riley, Richard D.; Sperrin, Matthew; Van Calster, Ben; Collins, Gary S.; Dhiman, Paula</t>
  </si>
  <si>
    <t>Tsegaye, B (corresponding author), Univ Oxford, Ctr Stat Med, Nuffield Dept Orthopaed Rheumatol &amp; Musculoskeleta, Oxford OX3 7LD, England.</t>
  </si>
  <si>
    <t>biruk.tsegaye@csm.ox.ac.uk</t>
  </si>
  <si>
    <t>University of Birmingham; Research Foundation e Flanders [G097322 N]; KU Leuven [C24 M/20/064]; Cancer Research UK; National Institute for Health Research (NIHR); National Institute for Health and Care Research (NIHR)</t>
  </si>
  <si>
    <t>University of Birmingham (University of Birmingham); Research Foundation e Flanders; KU Leuven (KU Leuven); Cancer Research UK (Cancer Research UK); National Institute for Health Research (NIHR) (National Institutes of Health Research (NIHR)); National Institute for Health and Care Research (NIHR) (National Institutes of Health Research (NIHR))</t>
  </si>
  <si>
    <t>the University of Birmingham. Ben Van Calster is supported by the Research Foundation e Flanders (grant: G097322 N) and Internal funds KU Leuven (grant: C24 M/20/064) . This publication presents independent research funded by Cancer Research UK, and the National Institute for Health Research (NIHR) . GSC and RDR are National Institute for Health and Care Research (NIHR) Senior Investigators. The views expressed are those of author (s) and not necessarily those of the Cancer Research UK, the NHS, NIHR or the Department of Health and Social Care.</t>
  </si>
  <si>
    <t>[Tsegaye, Biruk; Kirtley, Shona; Collins, Gary S.; Dhiman, Paula] Univ Oxford, Ctr Stat Med, Nuffield Dept Orthopaed Rheumatol &amp; Musculoskeleta, Oxford OX3 7LD, England; [Snell, Kym I. E.; Archer, Lucinda; Riley, Richard D.] Univ Birmingham, Inst Appl Hlth Res, Coll Med &amp; Dent Sci, Birmingham B15 2TT, England; [Snell, Kym I. E.; Archer, Lucinda; Riley, Richard D.] Natl Inst Hlth &amp; Care Res NIHR, Inst Translat Med, Birmingham Biomed Res Ctr, Birmingham, England; [Sperrin, Matthew] Univ Manchester, Manchester Acad Hlth Sci Ctr, Div Informat Imaging &amp; Data Sci, Manchester M13 9PL, England; [Van Calster, Ben] Katholieke Univ Leuven, Dept Dev &amp; Regenerat, Leuven, Belgium; [Van Calster, Ben] Leiden Univ, Med Ctr, Dept Biomed Data Sci, Leiden, Netherlands; [Van Calster, Ben] Katholieke Univ Leuven, Leuven Unit Hlth Technol Assessment Res LUHTAR, Leuven, Belgium</t>
  </si>
  <si>
    <t>University of Oxford; University of Birmingham; University of Manchester; KU Leuven; Leiden University - Excl LUMC; Leiden University; Leiden University Medical Center (LUMC); KU Leuven</t>
  </si>
  <si>
    <t>Larger sample sizes are needed when developing a clinical prediction model using machine learning in oncology: methodological systematic review</t>
  </si>
  <si>
    <t>Machine learning; Oncology; Sample size; Prediction model; Systematic review; Methodology</t>
  </si>
  <si>
    <t>CANCER</t>
  </si>
  <si>
    <t>Riley, Richard/G-2406-2011; Van Calster, Ben/F-9150-2010; Snell, Kym/L-1918-2015; Collins, Gary/A-2258-2014</t>
  </si>
  <si>
    <t>Van Calster, Ben/0000-0003-1613-7450; Sperrin, Matthew/0000-0002-5351-9960; Dhiman, Paula/0000-0002-0989-0623; Snell, Kym/0000-0001-9373-6591; Collins, Gary/0000-0002-2772-2316; Tsegaye, Biruk/0000-0002-3217-1512; Kirtley, Shona/0000-0002-7801-5777; Archer, Lucinda/0000-0003-2504-2613</t>
  </si>
  <si>
    <t>APR 2025</t>
  </si>
  <si>
    <t>180</t>
  </si>
  <si>
    <t>111675</t>
  </si>
  <si>
    <t>10.1016/j.jclinepi.2025.111675</t>
  </si>
  <si>
    <t>http://dx.doi.org/10.1016/j.jclinepi.2025.111675</t>
  </si>
  <si>
    <t>W6O1O</t>
  </si>
  <si>
    <t>39814217</t>
  </si>
  <si>
    <t>WOS:001419734400001</t>
  </si>
  <si>
    <t>hybrid; Green Accepted; Green Submitted; Green Published</t>
  </si>
  <si>
    <t>Xia, YH; Zhang, M; Yao, YL; Cai, TT; Mo, HF; Shen, JT; Lou, JL</t>
  </si>
  <si>
    <t>Objectives: This study aimed to explore research trends and areas of interest in systematic reviews (SRs) and meta-analysis of clinical prediction models (CPMs), while summarizing their conduct and reporting characteristics. Study Design and Setting: A scoping review was conducted, with searches performed in PubMed, Embase, and Cochrane Library from inception to January 7, 2023. Pairs of reviewers independently screened potentially eligible studies. Data on bibliographic and methodological characteristics were collected and analyzed descriptively. Results: A total of 1004 SRs published between 2001 and 2023 were included. The number of SRs increased significantly after 2020, with the majority originating from Europe (44.1%) and Asia (26.7%). Populations and outcomes were categorized into 19 and 34 classifications, respectively. The general population was the most frequently targeted (38.7%), and mortality was the most common outcome (18.9%). The prediction or diagnosis of neoplasms in the general population was the most prevalent focus (7.2%). Prognostic models were included only in 69.6% of SRs, while diagnostic models were included in 16.8%; 13.6% included both. The number of primary studies included in SRs ranged from 1 to 495, and the models ranged from 1 to 731. Most SRs lacked standardized reporting: 88.3% did not frame their review questions using established frameworks, and 79.8% did not follow standardized checklists for data extraction. Quality and risk of bias assessments were reported in 76.5% of SRs, with the Prediction model Risk of Bias Assessment Tool (27.9%) and the Quality Assessment of Diagnostic Accuracy Studies-2 tool (17.0%) being the most common. Narrative synthesis was the predominant method for evidence summarization (63.5%), while meta-analysis was conducted in 36.5%. Measures of model performance were summarized in 80.5% of SRs, with discrimination being the most frequently reported (67.7%). Only 5.2% assessed the certainty of evidence. Moreover, 42.2% of SRs published a protocol, 76.0% clearly stated support, and 91.1% stated competing interests. Conclusion: The number of SRs of CPMs has grown substantially, with increasing diversity in populations and outcomes. However, significant variability in conduct and reporting was observed. Future SRs should strictly follow well-developed guidelines, and a dedicated study assessing the reporting quality and risk of bias in SRs of CPMs is warranted. '(c) 2025 Elsevier Inc. All rights are reserved, including those for text and data mining, AI training, and similar technologies.</t>
  </si>
  <si>
    <t>Xia, Yunhui; Zhang, Mei; Yao, Yunliang; Cai, Tingting; Mo, Hangfeng; Shen, Jiantong; Lou, Jianlin</t>
  </si>
  <si>
    <t>Shen, JT (corresponding author), Huzhou Univ, Sch Med, Sch Nursing, Huzhou 313000, Peoples R China.; Shen, JT; Lou, JL (corresponding author), Huzhou Univ, Huzhou Key Lab Precis Prevent &amp; Control Major Chro, Huzhou 313000, Peoples R China.</t>
  </si>
  <si>
    <t>sjiantong@163.com; jianlinlou@163.com</t>
  </si>
  <si>
    <t>National Social Science Fund of China [20BTQ042]; Key Research And Development Program Of Zhejiang Province [Y202454951]</t>
  </si>
  <si>
    <t>National Social Science Fund of China (National Social Science Fund of China (NSSFC)); Key Research And Development Program Of Zhejiang Province</t>
  </si>
  <si>
    <t>Funding: The study is supported by the National Social Science Fund of China (Grant Number 20BTQ042) , the Key Research And Development Program Of Zhejiang Province (Grant Number Y202454951) .</t>
  </si>
  <si>
    <t>[Xia, Yunhui; Zhang, Mei; Yao, Yunliang; Cai, Tingting; Mo, Hangfeng; Shen, Jiantong] Huzhou Univ, Sch Med, Sch Nursing, Huzhou 313000, Peoples R China; [Zhang, Mei] Huzhou Nanxun Peoples Hosp, Nursing Dept, Huzhou 313000, Peoples R China; [Shen, Jiantong; Lou, Jianlin] Huzhou Univ, Huzhou Key Lab Precis Prevent &amp; Control Major Chro, Huzhou 313000, Peoples R China</t>
  </si>
  <si>
    <t>Huzhou Normal University; Huzhou Normal University</t>
  </si>
  <si>
    <t>Epidemiology and reporting characteristics of systematic reviews of clinical prediction models: a scoping review</t>
  </si>
  <si>
    <t>Systematic review; Clinical prediction model; Conduct; Reporting; Epidemiology; Scoping review</t>
  </si>
  <si>
    <t>CONDUCT; PERFORMANCE; RISK</t>
  </si>
  <si>
    <t>182</t>
  </si>
  <si>
    <t>111763</t>
  </si>
  <si>
    <t>10.1016/j.jclinepi.2025.111763</t>
  </si>
  <si>
    <t>http://dx.doi.org/10.1016/j.jclinepi.2025.111763</t>
  </si>
  <si>
    <t>1NT8K</t>
  </si>
  <si>
    <t>40122153</t>
  </si>
  <si>
    <t>WOS:001469404200001</t>
  </si>
  <si>
    <t>Cooray, SD; Boyle, JA; Soldatos, G; Thangaratinam, S; Teede, HJ</t>
  </si>
  <si>
    <t>Gestational diabetes mellitus (GDM) is common and is associated with an increased risk of adverse pregnancy outcomes. However, the prevailing one-size-fits-all approach that treats all women with GDM as having equivalent risk needs revision, given the clinical heterogeneity of GDM, the limitations of a population-based approach to risk, and the need to move beyond a glucocentric focus to address other intersecting risk factors. To address these challenges, we propose using a clinical prediction model for adverse pregnancy outcomes to guide risk-stratified approaches to treatment tailored to the individual needs of women with GDM. This will allow preventative and therapeutic interventions to be delivered to those who will maximally benefit, sparing expense, and harm for those at a lower risk.</t>
  </si>
  <si>
    <t>Cooray, Shamil D.; Boyle, Jacqueline A.; Soldatos, Georgia; Thangaratinam, Shakila; Teede, Helena J.</t>
  </si>
  <si>
    <t>Teede, HJ (corresponding author), Monash Univ, Sch Publ Hlth &amp; Prevent Med, Monash Ctr Hlth Res &amp; Implementat, Locked Bag 29, Clayton, Vic 3168, Australia.</t>
  </si>
  <si>
    <t>Helena.Teede@monash.edu</t>
  </si>
  <si>
    <t>National Health and Medical Research Council (NHMRC) Postgraduate Scholarship; Diabetes Australia Research Program NHMRC Top-up Scholarship; Australian Academy of Science's Douglas and Lola Douglas Scholarship; Australian Government Department of Education and Training Endeavour Research Leadership Award; Career Development Fellowship - NHMRC; NHMRC Fellowship - Medical Research Future Fund</t>
  </si>
  <si>
    <t>National Health and Medical Research Council (NHMRC) Postgraduate Scholarship (National Health &amp; Medical Research Council (NHMRC) of Australia); Diabetes Australia Research Program NHMRC Top-up Scholarship; Australian Academy of Science's Douglas and Lola Douglas Scholarship; Australian Government Department of Education and Training Endeavour Research Leadership Award; Career Development Fellowship - NHMRC (National Health &amp; Medical Research Council (NHMRC) of Australia); NHMRC Fellowship - Medical Research Future Fund (National Health &amp; Medical Research Council (NHMRC) of Australia)</t>
  </si>
  <si>
    <t>S.D.C. is supported by a National Health and Medical Research Council (NHMRC) Postgraduate Scholarship, a Diabetes Australia Research Program NHMRC Top-up Scholarship, the Australian Academy of Science's Douglas and Lola Douglas Scholarship, and an Australian Government Department of Education and Training Endeavour Research Leadership Award. J.A.B. is supported by a Career Development Fellowship funded by the NHMRC. H.J.T. is supported by an NHMRC Fellowship funded by the Medical Research Future Fund. The funding bodies had no role in the study design; the collection, analysis, and interpretation of the data; the writing of the report; or the decision to submit the paper for publication.</t>
  </si>
  <si>
    <t>[Cooray, Shamil D.; Boyle, Jacqueline A.; Soldatos, Georgia; Teede, Helena J.] Monash Univ, Sch Publ Hlth &amp; Prevent Med, Monash Ctr Hlth Res &amp; Implementat, Melbourne, Vic, Australia; [Cooray, Shamil D.] Monash Hlth, Diabet Unit, Clayton, Vic, Australia; [Boyle, Jacqueline A.] Monash Hlth, Monash Womens Program, Clayton, Vic, Australia; [Soldatos, Georgia; Teede, Helena J.] Monash Hlth, Diabet &amp; Endocrinol Units, Clayton, Vic, Australia; [Thangaratinam, Shakila] Univ Birmingham, Inst Metab &amp; Syst Res, Birmingham, W Midlands, England</t>
  </si>
  <si>
    <t>Monash University; Monash Health; Monash Health; Monash Health; University of Birmingham</t>
  </si>
  <si>
    <t>The Need for Personalized Risk-Stratified Approaches to Treatment for Gestational Diabetes: A Narrative Review</t>
  </si>
  <si>
    <t>SEMINARS IN REPRODUCTIVE MEDICINE</t>
  </si>
  <si>
    <t>gestational diabetes; prediction model; adverse pregnancy outcomes; large-for-gestational age</t>
  </si>
  <si>
    <t>DIAGNOSTIC-CRITERIA; PREVALENCE; OUTCOMES; WOMEN; HYPERGLYCEMIA; ASSOCIATION; PREGNANCY; GUIDELINE; MELLITUS</t>
  </si>
  <si>
    <t>Thangaratinam, Shakila/AAP-3724-2021; Cooray, Shamil/M-2666-2019; Boyle, Jacqueline/AAD-3246-2019</t>
  </si>
  <si>
    <t>Thangaratinam, Shakila/0000-0002-4254-460X; Cooray, Shamil/0000-0002-6825-4440; Teede, Helena/0000-0001-7609-577X; Boyle, Jacqueline/0000-0002-3616-1637</t>
  </si>
  <si>
    <t>1526-8004</t>
  </si>
  <si>
    <t>1526-4564</t>
  </si>
  <si>
    <t>SEMIN REPROD MED</t>
  </si>
  <si>
    <t>Semin. Reprod. Med.</t>
  </si>
  <si>
    <t>NOV 2020</t>
  </si>
  <si>
    <t>06</t>
  </si>
  <si>
    <t>384</t>
  </si>
  <si>
    <t>388</t>
  </si>
  <si>
    <t>10.1055/s-0041-1723778</t>
  </si>
  <si>
    <t>http://dx.doi.org/10.1055/s-0041-1723778</t>
  </si>
  <si>
    <t>SA8DE</t>
  </si>
  <si>
    <t>33648005</t>
  </si>
  <si>
    <t>WOS:000623521400002</t>
  </si>
  <si>
    <t>Dhana, A; Gupta, RK; Hamada, Y; Kengne, AP; Kerkhoff, AD; Yoon, C; Cattamanchi, A; Reeve, BWP; Theron, G; Ndlangalavu, G; Wood, R; Drain, PK; Calderwood, CJ; Noursadeghi, M; Boyles, T; Meintjes, G; Maartens, G; Barr, DA</t>
  </si>
  <si>
    <t>Background: The World Health Organization (WHO) recommends that outpatient people living with HIV (PLHIV) undergo tuberculosis screening with the WHO four-symptom screen (W4SS) or C-reactive protein (CRP) (5 mg &amp; BULL;L-1 cut-off) followed by confirmatory testing if screen positive. We conducted an individual participant data meta-analysis to determine the performance of WHO-recommended screening tools and two newly developed clinical prediction models (CPMs).Methods: Following a systematic review, we identified studies that recruited adult outpatient PLHIV irrespective of tuberculosis signs and symptoms or with a positive W4SS, evaluated CRP and collected sputum for culture. We used logistic regression to develop an extended CPM (which included CRP and other predictors) and a CRP-only CPM. We used internal-external cross-validation to evaluate performance.Results: We pooled data from eight cohorts (n=4315 participants). The extended CPM had excellent discrimination (C-statistic 0.81); the CRP-only CPM had similar discrimination. The C-statistics for WHO -recommended tools were lower. Both CPMs had equivalent or higher net benefit compared with the WHO-recommended tools. Compared with both CPMs, CRP (5 mg &amp; BULL;L-1 cut-off) had equivalent net benefit across a clinically useful range of threshold probabilities, while the W4SS had a lower net benefit. The W4SS would capture 91% of tuberculosis cases and require confirmatory testing for 78% of participants. CRP (5 mg &amp; BULL;L-1 cut-off), the extended CPM (4.2% threshold) and the CRP-only CPM (3.6% threshold) would capture similar percentages of cases but reduce confirmatory tests required by 24, 27 and 36%, respectively.Conclusions: CRP sets the standard for tuberculosis screening among outpatient PLHIV. The choice between using CRP at 5 mg &amp; BULL;L-1 cut-off or in a CPM depends on available resources.</t>
  </si>
  <si>
    <t>Dhana, Ashar; Gupta, Rishi K.; Hamada, Yohhei; Kengne, Andre P.; Kerkhoff, Andrew D.; Yoon, Christina; Cattamanchi, Adithya; Reeve, Byron W. P.; Theron, Grant; Ndlangalavu, Gcobisa; Wood, Robin; Drain, Paul K.; Calderwood, Claire J.; Noursadeghi, Mahdad; Boyles, Tom; Meintjes, Graeme; Maartens, Gary; Barr, David A.</t>
  </si>
  <si>
    <t>Dhana, A (corresponding author), Univ Cape Town, Dept Med, Cape Town, South Africa.</t>
  </si>
  <si>
    <t>ashardhana@live.com</t>
  </si>
  <si>
    <t>Fogarty International Center of the National Institutes of Health; Eunice Kennedy Shriver National Institute of Child Health amp; Human Development (NICHD) [D43 TW010559]; National Research Foundation (NRF); Harry Crossley Foundation - National Institute for Health Research [DRF-2018 - 11-ST2-004]; Wellcome Centre for Infectious Diseases Research in Africa [203135/Z/16/Z]; Wellcome Trust [207511/Z/17/Z, 214321/Z/18/Z]; South African Research Chairs Initiative of the Department of Science and Technology and NRF of South Africa [64787]; European Union [SF1401, RIA2020I-3305]; National Institutes of Health [U01AI152087, U54EB027049, D43TW010350]; South African Medical Research Council through its Division of Research Capacity Development under the SAMRC Internship Scholarship Programme; National Institute for Health Research Biomedical Research Funding to University College London; University College London Hospitals; National Institutes of Health Research (NIHR) [DRF-2018-11-ST2-004] Funding Source: National Institutes of Health Research (NIHR); Wellcome Trust [207511/Z/17/Z] Funding Source: researchfish</t>
  </si>
  <si>
    <t>Fogarty International Center of the National Institutes of Health (United States Department of Health &amp; Human Services, National Institutes of Health (NIH) - USA, NIH Fogarty International Center (FIC)); Eunice Kennedy Shriver National Institute of Child Health amp; Human Development (NICHD); National Research Foundation (NRF); Harry Crossley Foundation - National Institute for Health Research; Wellcome Centre for Infectious Diseases Research in Africa (Wellcome Trust); Wellcome Trust (Wellcome Trust); South African Research Chairs Initiative of the Department of Science and Technology and NRF of South Africa; European Union (European Union (EU)); National Institutes of Health (United States Department of Health &amp; Human Services, National Institutes of Health (NIH) - USA); South African Medical Research Council through its Division of Research Capacity Development under the SAMRC Internship Scholarship Programme; National Institute for Health Research Biomedical Research Funding to University College London; University College London Hospitals; National Institutes of Health Research (NIHR) (National Institutes of Health Research (NIHR)); Wellcome Trust (Wellcome Trust)</t>
  </si>
  <si>
    <t>A. Dhana received training in research that was supported by the Fogarty International Center of the National Institutes of Health and the Eunice Kennedy Shriver National Institute of Child Health &amp; Human Development (NICHD) under Award Number D43 TW010559, National Research Foundation (NRF) , and the Harry Crossley Foundation. R.K. Gupta is funded by the National Institute for Health Research (DRF-2018 - 11-ST2-004) . G. Meintjes and G. Maartens were supported by core funding from the Wellcome Centre for Infectious Diseases Research in Africa (203135/Z/16/Z) . G. Meintjes was supported by the Wellcome Trust (214321/Z/18/Z) and the South African Research Chairs Initiative of the Department of Science and Technology and NRF of South Africa (Grant No 64787) . G. Theron acknowledges funding from the EDCTP2 programme supported by the European Union (SF1401, OPTIMAL DIAGNOSIS; RIA2020I-3305, CAGE -TB) and the National Institutes of Health (U01AI152087; U54EB027049; D43TW010350) . G. Ndlangalavu acknowledges the SAMRC for funding: " The work reported herein was made possible through funding by the South African Medical Research Council through its Division of Research Capacity Development under the SAMRC Internship Scholarship Programme. The content hereof is the sole responsibility of the authors and does not necessarily represent the official views of the SAMRC " . M. Noursadeghi is supported by the Wellcome Trust (207511/Z/17/Z) and by National Institute for Health Research Biomedical Research Funding to University College London and University College London Hospitals. The opinions, findings and conclusions expressed in this manuscript reflect those of the authors alone.</t>
  </si>
  <si>
    <t>[Dhana, Ashar; Meintjes, Graeme; Maartens, Gary] Univ Cape Town, Dept Med, Cape Town, South Africa; [Gupta, Rishi K.; Hamada, Yohhei; Calderwood, Claire J.] UCL, Inst Global Hlth, London, England; [Hamada, Yohhei] Japan AntiTB Assoc, Res Inst TB, Ctr Int Cooperat &amp; Global TB Informat, Tokyo, Japan; [Kengne, Andre P.] South African Med Res Council, Noncommunicable Dis Res Unit, Cape Town, South Africa; [Kerkhoff, Andrew D.] Univ Calif San Francisco, Zuckerberg San Francisco Gen Hosp &amp; Trauma Ctr, Div HIV Infect Dis &amp; Global Med, San Francisco, CA USA; [Yoon, Christina; Cattamanchi, Adithya] Univ Calif San Francisco, Dept Med, Div Pulm &amp; Crit Care Med, San Francisco, CA USA; [Yoon, Christina; Cattamanchi, Adithya] Univ Calif San Francisco, Ctr TB, San Francisco, CA USA; [Reeve, Byron W. P.; Theron, Grant; Ndlangalavu, Gcobisa] Stellenbosch Univ, Fac Med &amp; Hlth Sci, DSI NRF Ctr Excellence Biomed TB Res, South African Med Res Council Ctr TB Res,Div Mol B, Cape Town, South Africa; [Wood, Robin] Univ Cape Town, Inst Infect Dis &amp; Mol Med IDM, Fac Hlth Sci, Cape Town, South Africa; [Drain, Paul K.] Univ Washington, Dept Global Hlth Med &amp; Epidemiol, Seattle, WA USA; [Calderwood, Claire J.] London Sch Hyg &amp; Trop Med, Fac Infect &amp; Trop Dis, Clin Res Dept, London, England; Biomed Res &amp; Training Inst, Res Unit Zimbabwe, Harare, Zimbabwe; UCL, Div Infect &amp; Immun, London, England; Helen Joseph Hosp, Johannesburg, South Africa; Univ Cape Town, Inst Infect Dis &amp; Mol Med, Wellcome Ctr Infect Dis Res Afr CIDRI Afr, Cape Town, South Africa; Univ Liverpool, Inst Infect &amp; Global Hlth, Liverpool, England</t>
  </si>
  <si>
    <t>University of Cape Town; University of London; University College London; South African Medical Research Council; University of California System; University of California San Francisco; University of California System; University of California San Francisco; University of California System; University of California San Francisco; Stellenbosch University; University of Cape Town; University of Washington; University of Washington Seattle; University of London; London School of Hygiene &amp; Tropical Medicine; Biomedical Research Training Institute; University of London; University College London; University of Cape Town; University of Liverpool</t>
  </si>
  <si>
    <t>Clinical utility of WHO-recommended screening tools and development and validation of novel clinical prediction models for pulmonary tuberculosis screening among outpatients living with HIV: an individual participant data meta-analysis</t>
  </si>
  <si>
    <t>EUROPEAN RESPIRATORY REVIEW</t>
  </si>
  <si>
    <t>C-REACTIVE PROTEIN</t>
  </si>
  <si>
    <t>Theron, Grant/QDL-9809-2026; Kengne, Andre Pascal/ABB-3696-2020; Maartens, Gary/S-2788-2019; Noursadeghi, Mahdad/C-2639-2008</t>
  </si>
  <si>
    <t>Gupta, Rishi/0000-0002-6257-1285; Theron, Grant/0000-0002-9216-2415; Meintjes, Graeme/0000-0003-1196-4414; Kengne, Andre Pascal/0000-0002-5183-131X; Maartens, Gary/0000-0003-3080-6606; Ndlangalavu, Gcobisa/0000-0001-8450-6460; Calderwood, Claire/0000-0002-1926-7464</t>
  </si>
  <si>
    <t>EUROPEAN RESPIRATORY SOC JOURNALS LTD</t>
  </si>
  <si>
    <t>SHEFFIELD</t>
  </si>
  <si>
    <t>442 GLOSSOP RD, SHEFFIELD S10 2PX, ENGLAND</t>
  </si>
  <si>
    <t>0905-9180</t>
  </si>
  <si>
    <t>1600-0617</t>
  </si>
  <si>
    <t>EUR RESPIR REV</t>
  </si>
  <si>
    <t>Eur. Respir. Rev.</t>
  </si>
  <si>
    <t>JUN 30 2023</t>
  </si>
  <si>
    <t>168</t>
  </si>
  <si>
    <t>230021</t>
  </si>
  <si>
    <t>10.1183/16000617.0021-2023</t>
  </si>
  <si>
    <t>http://dx.doi.org/10.1183/16000617.0021-2023</t>
  </si>
  <si>
    <t>K2RI7</t>
  </si>
  <si>
    <t>37286216</t>
  </si>
  <si>
    <t>WOS:001014958900003</t>
  </si>
  <si>
    <t>Niznick, N; Sadeghirad, B; Rochwerg, B; Tran, A; Jung, RG; Fantaneanu, TA; Boyd, JG; Sekhon, MS; Hirsch, KG; Nolan, JP; Sandroni, C; Fernando, SM</t>
  </si>
  <si>
    <t>Objectives: Summarize the prognostic performance of existing clinical prediction models (CPMs) for neuroprognostication after out-of-hospital cardiac arrest (OHCA).Data Sources: We searched Medline and Embase databases from inception to June 1, 2025.Study Selection: We selected English-language studies that included adults with OHCA and evaluated a CPM for the prediction of poor functional outcome. We excluded derivation cohorts for prognostic scores and excluded models without at least two external validation cohorts.Data Extraction: Two authors performed citation screening and data extraction. Where possible, we pooled the sensitivity and specificity of poor functional outcome, and the area under the receiver operating characteristic curve (AUROC) values for each CPM. We assessed risk of bias using the Prediction model study Risk of Bias Assessment Tool, and rated the certainty of evidence using the Grading of Recommendations, Assessment, Development, and Evaluation.Data Synthesis: We included 39 observational cohorts (95,037 patients) evaluating 11 different CPMs, with the two most common scores being the OHCA and Cardiac Arrest Hospital Prognosis (CAHP) scores. An OHCA score greater than or equal to 17 had a pooled sensitivity of 81.8% (95% CI, 65.8-91.4%) and specificity of 74.2% (95% CI, 58.8-85.3%), while a score of greater than or equal to 32 had a pooled sensitivity of 64.9% (95% CI, 44.0-81.3%) and specificity of 89.5% (95% CI, 75.9-95.8%) for poor functional outcome (low certainty). A CAHP score greater than or equal to 150 had a pooled sensitivity of 81.3% (95% CI, 77.7-84.4%) and specificity of 77.0% (95% CI, 70.6-82.4%) for poor functional outcome (moderate certainty). Pooled AUROCs across the 11 CPMs varied from 0.75 to 0.88, with substantial heterogeneity.Conclusions: CPMs for neuroprognostication after OHCA demonstrate only moderate accuracy, with substantial heterogeneity across validation cohorts. These limitations restrict their clinical utility, particularly for irreversible decisions such as withdrawal of life-sustaining therapy.</t>
  </si>
  <si>
    <t>Niznick, Naomi; Sadeghirad, Behnam; Rochwerg, Bram; Tran, Alexandre; Jung, Richard G.; Fantaneanu, Tadeu A.; Boyd, J. Gordon; Sekhon, Mypinder S.; Hirsch, Karen G.; Nolan, Jerry P.; Sandroni, Claudio; Fernando, Shannon M.</t>
  </si>
  <si>
    <t>Fernando, SM (corresponding author), Queens Univ, Dept Crit Care Med, Kingston, ON, Canada.; Fernando, SM (corresponding author), Lakeridge Hlth, Dept Crit Care, Oshawa, ON, Canada.</t>
  </si>
  <si>
    <t>alexandre.tran@medportal.ca; gordon.boyd@kingstonhsc.ca; tfantaneanu@toh.ca; jerrynolan@me.com; khirsch@stanford.edu; rochwerg@mcmaster.ca; rjung@ottawaheart.ca; mypindersekhon@gmail.com; claudio.sandroni@unicatt.it; sadeghb@mcmaster.ca; sfernando@qmed.ca</t>
  </si>
  <si>
    <t>[Niznick, Naomi; Tran, Alexandre] Univ Ottawa, Dept Med, Div Crit Care, Ottawa, ON, Canada; [Niznick, Naomi; Fantaneanu, Tadeu A.] Univ Ottawa, Dept Med, Div Neurol, Ottawa, ON, Canada; [Sadeghirad, Behnam] McMaster Univ, Dept Anesthesia, Hamilton, ON, Canada; [Sadeghirad, Behnam; Rochwerg, Bram] McMaster Univ, Dept Hlth Res Methods Evidence &amp; Impact, Hamilton, ON, Canada; [Rochwerg, Bram] McMaster Univ, Dept Med, Div Crit Care, Hamilton, ON, Canada; [Rochwerg, Bram] Hamilton Hlth Sci, Knowledge Ctr, Hamilton, ON, Canada; [Tran, Alexandre; Fantaneanu, Tadeu A.] Ottawa Hosp Res Inst, Ottawa, ON, Canada; [Jung, Richard G.] Univ Ottawa, Div Cardiol, Heart Inst, Ottawa, ON, Canada; [Boyd, J. Gordon] Queens Univ, Dept Med, Div Neurol, Kingston, ON, Canada; [Boyd, J. Gordon; Fernando, Shannon M.] Queens Univ, Dept Crit Care Med, Kingston, ON, Canada; [Sekhon, Mypinder S.] Univ British Columbia, Dept Med, Div Crit Care Med, Vancouver, BC, Canada; [Hirsch, Karen G.] Stanford Univ, Dept Psychol, Stanford, CA USA; [Nolan, Jerry P.] Royal United Hosp, Dept Anaesthesia &amp; Intens Care Med, Bath, England; [Sandroni, Claudio] Univ Cattolica Sacro Cuore, Inst Anesthesiol &amp; Intens Care Med, Rome, Italy; [Sandroni, Claudio] Fdn Policlin Univ Agostino Gemelli, Dept Intens Care Emergency Med &amp; Anesthesiol, IRCCS, Rome, Italy; [Fernando, Shannon M.] Lakeridge Hlth, Dept Crit Care, Oshawa, ON, Canada</t>
  </si>
  <si>
    <t>University of Ottawa; University of Ottawa; McMaster University; McMaster University; McMaster University; McMaster University; University of Ottawa; Ottawa Hospital Research Institute; University of Ottawa; University of Ottawa Heart Institute; Queens University - Canada; Queens University - Canada; University of British Columbia; Stanford University; Catholic University of the Sacred Heart; IRCCS Policlinico Gemelli; Catholic University of the Sacred Heart; IRCCS Policlinico Gemelli</t>
  </si>
  <si>
    <t>Clinical Prediction Models for Prognostication After Out-of-Hospital Cardiac Arrest: A Systematic Review and Meta-Analysis</t>
  </si>
  <si>
    <t>CRITICAL CARE MEDICINE</t>
  </si>
  <si>
    <t>hypoxemic-ischemic brain injury; out-of-hospital cardiac arrest; prediction scores; prognosis</t>
  </si>
  <si>
    <t>NULL-PLEASE; OHCA SCORE; SURVIVAL; RISK; PROGNOSIS; TOOL; RESUSCITATION; ASSOCIATION; SPECIFICITY; SENSITIVITY</t>
  </si>
  <si>
    <t>0090-3493</t>
  </si>
  <si>
    <t>1530-0293</t>
  </si>
  <si>
    <t>CRIT CARE MED</t>
  </si>
  <si>
    <t>Crit. Care Med.</t>
  </si>
  <si>
    <t>AUG 2026</t>
  </si>
  <si>
    <t>2112</t>
  </si>
  <si>
    <t>2123</t>
  </si>
  <si>
    <t>10.1097/CCM.0000000000007206</t>
  </si>
  <si>
    <t>http://dx.doi.org/10.1097/CCM.0000000000007206</t>
  </si>
  <si>
    <t>Critical Care Medicine</t>
  </si>
  <si>
    <t>MH5XP</t>
  </si>
  <si>
    <t>42274294</t>
  </si>
  <si>
    <t>WOS:001842424800014</t>
  </si>
  <si>
    <t>Luo, H</t>
  </si>
  <si>
    <t>Risk prediction models are an important part of assessing operative mortality and postoperative complication rates in current cardiac surgery practice. Furthermore, they guide clinical decision-making and perioperative patient management. In recent years, a variety of clinical prediction models have been developed in China and other countries to assess the risk of mortality and complications after cardiac surgery. Currently, the most widely used and mature models are the new version of the European Cardiac Surgery Evaluation System (EuroSCORE II), the American Society of Thoracic Surgeons Cardiac Surgery Risk Model (STS score), and the Chinese Coronary Artery Bypass Graft Surgery Risk Evaluation System (SinoSCORE). This article reviews the application of these three risk prediction models, to identify the optimal model for guiding clinical practice.</t>
  </si>
  <si>
    <t>Luo, Huan</t>
  </si>
  <si>
    <t>Luo, H (corresponding author), Chongqing Univ, Dept Anesthesiol, Canc Hosp, 181 Hanyu Rd, Chongqing 400030, Peoples R China.; Luo, H (corresponding author), Chongqing Canc Inst, 181 Hanyu Rd, Chongqing 400030, Peoples R China.; Luo, H (corresponding author), Chongqing Canc Hosp, 181 Hanyu Rd, Chongqing 400030, Peoples R China.</t>
  </si>
  <si>
    <t>570334859@qq.com</t>
  </si>
  <si>
    <t>[Luo, Huan] Chongqing Univ, Dept Anesthesiol, Canc Hosp, Chongqing, Peoples R China; [Luo, Huan] Chongqing Canc Hosp, Chongqing, Peoples R China; [Luo, Huan] Chongqing Canc Hosp, Chongqing, Peoples R China; [Luo, Huan] Chongqing Univ, Dept Anesthesiol, Canc Hosp, 181 Hanyu Rd, Chongqing 400030, Peoples R China; [Luo, Huan] Chongqing Canc Inst, 181 Hanyu Rd, Chongqing 400030, Peoples R China; [Luo, Huan] Chongqing Canc Hosp, 181 Hanyu Rd, Chongqing 400030, Peoples R China</t>
  </si>
  <si>
    <t>Chongqing University; Chongqing University</t>
  </si>
  <si>
    <t>Risk-Predictive Models for Adverse Events in Cardiac Surgery: A Review</t>
  </si>
  <si>
    <t>CARDIOVASCULAR INNOVATIONS AND APPLICATIONS</t>
  </si>
  <si>
    <t>Cardiac surgery; Risk-predictive model; EuroSCORE; STS score; SinoSCORE</t>
  </si>
  <si>
    <t>AORTIC-VALVE-REPLACEMENT; IN-HOSPITAL MORTALITY; EUROSCORE II; EUROPEAN SYSTEM; CHINESE PATIENTS; SINGLE-CENTER; SOCIETY; SCORE; PERFORMANCE; VALIDATION</t>
  </si>
  <si>
    <t>COMPUSCRIPT</t>
  </si>
  <si>
    <t>SHANNON</t>
  </si>
  <si>
    <t>BAY 11A, SHANNON INDUSTRIAL EST, SHANNON, CLARE 00000, IRELAND</t>
  </si>
  <si>
    <t>2009-8618</t>
  </si>
  <si>
    <t>2009-8782</t>
  </si>
  <si>
    <t>CARDIOVASC INNOV APP</t>
  </si>
  <si>
    <t>Cardiovasc. Innov. Appl.</t>
  </si>
  <si>
    <t>997</t>
  </si>
  <si>
    <t>10.15212/CVIA.2023.0083</t>
  </si>
  <si>
    <t>http://dx.doi.org/10.15212/CVIA.2023.0083</t>
  </si>
  <si>
    <t>HK2K1</t>
  </si>
  <si>
    <t>WOS:001159327700001</t>
  </si>
  <si>
    <t>Guo, XR; Xu, HM; Zhang, JT; Hao, B; Yang, T</t>
  </si>
  <si>
    <t>Objective: This systematic review and meta-analysis aimed to systematically evaluate the prediction models for the risk of post-thrombotic syndrome (PTS) in deep vein thrombosis (DVT) patients. Methods: This systematic review and meta-analysis was guided by the Preferred Reporting Items for Systematic Reviews and Meta-analyses (PRISMA). A systematic search on the following electronic database: PubMed/MEDLINE, EMBASE, and Cochrane Library, and Chinese databases such as WANFANG and CNKI was conducted to look for relevant articles based on the research question. The risk of bias for each studies included was carried out based on Prediction Model Risk of Bias Assessment Tool (PROBAST).Results: We identified 10 studies that developed a total of 13 clinical prediction models for PTS risk in DVT patients, 3 models were externally validated, 2 models were temporally validated. The top 5 predictors were: BMI (N = 9), Varicose vein (N = 6), Baseline Villalta Score (N = 6), Iliofemoral thrombosis (N = 5), and Age (N = 4). The high risk of bias was from the analysis domain, which the number of participants and selection of predictors often did not meet the requirements of PROBAST. A random-effects meta-analysis of C-statistics was conducted, the pooled discrimination was C-statistic 0.75, 95%CI (0.69, 0.81).Conclusion: Among the 13 PTS risk prediction models reported in this study, no prediction model has been applied to clinical practice due to the lack of external validation. In the development of prediction models, most models were not standardized in data analysis. It is recommended that future studies on the design and implementation of prediction models refer to Transparent reporting of a multivariable prediction model for individual prognosis or diagnosis (TRIPOD) and PROBAST.</t>
  </si>
  <si>
    <t>Guo, Xiaorong; Xu, Huimin; Zhang, Jiantao; Hao, Bin; Yang, Tao</t>
  </si>
  <si>
    <t>Hao, B; Yang, T (corresponding author), Shanxi Med Univ, Shanxi Bethune Hosp, Shanxi Acad Med Sci, Dept Gen Surg,Hosp 3, 99 Longcheng St, Taiyuan 030032, Shanxi, Peoples R China.; Hao, B; Yang, T (corresponding author), Tongji Shanxi Hosp, Tongji Med Coll HUST, 99 Longcheng St, Taiyuan 030032, Shanxi, Peoples R China.</t>
  </si>
  <si>
    <t>tao646808009@gmail.com; haobin63@163.com</t>
  </si>
  <si>
    <t>Shanxi Province "136 Revitalization Medical Project Construction Funds"</t>
  </si>
  <si>
    <t>This study was funded by Shanxi Province "136 Revitalization Medical Project Construction Funds".</t>
  </si>
  <si>
    <t>[Guo, Xiaorong; Xu, Huimin; Zhang, Jiantao; Hao, Bin; Yang, Tao] Shanxi Med Univ, Shanxi Bethune Hosp, Shanxi Acad Med Sci, Dept Gen Surg,Hosp 3, 99 Longcheng St, Taiyuan 030032, Shanxi, Peoples R China; [Hao, Bin; Yang, Tao] Tongji Shanxi Hosp, Tongji Med Coll HUST, 99 Longcheng St, Taiyuan 030032, Shanxi, Peoples R China</t>
  </si>
  <si>
    <t>Shanxi Medical University</t>
  </si>
  <si>
    <t>A systematic review and meta-analysis of risk prediction models for post-thrombotic syndrome in patients with deep vein thrombosis</t>
  </si>
  <si>
    <t>HELIYON</t>
  </si>
  <si>
    <t>Post-thrombotic syndrome; Deep vein thrombosis; Clinical prediction model</t>
  </si>
  <si>
    <t>EXTERNAL VALIDATION; IMPACT</t>
  </si>
  <si>
    <t>CELL PRESS</t>
  </si>
  <si>
    <t>50 HAMPSHIRE ST, FLOOR 5, CAMBRIDGE, MA 02139 USA</t>
  </si>
  <si>
    <t>2405-8440</t>
  </si>
  <si>
    <t>Heliyon</t>
  </si>
  <si>
    <t>NOV 13 2023</t>
  </si>
  <si>
    <t>e22226</t>
  </si>
  <si>
    <t>10.1016/j.heliyon.2023.e22226</t>
  </si>
  <si>
    <t>http://dx.doi.org/10.1016/j.heliyon.2023.e22226</t>
  </si>
  <si>
    <t>AW2Z4</t>
  </si>
  <si>
    <t>38045217</t>
  </si>
  <si>
    <t>WOS:001121435300001</t>
  </si>
  <si>
    <t>Souwer, ETD; Bastiaannet, E; Steyerberg, EW; Dekker, JWT; van den Bos, F; Portielje, JEA</t>
  </si>
  <si>
    <t>Background: An increasing number of patients with Colorectal Cancer (CRC) is 65 years or older. We aimed to systematically review existing clinical prediction models for postoperative outcomes of CRC surgery, study their performance in older patients and assess their potential for preoperative decision making.Methods: A systematic search in Pubmed and Embase for original studies of clinical prediction models for outcomes of CRC surgery. Bias and relevance for preoperative decision making with older patients were assessed using the CHARMS guidelines.Results: 26 prediction models from 25 publications were included. The average age of included patients ranged from 61 to 76. Two models were exclusively developed for 65 and older. Common outcomes were mortality (n = 10), anastomotic leakage (n = 7) and surgical site infections (n = 3). No prediction models for quality of life or physical functioning were identified. Age, gender and ASA score were common predictors; 12 studies included intraoperative predictors. For the majority of the models, bias for model development and performance was considered moderate to high.Conclusions: Prediction models are available that address mortality and surgical complications after CRC surgery. Most models suffer from methodological limitations, and their performance for older patients is uncertain. Models that contain intraoperative predictors are of limited use for preoperative decision making. Future research should address the predictive value of geriatric characteristics to improve the performance of prediction models for older patients. (C) 2020 The Authors. Published by Elsevier Ltd.</t>
  </si>
  <si>
    <t>Souwer, Esteban T. D.; Bastiaannet, Esther; Steyerberg, Ewout W.; Dekker, Jan-Willem T.; van den Bos, Frederiek; Portielje, Johanna E. A.</t>
  </si>
  <si>
    <t>Souwer, ETD (corresponding author), Leiden Univ, Med Ctr, Dept Med Oncol, POB 9600, NL-2300 RC Leiden, Netherlands.</t>
  </si>
  <si>
    <t>e.t.d.souwer@lumc.nl</t>
  </si>
  <si>
    <t>[Souwer, Esteban T. D.] Haga Hosp, Dept Internal Med, The Hague, Netherlands; [Souwer, Esteban T. D.; Bastiaannet, Esther; Portielje, Johanna E. A.] Leiden Univ, Med Ctr, Dept Med Oncol, POB 9600, NL-2300 RC Leiden, Netherlands; [Bastiaannet, Esther] Leiden Univ, Med Ctr, Dept Surg, Leiden, Netherlands; [Steyerberg, Ewout W.] Leiden Univ, Med Ctr, Dept Biochem Data Sci, Leiden, Netherlands; [Dekker, Jan-Willem T.] Reinier de Graaf Hosp, Dept Surg, Delft, Netherlands; [van den Bos, Frederiek] Univ Med Ctr Utrecht, Dept Geriatr Med, Utrecht, Netherlands</t>
  </si>
  <si>
    <t>Haga Hospital; Leiden University; Leiden University - Excl LUMC; Leiden University Medical Center (LUMC); Leiden University - Excl LUMC; Leiden University; Leiden University Medical Center (LUMC); Leiden University; Leiden University - Excl LUMC; Leiden University Medical Center (LUMC); Reinier de Graaf Hospital; Utrecht University; Utrecht University Medical Center</t>
  </si>
  <si>
    <t>Risk prediction models for postoperative outcomes of colorectal cancer surgery in the older population - a systematic review</t>
  </si>
  <si>
    <t>JOURNAL OF GERIATRIC ONCOLOGY</t>
  </si>
  <si>
    <t>Review; Colorectal cancer; Aged; Prediction; Surgery; Treatment outcomes</t>
  </si>
  <si>
    <t>LOW ANTERIOR RESECTION; ELDERLY-PATIENTS; ANASTOMOTIC LEAK; OPERATIVE MORTALITY; SCORING SYSTEM; CR-POSSUM; P-POSSUM; 1ST YEAR; VALIDATION; NOMOGRAM</t>
  </si>
  <si>
    <t>Bastiaannet, Esther/QQX-6928-2026; Steyerberg, Ewout/C-1509-2018</t>
  </si>
  <si>
    <t>1879-4068</t>
  </si>
  <si>
    <t>1879-4076</t>
  </si>
  <si>
    <t>J GERIATR ONCOL</t>
  </si>
  <si>
    <t>J. Geriatr. Oncol.</t>
  </si>
  <si>
    <t>1217</t>
  </si>
  <si>
    <t>1228</t>
  </si>
  <si>
    <t>10.1016/j.jgo.2020.04.006</t>
  </si>
  <si>
    <t>http://dx.doi.org/10.1016/j.jgo.2020.04.006</t>
  </si>
  <si>
    <t>Oncology; Geriatrics &amp; Gerontology</t>
  </si>
  <si>
    <t>OI5WI</t>
  </si>
  <si>
    <t>32414672</t>
  </si>
  <si>
    <t>WOS:000583348000005</t>
  </si>
  <si>
    <t>Fusar-Poli, P; Hijazi, Z; Stahl, D; Steyerberg, EW</t>
  </si>
  <si>
    <t>IMPORTANCE Prognosis is a venerable component of medical knowledge introduced by Hippocrates (460-377 BC). This educational review presents a contemporary evidence-based approach for how to incorporate clinical risk prediction models in modern psychiatry. The article is organized around key methodological themes most relevant for the science of prognosis in psychiatry. Within each theme, the article highlights key challenges and makes pragmatic recommendations to improve scientific understanding of prognosis in psychiatry.OBSERVATIONS The initial step to building clinical risk prediction models that can affect psychiatric care involves designing the model: preparation of the protocol and definition of the outcomes and of the statistical methods (theme 1). Further initial steps involve carefully selecting the predictors, preparing the data, and developing the model in these data. A subsequent step is the validation of the model to accurately test its generalizability (theme 2). The next consideration is that the accuracy of the clinical prediction model is affected by the incidence of the psychiatric condition under investigation (theme 3). Eventually, clinical prediction models need to be implemented in real-world clinical routine, and this is usually the most challenging step (theme 4). Advanced methods such as machine learning approaches can overcome some problems that undermine the previous steps (theme 5). The relevance of each of these themes to current clinical risk prediction modeling in psychiatry is discussed and recommendations are given.CONCLUSIONS AND RELEVANCE Together, these perspectives intend to contribute to an integrative, evidence-based science of prognosis in psychiatry. By focusing on the outcome of the individuals, rather than on the disease, clinical risk prediction modeling can become the cornerstone for a scientific and personalized psychiatry.</t>
  </si>
  <si>
    <t>Fusar-Poli, Paolo; Hijazi, Ziad; Stahl, Daniel; Steyerberg, Ewout W.</t>
  </si>
  <si>
    <t>Fusar-Poli, P (corresponding author), Inst Psychiat Psychol &amp; Neurosci, Dept Psychosis Studies, Main Bldg,5th Floor,PO63,16 De Crespigny Pk, London SE5 8AF, England.</t>
  </si>
  <si>
    <t>paolo.fusar-poli@kcl.ac.uk</t>
  </si>
  <si>
    <t>Medical Research Council [MC_PC_16048]; National Institute for Health Research Biomedical Research Centre at South London and Maudsley National Health Service Foundation Trust and King's College London; Patient-Centered Outcomes Research Institute award [ME-160635555]; Medical Research Council [MC_PC_16048] Funding Source: researchfish; MRC [MC_PC_16048] Funding Source: UKRI</t>
  </si>
  <si>
    <t>Medical Research Council (UK Research &amp; Innovation (UKRI), Medical Research Council UK (MRC)); National Institute for Health Research Biomedical Research Centre at South London and Maudsley National Health Service Foundation Trust and King's College London (King's College London); Patient-Centered Outcomes Research Institute award (Patient-Centered Outcomes Research Institute (PCORI)); Medical Research Council (UK Research &amp; Innovation (UKRI), Medical Research Council UK (MRC)); MRC (UK Research &amp; Innovation (UKRI), Medical Research Council UK (MRC))</t>
  </si>
  <si>
    <t>This work is supported in part by a King's College London Confidence in Concept award (MC_PC_16048) from the Medical Research Council (Dr Fusar-Poli). Dr Stahl was partly funded by the National Institute for Health Research Biomedical Research Centre at South London and Maudsley National Health Service Foundation Trust and King's College London. Dr Steyerberg was partially supported through a Patient-Centered Outcomes Research Institute award (ME-160635555).</t>
  </si>
  <si>
    <t>[Fusar-Poli, Paolo] Kings Coll London, Inst Psychiat Psychol &amp; Neurosci, Dept Psychosis Studies, Early Psychosis Intervent &amp; Clin Detect EPIC Lab, London, England; [Fusar-Poli, Paolo] South London &amp; Maudsley Natl Hlth Serv Fdn Trust, OASIS Serv, London, England; [Fusar-Poli, Paolo] Univ Pavia, Dept Brain &amp; Behav Sci, Pavia, Italy; [Hijazi, Ziad] Uppsala Univ, Univ Uppsala Hosp, Dept Med Sci, Cardiol, Uppsala, Sweden; [Hijazi, Ziad] Uppsala Univ, Univ Uppsala Hosp, Uppsala Clin Res Ctr, Uppsala, Sweden; [Stahl, Daniel] Kings Coll London, Inst Psychiat Psychol &amp; Neurosci, Dept Biostat &amp; Hlth Informat, London, England; [Steyerberg, Ewout W.] Leiden Univ, Med Ctr, Dept Biomed Data Sci Med Stat &amp; Med Decis Making, Leiden, Netherlands</t>
  </si>
  <si>
    <t>University of London; King's College London; South London &amp; Maudsley NHS Trust; University of Pavia; Uppsala University; Uppsala University Hospital; Uppsala University; Uppsala University Hospital; University of London; King's College London; Leiden University - Excl LUMC; Leiden University; Leiden University Medical Center (LUMC)</t>
  </si>
  <si>
    <t>The Science of Prognosis in Psychiatry A Review</t>
  </si>
  <si>
    <t>JAMA PSYCHIATRY</t>
  </si>
  <si>
    <t>CLINICAL HIGH-RISK; ULTRA-HIGH RISK; PREDICTION MODELS; EXTERNAL VALIDATION; SAMPLE-SIZE; PSYCHOSIS RISK; INDIVIDUALS; CALCULATOR; DIAGNOSIS; ALGORITHM</t>
  </si>
  <si>
    <t>Hijazi, Ziad/KTI-6910-2024; Stahl, Daniel/B-9713-2011; Fusar-Poli, Paolo/D-8605-2011; Steyerberg, Ewout/C-1509-2018</t>
  </si>
  <si>
    <t>Hijazi, Ziad/0000-0002-7420-743X; Stahl, Daniel/0000-0001-7987-6619; Fusar-Poli, Paolo/0000-0003-3582-6788</t>
  </si>
  <si>
    <t>95</t>
  </si>
  <si>
    <t>164</t>
  </si>
  <si>
    <t>175</t>
  </si>
  <si>
    <t>AMER MEDICAL ASSOC</t>
  </si>
  <si>
    <t>CHICAGO</t>
  </si>
  <si>
    <t>330 N WABASH AVE, STE 39300, CHICAGO, IL 60611-5885 USA</t>
  </si>
  <si>
    <t>2168-622X</t>
  </si>
  <si>
    <t>2168-6238</t>
  </si>
  <si>
    <t>JAMA PSYCHIAT</t>
  </si>
  <si>
    <t>JAMA Psychiatry</t>
  </si>
  <si>
    <t>DEC 2018</t>
  </si>
  <si>
    <t>75</t>
  </si>
  <si>
    <t>1289</t>
  </si>
  <si>
    <t>1297</t>
  </si>
  <si>
    <t>10.1001/jamapsychiatry.2018.2530</t>
  </si>
  <si>
    <t>http://dx.doi.org/10.1001/jamapsychiatry.2018.2530</t>
  </si>
  <si>
    <t>HD6TS</t>
  </si>
  <si>
    <t>30347013</t>
  </si>
  <si>
    <t>WOS:000452682200013</t>
  </si>
  <si>
    <t>Harzheim, D; Eberhardt, R; Hoffmann, H; Herth, FJF</t>
  </si>
  <si>
    <t>Due to the high etiological diversity and the potential for malignancy, pulmonary nodules represent a clinical challenge, becoming increasingly frequent as the number of CT examinations rises. The topic gains even more importance as clear evidence for the effectiveness of CT screening was provided by the National Lung Screening Trial (NLST). Yet, the results were tempered by the high false-positive rate and the requirement of performing further diagnostic procedures. The management of those detected solitary pulmonary nodules is currently based on the individuals' risk of developing lung cancer, the pulmonary nodule characteristics and the capability of diagnostic and therapeutic approaches. (C) 2015 S. Karger AG, Basel</t>
  </si>
  <si>
    <t>Harzheim, Dominik; Eberhardt, Ralf; Hoffmann, Hans; Herth, Felix J. F.</t>
  </si>
  <si>
    <t>Harzheim, D (corresponding author), Univ Klinikum Heidelberg, Thoraxklin, Amalienstr 5, DE-69126 Heidelberg, Germany.</t>
  </si>
  <si>
    <t>dominik.harzheim@med.uni-heidelberg.de</t>
  </si>
  <si>
    <t>[Harzheim, Dominik; Eberhardt, Ralf; Hoffmann, Hans; Herth, Felix J. F.] Univ Klinikum Heidelberg, Thoraxklin, DE-69126 Heidelberg, Germany</t>
  </si>
  <si>
    <t>Ruprecht Karls University Heidelberg</t>
  </si>
  <si>
    <t>The Solitary Pulmonary Nodule</t>
  </si>
  <si>
    <t>RESPIRATION</t>
  </si>
  <si>
    <t>Solitary pulmonary nodule; Lung cancer; Screening; Management; Biopsy; Surgical approaches</t>
  </si>
  <si>
    <t>POSITRON-EMISSION-TOMOGRAPHY; CELL LUNG-CANCER; GUIDED RADIOFREQUENCY ABLATION; MAXIMUM INTENSITY PROJECTION; CLINICAL-PREDICTION MODEL; NEEDLE-ASPIRATION BIOPSY; COMPUTER-AIDED DETECTION; ENDOBRONCHIAL ULTRASOUND; SPIRAL CT; DIAGNOSTIC YIELD</t>
  </si>
  <si>
    <t>Herth, Felix/IZE-1794-2023; Eberhardt, Ralf/QIU-7841-2026</t>
  </si>
  <si>
    <t>Herth, Felix/0000-0002-7638-2506</t>
  </si>
  <si>
    <t>128</t>
  </si>
  <si>
    <t>0025-7931</t>
  </si>
  <si>
    <t>1423-0356</t>
  </si>
  <si>
    <t>Respiration</t>
  </si>
  <si>
    <t>90</t>
  </si>
  <si>
    <t>160</t>
  </si>
  <si>
    <t>172</t>
  </si>
  <si>
    <t>10.1159/000430996</t>
  </si>
  <si>
    <t>http://dx.doi.org/10.1159/000430996</t>
  </si>
  <si>
    <t>CQ5GU</t>
  </si>
  <si>
    <t>26138915</t>
  </si>
  <si>
    <t>WOS:000360632100010</t>
  </si>
  <si>
    <t>79</t>
  </si>
  <si>
    <t>410</t>
  </si>
  <si>
    <t>Alba, AC; Agoritsas, T; Walsh, M; Hanna, S; Iorio, A; Devereaux, PJ; McGinn, T; Guyatt, G</t>
  </si>
  <si>
    <t>Accurate nformation regarding prognosis s fundamental to optimal clinical care. The best approach to assess patient prognosis relies on prediction models that simultaneously consider a number of prognostic factors and provide an estimate of patients' absolute risk of an event. Such prediction models should be characterized by adequately discriminating between patients who will have an event and those who will not and by adequate calibration ensuring accurate prediction of absolute risk. This Users' Guide will help clinicians understand the available metrics for assessing discrimination, calibration, and the relative performance of different prediction models. This article complements existing Users' Guides that address the development and validation of prediction models. Together, these guides will help clinicians to make optimal use of existing prediction models.</t>
  </si>
  <si>
    <t>Alba, Ana Carolina; Agoritsas, Thomas; Walsh, Michael; Hanna, Steven; Iorio, Alfonso; Devereaux, P. J.; McGinn, Thomas; Guyatt, Gordon</t>
  </si>
  <si>
    <t>Alba, AC (corresponding author), Toronto Gen Hosp, 585 Univ Ave,6EN-246, Toronto, ON M5G 2N2, Canada.</t>
  </si>
  <si>
    <t>carolina.alba@uhn.ca</t>
  </si>
  <si>
    <t>Abbott Diagnostics; Boehringer Ingelheim; Covidien; Octapharma; Roche Dignostics; Stryker</t>
  </si>
  <si>
    <t>Abbott Diagnostics (Abbott Laboratories); Boehringer Ingelheim (Boehringer Ingelheim); Covidien; Octapharma; Roche Dignostics; Stryker</t>
  </si>
  <si>
    <t>The authors have completed and submitted the ICMJE Form for Disclosure of Potential Conflicts of Interest. Dr Devereaux reported receiving grant funding from Abbott Diagnostics, Boehringer Ingelheim, Covidien, Octapharma, Roche Dignostics, and Stryker. No other disclosures were reported.</t>
  </si>
  <si>
    <t>[Alba, Ana Carolina] Univ Hlth Network, Toronto Gen Hosp, Heart Failure &amp; Transplant Program, Toronto, ON, Canada; [Agoritsas, Thomas; Walsh, Michael; Hanna, Steven; Iorio, Alfonso; Devereaux, P. J.; Guyatt, Gordon] McMaster Univ, Dept Hlth Res Methods Evidence &amp; Impact, Hamilton, ON, Canada; [Agoritsas, Thomas] Univ Hosp Geneva, Div Clin Epidemiol, Geneva, Switzerland; [Agoritsas, Thomas] Univ Hosp Geneva, Div Gen Internal Med, Geneva, Switzerland; [McGinn, Thomas] Hofstra Univ, Feinstein Inst Med Res, Northwell Sch Med, Hempstead, NY 11550 USA</t>
  </si>
  <si>
    <t>University of Toronto; University Health Network Toronto; Toronto General Hospital; McMaster University; University of Geneva; University of Geneva; Hofstra University; Northwell Health</t>
  </si>
  <si>
    <t>Discrimination and Calibration of Clinical Prediction Models Users' Guides to the Medical Literature</t>
  </si>
  <si>
    <t>JAMA-JOURNAL OF THE AMERICAN MEDICAL ASSOCIATION</t>
  </si>
  <si>
    <t>RISK PREDICTION; HEART; VALIDATION; MORTALITY; SCORE; PERFORMANCE; GUIDELINES; SURVIVAL; SURGERY; CURVE</t>
  </si>
  <si>
    <t>Agoritsas, Thomas/F-4321-2014; Walsh, Michael/ABE-1278-2021; Iorio, Alfonso/B-9478-2013; Guyatt, Gordon/ACB-1302-2022; Devereaux, PJ/AAF-2862-2019</t>
  </si>
  <si>
    <t>Agoritsas, Thomas/0000-0002-6182-9969; Alba, Ana/0000-0003-2744-2696; Walsh, Michael/0000-0001-8292-2014; Hanna, Steven/0000-0003-3120-9600</t>
  </si>
  <si>
    <t>1347</t>
  </si>
  <si>
    <t>1493</t>
  </si>
  <si>
    <t>0098-7484</t>
  </si>
  <si>
    <t>1538-3598</t>
  </si>
  <si>
    <t>JAMA-J AM MED ASSOC</t>
  </si>
  <si>
    <t>JAMA-J. Am. Med. Assoc.</t>
  </si>
  <si>
    <t>OCT 10 2017</t>
  </si>
  <si>
    <t>318</t>
  </si>
  <si>
    <t>1377</t>
  </si>
  <si>
    <t>1384</t>
  </si>
  <si>
    <t>10.1001/jama.2017.12126</t>
  </si>
  <si>
    <t>http://dx.doi.org/10.1001/jama.2017.12126</t>
  </si>
  <si>
    <t>FJ6BP</t>
  </si>
  <si>
    <t>29049590</t>
  </si>
  <si>
    <t>WOS:000412838900021</t>
  </si>
  <si>
    <t>Hunt, A; Bonnett, L; Heron, J; Lawton, M; Clayton, G; Smith, G; Norman, J; Kenny, L; Lawlor, D; Merriel, A</t>
  </si>
  <si>
    <t>BackgroundGlobally, caesarean births (CB), including emergency caesareans births (EmCB), are rising. It is estimated that nearly a third of all births will be CB by 2030.ObjectivesIdentify and summarise the results from studies developing and validating prognostic multivariable models predicting the risk of EmCBs. Ultimately understanding the accuracy of their development, and whether they are operationalised for use in routine clinical practice.Search StrategyStudies were identified using databases: MEDLINE, CINAHL, Cochrane Central and Scopus with a search strategy tailored to models predicting EmCBs.Selection CriteriaProspective studies developing and validating clinical prediction models, with two or more covariates, to predict risk of EmCB.Data Collection and AnalysisData were extracted onto a proforma using the Prediction model Risk Of Bias ASsessment Tool (PROBAST).ResultsIn total, 8083 studies resulted in 56 unique prediction modelling studies and seven validating studies, with a total of 121 different predictors. Frequently occurring predictors included maternal height, maternal age, parity, BMI and gestational age. PROBAST highlighted 33 studies with low overall bias, and these all internally validated their model. Thirteen studies externally validated; only eight of these were graded an overall low risk of bias. Six models offered applications that could be readily used, but only one provided enough time to offer a planned caesarean birth (pCB). These well-refined models have not been recalibrated since development. Only one model, developed in a relatively low-risk population, with data collected a decade ago, remains useful at 36 weeks for arranging a pCB.ConclusionTo improve personalised clinical conversations, there is a pressing need for a model that accurately predicts the timely risk of an EmCB for women across diverse clinical backgrounds. Trial Registration: PROSPERO registration number: CRD42023384439.ConclusionTo improve personalised clinical conversations, there is a pressing need for a model that accurately predicts the timely risk of an EmCB for women across diverse clinical backgrounds. Trial Registration: PROSPERO registration number: CRD42023384439.</t>
  </si>
  <si>
    <t>Hunt, Alexandra; Bonnett, Laura; Heron, Jon; Lawton, Michael; Clayton, Gemma; Smith, Gordon; Norman, Jane; Kenny, Louise; Lawlor, Deborah; Merriel, Abi</t>
  </si>
  <si>
    <t>Hunt, A (corresponding author), Univ Liverpool, Dept Hlth Data Sci, Liverpool, England.</t>
  </si>
  <si>
    <t>hlahunt6@liverpool.ac.uk</t>
  </si>
  <si>
    <t>National Institute for Health and Care Research; Dame Tina Lavender, Christy Burden</t>
  </si>
  <si>
    <t>We would like to thank the valued contribution and continued support from The Options Study Collaborative Group, which includes Sheelagh McGuiness, Anna Davies, Dame Tina Lavender, Christy Burden, Jonathan Ives, Simon Grant, Sherif Abdel-Fattah, Danya Bakhbakhi, Andrew Demetri, Mairead Black, Sam Finnikin, Amie Wilson, Alexandra Freeman, Pete Blair, Kate Birchenall, Joanne Johnson, Amber Marshall. We will use women/mother as a collective term for this paper, but we acknowledge those that identify by other terms.</t>
  </si>
  <si>
    <t>[Hunt, Alexandra; Bonnett, Laura] Univ Liverpool, Dept Hlth Data Sci, Liverpool, England; [Heron, Jon; Clayton, Gemma; Lawlor, Deborah] Univ Bristol, Bristol Med Sch, Bristol, England; [Lawton, Michael] Univ Bristol, Bristol Populat Hlth Sci Inst, Bristol, England; [Smith, Gordon] Univ Cambridge, Dept Obstet &amp; Gynaecol, Cambridge, England; [Smith, Gordon] Rosie Hosp, Cambridge, England; [Norman, Jane] Univ Nottingham, Nottingham, England; [Kenny, Louise] Univ Liverpool, Fac Hlth &amp; Life Sci, Dept Womens &amp; Childrens Hlth, Liverpool, England; [Merriel, Abi] Univ Liverpool, Ctr Womens Hlth Res, Dept Womens &amp; Childrens Hlth, Liverpool, England; [Merriel, Abi] Liverpool Womens Hosp, Liverpool, England</t>
  </si>
  <si>
    <t>University of Liverpool; University of Bristol; University of Bristol; University of Cambridge; University of Nottingham; University of Liverpool; University of Liverpool; University of Liverpool</t>
  </si>
  <si>
    <t>Options Study Collaborative Grp</t>
  </si>
  <si>
    <t>Systematic Review of Clinical Prediction Models for the Risk of Emergency Caesarean Births</t>
  </si>
  <si>
    <t>emergency caesareans; maternal Health; prediction; prognostic; risk factors</t>
  </si>
  <si>
    <t>INDUCTION; DELIVERY; SECTION; TOOL; APPLICABILITY; VALIDATION; PROBAST; EVENTS; WOMEN; BIAS</t>
  </si>
  <si>
    <t>Norman, Jane/B-2347-2010; Kenny, Louise/X-6329-2019; Bonnett, Laura/A-2159-2015; Heron, Jon/D-5884-2011; Smith, Gordon/A-7407-2013</t>
  </si>
  <si>
    <t>Norman, Jane/0000-0001-6031-6953; Lawlor, Debbie A/0000-0002-6793-2262; Clayton, Gemma/0000-0002-9525-2758; Kenny, Louise/0000-0002-9011-759X; Bonnett, Laura/0000-0002-6981-9212; Bhandari, Monesh/0000-0001-9461-3948; hunt, Alexandra/0000-0001-5510-0285; Heron, Jon/0000-0001-6199-5644; Smith, Gordon/0000-0003-2124-0997; Merriel, Abi/0000-0003-0352-2106</t>
  </si>
  <si>
    <t>FEB 2025</t>
  </si>
  <si>
    <t>132</t>
  </si>
  <si>
    <t>231</t>
  </si>
  <si>
    <t>240</t>
  </si>
  <si>
    <t>10.1111/1471-0528.17948</t>
  </si>
  <si>
    <t>http://dx.doi.org/10.1111/1471-0528.17948</t>
  </si>
  <si>
    <t>R5A5H</t>
  </si>
  <si>
    <t>39256942</t>
  </si>
  <si>
    <t>WOS:001308986500001</t>
  </si>
  <si>
    <t>hybrid; Green Submitted; Green Published</t>
  </si>
  <si>
    <t>Stojanov, T; Modler, L; Müller, AM; Aghlmandi, S; Appenzeller-Herzog, C; Loucas, R; Loucas, M; Audigé, L</t>
  </si>
  <si>
    <t>Background Post-operative shoulder stiffness (POSS) is one of the most frequent complications after arthroscopic rotator cuff repair (ARCR). Factors specifying clinical prediction models for the occurrence of POSS should rely on the literature and expert assessment. Our objective was to map prognostic factors for the occurrence of POSS in patients after an ARCR. Methods Longitudinal studies of ARCR reporting prognostic factors for the occurrence of POSS with an endpoint of at least 6 months were included. We systematically searched Embase, Medline, and Scopus for articles published between January 1, 2014 and February 12, 2020 and screened cited and citing literature of eligible records and identified reviews. The risk of bias of included studies and the quality of evidence were assessed using the Quality in Prognosis Studies tool and an adapted Grading of Recommendations, Assessment, Development and Evaluations framework. A database was implemented to report the results of individual studies. The review was registered on PROSPERO (CRD42020199257). Results Seven cohort studies including 23 257 patients were included after screening 5013 records. POSS prevalence ranged from 0.51 to 8.75% with an endpoint ranging from 6 to 24 months. Due to scarcity of data, no meta-analysis could be performed. Overall risk of bias and quality of evidence was deemed high and low or very low, respectively. Twenty-two potential prognostic factors were identified. Increased age and male sex emerged as protective factors against POSS. Additional factors were reported but do require further analyses to determine their prognostic value. Discussion Available evidence pointed to male sex and increased age as probable protective factors against POSS after ARCR. To establish a reliable pre-specified set of factors for clinical prediction models, our review results require complementation with an expert's opinion.</t>
  </si>
  <si>
    <t>Stojanov, Thomas; Modler, Linda; Mueller, Andreas M.; Aghlmandi, Soheila; Appenzeller-Herzog, Christian; Loucas, Rafael; Loucas, Marios; Audige, Laurent</t>
  </si>
  <si>
    <t>Stojanov, T (corresponding author), Univ Hosp Basel, Dept Orthopaed Surg &amp; Traumatol, Basel, Switzerland.; Stojanov, T (corresponding author), Schulthess Clin, Shoulder &amp; Elbow Surg, Res &amp; Dev, Zurich, Switzerland.; Stojanov, T (corresponding author), Univ Hosp Basel, Basel Inst Clin Epi Demiol &amp; Biostat, Basel, Switzerland.; Stojanov, T (corresponding author), Univ Basel, Basel, Switzerland.</t>
  </si>
  <si>
    <t>Thomas.stojanov@usb.ch</t>
  </si>
  <si>
    <t>Swiss National Science Foundation [320030_184959/1]; Swiss National Science Foundation (SNF) [320030_184959] Funding Source: Swiss National Science Foundation (SNF)</t>
  </si>
  <si>
    <t>This literature search is supported by the Swiss National Science Foundation Grant ID 320030_184959/1.</t>
  </si>
  <si>
    <t>[Stojanov, Thomas; Modler, Linda; Mueller, Andreas M.; Audige, Laurent] Univ Hosp Basel, Dept Orthopaed Surg &amp; Traumatol, Basel, Switzerland; [Stojanov, Thomas; Audige, Laurent] Schulthess Clin, Shoulder &amp; Elbow Surg, Res &amp; Dev, Zurich, Switzerland; [Stojanov, Thomas; Aghlmandi, Soheila; Audige, Laurent] Univ Hosp Basel, Basel Inst Clin Epi Demiol &amp; Biostat, Basel, Switzerland; [Stojanov, Thomas; Aghlmandi, Soheila; Audige, Laurent] Univ Basel, Basel, Switzerland; [Appenzeller-Herzog, Christian] Univ Basel, Univ Med Lib Basel, Basel, Switzerland; [Loucas, Rafael; Loucas, Marios] Univ Zurich, Dept Orthoped, Balgrist Univ Hosp, Zurich, Switzerland</t>
  </si>
  <si>
    <t>University of Basel; Schulthess Clinic; University of Basel; University of Basel; University of Basel; University of Zurich</t>
  </si>
  <si>
    <t>Prognostic factors for the occurrence of post-operative shoulder stiffness after arthroscopic rotator cuff repair: a systematic review</t>
  </si>
  <si>
    <t>Risk factors; Prognostic factors; Arthroscopy; Rotator cuff tear; Shoulder stiffness</t>
  </si>
  <si>
    <t>OUTCOMES; PATIENT; MUSCLE; RISK</t>
  </si>
  <si>
    <t>Audigé, Laurent/ABA-7270-2020; Appenzeller-Herzog, Christian/A-2894-2014; Stojanov, Thomas/OZF-4684-2025</t>
  </si>
  <si>
    <t>Audigé, Laurent/0000-0003-3962-3996; Appenzeller-Herzog, Christian/0000-0001-7430-294X; Aghlmandi, Soheila/0000-0003-0180-3246; Mueller, Andreas/0000-0003-2726-3428; Stojanov, Thomas/0000-0001-8172-5326</t>
  </si>
  <si>
    <t>JAN 28 2022</t>
  </si>
  <si>
    <t>10.1186/s12891-022-05030-4</t>
  </si>
  <si>
    <t>http://dx.doi.org/10.1186/s12891-022-05030-4</t>
  </si>
  <si>
    <t>YQ3BD</t>
  </si>
  <si>
    <t>35090426</t>
  </si>
  <si>
    <t>WOS:000749186900003</t>
  </si>
  <si>
    <t>Domenico, HJ; Tillman, BF; Just, SL; Ko, YJ; Mixon, AS; Weitkamp, A; Schildcrout, JS; Walsh, C; Ortel, T; French, B</t>
  </si>
  <si>
    <t>BackgroundHospital-acquired venous thromboembolism (HA-VTE) is a leading cause of morbidity and mortality among hospitalized adults. Numerous prognostic models have been developed to identify those patients with elevated risk of HA-VTE. None, however, has met the necessary criteria to guide clinical decision-making. This study outlines a protocol for refining and validating a general-purpose prognostic model for HA-VTE, designed for real-time automation within the electronic health record (EHR) system.MethodsA retrospective cohort of 132,561 inpatient encounters (89,586 individual patients) at a large academic medical center will be collected, along with clinical and demographic data available as part of routine care. Data for temporal, geographic, and domain external validation cohorts will also be collected. Logistic regression will be used to predict occurrence of HA-VTE during an inpatient encounter. Variables considered for model inclusion will be based on prior demonstrated association with HA-VTE and their availability in both retrospective EHR data and routine clinical care. Least absolute shrinkage and selection operator (LASSO) with tenfold cross-validation will be used for initial variable selection. Variables selected by the LASSO procedure, along with those deemed necessary by clinicians, will be used in an unpenalized multivariable logistic regression model. Discrimination and calibration will be reported for the derivation and validation cohorts. Discrimination will be measured using Harrell's C statistic. Calibration will be measured using calibration intercept, calibration slope, Brier score, integrated calibration index, and visual examination of non-linear calibration curve. Model reporting will adhere to the Transparent Reporting of a multivariable prediction model for Individual Prognosis Or Diagnosis guidelines for clinical prediction models using machine learning methods (TRIPOD + AI).DiscussionWe describe methods for developing, evaluating, and validating a prognostic model for HA-VTE using routinely collected EHR data. By combining best practices in statistical development and validation, knowledge engineering, and clinical domain knowledge, the resulting model should be well suited for real-time clinical implementation. Although this protocol describes our development of a model for HA-VTE, the general approach can be applied to other clinical outcomes.</t>
  </si>
  <si>
    <t>Domenico, Henry J.; Tillman, Benjamin F.; Just, Shari L.; Ko, Yeji; Mixon, Amanda S.; Weitkamp, Asli; Schildcrout, Jonathan S.; Walsh, Colin; Ortel, Thomas; French, Benjamin</t>
  </si>
  <si>
    <t>Domenico, HJ (corresponding author), Vanderbilt Univ, Med Ctr, Dept Biostat, Nashville, TN 37235 USA.</t>
  </si>
  <si>
    <t>henry.domenico@vumc.org</t>
  </si>
  <si>
    <t>National Heart, Lung, and Blood Institute [R01-HL164482]</t>
  </si>
  <si>
    <t>National Heart, Lung, and Blood Institute (United States Department of Health &amp; Human Services, National Institutes of Health (NIH) - USA, NIH National Heart Lung &amp; Blood Institute (NHLBI))</t>
  </si>
  <si>
    <t>This work was supported by the National Heart, Lung, and Blood Institute (award number R01-HL164482).</t>
  </si>
  <si>
    <t>[Domenico, Henry J.; Ko, Yeji; Schildcrout, Jonathan S.; French, Benjamin] Vanderbilt Univ, Med Ctr, Dept Biostat, Nashville, TN 37235 USA; [Tillman, Benjamin F.] Vanderbilt Univ, Med Ctr, Dept Med, Div Hematol Oncol, Nashville, TN USA; [Just, Shari L.] Vanderbilt Univ, Knowledge Engn, Hlth IT, Med Ctr, Nashville, TN USA; [Mixon, Amanda S.] VA Tennessee Valley Healthcare Syst, Geriatr Res &amp; Educ Clin Ctr, Nashville, TN USA; [Mixon, Amanda S.] Vanderbilt Univ, Med Ctr, Dept Med, Div Gen Internal Med &amp; Publ Hlth, Nashville, TN USA; [Ortel, Thomas] Duke Univ, Sch Med, Dept Med, Durham, NC USA; [Weitkamp, Asli; Walsh, Colin] Vanderbilt Univ, Med Ctr, Dept Biomed Informat, Nashville, TN USA; [Walsh, Colin] Vanderbilt Univ, Med Ctr, Dept Med, Nashville, TN USA; [Walsh, Colin] Vanderbilt Univ, Med Ctr, Dept Psychiat, Nashville, TN USA</t>
  </si>
  <si>
    <t>Vanderbilt University; Vanderbilt University; Vanderbilt University; US Department of Veterans Affairs; Veterans Health Administration (VHA); VA Tennessee Valley Healthcare System; Geriatric Research Education &amp; Clinical Center; Vanderbilt University; Duke University; Vanderbilt University; Vanderbilt University; Vanderbilt University</t>
  </si>
  <si>
    <t>Predicting venous thromboembolism among hospitalized adults: a protocol for development and validation of an implementable real-time prognostic model</t>
  </si>
  <si>
    <t>Clinical prediction model; Model development; External validation; Venous thromboembolism; Electronic health record</t>
  </si>
  <si>
    <t>RISK; EPIDEMIOLOGY</t>
  </si>
  <si>
    <t>French, Benjamin/KUD-3506-2024; Schildcrout, Jonathan/KQV-1579-2024; /AEB-2278-2022; Walsh, Colin/QQY-3777-2026; Mixon, Amanda/AFS-7850-2022</t>
  </si>
  <si>
    <t>Schildcrout, Jonathan/0000-0003-2276-2551; Ko, Yeji/0000-0001-5162-2756</t>
  </si>
  <si>
    <t>SEP 8 2025</t>
  </si>
  <si>
    <t>10.1186/s41512-025-00205-8</t>
  </si>
  <si>
    <t>http://dx.doi.org/10.1186/s41512-025-00205-8</t>
  </si>
  <si>
    <t>6YM5P</t>
  </si>
  <si>
    <t>40916049</t>
  </si>
  <si>
    <t>WOS:001565038200001</t>
  </si>
  <si>
    <t>Wang, W; Wu, JY; Chen, KY; Wang, XJ; Shao, XY</t>
  </si>
  <si>
    <t>Recent studies have demonstrated that the combination of Cyclin-Dependent Kinase 4/6 Inhibitor (CDK4/6i) and endocrine therapy (ET) is more effective than ET alone and significantly improves progression-free survival (PFS) and overall survival (OS) in patients with hormone receptor-positive (HR+)/human epidermal growth factor receptor-2 negative (HER2-) breast cancer (BC). Palbociclib is the first CDK4/6i approved for use, and its clinical advantages have been shown. However, 30% of patients will continue to develop secondary drug resistance. Therefore, exploring the parameters that can predict the efficacy of Palbociclib and developing a clinical prediction model is essential for evaluating the prognosis of patients.</t>
  </si>
  <si>
    <t>Wang, Wei; Wu, Jiayi; Chen, Keyu; Wang, Xiaojia; Shao, Xiying</t>
  </si>
  <si>
    <t>Wang, XJ; Shao, XY (corresponding author), Univ Chinese Acad Sci, Zhejiang Canc Hosp, Canc Hosp, Dept Med Oncol,Breast Canc, 1 Banshandong Rd, Hangzhou, Peoples R China.</t>
  </si>
  <si>
    <t>shaoxy@zjcc.org.cn; wxiaojia0803@163.com</t>
  </si>
  <si>
    <t>[Wang, Wei; Wu, Jiayi; Chen, Keyu; Wang, Xiaojia; Shao, Xiying] Univ Chinese Acad Sci, Zhejiang Canc Hosp, Canc Hosp, Dept Med Oncol,Breast Canc, 1 Banshandong Rd, Hangzhou, Peoples R China; [Wang, Wei] Wenzhou Med Univ, Dept Clin Med, Wenzhou, Peoples R China; [Wu, Jiayi; Chen, Keyu] Zhejiang Chinese Med Univ, Dept Clin Med, Hangzhou, Peoples R China</t>
  </si>
  <si>
    <t>Chinese Academy of Sciences; University of Chinese Academy of Sciences, CAS; Zhejiang Cancer Hospital; Wenzhou Medical University; Zhejiang Chinese Medical University</t>
  </si>
  <si>
    <t>Prognostic Parameters of Palbociclib in HR+/HER2-Advanced Breast Cancer: A Narrative Review</t>
  </si>
  <si>
    <t>TECHNOLOGY IN CANCER RESEARCH &amp; TREATMENT</t>
  </si>
  <si>
    <t>breast cancer; palbociclib; CDK4; 6 inhibitor; prognostic parameters</t>
  </si>
  <si>
    <t>LETROZOLE</t>
  </si>
  <si>
    <t>Wang, Xiaojia/V-9949-2019</t>
  </si>
  <si>
    <t>Chen, keyu/0000-0002-9066-2889</t>
  </si>
  <si>
    <t>SAGE PUBLICATIONS INC</t>
  </si>
  <si>
    <t>THOUSAND OAKS</t>
  </si>
  <si>
    <t>2455 TELLER RD, THOUSAND OAKS, CA 91320 USA</t>
  </si>
  <si>
    <t>1533-0346</t>
  </si>
  <si>
    <t>1533-0338</t>
  </si>
  <si>
    <t>TECHNOL CANCER RES T</t>
  </si>
  <si>
    <t>Technol. Cancer Res. Treat.</t>
  </si>
  <si>
    <t>15330338231173504</t>
  </si>
  <si>
    <t>10.1177/15330338231173504</t>
  </si>
  <si>
    <t>http://dx.doi.org/10.1177/15330338231173504</t>
  </si>
  <si>
    <t>G3ZJ2</t>
  </si>
  <si>
    <t>37186799</t>
  </si>
  <si>
    <t>WOS:000988573800001</t>
  </si>
  <si>
    <t>Çobanoglu, U</t>
  </si>
  <si>
    <t>The solitary pulmonary nodule is a common radiologic abnormality that is often detected incidentally. It is important to differentiate malignant nodules from benign nodules in the least invasive way and to make as specific and an accurate diagnosis as possible. In patients with a high probability of malignancy, surgery is the preferred strategy. Diagnostic algorithm for approaching the solitary pulmonary nodule, stratifying clinical risk factors in a standardized manner and blending this information with radiologic clues, would point the physician toward a benign or malignant cause. Such an approach would be expected to spare patients with benign causes the morbidity and cost associated with invasive tissue sampling and, at the same time, guide the physician toward recommending invasive tests for the nodules likely to be malignant.</t>
  </si>
  <si>
    <t>Cobanoglu, Ufuk</t>
  </si>
  <si>
    <t>Çobanoglu, U (corresponding author), YY Tip Fak, Gogus Cerrahisi ABD, Van, Turkey.</t>
  </si>
  <si>
    <t>drucobanoglu@hotmail.com</t>
  </si>
  <si>
    <t>[Cobanoglu, Ufuk] Yuzuncu Yil Univ, Tip Fak, Gogus Cerrahisi ABD, Van, Turkey</t>
  </si>
  <si>
    <t>Yuzuncu Yil University</t>
  </si>
  <si>
    <t>Algorithmic Approach to the Diagnosis and Management of Solitary Pulmonary Nodules</t>
  </si>
  <si>
    <t>JOURNAL OF CLINICAL AND ANALYTICAL MEDICINE</t>
  </si>
  <si>
    <t>Turkish</t>
  </si>
  <si>
    <t>Solitary; Pulmonary; Nodules; Diagnosis; Treatment; Algorithm</t>
  </si>
  <si>
    <t>CLINICAL-PREDICTION MODEL; PROBABILITY; MALIGNANCY; VALIDATION; CT</t>
  </si>
  <si>
    <t>DERMAN MEDICAL PUBL</t>
  </si>
  <si>
    <t>ANKARA</t>
  </si>
  <si>
    <t>KARTALTEPE MAHALLESI, ATATURK BULVARI, ANKARA, 00000, TURKEY</t>
  </si>
  <si>
    <t>1309-0720</t>
  </si>
  <si>
    <t>1309-2014</t>
  </si>
  <si>
    <t>J CLIN ANAL MED</t>
  </si>
  <si>
    <t>J. Clin. Anal. Med.</t>
  </si>
  <si>
    <t>JUN 2015</t>
  </si>
  <si>
    <t>421</t>
  </si>
  <si>
    <t>425</t>
  </si>
  <si>
    <t>10.4328/JCAM.2370</t>
  </si>
  <si>
    <t>http://dx.doi.org/10.4328/JCAM.2370</t>
  </si>
  <si>
    <t>V30WD</t>
  </si>
  <si>
    <t>WOS:000215591800042</t>
  </si>
  <si>
    <t>Humby, FC; Al Balushi, F; Lliso, G; Cauli, A; Pitzalis, C</t>
  </si>
  <si>
    <t>Although great progress has been made in the past decade toward understanding the pathogenesis of rheumatoid arthritis (RA), clinicians remain some distance from a goal of personalized health care. The capacity to diagnose RA early, predict prognosis, and moreover predict response to biologic therapies has been a research focus for many years. How currently available clinical prediction models can facilitate such goals is reviewed in this article. In addition, the role of current imaging techniques in this regard is also discussed. Finally, the authors review the current literature regarding synovial biomarkers and consider whether integration of synovial pathobiology into clinical prediction algorithms may enhance their predictive value.</t>
  </si>
  <si>
    <t>Humby, Frances Claire; Al Balushi, Farida; Lliso, Gloria; Cauli, Alberto; Pitzalis, Costantino</t>
  </si>
  <si>
    <t>Humby, FC (corresponding author), Queen Mary Univ London, William Harvey Res Inst, Dept Expt Med &amp; Rheumatol, London, England.</t>
  </si>
  <si>
    <t>f.humby@qmul.ac.uk</t>
  </si>
  <si>
    <t>MRC [MR/K015346/1, G0800648] Funding Source: UKRI; Medical Research Council [G0800648, MR/K015346/1] Funding Source: Medline; Department of Health [11/100/76] Funding Source: Medline; Medical Research Council [MR/K015346/1, G0800648] Funding Source: researchfish; National Institute for Health Research [11/100/76] Funding Source: researchfish</t>
  </si>
  <si>
    <t>MRC (UK Research &amp; Innovation (UKRI), Medical Research Council UK (MRC)); Medical Research Council (UK Research &amp; Innovation (UKRI), Medical Research Council UK (MRC)); Department of Health; Medical Research Council (UK Research &amp; Innovation (UKRI), Medical Research Council UK (MRC)); National Institute for Health Research (National Institutes of Health Research (NIHR))</t>
  </si>
  <si>
    <t>[Humby, Frances Claire; Lliso, Gloria; Pitzalis, Costantino] Queen Mary Univ London, William Harvey Res Inst, Dept Expt Med &amp; Rheumatol, London, England; [Al Balushi, Farida] Royal Hosp, Dept Rheumatol, Muscat, Oman; [Cauli, Alberto] Univ Cagliari, Fac Med &amp; Chirurg, Dipartimento Sci Med, Cagliari, Italy</t>
  </si>
  <si>
    <t>University of London; Queen Mary University London; The Royal Hospital, Sultanate of Oman; University of Cagliari</t>
  </si>
  <si>
    <t>Can Synovial Pathobiology Integrate with Current Clinical and Imaging Prediction Models to Achieve Personalized Health Care in Rheumatoid Arthritis?</t>
  </si>
  <si>
    <t>rheumatoid arthritis; synovial membrane; pathology; imaging; personalized medicine</t>
  </si>
  <si>
    <t>RAPID RADIOGRAPHIC PROGRESSION; FACTOR-ALPHA THERAPY; ONSET UNDIFFERENTIATED ARTHRITIS; ACR/EULAR 2010 CRITERIA; PERIPHERAL-BLOOD CELLS; JOINT DAMAGE; PLUS METHOTREXATE; GERMINAL-CENTERS; DENDRITIC CELLS; BONE EDEMA</t>
  </si>
  <si>
    <t>Humby, Frances/GSE-3706-2022</t>
  </si>
  <si>
    <t>Pitzalis, Costantino/0000-0003-1326-5051; CAULI, ALBERTO/0000-0002-7955-6786; Lliso-Ribera, Gloria/0000-0002-8569-5133; Humby, Frances/0000-0003-1280-9133</t>
  </si>
  <si>
    <t>MAY 3 2017</t>
  </si>
  <si>
    <t>10.3389/fmed.2017.00041</t>
  </si>
  <si>
    <t>http://dx.doi.org/10.3389/fmed.2017.00041</t>
  </si>
  <si>
    <t>FC8SF</t>
  </si>
  <si>
    <t>28516086</t>
  </si>
  <si>
    <t>WOS:000407110600001</t>
  </si>
  <si>
    <t>Wessler, BS; Nelson, J; Park, JG; McGinnes, H; Gulati, G; Brazil, R; Van Calster, B; van Klaveren, D; Venema, E; Steyerberg, E; Paulus, JK; Kent, DM</t>
  </si>
  <si>
    <t>Background: There are many clinical prediction models (CPMs) available to inform treatment decisions for patients with cardiovascular disease. However, the extent to which they have been externally tested, and how well they generally perform has not been broadly evaluated. Methods: A SCOPUS citation search was run on March 22, 2017 to identify external validations of cardiovascular CPMs in the Tufts Predictive Analytics and Comparative Effectiveness CPM Registry. We assessed the extent of external validation, performance heterogeneity across databases, and explored factors associated with model performance, including a global assessment of the clinical relatedness between the derivation and validation data. Results: We identified 2030 external validations of 1382 CPMs. Eight hundred seven (58%) of the CPMs in the Registry have never been externally validated. On average, there were 1.5 validations per CPM (range, 0-94). The median external validation area under the receiver operating characteristic curve was 0.73 (25th-75th percentile [interquartile range (IQR)], 0.66-0.79), representing a median percent decrease in discrimination of -11.1% (IQR, -32.4% to +2.7%) compared with performance on derivation data. 81% (n=1333) of validations reporting area under the receiver operating characteristic curve showed discrimination below that reported in the derivation dataset. 53% (n=983) of the validations report some measure of CPM calibration. For CPMs evaluated more than once, there was typically a large range of performance. Of 1702 validations classified by relatedness, the percent change in discrimination was -3.7% (IQR, -13.2 to 3.1) for closely related validations (n=123), -9.0 (IQR, -27.6 to 3.9) for related validations (n=862), and -17.2% (IQR, -42.3 to 0) for distantly related validations (n=717; P&lt;0.001). Conclusions: Many published cardiovascular CPMs have never been externally validated, and for those that have, apparent performance during development is often overly optimistic. A single external validation appears insufficient to broadly understand the performance heterogeneity across different settings.</t>
  </si>
  <si>
    <t>Wessler, Benjamin S.; Nelson, Jason; Park, Jinny G.; McGinnes, Hannah; Gulati, Gaurav; Brazil, Riley; Van Calster, Ben; van Klaveren, David; Venema, Esmee; Steyerberg, Ewout; Paulus, Jessica K.; Kent, David M.</t>
  </si>
  <si>
    <t>Wessler, BS (corresponding author), Tufts Med Ctr, Predict Analyt &amp; Comparat Effectiveness PACE, 35 Kneeland St,Box 63, Boston, MA 02111 USA.</t>
  </si>
  <si>
    <t>e.steyerberg@erasmusmc.nl; Riley.Brazil@tufts.edu; jpark4@tuftsmedicalcenter.org; hlmcginnes@gmail.com; ggulati@tuftsmedicalcenter.org; ben.vancalster@kuleuven.be; bwessler@tuftsmedicalcenter.org; jess.paulus@gmail.com; jnelson2@tuftsmedicalcenter.org; e.venema@erasmusmc.nl; d.vanklaveren@erasmusmc.nl; dkent1@tuftsmedicalcenter.org</t>
  </si>
  <si>
    <t>Patient-Centered Outcomes Research Institute (PCORI) Award [ME-1606-35555]; National Institutes of Health (NIH)-National Institute on Aging (NIA) [K23AG055667]; NIH-NIA. [R03AG056447]; National Institute on Aging [K23AG055667] Funding Source: NIH RePORTER</t>
  </si>
  <si>
    <t>Patient-Centered Outcomes Research Institute (PCORI) Award (Patient-Centered Outcomes Research Institute (PCORI)); National Institutes of Health (NIH)-National Institute on Aging (NIA) (United States Department of Health &amp; Human Services, National Institutes of Health (NIH) - USA, NIH National Institute on Aging (NIA)); NIH-NIA. (United States Department of Health &amp; Human Services, National Institutes of Health (NIH) - USA, NIH National Institute on Aging (NIA)); National Institute on Aging (United States Department of Health &amp; Human Services, National Institutes of Health (NIH) - USA, NIH National Institute on Aging (NIA))</t>
  </si>
  <si>
    <t>Research reported in this work was funded through a Patient-Centered Outcomes Research Institute (PCORI) Award (ME-1606-35555). The views, statements, opinions presented in this work are solely the responsibility of the author(s) and do not necessarily represent the views of the PCORI, its Board of Governors, or Methodology Committee. Dr Wessler is supported by K23AG055667 from National Institutes of Health (NIH)-National Institute on Aging (NIA) and R03AG056447 from NIH-NIA.</t>
  </si>
  <si>
    <t>[Wessler, Benjamin S.; Nelson, Jason; Park, Jinny G.; McGinnes, Hannah; Gulati, Gaurav; Brazil, Riley; van Klaveren, David; Paulus, Jessica K.; Kent, David M.] Tufts Med Ctr, Predict Analyt &amp; Comparat Effectiveness PACE, 35 Kneeland St,Box 63, Boston, MA 02111 USA; [Wessler, Benjamin S.; Gulati, Gaurav] Tufts Med Ctr, Div Cardiol, Boston, MA 02111 USA; [Van Calster, Ben] Katholieke Univ Leuven, Dept Dev &amp; Regenerat, Leuven, Belgium; [van Klaveren, David; Steyerberg, Ewout] Leiden Univ, Med Ctr, Dept Biomed Data Sci, Leiden, Netherlands; [Venema, Esmee; Steyerberg, Ewout] Erasmus MC, Univ Med Ctr, Dept Publ Hlth, Rotterdam, Netherlands; [Venema, Esmee] Erasmus MC, Univ Med Ctr, Dept Neurol, Rotterdam, Netherlands</t>
  </si>
  <si>
    <t>Tufts Medical Center; Tufts Medical Center; KU Leuven; Leiden University; Leiden University - Excl LUMC; Leiden University Medical Center (LUMC); Erasmus University Rotterdam; Erasmus MC; Erasmus University Rotterdam; Erasmus MC</t>
  </si>
  <si>
    <t>External Validations of Cardiovascular Clinical Prediction Models: A Large-Scale Review of the Literature</t>
  </si>
  <si>
    <t>CIRCULATION-CARDIOVASCULAR QUALITY AND OUTCOMES</t>
  </si>
  <si>
    <t>calibration; cardiovascular disease; decision making; literature review</t>
  </si>
  <si>
    <t>ASSOCIATION TASK-FORCE; RISK MODELS; LONGITUDINAL DATA; AMERICAN-COLLEGE; CALIBRATION; GUIDELINE; MORTALITY; REGISTRY; STROKE; TRIALS</t>
  </si>
  <si>
    <t>Steyerberg, Ewout/C-1509-2018; van Klaveren, David/ABF-3020-2021; Van Calster, Ben/F-9150-2010</t>
  </si>
  <si>
    <t>Steyerberg, Ewout/0000-0002-7787-0122; Kent, David M/0000-0002-9205-5070; Wessler, Benjamin/0000-0002-8652-1426; Park, Jinny/0000-0001-8537-5749; Nelson, Jason/0000-0003-1113-9326; van Klaveren, David/0000-0002-2096-606X; Gulati, Gaurav/0000-0002-7701-0878; Venema, Esmee/0000-0003-1631-6635; Van Calster, Ben/0000-0003-1613-7450</t>
  </si>
  <si>
    <t>62</t>
  </si>
  <si>
    <t>1941-7705</t>
  </si>
  <si>
    <t>1941-7713</t>
  </si>
  <si>
    <t>CIRC-CARDIOVASC QUAL</t>
  </si>
  <si>
    <t>Circ.-Cardiovasc. Qual. Outcomes</t>
  </si>
  <si>
    <t>AUG 2021</t>
  </si>
  <si>
    <t>e007858</t>
  </si>
  <si>
    <t>10.1161/CIRCOUTCOMES.121.007858</t>
  </si>
  <si>
    <t>http://dx.doi.org/10.1161/CIRCOUTCOMES.121.007858</t>
  </si>
  <si>
    <t>UA9LD</t>
  </si>
  <si>
    <t>34340529</t>
  </si>
  <si>
    <t>WOS:000685474900006</t>
  </si>
  <si>
    <t>hybrid; Green Submitted; Green Accepted</t>
  </si>
  <si>
    <t>Shipe, ME; Deppen, SA; Farjah, F; Grogan, EL</t>
  </si>
  <si>
    <t>Prediction models help healthcare professionals and patients make clinical decisions. The goal of an accurate prediction model is to provide patient risk stratification to support tailored clinical decision-making with the hope of improving patient outcomes and quality of care. Clinical prediction models use variables selected because they are thought to be associated (either negatively or positively) with the outcome of interest. Building a model requires data that are computer-interpretable and reliably recorded within the time frame of interest for the prediction. Such models are generally defined as either diagnostic, likelihood of disease or disease group classification, or prognostic, likelihood of response or risk of recurrence. We describe a set of guidelines and heuristics for clinicians to use to develop a logistic regression-based prediction model for binary outcomes that is intended to augment clinical decision-making.</t>
  </si>
  <si>
    <t>Shipe, Maren E.; Deppen, Stephen A.; Farjah, Farhood; Grogan, Eric L.</t>
  </si>
  <si>
    <t>Grogan, EL (corresponding author), Dept Thorac Surg, 609 Oxford House,1313 21st Ave South, Nashville, TN 37232 USA.</t>
  </si>
  <si>
    <t>eric.grogan@vumc.org</t>
  </si>
  <si>
    <t>Agency for Healthcare Research (AHRQ) [T32 HS026122]; Department of Veterans Affairs, Veterans Health Administration; Agency for Healthcare Research and Quality [T32HS026122] Funding Source: NIH RePORTER</t>
  </si>
  <si>
    <t>Agency for Healthcare Research (AHRQ); Department of Veterans Affairs, Veterans Health Administration (US Department of Veterans Affairs); Agency for Healthcare Research and Quality (United States Department of Health &amp; Human Services, Agency for Healthcare Research &amp; Quality)</t>
  </si>
  <si>
    <t>Dr. Shipe is supported by the Agency for Healthcare Research (AHRQ) under Award Number T32 HS026122. Dr. Grogan is supported by the Department of Veterans Affairs, Veterans Health Administration.</t>
  </si>
  <si>
    <t>[Shipe, Maren E.; Deppen, Stephen A.; Grogan, Eric L.] Vanderbilt Univ, Med Ctr, Nashville, TN USA; [Deppen, Stephen A.; Grogan, Eric L.] Tennessee Valley Healthcare Syst, Nashville, TN USA; [Farjah, Farhood] Univ Washington, Seattle, WA 98195 USA</t>
  </si>
  <si>
    <t>Vanderbilt University; US Department of Veterans Affairs; Veterans Health Administration (VHA); VA Tennessee Valley Healthcare System; University of Washington; University of Washington Seattle</t>
  </si>
  <si>
    <t>Developing prediction models for clinical use using logistic regression: an overview</t>
  </si>
  <si>
    <t>Review; logistic regression; predictive model</t>
  </si>
  <si>
    <t>MULTIPLE IMPUTATION; PULMONARY NODULES; CANCER-RISK; VALIDATION; PROBABILITY; PERFORMANCE; IMPACT</t>
  </si>
  <si>
    <t>Grogan, Eric/MGB-5235-2025</t>
  </si>
  <si>
    <t>368</t>
  </si>
  <si>
    <t>442</t>
  </si>
  <si>
    <t>MAR 2019</t>
  </si>
  <si>
    <t>S574</t>
  </si>
  <si>
    <t>S584</t>
  </si>
  <si>
    <t>10.21037/jtd.2019.01.25</t>
  </si>
  <si>
    <t>http://dx.doi.org/10.21037/jtd.2019.01.25</t>
  </si>
  <si>
    <t>HQ8TM</t>
  </si>
  <si>
    <t>31032076</t>
  </si>
  <si>
    <t>WOS:000462698500011</t>
  </si>
  <si>
    <t>Mathias, K; Tiscoski, AD; Vuolo, F; Cechinel, MA; Andrade, NM; Petronilho, F</t>
  </si>
  <si>
    <t>Neurofilaments (NFs) are protein structures that form part of the neuronal cytoskeleton, providing structural support and facilitating axonal transport. Neurofilament light chain (NFL) has emerged as a promising biomarker for various neurological conditions, as it is released into the bloodstream following neuronal damage. The ability of NFL to differentiate between types of injury and enhance the accuracy of clinical prediction models makes it an asset in both clinical practice and research. Studies suggest that NFL can be employed to diagnose and monitor disease progression and aid in the prognosis of various neurological conditions, including ischemic stroke (IS). In IS, NFL serves as a predictor of severity, functional recovery, and the risk of complications. This review therefore synthesizes current preclinical and clinical studies on the use of NFL as a biomarker for prognosis, monitoring, and treatment in IS.</t>
  </si>
  <si>
    <t>Mathias, Khiany; Tiscoski, Anita Dal Bo; Vuolo, Francieli; Cechinel, Maria Amelia; Andrade, Naila Maciel; Petronilho, Fabricia</t>
  </si>
  <si>
    <t>Petronilho, F (corresponding author), Univ Southern Santa Catarina, Grad Program Hlth Sci, Hlth Sci Unit, Lab Expt Neurol, Criciuma, SC, Brazil.</t>
  </si>
  <si>
    <t>fabriciapetronilho@unesc.net</t>
  </si>
  <si>
    <t>Universidade Do Extremo Sul Catarinense</t>
  </si>
  <si>
    <t>The Article Processing Charge (APC) for the publication of this research was funded by the Coordenac &amp; atilde;o de Aperfeicoamento de Pessoal de Nivel Superior - Brasil (CAPES) (ROR identifier: 00x0ma614).</t>
  </si>
  <si>
    <t>[Mathias, Khiany; Tiscoski, Anita Dal Bo; Vuolo, Francieli; Cechinel, Maria Amelia; Andrade, Naila Maciel; Petronilho, Fabricia] Univ Southern Santa Catarina, Grad Program Hlth Sci, Hlth Sci Unit, Lab Expt Neurol, Criciuma, SC, Brazil</t>
  </si>
  <si>
    <t>Universidade do Sul de Santa Catarina</t>
  </si>
  <si>
    <t>From Bench to Bedside: Neurofilament Light Chain as a Biomarker in Ischemic Stroke</t>
  </si>
  <si>
    <t>CURRENT MEDICAL SCIENCE</t>
  </si>
  <si>
    <t>Neurofilament; Ischemic stroke; Neurofilament light chain (NFL); Biomarker</t>
  </si>
  <si>
    <t>ASSOCIATION</t>
  </si>
  <si>
    <t>Mathias, Khiany/KOD-3044-2024; Petronilho, Fabricia/D-8822-2013</t>
  </si>
  <si>
    <t>2096-5230</t>
  </si>
  <si>
    <t>2523-899X</t>
  </si>
  <si>
    <t>CURR MED SCI</t>
  </si>
  <si>
    <t>Curr. Med. Sci.</t>
  </si>
  <si>
    <t>604</t>
  </si>
  <si>
    <t>615</t>
  </si>
  <si>
    <t>10.1007/s11596-026-00200-0</t>
  </si>
  <si>
    <t>http://dx.doi.org/10.1007/s11596-026-00200-0</t>
  </si>
  <si>
    <t>Medicine, Research &amp; Experimental</t>
  </si>
  <si>
    <t>Research &amp; Experimental Medicine</t>
  </si>
  <si>
    <t>KH7FI</t>
  </si>
  <si>
    <t>42047916</t>
  </si>
  <si>
    <t>WOS:001751957100001</t>
  </si>
  <si>
    <t>Tseregounis, IE; Henry, SG</t>
  </si>
  <si>
    <t>Drug, and specifically opioid-related, overdoses remain a major public health problem in the United States. Multiple studies have examined individual risk factors associated with overdose risk, but research developing clinical risk prediction tools for overdose has only emerged in the last few years. We conducted a comprehensive review of the literature on patient-level factors associated with opioid-related overdose risk, with an emphasis on clinical risk prediction models for opioid-related overdose in the United States. Studies that developed and/or validated clinical prediction models were closely reviewed and evaluated to determine the state of the field. We identified 12 studies that reported risk prediction models for opioid-related overdose risk. Published models were developed from a variety of data sources, including Veterans Health Administration data, Medicare data, commercial insurance data, and statewide linked datasets. Studies reported model performance using measures of discrimination, usually at good-to-excellent levels, though they did not always assess calibration. C-statistics were better for models that included clinical predictors (c-statistics: 0.75-0.95) compared to models without them (c-statistics: 0.69-0.82). External validation of models was rare, and we found no studies evaluating implementation of models or risk prediction tools into clinical practice. A common feature of these models was a high rate of false positives, largely because opioid-related overdose is rare in the general population. Thus, efforts to implement prediction models into practice should take into account that published models overestimate overdose risk for many low-risk patients. Future prediction models assessing overdose risk should employ external validation and address model calibration. In order to translate findings from prediction models into clinical public health benefit, future studies should focus on developing clinical prediction tools based on prediction models, implementing these tools into clinical practice, and evaluating the impact of these models on treatment decisions, patient outcomes, and, ultimately, opioid overdose rates.</t>
  </si>
  <si>
    <t>Tseregounis, Iraklis Erik; Henry, Stephen G.</t>
  </si>
  <si>
    <t>Henry, SG (corresponding author), 4150 St Suite 2400, Sacramento, CA 95817 USA.</t>
  </si>
  <si>
    <t>sghenry@ucdavis.edu</t>
  </si>
  <si>
    <t>National Institute on Drug Abuse [R01DA044282]</t>
  </si>
  <si>
    <t>National Institute on Drug Abuse (United States Department of Health &amp; Human Services, National Institutes of Health (NIH) - USA, NIH National Institute on Drug Abuse (NIDA))</t>
  </si>
  <si>
    <t>This work was supported by the National Institute on Drug Abuse (R01DA044282).</t>
  </si>
  <si>
    <t>Univ Calif Davis, Ctr Healthcare Policy &amp; Res, Sacramento, CA 95817 USA; Univ Calif Davis, Dept Internal Med, Sacramento, CA 95817 USA</t>
  </si>
  <si>
    <t>University of California System; University of California Davis; University of California System; University of California Davis</t>
  </si>
  <si>
    <t>Assessing opioid overdose risk: a review of clinical prediction models utilizing patient-level data</t>
  </si>
  <si>
    <t>TRANSLATIONAL RESEARCH</t>
  </si>
  <si>
    <t>INDUCED RESPIRATORY DEPRESSION; UNITED-STATES; CHRONIC PAIN; DEATHS; ASSOCIATION; DRUG; BENZODIAZEPINES; PRESCRIPTIONS; INCREASES; PATTERNS</t>
  </si>
  <si>
    <t>Henry, Stephen/0000-0002-5643-0881</t>
  </si>
  <si>
    <t>83</t>
  </si>
  <si>
    <t>1931-5244</t>
  </si>
  <si>
    <t>1878-1810</t>
  </si>
  <si>
    <t>TRANSL RES</t>
  </si>
  <si>
    <t>Transl. Res.</t>
  </si>
  <si>
    <t>234</t>
  </si>
  <si>
    <t>10.1016/j.trsl.2021.03.012</t>
  </si>
  <si>
    <t>http://dx.doi.org/10.1016/j.trsl.2021.03.012</t>
  </si>
  <si>
    <t>JUN 2021</t>
  </si>
  <si>
    <t>Medical Laboratory Technology; Medicine, General &amp; Internal; Medicine, Research &amp; Experimental</t>
  </si>
  <si>
    <t>Medical Laboratory Technology; General &amp; Internal Medicine; Research &amp; Experimental Medicine</t>
  </si>
  <si>
    <t>SS3XT</t>
  </si>
  <si>
    <t>33762186</t>
  </si>
  <si>
    <t>WOS:000661683600006</t>
  </si>
  <si>
    <t>Butler, ÉM; Derraik, JGB; Taylor, RW; Cutfield, WS</t>
  </si>
  <si>
    <t>Obesity is highly prevalent in children under the age of 5 years, although its identification in infants under 2 years remains difficult. Several clinical prediction models have been developed for obesity risk in early childhood, using a number of different predictors. The predictive capacity (sensitivity and specificity) of these models varies greatly, and there is no agreed risk threshold for the prediction of early childhood obesity. Of the existing models, only two have been practically utilized, but neither have been particularly successful. This commentary suggests how future research may successfully utilize existing early childhood obesity prediction models for intervention. We also consider the need for such models, and how targeted obesity intervention may be more effective than population-based intervention.</t>
  </si>
  <si>
    <t>Butler, Eadaoin M.; Derraik, Jose G. B.; Taylor, Rachael W.; Cutfield, Wayne S.</t>
  </si>
  <si>
    <t>Cutfield, WS (corresponding author), Better Start Natl Sci Challenge, Auckland, New Zealand.; Cutfield, WS (corresponding author), Univ Auckland, Liggins Inst, Private Bag 92019, Auckland, New Zealand.</t>
  </si>
  <si>
    <t>w.cutfield@auckland.ac.nz</t>
  </si>
  <si>
    <t>[Butler, Eadaoin M.; Derraik, Jose G. B.; Cutfield, Wayne S.] Better Start Natl Sci Challenge, Auckland, New Zealand; [Butler, Eadaoin M.; Derraik, Jose G. B.; Cutfield, Wayne S.] Univ Auckland, Liggins Inst, Private Bag 92019, Auckland, New Zealand; [Derraik, Jose G. B.] Uppsala Univ, Dept Womens &amp; Childrens Hlth, Uppsala, Sweden; [Taylor, Rachael W.] Better Start Natl Sci Challenge, Dunedin, New Zealand; [Taylor, Rachael W.] Univ Otago, Dunedin Sch Med, Dunedin, New Zealand</t>
  </si>
  <si>
    <t>University of Auckland; Uppsala University; University of Otago</t>
  </si>
  <si>
    <t>Childhood obesity: how long should we wait to predict weight?</t>
  </si>
  <si>
    <t>JOURNAL OF PEDIATRIC ENDOCRINOLOGY &amp; METABOLISM</t>
  </si>
  <si>
    <t>intervention; model; obese; overweight; prediction; prevention; risk</t>
  </si>
  <si>
    <t>BODY-MASS INDEX; RISK-FACTORS; OVERWEIGHT; PREVENTION; POPULATION; ADIPOSITY; INFANCY; GAIN; ADULTHOOD; ORIGINS</t>
  </si>
  <si>
    <t>Butler, Éadaoin Máire/AFK-4598-2022; Derraik, José/A-1925-2008</t>
  </si>
  <si>
    <t>Taylor, Rachael/0000-0001-9516-2253; Butler, Éadaoin Máire/0000-0001-5078-1851</t>
  </si>
  <si>
    <t>WALTER DE GRUYTER GMBH</t>
  </si>
  <si>
    <t>GENTHINER STRASSE 13, D-10785 BERLIN, GERMANY</t>
  </si>
  <si>
    <t>0334-018X</t>
  </si>
  <si>
    <t>2191-0251</t>
  </si>
  <si>
    <t>J PEDIATR ENDOCR MET</t>
  </si>
  <si>
    <t>J. Pediatr. Endocrinol. Metab.</t>
  </si>
  <si>
    <t>APR 2018</t>
  </si>
  <si>
    <t>497</t>
  </si>
  <si>
    <t>501</t>
  </si>
  <si>
    <t>10.1515/jpem-2018-0110</t>
  </si>
  <si>
    <t>http://dx.doi.org/10.1515/jpem-2018-0110</t>
  </si>
  <si>
    <t>Endocrinology &amp; Metabolism; Pediatrics</t>
  </si>
  <si>
    <t>GE3PJ</t>
  </si>
  <si>
    <t>29668465</t>
  </si>
  <si>
    <t>WOS:000431124900002</t>
  </si>
  <si>
    <t>Meehan, AJ; Lewis, SJ; Fazel, S; Fusar-Poli, P; Steyerberg, EW; Stahl, D; Danese, A</t>
  </si>
  <si>
    <t>Recent years have seen the rapid proliferation of clinical prediction models aiming to support risk stratification and individualized care within psychiatry. Despite growing interest, attempts to synthesize current evidence in the nascent field of precision psychiatry have remained scarce. This systematic review therefore sought to summarize progress towards clinical implementation of prediction modeling for psychiatric outcomes. We searched MEDLINE, PubMed, Embase, and PsychINFO databases from inception to September 30, 2020, for English-language articles that developed and/or validated multivariable models to predict (at an individual level) onset, course, or treatment response for non-organic psychiatric disorders (PROSPERO: CRD42020216530). Individual prediction models were evaluated based on three key criteria: (i) mitigation of bias and overfitting; (ii) generalizability, and (iii) clinical utility. The Prediction model Risk Of Bias ASsessment Tool (PROBAST) was used to formally appraise each study's risk of bias. 228 studies detailing 308 prediction models were ultimately eligible for inclusion. 94.5% of developed prediction models were deemed to be at high risk of bias, largely due to inadequate or inappropriate analytic decisions. Insufficient internal validation efforts (within the development sample) were also observed, while only one-fifth of models underwent external validation in an independent sample. Finally, our search identified just one published model whose potential utility in clinical practice was formally assessed. Our findings illustrated significant growth in precision psychiatry with promising progress towards real-world application. Nevertheless, these efforts have been inhibited by a preponderance of bias and overfitting, while the generalizability and clinical utility of many published models has yet to be formally established. Through improved methodological rigor during initial development, robust evaluations of reproducibility via independent validation, and evidence-based implementation frameworks, future research has the potential to generate risk prediction tools capable of enhancing clinical decision-making in psychiatric care.</t>
  </si>
  <si>
    <t>Meehan, Alan J.; Lewis, Stephanie J.; Fazel, Seena; Fusar-Poli, Paolo; Steyerberg, Ewout W.; Stahl, Daniel; Danese, Andrea</t>
  </si>
  <si>
    <t>Danese, A (corresponding author), Kings Coll London, Inst Psychiat Psychol &amp; Neurosci, Social Genet &amp; Dev Psychiat Ctr, London, England.; Danese, A (corresponding author), Kings Coll London, Inst Psychiat Psychol &amp; Neurosci, Dept Child &amp; Adolescent Psychiat, London, England.; Danese, A (corresponding author), South London &amp; Maudsley NHS Fdn Trust, Natl &amp; Specialist CAMHS Clin Trauma Anxiety &amp; Dep, London, England.</t>
  </si>
  <si>
    <t>andrea.danese@kcl.ac.uk</t>
  </si>
  <si>
    <t>Yale Child Study Center, Yale University; MRC Clinical Research Training Fellowship; Wellcome Trust [202836/Z/16/Z]; UK Medical Research Council [MR/P005918/1]; National Institute for Health Research (NIHR) Biomedical Research Centre at South London and Maudsley National Health Service Foundation Trust and King's College London; MRC [MR/P005918/1] Funding Source: UKRI; Medical Research Council [MR/P005918/1] Funding Source: researchfish; Wellcome Trust [202836/Z/16/Z] Funding Source: researchfish</t>
  </si>
  <si>
    <t>Yale Child Study Center, Yale University (Yale University); MRC Clinical Research Training Fellowship (UK Research &amp; Innovation (UKRI), Medical Research Council UK (MRC)); Wellcome Trust (Wellcome Trust); UK Medical Research Council (UK Research &amp; Innovation (UKRI), Medical Research Council UK (MRC)); National Institute for Health Research (NIHR) Biomedical Research Centre at South London and Maudsley National Health Service Foundation Trust and King's College London (King's College London); MRC (UK Research &amp; Innovation (UKRI), Medical Research Council UK (MRC)); Medical Research Council (UK Research &amp; Innovation (UKRI), Medical Research Council UK (MRC)); Wellcome Trust (Wellcome Trust)</t>
  </si>
  <si>
    <t>AJM acknowledges financial support from Yale Child Study Center, Yale University. SJL is supported by an MRC Clinical Research Training Fellowship. This research was funded in whole, or in part, by a Wellcome Trust grant to SF (202836/Z/16/Z). AD is funded by grant MR/P005918/1 from the UK Medical Research Council. DS and AD are part funded by the National Institute for Health Research (NIHR) Biomedical Research Centre at South London and Maudsley National Health Service Foundation Trust and King's College London. The views expressed are those of the authors and not necessarily those of the UK National Health Service, NIHR, MRC, Wellcome Trust, or King's College London.</t>
  </si>
  <si>
    <t>[Meehan, Alan J.] Kings Coll London, Inst Psychiat Psychol &amp; Neurosci, Dept Psychol, London, England; [Meehan, Alan J.; Danese, Andrea] Kings Coll London, Inst Psychiat Psychol &amp; Neurosci, Social Genet &amp; Dev Psychiat Ctr, London, England; [Meehan, Alan J.] Yale Sch Med, Yale Child Study Ctr, New Haven, CT 06520 USA; [Lewis, Stephanie J.; Danese, Andrea] Kings Coll London, Inst Psychiat Psychol &amp; Neurosci, Dept Child &amp; Adolescent Psychiat, London, England; [Fazel, Seena] Univ Oxford, Dept Psychiat, Oxford, England; [Fusar-Poli, Paolo] Kings Coll London, Early Psychosis Intervent &amp; Clin Detect EPIC Lab, Dept Psychosis Studies, Inst Psychiat Psychol &amp; Neurosci, London, England; [Fusar-Poli, Paolo] South London &amp; Maudsley NHS Fdn Trust, OASIS Serv, London, England; [Fusar-Poli, Paolo] Univ Pavia, Dept Brain &amp; Behav Sci, Pavia, Italy; [Fusar-Poli, Paolo] South London &amp; Maudsley NHS Fdn Trust, Maudsley Biomed Res Ctr, Natl Inst Hlth Res, London, England; [Steyerberg, Ewout W.] Leiden Univ Med Ctr, Dept Biomed Data Sci, Leiden, Netherlands; [Steyerberg, Ewout W.] Erasmus MC, Dept Publ Hlth, Rotterdam, Netherlands; [Stahl, Daniel] Kings Coll London, Inst Psychiat Psychol &amp; Neurosci, Dept Biostatist &amp; Hlth Informat, London, England; [Danese, Andrea] South London &amp; Maudsley NHS Fdn Trust, Natl &amp; Specialist CAMHS Clin Trauma Anxiety &amp; Dep, London, England</t>
  </si>
  <si>
    <t>University of London; King's College London; University of London; King's College London; Yale University; University of London; King's College London; University of Oxford; University of London; King's College London; South London &amp; Maudsley NHS Trust; University of Pavia; South London &amp; Maudsley NHS Trust; Leiden University; Leiden University Medical Center (LUMC); Erasmus University Rotterdam; Erasmus MC; University of London; King's College London; South London &amp; Maudsley NHS Trust</t>
  </si>
  <si>
    <t>Clinical prediction models in psychiatry: a systematic review of two decades of progress and challenges</t>
  </si>
  <si>
    <t>MOLECULAR PSYCHIATRY</t>
  </si>
  <si>
    <t>AGE-OF-ONSET; SAMPLE-SIZE; RISK; VALIDATION; DISORDERS</t>
  </si>
  <si>
    <t>Stahl, Daniel/B-9713-2011; Danese, Andrea/ABF-1471-2020; Fazel, Seena/B-5307-2008; Steyerberg, Ewout/C-1509-2018; Fusar-Poli, Paolo/D-8605-2011</t>
  </si>
  <si>
    <t>Stahl, Daniel/0000-0001-7987-6619; Meehan, Alan/0000-0001-7169-997X; Lewis, Stephanie/0000-0002-4153-5728; Danese, Andrea/0000-0001-8718-5412; Fazel, Seena/0000-0002-5383-5365; Fusar-Poli, Paolo/0000-0003-3582-6788</t>
  </si>
  <si>
    <t>154</t>
  </si>
  <si>
    <t>1359-4184</t>
  </si>
  <si>
    <t>1476-5578</t>
  </si>
  <si>
    <t>MOL PSYCHIATR</t>
  </si>
  <si>
    <t>Mol. Psychiatr.</t>
  </si>
  <si>
    <t>JUN 2022</t>
  </si>
  <si>
    <t>2700</t>
  </si>
  <si>
    <t>2708</t>
  </si>
  <si>
    <t>10.1038/s41380-022-01528-4</t>
  </si>
  <si>
    <t>http://dx.doi.org/10.1038/s41380-022-01528-4</t>
  </si>
  <si>
    <t>Biochemistry &amp; Molecular Biology; Neurosciences; Psychiatry</t>
  </si>
  <si>
    <t>Biochemistry &amp; Molecular Biology; Neurosciences &amp; Neurology; Psychiatry</t>
  </si>
  <si>
    <t>1S5OE</t>
  </si>
  <si>
    <t>35365801</t>
  </si>
  <si>
    <t>WOS:000777289500002</t>
  </si>
  <si>
    <t>Bridge, J; Blakey, JD; Bonnett, LJ</t>
  </si>
  <si>
    <t>Background Clinical prediction models are widely used to guide medical advice and therapeutic interventions. Asthma is one of the most common chronic diseases globally and is characterised by acute deteriorations. These exacerbations are largely preventable, so there is interest in using clinical prediction models in this area. The objective of this review was to identify studies which have developed such models, determine whether consistent and appropriate methodology was used and whether statistically reliable prognostic models exist. Methods We searched online databases MEDLINE (1948 onwards), CINAHL Plus (1937 onwards), The Cochrane Library, Web of Science (1898 onwards) and , using index terms relating to asthma and prognosis. Data was extracted and assessment of quality was based on GRADE and an early version of PROBAST (Prediction study Risk of Bias Assessment Tool). A meta-analysis of the discrimination and calibration measures was carried out to determine overall performance across models. Results Ten unique prognostic models were identified. GRADE identified moderate risk of bias in two of the studies, but more detailed quality assessment via PROBAST highlighted that most models were developed using highly selected and small datasets, incompletely recorded predictors and outcomes, and incomplete methodology. None of the identified models modelled recurrent exacerbations, instead favouring either presence/absence of an event, or time to first or specified event. Preferred methodologies were logistic regression and Cox proportional hazards regression. The overall pooled c-statistic was 0.77 (95% confidence interval 0.73 to 0.80), though individually some models performed no better than chance. The meta-analysis had an I-2 value of 99.75% indicating a high amount of heterogeneity between studies. The majority of studies were small and did not include internal or external validation, therefore the individual performance measures are likely to be optimistic. Conclusions Current prognostic models for asthma exacerbations are heterogeneous in methodology, but reported c-statistics suggest a clinically useful model could be created. Studies were consistent in lacking robust validation and in not modelling serial events. Further research is required with respect to incorporating recurrent events, and to externally validate tools in large representative populations to demonstrate the generalizability of published results.</t>
  </si>
  <si>
    <t>Bridge, Joshua; Blakey, John D.; Bonnett, Laura J.</t>
  </si>
  <si>
    <t>Bonnett, LJ (corresponding author), Univ Liverpool, Dept Biostat, Liverpool, Merseyside, England.</t>
  </si>
  <si>
    <t>L.J.Bonnett@liverpool.ac.uk</t>
  </si>
  <si>
    <t>National Institute for Health Research [PDF-2015-08-044]; National Institutes of Health Research (NIHR) [PDF-2015-08-044] Funding Source: National Institutes of Health Research (NIHR); National Institute for Health Research [PDF-2015-08-044] Funding Source: researchfish</t>
  </si>
  <si>
    <t>National Institute for Health Research (National Institutes of Health Research (NIHR)); National Institutes of Health Research (NIHR) (National Institutes of Health Research (NIHR)); National Institute for Health Research (National Institutes of Health Research (NIHR))</t>
  </si>
  <si>
    <t>LJB was funded by a Post-Doctoral Fellowship (PDF-2015-08-044) from the National Institute for Health Research. The views expressed in this publication are those of the authors and not necessarily those of the NHS, or the National Institute for Health Research. The funding body had no role in the design of the study, in collecting, analysis and interpreting the data, and in writing the manuscript.</t>
  </si>
  <si>
    <t>[Bridge, Joshua] Univ Liverpool, Dept Eye &amp; Vis, Liverpool, Merseyside, England; [Blakey, John D.] Sir Charles Gairdner Hosp, Resp Med, Perth, WA, Australia; [Blakey, John D.] Curtin Univ, Sch Med, Perth, WA, Australia; [Bonnett, Laura J.] Univ Liverpool, Dept Biostat, Liverpool, Merseyside, England</t>
  </si>
  <si>
    <t>University of Liverpool; Sir Charles Gairdner Hospital; Curtin University; University of Liverpool</t>
  </si>
  <si>
    <t>A systematic review of methodology used in the development of prediction models for future asthma exacerbation</t>
  </si>
  <si>
    <t>Asthma; Exacerbation; Prognostic models; Clinical prediction; Risk; Systematic review</t>
  </si>
  <si>
    <t>LUNG-FUNCTION; EXTERNAL VALIDATION; LOGISTIC-REGRESSION; RISK; DECLINE; MANAGEMENT; HEALTH; ATTACK; TIME</t>
  </si>
  <si>
    <t>Bonnett, Laura/A-2159-2015</t>
  </si>
  <si>
    <t>Bridge, Joshua/0000-0001-8798-4134</t>
  </si>
  <si>
    <t>FEB 5 2020</t>
  </si>
  <si>
    <t>10.1186/s12874-020-0913-7</t>
  </si>
  <si>
    <t>http://dx.doi.org/10.1186/s12874-020-0913-7</t>
  </si>
  <si>
    <t>KL8WR</t>
  </si>
  <si>
    <t>32024484</t>
  </si>
  <si>
    <t>WOS:000513699400003</t>
  </si>
  <si>
    <t>gold; Green Published</t>
  </si>
  <si>
    <t>Dhiman, P; Ma, J; Navarro, CLA; Speich, B; Bullock, G; Damen, JAA; Hooft, L; Kirtley, S; Riley, RD; Van Calster, B; Moons, KGM; Collins, GS</t>
  </si>
  <si>
    <t>Background Describe and evaluate the methodological conduct of prognostic prediction models developed using machine learning methods in oncology. Methods We conducted a systematic review in MEDLINE and Embase between 01/01/2019 and 05/09/2019, for studies developing a prognostic prediction model using machine learning methods in oncology. We used the Transparent Reporting of a multivariable prediction model for Individual Prognosis Or Diagnosis (TRIPOD) statement, Prediction model Risk Of Bias ASsessment Tool (PROBAST) and CHecklist for critical Appraisal and data extraction for systematic Reviews of prediction Modelling Studies (CHARMS) to assess the methodological conduct of included publications. Results were summarised by modelling type: regression-, non-regression-based and ensemble machine learning models. Results Sixty-two publications met inclusion criteria developing 152 models across all publications. Forty-two models were regression-based, 71 were non-regression-based and 39 were ensemble models. A median of 647 individuals (IQR: 203 to 4059) and 195 events (IQR: 38 to 1269) were used for model development, and 553 individuals (IQR: 69 to 3069) and 50 events (IQR: 17.5 to 326.5) for model validation. A higher number of events per predictor was used for developing regression-based models (median: 8, IQR: 7.1 to 23.5), compared to alternative machine learning (median: 3.4, IQR: 1.1 to 19.1) and ensemble models (median: 1.7, IQR: 1.1 to 6). Sample size was rarely justified (n = 5/62; 8%). Some or all continuous predictors were categorised before modelling in 24 studies (39%). 46% (n = 24/62) of models reporting predictor selection before modelling used univariable analyses, and common method across all modelling types. Ten out of 24 models for time-to-event outcomes accounted for censoring (42%). A split sample approach was the most popular method for internal validation (n = 25/62, 40%). Calibration was reported in 11 studies. Less than half of models were reported or made available. Conclusions The methodological conduct of machine learning based clinical prediction models is poor. Guidance is urgently needed, with increased awareness and education of minimum prediction modelling standards. Particular focus is needed on sample size estimation, development and validation analysis methods, and ensuring the model is available for independent validation, to improve quality of machine learning based clinical prediction models.</t>
  </si>
  <si>
    <t>Dhiman, Paula; Ma, Jie; Navarro, Constanza L. Andaur; Speich, Benjamin; Bullock, Garrett; Damen, Johanna A. A.; Hooft, Lotty; Kirtley, Shona; Riley, Richard D.; Van Calster, Ben; Moons, Karel G. M.; Collins, Gary S.</t>
  </si>
  <si>
    <t>Dhiman, P (corresponding author), Univ Oxford, Ctr Stat Med, Nuffield Dept Orthopaed Rheumatol &amp; Musculoskelet, Oxford OX3 7LD, England.; Dhiman, P (corresponding author), Oxford Univ Hosp NHS Fdn Trust, NIHR Oxford Biomed Res Ctr, Oxford, England.</t>
  </si>
  <si>
    <t>paula.dhiman@csm.ox.ac.uk</t>
  </si>
  <si>
    <t>Cancer Research UK [C49297/A27294]; Swiss National Science Foundation [P300PB_177933, P4P4PM_194496]; NIHR Biomedical Research Centre, Oxford; Internal Funds KU Leuven [C24M/20/064]; University Hospitals Leuven (grant COPREDICT); Kom Op Tegen Kanker (grant KOTK TRANS-IOTA); National Institute for Health Research (NIHR); Swiss National Science Foundation (SNF) [P4P4PM_194496] Funding Source: Swiss National Science Foundation (SNF)</t>
  </si>
  <si>
    <t>Cancer Research UK (Cancer Research UK); Swiss National Science Foundation (Swiss National Science Foundation (SNSF)); NIHR Biomedical Research Centre, Oxford (National Institutes of Health Research (NIHR)); Internal Funds KU Leuven; University Hospitals Leuven (grant COPREDICT); Kom Op Tegen Kanker (grant KOTK TRANS-IOTA); National Institute for Health Research (NIHR) (National Institutes of Health Research (NIHR)); Swiss National Science Foundation (SNF) (Swiss National Science Foundation (SNSF))</t>
  </si>
  <si>
    <t>Gary Collins, Shona Kirtley and Jie Ma are supported by Cancer Research UK (programme grant: C49297/A27294). Benjamin Speich is supported by an Advanced Postdoc. Mobility grant (P300PB_177933) and a return grant (P4P4PM_194496) from the Swiss National Science Foundation. Gary Collins and Paula Dhiman are supported by the NIHR Biomedical Research Centre, Oxford. Ben Van Calster is supported by Internal Funds KU Leuven (grant C24M/20/064), University Hospitals Leuven (grant COPREDICT), and Kom Op Tegen Kanker (grant KOTK TRANS-IOTA). This publication presents independent research funded by the National Institute for Health Research (NIHR). The views expressed are those of the author(s) and not necessarily those of the Cancer Research UK, the NHS, the NIHR or the Department of Health and Social Care.</t>
  </si>
  <si>
    <t>[Dhiman, Paula; Ma, Jie; Speich, Benjamin; Kirtley, Shona; Collins, Gary S.] Univ Oxford, Ctr Stat Med, Nuffield Dept Orthopaed Rheumatol &amp; Musculoskelet, Oxford OX3 7LD, England; [Dhiman, Paula; Collins, Gary S.] Oxford Univ Hosp NHS Fdn Trust, NIHR Oxford Biomed Res Ctr, Oxford, England; [Navarro, Constanza L. Andaur; Damen, Johanna A. A.; Hooft, Lotty; Moons, Karel G. M.] Univ Utrecht, Univ Med Ctr Utrecht, Julius Ctr Hlth Sci &amp; Primary Care, Utrecht, Netherlands; [Navarro, Constanza L. Andaur; Damen, Johanna A. A.; Hooft, Lotty; Moons, Karel G. M.] Univ Utrecht, Univ Med Ctr Utrecht, Cochrane Netherlands, Utrecht, Netherlands; [Speich, Benjamin] Univ Basel, Univ Hosp Basel, Basel Inst Clin Epidemiol &amp; Biostat, Dept Clin Res, Basel, Switzerland; [Bullock, Garrett] Univ Oxford, Nuffield Dept Orthopaed Rheumatol &amp; Musculoskelet, Oxford, England; [Riley, Richard D.] Keele Univ, Ctr Prognosis Res, Sch Med, Keele ST5 5BG, Staffs, England; [Van Calster, Ben] Katholieke Univ Leuven, Dept Dev &amp; Regenerat, Leuven, Belgium; [Van Calster, Ben] Leiden Univ, Dept Biomed Data Sci, Med Ctr, Leiden, Netherlands; [Van Calster, Ben] Katholieke Univ Leuven, EPI Ctr, Leuven, Belgium</t>
  </si>
  <si>
    <t>University of Oxford; University of Oxford; Oxford University Hospitals NHS Foundation Trust; Utrecht University; Utrecht University Medical Center; Utrecht University; Utrecht University Medical Center; University of Basel; Swiss School of Public Health (SSPH+); University of Oxford; Keele University; KU Leuven; Leiden University - Excl LUMC; Leiden University; Leiden University Medical Center (LUMC); KU Leuven</t>
  </si>
  <si>
    <t>Methodological conduct of prognostic prediction models developed using machine learning in oncology: a systematic review</t>
  </si>
  <si>
    <t>Prediction; Machine learning; Methodology</t>
  </si>
  <si>
    <t>RISK PREDICTION; COLORECTAL-CANCER; SURVIVAL; DISEASE; 10-YEAR; SCORE; VALIDATION</t>
  </si>
  <si>
    <t>Collins, Gary/A-2258-2014; Riley, Richard D/G-2406-2011; Hooft, Lotty/PCC-6420-2025; Speich, Benjamin/HPD-8204-2023; Van Calster, Ben/F-9150-2010; Moons, Karel GM/JPA-4011-2023</t>
  </si>
  <si>
    <t>Collins, Gary/0000-0002-2772-2316; Riley, Richard D/0000-0001-8699-0735; Hooft, Lotty/0000-0002-7950-2980; Andaur Navarro, Constanza L/0000-0002-7745-2887; Speich, Benjamin/0000-0002-3301-8085; Bullock, Garrett/0000-0003-0236-9015; Ma, Jie/0000-0002-3900-1903; Van Calster, Ben/0000-0003-1613-7450; Damen, Johanna/0000-0001-7401-4593</t>
  </si>
  <si>
    <t>125</t>
  </si>
  <si>
    <t>APR 8 2022</t>
  </si>
  <si>
    <t>10.1186/s12874-022-01577-x</t>
  </si>
  <si>
    <t>http://dx.doi.org/10.1186/s12874-022-01577-x</t>
  </si>
  <si>
    <t>0L2XD</t>
  </si>
  <si>
    <t>35395724</t>
  </si>
  <si>
    <t>WOS:000781341800002</t>
  </si>
  <si>
    <t>Sheehy, J; Gallanagh, M; Sullivan, C; Lane, S</t>
  </si>
  <si>
    <t>PurposeFebrile neutropenia (FN) is a life-threatening complication of chemotherapy. Although practice guidelines suggest the use of existing prediction models when making decisions to prevent and treat FN, recent evidence suggests that these models are limited in their discriminative ability. This study aims to systematically review and critically evaluate the recent literature to assess the question: what evidence-based clinical prediction models can be used to predict FN or its outcomes?MethodsPubMed, EMBASE, Web of Science, and SCOPUS were searched for primary journal articles that developed or validated models that predicted FN or outcomes in patients with FN. Risk of bias was critically evaluated using the Prediction model Risk of Bias Assessment Tool (PROBAST).ResultsFive thousand nine hundred nineteen articles were identified, of which 90 met inclusion criteria. Twenty-five studies predicted FN, and 65 studies predicted outcomes in patients with FN, including 28 that predicted mortality, 35 that predicted microbiological outcomes, and 35 that predicted other complications. Eight studies used machine learning methods in their development, and few studies were externally validated. All 90 studies were graded as high risk of bias using PROBAST.ConclusionPrediction models for FN and its outcomes demonstrate promising discriminatory ability; however, several limitations have prevented these from translating clinically. These limitations include variable FN definitions, high ROB in current models, limited external validation, and heterogeneous cohorts. Future work is needed to further develop and validate robust, well-evidenced models that can translate into clinical practice. This may best be achieved through machine learning and electronic medical record integration.</t>
  </si>
  <si>
    <t>Sheehy, Joshua; Gallanagh, Marianne; Sullivan, Clair; Lane, Steven</t>
  </si>
  <si>
    <t>Sheehy, J (corresponding author), Royal Brisbane &amp; Womens Hosp, Haematol &amp; Bone Marrow Transplant Dept, Canc Care Serv, Brisbane, Qld, Australia.; Sheehy, J (corresponding author), Univ Queensland, Fac Med, Brisbane, Qld, Australia.; Sheehy, J (corresponding author), QIMR Berghofer Med Res Inst, Brisbane, Qld, Australia.</t>
  </si>
  <si>
    <t>clair.sullivan@health.qld.gov.au; Joshua.sheehy@uq.net.au; marianne.gallanagh@health.qld.gov.au; steven.lane@qimrberghofer.edu.au</t>
  </si>
  <si>
    <t>CAUL</t>
  </si>
  <si>
    <t>Open Access funding enabled and organized by CAUL and its Member Institutions.</t>
  </si>
  <si>
    <t>[Sheehy, Joshua; Gallanagh, Marianne; Lane, Steven] Royal Brisbane &amp; Womens Hosp, Haematol &amp; Bone Marrow Transplant Dept, Canc Care Serv, Brisbane, Qld, Australia; [Sheehy, Joshua; Lane, Steven] Univ Queensland, Fac Med, Brisbane, Qld, Australia; [Sheehy, Joshua; Lane, Steven] QIMR Berghofer Med Res Inst, Brisbane, Qld, Australia; [Sullivan, Clair] Queensland Govt, Metro North Hosp &amp; Hlth Serv, Dept Hlth, Brisbane, Qld, Australia; [Sullivan, Clair] Univ Queensland, Fac Med, Queensland Digital Hlth Ctr, Brisbane, Qld, Australia</t>
  </si>
  <si>
    <t>Royal Brisbane &amp; Women's Hospital; University of Queensland; QIMR Berghofer Medical Research Institute; Queensland Health; University of Queensland</t>
  </si>
  <si>
    <t>Clinical prediction models for febrile neutropenia and its outcomes: a systematic review</t>
  </si>
  <si>
    <t>SUPPORTIVE CARE IN CANCER</t>
  </si>
  <si>
    <t>Febrile neutropenia; Prediction model; Risk score</t>
  </si>
  <si>
    <t>C-REACTIVE PROTEIN; MASCC RISK-INDEX; INFECTIOUS-DISEASES SOCIETY; ADULT CANCER-PATIENTS; NON-HODGKIN-LYMPHOMA; MULTINATIONAL-ASSOCIATION; OUTPATIENT MANAGEMENT; PRACTICE GUIDELINE; DIAGNOSTIC-VALUE; SUPPORTIVE-CARE</t>
  </si>
  <si>
    <t>Lane, Steven/C-3215-2012; Sullivan, Clair/J-2466-2015</t>
  </si>
  <si>
    <t>Lane, Steven/0000-0002-8050-6209; Sullivan, Clair/0000-0003-2475-9989; Gallanagh, Marianne/0000-0002-8687-8230</t>
  </si>
  <si>
    <t>0941-4355</t>
  </si>
  <si>
    <t>1433-7339</t>
  </si>
  <si>
    <t>SUPPORT CARE CANCER</t>
  </si>
  <si>
    <t>Support. Care Cancer</t>
  </si>
  <si>
    <t>JUN 4 2025</t>
  </si>
  <si>
    <t>537</t>
  </si>
  <si>
    <t>10.1007/s00520-025-09562-y</t>
  </si>
  <si>
    <t>http://dx.doi.org/10.1007/s00520-025-09562-y</t>
  </si>
  <si>
    <t>Oncology; Health Care Sciences &amp; Services; Rehabilitation</t>
  </si>
  <si>
    <t>3KV6C</t>
  </si>
  <si>
    <t>40467900</t>
  </si>
  <si>
    <t>WOS:001502753300001</t>
  </si>
  <si>
    <t>Naufal, E; Shadbolt, C; Wouthuyzen-Bakker, M; Rele, S; Sahebjada, S; Thuraisingam, S; Babazadeh, S; Choong, PF; Dowsey, MM</t>
  </si>
  <si>
    <t>Background: Several clinical prediction models that aim to guide decisions about the management of periprosthetic joint infections (PJIs) have been developed. While some models have been recommended for use in clinical settings, their suitability remains uncertain. Methods: We systematically reviewed and critically appraised all multi-variable prediction models for the treatment of PJI. We searched MEDLINE, EMBASE, Web of Science, and Google Scholar from inception until 1st March 2024 and included studies that developed or validated models that predict the outcome of PJI. We used PROBAST (Prediction model Risk Of Bias ASsessment Tool) to assess the risk of bias and applicability. Model performance estimates were pooled via random effect meta-analysis. Results: Thirteen predictive models and seven external validations were identified. Methodological issues were identified in all studies. Pooled estimates indicated that the KLIC (Kidney, Liver, Index surgery, Cemented prosthesis, C-reactive protein) score had fair discriminative performance (pooled c-statistic 0.62, 95% CI 0.55-0.69). Both the s2 (0.02) and I2 (33.4) estimates indicated that between-study heterogeneity was minimal. Meta-analysis indicated Shohat et al.'s model had good discriminative performance (pooled cstatistic 0.74, 95% CI 0.57-0.85). Both the s2 (0.0) and I2 (0.0) indicated that between study heterogeneity was minimal. Conclusions: Clinicians should be aware of limitations in the methods used to develop available models to predict outcomes of PJI. As no models have consistently demonstrated adequate performance across external validation studies, it remains unclear whether any available models would provide reliable information if used to guide clinical decision making. &lt;feminine ordinal indicator&gt; 2025 The Author(s). Published by Elsevier Ltd on behalf of The Healthcare Infection Society. This is an open access article under the CC BY license (http://creativecommons.org/licenses/by/4.0/).</t>
  </si>
  <si>
    <t>Naufal, E.; Shadbolt, C.; Wouthuyzen-Bakker, M.; Rele, S.; Sahebjada, S.; Thuraisingam, S.; Babazadeh, S.; Choong, P. F.; Dowsey, M. M.</t>
  </si>
  <si>
    <t>Dowsey, MM (corresponding author), Level 2,Clin Sci Bldg,29 Regent St, Fitzroy, Vic 3065, Australia.</t>
  </si>
  <si>
    <t>mmdowsey@unimelb.edu.au</t>
  </si>
  <si>
    <t>Australian Commonwealth Government through a Research Training Scheme Scholarship; University of Melbourne Dame Kate Campbell Fellowship</t>
  </si>
  <si>
    <t>No direct funding was received. Elise Naufal acknowledges the support of the Australian Commonwealth Government through a Research Training Scheme Scholarship and Stipend. Michelle Maree Dowsey is the recipient of a University of Melbourne Dame Kate Campbell Fellowship.</t>
  </si>
  <si>
    <t>[Naufal, E.; Shadbolt, C.; Rele, S.; Thuraisingam, S.; Babazadeh, S.; Choong, P. F.; Dowsey, M. M.] Univ Melbourne, St Vincents Hosp Melbourne, Dept Surg, Fitzroy, Vic, Australia; [Wouthuyzen-Bakker, M.] Univ Groningen, Univ Med Ctr Groningen, Dept Med Microbiol &amp; Infect Prevent, Groningen, Netherlands; [Sahebjada, S.] Ctr Eye Res Australia, Corneal Res Unit, East Melbourne, Vic, Australia; [Babazadeh, S.; Choong, P. F.] St Vincents Hosp Melbourne, Dept Orthopaed, Fitzroy, Vic, Australia</t>
  </si>
  <si>
    <t>St Vincent's Health; University of Melbourne; St Vincent's Hospital Melbourne; University of Groningen; Centre for Eye Research Australia; St Vincent's Health; St Vincent's Hospital Melbourne</t>
  </si>
  <si>
    <t>Clinical prediction models to guide treatment of periprosthetic joint infections: a systematic review and meta-analysis</t>
  </si>
  <si>
    <t>Systematic review; Clinical predictive model; Prosthetic joint infection</t>
  </si>
  <si>
    <t>EXTERNAL VALIDATION; PREOPERATIVE PREDICTION; PROGNOSTIC MODEL; RISK-FACTORS; DEBRIDEMENT; IRRIGATION; FAILURE; HIP; ANTIBIOTICS; CALCULATOR</t>
  </si>
  <si>
    <t>Choong, Peter/F-1109-2014; Shadbolt, Cade/PLR-6259-2026; Dowsey, Michelle/J-4162-2012; Wouthuyzen-Bakker, Marjan/ABH-8646-2020</t>
  </si>
  <si>
    <t>Wouthuyzen-Bakker, Marjan/0000-0001-7866-2467</t>
  </si>
  <si>
    <t>10.1016/j.jhin.2025.04.035</t>
  </si>
  <si>
    <t>http://dx.doi.org/10.1016/j.jhin.2025.04.035</t>
  </si>
  <si>
    <t>7DL0O</t>
  </si>
  <si>
    <t>40398684</t>
  </si>
  <si>
    <t>WOS:001568392100002</t>
  </si>
  <si>
    <t>Fusar-Poli, P; Manchia, M; Koutsouleris, N; Leslie, D; Woopen, C; Calkins, ME; Dunn, M; Le Tourneau, C; Mannikko, M; Mollema, T; Oliver, D; Rietschel, M; Reininghaus, EZ; Squassina, A; Valmaggia, L; Kessing, LV; Vieta, E; Correll, CU; Arango, C; Andreassen, OA</t>
  </si>
  <si>
    <t>Precision psychiatry is an emerging field with transformative opportunities for mental health. However, the use of clinical prediction models carries unprecedented ethical challenges, which must be addressed before accessing the potential benefits of precision psychiatry. This critical review covers multidisciplinary areas, including psychiatry, ethics, statistics and machine-teaming, healthcare and academia, as well as input from people with lived experience of mental disorders, their family, and carers. We aimed to identify core ethical considerations for precision psychiatry and mitigate concerns by designing a roadmap for research and clinical practice. We identified priorities: teaming from somatic medicine; identifying precision psychiatry use cases; enhancing transparency and generalizability; fostering implementation; promoting mental health literacy; communicating risk estimates; data protection and privacy; and fostering the equitable distribution of mental health care. We hope this blueprint will advance research and practice and enable people with mental health problems to benefit from precision psychiatry. (C) 2022 The Authors. Published by Elsevier B.V.</t>
  </si>
  <si>
    <t>Fusar-Poli, Paolo; Manchia, Mirko; Koutsouleris, Nikolaos; Leslie, David; Woopen, Christiane; Calkins, Monica E.; Dunn, Michael; Le Tourneau, Christophe; Mannikko, Miia; Mollema, Tineke; Oliver, Dominic; Rietschel, Marcella; Reininghaus, Eva Z.; Squassina, Alessio; Valmaggia, Lucia; Kessing, Lars Vedel; Vieta, Eduard; Correll, Christoph U.; Arango, Celso; Andreassen, Ole A.</t>
  </si>
  <si>
    <t>Fusar-Poli, P (corresponding author), Inst Psychiat Psychol &amp; Neurosci, Dept Psychosis Studies, 5th Floor,PO63,16 Crespigny Pk, London SE5 8AF, England.</t>
  </si>
  <si>
    <t>European Brain Research Area project; European Union [825348]; H2020 Societal Challenges Programme [825348] Funding Source: H2020 Societal Challenges Programme; FIC [ES/T007354/1] Funding Source: UKRI</t>
  </si>
  <si>
    <t>European Brain Research Area project; European Union (European Union (EU)); H2020 Societal Challenges Programme (Horizon 2020, European Union (EU), H2020 Societal Challenges Programme); FIC (UK Research &amp; Innovation (UKRI))</t>
  </si>
  <si>
    <t>The Prevention of Severe Mental Disorders (PSMD) cluster is supported by the European Brain Research Area project. EBRA has received funding from the European Union's Horizon 2020 research and innovation programme under grant agreement number 825348.</t>
  </si>
  <si>
    <t>[Fusar-Poli, Paolo; Oliver, Dominic] Kings Coll London, Early Psychosis Intervent &amp; Clin Detect EPIC Lab, Dept Psychosis Studies, Inst Psychiat Psychol &amp; Neurosci, London, England; [Fusar-Poli, Paolo; Valmaggia, Lucia] South London &amp; Maudsley NHS Fdn Trust, London, England; [Fusar-Poli, Paolo] Univ Pavia, Dept Brain &amp; Behav Sci, Pavia, Italy; [Manchia, Mirko] Univ Cagliari, Dept Med Sci &amp; Publ Hlth, Sect Psychiat, Cagliari, Italy; [Manchia, Mirko] Univ Hosp Agcy Cagliari, Unit Clin Psychiat, Cagliari, Italy; [Manchia, Mirko] Dalhousie Univ, Dept Pharmacol, Halifax, NS, Canada; [Koutsouleris, Nikolaos] Ludwig Maximilians Univ Munchen, Sect Neurodiagnost Applicat, Munich, Germany; [Leslie, David] Alan Turing Inst, London, England; [Woopen, Christiane] Univ Bonn, Ctr Life Eth, Bonn, Germany; [Calkins, Monica E.] Univ Penn, Neurodev &amp; Psychosis Sect, Perelman Sch Med, Dept Psychiat, Philadelphia, PA 19104 USA; [Calkins, Monica E.] Univ Penn, Lifespan Brain Inst Penn CHOP, Perelman Sch Med, Dept Psychiat, Philadelphia, PA 19104 USA; [Dunn, Michael] Natl Univ Singapore, Ctr Biomed Eth, Yong Loo Lin Sch Med, Singapore, Singapore; [Le Tourneau, Christophe] Paris Saclay Univ, Inst Curie, Dept Drug Dev &amp; Innovat D3i, INSERM,U900 Res Unit, Paris, France; [Mannikko, Miia] European Federat Assoc Families People Mental Ill, Leuven, Belgium; [Mollema, Tineke] Global Alliance Mental Illness Advocacy Networks, Brussels, Belgium; [Rietschel, Marcella] Heidelberg Univ, Dept Genet Epidemiol Psychiat, Cent Inst Mental Hlth, Med Fac Mannheim, Mannheim, Germany; [Reininghaus, Eva Z.] Med Univ Graz, Dept Psychiat &amp; Psychotherapeut Med, Graz, Austria; [Squassina, Alessio] Univ Cagliari, Dept Biomed Sci, Sect Neurosci &amp; Clin Pharmacol, Cagliari, Italy; [Valmaggia, Lucia] Kings Coll London, Inst Psychiat Psychol &amp; Neurosci, Dept Psychol, London, England; [Valmaggia, Lucia] Katholieke Univ Leuven, Dept Psychiat, Leuven, Belgium; [Kessing, Lars Vedel] Psychiat Ctr Copenhagen, Copenhagen Affect Disorder Res Ctr CADIC, Copenhagen, Denmark; [Kessing, Lars Vedel] Univ Copenhagen, Dept Clin Med, Copenhagen, Denmark; [Vieta, Eduard] Univ Barcelona, Hosp Clin, Inst Neurosci, IDIBAPS,CIBERSAM, Barcelona, Catalonia, Spain; [Correll, Christoph U.] Zucker Hillside Hosp, Dept Psychiat, Northwell Hlth, Glen Oaks, NY USA; [Correll, Christoph U.] Hofstra Northwell, Donald &amp; Barbara Zucker Sch Med, Dept Psychiat &amp; Mol Med, Hempstead, NY USA; [Correll, Christoph U.] Ctr Psychiat Neurosci, Manhasset, NY USA; [Correll, Christoph U.] Feinstein Inst Med Res, Manhasset, NY USA; [Correll, Christoph U.] Charite, Dept Child &amp; Adolescent Psychiat, Berlin, Germany; [Arango, Celso] Hosp Gen Univ Gregorio Maranon, Inst Psychiat &amp; Mental Hlth, Dept Child &amp; Adolescent Psychiat, Madrid, Spain; [Arango, Celso] Univ Complutense Madrid, Sch Med, Hlth Res Inst IiGSM, Madrid, Spain; [Arango, Celso] Biomed Res Ctr Mental Hlth CIBERSAM, Madrid, Spain; [Andreassen, Ole A.] Univ Oslo, Inst Clin Med, NORMENT, Oslo, Norway; [Andreassen, Ole A.] Oslo Univ Hosp, Div Mental Hlth &amp; Addict, Oslo, Norway</t>
  </si>
  <si>
    <t>University of London; King's College London; South London &amp; Maudsley NHS Trust; University of Pavia; University of Cagliari; University of Cagliari; Azienda Ospedaliero-Universitaria di Cagliari; Dalhousie University; University of Munich; Alan Turing Institute; University of Bonn; University of Pennsylvania; Pennsylvania Medicine; University of Pennsylvania; Pennsylvania Medicine; National University of Singapore; Universite Paris Saclay; Institut National de la Sante et de la Recherche Medicale (Inserm); UNICANCER; Universite PSL; Institut Curie; Ruprecht Karls University Heidelberg; Central Institute of Mental Health; Medical University of Graz; University of Cagliari; University of London; King's College London; KU Leuven; University of Copenhagen; University of Barcelona; CIBER - Centro de Investigacion Biomedica en Red; Hospital Clinic de Barcelona; CIBERSAM; IDIBAPS; Northwell Health; Northwell Health; Northwell Health; Free University of Berlin; Humboldt University of Berlin; Charite Universitatsmedizin Berlin; General University Gregorio Maranon Hospital; Complutense University of Madrid; CIBER - Centro de Investigacion Biomedica en Red; CIBERSAM; University of Oslo; University of Oslo</t>
  </si>
  <si>
    <t>PSMD EBRA Cluster</t>
  </si>
  <si>
    <t>Ethical considerations for precision psychiatry: A roadmap for research and clinical practice</t>
  </si>
  <si>
    <t>EUROPEAN NEUROPSYCHOPHARMACOLOGY</t>
  </si>
  <si>
    <t>Ethics; Prevention; Precision medicine; Artificial intelligence; Bipolar disorders; Psychosis</t>
  </si>
  <si>
    <t>PSYCHOSIS RISK SYNDROMES; ADULT PATIENT; MEDICINE; HEALTH; PERSONALIZATION; DEPRESSION; PREDICTION; SYMPTOMS; STIGMA; PEOPLE</t>
  </si>
  <si>
    <t>Arango, Celso/AAZ-8314-2021; Squassina, Alessio/AFW-0230-2022; Calkins, Monica/AFT-6444-2022; Valmaggia, Lucia/E-9653-2012; Fusar-Poli, Paolo/D-8605-2011; Woopen, Christiane/NPI-4527-2025; Koutsouleris, Nikolaos/MHR-0254-2025; Andreassen, Ole/AAY-7531-2020; Manchia, Mirko/A-2907-2010; Oliver, Dominic/I-8725-2019; Kessing, Lars/JNS-2493-2023; Vieta, Eduard/Y-2919-2019; Kirsch, Peter/C-2499-2008; Correll, Christoph/D-3530-2011</t>
  </si>
  <si>
    <t>Le Tourneau, Christophe/0000-0001-9772-4686; Arango, Celso/0000-0003-3382-4754; Dunn, Michael/0000-0002-5603-6200; Valmaggia, Lucia/0000-0001-6099-8464; Fusar-Poli, Paolo/0000-0003-3582-6788; Woopen, Christiane/0000-0002-7148-6808; Leslie, David/0000-0001-9369-1653; Manchia, Mirko/0000-0003-4175-6413; Oliver, Dominic/0000-0002-8920-3407; Kessing, Lars/0000-0001-9377-9436; Vieta, Eduard/0000-0002-0548-0053</t>
  </si>
  <si>
    <t>145</t>
  </si>
  <si>
    <t>93</t>
  </si>
  <si>
    <t>0924-977X</t>
  </si>
  <si>
    <t>1873-7862</t>
  </si>
  <si>
    <t>EUR NEUROPSYCHOPHARM</t>
  </si>
  <si>
    <t>Eur. Neuropsychopharmacol.</t>
  </si>
  <si>
    <t>63</t>
  </si>
  <si>
    <t>10.1016/j.euroneuro.2022.08.001</t>
  </si>
  <si>
    <t>http://dx.doi.org/10.1016/j.euroneuro.2022.08.001</t>
  </si>
  <si>
    <t>AUG 2022</t>
  </si>
  <si>
    <t>Clinical Neurology; Neurosciences; Pharmacology &amp; Pharmacy; Psychiatry</t>
  </si>
  <si>
    <t>Neurosciences &amp; Neurology; Pharmacology &amp; Pharmacy; Psychiatry</t>
  </si>
  <si>
    <t>5V9ZF</t>
  </si>
  <si>
    <t>36041245</t>
  </si>
  <si>
    <t>WOS:000877581400002</t>
  </si>
  <si>
    <t>hybrid; Green Submitted; Green Published; Green Accepted</t>
  </si>
  <si>
    <t>Jing, CY; Zhang, L; Feng, L; Li, JC; Liang, LR; Hu, J; Liao, X</t>
  </si>
  <si>
    <t>Background: This study aimed to synthesize the recommendations for prediction models in cardiovascular clinical practice guidelines (CPGs) and assess the methodological quality of the relevant primary modeling studies. Methods: We performed a systematic literature search of all available cardiovascular CPGs published between 2018 and 2023 that presented specific recommendations (whether in support or non-support) for at least one multivariable clinical prediction model. For the guideline-recommended models, the assessment of the methodological quality of their primary modeling studies was conducted using the Prediction model Risk Of Bias ASsessment Tool (PROBAST). Results: In total, 46 qualified cardiovascular CPGs were included, with 69 prediction models and 80 specific recommendations. Of the 80 specific recommendations, 74 supported 57 models (53 were fully recommended and 4 were conditionally recommended) in cardiovascular practice with moderate to strong strength. Most of the guideline-recommended models were focused on predicting prognosis outcomes (53/57, 93%) in primary and tertiary prevention, focusing primarily on long-term risk stratification and prognosis management. A total of 10 conditions and 7 types of target population were involved in the 57 models, while heart failure (14/57, 25%) and a general population with or without cardiovascular risk factor(s) (12/57, 21%) received the most attention from the guidelines. The assessment of the methodological quality of 57 primary studies on the development of the guideline-recommended models revealed that only 40% of the modeling studies had a low risk of bias (ROB). The causes of high ROB were mainly in the analysis and participant domains. Conclusions: Global cardiovascular CPGs presented an unduly positive appraisal of the existing prediction models in terms of ROB, leading to stronger recommendations than were warranted. Future cardiovascular practice may benefit from well-established clinical prediction models with better methodological quality and extensive external validation.</t>
  </si>
  <si>
    <t>Jing, Cheng-yang; Zhang, Le; Feng, Lin; Li, Jia-chen; Liang, Li-rong; Hu, Jing; Liao, Xing</t>
  </si>
  <si>
    <t>Liao, X (corresponding author), China Acad Chinese Med Sci, Inst Basic Res Clin Med, Ctr Evidence Based Chinese Med, Beijing, Peoples R China.</t>
  </si>
  <si>
    <t>okfrom2008@hotmail.com</t>
  </si>
  <si>
    <t>China Academy of Chinese Medical Sciences Innovation Fund [CI2021A00701-3, CI2021A05503]; National Natural Science Foundation of China [82174239]; China Center for Evidence Based Traditional Chinese Medicine [2020YJSZX-2]</t>
  </si>
  <si>
    <t>China Academy of Chinese Medical Sciences Innovation Fund; National Natural Science Foundation of China (National Natural Science Foundation of China (NSFC)); China Center for Evidence Based Traditional Chinese Medicine</t>
  </si>
  <si>
    <t>The author(s) declare financial support was received for the research, authorship, and/or publication of this article. This study was funded by China Academy of Chinese Medical Sciences Innovation Fund (No. CI2021A00701-3; No. CI2021A05503),National Natural Science Foundation of China (No. 82174239),and China Center for Evidence Based Traditional Chinese Medicine (No. 2020YJSZX-2). The funders had no role in the design and conduct of the study; collection, management, analysis, and interpretation of the data; preparation, review, or approval of the manuscript; and decision to submit the manuscript for publication.</t>
  </si>
  <si>
    <t>[Jing, Cheng-yang; Zhang, Le; Liao, Xing] China Acad Chinese Med Sci, Inst Basic Res Clin Med, Ctr Evidence Based Chinese Med, Beijing, Peoples R China; [Feng, Lin; Li, Jia-chen; Liang, Li-rong] Capital Med Univ, Beijing Inst Resp Med, Dept Clin Epidemiol, Beijing, Peoples R China; [Feng, Lin; Li, Jia-chen; Liang, Li-rong] Capital Med Univ, Beijing Chao Yang Hosp, Beijing, Peoples R China; [Hu, Jing] Capital Med Univ, Beijing Hosp Tradit Chinese Med, Beijing Inst Tradit Chinese Med, Beijing, Peoples R China</t>
  </si>
  <si>
    <t>China Academy of Chinese Medical Sciences; Institute of Basic Research In Clinical Medicine, CACMS; Capital Medical University; Capital Medical University; Capital Medical University</t>
  </si>
  <si>
    <t>Recommendations for prediction models in clinical practice guidelines for cardiovascular diseases are over-optimistic: a global survey utilizing a systematic literature search</t>
  </si>
  <si>
    <t>FRONTIERS IN CARDIOVASCULAR MEDICINE</t>
  </si>
  <si>
    <t>prediction model; recommendation; clinical practice guideline; cardiovascular diseases; methodological quality; risk of bias</t>
  </si>
  <si>
    <t>VENOUS THROMBOEMBOLISM; ATRIAL-FIBRILLATION; EUROPEAN ASSOCIATION; RISK-ASSESSMENT; MANAGEMENT; SOCIETY; CARDIOLOGY; DIAGNOSIS; PREVENTION; APPLICABILITY</t>
  </si>
  <si>
    <t>JIANG, MIAO/JYP-9894-2024; Jing, Chengyang/ACD-7000-2022; Li, JC/ITT-9495-2023</t>
  </si>
  <si>
    <t>2297-055X</t>
  </si>
  <si>
    <t>FRONT CARDIOVASC MED</t>
  </si>
  <si>
    <t>Front. Cardiovasc. Med.</t>
  </si>
  <si>
    <t>OCT 17 2024</t>
  </si>
  <si>
    <t>1449058</t>
  </si>
  <si>
    <t>10.3389/fcvm.2024.1449058</t>
  </si>
  <si>
    <t>http://dx.doi.org/10.3389/fcvm.2024.1449058</t>
  </si>
  <si>
    <t>K7U6Q</t>
  </si>
  <si>
    <t>39484015</t>
  </si>
  <si>
    <t>WOS:001345900900001</t>
  </si>
  <si>
    <t>Arshi, B; Wynants, L; Rijnhart, E; Reeve, K; Cowley, LE; Smits, LJ</t>
  </si>
  <si>
    <t>Background: Concerns have been expressed about the abundance of new clinical prediction models (CPMs) proposed in the literature. However, the extent of this proliferation in prediction research remains unclear. Objective: This study aimed to estimate the total and annual number of CPM development-related publications available across all medical fields. Methods: Using a validated search strategy, we conducted a systematic search of literature for prediction model studies published in Pubmed and Embase between 1995 and the end of 2020. By taking random samples for each year, we identified eligible studies that developed a multivariable model (ie, diagnostic or prognostic) for individual-level prediction of a health outcome across all medical fields. Exclusion criteria included development of models with a single predictor, studies not involving humans, methodological studies, conference abstracts, articles with unavailable full text, and those not available in English. We estimated the total and annual number of published regression-based multivariable CPM development articles, based on the total number of publications, proportion of included articles, and the search sensitivity. Furthermore, we used an adjusted Poisson regression to extrapolate our results to the period 1950-2024. Additionally, we estimated the number of articles that developed CPMs using techniques other than regression (eg, machine learning). Results: From a random sample of 10,660 articles published between 1995 and 2020, 109 regression-based CPM development articles were included. We estimated that 82,772 (95% CI 65,313-100,231) CPM development articles using regression were published, with an acceleration in model development from 2010 onward. With the addition of articles that developed non-regression-based CPMs, the number increased to 147,714 (95% CI 125,201-170,226). After extrapolation to the years Conclusions: Based on a representative sample of publications from the literature, we estimated that nearly 250,000 articles tions continue to increase in number. To prevent research waste and close the gap between research and clinical practice, existing CPMs. Limitations of this study include restriction of search to articles available in English and development of the validated search strategy prior to the popularity of artificial intelligence and machine learning models.</t>
  </si>
  <si>
    <t>Arshi, Banafsheh; Wynants, Laure; Rijnhart, Eline; Reeve, Kelly; Cowley, Laura Elizabeth; Smits, Luc J.</t>
  </si>
  <si>
    <t>Smits, LJ (corresponding author), Maastricht Univ, CAPHRI Care &amp; Publ Hlth Res Inst, Fac Hlth Med &amp; Life Sci, Dept Epidemiol, Peter Debyepl 1,POB 616, NL-6200 MD Maastricht, Netherlands.</t>
  </si>
  <si>
    <t>luc.smits@maastrichtuniversity.nl</t>
  </si>
  <si>
    <t>[Arshi, Banafsheh; Wynants, Laure; Rijnhart, Eline; Smits, Luc J.] Maastricht Univ, CAPHRI Care &amp; Publ Hlth Res Inst, Fac Hlth Med &amp; Life Sci, Dept Epidemiol, Peter Debyepl 1,POB 616, NL-6200 MD Maastricht, Netherlands; [Arshi, Banafsheh] Univ Utrecht, Inst Risk Assessment Sci IRAS, Utrecht, Netherlands; [Wynants, Laure] Katholieke Univ Leuven, Dept Dev &amp; Regenerat, Leuven, Belgium; [Wynants, Laure] Katholieke Univ Leuven, Leuven Unit Hlth Technol Assessment Res LUHTAR, Leuven, Belgium; [Reeve, Kelly] Univ Zurich, Epidemiol Biostat &amp; Prevent Inst, Zurich, Switzerland; [Cowley, Laura Elizabeth] Swansea Univ, Med Sch, Populat Data Sci, Swansea, Wales</t>
  </si>
  <si>
    <t>Maastricht University; Maastricht University Medical Centre (MUMC); Utrecht University; KU Leuven; KU Leuven; University of Zurich; Swiss School of Public Health (SSPH+); Swansea University</t>
  </si>
  <si>
    <t>Number of Publications on New Clinical Prediction Models: A Bibliometric Review</t>
  </si>
  <si>
    <t>JMIR MEDICAL INFORMATICS</t>
  </si>
  <si>
    <t>prediction modeling; model development; external validation; public health; research waste; clinical prediction; clinical practice; online databases; health outcomes; publication records; publication</t>
  </si>
  <si>
    <t>EXTERNAL VALIDATION; RISK</t>
  </si>
  <si>
    <t>Cowley, Laura/ABN-8667-2022; Wynants, Laure/AAA-2723-2020; Smits, Luc/C-5331-2008</t>
  </si>
  <si>
    <t>Rijnhart, Eline/0000-0001-5300-998X; Cowley, Laura/0000-0002-7757-4219; Reeve, Kelly/0000-0001-9325-6467; Wynants, Laure/0000-0002-3037-122X; Smits, Luc/0000-0003-0785-1345</t>
  </si>
  <si>
    <t>2291-9694</t>
  </si>
  <si>
    <t>JMIR MED INF</t>
  </si>
  <si>
    <t>JMIR Med. Inf.</t>
  </si>
  <si>
    <t>e62710</t>
  </si>
  <si>
    <t>10.2196/62710</t>
  </si>
  <si>
    <t>http://dx.doi.org/10.2196/62710</t>
  </si>
  <si>
    <t>Medical Informatics</t>
  </si>
  <si>
    <t>4YN9Z</t>
  </si>
  <si>
    <t>40614260</t>
  </si>
  <si>
    <t>WOS:001529728100001</t>
  </si>
  <si>
    <t>Veeturi, SS; Hall, S; Fujimura, S; Mossa-Basha, M; Sagues, E; Samaniego, EA; Tutino, VM</t>
  </si>
  <si>
    <t>The treatment of intracranial aneurysms is dictated by its risk of rupture in the future. Several clinical and radiological risk factors for aneurysm rupture have been described and incorporated into prediction models. Despite the recent technological advancements in aneurysm imaging, linear length and visible irregularity with a bleb are the only radiological measure used in clinical prediction models. The purpose of this article is to summarize both the standard imaging techniques, including their limitations, and the advanced techniques being used experimentally to image aneurysms. It is expected that as our understanding of advanced techniques improves, and their ability to predict clinical events is demonstrated, they become an increasingly routine part of aneurysm assessment. It is important that neurovascular specialists understand the spectrum of imaging techniques available.</t>
  </si>
  <si>
    <t>Veeturi, Sricharan S.; Hall, Samuel; Fujimura, Soichiro; Mossa-Basha, Mahmud; Sagues, Elena; Samaniego, Edgar A.; Tutino, Vincent M.</t>
  </si>
  <si>
    <t>Tutino, VM (corresponding author), SUNY Buffalo, Canon Stroke &amp; Vasc Res Ctr, Clin &amp; Translat Res Ctr, 875 Ellicott St, Buffalo, NY 14214 USA.; Tutino, VM (corresponding author), SUNY Buffalo, Dept Pathol &amp; Anat Sci, Buffalo, NY 14214 USA.</t>
  </si>
  <si>
    <t>vincentt@buffalo.edu</t>
  </si>
  <si>
    <t>Brain Aneurysm Foundation; Grants-in-Aid for Scientific Research [23K19226] Funding Source: KAKEN</t>
  </si>
  <si>
    <t>Brain Aneurysm Foundation; Grants-in-Aid for Scientific Research (Ministry of Education, Culture, Sports, Science and Technology, Japan (MEXT), Japan Society for the Promotion of Science, Grants-in-Aid for Scientific Research (KAKENHI))</t>
  </si>
  <si>
    <t>This work is partially funded by the Brain Aneurysm Foundation.</t>
  </si>
  <si>
    <t>[Veeturi, Sricharan S.; Tutino, Vincent M.] SUNY Buffalo, Canon Stroke &amp; Vasc Res Ctr, Clin &amp; Translat Res Ctr, 875 Ellicott St, Buffalo, NY 14214 USA; [Veeturi, Sricharan S.] SUNY Buffalo, Dept Neurosurg, Buffalo, NY USA; [Hall, Samuel] Univ Hosp Southampton NHS Fdn Trust, Dept Neurosurg, Southampton, England; [Fujimura, Soichiro] Tokyo Univ Sci, Dept Mech Engn, Tokyo, Japan; [Fujimura, Soichiro] Jikei Univ, Div Innovat Med Informat Technol, Sch Med, Tokyo, Japan; [Mossa-Basha, Mahmud] Univ Washington, Dept Radiol, Seattle, WA USA; [Sagues, Elena; Samaniego, Edgar A.] Univ Iowa, Dept Neurol, Iowa City, IA USA; [Tutino, Vincent M.] SUNY Buffalo, Dept Pathol &amp; Anat Sci, Buffalo, NY 14214 USA</t>
  </si>
  <si>
    <t>State University of New York (SUNY) System; University at Buffalo, SUNY; University at Albany, SUNY; University at Buffalo, SUNY; State University of New York (SUNY) System; University at Buffalo, SUNY; University at Albany, SUNY; University at Buffalo, SUNY; University of Southampton; University Hospital Southampton NHS Foundation Trust; Tokyo University of Science; Jikei University; University of Washington Seattle; University of Washington; University of Washington Seattle; University of Iowa; University at Albany, SUNY; University at Buffalo, SUNY; State University of New York (SUNY) System; University at Buffalo, SUNY</t>
  </si>
  <si>
    <t>Imaging of Intracranial Aneurysms: A Review of Standard and Advanced Imaging Techniques</t>
  </si>
  <si>
    <t>TRANSLATIONAL STROKE RESEARCH</t>
  </si>
  <si>
    <t>Unruptured intra-cranial aneurysm; Rupture risk; Angiography; Vessel wall imaging</t>
  </si>
  <si>
    <t>SUBTRACTION CT ANGIOGRAPHY; DIAGNOSTIC CEREBRAL-ANGIOGRAPHY; 3D ROTATIONAL ANGIOGRAPHY; PHASE-CONTRAST MRI; WALL ENHANCEMENT; NATURAL-HISTORY; BASILAR TERMINUS; RUPTURE RISK; SCORE; COMPLICATIONS</t>
  </si>
  <si>
    <t>Mossa-Basha, Mahmud/AGG-9595-2022; Hall, Samuel/QAY-3334-2026; Samaniego, Edgar/AAQ-9254-2020</t>
  </si>
  <si>
    <t>Sagues, Elena/0000-0002-8192-1906; Mossa-Basha, Mahmud/0000-0001-7798-8158; Veeturi, Sricharan/0000-0002-8114-3817; Tutino, Vincent/0000-0002-1331-2551</t>
  </si>
  <si>
    <t>137</t>
  </si>
  <si>
    <t>1868-4483</t>
  </si>
  <si>
    <t>1868-601X</t>
  </si>
  <si>
    <t>TRANSL STROKE RES</t>
  </si>
  <si>
    <t>Transl. Stroke Res.</t>
  </si>
  <si>
    <t>1016</t>
  </si>
  <si>
    <t>1027</t>
  </si>
  <si>
    <t>10.1007/s12975-024-01261-w</t>
  </si>
  <si>
    <t>http://dx.doi.org/10.1007/s12975-024-01261-w</t>
  </si>
  <si>
    <t>Clinical Neurology; Neurosciences</t>
  </si>
  <si>
    <t>Neurosciences &amp; Neurology</t>
  </si>
  <si>
    <t>2DJ8X</t>
  </si>
  <si>
    <t>38856829</t>
  </si>
  <si>
    <t>WOS:001242784100001</t>
  </si>
  <si>
    <t>Wu, HG; Xiao, YT; Hu, X; You, C; Zheng, ND; Ma, L</t>
  </si>
  <si>
    <t>Background: Post-stroke depression (PSD) is a prevalent neuropsychological consequence of stroke, associated with cognitive decline, disability, and increased mortality. Early prediction of PSD is critical for timely interventions and better outcomes. This study evaluates the effectiveness of various clinical prediction models, particularly machine learning methods, in forecasting PSD. Methods: A systematic review and meta-analysis were conducted to evaluate predictive models for post-stroke depression (PSD) using data from 16 studies. The databases searched included PubMed, Embase, Cochrane Library, and Web of Science, covering publications from the year 2000 to the present. The risk of bias in the predictive models was assessed using the Prediction model Risk of Bias Assessment Tool+AI (PROBAST+AI). The review encompassed both traditional statistical methods and machine learning algorithms. Predictive accuracy was analyzed through the area under the curve (AUC) values of these models, considering various data sources, such as clinical, cognitive, and biomarker data. R packages, including 'metafor,' 'meta,' and 'forestplot,' were used for the analysis. Results: 16 studies were included. Neural Network models yielded the highest pooled AUC (0.88, 95% CI: 0.45-0.98), although this estimate was based on only two studies and exhibited wide confidence intervals. Logistic Regression, Decision Tree, and K-Nearest Neighbor models showed comparable predictive ability, with pooled AUC values ranging from 0.77 to 0.83. Support Vector Machine models demonstrated the lowest predictive performance (AUC = 0.68) but exhibited the lowest heterogeneity. Among different data sources, functional, physical, and cognitive assessments yielded the highest predictive accuracy (AUC = 0.86, 95% CI: [0.81, 0.90]), followed by biomarker-based models (AUC = 0.80, 95% CI: [0.71, 0.86]). Within retrospective studies, biomarker-based data sources demonstrated significantly superior predictive performance (AUC = 0.94, 95% CI: 0.92-0.96). Conclusions: Machine learning models, particularly Neural Networks, show potential for predicting post-stroke depression, although current evidence is limited by small sample sizes and high heterogeneity. Traditional approaches such as Logistic Regression and Decision Tree models also demonstrate stable and competitive performance. Among data sources, functional, physical, and cognitive assessments provide the strongest predictive value, while biomarker-based models appear particularly effective in retrospective analyses. Despite these findings, the limited number of high-quality studies and methodological inconsistencies highlight the need for rigorous, prospective, and multicenter validation to establish reliable and generalizable predictive models for post-stroke depression.</t>
  </si>
  <si>
    <t>Wu, Honggang; Xiao, Yating; Hu, Xin; You, Chao; Zheng, Niandong; Ma, Lu</t>
  </si>
  <si>
    <t>You, C (corresponding author), Sichuan Univ, West China Hosp, Dept Neurosurg, Chengdu, Peoples R China.; Zheng, ND (corresponding author), Peoples Hosp Leshan, Dept Cerebrovasc Dis, Leshan 614000, Sichuan, Peoples R China.</t>
  </si>
  <si>
    <t>neurosurgerynxg@vip.126.com; youchao@vip.126.com</t>
  </si>
  <si>
    <t>[Wu, Honggang; Hu, Xin; You, Chao; Ma, Lu] Sichuan Univ, West China Hosp, Dept Neurosurg, Chengdu, Peoples R China; [Xiao, Yating] Sichuan Univ, Dept Neurosurg, West China Hosp, Sichuan Univ West China Sch Nursing, Chengdu, Peoples R China; [Zheng, Niandong] Peoples Hosp Leshan, Dept Cerebrovasc Dis, Leshan 614000, Sichuan, Peoples R China</t>
  </si>
  <si>
    <t>Sichuan University; Sichuan University</t>
  </si>
  <si>
    <t>Clinical prediction models for post-stroke depression: a systematic review and meta-analysis</t>
  </si>
  <si>
    <t>FRONTIERS IN PSYCHIATRY</t>
  </si>
  <si>
    <t>post-stroke depression; machine learning models; PROBAST plus AI; artificial intelligence; depression prediction; meta-analysis; systematic review</t>
  </si>
  <si>
    <t>ACUTE-PHASE; STROKE; RISK; VALIDATION; MORTALITY</t>
  </si>
  <si>
    <t>1664-0640</t>
  </si>
  <si>
    <t>FRONT PSYCHIATRY</t>
  </si>
  <si>
    <t>Front. Psychiatry</t>
  </si>
  <si>
    <t>DEC 17 2025</t>
  </si>
  <si>
    <t>1629023</t>
  </si>
  <si>
    <t>10.3389/fpsyt.2025.1629023</t>
  </si>
  <si>
    <t>http://dx.doi.org/10.3389/fpsyt.2025.1629023</t>
  </si>
  <si>
    <t>AM4NV</t>
  </si>
  <si>
    <t>41480344</t>
  </si>
  <si>
    <t>WOS:001651596700001</t>
  </si>
  <si>
    <t>Abou Ghayda, R; Kalout, K; Eter, J; Abdelnour, M; Ghadieh, HE; Azar, S; Harb, F</t>
  </si>
  <si>
    <t>Osteosarcoma is the most frequent cause of primary malignant bone tumors in childhood and adolescence. It is aggressive and may be associated with early metastasis, making patient management difficult. In this research, modern AI models for the diagnosis and prognosis of osteosarcoma were screened and analyzed. Our review searched for articles that used AI for the diagnosis and prognosis of osteosarcoma over the past 10 years, including AI in predicting the staging of tumors, predicting chemotherapy response, identifying prognostic biomarkers and assessing risk of metastasis. The models performed well based on AUC and C-index, with considerable discriminatory power, and were superior to the classical clinical methods analyzed. Through the identification of already existing deficiencies in the literature, this review pointed out a need for future research trends to explore with respect to prospective validation, multimodal data fusion and translation of AI tools into clinical routine.</t>
  </si>
  <si>
    <t>Abou Ghayda, Ralph; Kalout, Karim; Eter, Joudy; Abdelnour, Mario; Ghadieh, Hilda E.; Azar, Sami; Harb, Frederic</t>
  </si>
  <si>
    <t>Harb, F (corresponding author), Univ Balamand, Fac Med &amp; Med Sci, POB 100, Tripoli, Lebanon.</t>
  </si>
  <si>
    <t>frederic.harb@balamand.edu.lb; karim.kalout@std.balamand.edu.lb; hilda.ghadieh@balamand.edu.lb</t>
  </si>
  <si>
    <t>[Abou Ghayda, Ralph; Kalout, Karim; Eter, Joudy; Abdelnour, Mario; Ghadieh, Hilda E.; Azar, Sami; Harb, Frederic] Univ Balamand, Fac Med &amp; Med Sci, POB 100, Tripoli, Lebanon</t>
  </si>
  <si>
    <t>University Balamand</t>
  </si>
  <si>
    <t>Artificial Intelligence in the Diagnosis and Prognosis of Osteosarcoma: A Decade of Progress and Future Directions</t>
  </si>
  <si>
    <t>TECHNOLOGIES</t>
  </si>
  <si>
    <t>osteosarcoma; artificial intelligence; machine learning; deep learning; prognostic biomarkers; radiomics; genomics; histopathology; clinical prediction models; survival prediction</t>
  </si>
  <si>
    <t>PREDICTION; SURVIVAL; BONE</t>
  </si>
  <si>
    <t>Harb, Frederic/O-4587-2019</t>
  </si>
  <si>
    <t>2227-7080</t>
  </si>
  <si>
    <t>Technologies</t>
  </si>
  <si>
    <t>MAR 19 2026</t>
  </si>
  <si>
    <t>184</t>
  </si>
  <si>
    <t>10.3390/technologies14030184</t>
  </si>
  <si>
    <t>http://dx.doi.org/10.3390/technologies14030184</t>
  </si>
  <si>
    <t>Engineering, Multidisciplinary</t>
  </si>
  <si>
    <t>Engineering</t>
  </si>
  <si>
    <t>FQ8MY</t>
  </si>
  <si>
    <t>WOS:001725224400001</t>
  </si>
  <si>
    <t>Rahman, S; Kidwai, A; Rakhamimova, E; Elias, M; Caldwell, W; Bergese, SD</t>
  </si>
  <si>
    <t>More than 600 million people globally are estimated to be living with chronic pain. It is one of the most common complaints seen in an outpatient setting, with over half of patients complaining of pain during a visit. Failure to properly diagnose and manage chronic pain is associated with substantial morbidity and mortality, especially when opioids are involved. Furthermore, it is a tremendous financial strain on the healthcare system, as over USD 100 billion is spent yearly in the United States on healthcare costs related to pain management and opioids. This exceeds the costs of diabetes, heart disease, and cancer-related care combined. Being able to properly diagnose, manage, and treat chronic pain conditions can substantially lower morbidity, mortality, and healthcare costs in the United States. This review will outline the current definitions, biopsychosocial model, subclassifications, somatosensory assessments, imaging, clinical prediction models, and treatment modalities associated with chronic pain.</t>
  </si>
  <si>
    <t>Rahman, Sadiq; Kidwai, Ali; Rakhamimova, Emiliya; Elias, Murad; Caldwell, William; Bergese, Sergio D.</t>
  </si>
  <si>
    <t>Bergese, SD (corresponding author), Stony Brook Univ Hosp, Dept Anesthesiol, Stony Brook, NY 11794 USA.</t>
  </si>
  <si>
    <t>sergio.bergese@stonybrookmedicine.edu; emiliya.rakhamimova@stonybrookmedicine.edu; murad.elias@stonybrookmedicine.edu; william.caldwell@stonybrookmedicine.edu; ali.kidwai@stonybrookmedicine.edu; sadiq.rahman@stonybrookmedicine.edu</t>
  </si>
  <si>
    <t>[Rahman, Sadiq; Kidwai, Ali; Rakhamimova, Emiliya; Elias, Murad; Caldwell, William; Bergese, Sergio D.] Stony Brook Univ Hosp, Dept Anesthesiol, Stony Brook, NY 11794 USA</t>
  </si>
  <si>
    <t>State University of New York (SUNY) System; Stony Brook University; Stony Brook University Hospital; Stony Brook University Hospital</t>
  </si>
  <si>
    <t>Clinical Diagnosis and Treatment of Chronic Pain</t>
  </si>
  <si>
    <t>DIAGNOSTICS</t>
  </si>
  <si>
    <t>chronic pain; pain diagnostics; pain classification; pain approach; biopsychosocial</t>
  </si>
  <si>
    <t>LOW-BACK-PAIN; COMPUTER-AIDED DIAGNOSIS; NEUROPATHIC PAIN; ARTIFICIAL-INTELLIGENCE; IASP CLASSIFICATION; SENSITIZATION; MECHANISMS; PREDICTION; MANAGEMENT; PATHWAYS</t>
  </si>
  <si>
    <t>Kidwai, Ali/0000-0003-4362-3980</t>
  </si>
  <si>
    <t>2075-4418</t>
  </si>
  <si>
    <t>Diagnostics</t>
  </si>
  <si>
    <t>3689</t>
  </si>
  <si>
    <t>10.3390/diagnostics13243689</t>
  </si>
  <si>
    <t>http://dx.doi.org/10.3390/diagnostics13243689</t>
  </si>
  <si>
    <t>DF7J1</t>
  </si>
  <si>
    <t>38132273</t>
  </si>
  <si>
    <t>WOS:001130676500001</t>
  </si>
  <si>
    <t>Puladi, B; Röhrig, R; Hölzle, F</t>
  </si>
  <si>
    <t>With the rapid development of artificial intelligence (AI) applications in recent years and the emergence of large language models such as ChatGPT, the question arises as to how oncologic reconstructive oral and maxillofacial surgery can benefit from this development. Based on the relevant challenges in current treatment, this article presents possible approaches for digitalization, especially with AI, including deep learning, radiomics, pathomics, digital twins, augmented reality, virtual reality, robotics, clinical prediction models, process mining, and large language models. Finally, barriers to the use of AI, including ethics, translation, and benefits, will be discussed. Collaboration with medical informatics, including clinical informaticians, could provide important impetus, as the challenges of digital transformation can only be met through interdisciplinary collaboration across disciplinary boundaries. Oral and maxillofacial surgery should not leave this development to chance or even to third parties, but should take the reins and actively shape it in the interest of its patients.</t>
  </si>
  <si>
    <t>Puladi, Behrus; Roehrig, Rainer; Hoelzle, Frank</t>
  </si>
  <si>
    <t>Puladi, B (corresponding author), Uniklin RWTH Aachen, Klin Mund Kiefer &amp; Gesichtschirurg, D-52074 Aachen, Germany.; Puladi, B (corresponding author), Uniklin RWTH Aachen, Inst Med Informat, D-52074 Aachen, Germany.</t>
  </si>
  <si>
    <t>bpuladi@ukaachen.de</t>
  </si>
  <si>
    <t>Clinician Scientist Program von der Medizinischen Fakultaet der RWTH Aachen University gefoerdert</t>
  </si>
  <si>
    <t>Behrus Puladi wurde im Rahmen des Clinician Scientist Program von der Medizinischen Fakultaet der RWTH Aachen University gefoerdert.</t>
  </si>
  <si>
    <t>[Puladi, Behrus; Hoelzle, Frank] Uniklin RWTH Aachen, Klin Mund Kiefer &amp; Gesichtschirurg, D-52074 Aachen, Germany; [Puladi, Behrus; Roehrig, Rainer] Uniklin RWTH Aachen, Inst Med Informat, D-52074 Aachen, Germany</t>
  </si>
  <si>
    <t>RWTH Aachen University; RWTH Aachen University Hospital; RWTH Aachen University; RWTH Aachen University Hospital</t>
  </si>
  <si>
    <t>A look into the future of oncologic reconstructive oral and maxillofacial surgery: human or machine?</t>
  </si>
  <si>
    <t>MKG-CHIRURGIE</t>
  </si>
  <si>
    <t>German</t>
  </si>
  <si>
    <t>Artificial intelligence; Clinical decision support systems; Digital technology; Oral cancer; Ethics; Artificial intelligence; Clinical decision support systems; Digital technology; Oral cancer; Ethics</t>
  </si>
  <si>
    <t>HEAD; NECK; CANCER; EXPERIENCE</t>
  </si>
  <si>
    <t>Hinrichs-Puladi, Behrus/AAW-9126-2021</t>
  </si>
  <si>
    <t>SPRINGER HEIDELBERG</t>
  </si>
  <si>
    <t>HEIDELBERG</t>
  </si>
  <si>
    <t>TIERGARTENSTRASSE 17, D-69121 HEIDELBERG, GERMANY</t>
  </si>
  <si>
    <t>2731-748X</t>
  </si>
  <si>
    <t>2731-7498</t>
  </si>
  <si>
    <t>MKG-Chir.</t>
  </si>
  <si>
    <t>10.1007/s12285-024-00516-7</t>
  </si>
  <si>
    <t>http://dx.doi.org/10.1007/s12285-024-00516-7</t>
  </si>
  <si>
    <t>X5A7G</t>
  </si>
  <si>
    <t>WOS:001415971000001</t>
  </si>
  <si>
    <t>Martens, R; Holodinsky, JK; Simon, J; Marshall, Z</t>
  </si>
  <si>
    <t>Background: Prognostic inequity has been identified as a barrier to accessing end-of-life care for underrepresented groups. Artificial intelligence-based clinical prediction models (AIPMs) for prognostication of mortality have the potential to offer rapid, accessible, and accurate predictions that could streamline care. However, they may also exacerbate preexisting inequities in the health care system rather than address accessibility and quality. This can be caused by erroneous outputs from biased training data, outcomes from out-of-scope operationalization, and inexplicability due to opacity. Objective: The goal of this study is to synthesize peer-reviewed literature on the creation and application of AIPMs to prognosticate mortality in acute care settings for adult patients, offering new insights into responsible and ethical model development. Methods: A transdisciplinary, structured search strategy was developed in consultation with librarians from both health sciences and engineering sciences. The academic databases queried were Medline, Embase, IEEE Xplore, ACM Digital Library, Compendex, and Scopus. The search was conducted in spring 2025, and the results were uploaded to Covidence. A team of reviewers will screen in 2 rounds: titles and abstracts, then full texts. Eligibility will be determined by publication in academic journals or as full-length conference proceedings, language, model output, and AI use. Data will be charted using adapted charting tools and then analyzed by descriptive, summary, and qualitative synthesis. Results: The search was completed on March 25, 2025, with screening starting in May 2025. Results are anticipated for January 2026. Conclusions: This review will provide a comprehensive summary of AIPMs that predict mortality, highlighting the specific elements included in their development. Informed by the responsible research and innovation (RRI) framework, we will consider interest-holder engagement, interdisciplinary collaboration, and computational and clinical ethics will in the context of the four RRI dimensions: anticipation, reflexivity, inclusion, and responsiveness. International Registered Report Identifier (IRRID): DERR1-10.2196/80325</t>
  </si>
  <si>
    <t>Martens, Riley; Holodinsky, Jessalyn K.; Simon, Jessica; Marshall, Zack</t>
  </si>
  <si>
    <t>Martens, R (corresponding author), Univ Calgary, Cumming Sch Med, Dept Community Hlth Sci, 3280 Hosp Dr NW, Calgary, AB T2N 5A1, Canada.</t>
  </si>
  <si>
    <t>riley.martens@ucalgary.ca</t>
  </si>
  <si>
    <t>Collaborative Research and Training Experience (CREATE) - Natural Sciences and Engineering Research Council of Canada (NSERC) in the Responsible Development of AI [554764-2021]</t>
  </si>
  <si>
    <t>Collaborative Research and Training Experience (CREATE) - Natural Sciences and Engineering Research Council of Canada (NSERC) in the Responsible Development of AI</t>
  </si>
  <si>
    <t>RM is a trainee supported through a Collaborative Research and Training Experience (CREATE) grant from the Natural Sciences and Engineering Research Council of Canada (NSERC) in the Responsible Development of AI (grant 554764-2021) .</t>
  </si>
  <si>
    <t>[Martens, Riley; Holodinsky, Jessalyn K.; Simon, Jessica; Marshall, Zack] Univ Calgary, Cumming Sch Med, Dept Community Hlth Sci, 3280 Hosp Dr NW, Calgary, AB T2N 5A1, Canada; [Holodinsky, Jessalyn K.] Univ Calgary, Cumming Sch Med, Dept Emergency Med, Calgary, AB, Canada; [Holodinsky, Jessalyn K.] Univ Calgary, Cumming Sch Med, Dept Clin Neurosci, Calgary, AB, Canada; [Holodinsky, Jessalyn K.; Marshall, Zack] Univ Calgary, OBrien Inst Publ Hlth, Cumming Sch Med, Calgary, AB, Canada; [Simon, Jessica] Univ Calgary, Cumming Sch Med, Dept Oncol, Calgary, AB, Canada; [Simon, Jessica] Univ Calgary, Cumming Sch Med, Dept Med, Calgary, AB, Canada; [Marshall, Zack] McGill Univ, Sch Social Work, Montreal, PQ, Canada</t>
  </si>
  <si>
    <t>University of Calgary; University of Calgary; University of Calgary; University of Calgary; University of Calgary; University of Calgary; McGill University</t>
  </si>
  <si>
    <t>Understanding Responsible Development in AI-Based Clinical Prediction Models for Mortality: Protocol for a Scoping Review</t>
  </si>
  <si>
    <t>artificial intelligence; AI; responsible development; mortality prediction; responsible research and innovation; RRI; machine ethics; patient engagement; sociotechnical; knowledge synthesis</t>
  </si>
  <si>
    <t>Holodinsky, Jessalyn/A-1287-2018; Marshall, Zack/AAB-2866-2020; Simon, Jessica/AAV-1917-2020</t>
  </si>
  <si>
    <t>Martens, Riley/0009-0005-7826-1133; Holodinsky, Jessalyn/0000-0003-1748-5211; Marshall, Zack/0000-0003-2315-3512</t>
  </si>
  <si>
    <t>e80325</t>
  </si>
  <si>
    <t>10.2196/80325</t>
  </si>
  <si>
    <t>http://dx.doi.org/10.2196/80325</t>
  </si>
  <si>
    <t>EU0OJ</t>
  </si>
  <si>
    <t>41813434</t>
  </si>
  <si>
    <t>WOS:001709736300002</t>
  </si>
  <si>
    <t>Lu, YN; Eilen, H; Pareek, A; Varano, M; Wilbur, R; Lavoie-Gagne, O; Krych, AJ; Camp, CL; Okoroha, K; Forsythe, B</t>
  </si>
  <si>
    <t>Importance: The modeling methodology and reporting of performance metrics in the development of machine learning (ML) models in orthopedic sports medicine have not yet been systematically assessed. Objective: The purpose of this study was to systematically review this literature for clinical prediction models utilizing ML and to evaluate the methodological quality of modeling and performance reporting, as well as to compare the performance of ML with logistic regression (LR) predictions where applicable. Evidence review: A systematic search was conducted of the MEDLINE, Scopus, and Embase databases in September 2025 for articles pertaining to clinical prediction models using ML in orthopedic sports medicine. Study demographics, outcomes, modeling workflow, and risk-of-bias information were collected. A random-effects meta-regression controlling for article and sample size was performed to compare the differences, where applicable, in performance benefit, measured by area under the curve (AUC), of utilizing ML models over LR. Findings: A total of 1033 articles were screened, resulting in the inclusion of 52 articles in the final analysis. The most frequently utilized ML algorithm was random forest, followed by boosted trees and support vector machines. Most noteworthy sources of potential bias were encountered in outcome imbalance and the management of continuous predictors. A total of 25 studies performed a total of 168 pairwise comparisons between ML and LR. For 43 comparisons at high risk of bias, logit-transformed AUC regression (logit(AUC)) was 0.08 (- 0.22-0.48) higher for ML, for 125 comparisons at low risk of bias, logit(AUC) was 0.00 (- 0.18-0.18) lower for ML. Overall, random forest (RF) models demonstrated superior performance with a logit(AUC) of 0.11 (0.00-0.21). Conclusion and relevance: While RF algorithms were associated with higher performance relative to traditional methods in well-constructed prediction problems (i.e. adequately powered datasets with appropriate feature handling, class balance considerations, and rigorous validation), no conclusive recommendations can be made regarding the superiority of ML over LR, given the current evidence. Improvements in methodology and standardized reporting of performance metrics are required for the useful interpretation of future comparisons. Level of evidence: IV, Systematic Review and Meta-Analysis with more than 2 negative criteria.</t>
  </si>
  <si>
    <t>Lu, Yining; Eilen, Henry; Pareek, Ayoosh; Varano, Matthew; Wilbur, Ryan; Lavoie-Gagne, Ophelie; Krych, Aaron J.; Camp, Christopher L.; Okoroha, Kelechi; Forsythe, Brian</t>
  </si>
  <si>
    <t>Forsythe, B (corresponding author), Rush Univ, Med Ctr, Dept Orthoped Surg, 1611 W Harrison St, Chicago, IL 60612 USA.</t>
  </si>
  <si>
    <t>brian.forsythe@rushortho.com</t>
  </si>
  <si>
    <t>[Lu, Yining; Eilen, Henry; Varano, Matthew; Forsythe, Brian] RUSH, Midwest Orthopaed, Chicago, IL USA; [Krych, Aaron J.; Camp, Christopher L.] Mayo Clin, Dept Orthoped Surg, Rochester, MN USA; [Pareek, Ayoosh] Hosp Special Surg, Dept Orthoped Surg, New York, NY USA; [Wilbur, Ryan] Washington Univ, Dept Orthoped Surg, St Louis, MO USA; [Lavoie-Gagne, Ophelie] Harvard Med Sch, Dept Orthoped Surg, Boston, MA USA; [Okoroha, Kelechi] Univ Texas Southwestern Med Ctr, Dept Orthoped Surg, Dallas, TX USA</t>
  </si>
  <si>
    <t>Rush University; Mayo Clinic; Washington University (WUSTL); Harvard University; Harvard Medical School; University of Texas System; University of Texas Southwestern Medical Center</t>
  </si>
  <si>
    <t>Comparisons of machine learning models to logistic regression in orthopedic sports medicine are confounded by methodological heterogeneity: a systematic review and meta-analysis</t>
  </si>
  <si>
    <t>JOURNAL OF ISAKOS JOINT DISORDERS &amp; ORTHOPAEDIC SPORTS MEDICINE</t>
  </si>
  <si>
    <t>Machine learning; Logistic regression; Orthopedic; Sports medicine</t>
  </si>
  <si>
    <t>FEMOROACETABULAR IMPINGEMENT SYNDROME; CLINICALLY MEANINGFUL OUTCOMES; OSTEOCHONDRAL ALLOGRAFT; CARTILAGE DEFECTS; HIP ARTHROSCOPY; PREDICT; RISK; ARTHROPLASTY; ALGORITHM; HEALTH</t>
  </si>
  <si>
    <t>Brigham, Massachusetts/JQW-4585-2023; Krych, Aaron/AFV-5407-2022; Forsythe, Brian/AAN-9501-2020</t>
  </si>
  <si>
    <t>2059-7754</t>
  </si>
  <si>
    <t>2059-7762</t>
  </si>
  <si>
    <t>J ISAKOS</t>
  </si>
  <si>
    <t>J ISAKOS Joint Disord. Orthopaed. Sport. Med.</t>
  </si>
  <si>
    <t>101088</t>
  </si>
  <si>
    <t>10.1016/j.jisako.2026.101088</t>
  </si>
  <si>
    <t>http://dx.doi.org/10.1016/j.jisako.2026.101088</t>
  </si>
  <si>
    <t>Orthopedics; Sport Sciences</t>
  </si>
  <si>
    <t>FF9RY</t>
  </si>
  <si>
    <t>41747825</t>
  </si>
  <si>
    <t>WOS:001717830900001</t>
  </si>
  <si>
    <t>Okiro, J; Fortune, K; Daly, E; McCann, L; Soltan, M; Sreenan, S; Quondamatteo, F</t>
  </si>
  <si>
    <t>Diabetic Foot Ulcers (DFUs) are among the most feared complications of diabetes mellitus (DM). The management of DFUs emphasizes limb salvage, and to achieve this, clinical tools are utilized to identify patients who may require a more aggressive initial approach. Current clinical prediction models fail to account for variability in ulcer characteristics and patient-specific comorbidities, limiting their precision in individualizing outcome prediction. This review explores the emerging role of molecular biomarkers in personalizing DFU outcome prediction. The pathophysiology of DFUs is examined with an emphasis on disruptions in wound healing specific to DM, focusing on biomarkers involved at different stages of wound healing. This review highlights studies that have shown predictive potential of several biomarkers in a variety of biological samples from patients with DFUs. Despite promising findings, challenges remain in their clinical adoption. Larger studies and the development of accessible, biomarker-based diagnostics are essential to translate this approach into clinical settings and ultimately reduce the global burden of DFUs through personalized therapy, which would considerably increase the quality of life of people with DM.</t>
  </si>
  <si>
    <t>Okiro, Julie; Fortune, Kellie; Daly, Eimear; McCann, Luca; Soltan, Merhan; Sreenan, Seamus; Quondamatteo, Fabio</t>
  </si>
  <si>
    <t>Quondamatteo, F (corresponding author), Royal Coll Surgeons Ireland, Dept Anat &amp; Regenerat Med, Tissue Engn Res Grp, 123 St Stephens Green, Dublin, Ireland.; Sreenan, S (corresponding author), Royal Coll Surgeons Ireland, Connolly Hosp Blanchardstown, Acad Dept Endocrinol &amp; Diabet Mellitus, Dublin, Ireland.</t>
  </si>
  <si>
    <t>ssreenan@rcsi.ie; fabioquondamatteo@rcsi.ie</t>
  </si>
  <si>
    <t>Royal College of Surgeons in Ireland</t>
  </si>
  <si>
    <t>Julie Okiro is supported by the StAR MD Programme of the Royal College of Surgeons in Ireland in collaboration with the Hermitage Hospital, Dublin.</t>
  </si>
  <si>
    <t>[Okiro, Julie; Quondamatteo, Fabio] Royal Coll Surgeons Ireland, Dept Anat &amp; Regenerat Med, Tissue Engn Res Grp, 123 St Stephens Green, Dublin, Ireland; [Fortune, Kellie; Daly, Eimear] Connolly Hosp Blanchardstown, Dept Podiatry, Dublin, Ireland; [McCann, Luca; Soltan, Merhan] Royal Coll Surgeons Ireland, Sch Med, Grad Entry Med Sch, Dublin, Ireland; [Sreenan, Seamus] Royal Coll Surgeons Ireland, Connolly Hosp Blanchardstown, Acad Dept Endocrinol &amp; Diabet Mellitus, Dublin, Ireland; [Sreenan, Seamus] Hlth Res Board Diabet Collaborat Clin Trial Networ, Diabet Res, Galway, Ireland</t>
  </si>
  <si>
    <t>Royal College of Surgeons in Ireland - RCSI; Royal College of Surgeons in Ireland - RCSI; Royal College of Surgeons in Ireland - RCSI</t>
  </si>
  <si>
    <t>Biomarkers to predict outcomes in diabetic foot ulcers</t>
  </si>
  <si>
    <t>VIEW</t>
  </si>
  <si>
    <t>biomarkers; diabetes; foot ulcers; histology; outcome; predictive tool</t>
  </si>
  <si>
    <t>RISK-FACTORS; MATRIX-METALLOPROTEINASES; CLASSIFICATION-SYSTEM; EXTRACELLULAR-MATRIX; ENDOTHELIAL-CELLS; GROWTH-FACTORS; NITRIC-OXIDE; ULCERATION; EXPRESSION; CARE</t>
  </si>
  <si>
    <t>141</t>
  </si>
  <si>
    <t>2688-3988</t>
  </si>
  <si>
    <t>2688-268X</t>
  </si>
  <si>
    <t>VIEW-CHINA</t>
  </si>
  <si>
    <t>View-China</t>
  </si>
  <si>
    <t>10.1002/VIW.20260011</t>
  </si>
  <si>
    <t>http://dx.doi.org/10.1002/VIW.20260011</t>
  </si>
  <si>
    <t>Nanoscience &amp; Nanotechnology; Materials Science, Biomaterials</t>
  </si>
  <si>
    <t>Science &amp; Technology - Other Topics; Materials Science</t>
  </si>
  <si>
    <t>HC8PW</t>
  </si>
  <si>
    <t>WOS:001751020500001</t>
  </si>
  <si>
    <t>Witiw, CD; Fehlings, MG</t>
  </si>
  <si>
    <t>Our understanding of the pathophysiological processes that comprise the early secondary phases of spinal cord injury such as spinal cord ischemia, cellular excitotoxicity, ionic dysregulation, and free-radical mediated peroxidation is far greater now than ever before, thanks to substantial laboratory research efforts. These discoveries are now being translated into the clinical realm and have led to targeted upfront medical management with a focus on tissue oxygenation and perfusion and include avoidance of hypotension, induction of hypertension, early transfer to specialized centers, and close monitoring in a critical care setting. There is also active exploration of neuroprotective and neuroregenerative agents; a number of which are currently in late stage clinical trials including minocycline, riluzole, AC-105, SUN13837, and Cethrin. Furthermore, new data have emerged demonstrating that the timing of spinal cord decompression after injury impacts recovery and that early decompression leads to significant improvements in neurological recovery. With this review we aim to provide a concise, clinically relevant and up-to-date summary of the topic of acute spinal cord injury, highlighting recent advancements and areas where further study is needed.</t>
  </si>
  <si>
    <t>Witiw, Christopher D.; Fehlings, Michael G.</t>
  </si>
  <si>
    <t>Fehlings, MG (corresponding author), Toronto Western Hosp, 399 Bathurst St,4WW 449, Toronto, ON M5T 2S8, Canada.</t>
  </si>
  <si>
    <t>michael.fehlings@uhn.on.ca</t>
  </si>
  <si>
    <t>AO Spine Knowledge Forum</t>
  </si>
  <si>
    <t>This work was supported by the AO Spine Knowledge Forum.</t>
  </si>
  <si>
    <t>[Witiw, Christopher D.; Fehlings, Michael G.] Univ Toronto, Dept Surg, Div Neurosurg, Toronto, ON, Canada; [Fehlings, Michael G.] Toronto Western Hosp, Univ Hlth Network, Toronto, ON M5T 2S8, Canada; [Fehlings, Michael G.] Univ Toronto, Dept Surg, Halbert Chair Neural Repair &amp; Regenerat, Cochairman Spinal Program, Toronto, ON, Canada</t>
  </si>
  <si>
    <t>University of Toronto; University of Toronto; University Health Network Toronto; University of Toronto</t>
  </si>
  <si>
    <t>Acute Spinal Cord Injury</t>
  </si>
  <si>
    <t>JOURNAL OF SPINAL DISORDERS &amp; TECHNIQUES</t>
  </si>
  <si>
    <t>spinal cord injury; neuroprotection; surgical timing; prognosis</t>
  </si>
  <si>
    <t>CLINICAL-PREDICTION MODEL; EMERGING THERAPIES; CONTROLLED-TRIAL; MANAGEMENT; METHYLPREDNISOLONE; PATHOPHYSIOLOGY; COMPLICATIONS; EPIDEMIOLOGY; MINOCYCLINE; WORLDWIDE</t>
  </si>
  <si>
    <t>Fehlings, Michael G/0000-0002-5722-6364</t>
  </si>
  <si>
    <t>196</t>
  </si>
  <si>
    <t>1536-0652</t>
  </si>
  <si>
    <t>1539-2465</t>
  </si>
  <si>
    <t>J SPINAL DISORD TECH</t>
  </si>
  <si>
    <t>J. Spinal Disord. Tech.</t>
  </si>
  <si>
    <t>JUL 2015</t>
  </si>
  <si>
    <t>202</t>
  </si>
  <si>
    <t>210</t>
  </si>
  <si>
    <t>10.1097/BSD.0000000000000287</t>
  </si>
  <si>
    <t>http://dx.doi.org/10.1097/BSD.0000000000000287</t>
  </si>
  <si>
    <t>CL9SR</t>
  </si>
  <si>
    <t>26098670</t>
  </si>
  <si>
    <t>WOS:000357318900002</t>
  </si>
  <si>
    <t>Karhade, AV; Schwab, JH; Del Fiol, G; Kawamoto, K</t>
  </si>
  <si>
    <t>Recent applications of artificial intelligence have shown great promise for improving the quality and efficiency of clinical care. Numerous clinical decision support tools exist in today's electronic health records (EHRs) such as medication dosing support, order facilitators (eg, procedure specific order sets), and point of care alerts. However, less has been done to integrate artificial intelligence (AI)-enabled risk predictors into EHRs despite wide availability of validated risk prediction tools. An interoperability standard known as SMART on FHIR (substitutable medical applications and reusable technologies on fast health interoperability resources) offers a promising path forward, enabling digital innovations to be seamlessly integrated with the EHR with regard to the user interface and patient data. For the next step in progress towards the goal of learning healthcare and informatics-enabled spine surgery, we propose the application of SMART on FHIR to integrate existing and new risk predictions tools in spine surgery through an EHR add-on-application. (C) 2020 Elsevier Inc. All rights reserved.</t>
  </si>
  <si>
    <t>Karhade, Aditya, V; Schwab, Joseph H.; Del Fiol, Guilherme; Kawamoto, Kensaku</t>
  </si>
  <si>
    <t>Karhade, A (corresponding author), Harvard Med Sch, Massachusetts Gen Hosp, Dept Orthoped Surg, 55 Fruit St, Boston, MA 02114 USA.</t>
  </si>
  <si>
    <t>akarhade@partners.org</t>
  </si>
  <si>
    <t>Informatics Technology for Can-cer Research program of the US National Cancer Institute [U24CA204800]; National Cancer Institute [U24CA204800] Funding Source: NIH RePORTER</t>
  </si>
  <si>
    <t>Informatics Technology for Can-cer Research program of the US National Cancer Institute; National Cancer Institute (United States Department of Health &amp; Human Services, National Institutes of Health (NIH) - USA, NIH National Cancer Institute (NCI))</t>
  </si>
  <si>
    <t>KK and GDF were supported by Grant No. U24CA204800 from the Informatics Technology for Can-cer Research program of the US National Cancer Institute.</t>
  </si>
  <si>
    <t>[Karhade, Aditya, V; Schwab, Joseph H.] Harvard Med Sch, Massachusetts Gen Hosp, Dept Orthoped Surg, 55 Fruit St, Boston, MA 02114 USA; [Del Fiol, Guilherme; Kawamoto, Kensaku] Univ Utah, Dept Biomed Informat, 421 Wakara Way,Ste 140, Salt Lake City, UT 84108 USA</t>
  </si>
  <si>
    <t>Massachusetts General Hospital; Harvard University; Harvard Medical School; Harvard University Medical Affiliates; Massachusetts General Hospital; University of Utah; Utah System of Higher Education; University of Utah</t>
  </si>
  <si>
    <t>SMART on FHIR in spine: integrating clinical prediction models into electronic health records for precision medicine at the point of care</t>
  </si>
  <si>
    <t>Artificial intelligence; Clinical decision support; Diagnosis; Electronic medical records; Integration; Machine learning; Natural language processing; Prediction; SMART on FHIR; Spine</t>
  </si>
  <si>
    <t>NOMOGRAM</t>
  </si>
  <si>
    <t>Schwab, Joseph/0000-0002-2059-7559; Karhade, Aditya/0000-0002-6026-4361; HUITRON, EFREN/0009-0008-2046-3359</t>
  </si>
  <si>
    <t>1649</t>
  </si>
  <si>
    <t>1651</t>
  </si>
  <si>
    <t>10.1016/j.spinee.2020.06.014</t>
  </si>
  <si>
    <t>http://dx.doi.org/10.1016/j.spinee.2020.06.014</t>
  </si>
  <si>
    <t>32599144</t>
  </si>
  <si>
    <t>WOS:000704865800009</t>
  </si>
  <si>
    <t>Lin, LS; Binenbaum, G</t>
  </si>
  <si>
    <t>Infants meeting retinopathy of prematurity (ROP) screening guidelines based on birth weight and gestational age undergo serial examinations by ophthalmologists for detection and treatment. However, less than 10% require treatment, and less than half develop ROP. Slow postnatal weight gain is highly predictive of ROP, and investigators have incorporated weight gain measures to develop more specific criteria for ROP screening. Such clinical prediction model use involves a large development study, validation studies specific to the target populations, and ongoing impact surveillance, with adjustment as necessary. Of the many weight gain inclusive prediction models intended to improve the precision of ROP screening, the Postnatal Growth and ROP (G-ROP) modified screening criteria were developed using the largest dataset and may provide the most robust model for clinical use. A recently completed G-ROP validation study will evaluate the generalizability of these modified criteria prior to clinical use. (C) 2019 Published by Elsevier Inc.</t>
  </si>
  <si>
    <t>Lin, Lisa; Binenbaum, Gil</t>
  </si>
  <si>
    <t>Binenbaum, G (corresponding author), Univ Penn, Childrens Hosp Philadelphia, Richard Shafrtiz Chair Ophthalmol Res, Philadelphia, PA 19104 USA.</t>
  </si>
  <si>
    <t>binenbaum@email.chop.edu</t>
  </si>
  <si>
    <t>Richard Shafritz Endowed Chair in Ophthalmology Research</t>
  </si>
  <si>
    <t>Supported by the Richard Shafritz Endowed Chair in Ophthalmology Research.</t>
  </si>
  <si>
    <t>[Lin, Lisa] Childrens Hosp Philadelphia, Div Ophthalmol, Philadelphia, PA 19104 USA; [Binenbaum, Gil] Univ Penn, Childrens Hosp Philadelphia, Richard Shafrtiz Chair Ophthalmol Res, Philadelphia, PA 19104 USA</t>
  </si>
  <si>
    <t>University of Pennsylvania; Pennsylvania Medicine; Childrens Hospital of Philadelphia; University of Pennsylvania; Pennsylvania Medicine; Childrens Hospital of Philadelphia</t>
  </si>
  <si>
    <t>Postnatal weight gain and retinopathy of prematurity</t>
  </si>
  <si>
    <t>SEMINARS IN PERINATOLOGY</t>
  </si>
  <si>
    <t>Retinopathy of Prematurity; Prediction Model; Risk Model; Weight Gain</t>
  </si>
  <si>
    <t>ENDOTHELIAL GROWTH-FACTOR; SCREENING ALGORITHM WINROP; FACTOR-I; BIRTH-WEIGHT; RETINAL NEOVASCULARIZATION; COLORADO-RETINOPATHY; PRETERM INFANTS; OXYGEN-SATURATION; BINDING-PROTEINS; RISK-FACTOR</t>
  </si>
  <si>
    <t>0146-0005</t>
  </si>
  <si>
    <t>1558-075X</t>
  </si>
  <si>
    <t>SEMIN PERINATOL</t>
  </si>
  <si>
    <t>Semin. Perinatol.</t>
  </si>
  <si>
    <t>OCT 2019</t>
  </si>
  <si>
    <t>352</t>
  </si>
  <si>
    <t>359</t>
  </si>
  <si>
    <t>10.1053/j.semperi.2019.05.008</t>
  </si>
  <si>
    <t>http://dx.doi.org/10.1053/j.semperi.2019.05.008</t>
  </si>
  <si>
    <t>Obstetrics &amp; Gynecology; Pediatrics</t>
  </si>
  <si>
    <t>IW7XL</t>
  </si>
  <si>
    <t>31221520</t>
  </si>
  <si>
    <t>WOS:000485207200008</t>
  </si>
  <si>
    <t>Matos, J; Van Calster, B; Celi, LA; Dhiman, P; Gichoya, JW; Riley, RD; Russell, C; Khalid, S; Collins, GS</t>
  </si>
  <si>
    <t>Predictive artificial intelligence (AI) offers an opportunity to improve clinical practice and patient outcomes but risks perpetuating biases if fairness is inadequately addressed. However, the definition of fairness remains unclear. We conducted a scoping review to identify and critically appraise fairness metrics in clinical predictive AI models. We defined a fairness metric as a metric quantifying whether a model discriminates (societally) against individuals or groups defined by sensitive attributes. We searched five databases for literature published during 2014-24, screened 820 records, included 42 studies, and extracted 63 fairness metrics. The search was limited to studies published in English. These metrics, which were classified by performance dependency, model output level, and base performance metric, revealed a fragmented landscape in the field of clinical predictive AI, with inadequate clinical validation and over-reliance on threshold-dependent metrics. 19 metrics, including only one metric for clinical use, were explicitly developed for health care. Our findings highlight conceptual challenges in defining and quantifying fairness and identify gaps in uncertainty quantification, intersectionality, and real-world applicability. Therefore, future works on clinical predictive AI models should prioritise clinically meaningful metrics.</t>
  </si>
  <si>
    <t>Matos, Joao; Van Calster, Ben; Celi, Leo Anthony; Dhiman, Paula; Gichoya, Judy Wawira; D Riley, Richard; Russell, Chris; Khalid, Sara; Collins, Gary S.</t>
  </si>
  <si>
    <t>Matos, J (corresponding author), Univ Oxford, Ctr Stat Med, Nuffield Dept Orthopaed Rheumatol &amp; Musculoskeleta, Oxford OX3 7LD, England.</t>
  </si>
  <si>
    <t>joao.matos@ndorms.ox.ac.uk</t>
  </si>
  <si>
    <t>Clarendon Fund Scholarship at the University of Oxford; Engineering and Physical Sciences Research Council (EPSRC) [EP/Y018516/1]; MRC-NIHR Better Methods Better Research [MR/Z503873/1]; National Institute for Health and Care Research (NIHR) Birmingham Biomedical Research Centre at University Hospitals Birmingham NHS Foundation Trust and the University of Birmingham; NIH [R01 EB017205, U54 TW012043-01, OT2OD032701]; National Science Foundation through ITEST [2148451]; Robert Wood Johnson Foundation Harold Amos Medical Faculty Development Program scholar [1R25OD039834-01, G097322N]; Lacuna Fund [67]; NHLBI [R01HL167811]; NIH common fund [1R25OD039834-01]; Research Foundation-Flanders (FWO) [G097322N]; Kom Op Tegen Kanker [13583]; KU Leuven Internal Funds [C24M/20/064]; Wellcome Trust; UKRI</t>
  </si>
  <si>
    <t>Clarendon Fund Scholarship at the University of Oxford; Engineering and Physical Sciences Research Council (EPSRC); MRC-NIHR Better Methods Better Research; National Institute for Health and Care Research (NIHR) Birmingham Biomedical Research Centre at University Hospitals Birmingham NHS Foundation Trust and the University of Birmingham; NIH (United States Department of Health &amp; Human Services, National Institutes of Health (NIH) - USA); National Science Foundation through ITEST; Robert Wood Johnson Foundation Harold Amos Medical Faculty Development Program scholar; Lacuna Fund; NHLBI (United States Department of Health &amp; Human Services, National Institutes of Health (NIH) - USA, NIH National Heart Lung &amp; Blood Institute (NHLBI)); NIH common fund; Research Foundation-Flanders (FWO) (FWO); Kom Op Tegen Kanker; KU Leuven Internal Funds; Wellcome Trust (Wellcome Trust, Diabetes UK); UKRI</t>
  </si>
  <si>
    <t>JM is funded by a Clarendon Fund Scholarship at the University of Oxford. GSC and RDR are supported by the Engineering and Physical Sciences Research Council (EPSRC) grant for Artificial intelligence innovation to accelerate health research (EP/Y018516/1) and the MRC-NIHR Better Methods Better Research grant (MR/Z503873/1) . GSC and RDR are also supported by the National Institute for Health and Care Research (NIHR) Birmingham Biomedical Research Centre at University Hospitals Birmingham NHS Foundation Trust and the University of Birmingham. GSC and RDR are senior investigators at NIHR. LAC is funded by the NIH through grants R01 EB017205, U54 TW012043-01 (DS-I Africa) , and OT2OD032701 (Bridge2AI) and by the National Science Foundation through ITEST grant number 2148451. JWG is a 2022 Robert Wood Johnson Foundation Harold Amos Medical Faculty Development Program scholar and reports support from the Lacuna Fund (No 67) , NHLBI award R01HL167811, and NIH common fund award 1R25OD039834-01. BVC is supported by Research Foundation-Flanders (FWO) grant G097322N, Kom Op Tegen Kanker grant 13583, and KU Leuven Internal Funds grant C24M/20/064. SK receives funding from the Wellcome Trust and UKRI. The funders of the study had no role in study design, data collection, data analysis, interpretation of data, writing of the report, or decision to submit the article for publication. The views expressed are those of the authors and not necessarily represent the views of the funding agencies.</t>
  </si>
  <si>
    <t>[Matos, Joao; Dhiman, Paula; Khalid, Sara] Univ Oxford, Ctr Stat Med, Nuffield Dept Orthopaed Rheumatol &amp; Musculoskeleta, Oxford OX3 7LD, England; [Van Calster, Ben] Katholieke Univ Leuven, Dept Dev &amp; Regenerat, Leuven, Belgium; [Van Calster, Ben] Leuven Unit Hlth Technol Assessment Res, Leuven, Belgium; [Celi, Leo Anthony] Beth Israel Deaconess Med Ctr, Boston, MA USA; [Celi, Leo Anthony] MIT, Lab Computat Physiol, Cambridge, MA USA; [Celi, Leo Anthony] Harvard TH Chan Sch Publ Hlth, Dept Biostat, Boston, MA USA; [Gichoya, Judy Wawira] Emory Univ, Dept Radiol &amp; Imaging Sci, Atlanta, GA USA; [D Riley, Richard; Collins, Gary S.] Univ Birmingham, Sch Hlth Sci, Dept Appl Hlth Sci, Birmingham, England; [D Riley, Richard; Collins, Gary S.] Birmingham Biomed Res Ctr, Natl Inst Hlth &amp; Care Res NIHR, Birmingham, England; [Russell, Chris] Univ Oxford, Oxford Internet Inst, Oxford, England</t>
  </si>
  <si>
    <t>University of Oxford; KU Leuven; Harvard University; Harvard University Medical Affiliates; Beth Israel Deaconess Medical Center; Massachusetts Institute of Technology (MIT); Harvard University; Harvard T.H. Chan School of Public Health; Emory University; University of Birmingham; University of Oxford</t>
  </si>
  <si>
    <t>Critical appraisal of fairness metrics for artificial intelligence-based clinical prediction models: a scoping review</t>
  </si>
  <si>
    <t>LANCET DIGITAL HEALTH</t>
  </si>
  <si>
    <t>PERFORMANCE; DIAGNOSIS; HEALTH; BIAS</t>
  </si>
  <si>
    <t>2589-7500</t>
  </si>
  <si>
    <t>LANCET DIGIT HEALTH</t>
  </si>
  <si>
    <t>Lancet Digit. Health</t>
  </si>
  <si>
    <t>101001</t>
  </si>
  <si>
    <t>10.1016/j.landig.2026.101001</t>
  </si>
  <si>
    <t>http://dx.doi.org/10.1016/j.landig.2026.101001</t>
  </si>
  <si>
    <t>Medical Informatics; Medicine, General &amp; Internal</t>
  </si>
  <si>
    <t>Medical Informatics; General &amp; Internal Medicine</t>
  </si>
  <si>
    <t>MD2ZO</t>
  </si>
  <si>
    <t>42209328</t>
  </si>
  <si>
    <t>WOS:001839509400001</t>
  </si>
  <si>
    <t>Rosati, D; Palmieri, M; Brunelli, G; Morrione, A; Iannelli, F; Frullanti, E; Giordano, A</t>
  </si>
  <si>
    <t>In recent years, the role of bioinformatics and computational biology together with omics techniques and transcriptomics has gained tremendous importance in biomedicine and healthcare, particularly for the identification of biomarkers for precision medicine and drug discovery. Differential gene expression (DGE) analysis is one of the most used techniques for RNA-sequencing (RNA-seq) data analysis. This tool, which is typically used in various RNA-seq data processing applications, allows the identification of differentially expressed genes across two or more sample sets. Functional enrichment analyses can then be performed to annotate and contextualize the resulting gene lists. These studies provide valuable information about disease-causing biological processes and can help in identifying molecular targets for novel therapies. This review focuses on differential gene expression (DGE) analysis pipelines and bioinformatic techniques commonly used to identify specific biomarkers and discuss the advantages and disadvantages of these techniques.</t>
  </si>
  <si>
    <t>Rosati, Diletta; Palmieri, Maria; Brunelli, Giulia; Morrione, Andrea; Iannelli, Francesco; Frullanti, Elisa; Giordano, Antonio</t>
  </si>
  <si>
    <t>Frullanti, E (corresponding author), Univ Siena, Dept Med Biotechnol, Canc Genom &amp; Syst Biol Lab, Polo Sci San Miniato, Via Aldo Moro 2, I-53100 Siena, Italy.; Giordano, A (corresponding author), Temple Univ, Sbarro Inst Canc Res &amp; Mol Med, Coll Sci &amp; Technol, Ctr Biotechnol, Philadelphia, PA 19122 USA.</t>
  </si>
  <si>
    <t>elisa.frullanti@dbm.unisi.it; francesco.iannelli@unisi.it; maria.palmieri@dbm.unisi.it; diletta.rosati2@unisi.it; antonio.giordano@temple.edu</t>
  </si>
  <si>
    <t>Italian Ministry of University and Research [CUP B63C22000680007]</t>
  </si>
  <si>
    <t>Italian Ministry of University and Research</t>
  </si>
  <si>
    <t>The authors wish to thank the University of Siena for the contribu-tion granted to support the open-access publication process of this study. The authors wish to thank the project "THE" - Tuscany Health ecosystem - Spoke 6, (CUP B63C22000680007) - MILESTONE n. 3: Implementation of artificial intelligence to foster precision medicine and personalized healthcare, funded by the Italian Ministry of University and Research within the project NextGenerationEU - PNRR Piano Nazionale di Ripresa e Resilienza Missione 4 Componente 2 - M4C2a.</t>
  </si>
  <si>
    <t>[Rosati, Diletta; Giordano, Antonio] Univ Siena, Dept Med Biotechnol, I-53100 Siena, Italy; [Rosati, Diletta; Palmieri, Maria; Frullanti, Elisa] Univ Siena, Dept Med Biotechnol, Canc Genom &amp; Syst Biol Lab, I-53100 Siena, Italy; [Rosati, Diletta; Palmieri, Maria; Frullanti, Elisa] Univ Siena, Med Biotech Hub &amp; Competence Ctr, Dept Med Biotechnol, Siena, Italy; [Iannelli, Francesco] Univ Siena, Dept Med Biotechnol, Lab Mol Microbiol &amp; Biotechnol, Siena, Italy; [Morrione, Andrea; Giordano, Antonio] Temple Univ, Sbarro Inst Canc Res &amp; Mol Med, Coll Sci &amp; Technol, Ctr Biotechnol,Dept Biol, Philadelphia, PA 19122 USA; [Frullanti, Elisa] Univ Siena, Dept Med Biotechnol, Canc Genom &amp; Syst Biol Lab, Polo Sci San Miniato, Via Aldo Moro 2, I-53100 Siena, Italy; [Giordano, Antonio] Temple Univ, Sbarro Inst Canc Res &amp; Mol Med, Coll Sci &amp; Technol, Ctr Biotechnol, Philadelphia, PA 19122 USA</t>
  </si>
  <si>
    <t>University of Siena; University of Siena; University of Siena; University of Siena; Pennsylvania Commonwealth System of Higher Education (PCSHE); Temple University; University of Siena; Pennsylvania Commonwealth System of Higher Education (PCSHE); Temple University</t>
  </si>
  <si>
    <t>Differential gene expression analysis pipelines and bioinformatic tools for the identification of specific biomarkers: A review</t>
  </si>
  <si>
    <t>COMPUTATIONAL AND STRUCTURAL BIOTECHNOLOGY JOURNAL</t>
  </si>
  <si>
    <t>Differential gene expression analysis; Pathway enrichment; Bioinformatic analyses; Biomarkers; Biomarkers discovery</t>
  </si>
  <si>
    <t>SET ENRICHMENT ANALYSIS; COMPREHENSIVE FUNCTIONAL-ANALYSIS; CLINICAL-PREDICTION MODELS; RNA-SEQ; DISCOVERY; CYTOSCAPE; PANTHER; QUANTIFICATION; NORMALIZATION; INFERENCE</t>
  </si>
  <si>
    <t>Iannelli, Francesco/R-1170-2018; Brunelli, Giulia/HKO-1492-2023; Frullanti, Elisa/K-3081-2018; Giordano, Antonio/F-1927-2010; Palmieri, Maria/ABQ-2939-2022</t>
  </si>
  <si>
    <t>Brunelli, Giulia/0000-0002-4347-7074; Frullanti, Elisa/0000-0001-5634-031X; Giordano, Antonio/0000-0002-5959-016X; Palmieri, Maria/0000-0003-3014-1552</t>
  </si>
  <si>
    <t>123</t>
  </si>
  <si>
    <t>AMER ASSOC ADVANCEMENT SCIENCE</t>
  </si>
  <si>
    <t>WASHINGTON</t>
  </si>
  <si>
    <t>1200 NEW YORK AVE, NW, WASHINGTON, DC 20005 USA</t>
  </si>
  <si>
    <t>2001-0370</t>
  </si>
  <si>
    <t>COMPUT STRUCT BIOTEC</t>
  </si>
  <si>
    <t>Comp. Struct. Biotechnol. J..</t>
  </si>
  <si>
    <t>DEC 2024</t>
  </si>
  <si>
    <t>1154</t>
  </si>
  <si>
    <t>1168</t>
  </si>
  <si>
    <t>10.1016/j.csbj.2024.02.018</t>
  </si>
  <si>
    <t>http://dx.doi.org/10.1016/j.csbj.2024.02.018</t>
  </si>
  <si>
    <t>MAR 2024</t>
  </si>
  <si>
    <t>Biochemistry &amp; Molecular Biology; Biotechnology &amp; Applied Microbiology</t>
  </si>
  <si>
    <t>OB6R9</t>
  </si>
  <si>
    <t>38510977</t>
  </si>
  <si>
    <t>WOS:001204845000001</t>
  </si>
  <si>
    <t>Brown, JRG; Waljee, AK; Mori, Y; Sharma, P; Berzin, TM</t>
  </si>
  <si>
    <t>Gastroenterology has been an early leader in bridging the gap between artificial intelligence (AI) model development and clinical trial validation, and in recent years we have seen the publication of several randomized clinical trials examining the role of AI in gastroenterology. As AI applications for clinical medicine advance rapidly, there is a clear need for guidance surrounding AI-specific study design, evaluation, comparison, analysis and reporting of results. Several initiatives are in the publication or pre-publication phase including AI-specific amendments to minimum reporting guidelines for clinical trials, society task force initiatives aimed at priority use cases and research priorities, and minimum reporting guidelines that guide the reporting of clinical prediction models. In this paper, we examine applications of AI in clinical trials and discuss elements of newly published AI-specific extensions to the Consolidated Standards of Reporting Trials and Standard Protocol Items: Recommendations for Interventional Trials statements that guide clinical trial reporting and development. We then review AI applications at the pre-trial level in both endoscopy and other subfields of gastroenterology and explore areas where further guidance is needed to supplement the current guidance available at the pre-trial level.</t>
  </si>
  <si>
    <t>Glissen Brown, Jeremy R.; Waljee, Akbar K.; Mori, Yuichi; Sharma, Prateek; Berzin, Tyler M.</t>
  </si>
  <si>
    <t>Brown, JRG (corresponding author), Beth Israel Deaconess Med Ctr, Div Gastroenterol &amp; Hepatol, Ctr Adv Endoscopy, 330 Brookline Ave, Boston, MA 02130 USA.; Brown, JRG (corresponding author), Harvard Med Schoolm, 330 Brookline Ave, Boston, MA 02130 USA.</t>
  </si>
  <si>
    <t>jglissen@bidmc.harvard.edu</t>
  </si>
  <si>
    <t>[Glissen Brown, Jeremy R.; Berzin, Tyler M.] Beth Israel Deaconess Med Ctr, Ctr Adv Endoscopy, Div Gastroenterol, Boston, MA 02215 USA; [Glissen Brown, Jeremy R.; Berzin, Tyler M.] Harvard Med Sch, Boston, MA 02115 USA; [Waljee, Akbar K.] Univ Michigan, Univ Michigan Hlth Syst, Div Gastroenterol, Ann Arbor, MI 48109 USA; [Sharma, Prateek] Univ Kansas, Med Ctr, Dept Gastroenterol &amp; Hepatol, Kansas City, KS 66103 USA; [Sharma, Prateek] Kansas City VA Med Ctr, Dept Gastroenterol, Kansas City, KS USA; [Mori, Yuichi] Showa Univ, Northern Yokohama Hosp, Digest Dis Ctr, Yokohama, Kanagawa, Japan; [Mori, Yuichi] Univ Oslo, Inst Hlth &amp; Soc, Clin Effect Res Grp, Oslo, Norway</t>
  </si>
  <si>
    <t>Harvard University; Harvard University Medical Affiliates; Beth Israel Deaconess Medical Center; Harvard University; Harvard Medical School; University of Michigan System; University of Michigan; University of Kansas; University of Kansas Medical Center; Showa Medical University; University of Oslo</t>
  </si>
  <si>
    <t>Charting a path forward for clinical research in artificial intelligence and gastroenterology</t>
  </si>
  <si>
    <t>DIGESTIVE ENDOSCOPY</t>
  </si>
  <si>
    <t>CONSORT‐; AI; deep learning; guidelines; machine learning; SPIRIT‐; AI</t>
  </si>
  <si>
    <t>COMPUTER-AIDED DETECTION; GASTROINTESTINAL ENDOSCOPY; CAPSULE ENDOSCOPY; NEURAL-NETWORK; SYSTEM; COLONOSCOPY; DISEASE; LESIONS; CLASSIFICATION; VALIDATION</t>
  </si>
  <si>
    <t>Waljee, Akbar/G-2067-2010</t>
  </si>
  <si>
    <t>Berzin, Tyler/0000-0002-4364-6210; Glissen Brown, Jeremy/0000-0002-7204-7241</t>
  </si>
  <si>
    <t>0915-5635</t>
  </si>
  <si>
    <t>1443-1661</t>
  </si>
  <si>
    <t>DIGEST ENDOSC</t>
  </si>
  <si>
    <t>Dig. Endosc.</t>
  </si>
  <si>
    <t>10.1111/den.13974</t>
  </si>
  <si>
    <t>http://dx.doi.org/10.1111/den.13974</t>
  </si>
  <si>
    <t>APR 2021</t>
  </si>
  <si>
    <t>Gastroenterology &amp; Hepatology; Surgery</t>
  </si>
  <si>
    <t>YE4NK</t>
  </si>
  <si>
    <t>33715244</t>
  </si>
  <si>
    <t>WOS:000641062300001</t>
  </si>
  <si>
    <t>Bronze; Green Submitted</t>
  </si>
  <si>
    <t>Lee, JJW; Philteos, J; Levin, M; Namavarian, A; Propst, EJ; Wolter, NE</t>
  </si>
  <si>
    <t>IMPORTANCE Although various clinical prediction models (CPMs) have been described for diagnosing pediatric foreign body aspiration (FBA), to our knowledge, there is still no consensus regarding indications for bronchoscopy, the criterion standard for identifying airway foreign bodies.OBJECTIVE To evaluate currently available CPMs for diagnosing FBA in children.DATA SOURCES Performed in Ovid MEDLINE, Ovid Embase, PubMed, Web of Science, and CINAHL database with citation searching of retrieved studies.STUDY SELECTION Prediction model derivation and validation studies for diagnosing FBA in children were included. Exclusion criteria included adult studies; studies that included variables that were not available in routine clinical practice and outcomes for FBA were not separate or extractable.DATA EXTRACTION AND SYNTHESIS We followed the Critical Appraisal and Data Extraction for Systematic Reviews of Prediction Modeling Studies and the Prediction Model Risk of Bias Assessment Tool framework. Data were pooled using a random-effects model.MAIN OUTCOMES AND MEASURES The primary outcome was the diagnosis of FBA as confirmed by bronchoscopy. Characteristics of CPMs and individual predictors were evaluated. The final model presentation with available measures of performance was provided by narrative synthesis. A meta-analysis of individual predictor variables and prediction models was performed.RESULTS After screening 4233 articles, 7 studies (0.2%; 1577 patients) were included in the final analysis. There were 6 model derivation studies and 1 validation study. Air trapping (odds ratio [OR], 8.3; 95% CI, 4.4-15.5), unilateral reduced air entry (OR, 4.8; 95% CI, 3.5-6.5), witnessed choking (OR, 3.1; 95% CI, 1.0-9.6), wheezing (OR, 2.5; 95% CI, 1.2-5.2), and suspicious findings suggestive of FBA on radiography (OR, 18.5; 95% CI, 5.0-67.7) were the most commonly used predictor variables. Model performance varied, with discrimination scores (C statistic) ranging from 0.74 to 0.88. The pooled weighted C statistic score of all models was 0.86 (95% CI, 0.80-0.92). All studies were deemed to be at high risk of bias, with overfitting of models and lack of validation as the most pertinent concerns.CONCLUSIONS AND RELEVANCE This systematic review and meta-analysis suggests that existing CPMs for FBA in children are at a high risk of bias and have not been adequately validated. No current models can be recommended to guide clinical decision-making. Future CPM studies that adhere to recognized standards for development and validation are required.</t>
  </si>
  <si>
    <t>Lee, John J. W.; Philteos, Justine; Levin, Marc; Namavarian, Amirpouyan; Propst, Evan J.; Wolter, Nikolaus E.</t>
  </si>
  <si>
    <t>Wolter, NE (corresponding author), Univ Toronto, Hosp Sick Children, Fac Med, Dept Otolaryngol Head &amp; Neck Surg, 555 Univ Ave,Room 6133,Burton Wing, Toronto, ON M5G 1X8, Canada.</t>
  </si>
  <si>
    <t>nikolaus.wolter@sickkids.ca</t>
  </si>
  <si>
    <t>[Lee, John J. W.; Philteos, Justine; Levin, Marc; Propst, Evan J.; Wolter, Nikolaus E.] Univ Toronto, Dept Otolaryngol Head &amp; Neck Surg, Toronto, ON, Canada; [Namavarian, Amirpouyan] Univ Toronto, Fac Med, Toronto, ON, Canada; [Propst, Evan J.; Wolter, Nikolaus E.] Hosp Sick Kids, Dept Otolaryngol Head &amp; Neck Surg, Toronto, ON, Canada</t>
  </si>
  <si>
    <t>University of Toronto; University of Toronto; University of Toronto; Hospital for Sick Children (SickKids)</t>
  </si>
  <si>
    <t>Clinical Prediction Models for Suspected Pediatric Foreign Body Aspiration A Systematic Review and Meta-analysis</t>
  </si>
  <si>
    <t>JAMA OTOLARYNGOLOGY-HEAD &amp; NECK SURGERY</t>
  </si>
  <si>
    <t>VIRTUAL BRONCHOSCOPY; REGRESSION-ANALYSIS; CHILDREN; DIAGNOSIS; BODIES; MANAGEMENT; VALIDATION; INHALATION; PRECISION; EVENTS</t>
  </si>
  <si>
    <t>Lee, Jong Wook/NPI-8212-2025</t>
  </si>
  <si>
    <t>Philteos, Justine/0000-0002-3526-1345; Lee, Jong Wook/0000-0002-3364-9960</t>
  </si>
  <si>
    <t>2168-6181</t>
  </si>
  <si>
    <t>2168-619X</t>
  </si>
  <si>
    <t>JAMA OTOLARYNGOL</t>
  </si>
  <si>
    <t>JAMA Otolaryngol-Head Neck Surg.</t>
  </si>
  <si>
    <t>SEP 2021</t>
  </si>
  <si>
    <t>787</t>
  </si>
  <si>
    <t>796</t>
  </si>
  <si>
    <t>10.1001/jamaoto.2021.1548</t>
  </si>
  <si>
    <t>http://dx.doi.org/10.1001/jamaoto.2021.1548</t>
  </si>
  <si>
    <t>JUL 2021</t>
  </si>
  <si>
    <t>Otorhinolaryngology; Surgery</t>
  </si>
  <si>
    <t>UO4LS</t>
  </si>
  <si>
    <t>34264309</t>
  </si>
  <si>
    <t>WOS:000673054000002</t>
  </si>
  <si>
    <t>Huang, YX; Li, WT; Macheret, F; Gabriel, RA; Ohno-Machado, L</t>
  </si>
  <si>
    <t>Our primary objective is to provide the clinical informatics community with an introductory tutorial on calibration measurements and calibration models for predictive models using existing R packages and custom implemented code in R on real and simulated data. Clinical predictive model performance is commonly published based on discrimination measures, but use of models for individualized predictions requires adequate model calibration. This tutorial is intended for clinical researchers who want to evaluate predictive models in terms of their applicability to a particular population. It is also for informaticians and for software engineers who want to understand the role that calibration plays in the evaluation of a clinical predictive model, and to provide them with a solid starting point to consider incorporating calibration evaluation and calibration models in their work. Covered topics include (1) an introduction to the importance of calibration in the clinical setting, (2) an illustration of the distinct roles that discrimination and calibration play in the assessment of clinical predictive models, (3) a tutorial and demonstration of selected calibration measurements, (4) a tutorial and demonstration of selected calibration models, and (5) a brief discussion of limitations of these methods and practical suggestions on how to use them in practice.</t>
  </si>
  <si>
    <t>Huang, Yingxiang; Li, Wentao; Macheret, Fima; Gabriel, Rodney A.; Ohno-Machado, Lucila</t>
  </si>
  <si>
    <t>Huang, YX (corresponding author), Univ Calif San Diego, Hlth Sci Biomed Res Facil 2, UCSD Hlth Dept Biomed Informat, La Jolla, CA 92093 USA.</t>
  </si>
  <si>
    <t>yih108@eng.ucsd.edu</t>
  </si>
  <si>
    <t>National Institutes of Health [R01GM118609, R01HL136835]; National Heart Lung and Blood Institute [R01HL136835] Funding Source: NIH RePORTER</t>
  </si>
  <si>
    <t>National Institutes of Health (United States Department of Health &amp; Human Services, National Institutes of Health (NIH) - USA); National Heart Lung and Blood Institute (United States Department of Health &amp; Human Services, National Institutes of Health (NIH) - USA, NIH National Heart Lung &amp; Blood Institute (NHLBI))</t>
  </si>
  <si>
    <t>This work was supported by National Institutes of Health grants R01GM118609 (to YH and LO-M) and R01HL136835 (to YH and LO-M).</t>
  </si>
  <si>
    <t>[Huang, Yingxiang; Li, Wentao; Macheret, Fima; Ohno-Machado, Lucila] Univ Calif San Diego, Dept Biomed Informat, UC San Diego Hlth, La Jolla, CA USA; [Macheret, Fima] Univ Calif San Diego, Div Hosp Med, Dept Med, La Jolla, CA 92093 USA; [Gabriel, Rodney A.] Univ Calif San Diego, Dept Anesthesiol, La Jolla, CA 92093 USA; [Ohno-Machado, Lucila] VA San Diego Healthcare Syst, Div Hlth Serv Res &amp; Dev, San Diego, CA USA</t>
  </si>
  <si>
    <t>University of California System; University of California San Diego; University of California System; University of California San Diego; University of California System; University of California San Diego; US Department of Veterans Affairs; Veterans Health Administration (VHA); VA San Diego Healthcare System</t>
  </si>
  <si>
    <t>A tutorial on calibration measurements and calibration models for clinical prediction models</t>
  </si>
  <si>
    <t>tutorial; calibration; predictive models</t>
  </si>
  <si>
    <t>HOSMER-LEMESHOW TEST; GOODNESS-OF-FIT; EXTERNAL VALIDATION; BINARY; RISK; DISCRIMINATION; TESTS; POWER</t>
  </si>
  <si>
    <t>LI, WENTAO/JEP-6027-2023</t>
  </si>
  <si>
    <t>Ohno-Machado, Lucila/0000-0002-8005-7327</t>
  </si>
  <si>
    <t>381</t>
  </si>
  <si>
    <t>621</t>
  </si>
  <si>
    <t>633</t>
  </si>
  <si>
    <t>10.1093/jamia/ocz228</t>
  </si>
  <si>
    <t>http://dx.doi.org/10.1093/jamia/ocz228</t>
  </si>
  <si>
    <t>MJ7YY</t>
  </si>
  <si>
    <t>32106284</t>
  </si>
  <si>
    <t>WOS:000548306200016</t>
  </si>
  <si>
    <t>Zhao, M; Yao, ZX; Zhang, Y; Ma, LD; Pang, WQ; Ma, SY; Xu, YJ; Wei, LL</t>
  </si>
  <si>
    <t>Background This systematic review aims to explore the early predictive value of machine learning (ML) models for the progression of gestational diabetes mellitus (GDM) to type 2 diabetes mellitus (T2DM).Methods A comprehensive and systematic search was conducted in Pubmed, Cochrane, Embase, and Web of Science up to July 02, 2024. The quality of the studies included was assessed. The risk of bias was assessed through the prediction model risk of bias assessment tool and a graph was drawn accordingly. The meta-analysis was performed using Stata15.0.Results A total of 13 studies were included in the present review, involving 11,320 GDM patients and 22 ML models. The meta-analysis for ML models showed a pooled C-statistic of 0.82 (95% CI: 0.79 similar to 0.86), a pooled sensitivity of 0.76 (0.72 similar to 0.80), and a pooled specificity of 0.57 (0.50 similar to 0.65).Conclusion ML has favorable diagnostic accuracy for the progression of GDM to T2DM. This provides evidence for the development of predictive tools with broader applicability.</t>
  </si>
  <si>
    <t>Zhao, Meng; Yao, Zhixin; Zhang, Yan; Ma, Lidan; Pang, Wenquan; Ma, Shuyin; Xu, Yijun; Wei, Lili</t>
  </si>
  <si>
    <t>Xu, YJ (corresponding author), Qingdao Univ, Dept Endocrinol &amp; Metab Dis, Affiliated Hosp, Med Coll, Qingdao 266003, Shandong, Peoples R China.; Wei, LL (corresponding author), Qingdao Univ, Dept Nursing, Affiliated Hosp, Med Coll, Qingdao 266003, Shandong, Peoples R China.</t>
  </si>
  <si>
    <t>xuyijun@qdu.edu.cn; 13573828157@163.com</t>
  </si>
  <si>
    <t>Quality of life care research fund of Chinese Association For Life Care</t>
  </si>
  <si>
    <t>[Zhao, Meng; Yao, Zhixin; Zhang, Yan; Ma, Lidan; Pang, Wenquan; Xu, Yijun] Qingdao Univ, Dept Endocrinol &amp; Metab Dis, Affiliated Hosp, Med Coll, Qingdao 266003, Shandong, Peoples R China; [Ma, Shuyin] Qingdao Univ, Dept Emergency Pediat, Affiliated Hosp, Med Coll, Qingdao 266003, Shandong, Peoples R China; [Wei, Lili] Qingdao Univ, Dept Nursing, Affiliated Hosp, Med Coll, Qingdao 266003, Shandong, Peoples R China</t>
  </si>
  <si>
    <t>Qingdao University; Qingdao University; Qingdao University</t>
  </si>
  <si>
    <t>Predictive value of machine learning for the progression of gestational diabetes mellitus to type 2 diabetes: a systematic review and meta-analysis</t>
  </si>
  <si>
    <t>BMC MEDICAL INFORMATICS AND DECISION MAKING</t>
  </si>
  <si>
    <t>Clinical prediction model; Gestational diabetes mellitus; Machine learning; Type 2 diabetes mellitus; Systematic review</t>
  </si>
  <si>
    <t>RISK; WOMEN; RECURRENCE; ONSET; MODEL</t>
  </si>
  <si>
    <t>Meng, lu/KCL-1594-2024; Yao, Zhixin/HSG-8824-2023</t>
  </si>
  <si>
    <t>1472-6947</t>
  </si>
  <si>
    <t>BMC MED INFORM DECIS</t>
  </si>
  <si>
    <t>BMC Med. Inform. Decis. Mak.</t>
  </si>
  <si>
    <t>JAN 13 2025</t>
  </si>
  <si>
    <t>10.1186/s12911-024-02848-x</t>
  </si>
  <si>
    <t>http://dx.doi.org/10.1186/s12911-024-02848-x</t>
  </si>
  <si>
    <t>S3I5Q</t>
  </si>
  <si>
    <t>39806461</t>
  </si>
  <si>
    <t>WOS:001397203200003</t>
  </si>
  <si>
    <t>Nijman, SWJ; Leeuwenberg, AM; Beekers, I; Verkouter, I; Jacobs, JJL; Bots, ML; Asselbergs, FW; Moons, KGM; Debray, TPA</t>
  </si>
  <si>
    <t>Objectives: Missing data is a common problem during the development, evaluation, and implementation of prediction models. Although machine learning (ML) methods are often said to be capable of circumventing missing data, it is unclear how these methods are used in medical research. We aim to find out if and how well prediction model studies using machine learning report on their handling of missing data.Study design and setting: We systematically searched the literature on published papers between 2018 and 2019 about primary studies developing and/or validating clinical prediction models using any supervised ML methodology across medical fields. From the retrieved studies information about the amount and nature (e.g. missing completely at random, potential reasons for missingness) of missing data and the way they were handled were extracted.Results: We identified 152 machine learning-based clinical prediction model studies. A substantial amount of these 152 papers did not report anything on missing data (n = 56/152). A majority (n = 96/152) reported details on the handling of missing data (e.g., methods used), though many of these (n = 46/96) did not report the amount of the missingness in the data. In these 96 papers the authors only sometimes reported possible reasons for missingness (n = 7/96) and information about missing data mechanisms (n = 8/96). The most common approach for handling missing data was deletion (n = 65/96), mostly via complete-case analysis (CCA) (n = 43/96). Very few studies used multiple imputation (n = 8/96) or built-in mechanisms such as surrogate splits (n = 7/96) that directly address missing data during the development, validation, or implementation of the prediction model.Conclusion: Though missing values are highly common in any type of medical research and certainly in the research based on routine healthcare data, a majority of the prediction model studies using machine learning does not report sufficient information on the presence and handling of missing data. Strategies in which patient data are simply omitted are unfortunately the most often used methods, even though it is generally advised against and well known that it likely causes bias and loss of analytical power in prediction model development and in the predictive accuracy estimates. Prediction model researchers should be much more aware of alternative methodologies to address missing data. (C) 2021 The Authors. Published by Elsevier Inc.</t>
  </si>
  <si>
    <t>Nijman, S. W. J.; Leeuwenberg, A. M.; Beekers, I; Verkouter, I; Jacobs, J. J. L.; Bots, M. L.; Asselbergs, F. W.; Moons, K. G. M.; Debray, T. P. A.</t>
  </si>
  <si>
    <t>Nijman, SWJ (corresponding author), Univ Utrecht, Univ Med Ctr Utrecht, Julius Ctr Hlth Sci &amp; Primary Care, Heidelberglaan 100, NL-3584 CX Utrecht, Netherlands.</t>
  </si>
  <si>
    <t>s.w.j.nijman@umcutrecht.nl</t>
  </si>
  <si>
    <t>[Nijman, S. W. J.; Leeuwenberg, A. M.; Bots, M. L.; Moons, K. G. M.; Debray, T. P. A.] Univ Utrecht, Univ Med Ctr Utrecht, Julius Ctr Hlth Sci &amp; Primary Care, Heidelberglaan 100, NL-3584 CX Utrecht, Netherlands; [Beekers, I; Verkouter, I; Jacobs, J. J. L.] Ortec BV Zoetermeer, Dept Hlth, Zoetermeer, Netherlands; [Asselbergs, F. W.] Univ Utrecht, Univ Med Ctr Utrecht, Dept Cardiol, Utrecht, Netherlands; [Asselbergs, F. W.] UCL, Inst Cardiovasc Sci, Populat Hlth Sci, London, England; [Asselbergs, F. W.; Debray, T. P. A.] UCL, Inst Hlth Informat, Hlth Data Res UK, London, England</t>
  </si>
  <si>
    <t>Utrecht University; Utrecht University Medical Center; Utrecht University; Utrecht University Medical Center; University of London; University College London; University of London; University College London</t>
  </si>
  <si>
    <t>Missing data is poorly handled and reported in prediction model studies using machine learning: a literature review</t>
  </si>
  <si>
    <t>Missing data; Machine learning; prediction; reporting; literature review</t>
  </si>
  <si>
    <t>MULTIPLE IMPUTATION; INDICATOR METHOD; INCOMPLETE DATA; VALUES</t>
  </si>
  <si>
    <t>Debray, Thomas/J-7413-2012; Moons, Karel GM/JPA-4011-2023; Leeuwenberg, Artuur/ABH-4645-2020; Asselbergs, Folkert Wouter/ABD-6752-2021</t>
  </si>
  <si>
    <t>Debray, Thomas/0000-0002-1790-2719; Leeuwenberg, Artuur/0000-0002-2892-0285; Asselbergs, Folkert Wouter/0000-0002-1692-8669; Nijman, Steven/0000-0001-6798-2078</t>
  </si>
  <si>
    <t>195</t>
  </si>
  <si>
    <t>224</t>
  </si>
  <si>
    <t>142</t>
  </si>
  <si>
    <t>218</t>
  </si>
  <si>
    <t>229</t>
  </si>
  <si>
    <t>10.1016/j.jclinepi.2021.11.023</t>
  </si>
  <si>
    <t>http://dx.doi.org/10.1016/j.jclinepi.2021.11.023</t>
  </si>
  <si>
    <t>JAN 2021</t>
  </si>
  <si>
    <t>YD3UV</t>
  </si>
  <si>
    <t>34798287</t>
  </si>
  <si>
    <t>WOS:000740342300014</t>
  </si>
  <si>
    <t>Stevens, H; Peter, K; Tran, H; McFadyen, J</t>
  </si>
  <si>
    <t>Acute venous thromboembolism (VTE) is a commonly diagnosed condition and requires treatment with anticoagulation to reduce the risk of embolisation as well as recurrent venous thrombotic events. In many cases, cessation of anticoagulation is associated with an unacceptably high risk of recurrent VTE, precipitating the use of indefinite anticoagulation. In contrast, however, continuing anticoagulation is associated with increased major bleeding events. As a consequence, it is essential to accurately predict the subgroup of patients who have the highest probability of experiencing recurrent VTE, so that treatment can be appropriately tailored to each individual. To this end, the development of clinical prediction models has aided in calculating the risk of recurrent thrombotic events; however, there are several limitations with regards to routine use for all patients with acute VTE. More recently, focus has shifted towards the utility of novel biomarkers in the understanding of disease pathogenesis as well as their application in predicting recurrent VTE. Below, we review the current strategies used to predict the development of recurrent VTE, with emphasis on the application of several promising novel biomarkers in this field.</t>
  </si>
  <si>
    <t>Stevens, Hannah; Peter, Karlheinz; Tran, Huyen; McFadyen, James</t>
  </si>
  <si>
    <t>Stevens, H (corresponding author), Alfred Hosp, Dept Clin Haematol, Melbourne, Vic 3004, Australia.; Stevens, H (corresponding author), Monash Univ, Australian Ctr Blood Dis, Melbourne, Vic 3004, Australia.; Stevens, H (corresponding author), Baker Heart &amp; Diabet Inst, Atherothrombosis &amp; Vasc Biol Program, Melbourne, Vic 3004, Australia.</t>
  </si>
  <si>
    <t>Karlheinz.Peter@baker.edu.au; huyen.tran@monash.edu; james.mcfadyen@monash.edu; Hannah.stevens1@monash.edu</t>
  </si>
  <si>
    <t>Monash University Research Training Program Scholarship; Wheaton Family Scholarship; HSANZ New Investigator Scholarship; NHMRC Early Career fellowship; NHF postdoctoral fellowship; RACP Research Establishment fellowship; NHMRC L3 Investigator grant</t>
  </si>
  <si>
    <t>Monash University Research Training Program Scholarship; Wheaton Family Scholarship; HSANZ New Investigator Scholarship; NHMRC Early Career fellowship (National Health &amp; Medical Research Council (NHMRC) of Australia); NHF postdoctoral fellowship; RACP Research Establishment fellowship; NHMRC L3 Investigator grant (National Health &amp; Medical Research Council (NHMRC) of Australia)</t>
  </si>
  <si>
    <t>H.S. is supported for research by the Monash University Research Training Program Scholarship, Wheaton Family Scholarship, and HSANZ New Investigator Scholarship. J.M. is supported for research by an NHMRC Early Career fellowship, an NHF postdoctoral fellowship, and an RACP Research Establishment fellowship. K.P. is supported for research by an NHMRC L3 Investigator grant.</t>
  </si>
  <si>
    <t>[Stevens, Hannah; Tran, Huyen; McFadyen, James] Alfred Hosp, Dept Clin Haematol, Melbourne, Vic 3004, Australia; [Stevens, Hannah; Tran, Huyen; McFadyen, James] Monash Univ, Australian Ctr Blood Dis, Melbourne, Vic 3004, Australia; [Stevens, Hannah; Peter, Karlheinz; McFadyen, James] Baker Heart &amp; Diabet Inst, Atherothrombosis &amp; Vasc Biol Program, Melbourne, Vic 3004, Australia; [Peter, Karlheinz] Alfred Hosp, Dept Cardiol, Melbourne, Vic 3004, Australia</t>
  </si>
  <si>
    <t>Florey Institute of Neuroscience &amp; Mental Health; Howard Florey Institute Affiliates; Monash University; Florey Institute of Neuroscience &amp; Mental Health; Howard Florey Institute Affiliates</t>
  </si>
  <si>
    <t>Predicting the Risk of Recurrent Venous Thromboembolism: Current Challenges and Future Opportunities</t>
  </si>
  <si>
    <t>JOURNAL OF CLINICAL MEDICINE</t>
  </si>
  <si>
    <t>venous thromboembolism; pulmonary embolism; deep vein thrombosis; biomarker; risk stratification</t>
  </si>
  <si>
    <t>C-REACTIVE PROTEIN; DEEP-VEIN-THROMBOSIS; ENDOTHELIAL PROGENITOR CELLS; CIRCULATING PROCOAGULANT MICROPARTICLES; GENOME-WIDE ASSOCIATION; SOLUBLE P-SELECTIN; HIGH PLASMA-LEVELS; PULMONARY-EMBOLISM; D-DIMER; ACTIVATED PLATELETS</t>
  </si>
  <si>
    <t>Peter, Karlheinz/S-2765-2019</t>
  </si>
  <si>
    <t>McFadyen, James/0000-0002-9832-6871; Stevens, Hannah/0000-0003-3394-9768; Peter, Karlheinz/0000-0002-8040-2258</t>
  </si>
  <si>
    <t>2077-0383</t>
  </si>
  <si>
    <t>J CLIN MED</t>
  </si>
  <si>
    <t>J. Clin. Med.</t>
  </si>
  <si>
    <t>MAY 2020</t>
  </si>
  <si>
    <t>1582</t>
  </si>
  <si>
    <t>10.3390/jcm9051582</t>
  </si>
  <si>
    <t>http://dx.doi.org/10.3390/jcm9051582</t>
  </si>
  <si>
    <t>LY0OO</t>
  </si>
  <si>
    <t>32456008</t>
  </si>
  <si>
    <t>WOS:000540223800339</t>
  </si>
  <si>
    <t>Lu, JH; Callahan, A; Patel, BS; Morse, KE; Dash, D; Pfeffer, MA; Shah, NH</t>
  </si>
  <si>
    <t>IMPORTANCE Various model reporting guidelines have been proposed to ensure clinical prediction models are reliable and fair. However, no consensus exists about which model details are essential to report, and commonalities and differences among reporting guidelines have not been characterized. Furthermore, how well documentation of deployed models adheres to these guidelines has not been studied.OBJECTIVES To assess information requested by model reporting guidelines and whether the documentation for commonly used machine learning models developed by a single vendor provides the information requested.EVIDENCE REVIEW MEDLINE was queried using machine learning model card and reporting machine learning from November 4 to December 6, 2020. References were reviewed to find additional publications, and publications without specific reporting recommendations were excluded. Similar elements requested for reporting were merged into representative items. Four independent reviewers and 1 adjudicator assessed how often documentation for the most commonly used models developed by a single vendor reported the items.FINDINGS From 15 model reporting guidelines, 220 unique items were identified that represented the collective reporting requirements. Although 12 items were commonly requested (requested by 10 or more guidelines), 77 items were requested by just 1 guideline. Documentation for 12 commonly used models from a single vendor reported a median of 39% (IQR, 37%-43%; range. 31%-47%) of items from the collective reporting requirements. Many of the commonly requested items had 100% reporting rates, including items concerning outcome definition, area under the receiver operating characteristics curve, internal validation, and intended clinical use. Several items reported half the time or less related to reliability, such as external validation, uncertainty measures, and strategy for handling missing data. Other frequently unreported items related to fairness (summary statistics and subgroup analyses, including for race and ethnicity or sex).CONCLUSIONS AND RELEVANCE These findings suggest that consistent reporting recommendations for clinical predictive models are needed for model developers to share necessary information for model deployment. The many published guidelines would, collectively, require reporting more than 200 items. Model documentation from 1 vendor reported the most commonly requested items from model reporting guidelines. However, areas for improvement were identified in reporting items related to model reliability and fairness. This analysis led to feedback to the vendor, which motivated updates to the documentation for future users.</t>
  </si>
  <si>
    <t>Lu, Jonathan H.; Callahan, Alison; Patel, Birju S.; Morse, Keith E.; Dash, Dev; Pfeffer, Michael A.; Shah, Nigam H.</t>
  </si>
  <si>
    <t>Lu, JH (corresponding author), Stanford Univ, Ctr Biomed Informat Res, Sch Med, 121 Campus Dr,Apt 1316A, Stanford, CA 94305 USA.</t>
  </si>
  <si>
    <t>jhlu@stanford.edu</t>
  </si>
  <si>
    <t>Stanford University School of Medicine MedScholars grant; Stanford Medicine Program for AI in Healthcare - Debra; Department of Medicine and Stanford Healthcare</t>
  </si>
  <si>
    <t>This study was supported by a Stanford University School of Medicine MedScholars grant (Mr Lu) and the Stanford Medicine Program for AI in Healthcare, which is funded by a gift from Debra and Mark Leslie as well as the Department of Medicine and Stanford Healthcare.</t>
  </si>
  <si>
    <t>[Lu, Jonathan H.; Callahan, Alison; Patel, Birju S.; Dash, Dev; Pfeffer, Michael A.; Shah, Nigam H.] Stanford Univ, Ctr Biomed Informat Res, Sch Med, 121 Campus Dr,Apt 1316A, Stanford, CA 94305 USA; [Morse, Keith E.] Stanford Univ, Sch Med, Dept Pediat, Stanford, CA 94305 USA; [Morse, Keith E.] Lucile Packard Childrens Hosp, Dept Clin Informat, Palo Alto, CA USA; [Pfeffer, Michael A.; Shah, Nigam H.] Stanford Med, Technol &amp; Digital Solut, Stanford, CA USA; [Shah, Nigam H.] Stanford Med, Clin Excellence Res Ctr, Stanford, CA USA</t>
  </si>
  <si>
    <t>Stanford University; Stanford Medicine; Stanford Medicine; Stanford University; Lucile Packard Children's Hospital (LPCH)</t>
  </si>
  <si>
    <t>Assessment of Adherence to Reporting Guidelines by Commonly Used Clinical Prediction Models From a Single Vendor A Systematic Review</t>
  </si>
  <si>
    <t>JAMA NETWORK OPEN</t>
  </si>
  <si>
    <t>ARTIFICIAL-INTELLIGENCE; INDIVIDUAL PROGNOSIS; DIAGNOSIS TRIPOD; SPIRIT 2013; RISK; BIAS; STATEMENT; HEALTH; APPLICABILITY; EXPLANATION</t>
  </si>
  <si>
    <t>Pfeffer, Michael/0000-0002-8958-0843; Morse, Keith/0000-0002-8307-1642; Dash, Debadutta/0000-0002-0223-1641; Lu, Jonathan/0000-0002-1302-4875</t>
  </si>
  <si>
    <t>2574-3805</t>
  </si>
  <si>
    <t>JAMA NETW OPEN</t>
  </si>
  <si>
    <t>JAMA Netw. Open</t>
  </si>
  <si>
    <t>AUG 19 2022</t>
  </si>
  <si>
    <t>e2227779</t>
  </si>
  <si>
    <t>10.1001/jamanetworkopen.2022.27779</t>
  </si>
  <si>
    <t>http://dx.doi.org/10.1001/jamanetworkopen.2022.27779</t>
  </si>
  <si>
    <t>3V8OC</t>
  </si>
  <si>
    <t>35984654</t>
  </si>
  <si>
    <t>WOS:000841917800010</t>
  </si>
  <si>
    <t>Duijvestein, M; D'Haens, GR</t>
  </si>
  <si>
    <t>Introduction: Mucosal addressin cell adhesion molecule-1 (MAdCAM-1) expression in gut-associated lymphoid tissue is upregulated in patients with inflammatory bowel disease (IBD). Blocking adhesion molecules and thereby inhibiting migration of lymphocytes into sites of inflammation in the gut is an attractive new treatment target in drug development for IBD. Areas covered: This review discusses the preclinical and clinical experience on SHP647 (previously called PF-00547659 and PF-00547,659), a fully human IgG2K monoclonal antibody that binds to MAdCAM-1 to selectively reduce lymphocyte homing to the intestinal tract. Expert opinion: Blocking endothelial adhesion molecule MAdCAM-1 could represent an attractive target for the treatment of IBD. In the next years, the results from the phase III studies as well as data to support therapeutic drug monitoring based on drug levels to guide and optimize individual therapy will become available. Furthermore, much effort is put in the development of clinical prediction models to predict which drug is optimal for an individual patient.</t>
  </si>
  <si>
    <t>Duijvestein, Marjolijn; D'Haens, Geert R.</t>
  </si>
  <si>
    <t>D'Haens, GR (corresponding author), Univ Amsterdam, Amsterdam UMC, Inflammatory Bowel Dis Ctr, Meibergdreef 9, NL-1105 AZ Amsterdam, Netherlands.; D'Haens, GR (corresponding author), Univ Amsterdam, Amsterdam UMC, Amsterdam Gastroenterol &amp; Metab, Meibergdreef 9, NL-1105 AZ Amsterdam, Netherlands.</t>
  </si>
  <si>
    <t>g.dhaens@amc.uva.nl</t>
  </si>
  <si>
    <t>[D'Haens, Geert R.] Univ Amsterdam, Amsterdam UMC, Inflammatory Bowel Dis Ctr, Meibergdreef 9, NL-1105 AZ Amsterdam, Netherlands; [D'Haens, Geert R.] Univ Amsterdam, Amsterdam UMC, Amsterdam Gastroenterol &amp; Metab, Meibergdreef 9, NL-1105 AZ Amsterdam, Netherlands</t>
  </si>
  <si>
    <t>University of Amsterdam; University of Amsterdam</t>
  </si>
  <si>
    <t>Rational and clinical development of the anti-MAdCAM monoclonal antibody for the treatment of IBD</t>
  </si>
  <si>
    <t>EXPERT OPINION ON BIOLOGICAL THERAPY</t>
  </si>
  <si>
    <t>Crohn's disease; ulcerative colitis; inflammatory bowel disease; therapy; integrins; anti-MadCAM</t>
  </si>
  <si>
    <t>CELL-ADHESION MOLECULE-1; LONG-TERM SAFETY; MAINTENANCE THERAPY; CROHNS-DISEASE; BETA-7+T CELLS; INDUCTION; EXPRESSION; INFLAMMATION; PF-00547659; NATALIZUMAB</t>
  </si>
  <si>
    <t>Duijvestein, Marjolijn/GQI-1748-2022</t>
  </si>
  <si>
    <t>TAYLOR &amp; FRANCIS LTD</t>
  </si>
  <si>
    <t>ABINGDON</t>
  </si>
  <si>
    <t>2-4 PARK SQUARE, MILTON PARK, ABINGDON OR14 4RN, OXON, ENGLAND</t>
  </si>
  <si>
    <t>1471-2598</t>
  </si>
  <si>
    <t>1744-7682</t>
  </si>
  <si>
    <t>EXPERT OPIN BIOL TH</t>
  </si>
  <si>
    <t>Expert Opin. Biol. Ther.</t>
  </si>
  <si>
    <t>APR 3 2019</t>
  </si>
  <si>
    <t>361</t>
  </si>
  <si>
    <t>366</t>
  </si>
  <si>
    <t>10.1080/14712598.2019.1576631</t>
  </si>
  <si>
    <t>http://dx.doi.org/10.1080/14712598.2019.1576631</t>
  </si>
  <si>
    <t>Biotechnology &amp; Applied Microbiology; Medicine, Research &amp; Experimental</t>
  </si>
  <si>
    <t>Biotechnology &amp; Applied Microbiology; Research &amp; Experimental Medicine</t>
  </si>
  <si>
    <t>HW3EN</t>
  </si>
  <si>
    <t>30696342</t>
  </si>
  <si>
    <t>WOS:000466573300008</t>
  </si>
  <si>
    <t>Szerlip, HM; Chawla, LS</t>
  </si>
  <si>
    <t>Purpose of reviewThe incidence of acute kidney injury has been steadily increasing. The development of any degree of kidney injury is associated with worse outcomes. Therefore, the ability to risk stratify patients and to predict prognosis is essential to properly educate the patient and family, appropriately utilize healthcare resources, and provide therapeutic interventions that may improve outcomes.Recent findingsNumerous biomarkers and clinical prediction models have been developed that improve our ability to predict which patients will progress to higher stages of chronic kidney disease, require dialysis, or survive. The integration of biomarkers in predictive models will likely provide the best information. Further investigation will be required to validate the utility of these tools.SummaryEarly risk stratification for acute kidney injury can aid clinical decision making. The use of various biomarkers and predictive clinical models will improve the ability to appropriately utilize resources and provide useful prognostic information.</t>
  </si>
  <si>
    <t>Szerlip, Harold M.; Chawla, Lakhmir S.</t>
  </si>
  <si>
    <t>Chawla, LS (corresponding author), Vet Affairs Med Ctr, Dept Med, 50 Irving St, Washington, DC 20037 USA.</t>
  </si>
  <si>
    <t>minkchawla@gmail.com</t>
  </si>
  <si>
    <t>[Szerlip, Harold M.] Baylor Univ, Med Ctr, Dallas, TX USA; [Chawla, Lakhmir S.] Vet Affairs Med Ctr, Dept Med, 50 Irving St, Washington, DC 20037 USA</t>
  </si>
  <si>
    <t>Baylor University Medical Center; Baylor University; US Department of Veterans Affairs; Veterans Health Administration (VHA)</t>
  </si>
  <si>
    <t>Predicting acute kidney injury prognosis</t>
  </si>
  <si>
    <t>CURRENT OPINION IN NEPHROLOGY AND HYPERTENSION</t>
  </si>
  <si>
    <t>acute kidney injury; biomarkers; clinical predictive models; risk stratification</t>
  </si>
  <si>
    <t>CRITICALLY-ILL PATIENTS; ACUTE-RENAL-FAILURE; INTENSIVE-CARE-UNIT; LONG-TERM OUTCOMES; EXTERNAL VALIDATION; AKIN CRITERIA; MORTALITY; EPIDEMIOLOGY; DIALYSIS; MULTICENTER</t>
  </si>
  <si>
    <t>Chawla, Lakhmir/0000-0001-5987-8318</t>
  </si>
  <si>
    <t>1062-4821</t>
  </si>
  <si>
    <t>1473-6543</t>
  </si>
  <si>
    <t>CURR OPIN NEPHROL HY</t>
  </si>
  <si>
    <t>Curr. Opin. Nephrol. Hypertens.</t>
  </si>
  <si>
    <t>MAY 2016</t>
  </si>
  <si>
    <t>226</t>
  </si>
  <si>
    <t>10.1097/MNH.0000000000000223</t>
  </si>
  <si>
    <t>http://dx.doi.org/10.1097/MNH.0000000000000223</t>
  </si>
  <si>
    <t>Urology &amp; Nephrology; Peripheral Vascular Disease</t>
  </si>
  <si>
    <t>Urology &amp; Nephrology; Cardiovascular System &amp; Cardiology</t>
  </si>
  <si>
    <t>DK2JG</t>
  </si>
  <si>
    <t>27023837</t>
  </si>
  <si>
    <t>WOS:000374739900011</t>
  </si>
  <si>
    <t>Sisk, R; Lin, LJ; Sperrin, M; Barrett, JK; Tom, B; Diaz-Ordaz, K; Peek, N; Martin, GP</t>
  </si>
  <si>
    <t>Objective: Informative presence (IP) is the phenomenon whereby the presence or absence of patient data is potentially informative with respect to their health condition, with informative observation (IO) being the longitudinal equivalent. These phenomena predominantly exist within routinely collected healthcare data, in which data collection is driven by the clinical requirements of patients and clinicians. The extent to which IP and IO are considered when using such data to develop clinical prediction models (CPMs) is unknown, as is the existing methodology aiming at handling these issues. This review aims to synthesize such existing methodology, thereby helping identify an agenda for future methodological work.Materials and Methods: A systematic literature search was conducted by 2 independent reviewers using prespecified keywords.Results: Thirty-six articles were included. We categorized the methods presented within as derived predictors (including some representation of the measurement process as a predictor in the model), modeling under IP, and latent structures. Including missing indicators or summary measures as predictors is the most commonly presented approach amongst the included studies (24 of 36 articles).Discussion: This is the first review to collate the literature in this area under a prediction framework. A considerable body relevant of literature exists, and we present ways in which the described methods could be developed further. Guidance is required for specifying the conditions under which each method should be used to enable applied prediction modelers to use these methods.Conclusions: A growing recognition of IP and IO exists within the literature, and methodology is increasingly becoming available to leverage these phenomena for prediction purposes. IP and IO should be approached differently in a prediction context than when the primary goal is explanation. The work included in this review has demonstrated theoretical and empirical benefits of incorporating IP and IO, and therefore we recommend that applied health researchers consider incorporating these methods in their work.</t>
  </si>
  <si>
    <t>Sisk, Rose; Lin, Lijing; Sperrin, Matthew; Barrett, Jessica K.; Tom, Brian; Diaz-Ordaz, Karla; Peek, Niels; Martin, Glen P.</t>
  </si>
  <si>
    <t>Sisk, R (corresponding author), Univ Manchester, Room G304,Jean McFarlane Bldg, Manchester M13 9PY, Lancs, England.</t>
  </si>
  <si>
    <t>rose.sisk@postgrad.manchester.ac.uk</t>
  </si>
  <si>
    <t>Medical Research Council [MC_UU_00002/5, MC_UU_00002/2, MR/N013751/11]; Alan Turing Institute under the "Predictive Healthcare" project (Health and Medical Sciences Programme); Engineering and Physical Sciences Research Council [EP/P010148/1] Funding Source: researchfish; Medical Research Council [MC_UU_00002/5, MC_UU_00002/2] Funding Source: researchfish; EPSRC [EP/P010148/1] Funding Source: UKRI; MRC [MC_UU_00002/5, MC_UU_00002/2] Funding Source: UKRI</t>
  </si>
  <si>
    <t>Medical Research Council (UK Research &amp; Innovation (UKRI), Medical Research Council UK (MRC)); Alan Turing Institute under the "Predictive Healthcare" project (Health and Medical Sciences Programme); Engineering and Physical Sciences Research Council (UK Research &amp; Innovation (UKRI), Engineering &amp; Physical Sciences Research Council (EPSRC)); Medical Research Council (UK Research &amp; Innovation (UKRI), Medical Research Council UK (MRC)); EPSRC (UK Research &amp; Innovation (UKRI), Engineering &amp; Physical Sciences Research Council (EPSRC)); MRC (UK Research &amp; Innovation (UKRI), Medical Research Council UK (MRC))</t>
  </si>
  <si>
    <t>This work was supported by Medical Research Council grants MC_UU_00002/5 (JKB), MC_UU_00002/2 (BT), and MR/N013751/11 (RS) and the Alan Turing Institute under the "Predictive Healthcare" project (Health and Medical Sciences Programme).</t>
  </si>
  <si>
    <t>[Sisk, Rose; Lin, Lijing; Sperrin, Matthew; Peek, Niels; Martin, Glen P.] Univ Manchester, Sch Hlth Sci, Div Informat Imaging &amp; Data Sci, Manchester, Lancs, England; [Barrett, Jessica K.; Tom, Brian] Univ Cambridge, MRC Biostat Unit, Cambridge, England; [Barrett, Jessica K.] Univ Cambridge, Dept Publ Hlth &amp; Primary Care, Cardiovasc Epidemiol Unit, Cambridge, England; [Diaz-Ordaz, Karla] London Sch Hyg &amp; Trop Med, Dept Med Stat, London, England; [Peek, Niels] Univ Manchester, Manchester Acad, NIHR Biomed Res Ctr, Hlth Sci Ctr, Manchester, Lancs, England; [Peek, Niels] Univ Manchester, Alan Turing Inst, London, England</t>
  </si>
  <si>
    <t>University of Manchester; MRC Biostatistics Unit; University of Cambridge; University of Cambridge; University of London; London School of Hygiene &amp; Tropical Medicine; University of Manchester; Alan Turing Institute; University of Manchester</t>
  </si>
  <si>
    <t>Informative presence and observation in routine health data: A review of methodology for clinical risk prediction</t>
  </si>
  <si>
    <t>clinical prediction model; electronic health records; informative observation; informative presence</t>
  </si>
  <si>
    <t>MULTIVARIATE TIME-SERIES; LONGITUDINAL DATA; MISSING DATA; TERMINAL EVENT; REGRESSION-ANALYSIS; JOINT MODEL; NETWORK; PATIENT; RECORDS; BINARY</t>
  </si>
  <si>
    <t>Martin, Glen Philip/I-7824-2019; Peek, Niels/AAD-9334-2019; Barrett, Jessica/AAU-1046-2021; Lin, Lijing/G-3390-2010</t>
  </si>
  <si>
    <t>Martin, Glen Philip/0000-0002-3410-9472; DiazOrdaz, Karla/0000-0003-3155-1561; Peek, Niels/0000-0002-6393-9969; Sisk, Rose/0000-0002-3354-6144; Barrett, Jessica/0000-0003-1889-9803; Sperrin, Matthew/0000-0002-5351-9960; Lin, Lijing/0000-0003-3355-8812</t>
  </si>
  <si>
    <t>155</t>
  </si>
  <si>
    <t>10.1093/jamia/ocaa242</t>
  </si>
  <si>
    <t>http://dx.doi.org/10.1093/jamia/ocaa242</t>
  </si>
  <si>
    <t>SA0EE</t>
  </si>
  <si>
    <t>33164082</t>
  </si>
  <si>
    <t>WOS:000648972200020</t>
  </si>
  <si>
    <t>Bonsdorff, A; Sallinen, V</t>
  </si>
  <si>
    <t>Background and objective: Postoperative pancreatic fistula (POPF) is the leading cause of morbidity and early mortality in patients undergoing pancreatic resection. In addition, recent studies have identified postoperative acute pancreatitis (POAP) as an independent contributor to morbidity. Most perioperative mitigation strategies experimented for POPF have been shown to be in vain with no consensus on the best perioperative management. Clinical prediction models have been developed with the hope of identifying high POPF risk patients with the leading idea of finding subpopulations possibly benefiting from pre-existing or novel mitigation strategies. The aim of this review was to map out the existing prediction modeling studies to better understand the current stage of POPF prediction modeling, and the methodology behind them. Methods: A narrative review of the existing POPF prediction model studies was performed. Studies published before September 2022 were included. Results: While the number of POPF prediction models for pancreatoduodenectomy has increased, none of the currently existing models stand out from the crowd. For distal pancreatectomy, two unique POPF prediction models exist, but due to their freshness, no further external validation or adoption in clinics or research has been reported. There seems to be a lack of adherence to correct methodology or reporting guidelines in most of the studies, which has rendered external validity-if assessed-low. Few of the most recent studies have demonstrated preoperative assessment of pancreatic aspects from computed tomography (CT) scans to provide relatively strong predictors of POPF. Conclusions: Main goal for the future would be to reach a consensus on the most important POPF predictors and prediction model. At their current state, few models have demonstrated adequate transportability and generalizability to be up to the task. Better understanding of POPF pathophysiology and the possible driving force of acute inflammation and POAP might be required before such a prediction model can be accessed.</t>
  </si>
  <si>
    <t>Bonsdorff, Akseli; Sallinen, Ville</t>
  </si>
  <si>
    <t>Sallinen, V (corresponding author), Helsinki Univ Hosp, Dept Gastroenterol Surg, Helsinki 400029, Finland.; Sallinen, V (corresponding author), Helsinki Univ Hosp, Dept Transplantat &amp; Liver Surg, Helsinki 400029, Finland.; Sallinen, V (corresponding author), Univ Helsinki, Helsinki 400029, Finland.</t>
  </si>
  <si>
    <t>ville.sallinen@helsinki.fi</t>
  </si>
  <si>
    <t>Helsinki Research Funds</t>
  </si>
  <si>
    <t>The author(s) disclosed receipt of the following financial support for the research, authorship, and/or publication of this article: Helsinki Research Funds.</t>
  </si>
  <si>
    <t>[Bonsdorff, Akseli] Helsinki Univ Hosp, Dept Gastroenterol Surg, Helsinki, Finland; [Bonsdorff, Akseli] Univ Helsinki, Helsinki, Finland; [Sallinen, Ville] Helsinki Univ Hosp, Dept Gastroenterol Surg, Helsinki 400029, Finland; [Sallinen, Ville] Helsinki Univ Hosp, Dept Transplantat &amp; Liver Surg, Helsinki 400029, Finland; [Sallinen, Ville] Univ Helsinki, Helsinki 400029, Finland</t>
  </si>
  <si>
    <t>University of Helsinki; Helsinki University Central Hospital; University of Helsinki; University of Helsinki; Helsinki University Central Hospital; University of Helsinki; Helsinki University Central Hospital; University of Helsinki</t>
  </si>
  <si>
    <t>Prediction of postoperative pancreatic fistula and pancreatitis after pancreatoduodenectomy or distal pancreatectomy: A review</t>
  </si>
  <si>
    <t>SCANDINAVIAN JOURNAL OF SURGERY</t>
  </si>
  <si>
    <t>Postoperative pancreatic fistula; postoperative pancreatitis; prediction; clinical prediction model; risk score; review</t>
  </si>
  <si>
    <t>POSTPANCREATECTOMY ACUTE-PANCREATITIS; PREOPERATIVE RISK STRATIFICATION; INTERNATIONAL STUDY-GROUP; ISGPS DEFINITION; SCORE; COMPLICATIONS; SURGERY; MODEL; HYPERAMYLASEMIA; MORTALITY</t>
  </si>
  <si>
    <t>Bonsdorff, Akseli/GZG-9056-2022; Sallinen, Ville/AAG-2285-2021</t>
  </si>
  <si>
    <t>Bonsdorff, Akseli/0000-0002-2096-6131</t>
  </si>
  <si>
    <t>1457-4969</t>
  </si>
  <si>
    <t>1799-7267</t>
  </si>
  <si>
    <t>SCAND J SURG</t>
  </si>
  <si>
    <t>Scand. J. Surg.</t>
  </si>
  <si>
    <t>112</t>
  </si>
  <si>
    <t>10.1177/14574969231167781</t>
  </si>
  <si>
    <t>http://dx.doi.org/10.1177/14574969231167781</t>
  </si>
  <si>
    <t>APR 2023</t>
  </si>
  <si>
    <t>K1DA7</t>
  </si>
  <si>
    <t>37083016</t>
  </si>
  <si>
    <t>WOS:000972957200001</t>
  </si>
  <si>
    <t>82</t>
  </si>
  <si>
    <t>Hopkins, AM; Rowland, A; Kichenadasse, G; Wiese, MD; Gurney, H; McKinnon, RA; Karapetis, CS; Sorich, MJ</t>
  </si>
  <si>
    <t>Immune checkpoint inhibitors (ICI) are an important development in the treatment of advanced cancer. A substantial proportion of patients treated with ICI do not respond, and additionally patients discontinue treatment due to adverse effects. While many novel biological markers related to the specific mechanisms of ICI actions have been investigated, there has also been considerable research to identify routinely available blood and clinical markers that may predict response to ICI therapy. If validated, these markers have the advantage of being easily integrated into clinical use for nominal expense. Several markers have shown promise, including baseline and post-treatment changes in leucocyte counts, lactate dehydrogenase and C-reactive protein. While promising, the results between studies have been inconsistent due to small sample sizes, follow-up time and variability in the assessed markers. To date, research on routinely available blood and clinical markers has focussed primarily on ICI use in melanoma, the use of ipilimumab and on univariate associations, but preliminary evidence is emerging for other cancer types, other ICIs and for combining markers in multivariable clinical prediction models.</t>
  </si>
  <si>
    <t>Hopkins, Ashley M.; Rowland, Andrew; Kichenadasse, Ganessan; Wiese, Michael D.; Gurney, Howard; McKinnon, Ross A.; Karapetis, Chris S.; Sorich, Michael J.</t>
  </si>
  <si>
    <t>Hopkins, AM (corresponding author), Flinders Univ S Australia, Coll Med &amp; Publ Hlth, Flinders Ctr Innovat Canc, Flinders Dr,Bedford Pk, Adelaide, SA 5042, Australia.; Hopkins, AM (corresponding author), Flinders Univ S Australia, Coll Med &amp; Publ Hlth, Dept Clin Pharmacol, Flinders Dr,Bedford Pk, Adelaide, SA 5042, Australia.</t>
  </si>
  <si>
    <t>ashley.hopkins@flinders.edu.au</t>
  </si>
  <si>
    <t>National Breast Cancer Foundation, Australia; State Government of South Australia through Department of Health; Cancer Council SA's Beat Cancer Project</t>
  </si>
  <si>
    <t>National Breast Cancer Foundation, Australia; State Government of South Australia through Department of Health; Cancer Council SA's Beat Cancer Project (Cancer Council South Australia)</t>
  </si>
  <si>
    <t>Ashley Hopkins is a researcher funded by a Postdoctoral Fellowship from the National Breast Cancer Foundation, Australia. This manuscript was produced with the financial and other support of Cancer Council SA's Beat Cancer Project on behalf of its donors and the State Government of South Australia through the Department of Health.</t>
  </si>
  <si>
    <t>[Hopkins, Ashley M.; Rowland, Andrew; Kichenadasse, Ganessan; McKinnon, Ross A.; Karapetis, Chris S.; Sorich, Michael J.] Flinders Univ S Australia, Coll Med &amp; Publ Hlth, Flinders Ctr Innovat Canc, Flinders Dr,Bedford Pk, Adelaide, SA 5042, Australia; [Hopkins, Ashley M.; Rowland, Andrew; Sorich, Michael J.] Flinders Univ S Australia, Coll Med &amp; Publ Hlth, Dept Clin Pharmacol, Flinders Dr,Bedford Pk, Adelaide, SA 5042, Australia; [Wiese, Michael D.] Univ South Australia, Sch Pharm &amp; Med Sci, Frome St, Adelaide, SA 5000, Australia; [Gurney, Howard] Westmead Hosp, Dept Med Oncol, Hawkesbury Rd &amp; Darcy Rd, Sydney, NSW 2145, Australia</t>
  </si>
  <si>
    <t>Flinders University; Flinders University; University of South Australia; Adelaide University; University of South Australia; NSW Health; Westmead Hospital; University of Sydney</t>
  </si>
  <si>
    <t>Predicting response and toxicity to immune checkpoint inhibitors using routinely available blood and clinical markers</t>
  </si>
  <si>
    <t>BRITISH JOURNAL OF CANCER</t>
  </si>
  <si>
    <t>immune checkpoint inhibitors; precision medicine; biomarkers; clinicopathological; melanoma</t>
  </si>
  <si>
    <t>CELL LUNG-CANCER; METASTATIC MELANOMA PATIENTS; TO-LYMPHOCYTE RATIO; IPILIMUMAB TREATMENT; LACTATE-DEHYDROGENASE; UROTHELIAL CARCINOMA; UNTREATED MELANOMA; ADVERSE EVENTS; PHASE-2 TRIAL; NIVOLUMAB</t>
  </si>
  <si>
    <t>Hopkins, Ashley/W-9551-2019; Gurney, Howard/ABF-6924-2020; McKinnon, Ross/B-9340-2009; Sorich, Michael Joseph/A-1210-2011; Wiese, Michael/A-4743-2011</t>
  </si>
  <si>
    <t>Hopkins, Ashley/0000-0001-7652-4378; Karapetis, Christos/0000-0003-1741-996X; Gurney, Howard/0000-0003-0217-5261; McKinnon, Ross/0000-0002-3725-793X; Kichenadasse, Ganessan/0000-0001-9923-5149; Sorich, Michael Joseph/0000-0003-1999-866X; Wiese, Michael/0000-0002-3255-9242</t>
  </si>
  <si>
    <t>171</t>
  </si>
  <si>
    <t>NATURE PUBLISHING GROUP</t>
  </si>
  <si>
    <t>MACMILLAN BUILDING, 4 CRINAN ST, LONDON N1 9XW, ENGLAND</t>
  </si>
  <si>
    <t>0007-0920</t>
  </si>
  <si>
    <t>1532-1827</t>
  </si>
  <si>
    <t>BRIT J CANCER</t>
  </si>
  <si>
    <t>Br. J. Cancer</t>
  </si>
  <si>
    <t>SEP 26 2017</t>
  </si>
  <si>
    <t>913</t>
  </si>
  <si>
    <t>920</t>
  </si>
  <si>
    <t>10.1038/bjc.2017.274</t>
  </si>
  <si>
    <t>http://dx.doi.org/10.1038/bjc.2017.274</t>
  </si>
  <si>
    <t>FI1RF</t>
  </si>
  <si>
    <t>28950287</t>
  </si>
  <si>
    <t>WOS:000411710900001</t>
  </si>
  <si>
    <t>Robinson, CH; Iyengar, A; Zappitelli, M</t>
  </si>
  <si>
    <t>Acute kidney injury is common in hospitalised children and is associated with poor patient outcomes. Once acute kidney injury occurs, effective therapies to improve patient outcomes or kidney recovery are scarce. Early identification of children at risk of acute kidney injury or at an early injury stage is essential to prevent progression and mitigate complications. Paediatric acute kidney injury is under-recognised by clinicians, which is a barrier to optimisation of inpatient care and follow-up. Acute kidney injury definitions rely on functional biomarkers (ie, serum creatinine and urine output) that are inadequate, since they do not account for biological variability, analytical issues, or physiological responses to volume depletion. Improved predictive tools and diagnostic biomarkers of kidney injury are needed for earlier detection. Novel strategies, including biomarker-guided care algorithms, machine-learning methods, and electronic alerts tied to clinical decision support tools, could improve paediatric acute kidney injury care. Clinical prediction models should be studied in different paediatric populations and acute kidney injury phenotypes. Research is needed to develop and test prevention strategies for acute kidney injury in hospitalised children, including care bundles and therapeutics.</t>
  </si>
  <si>
    <t>Robinson, Cal H.; Iyengar, Arpana; Zappitelli, Michael</t>
  </si>
  <si>
    <t>Zappitelli, M (corresponding author), Hosp Sick Children, Dept Paediat, Div Paediat Nephrol, Toronto, ON M5G 1X8, Canada.</t>
  </si>
  <si>
    <t>michael.zappitelli@sickkids.ca</t>
  </si>
  <si>
    <t>[Robinson, Cal H.; Zappitelli, Michael] Hosp Sick Children, Dept Paediat, Div Paediat Nephrol, Toronto, ON, Canada; [Robinson, Cal H.] Univ Toronto, Inst Hlth Policy Management &amp; Evaluat, Toronto, ON, Canada; [Iyengar, Arpana] St Johns Natl Acad Hlth Sci, Dept Paediat Nephrol, Bangalore, Karnataka, India; [Zappitelli, Michael] Hosp Sick Children, Dept Paediat, Div Paediat Nephrol, Toronto, ON M5G 1X8, Canada</t>
  </si>
  <si>
    <t>University of Toronto; Hospital for Sick Children (SickKids); University of Toronto; St. John's National Academy of Health Sciences; University of Toronto; Hospital for Sick Children (SickKids)</t>
  </si>
  <si>
    <t>Early recognition and prevention of acute kidney injury in hospitalised children</t>
  </si>
  <si>
    <t>LANCET CHILD &amp; ADOLESCENT HEALTH</t>
  </si>
  <si>
    <t>GELATINASE-ASSOCIATED LIPOCALIN; CRITICALLY-ILL CHILDREN; INTENSIVE-CARE-UNIT; RENAL ANGINA INDEX; URINARY BIOMARKERS; SERUM CREATININE; CARDIAC-SURGERY; RISK; AKI; OUTCOMES</t>
  </si>
  <si>
    <t>2352-4642</t>
  </si>
  <si>
    <t>LANCET CHILD ADOLESC</t>
  </si>
  <si>
    <t>Lancet Child. Adolesc. Health</t>
  </si>
  <si>
    <t>657</t>
  </si>
  <si>
    <t>670</t>
  </si>
  <si>
    <t>10.1016/S2352-4642(23)00105-0</t>
  </si>
  <si>
    <t>http://dx.doi.org/10.1016/S2352-4642(23)00105-0</t>
  </si>
  <si>
    <t>R3IE8</t>
  </si>
  <si>
    <t>37453443</t>
  </si>
  <si>
    <t>WOS:001063314500001</t>
  </si>
  <si>
    <t>Choi, HK; Ghobrial, M; Mazzone, PJ</t>
  </si>
  <si>
    <t>Pulmonary nodules are a common clinical problem. The goals of their evaluation are to expedite the diagnosis and treatment of patients with malignant nodules and to minimize testing in patients with benign nodules. The approach to lung nodule evaluation is directed by the probability that the nodule is malignant. Estimation of the probability of malignancy can be performed subjectively with intuition and clinical experience or by using validated probability models that combine patient clinical characteristics with nodule imaging features to estimate a probability of malignancy. The accuracy and the generalizability of probability models depend on the clinical profile and the prevalence of malignancy in the population in which they were derived. In this article, we review available validated models to estimate the probability of malignancy in patients with pulmonary nodules and outline how they were derived, their limitations, and how they compare with each other and physician judgment. We conclude with a brief discussion of advances in probability models.</t>
  </si>
  <si>
    <t>Choi, Humberto K.; Ghobrial, Michael; Mazzone, Peter J.</t>
  </si>
  <si>
    <t>Choi, HK (corresponding author), Cleveland Clin, 9500 Euclid Ave, Cleveland, OH 44195 USA.</t>
  </si>
  <si>
    <t>choih@ccf.org</t>
  </si>
  <si>
    <t>[Choi, Humberto K.; Ghobrial, Michael; Mazzone, Peter J.] Cleveland Clin, Resp Inst, Cleveland, OH 44106 USA</t>
  </si>
  <si>
    <t>Cleveland Clinic Foundation</t>
  </si>
  <si>
    <t>Models to Estimate the Probability of Malignancy in Patients with Pulmonary Nodules</t>
  </si>
  <si>
    <t>ANNALS OF THE AMERICAN THORACIC SOCIETY</t>
  </si>
  <si>
    <t>pulmonary nodule; lung cancer; probability; model</t>
  </si>
  <si>
    <t>MULTICENTER EXTERNAL VALIDATION; CLINICAL-PREDICTION MODEL; LUNG-CANCER; PRETEST PROBABILITY; BAYESIAN-ANALYSIS; RISK; GUIDELINES; MANAGEMENT; LIKELIHOOD; ACCURACY</t>
  </si>
  <si>
    <t>Mazzone, Peter/AAW-5401-2021</t>
  </si>
  <si>
    <t>Choi, Humberto/0000-0001-9494-6056</t>
  </si>
  <si>
    <t>AMER THORACIC SOC</t>
  </si>
  <si>
    <t>25 BROADWAY, 18 FL, NEW YORK, NY 10004 USA</t>
  </si>
  <si>
    <t>2329-6933</t>
  </si>
  <si>
    <t>2325-6621</t>
  </si>
  <si>
    <t>ANN AM THORAC SOC</t>
  </si>
  <si>
    <t>Ann. Am. Thoracic Society</t>
  </si>
  <si>
    <t>1117</t>
  </si>
  <si>
    <t>1126</t>
  </si>
  <si>
    <t>10.1513/AnnalsATS.201803-173CME</t>
  </si>
  <si>
    <t>http://dx.doi.org/10.1513/AnnalsATS.201803-173CME</t>
  </si>
  <si>
    <t>GX7WG</t>
  </si>
  <si>
    <t>30272500</t>
  </si>
  <si>
    <t>WOS:000447989900001</t>
  </si>
  <si>
    <t>Su, WJ; Wang, JJ; Tang, YY</t>
  </si>
  <si>
    <t>Schizophrenia is a severe psychiatric disorder characterized by widespread white matter (WM) alterations, manifesting as neurodevelopmental deficits and dysconnectivity abnormalities. Over the past two decades, studies have focused on the clinical high-risk (CHR) stage of psychosis and have yielded fruitful information on WM abnormalities that exist prior to the full onset of psychosis, shedding light on biological mechanisms underlying psychosis development. This review presents a summary of current findings on cross-sectional and longitudinal WM alterations in individuals with CHR and their links to clinical symptoms and neurocognitive dysfunction. Next, we review the utilization of WM characterization in predicting clinical outcomes. Taken together, the literature suggests the clinical significance of WM characteristics and their great potential in predicting the conversion to psychosis, despite some methodological and conceptual challenges that remain to be addressed in future studies. Future CHR research would greatly benefit from utilizing WM to guide pharmacological and non-pharmacological targeted treatments, optimize clinical prediction models, and enable more accurate clinical care.</t>
  </si>
  <si>
    <t>Su, Wenjun; Wang, Jijun; Tang, Yingying</t>
  </si>
  <si>
    <t>Wang, JJ; Tang, YY (corresponding author), Shanghai Jiao Tong Univ, Shanghai Mental Hlth Ctr, Sch Med, Shanghai Key Lab Psychot Disorders, Shanghai 200030, Peoples R China.; Wang, JJ (corresponding author), Chinese Acad Sci, CAS Ctr Excellence Brain Sci &amp; Intelligence Techno, Shanghai 200031, Peoples R China.; Wang, JJ (corresponding author), Shanghai Jiao Tong Univ, Inst Psychol &amp; Behav Sci, Shanghai 200240, Peoples R China.</t>
  </si>
  <si>
    <t>jijunwang27@163.com; yytang@smhc.org.cn</t>
  </si>
  <si>
    <t>National Nature Science Foundation of China [82171497, 82151314]; National Nature Science Foundation of China; Shanghai Talented Youth Program [20191836]; Shanghai Municipal Education Commission-Gaofeng Clinical Medicine Grant Support</t>
  </si>
  <si>
    <t>National Nature Science Foundation of China (National Natural Science Foundation of China (NSFC)); National Nature Science Foundation of China (National Natural Science Foundation of China (NSFC)); Shanghai Talented Youth Program; Shanghai Municipal Education Commission-Gaofeng Clinical Medicine Grant Support</t>
  </si>
  <si>
    <t>This work was supported by the National Nature Science Foundation of China (82171497, 82151314). Yingying Tang is funded by the Shanghai Talented Youth Program and Shanghai Municipal Education Commission-Gaofeng Clinical Medicine Grant Support (20191836).</t>
  </si>
  <si>
    <t>[Su, Wenjun] NYU Langone Hlth, Dept Psychiat, New York, NY 10016 USA; [Wang, Jijun; Tang, Yingying] Shanghai Jiao Tong Univ, Shanghai Mental Hlth Ctr, Sch Med, Shanghai Key Lab Psychot Disorders, Shanghai 200030, Peoples R China; [Wang, Jijun] Chinese Acad Sci, CAS Ctr Excellence Brain Sci &amp; Intelligence Techno, Shanghai 200031, Peoples R China; [Wang, Jijun] Shanghai Jiao Tong Univ, Inst Psychol &amp; Behav Sci, Shanghai 200240, Peoples R China</t>
  </si>
  <si>
    <t>NYU Langone Medical Center; Shanghai Jiao Tong University; Chinese Academy of Sciences; Shanghai Jiao Tong University</t>
  </si>
  <si>
    <t>A narrative literature review of white matter microstructure in individuals at clinical high risk for psychosis</t>
  </si>
  <si>
    <t>PSYCHORADIOLOGY</t>
  </si>
  <si>
    <t>diffusion tensor imaging; white matter microstructure; clinical high risk for psychosis; cross-sectional alteration; longitudinal development; prediction of transition risk</t>
  </si>
  <si>
    <t>ULTRA-HIGH-RISK; 1ST EPISODE SCHIZOPHRENIA; NEGATIVE SYMPTOMS; DIFFUSION; CONNECTIVITY; 1ST-EPISODE; STATE; ADOLESCENTS; ASSOCIATION; MANAGEMENT</t>
  </si>
  <si>
    <t>2634-4416</t>
  </si>
  <si>
    <t>Psychoradiology</t>
  </si>
  <si>
    <t>kkae031</t>
  </si>
  <si>
    <t>10.1093/psyrad/kkae031</t>
  </si>
  <si>
    <t>http://dx.doi.org/10.1093/psyrad/kkae031</t>
  </si>
  <si>
    <t>Neuroimaging; Psychiatry; Radiology, Nuclear Medicine &amp; Medical Imaging</t>
  </si>
  <si>
    <t>Neurosciences &amp; Neurology; Psychiatry; Radiology, Nuclear Medicine &amp; Medical Imaging</t>
  </si>
  <si>
    <t>2VZ7Q</t>
  </si>
  <si>
    <t>40406529</t>
  </si>
  <si>
    <t>WOS:001492644500001</t>
  </si>
  <si>
    <t>Sullivan, BA; Kausch, SL; Fairchild, KD</t>
  </si>
  <si>
    <t>Artificial intelligence may have a role in the early detection of sepsis in neonates. Machine learning can identify patterns that predict high or increasing risk for clinical deterioration from a sepsis-like illness. In developing this potential addition to NICU care, careful consideration should be given to the data and methods used to develop, validate, and evaluate prediction models. When an AI system alerts clinicians to a change in a patient's condition that warrants a bedside evaluation, human intelligence and experience come into play to determine an appropriate course of action: evaluate and treat or wait and watch closely. With intelligently developed, validated, and implemented AI sepsis systems, both clinicians and patients stand to benefit. Impact This narrative review highlights the application of AI in neonatal sepsis prediction. It describes issues in clinical prediction model development specific to this population. This article reviews the methods, considerations, and literature on neonatal sepsis model development and validation. Challenges of AI technology and potential barriers to using sepsis AI systems in the NICU are discussed.</t>
  </si>
  <si>
    <t>Sullivan, Brynne A.; Kausch, Sherry L.; Fairchild, Karen D.</t>
  </si>
  <si>
    <t>Sullivan, BA (corresponding author), Univ Virginia, Sch Med, Dept Pediat, Charlottesville, VA 22908 USA.</t>
  </si>
  <si>
    <t>bsa4m@virginia.edu</t>
  </si>
  <si>
    <t>Eunice Kennedy Shriver National Institute of Child Health and Human Development [HD072071, HD097254]; Eunice Kennedy Shriver National Institute of Child Health and Human Development [K23HD097254, R01HD072071] Funding Source: NIH RePORTER</t>
  </si>
  <si>
    <t>Eunice Kennedy Shriver National Institute of Child Health and Human Development (United States Department of Health &amp; Human Services, National Institutes of Health (NIH) - USA, NIH Eunice Kennedy Shriver National Institute of Child Health &amp; Human Development (NICHD)); Eunice Kennedy Shriver National Institute of Child Health and Human Development (United States Department of Health &amp; Human Services, National Institutes of Health (NIH) - USA, NIH Eunice Kennedy Shriver National Institute of Child Health &amp; Human Development (NICHD))</t>
  </si>
  <si>
    <t>Eunice Kennedy Shriver National Institute of Child Health and Human Development: K.F.: HD072071 and B.S.A.: HD097254.</t>
  </si>
  <si>
    <t>[Sullivan, Brynne A.; Kausch, Sherry L.; Fairchild, Karen D.] Univ Virginia, Sch Med, Dept Pediat, Charlottesville, VA 22908 USA</t>
  </si>
  <si>
    <t>University of Virginia (UVA) Health System; University of Virginia</t>
  </si>
  <si>
    <t>Artificial and human intelligence for early identification of neonatal sepsis</t>
  </si>
  <si>
    <t>PEDIATRIC RESEARCH</t>
  </si>
  <si>
    <t>BIRTH-WEIGHT INFANTS; LATE-ONSET SEPSIS; HEART-RATE; MATHEMATICAL ALGORITHM; MORTALITY REDUCTION; CROSS-CORRELATION; ANTIBIOTIC USE; VITAL SIGNS; RISK; INFECTION</t>
  </si>
  <si>
    <t>Sullivan, Brynne/MIT-9690-2025</t>
  </si>
  <si>
    <t>0031-3998</t>
  </si>
  <si>
    <t>1530-0447</t>
  </si>
  <si>
    <t>PEDIATR RES</t>
  </si>
  <si>
    <t>Pediatr. Res.</t>
  </si>
  <si>
    <t>356</t>
  </si>
  <si>
    <t>10.1038/s41390-022-02274-7</t>
  </si>
  <si>
    <t>http://dx.doi.org/10.1038/s41390-022-02274-7</t>
  </si>
  <si>
    <t>SEP 2022</t>
  </si>
  <si>
    <t>9E5NG</t>
  </si>
  <si>
    <t>36127407</t>
  </si>
  <si>
    <t>WOS:000855600200002</t>
  </si>
  <si>
    <t>Balakrishnan, M; Loomba, R</t>
  </si>
  <si>
    <t>Assessing for the presence of non-alcoholic steatohepatitis (NASH) and the presence of advanced fibrosis is vital among patients with non-alcoholic fatty liver disease (NAFLD) as each is predictive of disease outcomes. A liver biopsy is the gold standard method for doing so but is impossible to perform among all patients with NAFLD. Reliable methods for noninvasively detecting for the presence of NASH and advanced fibrosis are thus a pressing need. The search for noninvasive tests has been more successful for advanced fibrosis than for NASH. Clinical prediction models and elastography have acceptable accuracy for ruling out advanced fibrosis; when used together, as in a fibrosis prediction algorithm presented in this review, it can avoid the need for liver biopsy among many patients with NAFLD. Several biomarkers for identifying the presence of NASH have been studied but none are sufficiently accurate or validated. Of those studied, the most promising include CK-18 fragments, lipodomic and metabolomics candidates, and magnetic resonance elastography with proton density fat fraction. However, none are ready for clinical use and ultimately large multicenter prospective cohort studies are needed to validate select novel biomarkers.</t>
  </si>
  <si>
    <t>Balakrishnan, Maya; Loomba, Rohit</t>
  </si>
  <si>
    <t>Balakrishnan, M (corresponding author), Baylor Coll Med, Sect Gastroenterol &amp; Hepatol, One Baylor Plaza, Houston, TX 77030 USA.</t>
  </si>
  <si>
    <t>maya.balakrishnan@bcm.edu</t>
  </si>
  <si>
    <t>NIEHS [5P42ES010337]; NCATS [5UL1TR001442]; NIDDK [R01DK106419]; National Center for Advancing Translational Sciences [UL1TR001442] Funding Source: NIH RePORTER; National Institute of Environmental Health Sciences [P42ES010337] Funding Source: NIH RePORTER</t>
  </si>
  <si>
    <t>NIEHS (United States Department of Health &amp; Human Services, National Institutes of Health (NIH) - USA, NIH National Institute of Environmental Health Sciences (NIEHS)); NCATS (United States Department of Health &amp; Human Services, National Institutes of Health (NIH) - USA, NIH National Center for Advancing Translational Sciences (NCATS)); NIDDK (United States Department of Health &amp; Human Services, National Institutes of Health (NIH) - USA, NIH National Institute of Diabetes &amp; Digestive &amp; Kidney Diseases (NIDDK)); National Center for Advancing Translational Sciences (United States Department of Health &amp; Human Services, National Institutes of Health (NIH) - USA, NIH National Center for Advancing Translational Sciences (NCATS)); National Institute of Environmental Health Sciences (United States Department of Health &amp; Human Services, National Institutes of Health (NIH) - USA, NIH National Institute of Environmental Health Sciences (NIEHS))</t>
  </si>
  <si>
    <t>R.L. receives funding support from NIEHS (5P42ES010337), NCATS (5UL1TR001442), and NIDDK (R01DK106419).</t>
  </si>
  <si>
    <t>[Balakrishnan, Maya] Baylor Coll Med, Dept Med, Sect Gastroenterol &amp; Hepatol, Houston, TX 77030 USA; [Loomba, Rohit] NAFLD Res Ctr, Dept Med, La Jolla, CA USA; [Loomba, Rohit] Dept Med, Div Gastroenterol, La Jolla, CA USA</t>
  </si>
  <si>
    <t>The Role of Noninvasive Tests for Differentiating NASH From NAFL and Diagnosing Advanced Fibrosis Among Patients With NAFLD</t>
  </si>
  <si>
    <t>JOURNAL OF CLINICAL GASTROENTEROLOGY</t>
  </si>
  <si>
    <t>elastography; fibrosis; NASH; biomarkers</t>
  </si>
  <si>
    <t>FATTY LIVER-DISEASE; MAGNETIC-RESONANCE ELASTOGRAPHY; NONALCOHOLIC STEATOHEPATITIS; TRANSIENT ELASTOGRAPHY; HISTOLOGIC FEATURES; BIOMARKERS; STEATOSIS; ALT; ADIPONECTIN; STIFFNESS</t>
  </si>
  <si>
    <t>Loomba, Rohit/AAE-7831-2019</t>
  </si>
  <si>
    <t>Loomba, Rohit/0000-0002-4845-9991; Balakrishnan, Maya/0000-0002-5196-7284</t>
  </si>
  <si>
    <t>0192-0790</t>
  </si>
  <si>
    <t>1539-2031</t>
  </si>
  <si>
    <t>J CLIN GASTROENTEROL</t>
  </si>
  <si>
    <t>J. Clin. Gastroenterol.</t>
  </si>
  <si>
    <t>FEB 2020</t>
  </si>
  <si>
    <t>107</t>
  </si>
  <si>
    <t>10.1097/MCG.0000000000001284</t>
  </si>
  <si>
    <t>http://dx.doi.org/10.1097/MCG.0000000000001284</t>
  </si>
  <si>
    <t>KN1FW</t>
  </si>
  <si>
    <t>31789757</t>
  </si>
  <si>
    <t>WOS:000514586300002</t>
  </si>
  <si>
    <t>Naufal, E; Wouthuyzen-Bakker, M; Babazadeh, S; Stevens, J; Choong, PFM; Dowsey, MM</t>
  </si>
  <si>
    <t>The management of periprosthetic joint infection (PJI) generally requires both surgical intervention and targeted antimicrobial therapy. Decisions regarding surgical management-whether it be irrigation and debridement, one-stage revision, or two-stage revision-must take into consideration an array of factors. These include the timing and duration of symptoms, clinical characteristics of the patient, and antimicrobial susceptibilities of the microorganism(s) involved. Moreover, decisions relating to surgical management must consider clinical factors associated with the health of the patient, alongside the patient's preferences. These decisions are further complicated by concerns beyond mere eradication of the infection, such as the level of improvement in quality of life related to management strategies. To better understand the probability of successful surgical treatment of a PJI, several predictive tools have been developed over the past decade. This narrative review provides an overview of available clinical prediction models that aim to guide treatment decisions for patients with periprosthetic joint infection, and highlights key challenges to reliably implementing these tools in clinical practice.</t>
  </si>
  <si>
    <t>Naufal, Elise; Wouthuyzen-Bakker, Marjan; Babazadeh, Sina; Stevens, Jarrad; Choong, Peter F. M.; Dowsey, Michelle M.</t>
  </si>
  <si>
    <t>Naufal, E (corresponding author), Univ Melbourne, St Vincents Hosp Melbourne, Dept Surg, Fitzroy, Vic, Australia.</t>
  </si>
  <si>
    <t>elise.naufal@unimelb.edu.au</t>
  </si>
  <si>
    <t>Australian Commonwealth Government; University of Melbourne Dame Kate Campbell Fellowship; NHMRC Practitioner Fellowship; NHMRC Career Development Fellowship</t>
  </si>
  <si>
    <t>Australian Commonwealth Government (Australian Government); University of Melbourne Dame Kate Campbell Fellowship; NHMRC Practitioner Fellowship (National Health &amp; Medical Research Council (NHMRC) of Australia); NHMRC Career Development Fellowship (National Health &amp; Medical Research Council (NHMRC) of Australia)</t>
  </si>
  <si>
    <t>EN acknowledges the support of the Australian Commonwealth Government through a Research Training Scheme Scholarship and Stipend. PC holds a NHMRC Practitioner Fellowship (APP1154203). MD holds a NHMRC Career Development Fellowship (APP1122526) and University of Melbourne Dame Kate Campbell Fellowship.</t>
  </si>
  <si>
    <t>[Naufal, Elise; Babazadeh, Sina; Stevens, Jarrad; Choong, Peter F. M.; Dowsey, Michelle M.] Univ Melbourne, St Vincents Hosp Melbourne, Dept Surg, Fitzroy, Vic, Australia; [Wouthuyzen-Bakker, Marjan] Univ Groningen, Univ Med Ctr Groningen, Dept Med Microbiol &amp; Infect Prevent, Groningen, Netherlands; [Babazadeh, Sina; Stevens, Jarrad; Choong, Peter F. M.] St Vincents Hosp Melbourne, Dept Orthopaed, Fitzroy, Vic, Australia</t>
  </si>
  <si>
    <t>University of Melbourne; St Vincent's Health; St Vincent's Hospital Melbourne; University of Groningen; St Vincent's Health; St Vincent's Hospital Melbourne</t>
  </si>
  <si>
    <t>Methodological Challenges in Predicting Periprosthetic Joint Infection Treatment Outcomes: A Narrative Review</t>
  </si>
  <si>
    <t>FRONTIERS IN REHABILITATION SCIENCES</t>
  </si>
  <si>
    <t>periprosthetic joint infection (PJI); arthroplasty; risk prediction; prognostic models; predictive models</t>
  </si>
  <si>
    <t>EXTERNAL VALIDATION; PREOPERATIVE PREDICTION; DEBRIDEMENT; MODELS; RISK; ANTIBIOTICS; IRRIGATION; RETENTION; REVISION; ARTHROPLASTY</t>
  </si>
  <si>
    <t>Dowsey, Michelle/J-4162-2012; Choong, Peter/F-1109-2014; Wouthuyzen-Bakker, Marjan/ABH-8646-2020</t>
  </si>
  <si>
    <t>2673-6861</t>
  </si>
  <si>
    <t>FRONT REHABIL SCI</t>
  </si>
  <si>
    <t>Front. Rehabil. Sci.</t>
  </si>
  <si>
    <t>JUL 11 2022</t>
  </si>
  <si>
    <t>824281</t>
  </si>
  <si>
    <t>10.3389/fresc.2022.824281</t>
  </si>
  <si>
    <t>http://dx.doi.org/10.3389/fresc.2022.824281</t>
  </si>
  <si>
    <t>Rehabilitation</t>
  </si>
  <si>
    <t>J3JS2</t>
  </si>
  <si>
    <t>36188976</t>
  </si>
  <si>
    <t>WOS:001008612900001</t>
  </si>
  <si>
    <t>Falini, S; Angelotti, G; Cecconi, M</t>
  </si>
  <si>
    <t>Purpose of review The availability of large datasets and computational power has prompted a revolution in Intensive Care. Data represent a great opportunity for clinical practice, benchmarking, and research. Machine learning algorithms can help predict events in a way the human brain can simply not process. This possibility comes with benefits and risks for the clinician, as finding associations does not mean proving causality. Recent findings Current applications of Data Science still focus on data documentation and visualization, and on basic rules to identify critical lab values. Recently, algorithms have been put in place for prediction of outcomes such as length of stay, mortality, and development of complications. These results have begun being implemented for more efficient allocation of resources and in benchmarking processes, to allow identification of successful practices and margins for improvement. In parallel, machine learning models are increasingly being applied in research to expand medical knowledge. Data have always been part of the work of intensivists, but the current availability has not been completely exploited. The intensive care community has to embrace and guide the data science revolution in order to decline it in favor of patients' care.</t>
  </si>
  <si>
    <t>Falini, Stefano; Angelotti, Giovanni; Cecconi, Maurizio</t>
  </si>
  <si>
    <t>Falini, S (corresponding author), Ist Clin Humanitas, Via Alessandro Manzoni 56, I-20089 Rozzano, Italy.</t>
  </si>
  <si>
    <t>stefano.falini@humanitas.it</t>
  </si>
  <si>
    <t>[Falini, Stefano; Cecconi, Maurizio] Humanitas Clin &amp; Res Ctr, Dept Anesthesia &amp; Intens Care, Rozzano, Italy; [Angelotti, Giovanni] Humanitas Clin &amp; Res Ctr, Data Sci Core Facil, Rozzano, Italy; [Cecconi, Maurizio] Humanitas Univ, Milan, Italy</t>
  </si>
  <si>
    <t>IRCCS Humanitas Research Hospital; IRCCS Humanitas Research Hospital; Humanitas University</t>
  </si>
  <si>
    <t>ICU management based on big data</t>
  </si>
  <si>
    <t>CURRENT OPINION IN ANESTHESIOLOGY</t>
  </si>
  <si>
    <t>benchmarking; big data; clinical prediction model; data science; intensive care medicine</t>
  </si>
  <si>
    <t>CARE; TRIALS; MEDICINE; SEPSIS</t>
  </si>
  <si>
    <t>Cecconi, Maurizio/HDN-8785-2022; Angelotti, Giovanni/HNC-2169-2023</t>
  </si>
  <si>
    <t>Cecconi, Maurizio/0000-0002-4376-6538; Angelotti, Giovanni/0000-0003-3264-2721</t>
  </si>
  <si>
    <t>0952-7907</t>
  </si>
  <si>
    <t>1473-6500</t>
  </si>
  <si>
    <t>CURR OPIN ANESTHESIO</t>
  </si>
  <si>
    <t>Curr. Opin. Anesthesiol.</t>
  </si>
  <si>
    <t>169</t>
  </si>
  <si>
    <t>10.1097/ACO.0000000000000834</t>
  </si>
  <si>
    <t>http://dx.doi.org/10.1097/ACO.0000000000000834</t>
  </si>
  <si>
    <t>Anesthesiology</t>
  </si>
  <si>
    <t>LB6QN</t>
  </si>
  <si>
    <t>32022730</t>
  </si>
  <si>
    <t>WOS:000524758400006</t>
  </si>
  <si>
    <t>Wildes, D; Corley, L; O'Sullivan, D; Selewski, DT; Costigan, C; Awan, A; Quinlan, C; Boyle, MA</t>
  </si>
  <si>
    <t>Aims Acute kidney injury (AKI) affects up to one-third of neonates admitted to neonatal intensive care units (NICUs). NICUs are highly data-rich environments, offering opportunities to develop clinical prediction rules (CPRs) that use clinical and demographic data to estimate AKI risk. We sought to identify and critically appraise existing CPRs for predicting neonatal AKI.Methods A systematic search of PubMed and OVID-MEDLINE was conducted for literature published from 1946 to Q2-2025. Eligible studies reported the development or validation of CPRs for neonatal AKI in NICU populations. The review followed PRISMA guidelines and was prospectively registered with PROSPERO (CRD420250653606). Data extraction followed the CHARMS checklist, and risk of bias was assessed using the PROBAST tool.Results From 685 identified articles, 11 underwent full-text review and three met inclusion criteria. Sample sizes ranged from 276 to 706 participants. One CPR was derived from multi-centre data; two used prospectively collected datasets. The number of predictor variables ranged between 4 and 10. Internal validation methods varied, with those who reported commenting on apparent performance only and none performing external validation. Hosmer-Lemeshow testing and calibration plots were the most commonly used forms of analysis.Conclusions Current CPRs for neonatal AKI show potential but remain underdeveloped and poorly validated. Rigorous research, including external validation prior to integration into clinical workflows, is essential to enable effective early detection of neonatal AKI.</t>
  </si>
  <si>
    <t>Wildes, Dermot; Corley, Lisa; O'Sullivan, Deirdre; Selewski, David T.; Costigan, Caoimhe; Awan, Atif; Quinlan, Catherine; Boyle, Michael A.</t>
  </si>
  <si>
    <t>Wildes, D (corresponding author), RCSI Univ Med &amp; Hlth Sci, Dept Paediat, Dublin, Ireland.; Wildes, D (corresponding author), Rotunda Hosp, Dept Neonatol, Dublin, Ireland.; Wildes, D (corresponding author), Childrens Hlth Ireland, Dept Paediat Nephrol, Dublin, Ireland.</t>
  </si>
  <si>
    <t>dermotwildes@rcsi.com</t>
  </si>
  <si>
    <t>Research Ireland [GOIPG 2024/3145]</t>
  </si>
  <si>
    <t>Research Ireland</t>
  </si>
  <si>
    <t>Dr. Wildes is in receipt of funding from Taighde Eireann-Research Ireland (Grant GOIPG 2024/3145). The funder was not involved in this study at any stage.</t>
  </si>
  <si>
    <t>[Wildes, Dermot; Awan, Atif; Boyle, Michael A.] RCSI Univ Med &amp; Hlth Sci, Dept Paediat, Dublin, Ireland; [Wildes, Dermot; Corley, Lisa; Boyle, Michael A.] Rotunda Hosp, Dept Neonatol, Dublin, Ireland; [Wildes, Dermot; Costigan, Caoimhe; Awan, Atif; Quinlan, Catherine] Childrens Hlth Ireland, Dept Paediat Nephrol, Dublin, Ireland; [O'Sullivan, Deirdre] NHS Fdn Trust, Great Ormond St Hosp Children, Dept Paediat Nephrol, London, England; [Selewski, David T.] Univ Arkansas Med Sci, Little Rock, AR USA</t>
  </si>
  <si>
    <t>University of Arkansas System; University of Arkansas Medical Sciences</t>
  </si>
  <si>
    <t>Clinical Prediction Models for Acute Kidney Injury in Neonatology-A Systematic Review and Modelling Analysis</t>
  </si>
  <si>
    <t>JOURNAL OF PAEDIATRICS AND CHILD HEALTH</t>
  </si>
  <si>
    <t>Wildes, Dermot/HKO-9658-2023; Quinlan, Catherine/AAY-1240-2020</t>
  </si>
  <si>
    <t>Quinlan, Catherine/0000-0003-2746-6903</t>
  </si>
  <si>
    <t>1034-4810</t>
  </si>
  <si>
    <t>1440-1754</t>
  </si>
  <si>
    <t>J PAEDIATR CHILD H</t>
  </si>
  <si>
    <t>J. Paediatr. Child Health</t>
  </si>
  <si>
    <t>10.1111/jpc.70429</t>
  </si>
  <si>
    <t>http://dx.doi.org/10.1111/jpc.70429</t>
  </si>
  <si>
    <t>MAY 2026</t>
  </si>
  <si>
    <t>HQ6JV</t>
  </si>
  <si>
    <t>42108540</t>
  </si>
  <si>
    <t>WOS:001760371100001</t>
  </si>
  <si>
    <t>Atkins, D; Makridis, CA; Alterovitz, G; Ramoni, R; Clancy, C</t>
  </si>
  <si>
    <t>Predicting clinical risk is an important part of healthcare and can inform decisions about treatments, preventive interventions, and provision of extra services. The field of predictive models has been revolutionized over the past two decades by electronic health record data; the ability to link such data with other demographic, socioeconomic, and geographic information; the availability of high-capacity computing; and new machine learning and artificial intelligence methods for extracting insights from complex datasets. These advances have produced a new generation of computerized predictive models, but debate continues about their development, reporting, validation, evaluation, and implementation. In this review we reflect on more than 10 years of experience at the Veterans Health Administration, the largest in-tegrated healthcare system in the United States, in developing, testing, and implementing such models at scale. We report lessons from the implementation of national risk prediction models and suggest an agenda for research.</t>
  </si>
  <si>
    <t>Atkins, David; Makridis, Christos A.; Alterovitz, Gil; Ramoni, Rachel; Clancy, Carolyn</t>
  </si>
  <si>
    <t>Atkins, D (corresponding author), Dept Vet Affairs, Off Res &amp; Dev, Washington, DC 20420 USA.</t>
  </si>
  <si>
    <t>david.atkins@va.gov</t>
  </si>
  <si>
    <t>[Atkins, David; Ramoni, Rachel] Dept Vet Affairs, Off Res &amp; Dev, Washington, DC 20420 USA; [Makridis, Christos A.; Alterovitz, Gil] Dept Vet Affairs, Natl Artificial Intelligence Inst, Washington, DC USA; [Clancy, Carolyn] Dept Vet Affairs, Off Discovery Educ &amp; Affiliate Networks, Washington, DC USA</t>
  </si>
  <si>
    <t>Developing and Implementing Predictive Models in a Learning Healthcare System: Traditional and Artificial Intelligence Approaches in the Veterans Health Administration</t>
  </si>
  <si>
    <t>ANNUAL REVIEW OF BIOMEDICAL DATA SCIENCE</t>
  </si>
  <si>
    <t>clinical prediction models; artificial intelligence; implementation; risk prediction; COVID-19</t>
  </si>
  <si>
    <t>OPIOID SAFETY; RISK; INSIGHTS; AFFAIRS; BIAS; TOOL</t>
  </si>
  <si>
    <t>Makridis, Christos/AAC-2145-2020</t>
  </si>
  <si>
    <t>Makridis, Christos/0000-0002-6547-5897</t>
  </si>
  <si>
    <t>2574-3414</t>
  </si>
  <si>
    <t>ANNU REV BIOMED DA S</t>
  </si>
  <si>
    <t>Annu. Rev. Biomed. Data Sci.</t>
  </si>
  <si>
    <t>393</t>
  </si>
  <si>
    <t>413</t>
  </si>
  <si>
    <t>10.1146/annurev-biodatasci-122220-10053</t>
  </si>
  <si>
    <t>http://dx.doi.org/10.1146/annurev-biodatasci-122220-10053</t>
  </si>
  <si>
    <t>Mathematical &amp; Computational Biology</t>
  </si>
  <si>
    <t>3Z9MS</t>
  </si>
  <si>
    <t>35609894</t>
  </si>
  <si>
    <t>WOS:000844738900018</t>
  </si>
  <si>
    <t>Ebrahimi, R; Rahmani, M; Fallahtafti, P; Ghaseminejad-Raeini, A; Azarboo, A; Jalali, A; Mehrani, M</t>
  </si>
  <si>
    <t>Background: The no-reflow (NRF) phenomenon is the "Achilles heel" of interventionists after performing percutaneous coronary intervention (PCI) in patients with ST-segment elevation myocardial infarction (STEMI). No definitive treatment has been proposed for NRF, and preventive strategies are central to improving care for patients who develop NRF.Objectives: In this study, we aim to investigate the clinical prediction models developed to predict NRF in STEMI patients undergoing primary PCI.Design: Systematic review.Data sources and methods: Preferred Reporting Items for Systematic Reviews and Meta-Analyses (PRISMA) guidelines were observed. Studies that developed clinical prediction modeling for NRF after primary PCI in STEMI patients were included. Data extraction was performed using the Checklist for Critical Appraisal and Data Extraction for Systematic Reviews of Prediction Modeling Studies (CHARMS) checklist. The Prediction Model Risk of Bias Assessment Tool (PROBAST) tool was used for critical appraisal of the included studies.Results: The three most common predictors were age, total ischemic time, and preoperative thrombolysis in myocardial infarction flow grade. Most of the included studies internally validated their developed model via various methods: random split, bootstrapping, and cross-validation. Only three studies (18%) externally validated their model. Six studies (37%) reported a calibration plot with or without the Hosmer-Lemeshow test. The reported area under the curve ranged from 0.648 to 0.925. The most common biases were in the statistical domain.Conclusion: Clinical prediction models aid in individualizing care for STEMI patients with NRF after primary PCI. Of the 16 included studies, we report four to have a low risk of bias and low concern with regard to our research question, which should undergo external validation with or without updating in future studies.Introduction: Heart attacks, or acute myocardial infarctions (MI), are severe consequences of coronary artery disease. One type, ST-segment elevation myocardial infarction (STEMI), requires prompt treatment to restore blood flow and prevent severe complications. The preferred treatment is primary percutaneous coronary intervention (PCI). However, sometimes blood flow remains poor despite successful PCI, a condition known as the no-reflow (NRF) phenomenon, which can lead to worse outcomes.Study Goal: This study reviews and evaluates existing models that predict NRF in STEMI patients undergoing PCI to help doctors identify and prevent this complication.Methods: We systematically searched databases for studies on NRF prediction models in STEMI patients. We included studies that developed these models and evaluated their risk of bias and applicability.Key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limited.Implications: - Clinical Use: Predictive models can help in timely decision-making during PCI. However, current models need more validation and improvement in their design to be widely accepted in clinical practice.- Future Research: More robust, prospective studies are needed, especially in diverse populations, to develop and validate better prediction models.Implications: - Clinical Use: Predictive models can help in timely decision-making during PCI. However, current models need more validation and improvement in their design to be widely accepted in clinical practice. - Future Research: More robust, prospective studies are needed, especially in diverse populations, to develop and validate better prediction models.Conclusion: This review highlights the need for better predictive models for NRF in STEMI patients. Existing models show promise but require further refinement and validation to improve their clinical utility.</t>
  </si>
  <si>
    <t>Ebrahimi, Reza; Rahmani, Mahdi; Fallahtafti, Parisa; Ghaseminejad-Raeini, Amirhossein; Azarboo, Alireza; Jalali, Arash; Mehrani, Mehdi</t>
  </si>
  <si>
    <t>Mehrani, M (corresponding author), Univ Tehran Med Sci, Cardiovasc Dis Res Inst, Tehran Heart Ctr, Tehran 1419733141, Iran.</t>
  </si>
  <si>
    <t>mehdi.mehrani78@gmail.com</t>
  </si>
  <si>
    <t>[Ebrahimi, Reza; Rahmani, Mahdi; Fallahtafti, Parisa; Ghaseminejad-Raeini, Amirhossein; Azarboo, Alireza] Univ Tehran Med Sci, Sch Med, Tehran, Iran; [Fallahtafti, Parisa; Jalali, Arash; Mehrani, Mehdi] Univ Tehran Med Sci, Cardiovasc Dis Res Inst, Tehran Heart Ctr, Tehran 1419733141, Iran</t>
  </si>
  <si>
    <t>Tehran University of Medical Sciences; Tehran University of Medical Sciences</t>
  </si>
  <si>
    <t>Predicting the no-reflow phenomenon in ST-elevation myocardial infarction patients undergoing primary percutaneous coronary intervention: a systematic review of clinical prediction models</t>
  </si>
  <si>
    <t>THERAPEUTIC ADVANCES IN CARDIOVASCULAR DISEASE</t>
  </si>
  <si>
    <t>no-reflow phenomenon; percutaneous coronary intervention; prediction model; STEMI; systematic review</t>
  </si>
  <si>
    <t>SEGMENT ELEVATION; MICROVASCULAR OBSTRUCTION; RISK SCORE; PERFORMANCE; VALIDATION; MANAGEMENT; APPLICABILITY; NOMOGRAM; PROBAST; PLAQUE</t>
  </si>
  <si>
    <t>Azarboo, Alireza/AGC-6975-2022; Mehrani, Mehdi/KHE-2794-2024; Jalali, Arash/JAX-8619-2023; Ghaseminejad-Raeini, Amirhossein/JRY-9307-2023</t>
  </si>
  <si>
    <t>Ebrahimi, Reza/0009-0006-2660-6176; Fallahtafti, Parisa/0009-0002-9618-0108; Ghaseminejad-Raeini, Amirhossein/0000-0002-4322-0236</t>
  </si>
  <si>
    <t>1753-9447</t>
  </si>
  <si>
    <t>1753-9455</t>
  </si>
  <si>
    <t>THER ADV CARDIO DIS</t>
  </si>
  <si>
    <t>Ther. Adv. Cardiovasc. Dis.</t>
  </si>
  <si>
    <t>17539447241290438</t>
  </si>
  <si>
    <t>10.1177/17539447241290438</t>
  </si>
  <si>
    <t>http://dx.doi.org/10.1177/17539447241290438</t>
  </si>
  <si>
    <t>K6I3W</t>
  </si>
  <si>
    <t>39470690</t>
  </si>
  <si>
    <t>WOS:001344888300001</t>
  </si>
  <si>
    <t>Shen, Y; Wu, YL; Qiu, YW; Wu, JX</t>
  </si>
  <si>
    <t>Difficult airway management causes significant anesthesia-related morbidity, yet traditional assessments lack sensitivity (30%-50%) and consistency. This review (2010-2025) examines artificial intelligence (AI) decision models for airway assessment, focusing on performance, limitations, and clinical translation. AI demonstrates significant statistical superiority: facial image analysis achieves 80%-90% sensitivity (vs. Mallampati's 39%), and deep learning models yield a pooled AUC of 0.84. Key techniques include convolutional neural networks, semi-supervised learning, and multimodal integration. Despite high predictive performance, widespread adoption faces fundamental barriers. Current studies are predominantly single-center and retrospective, lacking external validation, algorithmic fairness, standardized outcomes, and proven workflow integration. Furthermore, research heavily favors upper airway evaluation. Thoracic anesthesia, utilizing routine preoperative CTs, offers an immediate pathway for comprehensive whole-airway assessment. Ultimately, bridging the translational gap requires rigorous, prospective multicenter validation demonstrating tangible patient safety improvements, rather than relying solely on algorithmic sophistication.</t>
  </si>
  <si>
    <t>Shen, Yang; Wu, Yulan; Qiu, Yuwei; Wu, Jingxiang</t>
  </si>
  <si>
    <t>Wu, JX (corresponding author), Shanghai Jiao Tong Univ, Sch Med, Shanghai Chest Hosp, Dept Anesthesiol, Shanghai, Peoples R China.</t>
  </si>
  <si>
    <t>wu_jingxiang@sjtu.edu.cn</t>
  </si>
  <si>
    <t>Elite Project of Shanghai Medical Innovation Development Foundation [SMIDF-155-3, RCLX2315002]</t>
  </si>
  <si>
    <t>Elite Project of Shanghai Medical Innovation Development Foundation</t>
  </si>
  <si>
    <t>The author(s) declared that financial support was received for this work and/or its publication. This work was supported by the Elite Project of Shanghai Medical Innovation Development Foundation (SMIDF-155-3) for Yuwei Qiu and the Beijing Huikang Charity Foundation (RCLX2315002) for Jingxiang Wu.</t>
  </si>
  <si>
    <t>[Shen, Yang] Univ Shanghai Sci &amp; Technol, Sch Hlth Sci &amp; Engn, Shanghai, Peoples R China; [Shen, Yang; Wu, Yulan; Qiu, Yuwei; Wu, Jingxiang] Shanghai Jiao Tong Univ, Sch Med, Shanghai Chest Hosp, Dept Anesthesiol, Shanghai, Peoples R China</t>
  </si>
  <si>
    <t>University of Shanghai for Science &amp; Technology; Shanghai Jiao Tong University</t>
  </si>
  <si>
    <t>AI-based decision models for difficult airway assessment: from research innovation to clinical implementation-a narrative review</t>
  </si>
  <si>
    <t>artificial intelligence; clinical prediction models; difficult airway; machine learning; perioperative medicine</t>
  </si>
  <si>
    <t>TRACHEAL INTUBATION; MANAGEMENT; COMPLICATIONS; PREDICTION; ANESTHESIA; FAILURE; COHORT; SCORE</t>
  </si>
  <si>
    <t>Wu, Jingxiang/GON-5965-2022</t>
  </si>
  <si>
    <t>MAY 13 2026</t>
  </si>
  <si>
    <t>1818061</t>
  </si>
  <si>
    <t>10.3389/fmed.2026.1818061</t>
  </si>
  <si>
    <t>http://dx.doi.org/10.3389/fmed.2026.1818061</t>
  </si>
  <si>
    <t>IO9NX</t>
  </si>
  <si>
    <t>42210958</t>
  </si>
  <si>
    <t>WOS:001776864100001</t>
  </si>
  <si>
    <t>Niemarkt, HJ; de Meij, TGJ; van de Velde, ME; van der Schee, MP; van Goudoever, JB; Kramer, BW; Andriessen, P; de Boer, NKH</t>
  </si>
  <si>
    <t>Necrotizing enterocolitis (NEC) remains one of the most frequent gastrointestinal diseases in the neonatal intensive care unit, with a continuing unacceptable high mortality and morbidity rates. Up to 20% to 40% of infants with NEC will need surgical intervention at some point. Although the exact pathophysiology is not yet elucidated, prematurity, use of formula feeding, and an altered intestinal microbiota are supposed to induce an inflammatory response of the immature intestine. The clinical picture of NEC has been well described. However, an early diagnosis and differentiation against sepsis is challenging. Besides, it is difficult to timely identify NEC cases that will deteriorate and need surgical intervention. This may interfere with the most optimal treatment of infants with NEC. In this review, we discuss the pathogenesis, diagnosis, and treatment of NEC with a focus on the role of microbiota in the development of NEC. An overview of different clinical prediction models and biomarkers is given. Some of these are promising tools for accurate diagnosis of NEC and selection of appropriate therapy.</t>
  </si>
  <si>
    <t>Niemarkt, Hendrik J.; de Meij, Tim G. J.; van de Velde, Mirjam E.; van der Schee, Marc P.; van Goudoever, Johannes B.; Kramer, Boris W.; Andriessen, Peter; de Boer, Nanne K. H.</t>
  </si>
  <si>
    <t>de Boer, NKH (corresponding author), Vrije Univ Amsterdam Med Ctr, Dept Gastroenterol &amp; Hepatol, POB 7057, NL-1007 MB Amsterdam, Netherlands.</t>
  </si>
  <si>
    <t>khn.deboer@vumc.nl</t>
  </si>
  <si>
    <t>[Niemarkt, Hendrik J.; Andriessen, Peter] Maxima Med Ctr Veldhoven, Neonatal Intens Care Unit, Veldhoven, Netherlands; [Niemarkt, Hendrik J.; Kramer, Boris W.; Andriessen, Peter] Maastricht Univ, Med Ctr, Dept Pediat, NL-6200 MD Maastricht, Netherlands; [de Meij, Tim G. J.; van de Velde, Mirjam E.] Vrije Univ Amsterdam Med Ctr, Dept Pediat Gastroenterol, NL-1007 MB Amsterdam, Netherlands; [van der Schee, Marc P.] Emma Childrens Hosp, Acad Med Ctr, Dept Pediat Pulmonol, Amsterdam, Netherlands; [van Goudoever, Johannes B.] Vrije Univ Amsterdam Med Ctr, Dept Pediat, NL-1007 MB Amsterdam, Netherlands; [van Goudoever, Johannes B.] Emma Childrens Hosp, Acad Med Ctr, Dept Pediat, Amsterdam, Netherlands; [de Boer, Nanne K. H.] Vrije Univ Amsterdam Med Ctr, Dept Gastroenterol &amp; Hepatol, NL-1007 MB Amsterdam, Netherlands</t>
  </si>
  <si>
    <t>Maxima Medical Center; Maastricht University; Vrije Universiteit Amsterdam; Amsterdam University Medical Center; University of Amsterdam; Emma Children's Hospital; Academic Medical Center Amsterdam; Vrije Universiteit Amsterdam; Amsterdam University Medical Center; University of Amsterdam; Emma Children's Hospital; Academic Medical Center Amsterdam; Vrije Universiteit Amsterdam; Amsterdam University Medical Center</t>
  </si>
  <si>
    <t>Necrotizing Enterocolitis: A Clinical Review on Diagnostic Biomarkers and the Role of the Intestinal Microbiota</t>
  </si>
  <si>
    <t>INFLAMMATORY BOWEL DISEASES</t>
  </si>
  <si>
    <t>necrotizing enterocolitis; review; microbiota; biomarkers; predictive model; volatile organic compounds</t>
  </si>
  <si>
    <t>ACID-BINDING PROTEIN; C-REACTIVE PROTEIN; PERITONEAL DRAINAGE; FECAL CALPROTECTIN; PRETERM INFANTS; NONINVASIVE MEASUREMENT; PREMATURE-INFANTS; FOLLOW-UP; PREDICT; GUT</t>
  </si>
  <si>
    <t>Niemarkt, Hendrik/AAN-5063-2020; de Boer, Nanne/AAE-8731-2022; Kramer, Boris/AAO-3183-2021; van Goudoever, Johannes/Y-4520-2018</t>
  </si>
  <si>
    <t>Niemarkt, Hendrik/0000-0002-0844-7208; Andriessen, Peter/0000-0002-5159-6874; de Boer, Nanne/0000-0001-8357-9887; van Goudoever, Johannes/0000-0003-3960-1703</t>
  </si>
  <si>
    <t>1078-0998</t>
  </si>
  <si>
    <t>1536-4844</t>
  </si>
  <si>
    <t>INFLAMM BOWEL DIS</t>
  </si>
  <si>
    <t>Inflamm. Bowel Dis.</t>
  </si>
  <si>
    <t>FEB 2015</t>
  </si>
  <si>
    <t>436</t>
  </si>
  <si>
    <t>444</t>
  </si>
  <si>
    <t>10.1097/MIB.0000000000000184</t>
  </si>
  <si>
    <t>http://dx.doi.org/10.1097/MIB.0000000000000184</t>
  </si>
  <si>
    <t>CA4WA</t>
  </si>
  <si>
    <t>25268636</t>
  </si>
  <si>
    <t>WOS:000348906200024</t>
  </si>
  <si>
    <t>Yoshino, K; Yoh, T; Taura, K; Seo, S; Ciria, R; Briceño-Delgado, J</t>
  </si>
  <si>
    <t>Background: The aim of this systematic review is to evaluate the current evidence in the context of clinical prediction model for post-hepatectomy liver failure (PHLF). Methods: A systematic search of the English literature for a period from December 2005 to September 2020 was conducted. Primary outcome was defined using the three common PHLF criteria (50-50 criteria, peak bilirubin&gt;7 mg/dl criteria, and &gt; grade B PHLF criteria by the International Study Group of Liver Surgery). Studies that reported the value of area under receiver operative characteristic curve (AUC) for the occurrence of PHLF were included. Results: Twenty eight of 1327 screened articles were eligible for inclusion. Eighteen studies developed the prediction models. The median AUC was found to be 0.79 (0.65-0.933). The parameters related to the amount of future liver remnant volume were most commonly identified as significant predictors for PHLF in statistical analysis (24 studies) and were most frequently incorporated in the prediction models (18 studies). The parameters associated with portal hypertension were significant for predicting PHLF in 16 studies and were adopted in the prediction models in 14 studies. Conclusion: Parameters related to future liver remnant volume and portal hypertension seem to be facilitating in predicting PHLF.</t>
  </si>
  <si>
    <t>Yoshino, Kenji; Yoh, Tomoaki; Taura, Kojiro; Seo, Satoru; Ciria, Ruben; Briceno-Delgado, Javier</t>
  </si>
  <si>
    <t>Taura, K (corresponding author), Kyoto Univ, Grad Sch Med, Dept Surg, Kyoto, Japan.</t>
  </si>
  <si>
    <t>ktaura@kuhp.kyoto-u.ac.jp</t>
  </si>
  <si>
    <t>Grants-in-Aid for Scientific Research [21K16443] Funding Source: KAKEN</t>
  </si>
  <si>
    <t>Grants-in-Aid for Scientific Research (Ministry of Education, Culture, Sports, Science and Technology, Japan (MEXT), Japan Society for the Promotion of Science, Grants-in-Aid for Scientific Research (KAKENHI))</t>
  </si>
  <si>
    <t>[Yoshino, Kenji; Yoh, Tomoaki; Taura, Kojiro; Seo, Satoru] Kyoto Univ, Grad Sch Med, Dept Surg, Kyoto, Japan; [Yoshino, Kenji; Ciria, Ruben; Briceno-Delgado, Javier] Univ Hosp Reina Sofia, Dept Surg, Cordoba, Spain</t>
  </si>
  <si>
    <t>Kyoto University; Hospital Universitario Reina Sofia - Cordoba</t>
  </si>
  <si>
    <t>A systematic review of prediction models for post-hepatectomy liver failure in patients undergoing liver surgery</t>
  </si>
  <si>
    <t>HPB</t>
  </si>
  <si>
    <t>TC-99M-MEBROFENIN HEPATOBILIARY SCINTIGRAPHY; INDOCYANINE GREEN CLEARANCE; HEPATOCELLULAR-CARCINOMA; HEPATIC INSUFFICIENCY; STIFFNESS MEASUREMENT; MAJOR LIVER; RESECTION; REMNANT; SCORE; DISEASE</t>
  </si>
  <si>
    <t>Yoh, Tomoaki/AAD-4872-2022; CIRIA, RUBEN/AAA-3560-2019</t>
  </si>
  <si>
    <t>Yoshino, Kenji/0000-0003-2863-4702; Yoh, Tomoaki/0000-0001-6518-2077; CIRIA, RUBEN/0000-0002-7839-2329</t>
  </si>
  <si>
    <t>1365-182X</t>
  </si>
  <si>
    <t>1477-2574</t>
  </si>
  <si>
    <t>1311</t>
  </si>
  <si>
    <t>1320</t>
  </si>
  <si>
    <t>10.1016/j.hpb.2021.05.002</t>
  </si>
  <si>
    <t>http://dx.doi.org/10.1016/j.hpb.2021.05.002</t>
  </si>
  <si>
    <t>WF7SA</t>
  </si>
  <si>
    <t>34090805</t>
  </si>
  <si>
    <t>WOS:000706500700002</t>
  </si>
  <si>
    <t>Wang, YH; Lin, XF; Sun, DQ</t>
  </si>
  <si>
    <t>Objective: To discover potential predictors and explore how to build better models by summarizing the existing prognostic prediction models of non-small cell lung cancer (NSCLC). Background: Research on clinical prediction models of NSCLC has experienced explosive growth in recent years. As more predictors of prognosis are discovered, the choice of predictors to build models is particularly important, and in the background of more applications of next-generation sequencing technology, gene-related predictors are widely used. As it is more convenient to obtain samples and followup data, the prognostic model is preferred by researchers. Methods: PubMed and the Cochrane Library were searched using the items "NSCLC", "prognostic model", "prognosis prediction", and "survival prediction" from 1 January 1980 to 5 May 2021. Reference lists from articles were reviewed and relevant articles were identified. Conclusions: The performance of gene-related models has not obviously improved. Relative to the innovation and diversity of predictors, it is more important to establish a highly stable model that is convenient for clinical application. Most of the prevalent models are highly biased and referring to PROBAST at the beginning of the study may be able to significantly control the bias. Existing models should be validated in a large external dataset to make a meaningful comparison.</t>
  </si>
  <si>
    <t>Wang, Yuhang; Lin, Xuefeng; Sun, Daqiang</t>
  </si>
  <si>
    <t>Sun, DQ (corresponding author), Tianjin Chest Hosp, Dept Thorac Surg, 261 Taierzhuang South Rd, Tianjin 300222, Peoples R China.</t>
  </si>
  <si>
    <t>sdqmd@163.com</t>
  </si>
  <si>
    <t>Tianjin Science and Technology Bureau [20JCYBJC01350]</t>
  </si>
  <si>
    <t>Tianjin Science and Technology Bureau</t>
  </si>
  <si>
    <t>Natural funding project of Tianjin Science and Technology Bureau (No. 20JCYBJC01350).</t>
  </si>
  <si>
    <t>[Wang, Yuhang; Sun, Daqiang] Tianjin Med Univ, Grad Sch, Tianjin, Peoples R China; [Lin, Xuefeng] Tianjin Med Coll, Tianjin, Peoples R China; [Sun, Daqiang] Nankai Univ, Tianjin Chest Hosp, Dept Thorac Surg, Tianjin, Peoples R China</t>
  </si>
  <si>
    <t>Tianjin Medical University; Tianjin Medical University; Nankai University; Tianjin University</t>
  </si>
  <si>
    <t>A narrative review of prognosis prediction models for non-small cell lung cancer: what kind of predictors should be selected and how to improve models?</t>
  </si>
  <si>
    <t>ANNALS OF TRANSLATIONAL MEDICINE</t>
  </si>
  <si>
    <t>Non-small cell lung cancer (NSCLC); prognosis; prediction model; PROBAST</t>
  </si>
  <si>
    <t>LYMPHOCYTE RATIO NLR; STAGE-I; NEUTROPHIL-LYMPHOCYTE; SIGNATURE PREDICTS; INFLAMMATION INDEX; PERFORMANCE STATUS; DNA METHYLATION; MARITAL-STATUS; EGFR MUTATION; RISK</t>
  </si>
  <si>
    <t>Sun, daqiang/LEM-2104-2024</t>
  </si>
  <si>
    <t>2305-5839</t>
  </si>
  <si>
    <t>2305-5847</t>
  </si>
  <si>
    <t>ANN TRANSL MED</t>
  </si>
  <si>
    <t>ANN. TRANSL. MED.</t>
  </si>
  <si>
    <t>1597</t>
  </si>
  <si>
    <t>10.21037/atm-21-4733</t>
  </si>
  <si>
    <t>http://dx.doi.org/10.21037/atm-21-4733</t>
  </si>
  <si>
    <t>Oncology; Medicine, Research &amp; Experimental</t>
  </si>
  <si>
    <t>Oncology; Research &amp; Experimental Medicine</t>
  </si>
  <si>
    <t>WR7LE</t>
  </si>
  <si>
    <t>34790803</t>
  </si>
  <si>
    <t>WOS:000710740600001</t>
  </si>
  <si>
    <t>Loverdos, K; Fotiadis, A; Kontogianni, C; Iliopoulou, M; Gaga, M</t>
  </si>
  <si>
    <t>In daily clinical practice, radiologists and pulmonologists are faced with incidental radiographic findings of pulmonary nodules. Deciding how to manage these findings is very important as many of them may be benign and require no further action, but others may represent early disease and importantly early-stage lung cancer and require prompt diagnosis and definitive treatment. As the diagnosis of pulmonary nodules includes invasive procedures which can be relatively minimal, such as bronchoscopy or transthoracic aspiration or biopsy, but also more invasive procedures such as thoracic surgical biopsies, and as these procedures are linked to anxiety and to cost, it is important to have clearly defined algorithms for the description, management, and follow-up of these nodules. Clear algorithms for the imaging protocols and the management of positive findings should also exist in lung cancer screening programs, which are already established in the USA and which will hopefully be established worldwide. This article reviews current knowledge on nodule definition, diagnostic evaluation, and management based on literature data and mainly recent guidelines.</t>
  </si>
  <si>
    <t>Loverdos, Konstantinos; Fotiadis, Andreas; Kontogianni, Chrysoula; Iliopoulou, Marianthi; Gaga, Mina</t>
  </si>
  <si>
    <t>Gaga, M (corresponding author), Athens Chest Hosp, Resp Med Dept 7, 152 Mesogion Ave, Athens 11527, Greece.; Gaga, M (corresponding author), Athens Chest Hosp, Asthma Ctr, 152 Mesogion Ave, Athens 11527, Greece.</t>
  </si>
  <si>
    <t>minagaga@yahoo.com</t>
  </si>
  <si>
    <t>[Loverdos, Konstantinos; Fotiadis, Andreas; Kontogianni, Chrysoula; Iliopoulou, Marianthi; Gaga, Mina] Athens Chest Hosp, Resp Med Dept 7, 152 Mesogion Ave, Athens 11527, Greece</t>
  </si>
  <si>
    <t>Lung nodules: A comprehensive review on current approach and management</t>
  </si>
  <si>
    <t>ANNALS OF THORACIC MEDICINE</t>
  </si>
  <si>
    <t>Low-dose computed tomography; lung cancer screening; lung nodule management; lung nodules</t>
  </si>
  <si>
    <t>GROUND-GLASS OPACITY; SOLITARY PULMONARY NODULES; CLINICAL-PREDICTION MODEL; FINE-NEEDLE-ASPIRATION; PART-SOLID NODULES; THIN-SECTION CT; CANCER-RISK; COMPUTED-TOMOGRAPHY; PIPE SMOKING; FOLLOW-UP</t>
  </si>
  <si>
    <t>Loverdos, Konstantinos/LOR-0295-2024; Gaga, Mina/AAP-8348-2020</t>
  </si>
  <si>
    <t>Loverdos, Konstantinos/0000-0003-2438-3192; Kontogianni, Chrysoula/0000-0003-4588-6661</t>
  </si>
  <si>
    <t>135</t>
  </si>
  <si>
    <t>174</t>
  </si>
  <si>
    <t>WOLTERS KLUWER MEDKNOW PUBLICATIONS</t>
  </si>
  <si>
    <t>Pune</t>
  </si>
  <si>
    <t>Wolters Kluwer India Private LTD, Smartworks, Marisoft, Wing -C, Wadgaon Sheri, Kalyani Nagar Annex, Pune, Maharashtra, INDIA</t>
  </si>
  <si>
    <t>1817-1737</t>
  </si>
  <si>
    <t>1998-3557</t>
  </si>
  <si>
    <t>ANN THORAC MED</t>
  </si>
  <si>
    <t>Ann. Thorac. Med.</t>
  </si>
  <si>
    <t>238</t>
  </si>
  <si>
    <t>10.4103/atm.ATM_110_19</t>
  </si>
  <si>
    <t>http://dx.doi.org/10.4103/atm.ATM_110_19</t>
  </si>
  <si>
    <t>Cardiac &amp; Cardiovascular Systems; Respiratory System</t>
  </si>
  <si>
    <t>Cardiovascular System &amp; Cardiology; Respiratory System</t>
  </si>
  <si>
    <t>JU6XH</t>
  </si>
  <si>
    <t>31620206</t>
  </si>
  <si>
    <t>WOS:000501816700002</t>
  </si>
  <si>
    <t>Chen, JJ; Lee, TH; Lee, CC; Chang, CH</t>
  </si>
  <si>
    <t>Introduction: Human lipocalin-2, known as neutrophil gelatinase-associated lipocalin (NGAL), is a widely studied biomarker of acute kidney injury (AKI).Areas covered: NGAL can serve as a predictor of AKI, disease progression, and mortality and can help in differentiating between AKI etiologies. We conducted a systematic review in the PubMed and Medline databases involving the clinical application of NGAL in patients with AKI.Expert opinion: In this review, we explored the usefulness of NGAL for AKI or clinical outcome prediction. The use of urine or blood NGAL levels alone or in combination with a clinical prediction model may facilitate AKI prediction, severity prediction, AKI etiological differentiation, and mortality prediction. For AKI prediction, urine and plasma NGAL levels have an area under the curve (AUC) ranging from 0.71 to 0.90 and from 0.71 to 0.89, respectively, in different populations. The diagnostic performance of NGAL alone for renal replacement therapy or successful discontinuation prediction is suboptimal (AUC range: 0.65-0.81). Sepsis limits the application of NGAL as a clinical predictor, and the prediction performance of NGAL is affected by baseline renal function, timing of sample collection, and underlying comorbidities. The lack of internationally approved reference material also limits the usefulness of NGAL.</t>
  </si>
  <si>
    <t>Chen, Jia-Jin; Lee, Tao-Han; Lee, Cheng-Chia; Chang, Chih-Hsiang</t>
  </si>
  <si>
    <t>Chang, CH (corresponding author), Linkou Chang Gung Mem Hosp, Kidney Res Ctr, Dept Nephrol, Taipei, Taiwan.</t>
  </si>
  <si>
    <t>franwisandsun@gmail.com</t>
  </si>
  <si>
    <t>Ministry of Science and Technology, Taiwan [106-2314-B-182A-118-MY3, 109-2314-B-182A-124]</t>
  </si>
  <si>
    <t>Ministry of Science and Technology, Taiwan (National Science &amp; Technology Council (NSTC) Taiwan)</t>
  </si>
  <si>
    <t>This research was supported by the Ministry of Science and Technology, Taiwan (106-2314-B-182A-118-MY3 and 109-2314-B-182A-124).</t>
  </si>
  <si>
    <t>[Chen, Jia-Jin; Lee, Tao-Han; Lee, Cheng-Chia; Chang, Chih-Hsiang] Chang Gung Mem Hosp, Dept Nephrol, Taipei, Taiwan; [Lee, Cheng-Chia; Chang, Chih-Hsiang] Chang Gung Mem Hosp, Kidney Res Ctr, Dept Nephrol, Taipei, Taiwan</t>
  </si>
  <si>
    <t>Chang Gung Memorial Hospital; Chang Gung Memorial Hospital</t>
  </si>
  <si>
    <t>Using lipocalin as a prognostic biomarker in acute kidney injury</t>
  </si>
  <si>
    <t>EXPERT REVIEW OF MOLECULAR DIAGNOSTICS</t>
  </si>
  <si>
    <t>Acute kidney disease; lipocalin; prognosis; mortality; renal replacement therapy</t>
  </si>
  <si>
    <t>GELATINASE-ASSOCIATED LIPOCALIN; RENAL REPLACEMENT THERAPY; URINARY BIOMARKERS; CARDIAC-SURGERY; CRITICALLY-ILL; NGAL; PERFORMANCE; DEFINITION; CREATININE; PLASMA</t>
  </si>
  <si>
    <t>Chen, Jia-Jin/AAX-2147-2021; Lee, Tao Han/KWT-9328-2024; Chang, Jason/P-8662-2017</t>
  </si>
  <si>
    <t>Lee, Cheng-Chia/0000-0002-6973-5908; Chen, Jia-Jin/0000-0001-9508-5956; Lee, Tao Han/0000-0003-3650-7236</t>
  </si>
  <si>
    <t>1473-7159</t>
  </si>
  <si>
    <t>1744-8352</t>
  </si>
  <si>
    <t>EXPERT REV MOL DIAGN</t>
  </si>
  <si>
    <t>Expert Rev. Mol. Diagn.</t>
  </si>
  <si>
    <t>MAY 4 2021</t>
  </si>
  <si>
    <t>455</t>
  </si>
  <si>
    <t>464</t>
  </si>
  <si>
    <t>10.1080/14737159.2021.1917384</t>
  </si>
  <si>
    <t>http://dx.doi.org/10.1080/14737159.2021.1917384</t>
  </si>
  <si>
    <t>ST8PB</t>
  </si>
  <si>
    <t>33874823</t>
  </si>
  <si>
    <t>WOS:000641516900001</t>
  </si>
  <si>
    <t>Kadatz, MJ; Lee, ES; Levin, A</t>
  </si>
  <si>
    <t>Predicting outcomes to guide clinical care, decision making, and resource allocation is a challenging undertaking in chronic kidney disease (CKD). Many prediction models have been developed, but few have been appropriately externally validated and even fewer have been assessed to be usable in the clinical setting. This contributes to the currently infrequent use of existing prediction models. Patients with CKD are a particularly heterogeneous group with significant biological variability, making the development of useful prediction models even more challenging. This article explores the different challenges in the development, validation, and application of prediction models in CKD. We explore the notion that newer biomarkers offer potential for enhancing existing and future prediction models and that modern technology is an opportunity to make prediction models more accessible and less cumbersome to use in clinical practice. Despite the challenges associated with their development and implementation, clinical prediction models have the potential to be a powerful tool for clinicians, researchers, and policy makers alike. (C) 2016 by the National Kidney Foundation, Inc.</t>
  </si>
  <si>
    <t>Kadatz, Matthew James; Lee, Elizabeth Sunmin; Levin, Adeera</t>
  </si>
  <si>
    <t>Levin, A (corresponding author), Univ British Columbia, 1081 Burrard St,Rm 6010A, Vancouver, BC V6Z 1Y6, Canada.</t>
  </si>
  <si>
    <t>alevin@providencehealth.bc.ca</t>
  </si>
  <si>
    <t>[Kadatz, Matthew James; Lee, Elizabeth Sunmin; Levin, Adeera] Univ British Columbia, Div Nephrol, Vancouver, BC V6Z 1Y6, Canada</t>
  </si>
  <si>
    <t>University of British Columbia</t>
  </si>
  <si>
    <t>Predicting Progression in CKD: Perspectives and Precautions</t>
  </si>
  <si>
    <t>AMERICAN JOURNAL OF KIDNEY DISEASES</t>
  </si>
  <si>
    <t>Prediction models; risk prediction tool; risk calculator; risk equation; validity; usefulness; decision making; chronic kidney disease (CKD); biomarkers; outcomes; disease progression; prognosis; review</t>
  </si>
  <si>
    <t>CHRONIC KIDNEY-DISEASE; RISK PREDICTION; CARDIOVASCULAR EVENTS; RENAL-DISEASE; MODELS; DESIGN; COHORT; OUTCOMES; STRATIFICATION; NEPHROPATHY</t>
  </si>
  <si>
    <t>0272-6386</t>
  </si>
  <si>
    <t>1523-6838</t>
  </si>
  <si>
    <t>AM J KIDNEY DIS</t>
  </si>
  <si>
    <t>Am. J. Kidney Dis.</t>
  </si>
  <si>
    <t>779</t>
  </si>
  <si>
    <t>786</t>
  </si>
  <si>
    <t>10.1053/j.ajkd.2015.11.007</t>
  </si>
  <si>
    <t>http://dx.doi.org/10.1053/j.ajkd.2015.11.007</t>
  </si>
  <si>
    <t>Urology &amp; Nephrology</t>
  </si>
  <si>
    <t>DK3WZ</t>
  </si>
  <si>
    <t>26725311</t>
  </si>
  <si>
    <t>WOS:000374849400417</t>
  </si>
  <si>
    <t>Ng, O; Gunasekera, S; Varcoe, R; Thomas, S; Barber, T</t>
  </si>
  <si>
    <t>The arteriovenous fistula (AVF) is the optimal form of vascular access for end-stage renal failure patients requiring haemodialysis. However, AVFs can fail to mature into a useable conduit or develop recurrent stenoses that result in high surgical re-intervention rates to maintain patency. Here, we performed a narrative review of literature on methods of AVF failure identification such as clinical prediction models, shear stress metrics characterisation with 0D, 1D and 3D computational models and blood flow sound frequency. Clinical risk factors identified by a clinical scoring system fail to predict ongoing AVF status and patency rate. The pulse wave propagation model, although showed positive prospect to support surgical planning, has limited ability in blood flow volume prediction in the anastomotic region. Shear stress metrics were one of the most common indicators to understand flow behaviours in AVF. While transverse wall shear stress seemed promising in characterising multidirectional flow in an AVF, no definitive correlations between shear stress metrics and disease initialisation have been reported. We conclude that further assessment is required to develop a clinical diagnostic marker for AVF failure prediction as no definitive prediction indicator was proposed even though there is an apparent impact of haemodynamic factors in AVF failure.</t>
  </si>
  <si>
    <t>Ng, Olivia; Gunasekera, Sanjiv; Varcoe, Ramon; Thomas, Shannon; Barber, Tracie</t>
  </si>
  <si>
    <t>Ng, O (corresponding author), Univ New South Wales, Sch Mech &amp; Mfg Engn, Sydney, NSW 2052, Australia.</t>
  </si>
  <si>
    <t>olivia.ng@unsw.edu.au</t>
  </si>
  <si>
    <t>Australia Government Research Training Programme</t>
  </si>
  <si>
    <t>The authors would like to express their gratitude for the support provided by the Australia Government Research Training Programme.</t>
  </si>
  <si>
    <t>[Ng, Olivia; Gunasekera, Sanjiv; Barber, Tracie] Univ New South Wales, Sch Mech &amp; Mfg Engn, Sydney, NSW 2052, Australia; [Varcoe, Ramon; Thomas, Shannon] Univ New South Wales, Sch Med, Sydney, NSW, Australia; [Varcoe, Ramon; Thomas, Shannon] Prince Wales Hosp, Dept Vasc Surg, Sydney, NSW, Australia</t>
  </si>
  <si>
    <t>University of New South Wales Sydney; University of New South Wales Sydney; University of New South Wales Sydney; Prince of Wales Hospital (POWH)</t>
  </si>
  <si>
    <t>A review of the predictive methods for arteriovenous fistula (AVF) failure identification</t>
  </si>
  <si>
    <t>COMPUTER METHODS IN BIOMECHANICS AND BIOMEDICAL ENGINEERING-IMAGING AND VISUALIZATION</t>
  </si>
  <si>
    <t>Arteriovenous fistula (AVF) failure; predictive method; vascular access</t>
  </si>
  <si>
    <t>WALL SHEAR-STRESS; PRIMARY FUNCTIONAL MATURATION; CONGENITAL HEART-DISEASE; WAVE PROPAGATION MODEL; VASCULAR ACCESS; BLOOD-FLOW; DISTURBED FLOW; ATHEROSCLEROTIC PLAQUE; HEMODIALYSIS-PATIENTS; MOLECULAR-MECHANISMS</t>
  </si>
  <si>
    <t>Thomas, Shannon Dean/X-2475-2019; Barber, Tracie/AAW-2342-2021; Ng, Olivia/MFJ-4452-2025; Varcoe, Ramon/AAI-1163-2019</t>
  </si>
  <si>
    <t>Thomas, Shannon Dean/0000-0001-8717-4406; Gunasekera, Sanjiv/0000-0002-0048-4119; Barber, Tracie/0000-0002-6574-8074; Ng, Olivia/0000-0001-7573-3725; Varcoe, Ramon/0000-0001-5611-6991</t>
  </si>
  <si>
    <t>2168-1163</t>
  </si>
  <si>
    <t>2168-1171</t>
  </si>
  <si>
    <t>COMP M BIO BIO E-IV</t>
  </si>
  <si>
    <t>Comp. Meth. Biomech. Biomed. Eng.</t>
  </si>
  <si>
    <t>MAY 4 2023</t>
  </si>
  <si>
    <t>452</t>
  </si>
  <si>
    <t>10.1080/21681163.2022.2074545</t>
  </si>
  <si>
    <t>http://dx.doi.org/10.1080/21681163.2022.2074545</t>
  </si>
  <si>
    <t>MAY 2022</t>
  </si>
  <si>
    <t>Engineering, Biomedical</t>
  </si>
  <si>
    <t>H0YB7</t>
  </si>
  <si>
    <t>WOS:000797433600001</t>
  </si>
  <si>
    <t>He, T; Liu, X; Xu, NN; Li, Y; Wu, QY; Liu, ML; Yuan, H</t>
  </si>
  <si>
    <t>A comprehensive search of PubMed and Embase was performed in January 2015 to examine the available literature on validated diagnostic models of the pre-test probability of stable coronary artery disease and to describe the characteristics of the models. Studies that were designed to develop and validate diagnostic models of pre-test probability for stable coronary artery disease were included. Data regarding baseline patient characteristics, procedural characteristics, modeling methods, metrics of model performance, risk of bias, and clinical usefulness were extracted. Ten studies involving the development of 12 models and two studies focusing on external validation were identified. Seven models were validated internally, and seven models were validated externally. Discrimination varied between studies that were validated internally (C statistic 0.66-0.81) and externally (0.49-0.87). Only one study presented reclassification indices. The majority of better performing models included sex, age, symptoms, diabetes, smoking, and hyperlipidemia as variables. Only two diagnostic models evaluated the effects on clinical decision making processes or patient outcomes. Most diagnostic models of the pre-test probability of stable coronary artery disease have had modest success, and very few present data regarding the effects of these models on clinical decision making processes or patient outcomes.</t>
  </si>
  <si>
    <t>He, Ting; Liu, Xing; Xu, Nana; Li, Ying; Wu, Qiaoyu; Liu, Meilin; Yuan, Hong</t>
  </si>
  <si>
    <t>Yuan, H (corresponding author), Cent South Univ, Xiangya Hosp 3, Dept Cardiol, Changsha 410013, Hunan, Peoples R China.; Yuan, H (corresponding author), Cent South Univ, Xiangya Hosp 3, Ctr Clin Pharmacol, Changsha 410013, Hunan, Peoples R China.</t>
  </si>
  <si>
    <t>yuanhongxy3@163.com</t>
  </si>
  <si>
    <t>Fundamental Research Funds of Central South University [2016zzts565]; National Science Foundation of China [81273594]; National Key Technology RD Program [2012BAI37B05]</t>
  </si>
  <si>
    <t>Fundamental Research Funds of Central South University; National Science Foundation of China (National Natural Science Foundation of China (NSFC)); National Key Technology RD Program</t>
  </si>
  <si>
    <t>This study was supported by the Fundamental Research Funds of Central South University (no. 2016zzts565), the National Science Foundation of China (no. 81273594), and the National Key Technology R&amp;D Program (no. 2012BAI37B05).</t>
  </si>
  <si>
    <t>[He, Ting; Liu, Xing; Wu, Qiaoyu; Yuan, Hong] Cent South Univ, Xiangya Hosp 3, Dept Cardiol, Changsha 410013, Hunan, Peoples R China; [Xu, Nana; Li, Ying; Yuan, Hong] Cent South Univ, Xiangya Hosp 3, Ctr Clin Pharmacol, Changsha 410013, Hunan, Peoples R China; [Liu, Meilin] Beijing Univ, Hosp 1, Dept Gerontol, Beijing, Peoples R China</t>
  </si>
  <si>
    <t>Central South University; Central South University; Peking University</t>
  </si>
  <si>
    <t>Diagnostic models of the pre-test probability of stable coronary artery disease: A systematic review</t>
  </si>
  <si>
    <t>CLINICS</t>
  </si>
  <si>
    <t>Coronary Artery Disease; Risk Assessment; Pre-Test Probability; Systematic Review; Diagnosis</t>
  </si>
  <si>
    <t>CLINICAL-PREDICTION MODELS; CHEST-PAIN; SYMPTOMATIC WOMEN; RISK; VALIDATION; MANAGEMENT; GUIDELINE; SCORE</t>
  </si>
  <si>
    <t>Liu, Meilin/0000-0002-5188-0242</t>
  </si>
  <si>
    <t>ELSEVIER ESPANA</t>
  </si>
  <si>
    <t>MADRID</t>
  </si>
  <si>
    <t>CALLE DE ZURBANO, 76-4TH FLR LEFT, MADRID, 28010, SPAIN</t>
  </si>
  <si>
    <t>1807-5932</t>
  </si>
  <si>
    <t>1980-5322</t>
  </si>
  <si>
    <t>Clinics</t>
  </si>
  <si>
    <t>MAR 2017</t>
  </si>
  <si>
    <t>72</t>
  </si>
  <si>
    <t>188</t>
  </si>
  <si>
    <t>10.6061/clinics/2017(03)10</t>
  </si>
  <si>
    <t>http://dx.doi.org/10.6061/clinics/2017(03)10</t>
  </si>
  <si>
    <t>EQ2CC</t>
  </si>
  <si>
    <t>28355366</t>
  </si>
  <si>
    <t>WOS:000397874900010</t>
  </si>
  <si>
    <t>Liang, CL; Liu, L; Zhong, JX</t>
  </si>
  <si>
    <t>Background: Retinal vein occlusion (RVO) is a leading cause of visual impairment on a global scale. Its pathological mechanisms involve a complex interplay of vascular obstruction, ischemia, and secondary inflammatory responses. Recent interdisciplinary advances, underpinned by the integration of multimodal data, have established a new paradigm for unraveling the pathophysiological mechanisms of RVO, enabling early diagnosis and personalized treatment strategies. Main text: This review critically synthesizes recent progress at the intersection of machine learning, bioinformatics, and clinical medicine, focusing on developing predictive models and deep analysis, exploring molecular mechanisms, and identifying markers associated with RVO. By bridging technological innovation with clinical needs, this review underscores the potential of data-driven strategies to advance RVO research and optimize patient care. Conclusions: Machine learning-bioinformatics integration has revolutionised RVO research through predictive modelling and mechanistic insights, particularly via deep learning-enhanced retinal imaging and multi-omics networks. Despite progress, clinical translation requires resolving data standardisation inconsistencies and model generalizability limitations. Establishing multicentre validation frameworks and interpretable AI tools, coupled with patient-focused data platforms through cross-disciplinary collaboration, could enable precision interventions to optimally preserve vision.</t>
  </si>
  <si>
    <t>Liang, Chunlan; Liu, Lian; Zhong, Jingxiang</t>
  </si>
  <si>
    <t>Zhong, JX (corresponding author), Jinan Univ, Dept Ophthalmol, Affiliated Hosp 1, Guangzhou, Peoples R China.</t>
  </si>
  <si>
    <t>zjx85221206@126.com</t>
  </si>
  <si>
    <t>National Natural Science Foundation of China [82271094]</t>
  </si>
  <si>
    <t>National Natural Science Foundation of China (National Natural Science Foundation of China (NSFC))</t>
  </si>
  <si>
    <t>This work was supported by the National Natural Science Foundation of China (82271094 to J.Z.) .</t>
  </si>
  <si>
    <t>[Liang, Chunlan; Liu, Lian; Zhong, Jingxiang] Jinan Univ, Dept Ophthalmol, Affiliated Hosp 1, Guangzhou, Peoples R China</t>
  </si>
  <si>
    <t>Jinan University</t>
  </si>
  <si>
    <t>Multimodal data-driven approaches in retinal vein occlusion: A narrative review integrating machine learning and bioinformatics</t>
  </si>
  <si>
    <t>ADVANCES IN OPHTHALMOLOGY PRACTICE AND RESEARCH</t>
  </si>
  <si>
    <t>Bioinformatics; Clinical prediction models; Deep learning; Markers; Multimodal data; Machine learning; Retinal vein occlusion</t>
  </si>
  <si>
    <t>ENDOTHELIAL GROWTH-FACTOR; OPTICAL COHERENCE TOMOGRAPHY; MACULAR EDEMA; ARTIFICIAL-INTELLIGENCE; HIGH GLUCOSE; ASSOCIATION; CYTOKINES; MMP-9; EYES; HOMOCYSTEINE</t>
  </si>
  <si>
    <t>Chunlan, Liang/0000-0003-1469-1992</t>
  </si>
  <si>
    <t>2667-3762</t>
  </si>
  <si>
    <t>ADV OPHTHALMOL PRACT</t>
  </si>
  <si>
    <t>Adv. Ophthalmol Pract. Res.</t>
  </si>
  <si>
    <t>NOV-DEC 2025</t>
  </si>
  <si>
    <t>235</t>
  </si>
  <si>
    <t>244</t>
  </si>
  <si>
    <t>10.1016/j.aopr.2025.07.002</t>
  </si>
  <si>
    <t>http://dx.doi.org/10.1016/j.aopr.2025.07.002</t>
  </si>
  <si>
    <t>Ophthalmology</t>
  </si>
  <si>
    <t>6TB6X</t>
  </si>
  <si>
    <t>40893475</t>
  </si>
  <si>
    <t>WOS:001561353800001</t>
  </si>
  <si>
    <t>dos Santos, AL; Pinhati, C; Perdigao, J; Galante, S; Silva, L; Veloso, I; Silva, ACS; Oliveira, EA</t>
  </si>
  <si>
    <t>Background and objectives: We aimed to analyze the study designs, modeling approaches, and performance evaluation metrics in studies using machine learning techniques to develop clinical prediction models for children and adolescents with COVID-19. Methods: We searched four databases for articles published between 01/01/2020 and 10/25/2023, describing the development of multivariable prediction models using any machine learning technique for predicting several outcomes in children and adolescents who had COVID-19. Results: We included ten articles, six (60 % [95 % confidence interval (CI) 0.31 - 0.83]) were predictive diagnostic models and four (40% [95 % CI 0.170.69]) were prognostic models. All models were developed to predict a binary outcome (n= 10/10, 100 % [95 % CI 0.72-1]). The most frequently predicted outcome was disease detection (n=3/10, 30% [95 % CI 0.11-0.60]). The most commonly used machine learning models in the studies were tree -based (n=12/33, 36.3% [95 % CI 0.170.47]) and neural networks (n=9/27, 33.2% [95% CI 0.15-0.44]). Conclusion: Our review revealed that attention is required to address problems including small sample sizes, inconsistent reporting practices on data preparation, biases in data sources, lack of reporting metrics such as calibration and discrimination, hyperparameters and other aspects that allow reproducibility by other researchers and might improve the methodology.</t>
  </si>
  <si>
    <t>dos Santos, Adriano Lages; Pinhati, Clara; Perdigao, Jonathan; Galante, Stella; Silva, Ludmilla; Veloso, Isadora; Silva, Ana Cristina Simoes; Oliveira, Eduardo Araujo</t>
  </si>
  <si>
    <t>dos Santos, AL (corresponding author), Fed Univ Minas Gerais UFMG, Sch Med, Dept Pediat, Hlth Sci Postgrad Program, Belo Horizonte, Brazil.</t>
  </si>
  <si>
    <t>adriano.santos@ifmg.edu.br</t>
  </si>
  <si>
    <t>State Research Foundation- FAPEMIG, Minas Gerais, Brazil; National Council for Scientific and Technological Development-CNPq, Brazil; Coordination for the Improvement of Higher Education Personnel; CAPES, Brazil</t>
  </si>
  <si>
    <t>State Research Foundation- FAPEMIG, Minas Gerais, Brazil; National Council for Scientific and Technological Development-CNPq, Brazil (Conselho Nacional de Desenvolvimento Cientifico e Tecnologico (CNPQ), Fundacao de Apoio a Pesquisa do Distrito Federal (FAPDF)); Coordination for the Improvement of Higher Education Personnel; CAPES, Brazil (Coordenacao de Aperfeicoamento de Pessoal de Nivel Superior (CAPES))</t>
  </si>
  <si>
    <t>The authors would like to thank State Research Foundation- FAPEMIG, Minas Gerais, Brazil, the National Council for Scientific and Technological Development-CNPq, Brazil, and the Coordination for the Improvement of Higher Education Personnel, CAPES, Brazil.</t>
  </si>
  <si>
    <t>[dos Santos, Adriano Lages; Pinhati, Clara; Perdigao, Jonathan; Galante, Stella; Silva, Ludmilla; Veloso, Isadora; Silva, Ana Cristina Simoes; Oliveira, Eduardo Araujo] Fed Univ Minas Gerais UFMG, Sch Med, Dept Pediat, Hlth Sci Postgrad Program, Belo Horizonte, Brazil; [dos Santos, Adriano Lages] Fed Inst Educ Sci &amp; Technol Minas Gerais IFMG, Belo Horizonte, MG, Brazil</t>
  </si>
  <si>
    <t>Universidade Federal de Minas Gerais; Instituto Federal de Educacao, Ciencia e Tecnologia de Minas Gerais (IFMG)</t>
  </si>
  <si>
    <t>Machine learning algorithms to predict outcomes in children and adolescents with COVID-19: A systematic review</t>
  </si>
  <si>
    <t>ARTIFICIAL INTELLIGENCE IN MEDICINE</t>
  </si>
  <si>
    <t>MODELS; RISK; VALIDATION</t>
  </si>
  <si>
    <t>Lages dos Santos, Adriano/V-3496-2018; Simões e Silva, Ana Cristina/A-4409-2013</t>
  </si>
  <si>
    <t>Lages dos Santos, Adriano/0000-0003-2351-9561</t>
  </si>
  <si>
    <t>0933-3657</t>
  </si>
  <si>
    <t>1873-2860</t>
  </si>
  <si>
    <t>ARTIF INTELL MED</t>
  </si>
  <si>
    <t>Artif. Intell. Med.</t>
  </si>
  <si>
    <t>150</t>
  </si>
  <si>
    <t>102824</t>
  </si>
  <si>
    <t>10.1016/j.artmed.2024.102824</t>
  </si>
  <si>
    <t>http://dx.doi.org/10.1016/j.artmed.2024.102824</t>
  </si>
  <si>
    <t>FEB 2024</t>
  </si>
  <si>
    <t>Computer Science, Artificial Intelligence; Engineering, Biomedical; Medical Informatics</t>
  </si>
  <si>
    <t>Computer Science; Engineering; Medical Informatics</t>
  </si>
  <si>
    <t>MS9G4</t>
  </si>
  <si>
    <t>38553164</t>
  </si>
  <si>
    <t>WOS:001195736000001</t>
  </si>
  <si>
    <t>Kurgan, N; Larsen, JK; Deshmukh, AS</t>
  </si>
  <si>
    <t>Precision diabetes medicine (PDM) aims to reduce errors in prevention programmes, diagnosis thresholds, prognosis prediction and treatment strategies. However, its advancement and implementation are difficult due to the heterogeneity of complex molecular processes and environmental exposures that influence an individual's disease trajectory. To address this challenge, it is imperative to develop robust screening methods for all areas of PDM. Innovative proteomic technologies, alongside genomics, have proven effective in precision cancer medicine and are showing promise in diabetes research for potential translation. This narrative review highlights how proteomics is well-positioned to help improve PDM. Specifically, a critical assessment of widely adopted affinity-based proteomic technologies in large-scale clinical studies and evidence of the benefits and feasibility of using MS-based plasma proteomics is presented. We also present a case for the use of proteomics to identify predictive protein panels for type 2 diabetes subtyping and the development of clinical prediction models for prevention, diagnosis, prognosis and treatment strategies. Lastly, we discuss the importance of plasma and tissue proteomics and its integration with genomics (proteogenomics) for identifying unique type 2 diabetes intra- and inter-subtype aetiology. We conclude with a call for action formed on advancing proteomics technologies, benchmarking their performance and standardisation across sites, with an emphasis on data sharing and the inclusion of diverse ancestries in large cohort studies. These efforts should foster collaboration with key stakeholders and align with ongoing academic programmes such as the Precision Medicine in Diabetes Initiative consortium.</t>
  </si>
  <si>
    <t>Kurgan, Nigel; Larsen, Jeppe Kjaergaard; Deshmukh, Atul S.</t>
  </si>
  <si>
    <t>Deshmukh, AS (corresponding author), Univ Copenhagen, Novo Nord Fdn Ctr Basic Metab Res, Copenhagen, Denmark.</t>
  </si>
  <si>
    <t>atul.deshmukh@sund.ku.dk</t>
  </si>
  <si>
    <t>Novo Nordisk Fonden; Novo Nordisk Fonden [NNF14CC0001] Funding Source: researchfish</t>
  </si>
  <si>
    <t>Novo Nordisk Fonden (Novo Nordisk Foundation); Novo Nordisk Fonden (Novo Nordisk Foundation)</t>
  </si>
  <si>
    <t>No Statement Available</t>
  </si>
  <si>
    <t>[Kurgan, Nigel; Larsen, Jeppe Kjaergaard; Deshmukh, Atul S.] Univ Copenhagen, Novo Nord Fdn Ctr Basic Metab Res, Copenhagen, Denmark</t>
  </si>
  <si>
    <t>University of Copenhagen</t>
  </si>
  <si>
    <t>Harnessing the power of proteomics in precision diabetes medicine</t>
  </si>
  <si>
    <t>DIABETOLOGIA</t>
  </si>
  <si>
    <t>Affinity proteomics; Diabetes; LC-MS/MS; Precision medicine; Proteogenomics; Proteomics; Review</t>
  </si>
  <si>
    <t>PLASMA PROTEOME; PERSONALIZED MEDICINE; TYPE-2; SUBGROUPS; PROTEINS; GENETICS; INSULIN; RISK; METABOLOMICS; GENOME</t>
  </si>
  <si>
    <t>Deshmukh, Atul/R-1967-2019</t>
  </si>
  <si>
    <t>Deshmukh, Atul/0000-0002-2278-1843; , Jeppe Kjærgaard/0000-0002-9304-1148; Kurgan, Nigel/0000-0002-5011-0297</t>
  </si>
  <si>
    <t>0012-186X</t>
  </si>
  <si>
    <t>1432-0428</t>
  </si>
  <si>
    <t>Diabetologia</t>
  </si>
  <si>
    <t>783</t>
  </si>
  <si>
    <t>797</t>
  </si>
  <si>
    <t>10.1007/s00125-024-06097-5</t>
  </si>
  <si>
    <t>http://dx.doi.org/10.1007/s00125-024-06097-5</t>
  </si>
  <si>
    <t>LZ3K6</t>
  </si>
  <si>
    <t>38345659</t>
  </si>
  <si>
    <t>WOS:001159733300001</t>
  </si>
  <si>
    <t>Gallagher, J; McCormack, D; Zhou, SW; Ryan, F; Watson, C; McDonald, K; Ledwidge, MT</t>
  </si>
  <si>
    <t>Aims This study sought to review the literature for clinical prediction models for the diagnosis of patients with chronic heart failure in the community and to validate the models in a novel cohort of patients with a suspected diagnosis of chronic heart failure. Methods and results MEDLINE and Embase were searched from 1946 to Q4 2017. Studies were eligible if they contained at least one multivariable model for the diagnosis of chronic heart failure applicable to the primary care setting. The CHARMS checklist was used to evaluate models. We also validated models, where possible, in a novel cohort of patients with a suspected diagnosis of heart failure referred to a rapid access diagnostic clinic. In total, 5310 articles were identified with nine articles subsequently meeting the eligibility criteria. Three models had undergone internal validation, and four had undergone external validation. No clinical impact studies have been completed to date. Area under the curve (AUC) varied from 0.74 to 0.93 and from 0.60 to 0.65 in the novel cohort for clinical models alone with AUC up to 0.89 in combination with electrocardiogram and B-type natriuretic peptide (BNP). The AUC for BNP was 0.86 (95% confidence interval 83.3-88.6%). Conclusions This review demonstrates that there are a number of clinical prediction rules relevant to the diagnosis of chronic heart failure in the literature. Clinical impact studies are required to compare the use of clinical prediction rules and biomarker strategies in this setting.</t>
  </si>
  <si>
    <t>Gallagher, Joe; McCormack, Darren; Zhou, Shuaiwei; Ryan, Fiona; Watson, Chris; McDonald, Kenneth; Ledwidge, Mark T.</t>
  </si>
  <si>
    <t>Gallagher, J (corresponding author), Univ Coll Dublin, Sch Med &amp; Med Sci, Dublin 4, Ireland.</t>
  </si>
  <si>
    <t>jgallagher@ucd.ie</t>
  </si>
  <si>
    <t>Health Research Board of Ireland [R13307]</t>
  </si>
  <si>
    <t>Health Research Board of Ireland (Health Research Board - Ireland)</t>
  </si>
  <si>
    <t>This work was supported by the Health Research Board of Ireland, grant number R13307.</t>
  </si>
  <si>
    <t>[Gallagher, Joe; McDonald, Kenneth; Ledwidge, Mark T.] Univ Coll Dublin, Sch Med &amp; Med Sci, Dublin 4, Ireland; [Gallagher, Joe] Irish Coll Gen Practitioners, Lincoln Pl, Dublin, Ireland; [Zhou, Shuaiwei; Ryan, Fiona] Heartbeat Trust, Crofton Terrace, Dun Laoghaire, Dublin, Ireland; [McCormack, Darren] Univ Coll Dublin, gHlth Res Grp, Dublin 4, Ireland; [Watson, Chris] Queens Univ, Ctr Expt Med, Belfast, Antrim, North Ireland</t>
  </si>
  <si>
    <t>University College Dublin; University College Dublin; Queens University Belfast</t>
  </si>
  <si>
    <t>A systematic review of clinical prediction rules for the diagnosis of chronic heart failure</t>
  </si>
  <si>
    <t>ESC HEART FAILURE</t>
  </si>
  <si>
    <t>Heart failure; Clinical prediction rules; Diagnosis; Models</t>
  </si>
  <si>
    <t>VENTRICULAR SYSTOLIC DYSFUNCTION; PRIMARY-CARE; ELDERLY-PATIENTS; VALIDATION</t>
  </si>
  <si>
    <t>Gallagher, Joseph/L-6810-2013</t>
  </si>
  <si>
    <t>Ledwidge, Mark/0000-0001-7391-2949; Mc Cormack, Darren/0000-0002-0037-5609; McDonald, Kenneth/0000-0001-8011-3301; Gallagher, Joseph/0000-0002-5564-2890; , The Heartbeat Trust/0000-0002-4020-6754</t>
  </si>
  <si>
    <t>2055-5822</t>
  </si>
  <si>
    <t>ESC HEART FAIL</t>
  </si>
  <si>
    <t>ESC Heart Fail.</t>
  </si>
  <si>
    <t>499</t>
  </si>
  <si>
    <t>508</t>
  </si>
  <si>
    <t>10.1002/ehf2.12426</t>
  </si>
  <si>
    <t>http://dx.doi.org/10.1002/ehf2.12426</t>
  </si>
  <si>
    <t>HY7OB</t>
  </si>
  <si>
    <t>30854781</t>
  </si>
  <si>
    <t>WOS:000468324300005</t>
  </si>
  <si>
    <t>Boggenpoel, B; Madasa, V; Jeftha, T; Joseph, C</t>
  </si>
  <si>
    <t>Introduction The upsurge in the use of clinical prediction models in general medical practice is a result of evidence-based practice. However, the total number of clinical prediction rules (CPRs) currently being used or undergoing impact analysis in the management of patients who have sustained spinal cord injuries (SCIs) is unknown. This scoping review protocol will describe the current CPRs being used and highlight their possible strengths and weaknesses in SCI management.Methods and analysis Arksey and O'Malley's scoping review framework will be used. The following databases will be searched to identify relevant literature relating to the use of CPRs in the management of patients who have sustained an SCI: PubMed, Cumulative Index of Nursing and Allied Health Literature (CINAHL), ScienceDirect, EBSCOhost, Medline, OvidMedline and Google Scholar. Grey literature as well as reference lists of included studies will be searched. All studies relating to the use of CPRs in the management of patients with SCIs will be included. Literature searches and data extraction will be performed independently by two groups of reviewers.Ethics and dissemination Ethical clearance is not required for this scoping review study since only secondary data sources will be used. The findings of this review will be disseminated by means of peer-reviewed publication and conference proceedings. The final paper will be submitted for publication. Results of this review will also be presented at relevant conferences and disseminated to important stakeholders such as practicing physicians within specialised spinal care facilities within South Africa.</t>
  </si>
  <si>
    <t>Boggenpoel, Blake; Madasa, Vuyolwethu; Jeftha, Tarryn; Joseph, Conran</t>
  </si>
  <si>
    <t>Boggenpoel, B (corresponding author), Univ Western Cape, Dept Physiotherapy, Cape Town, South Africa.</t>
  </si>
  <si>
    <t>bboggenpoel@uwc.ac.za</t>
  </si>
  <si>
    <t>South African Medical Research Council within the Research Capacity Development Initiative</t>
  </si>
  <si>
    <t>This proposed scoping review forms part of a larger project, aimed at strengthening health systems for people with spinal cord injury, which received a 5-year grant from the South African Medical Research Council within the Research Capacity Development Initiative.</t>
  </si>
  <si>
    <t>[Boggenpoel, Blake; Madasa, Vuyolwethu; Jeftha, Tarryn; Joseph, Conran] Univ Western Cape, Dept Physiotherapy, Cape Town, South Africa; [Joseph, Conran] Karolinska Inst, Dept Neurobiol Care Sci &amp; Soc, Physiotherapy Div, Stockholm, Sweden</t>
  </si>
  <si>
    <t>University of the Western Cape; Karolinska Institutet</t>
  </si>
  <si>
    <t>Systematic scoping review protocol for clinical prediction rules (CPRs) in the management of patients with spinal cord injuries</t>
  </si>
  <si>
    <t>AMBULATION OUTCOMES; IMPACT; VALIDATION</t>
  </si>
  <si>
    <t>Joseph, Conran/ODM-9988-2025</t>
  </si>
  <si>
    <t>Madasa, Vuyolwethu/0000-0002-8295-5964; Joseph, Conran/0000-0002-3121-2685; Boggenpoel, Blake/0000-0003-4346-9602</t>
  </si>
  <si>
    <t>e025076</t>
  </si>
  <si>
    <t>10.1136/bmjopen-2018-025076</t>
  </si>
  <si>
    <t>http://dx.doi.org/10.1136/bmjopen-2018-025076</t>
  </si>
  <si>
    <t>IC6XU</t>
  </si>
  <si>
    <t>30782748</t>
  </si>
  <si>
    <t>WOS:000471116800225</t>
  </si>
  <si>
    <t>Pettit, RW; Fullem, R; Cheng, C; Amos, CI</t>
  </si>
  <si>
    <t>Al is a broad concept, grouping initiatives that use a computer to perform tasks that would usually require a human to complete. Al methods are well suited to predict clinical outcomes. In practice, Al methods can be thought of as functions that learn the outcomes accompanying standardized input data to produce accurate outcome predictions when trialed with new data. Current methods for cleaning, creating, accessing, extracting, augmenting, and representing data for training Al clinical prediction models are well defined. The use of Al to predict clinical outcomes is a dynamic and rapidly evolving arena, with new methods and applications emerging. Extraction or accession of electronic health care records and combining these with patient genetic data is an area of present attention, with tremendous potential for future growth. Machine learning approaches, including decision tree methods of Random Forest and XGBoost, and deep learning techniques including deep multi-layer and recurrent neural networks, afford unique capabilities to accurately create predictions from high dimensional, multimodal data. Furthermore, Al methods are increasing our ability to accurately predict clinical outcomes that previously were difficult to model, including time-dependent and multi-class outcomes. Barriers to robust AI-based clinical outcome model deployment include changing Al product development interfaces, the specificity of regulation requirements, and limitations in ensuring model interpretability, generalizability, and adaptability over time.</t>
  </si>
  <si>
    <t>Pettit, Rowland W.; Fullem, Robert; Cheng, Chao; Amos, Christopher I.</t>
  </si>
  <si>
    <t>Amos, CI (corresponding author), Baylor Coll Med, Inst Clin &amp; Translat Res, Houston, TX 77030 USA.; Amos, CI (corresponding author), Baylor Coll Med, Dept Med, Sect Epidemiol &amp; Populat Sci, Houston, TX 77030 USA.; Amos, CI (corresponding author), Baylor Coll Med, Dan L Duncan Comprehens Canc Ctr, Houston, TX 77030 USA.</t>
  </si>
  <si>
    <t>Chris.Amos@bcm.edu</t>
  </si>
  <si>
    <t>Cancer Prevention Research Interest of Texas (CPRIT) [RR170048]; National Institutes of Health (NIH) for INTEGRAL consortium [U19CA203654]; National Institutes of Health (NIH) [R01CA139020]; NIH [T32ES027801]</t>
  </si>
  <si>
    <t>Cancer Prevention Research Interest of Texas (CPRIT); National Institutes of Health (NIH) for INTEGRAL consortium (United States Department of Health &amp; Human Services, National Institutes of Health (NIH) - USA, Office of the Administrator (NIH)); National Institutes of Health (NIH) (United States Department of Health &amp; Human Services, National Institutes of Health (NIH) - USA, Office of the Administrator (NIH)); NIH (United States Department of Health &amp; Human Services, National Institutes of Health (NIH) - USA, Office of the Administrator (NIH))</t>
  </si>
  <si>
    <t>Cancer Prevention Research Interest of Texas (CPRIT) award: RR170048 (CIA); National Institutes of Health (NIH) for INTEGRAL consortium: U19CA203654 (CIA); National Institutes of Health (NIH): R01CA139020 (MLB); NIH T32ES027801 (RWP).</t>
  </si>
  <si>
    <t>[Pettit, Rowland W.; Cheng, Chao; Amos, Christopher I.] Baylor Coll Med, Inst Clin &amp; Translat Res, Houston, TX 77030 USA; [Fullem, Robert] Baylor Coll Med, Dept Mol &amp; Human Genet, Houston, TX 77030 USA; [Cheng, Chao; Amos, Christopher I.] Baylor Coll Med, Dept Med, Sect Epidemiol &amp; Populat Sci, Houston, TX 77030 USA; [Amos, Christopher I.] Baylor Coll Med, Dan L Duncan Comprehens Canc Ctr, Houston, TX 77030 USA</t>
  </si>
  <si>
    <t>Baylor College of Medicine; Baylor College of Medicine; Baylor College of Medicine; Baylor College of Medicine</t>
  </si>
  <si>
    <t>Artificial intelligence, machine learning, and deep learning for clinical outcome prediction</t>
  </si>
  <si>
    <t>EMERGING TOPICS IN LIFE SCIENCES</t>
  </si>
  <si>
    <t>LOGISTIC-REGRESSION; SURVIVAL ANALYSIS; INFORMATION GAIN; READMISSION; MODELS; FUTURE</t>
  </si>
  <si>
    <t>Pettit, Rowland/JVN-6144-2024</t>
  </si>
  <si>
    <t>Cheng, Chao/0000-0002-5002-3417; Fullem, Robert/0000-0003-0141-7767</t>
  </si>
  <si>
    <t>PORTLAND PRESS LTD</t>
  </si>
  <si>
    <t>Office 605, Albert House, 256-260 Old St, London, ENGLAND</t>
  </si>
  <si>
    <t>2397-8554</t>
  </si>
  <si>
    <t>2397-8562</t>
  </si>
  <si>
    <t>EMERG TOP LIFE SCI</t>
  </si>
  <si>
    <t>Emerg. Top. Life Sci.</t>
  </si>
  <si>
    <t>729</t>
  </si>
  <si>
    <t>745</t>
  </si>
  <si>
    <t>10.1042/ETLS20210246</t>
  </si>
  <si>
    <t>http://dx.doi.org/10.1042/ETLS20210246</t>
  </si>
  <si>
    <t>Biochemistry &amp; Molecular Biology; Biology</t>
  </si>
  <si>
    <t>Biochemistry &amp; Molecular Biology; Life Sciences &amp; Biomedicine - Other Topics</t>
  </si>
  <si>
    <t>YI9UL</t>
  </si>
  <si>
    <t>34927670</t>
  </si>
  <si>
    <t>WOS:000734092600001</t>
  </si>
  <si>
    <t>Kimani, L; Howitt, S; Tennyson, C; Templeton, R; McCollum, C; Grant, SW</t>
  </si>
  <si>
    <t>Readmission to the cardiac intensive care unit after cardiac surgery has significant implications for both patients and healthcare providers. Identifying patients at risk of readmission potentially could improve outcomes. The objective of this systematic review was to identify risk factors and clinical prediction models for readmission within a single hospitalization to intensive care after cardiac surgery. PubMed, MEDLINE, and EMBASE databases were searched to identify candidate articles. Only studies that used multivariate analyses to identify independent predictors were included.There were 25 studies and five risk prediction models identified. The overall rate of readmission pooled across the included studies was 4.9%. In all 25 studies, in-hospital mortality and duration of hospital stay were higher in patients who experienced readmission. Recurring predictors for readmission were preoperative renal failure, age &gt;70, diabetes, chronic obstructive pulmonary disease, preoperative left ventricular ejection fraction &lt;30%, type and urgency of surgery, prolonged cardiopulmonary bypass time, prolonged postoperative ventilation, postoperative anemia, and neurologic dysfunction. The majority of readmissions occurred due to respiratory and cardiac complications. Four models were identified for predicting readmission, with one external validation study. As all models developed to date had limitations, further work on larger datasets is required to develop clinically useful models to identify patients at risk of readmission to the cardiac intensive care unit after cardiac surgery. (C) 2021 Elsevier Inc. All rights reserved.</t>
  </si>
  <si>
    <t>Kimani, Linda; Howitt, Samuel; Tennyson, Charlene; Templeton, Richard; McCollum, Charles; Grant, Stuart W.</t>
  </si>
  <si>
    <t>Kimani, L (corresponding author), Wythenshawe Hosp, Acad Surg Unit, ERC, Manchester M23 9LT, Lancs, England.</t>
  </si>
  <si>
    <t>linda.kimani@manchester.ac.uk</t>
  </si>
  <si>
    <t>British Heart Foundation [PG/16/80/32411]; British Heart Foundation [PG/16/80/32411] Funding Source: researchfish</t>
  </si>
  <si>
    <t>British Heart Foundation (British Heart Foundation); British Heart Foundation (British Heart Foundation)</t>
  </si>
  <si>
    <t>This work was supported by the British Heart Foundation grant number PG/16/80/32411.</t>
  </si>
  <si>
    <t>[Kimani, Linda; Howitt, Samuel; McCollum, Charles; Grant, Stuart W.] Univ Manchester, Manchester Univ Hosp Fdn Trust, ERC, Div Cardiovasc Sci, Manchester, Lancs, England; [Templeton, Richard] Manchester Univ Hosp Fdn Trust, Wythenshawe Hosp, Dept Cardiothorac Anaesthesia &amp; Crit Care, Manchester, Lancs, England; [Tennyson, Charlene] Blackpool Victoria Hosp, Dept Cardiothorac Surg, Blackpool, England</t>
  </si>
  <si>
    <t>University of Manchester; Wythenshawe Hospital NHS Foundation Trust; Wythenshawe Hospital</t>
  </si>
  <si>
    <t>Predicting Readmission to Intensive Care After Cardiac Surgery Within Index Hospitalization: A Systematic Review</t>
  </si>
  <si>
    <t>JOURNAL OF CARDIOTHORACIC AND VASCULAR ANESTHESIA</t>
  </si>
  <si>
    <t>cardiac surgery; readmission to intensive care; risk prediction model</t>
  </si>
  <si>
    <t>SINGLE-CENTER EXPERIENCE; RISK-FACTORS; ICU READMISSION; UNIT; FAILURE; RESCUE; PATIENT; RECIDIVISM; OUTCOMES; SOCIETY</t>
  </si>
  <si>
    <t>Kimani, Linda/0000-0003-0112-0576; Grant, Stuart/0000-0003-3468-591X</t>
  </si>
  <si>
    <t>1053-0770</t>
  </si>
  <si>
    <t>1532-8422</t>
  </si>
  <si>
    <t>J CARDIOTHOR VASC AN</t>
  </si>
  <si>
    <t>J. Cardiothorac. Vasc. Anesth.</t>
  </si>
  <si>
    <t>2166</t>
  </si>
  <si>
    <t>2179</t>
  </si>
  <si>
    <t>10.1053/j.jvca.2021.02.056</t>
  </si>
  <si>
    <t>http://dx.doi.org/10.1053/j.jvca.2021.02.056</t>
  </si>
  <si>
    <t>MAY 2021</t>
  </si>
  <si>
    <t>Anesthesiology; Cardiac &amp; Cardiovascular Systems; Respiratory System; Peripheral Vascular Disease</t>
  </si>
  <si>
    <t>Anesthesiology; Cardiovascular System &amp; Cardiology; Respiratory System</t>
  </si>
  <si>
    <t>SJ4MB</t>
  </si>
  <si>
    <t>33773889</t>
  </si>
  <si>
    <t>WOS:000655505900038</t>
  </si>
  <si>
    <t>Hakimjavadi, R; Basiratzadeh, S; Wai, EK; Baddour, N; Kingwell, S; Michalowski, W; Stratton, A; Tsai, EV; Viktor, H; Phan, P</t>
  </si>
  <si>
    <t>Background: Traumatic spinal cord injuries (TSCI) greatly affect the lives of patients and their families. Prognostication may improve treatment strategies, health care resource allocation, and counseling. Multivariable clinical prediction models (CPMs) for prognosis are tools that can estimate an absolute risk or probability that an outcome will occur. Objectives: We sought to systematically review the existing literature on CPMs for TSCI and critically examine the predictor selection methods used. Methods: We searched MEDLINE, PubMed, Embase, Scopus, and IEEE for English peer-reviewed studies and relevant references that developed multivariable CPMs to prognosticate patient-centered outcomes in adults with TSCI. Using narrative synthesis, we summarized the characteristics of the included studies and their CPMs, focusing on the predictor selection process. Results: We screened 663 titles and abstracts; of these, 21 full-text studies (2009-2020) consisting of 33 distinct CPMs were included. The data analysis domain was most commonly at a high risk of bias when assessed for methodological quality. Model presentation formats were inconsistently included with published CPMs; only two studies followed established guidelines for transparent reporting of multivariable prediction models. Authors frequently cited previous literature for their initial selection of predictors, and stepwise selection was the most frequent predictor selection method during modelling. Conclusion: Prediction modelling studies for TSCI serve clinicians who counsel patients, researchers aiming to risk-stratify participants for clinical trials, and patients coping with their injury. Poor methodological rigor in data analysis, inconsistent transparent reporting, and a lack of model presentation formats are vital areas for improvement in TSCI CPM research.</t>
  </si>
  <si>
    <t>Hakimjavadi, Ramtin; Basiratzadeh, Shahin; Wai, Eugene K.; Baddour, Natalie; Kingwell, Stephen; Michalowski, Wojtek; Stratton, Alexandra; Tsai, Eve; Viktor, Herna; Phan, Philippe</t>
  </si>
  <si>
    <t>Phan, P (corresponding author), Ottawa Hosp, 1053 Carling Ave, Ottawa, ON K1Y 4E9, Canada.</t>
  </si>
  <si>
    <t>pphan@toh.ca</t>
  </si>
  <si>
    <t>Praxis Spinal Cord Institute</t>
  </si>
  <si>
    <t>R.H. received a grant from the Praxis Spinal Cord Institute for employment purposes throughout this study. E.T. received research support from AbbVie and Mitsubishi Tanabe Pharma, although this is outside of and unrelated to the submitted work. All other authors report having no conflicts of interest related to the current study to disclose, financial or otherwise.</t>
  </si>
  <si>
    <t>[Hakimjavadi, Ramtin; Basiratzadeh, Shahin; Wai, Eugene K.; Baddour, Natalie; Kingwell, Stephen; Michalowski, Wojtek; Stratton, Alexandra; Tsai, Eve; Viktor, Herna; Phan, Philippe] Univ Ottawa, Ottawa, ON, Canada; [Wai, Eugene K.; Kingwell, Stephen; Stratton, Alexandra; Tsai, Eve; Phan, Philippe] Ottawa Hosp, 1053 Carling Ave, Ottawa, ON K1Y 4E9, Canada</t>
  </si>
  <si>
    <t>University of Ottawa; University of Ottawa; Ottawa Hospital Research Institute</t>
  </si>
  <si>
    <t>Multivariable Prediction Models for Traumatic Spinal Cord Injury: A Systematic Review</t>
  </si>
  <si>
    <t>TOPICS IN SPINAL CORD INJURY REHABILITATION</t>
  </si>
  <si>
    <t>multivariable; prediction model; predictor selection; prognosis; systematic review; traumatic spinal cord injury</t>
  </si>
  <si>
    <t>INDEPENDENCE MEASURE; OUTCOME PREDICTION; WALKING; RISK; CLASSIFICATION; IMPLEMENTATION; APPLICABILITY; INDIVIDUALS; AMBULATION; SEVERITY</t>
  </si>
  <si>
    <t>Baddour, Natalie/A-4018-2008; Basiratzadeh, Shahin/GPK-1406-2022</t>
  </si>
  <si>
    <t>AMER SPINAL INJURY ASSOC</t>
  </si>
  <si>
    <t>RICHMOND</t>
  </si>
  <si>
    <t>9702 GAYTON RD, SUITE 306, RICHMOND, VA, UNITED STATES</t>
  </si>
  <si>
    <t>1082-0744</t>
  </si>
  <si>
    <t>1945-5763</t>
  </si>
  <si>
    <t>TOP SPINAL CORD INJ</t>
  </si>
  <si>
    <t>Top. Spinal Cord Inj. Rehabil.</t>
  </si>
  <si>
    <t>10.46292/sci23-00010</t>
  </si>
  <si>
    <t>http://dx.doi.org/10.46292/sci23-00010</t>
  </si>
  <si>
    <t>LV7D8</t>
  </si>
  <si>
    <t>38433735</t>
  </si>
  <si>
    <t>WOS:001189632300006</t>
  </si>
  <si>
    <t>Feyissa, AM; Hasan, TF; Meschia, JF</t>
  </si>
  <si>
    <t>Stroke is the cause of about 10% of all epilepsy and 55% of newly diagnosed seizures among the elderly. Although recent advances in acute stroke therapy have improved longevity, there has been a consequent rise in the prevalence of stroke-related epilepsy (STRE). Many clinical studies make a distinction between early (within 7 days of onset of stroke) and late (beyond 7 days of onset of stroke) seizures based on presumed pathophysiological differences. Although early seizures are thought to be the consequence of local metabolic disturbances without altered neuronal networks, late seizures are thought to occur when the brain has acquired a predisposition for seizures. Overall, STRE has a good prognosis, being well controlled by antiepileptic drugs. However, up to 25% of cases become drug resistant. STRE can also result in increased morbidity, longer hospitalization, greater disability at discharge and greater resource utilization. Additional controlled trials are needed to explore the primary and secondary prevention of STRE as well as to provide high-quality evidence on efficacy and tolerability of antiepileptic drugs to guide treatment of STRE. Robust pre-clinical and clinical prediction models of STRE are also needed to develop treatments to prevent the transformation of infarcted tissue into an epileptic focus.</t>
  </si>
  <si>
    <t>Feyissa, A. M.; Hasan, T. F.; Meschia, J. F.</t>
  </si>
  <si>
    <t>Feyissa, AM (corresponding author), Mayo Clin, Dept Neurol, 4500 San Pablo Rd, Jacksonville, FL 32224 USA.</t>
  </si>
  <si>
    <t>Feyissa.Anteneh@mayo.edu</t>
  </si>
  <si>
    <t>Accelerator for Clinicians Engaged in Research and Neuroscience Focused Research Team Programs, Mayo Clinic; American Epilepsy Society Research and Training Fellowship for Clinicians Award</t>
  </si>
  <si>
    <t>Accelerator for Clinicians Engaged in Research and Neuroscience Focused Research Team Programs, Mayo Clinic (Mayo Clinic); American Epilepsy Society Research and Training Fellowship for Clinicians Award</t>
  </si>
  <si>
    <t>A.M.F. is supported by the Accelerator for Clinicians Engaged in Research and Neuroscience Focused Research Team Programs, Mayo Clinic. A.M.F. is also a recipient of the American Epilepsy Society Research and Training Fellowship for Clinicians Award (2018).</t>
  </si>
  <si>
    <t>[Feyissa, A. M.; Meschia, J. F.] Mayo Clin, Dept Neurol, 4500 San Pablo Rd, Jacksonville, FL 32224 USA; [Hasan, T. F.] Mayo Clin, Dept Neurol Surg, Jacksonville, FL 32224 USA</t>
  </si>
  <si>
    <t>Mayo Clinic; Mayo Clinic</t>
  </si>
  <si>
    <t>Stroke-related epilepsy</t>
  </si>
  <si>
    <t>EUROPEAN JOURNAL OF NEUROLOGY</t>
  </si>
  <si>
    <t>epilepsy; epileptogenesis; focal epilepsy; post-stroke epilepsy; stroke; symptomatic epilepsy</t>
  </si>
  <si>
    <t>LATE-ONSET SEIZURES; CONVULSIVE STATUS EPILEPTICUS; POSTSTROKE SEIZURES; ISCHEMIC-STROKE; ANTIEPILEPTIC DRUGS; RISK-FACTORS; ELECTROGRAPHIC SEIZURES; SUBSEQUENT STROKE; CARBAMAZEPINE; MANAGEMENT</t>
  </si>
  <si>
    <t>Meschia, James/GPP-1636-2022</t>
  </si>
  <si>
    <t>Meschia, James/0000-0002-4475-8142; Feyissa, Anteneh/0000-0002-9318-3947</t>
  </si>
  <si>
    <t>133</t>
  </si>
  <si>
    <t>1351-5101</t>
  </si>
  <si>
    <t>1468-1331</t>
  </si>
  <si>
    <t>EUR J NEUROL</t>
  </si>
  <si>
    <t>Eur. J. Neurol.</t>
  </si>
  <si>
    <t>JAN 2019</t>
  </si>
  <si>
    <t>10.1111/ene.13813</t>
  </si>
  <si>
    <t>http://dx.doi.org/10.1111/ene.13813</t>
  </si>
  <si>
    <t>HE0PK</t>
  </si>
  <si>
    <t>30320425</t>
  </si>
  <si>
    <t>WOS:000452969300005</t>
  </si>
  <si>
    <t>Uwaezuoke, SN</t>
  </si>
  <si>
    <t>Acute kidney injury (AKI) is a major contributor to childhood morbidity and mortality worldwide. In spite of the advances in renal replacement therapy, there has been a minimal reduction in AKI-related morbidity and mortality. Identifying the prognostic indicators and the risk factors that predict disease onset and progression, and instituting appropriate measures will lead to better survival outcomes. This narrative review seeks to appraise the predictors and prognostic indicators of pediatric AKI. Several biomarkers clearly stand out as predictors and prognostic indicators of the acute disease. Some of them are urine angiotensinogen, fibroblast growth factor-23, cystacin C, neutrophil gelatinase-associated lipocalin, tissue inhibitor of metalloproteinase-2 and insulin-like growth factor-binding protein 7. Combining few of these biomarkers with clinical prediction models has improved their predictive and prognostic utility for AKI. Hemodynamic parameters such as indexed systemic oxygen delivery and mean arterial blood pressure have been proved to be reliable in predicting the occurrence and progression of the disease and its outcomes. Miscellaneous predictors and prognostic indicators like AKI definition criteria, presence of co-morbidities, and health-related quality of life assessment have also been documented from evidence-based studies. An understanding and application of these indices will obviously help to reduce AKI mortality in children.</t>
  </si>
  <si>
    <t>Uwaezuoke, Samuel Nkachukwu</t>
  </si>
  <si>
    <t>Uwaezuoke, SN (corresponding author), Univ Nigeria Teaching Hosp, Pediat Nephrol Firm, Enugu, Nigeria.</t>
  </si>
  <si>
    <t>snuwaezuoke@yahoo.com</t>
  </si>
  <si>
    <t>[Uwaezuoke, Samuel Nkachukwu] Univ Nigeria Teaching Hosp, Pediat Nephrol Firm, Enugu, Nigeria</t>
  </si>
  <si>
    <t>University of Nigeria</t>
  </si>
  <si>
    <t>Pediatric acute kidney injury: Appraisal of predictors and prognostic indicators</t>
  </si>
  <si>
    <t>JOURNAL OF ACUTE DISEASE</t>
  </si>
  <si>
    <t>Acute kidney injury; Children; Predictors; Prognostic indicators</t>
  </si>
  <si>
    <t>GELATINASE-ASSOCIATED LIPOCALIN; CRITICALLY-ILL PATIENTS; CARDIAC-SURGERY; RENAL RECOVERY; SEVERE AKI; INDEPENDENT PREDICTORS; OXYGEN DELIVERY; RISK-FACTORS; CYSTATIN C; LONG-TERM</t>
  </si>
  <si>
    <t>UWAEZUOKE, SAMUEL/O-2605-2014</t>
  </si>
  <si>
    <t>ELSEVIER SCIENCE BV</t>
  </si>
  <si>
    <t>PO BOX 211, 1000 AE AMSTERDAM, NETHERLANDS</t>
  </si>
  <si>
    <t>2221-6189</t>
  </si>
  <si>
    <t>J ACUTE DIS</t>
  </si>
  <si>
    <t>J. Acute Dis.</t>
  </si>
  <si>
    <t>JAN 2017</t>
  </si>
  <si>
    <t>10.12980/jad.6.2017JADWEB-2016-0069</t>
  </si>
  <si>
    <t>http://dx.doi.org/10.12980/jad.6.2017JADWEB-2016-0069</t>
  </si>
  <si>
    <t>ER0QW</t>
  </si>
  <si>
    <t>WOS:000398493700002</t>
  </si>
  <si>
    <t>Jensen, SB; Rudolf, F; Wejse, C</t>
  </si>
  <si>
    <t>Introduction: Tuberculosis (TB) is among the 10 most common causes of death worldwide and it is the leading cause of mortality in people with human immunodeficiency virus (HIV). Clinical scoring systems have the potential to improve case finding and to prioritize patients for TB testing.Areas covered: This systematic review investigated the utility of prediction models to improve pulmonary tuberculosis (pTB) case finding. Studies were searched through PubMed until 15th of August 2018 and 20 studies were eligible according to the inclusion criteria. Data on study population, outcome measurements, predictors, and performance were extracted. Many studies showed promising results but lacked external validation. Furthermore, head-to-head studies are needed to compare the different prediction models. Sensitivities of the prediction models ranged from 26% to 96% and specificities from 18% to 92%, negative likelihood ratios (LR-) from 0.22 to 0.8 and positive likelihood ratios(LR+) 1.07 to 7.32. Composite scores including paraclinical measures added to sensitivity.Expert opinion: TB case finding is of utmost importance to advance the quest for global TB elimination, and simple measures to identify high-risk populations or persons to undergo further diagnostic evaluation are highly needed. A number of clinical scores are available and could be implemented in practice to improve case finding.</t>
  </si>
  <si>
    <t>Jensen, Signe Bernth; Rudolf, Frauke; Wejse, Christian</t>
  </si>
  <si>
    <t>Wejse, C (corresponding author), Aarhus Univ, Dept Publ Hlth, Ctr Global Hlth, GloHAU, Aarhus, Denmark.</t>
  </si>
  <si>
    <t>wejse@dadlnet.dk</t>
  </si>
  <si>
    <t>Novo Nordisk Foundation [NNF15OC0018034]; Novo Nordisk Fonden [NNF15OC0018034] Funding Source: researchfish</t>
  </si>
  <si>
    <t>Novo Nordisk Foundation (Novo Nordisk Foundation); Novo Nordisk Fonden (Novo Nordisk Foundation)</t>
  </si>
  <si>
    <t>C Wejse and F Rudolf were supported with a grant from the Novo Nordisk Foundation (NNF15OC0018034).</t>
  </si>
  <si>
    <t>[Jensen, Signe Bernth; Wejse, Christian] Aarhus Univ, Dept Publ Hlth, Ctr Global Hlth, GloHAU, Aarhus, Denmark; [Rudolf, Frauke; Wejse, Christian] Aarhus Univ Hosp, Dept Infect Dis, Aarhus, Denmark; [Rudolf, Frauke; Wejse, Christian] Statens Serum Inst, Bandim Hlth Project, Bissau, Guinea Bissau</t>
  </si>
  <si>
    <t>Aarhus University; Aarhus University; Statens Serum Institut</t>
  </si>
  <si>
    <t>Utility of a clinical scoring system in prioritizing TB investigations - a systematic review</t>
  </si>
  <si>
    <t>EXPERT REVIEW OF ANTI-INFECTIVE THERAPY</t>
  </si>
  <si>
    <t>Clinical prediction model; clinical prediction rule; clinical score; case finding; pulmonary tuberculosis</t>
  </si>
  <si>
    <t>HIV-INFECTED INDIVIDUALS; PULMONARY TUBERCULOSIS; MYCOBACTERIUM-TUBERCULOSIS; ANTIRETROVIRAL THERAPY; DIAGNOSIS; SYMPTOM; PEOPLE; SMEAR; PERFORMANCE; SENSITIVITY</t>
  </si>
  <si>
    <t>Wejse, Christian Morberg/C-8468-2014; Rudolf, Frauke/I-5385-2018</t>
  </si>
  <si>
    <t>Wejse, Christian Morberg/0000-0002-2534-2942; Rudolf, Frauke/0000-0003-4629-5679</t>
  </si>
  <si>
    <t>1478-7210</t>
  </si>
  <si>
    <t>1744-8336</t>
  </si>
  <si>
    <t>EXPERT REV ANTI-INFE</t>
  </si>
  <si>
    <t>Expert Rev. Anti-Infect. Ther.</t>
  </si>
  <si>
    <t>JUL 3 2019</t>
  </si>
  <si>
    <t>475</t>
  </si>
  <si>
    <t>488</t>
  </si>
  <si>
    <t>10.1080/14787210.2019.1625770</t>
  </si>
  <si>
    <t>http://dx.doi.org/10.1080/14787210.2019.1625770</t>
  </si>
  <si>
    <t>Infectious Diseases; Microbiology; Pharmacology &amp; Pharmacy</t>
  </si>
  <si>
    <t>IM1MF</t>
  </si>
  <si>
    <t>31159621</t>
  </si>
  <si>
    <t>WOS:000477753200003</t>
  </si>
  <si>
    <t>Lee, TC; Shah, NU; Haack, A; Baxter, SL</t>
  </si>
  <si>
    <t>Predictive analytics using electronic health record (EHR) data have rapidly advanced over the last decade. While model performance metrics have improved considerably, best practices for implementing predictive models into clinical settings for point-of-care risk stratification are still evolving. Here, we conducted a systematic review of articles describing predictive models integrated into EHR systems and implemented in clinical practice. We conducted an exhaustive database search and extracted data encompassing multiple facets of implementation. We assessed study quality and level of evidence. We obtained an initial 3393 articles for screening, from which a final set of 44 articles was included for data extraction and analysis. The most common clinical domains of implemented predictive models were related to thrombotic disorders/anticoagulation (25%) and sepsis (16%). The majority of studies were conducted in inpatient academic settings. Implementation challenges included alert fatigue, lack of training, and increased work burden on the care team. Of 32 studies that reported effects on clinical outcomes, 22 (69%) demonstrated improvement after model implementation. Overall, EHR-based predictive models offer promising results for improving clinical outcomes, although several gaps in the literature remain, and most study designs were observational. Future studies using randomized controlled trials may help improve the generalizability of findings.</t>
  </si>
  <si>
    <t>Lee, Terrence C.; Shah, Neil U.; Haack, Alyssa; Baxter, Sally L.</t>
  </si>
  <si>
    <t>Baxter, SL (corresponding author), Univ Calif San Diego, Viterbi Family Dept Ophthalmol, La Jolla, CA 92093 USA.; Baxter, SL (corresponding author), Univ Calif San Diego, Shiley Eye Inst, La Jolla, CA 92093 USA.; Baxter, SL (corresponding author), Univ Calif San Diego, Dept Med, Div Biomed Informat, La Jolla, CA 92093 USA.</t>
  </si>
  <si>
    <t>tcl023@health.ucsd.edu; s1baxter@health.ucsd.edu; nushah@ucsd.edu; a1haack@ucsd.edu</t>
  </si>
  <si>
    <t>National Institutes of Health/National Library of Medicine [T15LM011271]; Heed Ophthalmic Foundation; National Library of Medicine [T15LM011271] Funding Source: NIH RePORTER</t>
  </si>
  <si>
    <t>National Institutes of Health/National Library of Medicine (United States Department of Health &amp; Human Services, National Institutes of Health (NIH) - USA, NIH National Library of Medicine (NLM)); Heed Ophthalmic Foundation; National Library of Medicine (United States Department of Health &amp; Human Services, National Institutes of Health (NIH) - USA, NIH National Library of Medicine (NLM))</t>
  </si>
  <si>
    <t>The research was supported by the National Institutes of Health/National Library of Medicine, grant number T15LM011271, and the Heed Ophthalmic Foundation.</t>
  </si>
  <si>
    <t>[Lee, Terrence C.; Shah, Neil U.; Haack, Alyssa; Baxter, Sally L.] Univ Calif San Diego, Viterbi Family Dept Ophthalmol, La Jolla, CA 92093 USA; [Lee, Terrence C.; Shah, Neil U.; Haack, Alyssa; Baxter, Sally L.] Univ Calif San Diego, Shiley Eye Inst, La Jolla, CA 92093 USA; [Lee, Terrence C.; Shah, Neil U.; Haack, Alyssa; Baxter, Sally L.] Univ Calif San Diego, Dept Med, Div Biomed Informat, La Jolla, CA 92093 USA</t>
  </si>
  <si>
    <t>University of California System; University of California San Diego; University of California System; University of California San Diego; University of California System; University of California San Diego</t>
  </si>
  <si>
    <t>Clinical Implementation of Predictive Models Embedded within Electronic Health Record Systems: A Systematic Review</t>
  </si>
  <si>
    <t>INFORMATICS-BASEL</t>
  </si>
  <si>
    <t>electronic health records; predictive models; predictive analytics; risk prediction; clinical prediction model; precision medicine; clinical informatics; clinical decision support; artificial intelligence</t>
  </si>
  <si>
    <t>RISK-ASSESSMENT SYSTEM; DECISION-SUPPORT; VENOUS THROMBOEMBOLISM; EMERGENCY-DEPARTMENT; REAL-TIME; PROSPECTIVE VALIDATION; CARE; ANALYTICS; SEPSIS; IMPACT</t>
  </si>
  <si>
    <t>Shah, Neil/0000-0001-7622-093X; Baxter, Sally/0000-0002-5271-7690; Lee, Terrence/0000-0001-8560-250X</t>
  </si>
  <si>
    <t>2227-9709</t>
  </si>
  <si>
    <t>Informatics-Basel</t>
  </si>
  <si>
    <t>SEP 2020</t>
  </si>
  <si>
    <t>10.3390/informatics7030025</t>
  </si>
  <si>
    <t>http://dx.doi.org/10.3390/informatics7030025</t>
  </si>
  <si>
    <t>Computer Science, Interdisciplinary Applications</t>
  </si>
  <si>
    <t>Computer Science</t>
  </si>
  <si>
    <t>OC1UM</t>
  </si>
  <si>
    <t>33274178</t>
  </si>
  <si>
    <t>WOS:000578947400001</t>
  </si>
  <si>
    <t>Becattini, C; Franco, L; Agnelli, G</t>
  </si>
  <si>
    <t>Pulmonary embolism (PE) is a frequent cause of death and serious disability with a risk extending far beyond the acute phase of the disease. Anticoagulant treatment reduces the risk for death and recurrent VTE after a first PE. The optimal duration of anticoagulation after a first episode of PE remains controversial and should be made on an individual basis, balancing the estimated risk for recurrence without anticoagulant treatment against bleeding risk under anticoagulation. Current recommendations on duration of anticoagulation are based on a 3% per year risk of major bleeding expected during long-term warfarin treatment. Anticoagulant therapy should be discontinued after the initial 3 to 6 months in those patients who had the first episode in association with temporary risk factors. After 3 to 6 months of anticoagulant treatment, patients with a first unprovoked event and an estimated low risk for bleeding complications should be evaluated for indefinite treatment on an individualized basis. None of the clinical prediction models for recurrent VTE are able to actually drive duration of anticoagulation. If the favorable safety profile of direct oral anticoagulants from clinical trials would be confirmed in real-life, extension of anticoagulation could be reconsidered in large proportions of patients after an unprovoked PE. The most feared late sequela of PE is chronic thromboembolic pulmonary hypertension. Although there has been progress in both the diagnosis and management of this disease in recent years, further data are needed to provide recommendations regarding long-term follow-up after PE.</t>
  </si>
  <si>
    <t>Becattini, Cecilia; Franco, Laura; Agnelli, Giancarlo</t>
  </si>
  <si>
    <t>Becattini, C (corresponding author), Univ Perugia, Stroke Unit, Dept Vasc Emergency Med, Perugia, Italy.</t>
  </si>
  <si>
    <t>cecilia.becattini@unipg.it</t>
  </si>
  <si>
    <t>[Becattini, Cecilia; Franco, Laura; Agnelli, Giancarlo] Univ Perugia, Stroke Unit, Dept Vasc Emergency Med, Perugia, Italy</t>
  </si>
  <si>
    <t>University of Perugia</t>
  </si>
  <si>
    <t>Acute Pulmonary Embolism after Discharge: Duration of Therapy and Follow-up Testing</t>
  </si>
  <si>
    <t>SEMINARS IN RESPIRATORY AND CRITICAL CARE MEDICINE</t>
  </si>
  <si>
    <t>pulmonary embolism; anticoagulants; dabigatran; rivaroxaban; apixaban; edoxaban</t>
  </si>
  <si>
    <t>RECURRENT VENOUS THROMBOEMBOLISM; DEEP-VEIN THROMBOSIS; ORAL ANTICOAGULANT-THERAPY; INTENSITY WARFARIN THERAPY; MOLECULAR-WEIGHT HEPARIN; MAJOR BLEEDING EVENTS; VITAMIN-K ANTAGONISTS; CASE-FATALITY RATE; LONG-TERM; 1ST EPISODE</t>
  </si>
  <si>
    <t>BECATTINI, Cecilia/L-1739-2018</t>
  </si>
  <si>
    <t>BECATTINI, Cecilia/0000-0002-8343-4888</t>
  </si>
  <si>
    <t>121</t>
  </si>
  <si>
    <t>1069-3424</t>
  </si>
  <si>
    <t>1098-9048</t>
  </si>
  <si>
    <t>SEMIN RESP CRIT CARE</t>
  </si>
  <si>
    <t>Semin. Respir. Crit. Care Med.</t>
  </si>
  <si>
    <t>94</t>
  </si>
  <si>
    <t>106</t>
  </si>
  <si>
    <t>10.1055/s-0036-1597557</t>
  </si>
  <si>
    <t>http://dx.doi.org/10.1055/s-0036-1597557</t>
  </si>
  <si>
    <t>Critical Care Medicine; Respiratory System</t>
  </si>
  <si>
    <t>EJ2BM</t>
  </si>
  <si>
    <t>28208203</t>
  </si>
  <si>
    <t>WOS:000393014900012</t>
  </si>
  <si>
    <t>Tong, BB; Chen, HB; Wang, C; Zeng, W; Li, D; Liu, PY; Liu, M; Jin, XY; Shang, SM</t>
  </si>
  <si>
    <t>ObjectiveTo identify and describe existing models for predicting knee pain in patients with knee osteoarthritis.MethodsThe electronic databases PubMed, EMBASE, CINAHL, Web of Science, and Cochrane Library were searched from their inception to May 2023 for any studies to develop and validate a prediction model for predicting knee pain in patients with knee osteoarthritis. Two reviewers independently screened titles, abstracts, and full-text qualifications, and extracted data. Risk of bias was assessed using the PROBAST. Data extraction of eligible articles was extracted by a data extraction form based on CHARMS. The quality of evidence was graded according to GRADE. The results were summarized with descriptive statistics.ResultsThe search identified 2693 records. Sixteen articles reporting on 26 prediction models were included targeting occurrence (n = 9), others (n = 7), progression (n = 5), persistent (n = 2), incident (n = 1), frequent (n = 1), and flares (n = 1) of knee pain. Most of the studies (94%) were at high risk of bias. Model discrimination was assessed by the AUROC ranging from 0.62 to 0.81. The most common predictors were age, BMI, gender, baseline pain, and joint space width. Only frequent knee pain had a moderate quality of evidence; all other types of knee pain had a low quality of evidence.ConclusionThere are many prediction models for knee pain in patients with knee osteoarthritis that do show promise. However, the clinical extensibility, applicability, and interpretability of predictive tools should be considered during model development.</t>
  </si>
  <si>
    <t>Tong, Beibei; Chen, Hongbo; Wang, Cui; Zeng, Wen; Li, Dan; Liu, Peiyuan; Liu, Ming; Jin, Xiaoyan; Shang, Shaomei</t>
  </si>
  <si>
    <t>Shang, SM (corresponding author), Peking Univ, Sch Nursing, Beijing, Peoples R China.</t>
  </si>
  <si>
    <t>shangshaomei@126.com</t>
  </si>
  <si>
    <t>Key Technologies Research and Development Program</t>
  </si>
  <si>
    <t>[Tong, Beibei; Wang, Cui; Zeng, Wen; Li, Dan; Liu, Peiyuan; Shang, Shaomei] Peking Univ, Sch Nursing, Beijing, Peoples R China; [Chen, Hongbo] Peking Univ Third Hosp, Nursing Dept, Beijing, Peoples R China; [Liu, Ming; Jin, Xiaoyan] Macao Polytech Univ, Macau, Peoples R China</t>
  </si>
  <si>
    <t>Peking University; Macao Polytechnic University</t>
  </si>
  <si>
    <t>Clinical prediction models for knee pain in patients with knee osteoarthritis: a systematic review</t>
  </si>
  <si>
    <t>SKELETAL RADIOLOGY</t>
  </si>
  <si>
    <t>Knee pain; Knee osteoarthritis; Prediction model; Systematic review</t>
  </si>
  <si>
    <t>PROGRESSION DATA; ADULTS; COMMUNITY; SEVERITY; TRAIT; RISK; CARE</t>
  </si>
  <si>
    <t>SHANG, Shaomei/0000-0002-3913-4570; Liu, Ming/0000-0002-1727-6762</t>
  </si>
  <si>
    <t>0364-2348</t>
  </si>
  <si>
    <t>1432-2161</t>
  </si>
  <si>
    <t>SKELETAL RADIOL</t>
  </si>
  <si>
    <t>Skeletal Radiol.</t>
  </si>
  <si>
    <t>1045</t>
  </si>
  <si>
    <t>1059</t>
  </si>
  <si>
    <t>10.1007/s00256-024-04590-x</t>
  </si>
  <si>
    <t>http://dx.doi.org/10.1007/s00256-024-04590-x</t>
  </si>
  <si>
    <t>Orthopedics; Radiology, Nuclear Medicine &amp; Medical Imaging</t>
  </si>
  <si>
    <t>NG0J4</t>
  </si>
  <si>
    <t>38265451</t>
  </si>
  <si>
    <t>WOS:001147821900001</t>
  </si>
  <si>
    <t>Matsoukas, S; Zipser, CM; Zipser-Mohammadzada, F; Kheram, N; Boraschi, A; Jiang, ZL; Tetreault, L; Fehlings, MG; Davies, BM; Margetis, K</t>
  </si>
  <si>
    <t>Study Design This study is a scoping review.Objective There is a broad variability in the definition of degenerative cervical myelopathy (DCM) and no standardized set of diagnostic criteria to date.Methods We interrogated the Myelopathy.org database, a hand-indexed database of primary clinical studies conducted exclusively on DCM in humans between 2005-2021. The DCM inclusion criteria used in these studies were inputted into 3 topic modeling algorithms: Hierarchical Dirichlet Process (HDP), Latent Dirichlet Allocation (LDA), and BERtopic. The emerging topics were subjected to manual labeling and interpretation.Results Of 1676 reports, 120 papers (7.16%) had well-defined inclusion criteria and were subjected to topic modeling. Four topics emerged from the HDP model: disturbance from extremity weakness and motor signs; fine-motor and sensory disturbance of upper extremity; a combination of imaging and clinical findings is required for the diagnosis; and "reinforcing" (or modifying) factors that can aid in the diagnosis in borderline cases. The LDA model showed the following topics: disturbance to the patient is required for the diagnosis; reinforcing factors can aid in the diagnosis in borderline cases; clinical findings from the extremities; and a combination of imaging and clinical findings is required for the diagnosis. BERTopic identified the following topics: imaging abnormality, typical clinical features, range of objective criteria, and presence of clinical findings.Conclusions This review provides quantifiable data that only a minority of past studies in DCM provided meaningful inclusion criteria. The items and patterns found here are very useful for the development of diagnostic criteria for DCM.</t>
  </si>
  <si>
    <t>Matsoukas, Stavros; Zipser, Carl Moritz; Zipser-Mohammadzada, Freschta; Kheram, Najmeh; Boraschi, Andrea; Jiang, Zhilin; Tetreault, Lindsay; Fehlings, Michael G.; Davies, Benjamin M.; Margetis, Konstantinos</t>
  </si>
  <si>
    <t>Matsoukas, S; Margetis, K (corresponding author), Icahn Sch Med Mt Sinai, Dept Neurosurg, Madison 1468, New York, NY 10029 USA.; Matsoukas, S (corresponding author), Mt Sinai Hlth Syst, Dept Neurosurg, Annenberg Bldg,Room 20-86,1468 Madison Ave, New York, NY 10029 USA.</t>
  </si>
  <si>
    <t>stavrosmatsoukas@hotmail.com; konstantinos.margetis@mountsinai.org</t>
  </si>
  <si>
    <t>Swiss Paraplegia Foundation [FoKo_2019_01]; International Foundation for Research in Paraplegia [P 190]; Swdsiss National Science Foundation [205321_182683]; Swiss National Science Foundation (SNF) [205321_182683] Funding Source: Swiss National Science Foundation (SNF)</t>
  </si>
  <si>
    <t>Swiss Paraplegia Foundation; International Foundation for Research in Paraplegia; Swdsiss National Science Foundation; Swiss National Science Foundation (SNF)</t>
  </si>
  <si>
    <t>The author(s) disclosed receipt of the following financial support for the research, authorship, and/or publication of this article: Stavros Matsoukas: none, Carl Moritz Zipser: grant from the Swiss Paraplegia Foundation (FoKo_2019_01) and a grant from the International Foundation for Research in Paraplegia (P 190), Freschta Zipser-Mohammadzada: none, Najmeh Kheram: none, Andrea Boraschi: Funded by the Swdsiss National Science Foundation through Project Nr. 205321_182683, Zhilin Jiang: none, Lindsay Tetreault: none, Michael G. Fehlings: none, Benjamin M. Davies:none, Konstantinos Margetis: none.</t>
  </si>
  <si>
    <t>[Matsoukas, Stavros; Margetis, Konstantinos] Icahn Sch Med Mt Sinai, Dept Neurosurg, Madison 1468, New York, NY 10029 USA; [Zipser, Carl Moritz; Zipser-Mohammadzada, Freschta; Kheram, Najmeh] Balgrist Univ Hosp, Spinal Cord Injury Ctr, Zurich, Switzerland; [Kheram, Najmeh; Boraschi, Andrea] Univ Zurich, Inst Physiol, Interface Grp, Zurich, Switzerland; [Jiang, Zhilin] Kings Coll Hosp NHS Fdn Trust, London, England; [Tetreault, Lindsay] NYU, Dept Neurol, Langone Hlth, Grad Med Educ, New York, NY USA; [Fehlings, Michael G.] Univ Toronto, Div Neurosurg, Toronto, ON, Canada; [Fehlings, Michael G.] Univ Toronto, Spine Program, Toronto, ON, Canada; [Fehlings, Michael G.] Univ Hlth Network, Toronto Western Hosp, Toronto, ON, Canada; [Davies, Benjamin M.] Myelopathy Org, Int Char Degenerat Cerv Myelopathy, Cambridge, England; [Davies, Benjamin M.] Univ Cambridge, Dept Neurosurg, Cambridge, England; [Matsoukas, Stavros] Mt Sinai Hlth Syst, Dept Neurosurg, Annenberg Bldg,Room 20-86,1468 Madison Ave, New York, NY 10029 USA</t>
  </si>
  <si>
    <t>Icahn School of Medicine at Mount Sinai; University of Zurich; University of Zurich; King's College Hospital NHS Foundation Trust; New York University; University of Toronto; University of Toronto; University Health Network Toronto; University of Toronto; University Health Network Toronto; University of Cambridge; Icahn School of Medicine at Mount Sinai</t>
  </si>
  <si>
    <t>Scoping Review with Topic Modeling on the Diagnostic Criteria for Degenerative Cervical Myelopathy</t>
  </si>
  <si>
    <t>GLOBAL SPINE JOURNAL</t>
  </si>
  <si>
    <t>cervical; degenerative; disc herniation; spinal cord injury; magnetic resonance imaging; myelopathy</t>
  </si>
  <si>
    <t>CLINICAL-PREDICTION MODEL; SPONDYLOTIC MYELOPATHY; OUTCOMES; EPIDEMIOLOGY; MANAGEMENT; SURGERY; DCM</t>
  </si>
  <si>
    <t>Zipser, Carl/ACR-8199-2022; Margetis, Konstantinos/M-1104-2019; Matsoukas, Stavros/KHY-7217-2024; Davies, Benjamin/AAB-6000-2019</t>
  </si>
  <si>
    <t>Fehlings, Michael G/0000-0002-5722-6364; Margetis, Konstantinos/0000-0002-3715-8093; Matsoukas, Stavros/0000-0001-5902-0637; Boraschi, Anea/0000-0002-2908-5234; Davies, Benjamin/0000-0003-0591-5069</t>
  </si>
  <si>
    <t>2192-5682</t>
  </si>
  <si>
    <t>2192-5690</t>
  </si>
  <si>
    <t>GLOB SPINE J</t>
  </si>
  <si>
    <t>Glob. Spine J.</t>
  </si>
  <si>
    <t>2155</t>
  </si>
  <si>
    <t>2169</t>
  </si>
  <si>
    <t>10.1177/21925682241237469</t>
  </si>
  <si>
    <t>http://dx.doi.org/10.1177/21925682241237469</t>
  </si>
  <si>
    <t>G4Z0F</t>
  </si>
  <si>
    <t>38442295</t>
  </si>
  <si>
    <t>WOS:001179539800001</t>
  </si>
  <si>
    <t>Tsvetanova, A; Sperrin, M; Peek, N; Buchan, I; Hyland, S; Martin, GP</t>
  </si>
  <si>
    <t>Objectives: No clear guidance exists on handling missing data at each stage of developing, validating and implementing a clinical prediction model (CPM). We aimed to review the approaches to handling missing data that underly the CPMs currently recommended for use in UK healthcare. Study Design and Setting: A descriptive cross-sectional meta-epidemiological study aiming to identify CPMs recommended by the National Institute for Health and Care Excellence (NICE), which summarized how missing data is handled across their pipelines. Results: A total of 23 CPMs were included through "sampling strategy." Six missing data strategies were identified: complete case analysis (CCA), multiple imputation, imputation of mean values, k-nearest neighbours imputation, using an additional category for missingness, considering missing values as risk-factor-absent. 52% of the development articles and 48% of the validation articles did not report how missing data were handled. CCA was the most common approach used for development (40%) and validation (44%). At implementation, 57% of the CPMs required complete data entry, whilst 43% allowed missing values. Three CPMs had consistent paths in their pipelines. Conclusion: A broad variety of methods for handling missing data underly the CPMs currently recommended for use in UK healthcare. Missing data handling strategies were generally inconsistent. Better quality assurance of CPMs needs greater clarity and consistency in handling of missing data. (c) 2021 Elsevier Inc. All rights reserved.</t>
  </si>
  <si>
    <t>Tsvetanova, Antonia; Sperrin, Matthew; Peek, Niels; Buchan, Iain; Hyland, Stephanie; Martin, Glen P.</t>
  </si>
  <si>
    <t>Tsvetanova, A (corresponding author), Univ Manchester, Manchester Acad Hlth Sci Ctr, Div Informat Imaging &amp; Data Sci, Ctr Hlth Informat,Fac Biol Med &amp; Hlth, Manchester, Lancs, England.</t>
  </si>
  <si>
    <t>antonia.tsvetanova@manchester.ac.uk</t>
  </si>
  <si>
    <t>Mi-crosoft Research [18000110]; EPSRC iCASE; Engineering and Physical Sciences Research Council [EP/P010148/1] Funding Source: researchfish; National Institute for Health Research [NF-SI-0617-10174] Funding Source: researchfish; EPSRC [EP/P010148/1] Funding Source: UKRI; MRC [MR/S027750/1] Funding Source: UKRI</t>
  </si>
  <si>
    <t>Mi-crosoft Research (Microsoft); EPSRC iCASE (UK Research &amp; Innovation (UKRI), Engineering &amp; Physical Sciences Research Council (EPSRC)); Engineering and Physical Sciences Research Council (UK Research &amp; Innovation (UKRI), Engineering &amp; Physical Sciences Research Council (EPSRC)); National Institute for Health Research (National Institutes of Health Research (NIHR)); EPSRC (UK Research &amp; Innovation (UKRI), Engineering &amp; Physical Sciences Research Council (EPSRC)); MRC (UK Research &amp; Innovation (UKRI), Medical Research Council UK (MRC))</t>
  </si>
  <si>
    <t>DY This work was supported by EPSRC iCASE and Mi-crosoft Research through its PhD Scholarship Programme. Grant number: 18000110.</t>
  </si>
  <si>
    <t>[Tsvetanova, Antonia; Sperrin, Matthew; Peek, Niels; Buchan, Iain; Martin, Glen P.] Univ Manchester, Manchester Acad Hlth Sci Ctr, Div Informat Imaging &amp; Data Sci, Ctr Hlth Informat,Fac Biol Med &amp; Hlth, Manchester, Lancs, England; [Peek, Niels] Univ Manchester, Manchester Acad Hlth Sci Ctr, Fac Biol Med &amp; Hlth, NIHR Manchester Biomed Res Ctr, Manchester, Lancs, England; [Hyland, Stephanie] Microsoft Res Cambridge, Cambridge, England; [Buchan, Iain] Univ Liverpool, Inst Populat Hlth, Liverpool, Merseyside, England</t>
  </si>
  <si>
    <t>University of Manchester; University of Manchester; Microsoft; Microsoft United Kingdom; University of Liverpool</t>
  </si>
  <si>
    <t>Missing data was handled inconsistently in UK prediction models: a review of method used</t>
  </si>
  <si>
    <t>Statistical models; Prognosis; Predictive medicine; Missing data; Imputation; Missing data handling approaches</t>
  </si>
  <si>
    <t>RISK SCORE; ATRIAL-FIBRILLATION; PROGNOSTIC INDEX; VALIDATION; DERIVATION; SEVERITY; STROKE; THORACOSCORE; PERFORMANCE; DIAGNOSIS</t>
  </si>
  <si>
    <t>Buchan, Iain/H-5767-2013; Peek, Niels/AAD-9334-2019; Martin, Glen Philip/I-7824-2019</t>
  </si>
  <si>
    <t>Buchan, Iain/0000-0003-3392-1650; Peek, Niels/0000-0002-6393-9969; , Stephanie/0000-0001-7571-6036; Sperrin, Matthew/0000-0002-5351-9960; Martin, Glen Philip/0000-0002-3410-9472; Tsvetanova, Antonia/0000-0003-1875-1921</t>
  </si>
  <si>
    <t>158</t>
  </si>
  <si>
    <t>10.1016/j.jclinepi.2021.09.008</t>
  </si>
  <si>
    <t>http://dx.doi.org/10.1016/j.jclinepi.2021.09.008</t>
  </si>
  <si>
    <t>WL6OF</t>
  </si>
  <si>
    <t>34520847</t>
  </si>
  <si>
    <t>WOS:000710522000009</t>
  </si>
  <si>
    <t>Green Published; Green Submitted</t>
  </si>
  <si>
    <t>Parizi, MK; Margulis, V; Lotan, Y; Aydh, A; Shariat, SF</t>
  </si>
  <si>
    <t>To identify risk factors for upper urinary tract recurrence (UUTR) in patients treated with radical cystectomy (RC) for urothelial bladder carcinoma (UBC). The PubMed, Web of Science, and Cochrane Library were searched on March 2022 to identify relevant studies according to the Preferred Reporting Items for Systematic Review (PRISMA) statement. We included studies that provided multivariate logistic regression analyses. The pooled UUTR rate was calculated using a fixed effect model. We identified 235 papers, of which seven and 6 articles, comprising a total of 8981 and 8404 UBC patients, were selected for qualitative and quantitative analyses, respectively. Overall, 418 (4.65%) patients were diagnosed with UUTR within a median time of 1.4 to 3.1 years after RC. Risk factors for UUTR were surgical margin (hazard ratio [HR] 3.41, 95% confidence interval [CI] 2.59-4.49, P &lt; .00001), preoperative hydronephrosis (HR: 1.74, 95% CI: 1.25-2.43, P = .001), ureteral margin (HR: 4.34, 95% CI: 2.75-6.85, P &lt; .00001), and pT stage (HR: 2.69, 95% CI: 1.37-5.27, P &lt; .004). Incorporation of established risk factors into a clinical prediction model might aid in the decision-making process regarding the intensit y and t ype of surveillance protocols after RC as well as help determine the pretest probability of UUTR.</t>
  </si>
  <si>
    <t>Parizi, Mehdi Kardoust; Margulis, Vitaly; Lotan, Yair; Aydh, Abdulmajeed; Shariat, Shahrokh F.</t>
  </si>
  <si>
    <t>Shariat, SF (corresponding author), Med Univ Vienna, Vienna Gen Hosp, Comprehens Canc Ctr, Wahringer Gurtel 18-20, A-1090 Vienna, Austria.</t>
  </si>
  <si>
    <t>sfshariat@gmail.com</t>
  </si>
  <si>
    <t>[Parizi, Mehdi Kardoust] Univ Tehran Med Sci, Shariati Hosp, Dept Urol, Tehran, Iran; [Parizi, Mehdi Kardoust; Aydh, Abdulmajeed; Shariat, Shahrokh F.] Med Univ Vienna, Comprehens Canc Ctr, Dept Urol, Vienna, Austria; [Margulis, Vitaly; Lotan, Yair; Shariat, Shahrokh F.] Univ Texas Southwestern Med Ctr, Dept Urol, Dallas, TX USA; [Aydh, Abdulmajeed] King Faisal Med City, Dept Urol, Abha, Saudi Arabia; [Shariat, Shahrokh F.] Weill Cornell Med Coll, Dept Urol, New York, NY USA; [Shariat, Shahrokh F.] Charles Univ Prague, Fac Med 2, Dept Urol, Prague, Czech Republic; [Shariat, Shahrokh F.] IM Sechenov First Moscow State Med Univ, Inst Urol &amp; Reprod Hlth, Moscow, Russia; [Shariat, Shahrokh F.] Al Ahliyya Amman Univ, Hourani Ctr Appl Sci Res, Amman, Jordan; [Shariat, Shahrokh F.] Med Univ Vienna, Vienna Gen Hosp, Comprehens Canc Ctr, Wahringer Gurtel 18-20, A-1090 Vienna, Austria</t>
  </si>
  <si>
    <t>Tehran University of Medical Sciences; Medical University of Vienna; University Hospital Vienna; University of Texas System; University of Texas Southwestern Medical Center; King Faisal Medical City; Cornell University; Weill Cornell Medicine; Charles University Prague; Sechenov First Moscow State Medical University; Al-Ahliyya Amman University; Medical University of Vienna</t>
  </si>
  <si>
    <t>A Systematic Review and Meta-Analysis of Clinicopathologic Factors Predicting Upper Urinary Tract Recurrence After Radical Cystectomy for Urothelial Bladder Cancer</t>
  </si>
  <si>
    <t>CLINICAL GENITOURINARY CANCER</t>
  </si>
  <si>
    <t>Urothelial carcinoma; Relapse; Survellance; Transitional cell carcinoma; Ureteral margin</t>
  </si>
  <si>
    <t>REMNANT UROTHELIUM; FOLLOW-UP; CHEMOTHERAPY</t>
  </si>
  <si>
    <t>Lotan, Yair/ABD-9149-2022; kardoust parizi, mehdi/AAS-7486-2020; AYDH, ABDULMAJEED/HKP-1304-2023</t>
  </si>
  <si>
    <t>kardoust parizi, mehdi/0000-0002-9380-8492</t>
  </si>
  <si>
    <t>CIG MEDIA GROUP, LP</t>
  </si>
  <si>
    <t>DALLAS</t>
  </si>
  <si>
    <t>3500 MAPLE AVENUE, STE 750, DALLAS, TX 75219-3931 USA</t>
  </si>
  <si>
    <t>1558-7673</t>
  </si>
  <si>
    <t>1938-0682</t>
  </si>
  <si>
    <t>CLIN GENITOURIN CANC</t>
  </si>
  <si>
    <t>Clin. Genitourin. Cancer</t>
  </si>
  <si>
    <t>317</t>
  </si>
  <si>
    <t>323</t>
  </si>
  <si>
    <t>10.1016/j.clgc.2022.11.002</t>
  </si>
  <si>
    <t>http://dx.doi.org/10.1016/j.clgc.2022.11.002</t>
  </si>
  <si>
    <t>Oncology; Urology &amp; Nephrology</t>
  </si>
  <si>
    <t>J4HI6</t>
  </si>
  <si>
    <t>36513557</t>
  </si>
  <si>
    <t>WOS:001009235300001</t>
  </si>
  <si>
    <t>Nopp, S; Ay, C</t>
  </si>
  <si>
    <t>The recommended treatment for patients with venous thromboembolism (VTE) is anticoagulation for at least 3 months. However, anticoagulant treatment increases the risk of bleeding, and patients at high risk for major bleeding might benefit from treatment discontinuation. In this review, we discuss strategies for assessing bleeding risk and compare different bleeding risk tools. Bleeding risk assessment is best viewed as a continuous approach with varying challenges throughout the acute and chronic phase. At diagnosis, bleeding risk factors must be identified and reversible risk factors treated or modified. After initial treatment, repeated bleeding risk assessment is crucial for the decision on extended/long-term anticoagulation. Current clinical prediction models (e.g., HAS-BLED, RIETE, or VTE-BLEED scores) are externally validated tools with relevant differences in specificity and sensitivity, which can aid in clinical decision-making. Unfortunately, none of the current bleeding risk assessment tools has been investigated in clinical trials and provides evidence to withhold anticoagulation treatment based on the score. Nevertheless, the HAS-BLED or RIETE score can be used to identify patients at high risk for major bleeding during the initial treatment phase, while the VTE-BLEED score might be used to identify patients at low risk for bleeding and, therefore, to safely administer extended/long-term anticoagulation for secondary thromboprophylaxis. As clinical prediction scores still lack predictive value, future research should focus on developing biomarker-based risk assessment models.</t>
  </si>
  <si>
    <t>Nopp, Stephan; Ay, Cihan</t>
  </si>
  <si>
    <t>Ay, C (corresponding author), Med Univ Vienna, Dept Med 1, Clin Div Haematol &amp; Haemostaseol, Waehringer Guertel 18-20, A-1090 Vienna, Austria.</t>
  </si>
  <si>
    <t>cihan.ay@meduniwien.ac.at</t>
  </si>
  <si>
    <t>[Nopp, Stephan; Ay, Cihan] Med Univ Vienna, Dept Med 1, Clin Div Haematol &amp; Haemostaseol, Waehringer Guertel 18-20, A-1090 Vienna, Austria</t>
  </si>
  <si>
    <t>Medical University of Vienna</t>
  </si>
  <si>
    <t>Bleeding Risk Assessment in Patients with Venous Thromboembolism</t>
  </si>
  <si>
    <t>HAMOSTASEOLOGIE</t>
  </si>
  <si>
    <t>venous thromboembolism; anticoagulants; risk assessment; hemorrhage</t>
  </si>
  <si>
    <t>DIFFERENTIATION FACTOR 15; DEEP-VEIN THROMBOSIS; ATRIAL-FIBRILLATION; ORAL ANTICOAGULATION; PULMONARY-EMBOLISM; PREDICTION SCORES; CASE-FATALITY; EVENTS; VALIDATION; THERAPY</t>
  </si>
  <si>
    <t>Nopp, Stephan/0000-0002-4504-482X</t>
  </si>
  <si>
    <t>GEORG THIEME VERLAG KG</t>
  </si>
  <si>
    <t>STUTTGART</t>
  </si>
  <si>
    <t>Oswald-Hesse-Strasse 50, D-70469 STUTTGART, GERMANY</t>
  </si>
  <si>
    <t>0720-9355</t>
  </si>
  <si>
    <t>2567-5761</t>
  </si>
  <si>
    <t>Hamostaseologie</t>
  </si>
  <si>
    <t>04</t>
  </si>
  <si>
    <t>267</t>
  </si>
  <si>
    <t>274</t>
  </si>
  <si>
    <t>10.1055/a-1339-9987</t>
  </si>
  <si>
    <t>http://dx.doi.org/10.1055/a-1339-9987</t>
  </si>
  <si>
    <t>FEB 2021</t>
  </si>
  <si>
    <t>TZ7PQ</t>
  </si>
  <si>
    <t>33626580</t>
  </si>
  <si>
    <t>WOS:000621185700001</t>
  </si>
  <si>
    <t>O'Connor, S; Vercell, A; Wong, DV; Yorke, J; Fallatah, FA; Cave, L; Chen, LYA</t>
  </si>
  <si>
    <t>Purpose: Artificial Intelligence is being applied in oncology to improve patient and service outcomes. Yet, there is a limited understanding of how these advanced computational techniques are employed in cancer nursing to inform clinical practice. This review aimed to identify and synthesise evidence on artificial intelligence in cancer nursing. Methods: CINAHL, MEDLINE, PsycINFO, and PubMed were searched using key terms between January 2010 and December 2022. Titles, abstracts, and then full texts were screened against eligibility criteria, resulting in twenty studies being included. Critical appraisal was undertaken, and relevant data extracted and analysed. The Preferred Reporting Items for Systematic Reviews and Meta-Analyses (PRISMA) guidelines were followed. Results: Artificial intelligence was used in numerous areas including breast, colorectal, liver, and ovarian cancer care among others. Algorithms were trained and tested on primary and secondary datasets to build predictive models of health problems related to cancer. Studies reported this led to improvements in the accuracy of predicting health outcomes or identifying variables that improved outcome prediction. While nurses led most studies, few deployed an artificial intelligence based digital tool with cancer nurses in a real-world setting as studies largely focused on developing and validating predictive models. Conclusion: Electronic cancer nursing datasets should be established to enable artificial intelligence techniques to be tested and if effective implemented in digital prediction and other AI-based tools. Cancer nurses need more education on machine learning and natural language processing, so they can lead and contribute to artificial intelligence developments in oncology.</t>
  </si>
  <si>
    <t>O'Connor, Siobhan; Vercell, Amy; Wong, David; Yorke, Janelle; Fallatah, Fatmah Abdulsamad; Cave, Louise; Chen, Lu-Yen Anny</t>
  </si>
  <si>
    <t>O'Connor, S (corresponding author), Kings Coll London, Florence Nightingale Fac Nursing Midwifery &amp; Palli, James Clerk Maxwell Bldg,57 Waterloo Rd, London SE1 8WA, England.</t>
  </si>
  <si>
    <t>siobhan.oconnor@kcl.ac.uk; Janelle.Yorke@nhs.net; a.vercell@nhs.net; louise.cave4@nhs.net; D.C.Wong@leeds.ac.uk; ffatmah@kfshrc.edu.sa; annychen@nycu.edu.tw</t>
  </si>
  <si>
    <t>[O'Connor, Siobhan; Vercell, Amy; Yorke, Janelle] Kings Coll London, Florence Nightingale Fac Nursing, Midwifery &amp; Palliat Care, London, England; [Vercell, Amy; Yorke, Janelle] Christie NHS Fdn Trust, Wilmslow Rd, Manchester M20 4BX, Lancs, England; [Wong, David] Univ Leeds, Leeds Inst Hlth Informat, Leeds, England; [Fallatah, Fatmah Abdulsamad] King Faisal Specialist Hosp &amp; Res Ctr, Dept Nursing Affairs, Riyadh, Saudi Arabia; [Cave, Louise] NHS Transformat Directorate, NHS England, London, England; [Chen, Lu-Yen Anny] Natl Yang Ming Chiao Tung Univ, Inst Clin Nursing, Coll Nursing, Taipei, Taiwan; [O'Connor, Siobhan] Kings Coll London, Florence Nightingale Fac Nursing Midwifery &amp; Palli, James Clerk Maxwell Bldg,57 Waterloo Rd, London SE1 8WA, England</t>
  </si>
  <si>
    <t>University of London; King's College London; Christie NHS Foundation Trust; University of Leeds; King Faisal Specialist Hospital &amp; Research Center; National Yang Ming Chiao Tung University; University of London; King's College London</t>
  </si>
  <si>
    <t>The application and use of artificial intelligence in cancer nursing: A systematic review</t>
  </si>
  <si>
    <t>EUROPEAN JOURNAL OF ONCOLOGY NURSING</t>
  </si>
  <si>
    <t>Artificial intelligence; Cancer nursing; Machine learning; Natural language processing; Oncology</t>
  </si>
  <si>
    <t>CLINICAL-PREDICTION MODELS; CARE; ONCOLOGY; HEALTH; NEEDS</t>
  </si>
  <si>
    <t>Chen, Lu-Yen/LIG-0307-2024; O'Connor, Siobhan/D-8140-2015; Yorke, Janelle/A-5393-2015; Cave, Louise/LKM-2729-2024</t>
  </si>
  <si>
    <t>Fallatah, Fatmah/0000-0001-6550-4697; Chen, Lu-Yen/0000-0001-6223-3748; O'Connor, Siobhan/0000-0001-8579-1718; Wong, David/0000-0001-8117-9193; Cave, Louise/0000-0002-0360-7559</t>
  </si>
  <si>
    <t>1462-3889</t>
  </si>
  <si>
    <t>1532-2122</t>
  </si>
  <si>
    <t>EUR J ONCOL NURS</t>
  </si>
  <si>
    <t>Eur. J. Oncol. Nurs.</t>
  </si>
  <si>
    <t>102510</t>
  </si>
  <si>
    <t>10.1016/j.ejon.2024.102510</t>
  </si>
  <si>
    <t>http://dx.doi.org/10.1016/j.ejon.2024.102510</t>
  </si>
  <si>
    <t>Oncology; Nursing</t>
  </si>
  <si>
    <t>KE5D3</t>
  </si>
  <si>
    <t>38310664</t>
  </si>
  <si>
    <t>WOS:001178285600001</t>
  </si>
  <si>
    <t>Bronze; Green Submitted; Green Published</t>
  </si>
  <si>
    <t>Crisan, DN; Cut, TG; Herlo, LF; Ivanovic, N; Herlo, A; Alexandrescu, L; Salcudean, A; Dumache, R</t>
  </si>
  <si>
    <t>Venous thromboembolism (VTE), which includes deep vein thrombosis and pulmonary embolism, is a significant and preventable cause of morbidity and mortality worldwide. Despite the existence of clinical prediction models, biomarker-based risk assessments, and imaging techniques, gaps remain in accurately identifying and managing high-risk patients. In recent years, artificial intelligence has emerged as a transformative tool in healthcare, offering promising applications for enhancing VTE prevention strategies. This narrative review synthesizes current evidence on the use of artificial intelligence (AI) technologies including machine learning (ML), deep learning (DL), and natural language processing (NLP). We explore how supervised ML algorithms, such as random forests, support vector machines, and gradient boosting, improve predictive performance compared to traditional models by capturing complex, nonlinear relationships within electronic health record data. We also examine the role of DL models, particularly convolutional neural networks, in interpreting imaging data, achieving diagnostic accuracies comparable to expert radiologists. Additionally, the review highlights NLP applications in extracting risk-relevant information from unstructured clinical notes and the emerging integration of wearable device data and time-series analysis for dynamic risk assessment. We argue that the successful integration of AI into routine VTE prevention workflows requires rigorous prospective validation, cross-institutional collaboration, and thoughtful implementation into clinical decision support systems.</t>
  </si>
  <si>
    <t>Crisan, Daniela Nicoleta; Cut, Talida Georgiana; Herlo, Lucian-Flavius; Ivanovic, Nina; Herlo, Alexandra; Alexandrescu, Luana; Salcudean, Andreea; Dumache, Raluca</t>
  </si>
  <si>
    <t>Herlo, A (corresponding author), Victor Babes Univ Med &amp; Pharm Timisoara, Dept Discipline Infect Dis 13, 2 Eftimie Murgu Sq, Timisoara 300041, Romania.; Alexandrescu, L (corresponding author), Sf Apostol Andrei Emergency Cty Hosp, Gastroenterol Dept, 145 Tomis Blvd, Constanta 900591, Romania.</t>
  </si>
  <si>
    <t>daniela.crisan@umft.ro; flavius.herlo@umft.ro; raluca.dumache@umft.ro; luana.alexandrescu@365.univ-ovidius.ro; nina.ivanovic@umft.ro; alexandra.mocanu@umft.ro; andreea.salcudean@umfst.ro; talida.cut@umft.ro</t>
  </si>
  <si>
    <t>"Victor Babes" University of Medicine and Pharmacy</t>
  </si>
  <si>
    <t>This research received no external funding. The Victor Babes University of Medicine and Pharmacy provided support in covering the publication costs for this research paper.</t>
  </si>
  <si>
    <t>[Crisan, Daniela Nicoleta; Herlo, Lucian-Flavius; Ivanovic, Nina] Victor Babes Univ Med &amp; Pharm Timisoara, Doctoral Sch, Timisoara 300041, Romania; [Cut, Talida Georgiana; Herlo, Alexandra] Victor Babes Univ Med &amp; Pharm Timisoara, Dept Discipline Infect Dis 13, 2 Eftimie Murgu Sq, Timisoara 300041, Romania; [Ivanovic, Nina] Victor Babes Univ Med &amp; Pharm Timisoara, Dept Dermatol, E Murgu Sq 2, Timisoara 300041, Romania; [Ivanovic, Nina; Salcudean, Andreea] George Emil Palade Univ Med Pharm Sci &amp; Technol Ta, Dept Eth &amp; Social Sci, Targu Mures 540139, Romania; [Alexandrescu, Luana] Sf Apostol Andrei Emergency Cty Hosp, Gastroenterol Dept, 145 Tomis Blvd, Constanta 900591, Romania; [Dumache, Raluca] Victor Babes Univ Med &amp; Pharm Timisoara, Dept Forens Med Bioeth Med Eth &amp; Med Law, Timisoara 300041, Romania; [Dumache, Raluca] Victor Babes Univ Med &amp; Pharm Timisoara, Ctr Eth Human Genet Identificat, E Murgu Sq 2, Timisoara 300041, Romania</t>
  </si>
  <si>
    <t>Victor Babes University of Medicine &amp; Pharmacy, Timisoara; Victor Babes University of Medicine &amp; Pharmacy, Timisoara; George Emil Palade University of Medicine, Pharmacy, Science, &amp; Technology of Targu Mures; Victor Babes University of Medicine &amp; Pharmacy, Timisoara; Victor Babes University of Medicine &amp; Pharmacy, Timisoara</t>
  </si>
  <si>
    <t>Artificial Intelligence in Venous Thromboembolism Prevention: A Narrative Review of Machine Learning, Deep Learning, and Natural Language Processing</t>
  </si>
  <si>
    <t>JOURNAL OF CARDIOVASCULAR DEVELOPMENT AND DISEASE</t>
  </si>
  <si>
    <t>venous thromboembolism; deep vein thrombosis; pulmonary embolism; VTE prevention; artificial intelligence; machine learning; deep learning; neural networks</t>
  </si>
  <si>
    <t>Alexandrescu, Luana/IYS-8725-2023; Salcudean, Andreea/KDO-5230-2024; Cut, Talida Georgiana/ABF-6558-2021; Ivanovic, Nina/LVS-6814-2024</t>
  </si>
  <si>
    <t>Ivanovic, Nina/0009-0005-2187-289X</t>
  </si>
  <si>
    <t>2308-3425</t>
  </si>
  <si>
    <t>J CARDIOVASC DEV DIS</t>
  </si>
  <si>
    <t>J. Cardiovasc. Dev. Dis.</t>
  </si>
  <si>
    <t>MAR 6 2026</t>
  </si>
  <si>
    <t>10.3390/jcdd13030119</t>
  </si>
  <si>
    <t>http://dx.doi.org/10.3390/jcdd13030119</t>
  </si>
  <si>
    <t>FR5NZ</t>
  </si>
  <si>
    <t>41892708</t>
  </si>
  <si>
    <t>WOS:001725700600001</t>
  </si>
  <si>
    <t>Knitza, J; Kuhn, S; Gupta, L</t>
  </si>
  <si>
    <t>Purpose of ReviewThis article serves as a comprehensive review, focusing on digital approaches utilized in the diagnosis, monitoring, and treatment of patients with idiopathic inflammatory myopathies (IIM). The authors critically assess the literature published in the last three years, evaluating the advancements and progress achieved in this specific domain.Recent FindingsRemarkable strides have been made in the realm of digital diagnostic support, particularly in image analysis and clinical prediction models, showing promise in aiding the diagnosis of IIM. The field of remote patient monitoring has also witnessed significant advancements, revolutionizing the care process by offering more convenient, data-driven, and continuous monitoring for IIM patients. Various digital tools, such as wearables, video- and voice consultations, and electronic patient-reported outcomes, have been extensively explored and implemented to enhance patient care. Survey studies consistently reveal a high acceptance of telehealth services among patients. Additionally, internet-based studies have facilitated the efficient and rapid recruitment of IIM patients for research purposes. Moreover, the integration of sensors and exoskeletons has shown great potential in significantly improving the functionality and quality of life for individuals with muscle weakness caused by IIM.SummaryThe integration of digital health solutions in the care of IIM patients is steadily gaining attention and exploration. Although the existing evidence is limited, it does indicate that patients can be adequately and safely supported through digital means throughout their entire healthcare journey. The growing interest in digital health technologies holds the promise of improving the overall management and outcomes for individuals with idiopathic inflammatory myopathies.</t>
  </si>
  <si>
    <t>Knitza, Johannes; Kuhn, Sebastian; Gupta, Latika</t>
  </si>
  <si>
    <t>Knitza, J (corresponding author), Alexander Univ Erlangen Nurnberg, Dept Internal Med 3, Rheumatol &amp; Immunol Friedrich, Erlangen, Germany.; Knitza, J (corresponding author), Univ Klinikum Erlangen, Erlangen, Germany.; Knitza, J (corresponding author), Univ Grenoble Alpes, AGEIS, Grenoble, France.; Knitza, J (corresponding author), Univ Hosp Giessen &amp; Marburg, Philipps Univ Marburg, Inst Digital Med, Marburg, Germany.</t>
  </si>
  <si>
    <t>johannes.knitza@uni-marburg.de</t>
  </si>
  <si>
    <t>Projekt DEAL</t>
  </si>
  <si>
    <t>Projekt DEAL (Projekt DEAL)</t>
  </si>
  <si>
    <t>Open Access funding enabled and organized by Projekt DEAL.</t>
  </si>
  <si>
    <t>[Knitza, Johannes] Alexander Univ Erlangen Nurnberg, Dept Internal Med 3, Rheumatol &amp; Immunol Friedrich, Erlangen, Germany; [Knitza, Johannes] Univ Klinikum Erlangen, Erlangen, Germany; [Knitza, Johannes] Univ Grenoble Alpes, AGEIS, Grenoble, France; [Knitza, Johannes; Kuhn, Sebastian] Univ Hosp Giessen &amp; Marburg, Philipps Univ Marburg, Inst Digital Med, Marburg, Germany; [Gupta, Latika] Royal Wolverhampton Hosp NHS Trust, Dept Rheumatol, Wolverhampton, England; [Gupta, Latika] Sandwell &amp; West Birmingham Hosp NHS Trust, City Hosp, Birmingham, England; [Gupta, Latika] Univ Manchester, Ctr Musculoskeletal Res, Sch Biol Sci, Div Musculoskeletal &amp; Dermatol Sci, Manchester, England</t>
  </si>
  <si>
    <t>University of Erlangen Nuremberg</t>
  </si>
  <si>
    <t>Digital Approaches for Myositis</t>
  </si>
  <si>
    <t>CURRENT RHEUMATOLOGY REPORTS</t>
  </si>
  <si>
    <t>Myositis; Telehealth; eHealth; Wearables; Digital</t>
  </si>
  <si>
    <t>Gupta, Latika/GPP-3394-2022</t>
  </si>
  <si>
    <t>Knitza, Johannes/0000-0001-9695-0657</t>
  </si>
  <si>
    <t>1523-3774</t>
  </si>
  <si>
    <t>1534-6307</t>
  </si>
  <si>
    <t>CURR RHEUMATOL REP</t>
  </si>
  <si>
    <t>Curr. Rheumatol. Rep.</t>
  </si>
  <si>
    <t>259</t>
  </si>
  <si>
    <t>263</t>
  </si>
  <si>
    <t>10.1007/s11926-023-01119-4</t>
  </si>
  <si>
    <t>http://dx.doi.org/10.1007/s11926-023-01119-4</t>
  </si>
  <si>
    <t>DA1Z8</t>
  </si>
  <si>
    <t>37962833</t>
  </si>
  <si>
    <t>WOS:001100523200001</t>
  </si>
  <si>
    <t>Pozzi, J; D'Argenzio, J; Carriero, S; Cè, M; D'Arrigo, D; Biondetti, P; Lanza, CRLA; Angileri, SA; Pavan, M; Catona, R; Carrafiello, G</t>
  </si>
  <si>
    <t>Radiomics has produced tens of thousands of publications yet almost no handcrafted radiomic signatures in routine clinical use, and the reasons are increasingly understood to be problems of reproducibility and clinical translation rather than of algorithms. This critical narrative review argues that the field systematically generates paper-grade evidence-findings sufficient to publish-far faster than decision-grade evidence-findings sufficient to change clinical practice. Drawing on meta-scientific research, we describe seven fragility mechanisms (publication bias, analytical flexibility, underpowering, HARKing [hypothesizing after the results are known], citation distortion, cognitive bias, and misaligned incentives) and show why radiomics is structurally exposed to all of them simultaneously: high-dimensional feature spaces, acquisition-dependent measurement instability, segmentation variability, retrospective single-centre data, small samples, and leakage-prone validation. We then summarise empirical evidence on the radiomics literature, which remains pervaded by suboptimal methodological quality, near-absent negative results, limited external validation, sparse calibration and clinical-utility assessment, low data and code sharing, and a measurable retraction signal. We interpret these patterns as the output of a self-reinforcing system rather than isolated errors, and argue that better algorithms alone cannot resolve them. Finally, we argue that closing this gap requires not better models but evidentiary discipline: the consistent, enforceable application of standards the field already has, and the calibration of published claims to the strength of the underlying evidence.</t>
  </si>
  <si>
    <t>Pozzi, Jacopo; D'Argenzio, Jacopo; Carriero, Serena; Ce, Maurizio; D'Arrigo, Dario; Biondetti, Pierpaolo; Lanza, Carolina; Angileri, Salvatore Alessio; Pavan, Matilde; Catona, Rossella; Carrafiello, Gianpaolo</t>
  </si>
  <si>
    <t>Pozzi, J (corresponding author), Univ Milan, Postgrad Sch Radiodiagnost, I-20122 Milan, Italy.</t>
  </si>
  <si>
    <t>jacopo.dargenzio@unimi.it; dario.darrigo@unimi.it; gianpaolo.carrafiello@unimi.it; pierpaolo.biondetti@policlinico.mi.it; serena.carriero@gmail.com; carolina.lanza@unimi.it; alessioangileri@gmail.com; maurizioce.md1@gmail.com; matilde.pavan@unimi.it; jacopo.pozzi@unimi.it; rossella.catona@unimi.it</t>
  </si>
  <si>
    <t>[Pozzi, Jacopo; D'Argenzio, Jacopo; D'Arrigo, Dario; Pavan, Matilde; Catona, Rossella] Univ Milan, Postgrad Sch Radiodiagnost, I-20122 Milan, Italy; [Carriero, Serena; Ce, Maurizio; Biondetti, Pierpaolo; Lanza, Carolina; Angileri, Salvatore Alessio; Carrafiello, Gianpaolo] Fdn IRCCS Ca Granda Osped Maggiore Policlin, Dept Diagnost &amp; Intervent Radiol, Via Francesco Sforza 35, I-20122 Milan, Italy; [Carrafiello, Gianpaolo] Univ Milan, Dept Oncol &amp; Hematooncol, I-20122 Milan, Italy</t>
  </si>
  <si>
    <t>University of Milan; IRCCS Ca Granda Ospedale Maggiore Policlinico; University of Milan</t>
  </si>
  <si>
    <t>Why Radiomics Rarely Reaches the Clinic: Reproducibility, Validation, and Evidence Gap-A Critical Narrative Review</t>
  </si>
  <si>
    <t>radiomics; reproducibility; clinical translation; external validation; methodological quality; meta-research; data leakage; reporting guidelines; clinical prediction models; evidence-based radiology</t>
  </si>
  <si>
    <t>QUESTIONABLE RESEARCH PRACTICES; PUBLICATION; INCENTIVES; MODELS; VARIABILITY; RELIABILITY; STABILITY; TRUTH; BIAS</t>
  </si>
  <si>
    <t>Angileri, Salvatore/AAA-4464-2020</t>
  </si>
  <si>
    <t>163</t>
  </si>
  <si>
    <t>JUL 20 2026</t>
  </si>
  <si>
    <t>2266</t>
  </si>
  <si>
    <t>10.3390/diagnostics16142266</t>
  </si>
  <si>
    <t>http://dx.doi.org/10.3390/diagnostics16142266</t>
  </si>
  <si>
    <t>LU1PZ</t>
  </si>
  <si>
    <t>42510129</t>
  </si>
  <si>
    <t>WOS:001833299600001</t>
  </si>
  <si>
    <t>Filipow, N; Main, E; Sebire, NJ; Booth, J; Taylor, AM; Davies, G; Stanojevic, S</t>
  </si>
  <si>
    <t>Machine learning (ML) holds great potential for predicting clinical outcomes in heterogeneous chronic respiratory diseases (CRD) affecting children, where timely individualised treatments offer opportunities for health optimisation. This paper identifies rate-limiting steps in ML prediction model development that impair clinical translation and discusses regulatory, clinical and ethical considerations for ML implementation. A scoping review of ML prediction models in paediatric CRDs was undertaken using the PRISMA extension scoping review guidelines. From 1209 results, 25 articles published between 2013 and 2021 were evaluated for features of a good clinical prediction model using the Transparent Reporting of a multivariable prediction model for Individual Prognosis Or Diagnosis (TRIPOD) guidelines. Most of the studies were in asthma (80%), with few in cystic fibrosis (12%), bronchiolitis (4%) and childhood wheeze (4%). There were inconsistencies in model reporting and studies were limited by a lack of validation, and absence of equations or code for replication. Clinician involvement during ML model development is essential and diversity, equity and inclusion should be assessed at each step of the ML pipeline to ensure algorithms do not promote or amplify health disparities among marginalised groups. As ML prediction studies become more frequent, it is important that models are rigorously developed using published guidelines and take account of regulatory frameworks which depend on model complexity, patient safety, accountability and liability.</t>
  </si>
  <si>
    <t>Filipow, Nicole; Main, Eleanor; Sebire, Neil J.; Booth, John; Taylor, Andrew M.; Davies, Gwyneth; Stanojevic, Sanja</t>
  </si>
  <si>
    <t>Filipow, N (corresponding author), UCL, UCL Great Ormond St Inst Child Hlth, London, England.</t>
  </si>
  <si>
    <t>nicole.filipow.18@ucl.ac.uk</t>
  </si>
  <si>
    <t>UCL; GOSH; Toronto SickKids studentship; UK Research and Innovation Future Leaders Fellowship [MR/T041285/1]; SickKids CFIT Synergy grant; Vertex Pharmaceutical Research Innovation grant; European Respiratory Society; FLF [MR/T041285/1] Funding Source: UKRI; Rosetrees [M712] Funding Source: researchfish</t>
  </si>
  <si>
    <t>UCL; GOSH; Toronto SickKids studentship; UK Research and Innovation Future Leaders Fellowship (UK Research &amp; Innovation (UKRI)); SickKids CFIT Synergy grant; Vertex Pharmaceutical Research Innovation grant (Vertex Pharmaceuticals); European Respiratory Society; FLF (UK Research &amp; Innovation (UKRI)); Rosetrees</t>
  </si>
  <si>
    <t>NF received funding from a UCL, GOSH and Toronto SickKids studentship. GD is funded by a UK Research and Innovation Future Leaders Fellowship (Grant reference MR/T041285/1). SS received funding from a SickKids CFIT Synergy grant, Vertex Pharmaceutical Research Innovation grant, and the European Respiratory Society. All research at Great Ormond Street Hospital (GOSH) NHS Foundation Trust and UCL Great Ormond Street Institute of Child Health is made possible by the NIHR GOSH Biomedical Research Centre.</t>
  </si>
  <si>
    <t>[Filipow, Nicole; Main, Eleanor] UCL, UCL Great Ormond St Inst Child Hlth, London, England; [Sebire, Neil J.; Booth, John; Davies, Gwyneth] UCL, UCL Great Ormond St Inst Child Hlth, Populat Policy &amp; Practice Res &amp; Teaching Dept, London, England; [Sebire, Neil J.; Booth, John; Taylor, Andrew M.; Davies, Gwyneth] Great Ormond St Hosp Sick Children, GOSH NIHR BRC, London, England; [Taylor, Andrew M.] UCL, Inst Cardiovasc Sci, London, England; [Stanojevic, Sanja] Dalhousie Univ, Community Hlth &amp; Epidemiol, Halifax, NS, Canada</t>
  </si>
  <si>
    <t>University of London; University College London; University of London; University College London; University of London; University College London; Great Ormond Street Hospital for Children NHS Foundation Trust; University of London; University College London; Dalhousie University</t>
  </si>
  <si>
    <t>Implementation of prognostic machine learning algorithms in paediatric chronic respiratory conditions: a scoping review</t>
  </si>
  <si>
    <t>BMJ OPEN RESPIRATORY RESEARCH</t>
  </si>
  <si>
    <t>bronchiectasis; cystic fibrosis; paediatric asthma; paediatric lung disaese</t>
  </si>
  <si>
    <t>ELECTRONIC HEALTH RECORDS; PREDICTION MODEL; CHILDHOOD ASTHMA; EXACERBATIONS; CARE; PHENOTYPES; CHILDREN; SCORE; RISK</t>
  </si>
  <si>
    <t>Stanojevic, Sanja/A-4243-2010; Main, Eleanor/N-8653-2014; Davies, Gwyneth/AAE-9574-2020; Sebire, Neil/C-4960-2008</t>
  </si>
  <si>
    <t>Main, Eleanor/0000-0002-9739-3167; Taylor, Andrew/0000-0003-4194-7113; Davies, Gwyneth/0000-0001-7937-2728; Sebire, Neil/0000-0001-5348-9063; Filipow, Nicole/0000-0003-3544-6136</t>
  </si>
  <si>
    <t>2052-4439</t>
  </si>
  <si>
    <t>BMJ OPEN RESPIR RES</t>
  </si>
  <si>
    <t>BMJ Open Respir. Res.</t>
  </si>
  <si>
    <t>e001165</t>
  </si>
  <si>
    <t>10.1136/bmjresp-2021-001165</t>
  </si>
  <si>
    <t>http://dx.doi.org/10.1136/bmjresp-2021-001165</t>
  </si>
  <si>
    <t>ZV1KV</t>
  </si>
  <si>
    <t>35297371</t>
  </si>
  <si>
    <t>WOS:000770294800001</t>
  </si>
  <si>
    <t>Li, WL; Wang, HS; Dong, ST; Tang, ZR; Chen, LH; Cai, XT; Hu, ZH; Yin, CL</t>
  </si>
  <si>
    <t>Purpose The aim of this work was to investigate the risk factors for cement leakage and new-onset OVCF after Percutaneous vertebroplasty (PVP) and to develop and validate a clinical prediction model (Nomogram). Methods Patients with Osteoporotic VCF (OVCF) treated with PVP at Liuzhou People's Hospital from June 2016 to June 2018 were reviewed and met the inclusion criteria. Relevant data affecting bone cement leakage and new onset of OVCF were collected. Predictors were screened using univariate and multi-factor logistic analysis to construct Nomogram and web calculators. The consistency of the prediction models was assessed using calibration plots, and their predictive power was assessed by tenfold cross-validation. Clinical value was assessed using Decision curve analysis (DCA) and clinical impact plots. Results Higher BMI was associated with lower bone mineral density (BMD). Higher BMI, lower BMD, multiple vertebral fractures, no previous anti-osteoporosis treatment, and steroid use were independent risk factors for new vertebral fractures. Cement injection volume, time to surgery, and multiple vertebral fractures were risk factors for cement leakage after PVP. The development and validation of the Nomogram also demonstrated the predictive ability and clinical value of the model. Conclusions The established Nomogram and web calculator (https://dr-lee.shinyapps.io/RefractureApp/) (https://dr-lee.shinyapps.io/LeakageApp/) can effectively predict the occurrence of cement leakage and new OVCF after PVP.</t>
  </si>
  <si>
    <t>Li, Wenle; Wang, Haosheng; Dong, Shengtao; Tang, Zhi-Ri; Chen, Longhao; Cai, Xintian; Hu, Zhaohui; Yin, Chengliang</t>
  </si>
  <si>
    <t>Hu, ZH (corresponding author), Liuzhou Peoples Hosp, Dept Spinal Surg, Liuzhou 545000, Peoples R China.; Yin, CL (corresponding author), Chinese Peoples Liberat Army Gen Hosp, Natl Engn Lab Med Big Data Applicat Technol, Beijing 1000853, Peoples R China.; Yin, CL (corresponding author), Chinese Peoples Liberat Army Gen Hosp, Med Big Data Res Ctr, Med Innovat Res Div, Beijing 1000853, Peoples R China.; Yin, CL (corresponding author), Macau Univ Sci &amp; Technol, Fac Med, Taipa 999078, Macau, Peoples R China.</t>
  </si>
  <si>
    <t>gerintang@163.com; 278996834@qq.com; 981800749@qq.com; keguyixin@163.com; 962921098@qq.com; drlee0910@163.com; 329870376@qq.com; chengliangyin@163.com</t>
  </si>
  <si>
    <t>Medical Big Data and AI R&amp;D Project of Chinese PLA General Hospital [2019MBD-001]; National Natural Science Foundation of China [81260274]; Science and Technology Research and Development Program of Liuzhou City [2014J030405]</t>
  </si>
  <si>
    <t>Medical Big Data and AI R&amp;D Project of Chinese PLA General Hospital; National Natural Science Foundation of China (National Natural Science Foundation of China (NSFC)); Science and Technology Research and Development Program of Liuzhou City</t>
  </si>
  <si>
    <t>This study was supported by the Medical Big Data and AI R&amp;D Project of Chinese PLA General Hospital (2019MBD-001), the National Natural Science Foundation of China (81260274) and the Science and Technology Research and Development Program of Liuzhou City (2014J030405).</t>
  </si>
  <si>
    <t>[Li, Wenle] Xianyang Cent Hosp, Dept Orthoped, Xianyang 712000, Peoples R China; [Li, Wenle] Xianyang Cent Hosp, Clin Med Res Ctr, Xianyang 712000, Peoples R China; [Wang, Haosheng] Second Hosp Jilin Univ, Orthopaed Med Ctr, Changchun 130000, Peoples R China; [Dong, Shengtao] Dalian Med Univ, Dept Spine Surg, Affiliated Hosp 2, Dalian 116000, Peoples R China; [Tang, Zhi-Ri] Wuhan Univ, Sch Phys &amp; Technol, Wuhan 430072, Peoples R China; [Chen, Longhao] Guangxi Univ Chinese Med, Grad Sch, Nanning 530000, Peoples R China; [Cai, Xintian] Peoples Hosp Xinjiang Uygur Autonomous Reg, Hypertens Ctr, Urumqi 830001, Peoples R China; [Hu, Zhaohui] Liuzhou Peoples Hosp, Dept Spinal Surg, Liuzhou 545000, Peoples R China; [Yin, Chengliang] Chinese Peoples Liberat Army Gen Hosp, Natl Engn Lab Med Big Data Applicat Technol, Beijing 1000853, Peoples R China; [Yin, Chengliang] Chinese Peoples Liberat Army Gen Hosp, Med Big Data Res Ctr, Med Innovat Res Div, Beijing 1000853, Peoples R China; [Yin, Chengliang] Macau Univ Sci &amp; Technol, Fac Med, Taipa 999078, Macau, Peoples R China</t>
  </si>
  <si>
    <t>Jilin University; Dalian Medical University; Wuhan University; Guangxi University of Chinese Medicine; Chinese People's Liberation Army General Hospital; Chinese People's Liberation Army General Hospital; Macau University of Science and Technology</t>
  </si>
  <si>
    <t>Establishment and validation of a nomogram and web calculator for the risk of new vertebral compression fractures and cement leakage after percutaneous vertebroplasty in patients with osteoporotic vertebral compression fractures</t>
  </si>
  <si>
    <t>EUROPEAN SPINE JOURNAL</t>
  </si>
  <si>
    <t>Osteoporotic compression fractures; Percutaneous vertebroplasty; Bone cement leakage; Risk factors; Nomogram; Web calculator</t>
  </si>
  <si>
    <t>POSTMENOPAUSAL CHINESE WOMEN; CONSERVATIVE TREATMENT; BALLOON KYPHOPLASTY; COMPLICATIONS; METAANALYSIS; SECONDARY; MULTIPLE</t>
  </si>
  <si>
    <t>LI, WENLE/GWU-4985-2022; yin, chengliang/ADP-5778-2022; Tang, Zhiri/KMA-6367-2024</t>
  </si>
  <si>
    <t>Cai, Xintian/0000-0003-3172-1540; LI, WENLE/0000-0002-2933-646X; 陈, 龙豪/0000-0002-3563-4666</t>
  </si>
  <si>
    <t>0940-6719</t>
  </si>
  <si>
    <t>1432-0932</t>
  </si>
  <si>
    <t>EUR SPINE J</t>
  </si>
  <si>
    <t>Eur. Spine J.</t>
  </si>
  <si>
    <t>1108</t>
  </si>
  <si>
    <t>1121</t>
  </si>
  <si>
    <t>10.1007/s00586-021-07064-z</t>
  </si>
  <si>
    <t>http://dx.doi.org/10.1007/s00586-021-07064-z</t>
  </si>
  <si>
    <t>1I9UB</t>
  </si>
  <si>
    <t>34822018</t>
  </si>
  <si>
    <t>WOS:000722477200001</t>
  </si>
  <si>
    <t>Ghanem, M; Ghaith, AK; El-Hajj, VG; Bhandarkar, A; de Giorgio, A; Elmi-Terander, A; Bydon, M</t>
  </si>
  <si>
    <t>Clinical prediction models for spine surgery applications are on the rise, with an increasing reliance on machine learning (ML) and deep learning (DL). Many of the predicted outcomes are uncommon; therefore, to ensure the models' effectiveness in clinical practice it is crucial to properly evaluate them. This systematic review aims to identify and evaluate current research-based ML and DL models applied for spine surgery, specifically those predicting binary outcomes with a focus on their evaluation metrics. Overall, 60 papers were included, and the findings were reported according to the PRISMA guidelines. A total of 13 papers focused on lengths of stay (LOS), 12 on readmissions, 12 on non-home discharge, 6 on mortality, and 5 on reoperations. The target outcomes exhibited data imbalances ranging from 0.44% to 42.4%. A total of 59 papers reported the model's area under the receiver operating characteristic (AUROC), 28 mentioned accuracies, 33 provided sensitivity, 29 discussed specificity, 28 addressed positive predictive value (PPV), 24 included the negative predictive value (NPV), 25 indicated the Brier score with 10 providing a null model Brier, and 8 detailed the F1 score. Additionally, data visualization varied among the included papers. This review discusses the use of appropriate evaluation schemes in ML and identifies several common errors and potential bias sources in the literature. Embracing these recommendations as the field advances may facilitate the integration of reliable and effective ML models in clinical settings.</t>
  </si>
  <si>
    <t>Ghanem, Marc; Ghaith, Abdul Karim; El-Hajj, Victor Gabriel; Bhandarkar, Archis; de Giorgio, Andrea; Elmi-Terander, Adrian; Bydon, Mohamad</t>
  </si>
  <si>
    <t>Elmi-Terander, A (corresponding author), Karolinska Inst, Dept Clin Neurosci, S-17177 Stockholm, Sweden.; Elmi-Terander, A (corresponding author), Uppsala Univ, Dept Surg Sci, S-75236 Uppsala, Sweden.</t>
  </si>
  <si>
    <t>archis.bhandarkar@gmail.com; andrea@degiorgio.info; adrian.elmi.terander@ki.se; marc.ghanem01@lau.edu; ghaith.abdulkarim@mayo.edu; bydon.mohamad@mayo.edu; victor.gabriel.elhajj@stud.ki.se</t>
  </si>
  <si>
    <t>[Ghanem, Marc; Ghaith, Abdul Karim; El-Hajj, Victor Gabriel; Bhandarkar, Archis; Bydon, Mohamad] Mayo Clin, Mayo Clin Neuroinformat Lab, Rochester, MN 55902 USA; [Ghanem, Marc; Ghaith, Abdul Karim; El-Hajj, Victor Gabriel; Bhandarkar, Archis; Bydon, Mohamad] Mayo Clin, Dept Neurol Surg, Rochester, MN 55902 USA; [Ghanem, Marc] Lebanese Amer Univ, Sch Med, Byblos 4504, Lebanon; [El-Hajj, Victor Gabriel; Elmi-Terander, Adrian] Karolinska Inst, Dept Clin Neurosci, S-17177 Stockholm, Sweden; [de Giorgio, Andrea] Artificial Engn, Via Rione Sirignano, I-80121 Naples, Italy; [Elmi-Terander, Adrian] Uppsala Univ, Dept Surg Sci, S-75236 Uppsala, Sweden</t>
  </si>
  <si>
    <t>Mayo Clinic; Mayo Clinic; Lebanese American University; Karolinska Institutet; Uppsala University</t>
  </si>
  <si>
    <t>Limitations in Evaluating Machine Learning Models for Imbalanced Binary Outcome Classification in Spine Surgery: A Systematic Review</t>
  </si>
  <si>
    <t>BRAIN SCIENCES</t>
  </si>
  <si>
    <t>machine learning; artificial intelligence; deep learning; predictive modeling; spine surgery</t>
  </si>
  <si>
    <t>ANTERIOR CERVICAL DISKECTOMY; PREDICTION; DISCHARGE; READMISSION; VALIDATION; ALGORITHMS</t>
  </si>
  <si>
    <t>El-Hajj, Victor Gabriel/ABM-9479-2022; Ghaith, Abdul Karim/AAE-7217-2021; de Giorgio, Andrea/D-5407-2016; Ghanem, Marc/JMD-0293-2023; Elmi-Terander, Adrian/AAC-7997-2019</t>
  </si>
  <si>
    <t>El-Hajj, Victor Gabriel/0000-0001-9479-761X; Ghaith, Abdul Karim/0000-0002-9600-609X; de Giorgio, Andrea/0000-0001-6064-5634; Ghanem, Marc/0000-0002-7479-7994; Elmi-Terander, Adrian/0000-0002-3776-6136</t>
  </si>
  <si>
    <t>ST ALBAN-ANLAGE 66, CH-4052 BASEL, SWITZERLAND</t>
  </si>
  <si>
    <t>2076-3425</t>
  </si>
  <si>
    <t>BRAIN SCI</t>
  </si>
  <si>
    <t>Brain Sci.</t>
  </si>
  <si>
    <t>1723</t>
  </si>
  <si>
    <t>10.3390/brainsci13121723</t>
  </si>
  <si>
    <t>http://dx.doi.org/10.3390/brainsci13121723</t>
  </si>
  <si>
    <t>DG1Q9</t>
  </si>
  <si>
    <t>38137171</t>
  </si>
  <si>
    <t>WOS:001130788800001</t>
  </si>
  <si>
    <t>Petretta, M; Zampella, E; Assante, R; Mercurio, V; Acampa, W; Salvatore, M; Cuocolo, A</t>
  </si>
  <si>
    <t>Risk prediction through integration of clinical variables and imaging data into a prognostic model can identify those factors with a high impact on patient outcome. The development of a prognostic model traditionally includes the evaluation of the independent contribution of variables with consideration of covarying factors that may confound risk stratification. Several methods and metrics are available to assess the performance of a prediction model. Traditional measures for binary and survival outcomes include the concordance (c) statistic for discriminative ability, and goodness-of-fit statistics for calibration. Different prognostic approaches, including variants of the C statistic for survival data, reclassification tables, net reclassification improvement, and integrated discrimination improvement have been recently proposed to evaluate the contribution of new markers when they are added to a defined risk model and to evaluate how these variables are able to change the class of risk of the patient and the resulting diagnostic and therapeutic managements. Moreover, decision-analytic measures including decision curves analysis have been introduced to assess the net benefit obtained by making clinical decisions based on model predictions. This review provides an overview of various metrics available for risk stratification using nuclear cardiology procedures, underlying the need of choosing the appropriate prognostic model in order to justify the referral decision.</t>
  </si>
  <si>
    <t>Petretta, Mario; Zampella, Emilia; Assante, Roberta; Mercurio, Valentina; Acampa, Wanda; Salvatore, Marco; Cuocolo, Alberto</t>
  </si>
  <si>
    <t>Cuocolo, A (corresponding author), Univ Naples Federico II, Dept Adv Biomed Sci, Via S Pansini 5, I-80131 Naples, Italy.</t>
  </si>
  <si>
    <t>cuocolo@unina.it</t>
  </si>
  <si>
    <t>[Petretta, Mario; Mercurio, Valentina] Univ Naples Federico II, Dept Translat Med Sci, Naples, Italy; [Zampella, Emilia; Assante, Roberta; Acampa, Wanda; Cuocolo, Alberto] Univ Naples Federico II, Dept Adv Biomed Sci, Via S Pansini 5, I-80131 Naples, Italy; [Salvatore, Marco] SDN Inst Diagnost &amp; Nucl Res, Naples, Italy</t>
  </si>
  <si>
    <t>University of Naples Federico II; University of Naples Federico II; IRCCS Istituto di Ricerca Diagnostica e Nucleare (SDN)</t>
  </si>
  <si>
    <t>Novel metrics for risk stratification with nuclear cardiology</t>
  </si>
  <si>
    <t>QUARTERLY JOURNAL OF NUCLEAR MEDICINE AND MOLECULAR IMAGING</t>
  </si>
  <si>
    <t>Clinical prediction models; Cardiac imaging; Coronary artery disease; Net reclassification improvement; Decision curve analysis</t>
  </si>
  <si>
    <t>GOODNESS-OF-FIT; NET RECLASSIFICATION IMPROVEMENT; DECISION CURVE ANALYSIS; CARDIOVASCULAR-DISEASE RISK; PREDICTION MODELS; ROC CURVE; LINEAR-REGRESSION; STATISTICAL-METHODS; MARKER; TESTS</t>
  </si>
  <si>
    <t>Petretta, Mario/K-9892-2015; Salvatore, Marco/K-8083-2016; Cuocolo, Alberto/AAI-7148-2020</t>
  </si>
  <si>
    <t>Mercurio, Valentina/0000-0002-9448-2762; Petretta, Mario/0000-0002-8001-4298; Salvatore, Marco/0000-0001-9734-7702; Cuocolo, Alberto/0000-0003-3431-7658</t>
  </si>
  <si>
    <t>EDIZIONI MINERVA MEDICA</t>
  </si>
  <si>
    <t>TURIN</t>
  </si>
  <si>
    <t>CORSO BRAMANTE 83-85 INT JOURNALS DEPT., 10126 TURIN, ITALY</t>
  </si>
  <si>
    <t>1824-4785</t>
  </si>
  <si>
    <t>1827-1936</t>
  </si>
  <si>
    <t>Q J NUCL MED MOL IM</t>
  </si>
  <si>
    <t>Q. J. Nucl. Med. Mol. Imag.</t>
  </si>
  <si>
    <t>DEC 2016</t>
  </si>
  <si>
    <t>308</t>
  </si>
  <si>
    <t>EX3BH</t>
  </si>
  <si>
    <t>27611705</t>
  </si>
  <si>
    <t>WOS:000403106500002</t>
  </si>
  <si>
    <t>Liu, RF; Arena, R; Santos-de-Araújo, AD; Borghi-Silva, A; Popovic, D</t>
  </si>
  <si>
    <t>Background: Atherosclerotic cardiovascular disease remains a leading cause of morbidity and mortality worldwide. Established risk equations guide prevention but rely mainly on static, clinicbased variables and incompletely capture physical activity, sedentary behavior, and cardiorespiratory fitness. Methods: This narrative review synthesizes evidence from epidemiological studies, clinical trials, and methodological frameworks on the roles of physical activity, sedentary behavior, and cardiorespiratory fitness in cardiovascular risk prediction, with emphasis on digital phenotyping, mechanistic exercise physiology, and multimodal clinical prediction models. Results: Cardiorespiratory fitness reflects integrated physiological reserve and is strongly associated with cardiovascular and all-cause outcomes. Cardiopulmonary exercise testing extends fitness assessment by identifying mechanisms of exercise limitation, including cardiac, ventilatory, autonomic, pulmonary vascular, and peripheral contributors. Wearable technologies provide longitudinal, real-world measures of physical activity and sedentary behavior that complement static clinical risk factors. Multimodal models integrating electronic health records, electrocardiography, imaging, wearable signals, and exercise testing may support more personalized and actionable risk stratification. However, the current evidence base remains limited by insufficient external and prospective validation, incomplete calibration reporting, limited decision-analytic evaluation, and inadequate assessment of subgroup performance and equity. Conclusions: Physical activity and cardiorespiratory fitness should be considered clinically relevant and modifiable phenotypes in contemporary cardiovascular risk prediction. Future models should prioritize standardized measurement, mechanistic validation of digital phenotypes, calibration, external validation, subgroup evaluation, workflow feasibility, and prospective evidence of clinical utility before widespread implementation.</t>
  </si>
  <si>
    <t>Liu, Ruifeng; Arena, Ross; Santos-de-Araujo, Aldair Darlan; Borghi-Silva, Audrey; Popovic, Dejana</t>
  </si>
  <si>
    <t>Popovic, D (corresponding author), Mayo Clin, Dept Cardiovasc Med, 200 First St SW, Rochester, MN 55905 USA.</t>
  </si>
  <si>
    <t>popovic.dejana@mayo.edu</t>
  </si>
  <si>
    <t>[Liu, Ruifeng] Capital Med Univ, Beijing Friendship Hosp, Dept Cardiol, 95 Yongan Rd, Beijing 100050, Peoples R China; [Arena, Ross] Univ Illinois, Dept Phys Therapy, 1919W Taylor St, Chicago, IL 60612 USA; [Arena, Ross] HealthPartners Inst, 8170 33rd Ave S, Bloomington, MN 55425 USA; [Santos-de-Araujo, Aldair Darlan; Borghi-Silva, Audrey] Univ Paranaense, Francisco Beltrao Campus,Av Julio Assis Cavalheiro, BR-85601000 Francisco Beltrao, PR, Brazil; [Borghi-Silva, Audrey] Fed Univ Sao Carlos UFSCar, Ctr Biol &amp; Hlth Sci, Dept Phys Therapy, Cardiopulm Phys Therapy Lab LACAP, Rodovia Washington Luis km 235, BR-13565905 Sao Carlos, SP, Brazil; [Popovic, Dejana] Mayo Clin, Dept Cardiovasc Med, 200 First St SW, Rochester, MN 55905 USA</t>
  </si>
  <si>
    <t>Capital Medical University; University of Illinois System; University of Illinois Chicago; University of Illinois Chicago Hospital; HealthPartners Institute for Education &amp; Research; Mayo Clinic</t>
  </si>
  <si>
    <t>Physical activity and cardiorespiratory fitness in atherosclerotic cardiovascular disease risk prediction: integrating digital phenotyping, mechanistic insights, and multimodal clinical prediction for actionable stratification</t>
  </si>
  <si>
    <t>CURRENT PROBLEMS IN CARDIOLOGY</t>
  </si>
  <si>
    <t>Atherosclerotic cardiovascular disease; Cardiopulmonary exercise testing; Cardiorespiratory fitness; Digital phenotyping; Physical activity; Risk prediction</t>
  </si>
  <si>
    <t>OXYGEN-CONSUMPTION; EXERCISE; MORTALITY; MODELS; SEVERITY; CANCER; ADULTS; HEALTH; CURVE; BIAS</t>
  </si>
  <si>
    <t>Arena, Ross/A-3141-2008; Borghi, Audrey/F-5702-2012; Santos-de-Araújo, Aldair/T-2197-2019</t>
  </si>
  <si>
    <t>57</t>
  </si>
  <si>
    <t>MOSBY-ELSEVIER</t>
  </si>
  <si>
    <t>360 PARK AVENUE SOUTH, NEW YORK, NY 10010-1710 USA</t>
  </si>
  <si>
    <t>0146-2806</t>
  </si>
  <si>
    <t>1535-6280</t>
  </si>
  <si>
    <t>CURR PROB CARDIOLOGY</t>
  </si>
  <si>
    <t>Curr. Probl. Cardiol.</t>
  </si>
  <si>
    <t>OCT 2026</t>
  </si>
  <si>
    <t>103399</t>
  </si>
  <si>
    <t>10.1016/j.cpcardiol.2026.103399</t>
  </si>
  <si>
    <t>http://dx.doi.org/10.1016/j.cpcardiol.2026.103399</t>
  </si>
  <si>
    <t>LX0TN</t>
  </si>
  <si>
    <t>42471101</t>
  </si>
  <si>
    <t>WOS:001835274100001</t>
  </si>
  <si>
    <t>Liu, JC; Ma, CL; Wang, YF; Rao, HY</t>
  </si>
  <si>
    <t>Metabolic dysfunction-associated steatotic liver disease (MASLD) and chronic kidney disease (CKD) have shown a significant increase in comorbidity on a global scale due to the prevalence of metabolic syndrome. In 2023, a number of academic societies formally proposed the concept of MA-SLD, superseding the previous terminology of "non-alcoholic fatty liver disease" and "metabolic dysfunction-associated fatty liver disease". The diagnostic criteria have been revised to place greater emphasis on the association between hepatic steatosis and cardiometabolic risk factors. MASLD constitutes an independent risk factor for CKD, with this risk potentially increasing in line with the severity of fatty degeneration and the progression of hepatic fibrosis. CKD may represent a potential risk factor for the progression of fibrosis in patients with MASLD. The interaction between the two conditions may accelerate the occurrence of cardiovascular events and increase the risk of all-cause mortality. MASLD and CKD may share core pathophysiological mechanisms, including genetic variants, insulin resistance, lipid metabolism disorders, chronic inflammation, oxidative stress, and gut microbiota dysbiosis. However, the bidirectional causal relationship between the two conditions and the molecular dialogue between organs remains unclear. Furthermore, there are significant gaps in clinical prediction tools and targeted treatment strategies for comorbidities. This paper reviews common pathophysiological mechanisms in MASLD and CKD, the epidemiological and clinical evidence linking MASLD to the risk of CKD, biomarkers and clinical prediction models for coexisting conditions, and potential therapeutic strategies. Our aim is to provide a theoretical basis for early identification, mechanism exploration, and clinical treatment of comorbidities.</t>
  </si>
  <si>
    <t>Liu, Jiacheng; Ma, Cuiling; Wang, Yafan; Rao, Huiying</t>
  </si>
  <si>
    <t>Rao, HY (corresponding author), Peking Univ Peoples Hosp, Peking Univ Hepatol Inst, Infect Dis &amp; Hepatol Ctr Peking Univ Peoples Hosp, Beijing 100044, Peoples R China.</t>
  </si>
  <si>
    <t>rao.huiying@163.com</t>
  </si>
  <si>
    <t>National Key R&amp;D Program of China [2022YFA1303804]</t>
  </si>
  <si>
    <t>National Key R&amp;D Program of China (National Key Research &amp; Development Program of China)</t>
  </si>
  <si>
    <t>The study was supported by the National Key R&amp;D Program of China (2022YFA1303804) .</t>
  </si>
  <si>
    <t>[Liu, Jiacheng; Ma, Cuiling; Wang, Yafan; Rao, Huiying] Peking Univ Peoples Hosp, Peking Univ Hepatol Inst, Infect Dis &amp; Hepatol Ctr Peking Univ Peoples Hosp, Beijing 100044, Peoples R China</t>
  </si>
  <si>
    <t>Peking University</t>
  </si>
  <si>
    <t>Metabolic Dysfunction-associated Steatotic Liver Disease and Chronic Kidney Disease: From Epidemiology and Pathophysiology to Clinical Prediction and Treatment Options</t>
  </si>
  <si>
    <t>JOURNAL OF CLINICAL AND TRANSLATIONAL HEPATOLOGY</t>
  </si>
  <si>
    <t>Metabolic dysfunction-associated steatotic liver disease; Metabolic dysfunction-associated fatty liver disease; Non-alcoholic fatty liver disease; Chronic kidney disease; Metabolic Syndrome; Fibrosis</t>
  </si>
  <si>
    <t>INSULIN-RESISTANCE; RECEPTOR; PROGRESSION; FIBROSIS; RISK; CKD; HYPERTENSION; PATHOGENESIS; MECHANISMS; MORTALITY</t>
  </si>
  <si>
    <t>192</t>
  </si>
  <si>
    <t>XIA &amp; HE PUBLISHING INC</t>
  </si>
  <si>
    <t>SUGAR LAND</t>
  </si>
  <si>
    <t>SECOND AFFILIATED HOSP CHONGQING MEDICAL UNIV, 14090 SOUTHWEST FREEWAY, STE 300, SUGAR LAND, TX 77478 USA</t>
  </si>
  <si>
    <t>2225-0719</t>
  </si>
  <si>
    <t>2310-8819</t>
  </si>
  <si>
    <t>J CLIN TRANSL HEPATO</t>
  </si>
  <si>
    <t>J. Clin. Transl. Hepatol.</t>
  </si>
  <si>
    <t>326</t>
  </si>
  <si>
    <t>343</t>
  </si>
  <si>
    <t>10.14218/JCTH.2025.00612</t>
  </si>
  <si>
    <t>http://dx.doi.org/10.14218/JCTH.2025.00612</t>
  </si>
  <si>
    <t>FEB 2026</t>
  </si>
  <si>
    <t>FX7UB</t>
  </si>
  <si>
    <t>41970192</t>
  </si>
  <si>
    <t>WOS:001701620500001</t>
  </si>
  <si>
    <t>Wang, JL; Lim, HY; Ho, P</t>
  </si>
  <si>
    <t>Venous thromboembolism (VTE) is a leading cause of morbidity and mortality and is associated with high recurrence rates. The introduction of direct oral anticoagulants (DOACs) in the 2010s has changed the landscape of VTE management. DOACs have become the preferred anticoagulant therapy for their ease of use, predictable pharmacokinetics, and improved safety profile. Increasingly, guidelines have recommended long term anticoagulation for some indications such as following first unprovoked major VTE, although an objective individualised risk assessment for VTE recurrence remains elusive. The balance of preventing VTE recurrence needs to be weighed against the not insignificant bleeding risk, which is cumulative with prolonged use. Hence, there is a need for an individualised, targeted approach for assessing the risk of VTE recurrence, especially in those patients in whom the balance between benefit and risk of long-term anticoagulation is not clear. Clinical factors alone do not provide the level of discrimination required on an individual level. Laboratory data from global coagulation assays and biomarkers may provide enhanced risk assessment ability and are an active area of research. A review of the prediction models and biomarkers for assessing VTE recurrence risk is provided, with an emphasis on contemporary developments in the era of DOACs and global coagulation assays.</t>
  </si>
  <si>
    <t>Wang, Julie; Lim, Hui Yin; Ho, Prahlad</t>
  </si>
  <si>
    <t>Wang, JL (corresponding author), Northern Hlth, Epping, Vic 3076, Australia.; Wang, JL (corresponding author), Univ Melbourne, Fac Med Dent &amp; Hlth Sci, Parkville, Vic 3052, Australia.; Wang, JL (corresponding author), Monash Univ, Australian Ctr Blood Dis, Clayton, Vic 3004, Australia.</t>
  </si>
  <si>
    <t>Prahlad.Ho@nh.org.au; HuiYin.Lim@nh.org.au; Julie.wang@nh.org.au</t>
  </si>
  <si>
    <t>[Wang, Julie; Lim, Hui Yin; Ho, Prahlad] Northern Hlth, Epping, Vic 3076, Australia; [Wang, Julie; Lim, Hui Yin; Ho, Prahlad] Univ Melbourne, Fac Med Dent &amp; Hlth Sci, Parkville, Vic 3052, Australia; [Wang, Julie; Lim, Hui Yin; Ho, Prahlad] Monash Univ, Australian Ctr Blood Dis, Clayton, Vic 3004, Australia</t>
  </si>
  <si>
    <t>University of Melbourne; Monash University</t>
  </si>
  <si>
    <t>Individualised Risk Assessments for Recurrent Venous Thromboembolism: New Frontiers in the Era of Direct Oral Anticoagulants</t>
  </si>
  <si>
    <t>HEMATO</t>
  </si>
  <si>
    <t>venous thromboembolism; recurrent venous thromboembolism; clinical prediction models; global coagulation assays</t>
  </si>
  <si>
    <t>CIRCULATING PROCOAGULANT MICROPARTICLES; DEEP-VEIN THROMBOSIS; SOLUBLE P-SELECTIN; FACTOR-V-LEIDEN; D-DIMER; TISSUE FACTOR; ATRIAL-FIBRILLATION; EXTENDED TREATMENT; LABORATORY METHOD; PREDICTIVE-VALUE</t>
  </si>
  <si>
    <t>Ho, Prahlad/AFS-2987-2022; Lim, Hui Yin/JXN-7451-2024</t>
  </si>
  <si>
    <t>Lim, Hui Yin/0000-0003-2455-3155; Wang, Julie/0000-0003-2857-6514; Ho, Prahlad/0000-0003-1875-3927</t>
  </si>
  <si>
    <t>127</t>
  </si>
  <si>
    <t>2673-6357</t>
  </si>
  <si>
    <t>HEMATO-BASEL</t>
  </si>
  <si>
    <t>Hemato</t>
  </si>
  <si>
    <t>10.3390/hemato2010003</t>
  </si>
  <si>
    <t>http://dx.doi.org/10.3390/hemato2010003</t>
  </si>
  <si>
    <t>Z0QW1</t>
  </si>
  <si>
    <t>WOS:001109224600001</t>
  </si>
  <si>
    <t>Newton, CA; Molyneaux, PL; Oldham, JM</t>
  </si>
  <si>
    <t>Interstitial lung disease (ILD) comprises a heterogeneous group of diffuse parenchymal lung processes with overlapping clinical, radiographic, and histopathologic features. Among the most common and deadly ILDs are idiopathic pulmonary fibrosis (IPF) and chronic hypersensitivity pneumonitis (CHP). As the name implies, the cause of IPF remains elusive, but a variety of genetic and infectious risk factors have been identified. CHP results from chronic inhalation of an organic antigen, usually of avian or mold origin, and may occur in patients with a genetic predisposition. While IPF is treated with anti-fibrotic compounds, CHP is generally treated by suppression of the immune system and elimination of the causative antigen. Despite advances in our understanding of IPF and CHP, there exists substantial variability in the diagnosis and treatment of these disease processes. Furthermore, IPF and CHP natural history and treatment response remain far from uniform, leaving it unclear which patients derive the most benefit from disease-specific therapy. While clinical prediction models have improved our understanding of outcome risk in patients with various forms of ILD, recent advances in genomic technology provides a valuable opportunity to begin understanding the basis for outcome variability. Such advances will ultimately allow for the incorporation of genomic markers into risk stratification and clinical decision-making. In this piece, we highlight recent advances in our understanding of the genomic factors that influence susceptibility and outcome risk among patients with IPF and CHP. Genomic modalities used to identify these genomic markers include genome-wide association studies, analyses of gene expression, drug-gene interaction testing, telomere length determination, telomerase mutation analysis, and studies of the lung microbiome. We then identify gaps in knowledge that should be addressed to help facilitate the incorporation of these genomic technologies into ILD clinical practice.</t>
  </si>
  <si>
    <t>Newton, Chad A.; Molyneaux, Philip L.; Oldham, Justin M.</t>
  </si>
  <si>
    <t>Oldham, JM (corresponding author), Univ Calif Davis, Dept Med Crit Care &amp; Sleep Med, Div Pulm, Davis, CA 95616 USA.</t>
  </si>
  <si>
    <t>joldham@ucdavis.edu</t>
  </si>
  <si>
    <t>National Heart, Lung, and Blood Institute [NHLBI K23HL138190]; National Center for Advancing Translational Sciences [KL2TR001103]; National Heart Lung and Blood Institute [K23HL138190] Funding Source: NIH RePORTER</t>
  </si>
  <si>
    <t>National Heart, Lung, and Blood Institute (United States Department of Health &amp; Human Services, National Institutes of Health (NIH) - USA, NIH National Heart Lung &amp; Blood Institute (NHLBI)); National Center for Advancing Translational Sciences (United States Department of Health &amp; Human Services, National Institutes of Health (NIH) - USA, NIH National Center for Advancing Translational Sciences (NCATS)); National Heart Lung and Blood Institute (United States Department of Health &amp; Human Services, National Institutes of Health (NIH) - USA, NIH National Heart Lung &amp; Blood Institute (NHLBI))</t>
  </si>
  <si>
    <t>Funding was provided by the National Heart, Lung, and Blood Institute [NHLBI K23HL138190 (JO)] and National Center for Advancing Translational Sciences [KL2TR001103 (CN)].</t>
  </si>
  <si>
    <t>[Newton, Chad A.] Univ Texas Southwestern Med Ctr Dallas, Eugene McDermott Ctr Human Growth &amp; Dev, Dallas, TX 75390 USA; [Newton, Chad A.] Univ Texas Southwestern Med Ctr Dallas, Div Pulm &amp; Crit Care Med, Dept Med, Dallas, TX 75390 USA; [Molyneaux, Philip L.] Imperial Coll, Natl Heart &amp; Lung Inst, Fibrosis Res Grp, London, England; [Molyneaux, Philip L.] Royal Brompton Hosp, Natl Inst Hlth Res Resp, Biomed Res Unit, London, England; [Oldham, Justin M.] Univ Calif Davis, Dept Med Crit Care &amp; Sleep Med, Div Pulm, Davis, CA 95616 USA</t>
  </si>
  <si>
    <t>University of Texas System; University of Texas Southwestern Medical Center; University of Texas System; University of Texas Southwestern Medical Center; Imperial College London; Royal Brompton Hospital; University of California System; University of California Davis</t>
  </si>
  <si>
    <t>Clinical Genetics in interstitial Lung Disease</t>
  </si>
  <si>
    <t>idiopathic pulmonary fibrosis; hypersensitivity pneumonitis; interstitial lung disease; idiopathic interstitial pneumonia; genomics</t>
  </si>
  <si>
    <t>IDIOPATHIC PULMONARY-FIBROSIS; MUC5B PROMOTER POLYMORPHISM; TELOMERE LENGTH; HYPERSENSITIVITY PNEUMONITIS; RESPIRATORY MICROBIOME; OBSERVATIONAL COHORT; N-ACETYLCYSTEINE; SUSCEPTIBILITY; SURVIVAL; MUTATIONS</t>
  </si>
  <si>
    <t>Newton, Chad/AFS-1146-2022</t>
  </si>
  <si>
    <t>Molyneaux, Philip/0000-0003-1301-8800; Newton, Chad/0000-0001-5256-9029</t>
  </si>
  <si>
    <t>APR 26 2018</t>
  </si>
  <si>
    <t>10.3389/fmed.2018.00116</t>
  </si>
  <si>
    <t>http://dx.doi.org/10.3389/fmed.2018.00116</t>
  </si>
  <si>
    <t>GE1MY</t>
  </si>
  <si>
    <t>29755982</t>
  </si>
  <si>
    <t>WOS:000430982100001</t>
  </si>
  <si>
    <t>Santos, R; Coleman, HG; Cairnduff, V; Kunzmann, AT</t>
  </si>
  <si>
    <t>INTRODUCTION:Identifying high-risk individuals using a risk prediction model could be a crucial first stage of screening pathways to improve the early detection of pancreatic cancer. A systematic review was conducted to critically evaluate the published primary literature on the development or validation of clinical risk prediction models for pancreatic cancer risk.METHODS:MEDLINE, Embase, and Web of Science were searched for relevant articles from the inception of each database up to November 2021. Study selection and data extraction were conducted by 2 independent reviewers. The Prediction model Risk Of Bias Assessment Tool (PROBAST) was applied to assess risk of bias.RESULTS:In total, 33 studies were included, describing 38 risk prediction models. Excluding studies with an overlapping population, this study consist of 15,848,100 participants, of which 58,313 were diagnosed with pancreatic cancer. Eight studies externally validated their model, and 13 performed internal validation. The studies described risk prediction models for pancreatic cancer in the general population (n = 14), patients with diabetes (n = 8), and individuals with gastrointestinal (and other) symptoms (symptoms included abdominal pain, unexplained weight loss, jaundice, and change in bowel habits and indigestion; n = 11). The commonly used clinical risk factors in the model were cigarette smoking (n = 27), age (n = 25), diabetes history (n = 22), chronic pancreatitis (n = 18), and body mass index (n = 14). In the 25 studies that assessed model performance, C-statistics ranged from 0.61 to 0.98. Of the 33 studies included, 6 were rated as being at a low risk of bias based on PROBAST.DISCUSSION:Many clinical risk prediction models for pancreatic cancer had been developed for different target populations. Although low risk-of-bias studies were identified, these require external validation and implementation studies to ensure that these will benefit clinical decision making.</t>
  </si>
  <si>
    <t>Santos, Ralph; Coleman, Helen G.; Cairnduff, Victoria; Kunzmann, Andrew T.</t>
  </si>
  <si>
    <t>Santos, R (corresponding author), Queens Univ Belfast, Ctr Publ Hlth, Belfast, North Ireland.</t>
  </si>
  <si>
    <t>victoria.cairnduff@qub.ac.uk; A.Kunzmann@qub.ac.uk; rsantos03@qub.ac.uk; h.coleman@qub.ac.uk</t>
  </si>
  <si>
    <t>[Santos, Ralph; Coleman, Helen G.; Cairnduff, Victoria; Kunzmann, Andrew T.] Queens Univ Belfast, Ctr Publ Hlth, Belfast, North Ireland; [Coleman, Helen G.] Queens Univ Belfast, Patrick G Johnston Ctr Canc Res, Belfast, North Ireland</t>
  </si>
  <si>
    <t>Queens University Belfast; Queens University Belfast</t>
  </si>
  <si>
    <t>Clinical Prediction Models for Pancreatic Cancer in General and At-Risk Populations: A Systematic Review</t>
  </si>
  <si>
    <t>AMERICAN JOURNAL OF GASTROENTEROLOGY</t>
  </si>
  <si>
    <t>DECISION-SUPPORT TOOLS; PRIMARY-CARE; LOGISTIC-REGRESSION; DIAGNOSIS; VALIDATION; RECORDS; ADENOCARCINOMA; METAANALYSIS; EXPLANATION; MANAGEMENT</t>
  </si>
  <si>
    <t>Coleman, Helen/G-3373-2011</t>
  </si>
  <si>
    <t>Santos, Ralph/0000-0002-5740-5151</t>
  </si>
  <si>
    <t>0002-9270</t>
  </si>
  <si>
    <t>1572-0241</t>
  </si>
  <si>
    <t>AM J GASTROENTEROL</t>
  </si>
  <si>
    <t>Am. J. Gastroenterol.</t>
  </si>
  <si>
    <t>118</t>
  </si>
  <si>
    <t>10.14309/ajg.0000000000002022</t>
  </si>
  <si>
    <t>http://dx.doi.org/10.14309/ajg.0000000000002022</t>
  </si>
  <si>
    <t>8C9SH</t>
  </si>
  <si>
    <t>36148840</t>
  </si>
  <si>
    <t>WOS:000917940200014</t>
  </si>
  <si>
    <t>Qi, WJ; Wang, YJ; Li, CX; He, K; Wang, YP; Huang, S; Li, C; Guo, Q; Hu, J</t>
  </si>
  <si>
    <t>Objectives: Clinical prediction models have been widely used to screen and diagnose postpartum depression (PPD). This study systematically reviews and evaluates the risk of bias and the applicability of PPD prediction models. Methods: A systematic search was performed in eight databases from inception to June 1, 2022. The literature was independently screened, and data were extracted by two investigators using the checklist for critical appraisal and data extraction for systematic reviews of prediction modeling studies (CHARMS). The risk of bias and applicability was assessed using the Prediction Model Risk of Bias Assessment Tool (PROBAST). Results: After the screening, 12 studies of PPD risk prediction models were included, with the area under the ROC curve of the models ranging from 0.611 to 0.937. The most-reported predictors of PPD included several aspects, including prenatal mood disorders, endocrine and hormonal influences, psychosocial aspects, the influence of family factors, and somatic illness factors. The applicability of all studies was good. However, there was some bias, mainly due to inadequate outcome events, missing data not appropriately handled, lack of model performance assessment, and overfitting of the models. Conclusions: This systematic review and evaluation indicate that most present PPD prediction models have a high risk of bias during development and validation. Despite some models' predictive solid performance, the models' clinical practice rate is low. Therefore, future research should develop predictive models with excellent performance in all aspects and clinical applicability to better inform maternal medical decisions.</t>
  </si>
  <si>
    <t>Qi, Weijing; Wang, Yongjian; Li, Caixia; He, Ke; Wang, Yipeng; Huang, Sha; Li, Cong; Guo, Qing; Hu, Jie</t>
  </si>
  <si>
    <t>Hu, J (corresponding author), Hebei Med Univ, Sch Nursing, Dept Clin Humanist Care &amp; Nursing Res Ctr, 361 East Zhongshan Rd, Shijiazhuang 050017, Hebei Province, Peoples R China.; Guo, Q (corresponding author), Shijiazhuang Obstet &amp; Gynecol Hosp, 206 East Zhongshan Rd, Shijiazhuang 050017, Hebei Province, Peoples R China.</t>
  </si>
  <si>
    <t>yfguoqing@163.com; Hujie@hebmu.edu.cn</t>
  </si>
  <si>
    <t>National Natural Science Foundation of China [72074067]</t>
  </si>
  <si>
    <t>Funding This work was supported by the National Natural Science Foundation of China (grant number 72074067) .</t>
  </si>
  <si>
    <t>[Qi, Weijing; Wang, Yongjian; Wang, Yipeng; Huang, Sha; Li, Cong; Hu, Jie] Hebei Med Univ, Sch Nursing, Dept Clin Humanist Care &amp; Nursing Res Ctr, 361 East Zhongshan Rd, Shijiazhuang 050017, Hebei Province, Peoples R China; [Li, Caixia; He, Ke; Guo, Qing] Shijiazhuang Obstet &amp; Gynecol Hosp, 206 East Zhongshan Rd, Shijiazhuang 050017, Hebei Province, Peoples R China</t>
  </si>
  <si>
    <t>Hebei Medical University</t>
  </si>
  <si>
    <t>Predictive models for predicting the risk of maternal postpartum depression: A systematic review and evaluation</t>
  </si>
  <si>
    <t>JOURNAL OF AFFECTIVE DISORDERS</t>
  </si>
  <si>
    <t>Postpartum depression</t>
  </si>
  <si>
    <t>INDIVIDUAL PROGNOSIS; DIAGNOSIS TRIPOD; VALIDATION; PERFORMANCE; EVENTS</t>
  </si>
  <si>
    <t>0165-0327</t>
  </si>
  <si>
    <t>1573-2517</t>
  </si>
  <si>
    <t>J AFFECT DISORDERS</t>
  </si>
  <si>
    <t>J. Affect. Disord.</t>
  </si>
  <si>
    <t>JUL 15 2023</t>
  </si>
  <si>
    <t>333</t>
  </si>
  <si>
    <t>10.1016/j.jad.2023.04.026</t>
  </si>
  <si>
    <t>http://dx.doi.org/10.1016/j.jad.2023.04.026</t>
  </si>
  <si>
    <t>Clinical Neurology; Psychiatry</t>
  </si>
  <si>
    <t>F7NF4</t>
  </si>
  <si>
    <t>37084958</t>
  </si>
  <si>
    <t>WOS:000984167300001</t>
  </si>
  <si>
    <t>Saelmans, A; Seinen, T; Pera, V; Markus, AF; Fridgeirsson, E; John, LH; Schiphof-Godart, L; Rijnbeek, P; Reps, J; Williams, R</t>
  </si>
  <si>
    <t>Objective: To summarize the implementation approaches and updating methods of clinically implemented models and consecutively advise researchers on the implementation and updating. Patients and Methods: We included studies describing the implementation of prognostic binary prediction models in a clinical setting. We retrieved articles from Embase, Medline, and Web of Science from January 1, 2010, to January 1, 2024. We performed data extraction, based on Transparent Reporting of a Multivariable Prediction Model for Individual Prognosis or Diagnosis and Prediction Model Risk of Bias Assessment guidelines, and summarized. Results: The search yielded 1872 articles. Following screening, 37 articles, describing 56 prediction models, were eligible for inclusion. The overall risk of bias was high in 86% of publications. In model development and internal validation, 32% of the models was assessed for calibration. External validation was performed for 27% of the models. Most models were implemented into the hospital information system (63%), followed by a web application (32%) and a patient decision aid tool (5%). Moreover, 13% of models have been updated following implementation. Conclusion: Impact assessments generally showed successful model implementation and the ability to improve patient care, despite not fully adhering to prediction modeling best practice. Both impact assessment and updating could play a key role in identifying and lowering bias in models. (c) 2025 THE AUTHORS. Published by Elsevier Inc on behalf of Mayo Foundation for Medical Education and Research. This is an open access article under the CC BY license (http://creativecommons.org/licenses/by/4.0/) &lt;black square&gt; Mayo Clin Proc Digital Health 2025;3(3):100228</t>
  </si>
  <si>
    <t>Saelmans, Alexander; Seinen, Tom; Pera, Victor; Markus, Aniek F.; Fridgeirsson, Egill; John, Luis H.; Schiphof-Godart, Lieke; Rijnbeek, Peter; Reps, Jenna; Williams, Ross</t>
  </si>
  <si>
    <t>Saelmans, A (corresponding author), Erasmus Univ, Med Ctr, Dept Med Informat, NL-3000 CA Rotterdam, Netherlands.</t>
  </si>
  <si>
    <t>a.saelmans@erasmusmc.nl</t>
  </si>
  <si>
    <t>[Saelmans, Alexander; Seinen, Tom; Pera, Victor; Markus, Aniek F.; Fridgeirsson, Egill; John, Luis H.; Schiphof-Godart, Lieke; Rijnbeek, Peter; Reps, Jenna; Williams, Ross] Erasmus Univ, Med Ctr, Dept Med Informat, NL-3000 CA Rotterdam, Netherlands; [Reps, Jenna] Janssen Res &amp; Dev, Titusville, NJ USA</t>
  </si>
  <si>
    <t>Erasmus University Rotterdam; Erasmus MC; Johnson &amp; Johnson; Janssen Pharmaceuticals</t>
  </si>
  <si>
    <t>Implementation and Updating of Clinical Prediction Models: A Systematic Review</t>
  </si>
  <si>
    <t>MAYO CLINIC PROCEEDINGS: DIGITAL HEALTH</t>
  </si>
  <si>
    <t>RISK PREDICTION; VALIDATION; PERFORMANCE; INPATIENT; ADMISSION</t>
  </si>
  <si>
    <t>Pera, Victor/JYP-8151-2024</t>
  </si>
  <si>
    <t>Williams, Ross/0000-0001-7723-417X; Pera, Victor/0000-0002-0786-4712; Saelmans, Alexander/0000-0003-1949-9799</t>
  </si>
  <si>
    <t>2949-7612</t>
  </si>
  <si>
    <t>MAYO CLIN P DIGIT H</t>
  </si>
  <si>
    <t>Mayo Clin. Proc. Digit. Health</t>
  </si>
  <si>
    <t>100228</t>
  </si>
  <si>
    <t>10.1016/j.mcpdig.2025.100228</t>
  </si>
  <si>
    <t>http://dx.doi.org/10.1016/j.mcpdig.2025.100228</t>
  </si>
  <si>
    <t>Health Care Sciences &amp; Services; Medical Informatics</t>
  </si>
  <si>
    <t>5VP1A</t>
  </si>
  <si>
    <t>40599890</t>
  </si>
  <si>
    <t>WOS:001545381600001</t>
  </si>
  <si>
    <t>Allen, DW; Ma, B; Leung, KC; Graham, MM; Pannu, N; Traboulsi, M; Goodhart, D; Knudtson, ML; James, MT</t>
  </si>
  <si>
    <t>Background: Identification of patients at risk of contrast-induced acute kidney injury (CI-AKI) is valuable for targeted prevention strategies accompanying cardiac catheterization.Methods: We searched MedLine and EMBASE for articles that developed or validated a clinical prediction model for CI-AKI or dialysis after angiography or percutaneous coronary intervention. Random effects meta-analysis was used to pool c-statistics of models. Heterogeneity was explored using stratified analyses and meta-regression.Results: We identified 75 articles describing 74 models predicting CI-AKI, 10 predicting CI-AKI and dialysis, and 1 predicting dialysis. Sixty-three developed a new risk model whereas 20 articles reported external validation of previously developed models. Thirty models included sufficient information to obtain individual patient risk estimates; 9 using only preprocedure variables whereas 21 included preprocedural and postprocedure variables. There was heterogeneity in the discrimination of CI-AKI prediction models (median [total range] in c-statistic 0.78 [0.57-0.95]; I-2 = 95.8%, Cochran Q-statistic P &lt; 0.001). However, there was no difference in the discrimination of models using only preprocedure variables compared with models that included postprocedural variables (P = 0.868). Models predicting dialysis had good discrimination without heterogeneity (median [total range] c-statistic: 0.88 [0.87-0.89]; I-2 = 0.0%, Cochran Q-statistic P = 0.981). Seven prediction models were externally validated; however, 2 of these models showed heterogeneous discriminative performance and 2 others lacked information on calibration in external cohorts.Conclusions: Three published models were identified that produced generalizable risk estimates for predicting CI-AKI. Further research is needed to evaluate the effect of their implementation in clinical care.</t>
  </si>
  <si>
    <t>Allen, David W.; Ma, Bryan; Leung, Kelvin C.; Graham, Michelle M.; Pannu, Neesh; Traboulsi, Mouhieddin; Goodhart, David; Knudtson, Merril L.; James, Matthew T.</t>
  </si>
  <si>
    <t>James, MT (corresponding author), Univ Calgary, Div Nephrol, Dept Med, Calgary, AB T2N 2T9, Canada.; James, MT (corresponding author), Univ Calgary, Div Nephrol, Dept Community Hlth Sci, Calgary, AB T2N 2T9, Canada.</t>
  </si>
  <si>
    <t>mjames@ucalgary.ca</t>
  </si>
  <si>
    <t>Alberta Innovates - Health Solutions, Alberta, Canada; Canadian Institutes for Health Research New Investigator Award</t>
  </si>
  <si>
    <t>Alberta Innovates - Health Solutions, Alberta, Canada; Canadian Institutes for Health Research New Investigator Award (Canadian Institutes of Health Research (CIHR))</t>
  </si>
  <si>
    <t>Bryan Ma received funding for a summer research studentship from Alberta Innovates - Health Solutions, Alberta, Canada. Matthew T. James is supported by Canadian Institutes for Health Research New Investigator Award.</t>
  </si>
  <si>
    <t>[Allen, David W.; Traboulsi, Mouhieddin; Goodhart, David; Knudtson, Merril L.; James, Matthew T.] Univ Calgary, Cumming Sch Med, Dept Cardiac Sci, Calgary, AB, Canada; [Ma, Bryan; Leung, Kelvin C.; Traboulsi, Mouhieddin; Goodhart, David; Knudtson, Merril L.; James, Matthew T.] Univ Calgary, Cumming Sch Med, Dept Med, Calgary, AB, Canada; [Graham, Michelle M.; Pannu, Neesh] Univ Alberta, Dept Med, Fac Med, Edmonton, AB, Canada; [James, Matthew T.] Univ Calgary, Libin Cardiovasc Inst Alberta, Cumming Sch Med, Edmonton, AB, Canada; [James, Matthew T.] Univ Calgary, Cumming Sch Med, Dept Community Hlth Sci, Edmonton, AB, Canada</t>
  </si>
  <si>
    <t>University of Calgary; University of Calgary</t>
  </si>
  <si>
    <t>Risk Prediction Models for Contrast-Induced Acute Kidney Injury Accompanying Cardiac Catheterization: Systematic Review and Meta-analysis</t>
  </si>
  <si>
    <t>CANADIAN JOURNAL OF CARDIOLOGY</t>
  </si>
  <si>
    <t>PERCUTANEOUS CORONARY INTERVENTION; INDUCED NEPHROPATHY; ANGIOGRAPHY; SCORE</t>
  </si>
  <si>
    <t>Pannu, Neesh/0000-0002-8626-8504</t>
  </si>
  <si>
    <t>0828-282X</t>
  </si>
  <si>
    <t>1916-7075</t>
  </si>
  <si>
    <t>CAN J CARDIOL</t>
  </si>
  <si>
    <t>Can. J. Cardiol.</t>
  </si>
  <si>
    <t>JUN 2017</t>
  </si>
  <si>
    <t>724</t>
  </si>
  <si>
    <t>736</t>
  </si>
  <si>
    <t>10.1016/j.cjca.2017.01.018</t>
  </si>
  <si>
    <t>http://dx.doi.org/10.1016/j.cjca.2017.01.018</t>
  </si>
  <si>
    <t>EW4HE</t>
  </si>
  <si>
    <t>28545621</t>
  </si>
  <si>
    <t>WOS:000402461800008</t>
  </si>
  <si>
    <t>Huang, XY; Gan, YW; Guo, XY; Li, YN; Wang, L; Qin, JR; Sun, CR; Yin, YH; Chen, M; Xie, YM; Guo, Y; Wei, X; Zhang, YL</t>
  </si>
  <si>
    <t>Purpose Early clinical recognition of postmenopausal osteoporosis (PMOP) can be challenging. With the advancement of machine learning, several prediction models for PMOP have been developed. This study assessed their performance by carrying out a systematic review and meta-analysis.MethodsThe PubMed, Embase, Cochrane Library, Web of Science, China National Knowledge Infrastructure (CNKI), WanFang database and China Science and Technology Journal Database (VIP) were systematically searched. Studies with a sample size of at least 100 and involving postmenopausal women were included Included models were descriptively summarized, and meta-analyses were conducted to derive discrimination estimates. Homogeneous results from different studies were pooled using MedCalc software.ResultsOut of 37,115 identified studies, 21 were included. Most of the models were developed using data from cross-sectional studies and the sample size of included models ranged from 103 to 12,175, totaling 45,383 participants with 16,008 positive events. Several models contained some similar predictors, including age, prior fractures, and body mass index (BMI). We also conducted a meta-analysis that included 22 models with reported AUC and its 95% confidence interval (95% CI), which demonstrated that the prediction models have good discriminative performance. The most frequently observed predictive variables include age, weight, body mass index (BMI), menopause status, height, fracture history, lower limb cramps, fatigue, waist circumference,diabetes mellitus,hyperlipidemia and glucocorticoids.ConclusionsWe found that the PMOP prediction models demonstrated promising performance. However, this review also highlights several potential limitations of current approaches, including a high risk of bias and limited external validation. Future research should aim to refine these models using larger and more diverse populations, as well as by incorporating additional risk factors to improve their clinical applicability.</t>
  </si>
  <si>
    <t>Huang, Xinyi; Gan, Yiwen; Guo, Xiangyun; Li, Yunning; Wang, Liang; Qin, Jinran; Sun, Chuanrui; Yin, Yuhui; Chen, Ming; Xie, Yanming; Guo, Yang; Wei, Xu; Zhang, Yili</t>
  </si>
  <si>
    <t>Guo, Y; Zhang, YL (corresponding author), Nanjing Univ Chinese Med, Sch Integrated Chinese &amp; Western Med, Nanjing 210023, Peoples R China.; Wei, X (corresponding author), China Acad Chinese Med Sci, Wangjing Hosp, Beijing 100102, Peoples R China.; Guo, Y (corresponding author), Nanjing Univ Chinese Med, Jiangsu CM Clin Innovat Ctr Degenerat Bone &amp; Joint, Wuxi TCM Hosp, Wuxi 214071, Peoples R China.</t>
  </si>
  <si>
    <t>drguoyang@njucm.edu.cn; tcmzyl@njucm.edu.cn; weixu.007@163.com</t>
  </si>
  <si>
    <t>the Young Talent Lifting Project of the Chinese Society of Traditional Chinese Medicine [CACM-2022-QNRC2-B28]; the Foundation of Jiangsu CM Clinical Innovation Centre of Degenerative Bone &amp; Joint Disease (Jiangsu science and education of traditional Chinese medicine) [2021-No. 4]; the Fundamental Research Funds for the Central Public Welfare Research Institutes [2020YJSZX-4]; the Natural Science Foundation of Jiangsu Province [BK20220468]; Beijing Municipal Science &amp; Technology Commission, Administrative Commission of Zhongguancun Science Park [Z221100007422074]</t>
  </si>
  <si>
    <t>the Young Talent Lifting Project of the Chinese Society of Traditional Chinese Medicine; the Foundation of Jiangsu CM Clinical Innovation Centre of Degenerative Bone &amp; Joint Disease (Jiangsu science and education of traditional Chinese medicine); the Fundamental Research Funds for the Central Public Welfare Research Institutes; the Natural Science Foundation of Jiangsu Province (Natural Science Foundation of Jiangsu Province); Beijing Municipal Science &amp; Technology Commission, Administrative Commission of Zhongguancun Science Park</t>
  </si>
  <si>
    <t>This study was funded by Natural Science Foundation of Jiangsu Province (BK20220468), the National Natural Science Foundation of China (T2341023), the Young Talent Lifting Project of the Chinese Society of Traditional Chinese Medicine (CACM-2022-QNRC2-B28), Beijing Municipal Science &amp; Technology Commission (Z221100007422074), the Fundamental Research Funds for the Central Public Welfare Research Institutes (2020YJSZX-4), and the Foundation of Jiangsu CM Clinical Innovation Centre of Degenerative Bone &amp; Joint Disease (Jiangsu science and education of traditional Chinese medicine) (2021-No. 4).</t>
  </si>
  <si>
    <t>[Huang, Xinyi; Gan, Yiwen; Guo, Xiangyun; Wang, Liang; Qin, Jinran; Guo, Yang; Zhang, Yili] Nanjing Univ Chinese Med, Sch Integrated Chinese &amp; Western Med, Nanjing 210023, Peoples R China; [Huang, Xinyi] Nanjing Med Univ, Sch Publ Hlth, Nanjing 210029, Peoples R China; [Li, Yunning] Nanjing Univ Chinese Med, Sch Med, Nanjing 210023, Peoples R China; [Sun, Chuanrui; Yin, Yuhui; Chen, Ming; Wei, Xu] China Acad Chinese Med Sci, Wangjing Hosp, Beijing 100102, Peoples R China; [Xie, Yanming] China Acad Chinese Med Sci, Inst Basic Res Clin Med, Beijing 100700, Peoples R China; [Guo, Yang] Nanjing Univ Chinese Med, Jiangsu CM Clin Innovat Ctr Degenerat Bone &amp; Joint, Wuxi TCM Hosp, Wuxi 214071, Peoples R China</t>
  </si>
  <si>
    <t>Nanjing University of Chinese Medicine; Nanjing Medical University; Nanjing University of Chinese Medicine; China Academy of Chinese Medical Sciences; Wang Jing Hospital, CACMS; China Academy of Chinese Medical Sciences; Institute of Basic Research In Clinical Medicine, CACMS; Nanjing University of Chinese Medicine</t>
  </si>
  <si>
    <t>Performance of clinical prediction models for identifying postmenopausal osteoporosis: a systematic review and meta-analysis</t>
  </si>
  <si>
    <t>Prediction model; Machine learning; Osteoporosis; Meta-analysis</t>
  </si>
  <si>
    <t>RISK; DIAGNOSIS; EXPLANATION; LIMITATIONS; VALIDATION; WOMEN; TOOL</t>
  </si>
  <si>
    <t>Guo, Yang/QAX-6444-2026; guo, xiangyun/OYD-5159-2025; Sun, Chuanrui/MIK-4968-2025</t>
  </si>
  <si>
    <t>Arabi, Hossein/0000-0001-7201-9518</t>
  </si>
  <si>
    <t>JAN 3 2026</t>
  </si>
  <si>
    <t>10.1186/s12891-025-09389-y</t>
  </si>
  <si>
    <t>http://dx.doi.org/10.1186/s12891-025-09389-y</t>
  </si>
  <si>
    <t>CT9OU</t>
  </si>
  <si>
    <t>41484858</t>
  </si>
  <si>
    <t>WOS:001674363500001</t>
  </si>
  <si>
    <t>Hueting, TA; van Maaren, MC; Hendriks, MP; Koffijberg, H; Siesling, S</t>
  </si>
  <si>
    <t>Objectives: To systematically review the currently available prediction models that may support treatment decision-making in breast cancer.Study Design and Setting: Literature was systematically searched to identify studies reporting on development of prediction models aiming to support breast cancer treatment decision-making, published between January 2010 and December 2020. Quality and risk of bias were assessed using the Prediction model Risk Of Bias (ROB) Assessment Tool (PROBAST).Results: After screening 20,460 studies, 534 studies were included, reporting on 922 models. The 922 models predicted: mortality (n = 417 45%), recurrence (n = 217, 24%), lymph node involvement (n = 141, 15%), adverse events (n = 58, 6%), treatment response (n = 56, 6%), or other outcomes (n = 33, 4%). In total, 285 models (31%) lacked a complete description of the final model and could not be applied to new patients. Most models (n = 878, 95%) were considered to contain high ROB.Conclusion: A substantial overlap in predictor variables and outcomes between the models was observed. Most models were not reported according to established reporting guidelines or showed methodological flaws during the development and/or validation of the model. Further development of prediction models with thorough quality and validity assessment is an essential first step for future clinical application.(c) 2022 The Authors. Published by Elsevier Inc.</t>
  </si>
  <si>
    <t>Hueting, Tom A.; van Maaren, Marissa C.; Hendriks, Mathijs P.; Koffijberg, Hendrik; Siesling, Sabine</t>
  </si>
  <si>
    <t>Siesling, S (corresponding author), Netherlands Comprehens Canc Org IKNL, POB 19079, NL-3501 DB Utrecht, Netherlands.; Siesling, S (corresponding author), Univ Twente, Tech Med Ctr, POB 217, NL-7500 AE Enschede, Netherlands.</t>
  </si>
  <si>
    <t>s.siesling@iknl.nl</t>
  </si>
  <si>
    <t>[Hueting, Tom A.; van Maaren, Marissa C.; Hendriks, Mathijs P.; Koffijberg, Hendrik; Siesling, Sabine] Univ Twente, Tech Med Ctr, Dept Hlth Technol &amp; Serv Res, Enschede, Netherlands; [van Maaren, Marissa C.; Hendriks, Mathijs P.; Siesling, Sabine] Netherlands Comprehens Canc Org IKNL, Dept Res &amp; Dev, Utrecht, Netherlands; [Hendriks, Mathijs P.] Northwest Clin, Dept Med Oncol, Alkmaar, Netherlands; [Siesling, Sabine] Netherlands Comprehens Canc Org IKNL, POB 19079, NL-3501 DB Utrecht, Netherlands; [Siesling, Sabine] Univ Twente, Tech Med Ctr, POB 217, NL-7500 AE Enschede, Netherlands</t>
  </si>
  <si>
    <t>University of Twente; University of Twente</t>
  </si>
  <si>
    <t>The majority of 922 prediction models supporting breast cancer decision- making are at high risk of bias</t>
  </si>
  <si>
    <t>Clinical prediction models; Treatment decision support; Breast cancer; Systematic review; Risk of bias; Nomograms; Prognostic models</t>
  </si>
  <si>
    <t>VALIDATION; PROGNOSIS; TOOL</t>
  </si>
  <si>
    <t>Hendriks, Mathijs/AGR-5663-2022; Hueting, Tom/JMP-7398-2023</t>
  </si>
  <si>
    <t>Hendriks, Mathijs/0000-0001-6687-5393; Hueting, Tom/0000-0001-7734-6972</t>
  </si>
  <si>
    <t>DEC 2022</t>
  </si>
  <si>
    <t>247</t>
  </si>
  <si>
    <t>10.1016/j.jclinepi.2022.10.016</t>
  </si>
  <si>
    <t>http://dx.doi.org/10.1016/j.jclinepi.2022.10.016</t>
  </si>
  <si>
    <t>NOV 2022</t>
  </si>
  <si>
    <t>7K5PL</t>
  </si>
  <si>
    <t>36633901</t>
  </si>
  <si>
    <t>WOS:000905334600013</t>
  </si>
  <si>
    <t>Dalil, D; Esmaeili, S; Safaee, E; Asgari, S; Kejani, N</t>
  </si>
  <si>
    <t>Background: Venous thromboembolism (VTE), including deep vein thrombosis and pulmonary embolism, is a common and serious complication following lower extremity arthroplasty, such as total hip and knee arthroplasty. Due to the increasing number of these surgeries, accurately predicting VTE risk is crucial. Traditional clinical prediction models often fall short due to their complexity and limited accuracy. Methods: This Preferred Reporting Items for Systematic Review and Meta-Analyseseguided systematic review summarized the application of artificial intelligence (AI) and machine learning models in predicting VTE after total joint arthroplasty. Databases including PubMed, Scopus, Web of Science, and Embase were searched for relevant studies published up to January 2024. Eligible studies focused on the predictive accuracy of AI algorithms for VTE post arthroplasty and were assessed for quality using the Newcastle-Ottawa Scale. Results: A total of 7 retrospective cohort studies, encompassing 579,454 patients, met the inclusion criteria. These studies primarily employed the extreme gradient boosting model, which generally demonstrated strong predictive performance with area under the curve values ranging from 0.71 to 0.982. Models like random forest and support vector machines also performed well. However, only 1 study included external validation, critical for assessing generalizability. Conclusions: AI and machine learning models, particularly extreme gradient boosting, exhibit significant potential in predicting VTE after lower extremity arthroplasty, outperforming traditional clinical prediction tools. Yet, the need for external validation and high-quality, generalizable datasets remains critical before these models can be widely implemented in clinical practice. The study underscores the role of AI in preoperative planning to enhance patient outcomes in orthopaedic surgery. (c) 2025 The Authors. Published by Elsevier Inc. on behalf of The American Association of Hip and Knee Surgeons. This is an open access article under the CC BY license (http://creativecommons.org/licenses/by/ 4.0/).</t>
  </si>
  <si>
    <t>Dalil, Davood; Esmaeili, Sina; Safaee, Ehsan; Asgari, Sajad; Kejani, Nooshin</t>
  </si>
  <si>
    <t>Safaee, E (corresponding author), Shahed Univ, Res Comm, Fac Med, Keshavarz Blvrd, Tehran, Iran.</t>
  </si>
  <si>
    <t>ehsansafaee2002@gmail.com</t>
  </si>
  <si>
    <t>[Dalil, Davood] Shahed Univ, Fac Med, Tehran, Iran; [Esmaeili, Sina; Safaee, Ehsan; Asgari, Sajad] Shahed Univ, Student Res Comm, Fac Med, Tehran, Iran; [Kejani, Nooshin] Islamic Azad Univ, Dept Biomed Engn, Sci &amp; Res Branch, Tehran, Iran</t>
  </si>
  <si>
    <t>Shahed University; Shahed University; Islamic Azad University</t>
  </si>
  <si>
    <t>The Prediction of Venous Thromboembolism Using Artificial Intelligence and Machine Learning in Lower Extremity Arthroplasty: A Systematic Review</t>
  </si>
  <si>
    <t>ARTHROPLASTY TODAY</t>
  </si>
  <si>
    <t>Artificial intelligence; Machine learning; Venous thromboembolism; Total hip arthroplasty; Total knee arthroplasty; Deep vein thrombosis</t>
  </si>
  <si>
    <t>RISK-ASSESSMENT; KNEE REPLACEMENT; RADIOGRAPHS; VALIDATION; MORTALITY; IMPLANTS; QUALITY; MODELS; DVT; HIP</t>
  </si>
  <si>
    <t>, Ehsan Safaee/0009-0009-6581-6346; Esmaeili, Sina/0000-0002-5335-3235</t>
  </si>
  <si>
    <t>2352-3441</t>
  </si>
  <si>
    <t>ARTHROPLAST TODAY</t>
  </si>
  <si>
    <t>Arthroplast. Today</t>
  </si>
  <si>
    <t>10.1016/j.artd.2025.101672</t>
  </si>
  <si>
    <t>http://dx.doi.org/10.1016/j.artd.2025.101672</t>
  </si>
  <si>
    <t>Orthopedics</t>
  </si>
  <si>
    <t>0XV2P</t>
  </si>
  <si>
    <t>40226789</t>
  </si>
  <si>
    <t>WOS:001458585200001</t>
  </si>
  <si>
    <t>Ramazanian, T; Fu, SY; Sohn, S; Taunton, MJ; Kremers, HM</t>
  </si>
  <si>
    <t>Background: Knee osteoarthritis (OA) is a prevalent joint disease. Clinical prediction models consider a wide range of risk factors for knee OA. This review aimed to evaluate published prediction models for knee OA and identify opportunities for future model development.Methods: We searched Scopus, PubMed, and Google Scholar using the terms knee osteoarthritis, prediction model, deep learning, and machine learning. All the identified articles were reviewed by one of the researchers and we recorded information on methodological characteristics and findings. We only included articles that were published after 2000 and reported a knee OA incidence or progression prediction model.Results: We identified 26 models of which 16 employed traditional regression-based models and 10 machine learning (ML) models. Four traditional and five ML models relied on data from the Osteoarthritis Initiative. There was significant variation in the number and type of risk factors. The median sample size for traditional and ML models was 780 and 295, respectively. The reported Area Under the Curve (AUC) ranged between 0.6 and 1.0. Regarding external validation, 6 of the 16 traditional models and only 1 of the 10 ML models validated their results in an external data set.Conclusion: Diverse use of knee OA risk factors, small, non-representative cohorts, and use of magnetic resonance imaging which is not a routine evaluation tool of knee OA in daily clinical practice are some of the main limitations of current knee OA prediction models.Level of evidence: III</t>
  </si>
  <si>
    <t>Ramazanian, Taghi; Fu, Sunyang; Sohn, Sunghwan; Taunton, Michael J.; Kremers, Hilal Maradit</t>
  </si>
  <si>
    <t>Kremers, HM (corresponding author), Mayo Clin, Dept Hlth Sci Res, 200 First St SW, Rochester, MN 55902 USA.</t>
  </si>
  <si>
    <t>maradit@mayo.edu</t>
  </si>
  <si>
    <t>[Ramazanian, Taghi; Fu, Sunyang; Sohn, Sunghwan; Kremers, Hilal Maradit] Res performed Mayo Clin, Rochester, MN USA; [Kremers, Hilal Maradit] Mayo Clin, Dept Hlth Sci Res, 200 First St SW, Rochester, MN 55902 USA</t>
  </si>
  <si>
    <t>Mayo Clinic</t>
  </si>
  <si>
    <t>Prediction Models for Knee Osteoarthritis: Review of Current Models and Future Directions</t>
  </si>
  <si>
    <t>ARCHIVES OF BONE AND JOINT SURGERY-ABJS</t>
  </si>
  <si>
    <t>Artificial intelligence; Knee osteoarthritis; Machine learning; Prediction models</t>
  </si>
  <si>
    <t>RADIOGRAPHIC OSTEOARTHRITIS; SYMPTOMATIC OSTEOARTHRITIS; OARSI RECOMMENDATIONS; PROGRESSION; RISK; HIP; MANAGEMENT; PAIN; PREVALENCE; OVERWEIGHT</t>
  </si>
  <si>
    <t>Maradit Kremers, Hilal/AAZ-9376-2021; Taunton, Michael/I-4346-2013; Fu, Sunyang/JAO-5130-2023</t>
  </si>
  <si>
    <t>MASHHAD UNIV MED SCIENCES</t>
  </si>
  <si>
    <t>MASHHAD</t>
  </si>
  <si>
    <t>VICE-CHANCELLOR FOR RES CTR OFF IJBMS, DANESHGAH ST, PO BOX 9138813944 - 445, MASHHAD, 00000, IRAN</t>
  </si>
  <si>
    <t>2345-4644</t>
  </si>
  <si>
    <t>2345-461X</t>
  </si>
  <si>
    <t>ARCH BONE JT SURG-AB</t>
  </si>
  <si>
    <t>Arch. Bone Jt. Surg.-ABJS</t>
  </si>
  <si>
    <t>10.22038/ABJS.2022.58485.2897</t>
  </si>
  <si>
    <t>http://dx.doi.org/10.22038/ABJS.2022.58485.2897</t>
  </si>
  <si>
    <t>7S6YU</t>
  </si>
  <si>
    <t>36793660</t>
  </si>
  <si>
    <t>WOS:000910900400001</t>
  </si>
  <si>
    <t>Moriarty, AS; Meader, N; Snell, KIE; Riley, RD; Paton, LW; Dawson, S; Hendon, J; Chew-Graham, CA; Gilbody, S; Churchill, R; Phillips, RS; Ali, S; McMillan, D</t>
  </si>
  <si>
    <t>Background Relapse and recurrence of depression are common, contributing to the overall burden of depression globally. Accurate prediction of relapse or recurrence while patients are well would allow the identification of high-risk individuals and may effectively guide the allocation of interventions to prevent relapse and recurrence. Aims To review prognostic models developed to predict the risk of relapse, recurrence, sustained remission, or recovery in adults with remitted major depressive disorder. Method We searched the Cochrane Library (current issue); Ovid MEDLINE (1946 onwards); Ovid Embase (1980 onwards); Ovid PsycINFO (1806 onwards); and Web of Science (1900 onwards) up to May 2021. We included development and external validation studies of multivariable prognostic models. We assessed risk of bias of included studies using the Prediction model risk of bias assessment tool (PROBAST). Results We identified 12 eligible prognostic model studies (11 unique prognostic models): 8 model development-only studies, 3 model development and external validation studies and 1 external validation-only study. Multiple estimates of performance measures were not available and meta-analysis was therefore not necessary. Eleven out of the 12 included studies were assessed as being at high overall risk of bias and none examined clinical utility. Conclusions Due to high risk of bias of the included studies, poor predictive performance and limited external validation of the models identified, presently available clinical prediction models for relapse and recurrence of depression are not yet sufficiently developed for deploying in clinical settings. There is a need for improved prognosis research in this clinical area and future studies should conform to best practice methodological and reporting guidelines.</t>
  </si>
  <si>
    <t>Moriarty, Andrew S.; Meader, Nicholas; Snell, Kym I. E.; Riley, Richard D.; Paton, Lewis W.; Dawson, Sarah; Hendon, Jessica; Chew-Graham, Carolyn A.; Gilbody, Simon; Churchill, Rachel; Phillips, Robert S.; Ali, Shehzad; McMillan, Dean</t>
  </si>
  <si>
    <t>Moriarty, AS (corresponding author), Univ York, Dept Hlth Sci, Mental Hlth &amp; Addict Res Grp, York, N Yorkshire, England.; Moriarty, AS (corresponding author), Univ York, Hull York Med Sch, York, N Yorkshire, England.</t>
  </si>
  <si>
    <t>andrew.moriarty@york.ac.uk</t>
  </si>
  <si>
    <t>NIHR Doctoral Research Fellowship [DRF-2018-11-ST2-044]; NIHR School for Primary Care Research (SPCR Launching Fellowship); NIHR; Medical Research Council [G0800472] Funding Source: researchfish; National Institute for Health Research [PDF-2014-07-072] Funding Source: researchfish; National Institutes of Health Research (NIHR) [DRF-2018-11-ST2-044] Funding Source: National Institutes of Health Research (NIHR)</t>
  </si>
  <si>
    <t>NIHR Doctoral Research Fellowship; NIHR School for Primary Care Research (SPCR Launching Fellowship); NIHR (National Institutes of Health Research (NIHR)); Medical Research Council (UK Research &amp; Innovation (UKRI), Medical Research Council UK (MRC)); National Institute for Health Research (National Institutes of Health Research (NIHR)); National Institutes of Health Research (NIHR) (National Institutes of Health Research (NIHR))</t>
  </si>
  <si>
    <t>A.S.M. is funded by a NIHR Doctoral Research Fellowship for this research project (NIHR Doctoral Research Fellowship, Dr Andrew Moriarty, DRF-2018-11-ST2-044). K.I.E.S. is funded by the NIHR School for Primary Care Research (SPCR Launching Fellowship). This publication presents independent research funded by the NIHR. The views expressed are those of the authors and not necessarily those of the NHS, the NIHR or the Department of Health and Social Care.</t>
  </si>
  <si>
    <t>[Moriarty, Andrew S.; Paton, Lewis W.; Gilbody, Simon; Ali, Shehzad; McMillan, Dean] Univ York, Dept Hlth Sci, Mental Hlth &amp; Addict Res Grp, York, N Yorkshire, England; [Moriarty, Andrew S.; Gilbody, Simon; McMillan, Dean] Univ York, Hull York Med Sch, York, N Yorkshire, England; [Meader, Nicholas; Hendon, Jessica; Churchill, Rachel] Univ York, Ctr Reviews &amp; Disseminat, York, N Yorkshire, England; [Meader, Nicholas; Dawson, Sarah; Hendon, Jessica] Univ York, Cochrane Common Mental Disorders, York, N Yorkshire, England; [Snell, Kym I. E.; Riley, Richard D.] Keele Univ, Sch Med, Ctr Prognosis Res, Keele, Staffs, England; [Dawson, Sarah] Univ Bristol, Bristol Med Sch, Bristol, Avon, England; [Chew-Graham, Carolyn A.] Keele Univ, Sch Med, Keele, Staffs, England; [Ali, Shehzad] Western Univ, Schulich Sch Med Dent, Dept Epidemiol &amp; Biostat, London, ON, Canada</t>
  </si>
  <si>
    <t>University of York - UK; University of York - UK; University of Hull; University of York - UK; University of York - UK; Keele University; University of Bristol; Keele University; Western University (University of Western Ontario)</t>
  </si>
  <si>
    <t>Predicting relapse or recurrence of depression: systematic review of prognostic models</t>
  </si>
  <si>
    <t>BRITISH JOURNAL OF PSYCHIATRY</t>
  </si>
  <si>
    <t>Depressive disorders; epidemiology; statistical methodology; risk assessment; primary care</t>
  </si>
  <si>
    <t>COGNITIVE THERAPY; MAJOR DEPRESSION; RISK-FACTORS; VALIDATION; PREVENTION; REMISSION; DISORDER; OUTCOMES; ALGORITHM; TOOL</t>
  </si>
  <si>
    <t>Riley, Richard D/G-2406-2011; Gilbody, Simon/AAY-3720-2021; Snell, Kym/L-1918-2015</t>
  </si>
  <si>
    <t>CHEW-GRAHAM, CAROLYN/0000-0002-9722-9981; Churchill, Rachel/0000-0002-1751-0512; Riley, Richard D/0000-0001-8699-0735; Gilbody, Simon/0000-0002-8236-6983; Moriarty, Anew/0000-0003-0770-3262; Meader, Nick/0000-0001-9332-6605; Paton, Lewis William/0000-0002-3328-5634; Hendon, Jess/0009-0005-4850-1968; Ali, Shehzad/0000-0002-8042-3630; Snell, Kym/0000-0001-9373-6591</t>
  </si>
  <si>
    <t>0007-1250</t>
  </si>
  <si>
    <t>1472-1465</t>
  </si>
  <si>
    <t>BRIT J PSYCHIAT</t>
  </si>
  <si>
    <t>Br. J. Psychiatry</t>
  </si>
  <si>
    <t>221</t>
  </si>
  <si>
    <t>448</t>
  </si>
  <si>
    <t>458</t>
  </si>
  <si>
    <t>PII S000712502100218X</t>
  </si>
  <si>
    <t>10.1192/bjp.2021.218</t>
  </si>
  <si>
    <t>http://dx.doi.org/10.1192/bjp.2021.218</t>
  </si>
  <si>
    <t>2Z4GR</t>
  </si>
  <si>
    <t>35048843</t>
  </si>
  <si>
    <t>WOS:000741165900001</t>
  </si>
  <si>
    <t>Yao, MM; Gao, TJ; Zhao, M; Fu, YH; Liu, J; Wang, TJ; Yang, Y</t>
  </si>
  <si>
    <t>Objective: To preliminarily explore the risk factors for post-infectious bronchiolitis obliterans (PIBO) complicating adenovirus pneumonia (ADVP) in children through a meta-analysis. Methods: A systematic search was conducted on three English-language databases (PubMed, Web of Science and The National Library of Medicine) and two Chinese-language databases (China National Knowledge Infrastructure and the Wanfang Database) between database inception and 1 January 2023. Data analysis was conducted using Stata 15.1 software. Results: A total of 10 articles, reporting 14 risk factors, were included in the analysis, with 8 risk factors taken into consideration. Through the meta-analysis, 5 risk factors were identified for PIBO complicating ADVP in paediatric patients: hypoxaemia [odds ratio (OR) = 9.37, 95% CI: 4.22, 20.77, p &lt; 0.001], persistent wheezing (OR = 4.65, 95% CI: 2.20, 9.82, p &lt; 0.001), mechanical ventilation (OR = 3.87, 95% CI: 2.37, 6.33, p &lt; 0.001), length of hospital stay (LoHS) (OR = 1.25, 95% CI: 1.09, 1.43, p &lt; 0.001) and fever duration (OR = 1.08, 95% CI: 1.02, 1.14, p = 0.009). Conclusion: Existing evidence suggests that hypoxaemia, persistent wheezing, mechanical ventilation, LoHS and fever duration are risk factors for PIBO complicating ADVP in children. These findings underscore the need for enhanced assessment and management in clinical practice. This study may provide such a clinical prediction model from the identified 5 risk factors for PIBO and offer valuable insights for preventing bronchiolitis obliterans in children with ADVP.</t>
  </si>
  <si>
    <t>Yao, Mei-mei; Gao, Tian-ji; Zhao, Min; Fu, Yan-hua; Liu, Jing; Wang, Tian-jiao; Yang, Ying</t>
  </si>
  <si>
    <t>Yao, MM (corresponding author), Capital Med Univ, Baoding Hosp, Beijing Childrens Hosp, Dept Rheumatol &amp; Immunol, Baoding, Peoples R China.</t>
  </si>
  <si>
    <t>meimeiyao3305y@163.com</t>
  </si>
  <si>
    <t>[Yao, Mei-mei; Gao, Tian-ji; Zhao, Min; Fu, Yan-hua; Liu, Jing; Wang, Tian-jiao; Yang, Ying] Capital Med Univ, Baoding Hosp, Beijing Childrens Hosp, Dept Rheumatol &amp; Immunol, Baoding, Peoples R China</t>
  </si>
  <si>
    <t>Capital Medical University</t>
  </si>
  <si>
    <t>Risk factors for bronchiolitis obliterans complicating adenovirus pneumonia in children: a meta-analysis</t>
  </si>
  <si>
    <t>FRONTIERS IN PEDIATRICS</t>
  </si>
  <si>
    <t>children; adenovirus pneumonia; bronchiolitis obliterans; risk factor; post-infectious bronchiolitis obliterans (PIBO)</t>
  </si>
  <si>
    <t>RESPIRATORY-TRACT; EPIDEMIOLOGY; INFECTIONS</t>
  </si>
  <si>
    <t>Fu, Yan-Hua/ABE-1660-2022</t>
  </si>
  <si>
    <t>2296-2360</t>
  </si>
  <si>
    <t>FRONT PEDIATR</t>
  </si>
  <si>
    <t>Front. Pediatr.</t>
  </si>
  <si>
    <t>AUG 1 2024</t>
  </si>
  <si>
    <t>1361850</t>
  </si>
  <si>
    <t>10.3389/fped.2024.1361850</t>
  </si>
  <si>
    <t>http://dx.doi.org/10.3389/fped.2024.1361850</t>
  </si>
  <si>
    <t>C7Z9D</t>
  </si>
  <si>
    <t>39149537</t>
  </si>
  <si>
    <t>WOS:001291526600001</t>
  </si>
  <si>
    <t>Shanmugaraj, A; Khalid, B; Kumar, MV; Kunze, KN; Sheth, U</t>
  </si>
  <si>
    <t>Background: This study aimed to synthesize the applications, performance, and methodological conduct of artificial intelligence (AI) prediction models for total shoulder arthroplasty (TSA) outcomes. Methods: PUBMED, MEDLINE, EMBASE, and CENTRAL were searched on November 2, 2025 for all articles that utilized AI to develop prognostic or diagnostic prediction models utilizing TSA populations. Methodological quality was assessed using the TRIPOD statement and PROBAST tool. Results: Twenty-four studies comprising outcomes of 497,365 patients (35.6% female; 69.6 +/- 0.9 years) were included. Of these patients, 31.0% underwent rTSA, 29.1% aTSA, and 2.8% hemiarthroplasty. The remaining patients received a mix of aTSA and rTSA, but the exact proportions were not reported in their respective studies. Nine studies applied AI to clinical outcomes (AUC 0.85, 0.65-0.96), seven to adverse events (AUC 0.73, 0.52-0.92), and six to resource utilization (AUC 0.78, 0.59-0.91). All twelve studies comparing AI to traditional regression reported that AI models demonstrated superior performance. The need and caution for external validation was reported in 15 studies (62.5%). The mean TRIPOD adherence was 11.6 items (range 9-15); 19 studies (82.3%) met &gt;50% of criteria, and 6 (26.1%) met &gt;66%. PROBAST rated 16 studies (66.7%) at high risk of bias. Conclusion: AI prediction models in TSA show poor methodology, especially in calibration, sample size, missing data, and validation, warranting cautious interpretation and clearer direction for future research.</t>
  </si>
  <si>
    <t>Shanmugaraj, Ajaykumar; Khalid, Bushra; Kumar, Mithilesh, V; Kunze, Kyle N.; Sheth, Ujash</t>
  </si>
  <si>
    <t>Shanmugaraj, A (corresponding author), Scarborough Hlth Network Gen Site, Temerty Fac Med, Dept Family &amp; Community Med, 410-3030 Lawrence Ave East, Toronto, ON M1P 2T7, Canada.</t>
  </si>
  <si>
    <t>ajay.shanmugaraj@mail.utoronto.ca</t>
  </si>
  <si>
    <t>[Shanmugaraj, Ajaykumar; Khalid, Bushra] Univ British Columbia, Fac Med, Vancouver, BC, Canada; [Kumar, Mithilesh, V] Univ Ottawa, Fac Med, Ottawa, ON, Canada; [Kunze, Kyle N.] Hosp Special Surg, Sports Med &amp; Shoulder Inst, New York, NY USA; [Sheth, Ujash] Univ Toronto, Sunnybrook Hlth Sci Ctr, Sunnybrook Orthopaed Upper Limb SOUL, Div Orthopaed Surg,Dept Surg, Toronto, ON, Canada</t>
  </si>
  <si>
    <t>University of British Columbia; University of Ottawa; University of Toronto; Sunnybrook Health Science Center; Sunnybrook Research Institute</t>
  </si>
  <si>
    <t>Transparency of reporting and methodological conduct of prognostic and diagnostic clinical prediction models developed using machine learning in total shoulder arthroplasty: A systematic review and critical appraisal</t>
  </si>
  <si>
    <t>SHOULDER &amp; ELBOW</t>
  </si>
  <si>
    <t>Artificial intelligence; supervised machine learning; algorithm; deep learning; predictive modelling; shoulder; arthroplasty; total shoulder arthroplasty</t>
  </si>
  <si>
    <t>ARTIFICIAL-INTELLIGENCE; INDIVIDUAL PROGNOSIS; PATIENT EXPECTATIONS; OUTCOMES; RISK; APPLICABILITY; EXPLANATION; PROBAST; TRIPOD; BIAS</t>
  </si>
  <si>
    <t>Khalid, Bushra/JQW-0641-2023</t>
  </si>
  <si>
    <t>Shanmugaraj, Ajaykumar/0000-0002-9531-9385</t>
  </si>
  <si>
    <t>1758-5732</t>
  </si>
  <si>
    <t>1758-5740</t>
  </si>
  <si>
    <t>SHOULDER ELBOW</t>
  </si>
  <si>
    <t>Shoulder Elbow</t>
  </si>
  <si>
    <t>680</t>
  </si>
  <si>
    <t>700</t>
  </si>
  <si>
    <t>10.1177/17585732251412368</t>
  </si>
  <si>
    <t>http://dx.doi.org/10.1177/17585732251412368</t>
  </si>
  <si>
    <t>JAN 2026</t>
  </si>
  <si>
    <t>LC3XY</t>
  </si>
  <si>
    <t>41614064</t>
  </si>
  <si>
    <t>WOS:001672300300001</t>
  </si>
  <si>
    <t>Tran, A; Matar, M; Lampron, J; Steyerberg, E; Taljaard, M; Vaillancourt, C</t>
  </si>
  <si>
    <t>BACKGROUND Delays in appropriate triage of bleeding trauma patients result in poor outcomes. Clinical gestalt is fallible and objective measures of risk stratification are needed. The objective of this review is to identify and assess prediction models and predictors for the early identification of traumatic hemorrhage patients requiring massive transfusion, surgery, or embolization.METHODS We searched electronic databases through to September 31, 2016, for studies describing clinical, laboratory, and imaging predictors available within the first hour of resuscitation for identifying patients requiring major intervention for hemorrhage within the first 24 hours.RESULTS We included 84 studies describing any predictor-outcome association, including 47 multivariable models; of these, 26 (55%) were specifically designed for prediction. We identified 35 distinct predictors of which systolic blood pressure, age, heart rate, and mechanism of injury were most frequently studied. Quality of multivariable models was generally poor with only 21 (45%) meeting a commonly recommended sample size threshold of 10 events per predictor. From 21 models meeting this threshold, we identified seven predictors that were examined in at least two models: mechanism of injury, systolic blood pressure, heart rate, hemoglobin, lactate, and focussed abdominal sonography for trauma. Pooled odds ratios were obtained from random-effects meta-analyses.CONCLUSION The majority of traumatic hemorrhagic prediction studies are of poor quality, as assessed by the Prognosis Research Strategy recommendations and Critical Appraisal and Data Extraction for Systematic Reviews of Modeling Studies checklist. There exists a need for a well-designed clinical prediction model for early identification of patients requiring intervention. The variables of clinical importance identified in this review are consistent with recent expert guideline recommendations and may serve as candidates for future derivation studies.</t>
  </si>
  <si>
    <t>Tran, Alexandre; Matar, Maher; Lampron, Jacinthe; Steyerberg, Ewout; Taljaard, Monica; Vaillancourt, Christian</t>
  </si>
  <si>
    <t>Tran, A (corresponding author), Ottawa Hosp, Div Gen Surg, Ottawa, ON, Canada.</t>
  </si>
  <si>
    <t>aletran@toh.ca</t>
  </si>
  <si>
    <t>[Tran, Alexandre; Matar, Maher] Univ Ottawa, Sch Epidemiol Publ Hlth &amp; Prevent Med, Ottawa, ON, Canada; [Tran, Alexandre; Matar, Maher; Lampron, Jacinthe] Ottawa Hosp, Div Gen Surg, Ottawa, ON, Canada; [Steyerberg, Ewout] Leiden Univ, Med Ctr, Dept Med Stat &amp; Bioinformat, Leiden, Netherlands; [Taljaard, Monica; Vaillancourt, Christian] Ottawa Hosp, Res Inst, Clin Epidemiol Program, Ottawa, ON, Canada; [Vaillancourt, Christian] Univ Ottawa, Dept Emergency Med, Ottawa, ON, Canada</t>
  </si>
  <si>
    <t>University of Ottawa; University of Ottawa; Ottawa Hospital Research Institute; Leiden University - Excl LUMC; Leiden University; Leiden University Medical Center (LUMC); University of Ottawa; Ottawa Hospital Research Institute; University of Ottawa</t>
  </si>
  <si>
    <t>Early identification of patients requiring massive transfusion, embolization or hemostatic surgery for traumatic hemorrhage: A systematic review and meta-analysis</t>
  </si>
  <si>
    <t>JOURNAL OF TRAUMA AND ACUTE CARE SURGERY</t>
  </si>
  <si>
    <t>Traumatic hemorrhage; prediction modeling; massive transfusion; surgery; embolization</t>
  </si>
  <si>
    <t>BLOOD-TRANSFUSION; EARLY PREDICTION; VITAL SIGNS; RAPID THROMBELASTOGRAPHY; PELVIC FRACTURES; BLUNT TRAUMA; HEART-RATE; NEED; MORTALITY; RESUSCITATION</t>
  </si>
  <si>
    <t>Taljaard, Monica/AFJ-8820-2022; Vaillancourt, Christian/I-9126-2012; Steyerberg, Ewout/C-1509-2018</t>
  </si>
  <si>
    <t>Taljaard, Monica/0000-0002-3978-8961</t>
  </si>
  <si>
    <t>2163-0755</t>
  </si>
  <si>
    <t>2163-0763</t>
  </si>
  <si>
    <t>J TRAUMA ACUTE CARE</t>
  </si>
  <si>
    <t>J. Trauma Acute Care Surg.</t>
  </si>
  <si>
    <t>MAR 2018</t>
  </si>
  <si>
    <t>505</t>
  </si>
  <si>
    <t>516</t>
  </si>
  <si>
    <t>10.1097/TA.0000000000001760</t>
  </si>
  <si>
    <t>http://dx.doi.org/10.1097/TA.0000000000001760</t>
  </si>
  <si>
    <t>Critical Care Medicine; Surgery</t>
  </si>
  <si>
    <t>General &amp; Internal Medicine; Surgery</t>
  </si>
  <si>
    <t>FY1DU</t>
  </si>
  <si>
    <t>29251714</t>
  </si>
  <si>
    <t>WOS:000426552800014</t>
  </si>
  <si>
    <t>Wang, Y; Wang, TT; Hu, SQ; Cheng, YT; Du, CY; Xu, GL</t>
  </si>
  <si>
    <t>BackgroundStroke-associated pneumonia (SAP) is a common and severe complication following stroke, significantly impacting recovery and outcomes. Early identification of biomarkers and development of predictive models are essential for SAP diagnosis and prevention. This study systematically evaluated the diagnostic value of procalcitonin (PCT) and other biomarkers for SAP and explored their integration into predictive models.MethodsA systematic review and meta-analysis were conducted by searching PubMed, Web of Science, and CNKI databases for studies published up to March 2023. Inclusion criteria focused on studies reporting biomarkers for SAP diagnosis and predictive models. Statistical analyses included pooled sensitivity, specificity, diagnostic odds ratio (DOR), and area under the receiver operating characteristic curve (AUC) using RevMan 5.4 and R software.ResultsThis meta-analysis included 11 studies with 1,478 patients and found that PCT levels were significantly elevated in SAP patients, particularly those with ischemic stroke (standardized mean difference [SMD] = 2.89, 95% confidence interval [CI] = 1.74-4.04). PCT demonstrated high diagnostic accuracy, with a pooled sensitivity of 0.84, specificity of 0.89, DOR of 48.78, and AUC of 0.91, outperforming other biomarkers like CRP and IL-6. Predictive models incorporating biomarkers improved risk stratification, though heterogeneity among studies underscores the need for standardization.ConclusionsPCT is a reliable biomarker for SAP diagnosis, offering high sensitivity and specificity. Combining PCT with predictive models can enhance risk assessment and early detection of SAP. Further research is necessary to refine prediction models and validate the clinical application of biomarkers across diverse populations. This study underscores the importance of biomarkers in guiding SAP prevention and management strategies.</t>
  </si>
  <si>
    <t>Wang, Yuan; Wang, Tingting; Hu, Shouqin; Cheng, Yuntao; Du, Chongyue; Xu, Guolong</t>
  </si>
  <si>
    <t>Wang, Y; Xu, GL (corresponding author), Jiashan Cty Tradit Chinese Med Hosp, Dept Emergency, 38 Gujiadai,Weitang St, Jiaxing 314100, Zhejiang Provin, Peoples R China.</t>
  </si>
  <si>
    <t>674004283@qq.com; wygwx2259@163.com</t>
  </si>
  <si>
    <t>National Outstanding Youth Science Fund Project of National Natural Science Foundation of China</t>
  </si>
  <si>
    <t>National Outstanding Youth Science Fund Project of National Natural Science Foundation of China (National Natural Science Foundation of China (NSFC))</t>
  </si>
  <si>
    <t>[Wang, Yuan; Wang, Tingting; Hu, Shouqin; Cheng, Yuntao; Du, Chongyue; Xu, Guolong] Jiashan Cty Tradit Chinese Med Hosp, Dept Emergency, 38 Gujiadai,Weitang St, Jiaxing 314100, Zhejiang Provin, Peoples R China</t>
  </si>
  <si>
    <t>Procalcitonin and biomarkers for stroke-associated pneumonia: a systematic review and meta-analysis</t>
  </si>
  <si>
    <t>BMC PULMONARY MEDICINE</t>
  </si>
  <si>
    <t>Stroke; Pneumonia; Procalcitonin; Biomarkers; Clinical prediction model</t>
  </si>
  <si>
    <t>1471-2466</t>
  </si>
  <si>
    <t>BMC PULM MED</t>
  </si>
  <si>
    <t>BMC Pulm. Med.</t>
  </si>
  <si>
    <t>JUN 9 2025</t>
  </si>
  <si>
    <t>286</t>
  </si>
  <si>
    <t>10.1186/s12890-025-03750-6</t>
  </si>
  <si>
    <t>http://dx.doi.org/10.1186/s12890-025-03750-6</t>
  </si>
  <si>
    <t>3OG3I</t>
  </si>
  <si>
    <t>40490740</t>
  </si>
  <si>
    <t>WOS:001505070000002</t>
  </si>
  <si>
    <t>Oliveira, CC; Jongen, CAM; Mikolic, A; Incrocci, L; Lingsma, HF; Roobol, MJ; Korfage, I; Heemsbergen, WD; van Klaveren, D</t>
  </si>
  <si>
    <t>Background: Predicting risks of urinary, bowel, sexual, and other adverse effects following prostate cancer curative radiotherapy (PCa-RT) is essential for treatment personalization and patient counseling. Several clinical prediction models (CPMs) have been published; however, their methodological quality remains unclear. Methods: We systematically reviewed studies developing or validating CPMs for adverse events after PCa-RT. Embase and Medline were searched for CPM studies for patient- or clinician-reported outcomes (PROs/ClinROs), published between January 1, 2004, and August 6, 2024. To focus the appraisal on methodologically more robust models, models were pre-selected based on events per variable &gt;= 10 or the reporting of optimism-corrected performance metrics or effect estimates. We appraised models based on performance and ROB, using a six-item short form of the Prediction model Risk Of Bias ASsessment Tool (SF-PROBAST). Results: Of 3606 records screened, 136 CPM studies were identified, and 35 were included, yielding 107 CPMs. Most models (n = 87) were developed in external beam radiation therapy populations. 22 models were externally validated. Only two models (AUC= 0.59 and 0.80) - developed in two different studies - were classified as low risk of bias (fulfilled all the SF-PROBAST criteria). 32 models, from 13 studies, met at least four SF-PROBAST criteria and showed at least moderate discrimination (AUC &gt;= 0.70) at internal (n = 25) and/or external (n = 11) validation. Conclusion: Ready-to-use CPMs in PCa-RT remain scarce due to methodological limitations, miscalibration, and lack of external validation. Future efforts should prioritize validation and refinement of existing models rather than development of new ones.</t>
  </si>
  <si>
    <t>Oliveira, Claudia Cruz; Jongen, Christian A. M.; Mikolic, Ana; Incrocci, Luca; Lingsma, Hester F.; Roobol, Monique J.; Korfage, Ida; Heemsbergen, Wilma D.; van Klaveren, David</t>
  </si>
  <si>
    <t>Oliveira, CC (corresponding author), Erasmus MC Univ, Med Ctr, Dept Publ Hlth, Dr Molewaterpl 40, NL-3015 GD Rotterdam, Rotterdam, Netherlands.</t>
  </si>
  <si>
    <t>c.cruzoliveira@erasmusmc.nl</t>
  </si>
  <si>
    <t>European Union [101057332]; Innovate UK Horizon Europe Guarantee Programme [10041120]; UKRI [10041120]</t>
  </si>
  <si>
    <t>European Union (European Union (EU)); Innovate UK Horizon Europe Guarantee Programme; UKRI</t>
  </si>
  <si>
    <t>CCO and DvK are funded by the European Union under Horizon Europe Work Programme 101057332. Views and opinions expressed are however those of the author (s) only and do not necessarily reflect those of the European Union or the European Health and Digital Executive Agency (HaDEA). Neither the European Union nor the granting authority can be held responsible for them. The UK team are funded under the Innovate UK Horizon Europe Guarantee Programme, UKRI Reference Number: 10041120.</t>
  </si>
  <si>
    <t>[Oliveira, Claudia Cruz; Mikolic, Ana; Lingsma, Hester F.; Korfage, Ida; van Klaveren, David] Erasmus MC Univ, Med Ctr, Dept Publ Hlth, Dr Molewaterpl 40, NL-3015 GD Rotterdam, Rotterdam, Netherlands; [Jongen, Christian A. M.; Incrocci, Luca; Heemsbergen, Wilma D.] Erasmus Univ, Erasmus MC Canc Inst, Med Ctr, Dept Radiotherapy, Rotterdam, Netherlands; [Roobol, Monique J.] Univ Med Ctr Rotterdam, Erasmus MC Canc Inst, Dept Urol, Rotterdam, Netherlands</t>
  </si>
  <si>
    <t>Erasmus University Rotterdam - Excl Erasmus MC; Erasmus University Rotterdam; Erasmus MC; Erasmus MC Cancer Institute; Erasmus University Rotterdam; Erasmus MC; Erasmus MC Cancer Institute</t>
  </si>
  <si>
    <t>4D PICTURE Consortium</t>
  </si>
  <si>
    <t>Prediction models for adverse events from prostate cancer curative radiotherapy: a systematic review of methodological quality</t>
  </si>
  <si>
    <t>TRANSLATIONAL ONCOLOGY</t>
  </si>
  <si>
    <t>Prostate cancer; Radiotherapy; Complications; Radiation injuries; NTCP; Statistical models; Machine learning</t>
  </si>
  <si>
    <t>PATIENT-REPORTED OUTCOMES; INTENSITY-MODULATED RADIOTHERAPY; COMPLICATION PROBABILITY-MODELS; ACUTE URINARY RETENTION; RADIATION-THERAPY; EXTERNAL VALIDATION; PRETREATMENT NOMOGRAM; MULTIVARIABLE MODELS; INTESTINAL TOXICITY; ERECTILE FUNCTION</t>
  </si>
  <si>
    <t>1936-5233</t>
  </si>
  <si>
    <t>TRANSL ONCOL</t>
  </si>
  <si>
    <t>Transl. Oncol.</t>
  </si>
  <si>
    <t>102961</t>
  </si>
  <si>
    <t>10.1016/j.tranon.2026.102961</t>
  </si>
  <si>
    <t>http://dx.doi.org/10.1016/j.tranon.2026.102961</t>
  </si>
  <si>
    <t>MO7NP</t>
  </si>
  <si>
    <t>42570550</t>
  </si>
  <si>
    <t>WOS:001847280400001</t>
  </si>
  <si>
    <t>Munguía-Realpozo, P; Etchegaray-Morales, I; Mendoza-Pinto, C; Méndez-Martínez, S; Osorio-Peña, AD; Ayón-Aguilar, J; García-Carrasco, M</t>
  </si>
  <si>
    <t>Objective: We carried out a systematic review (SR) of adherence in diagnostic and prognostic applications of ML in SLE using the Transparent Reporting of a multivariable prediction model for Individual Prognosis Or Diagnosis (TRIPOD) Statement.Methods: A SR employing five databases was conducted from its inception until December 2021. We identified articles that evaluated the utilization of ML for prognostic and/or diagnostic purposes. This SR was reported based on the PRISMA guidelines. The TRIPOD statement assessed adherence to reporting standards. Assessment for risk of bias was done using PROBAST tool.Results: We included 45 studies: 29 (64.4%) diagnostic and 16 (35.5%) prognostic prediction- model studies. Overall, articles adhered by between 17% and 67% (median 43%, IQR 37-49%) to TRIPOD items. Only few articles reported the model's predictive performance (2.3%, 95% CI 0.06-12.0), testing of interaction terms (2.3%, 95% CI 0.06-12.0), flow of participants (50%, 95% CI; 34.6-65.4), blinding of predictors (2.3%, 95% CI 0.06-12.0), handling of missing data (36.4%, 95% CI 22.4-52.2), and appropriate title (20.5%, 95% CI 9.8-35.3). Some items were almost completely reported: the source of data (88.6%, 95% CI 75.4-96.2), eligibility criteria (86.4%, 95% CI 76.2-96.5), and interpretation of findings (88.6%, 95% CI 75.4-96.2). In addition, most of model studies had high risk of bias.Conclusions: The reporting adherence of ML-based model developed for SLE, is currently inadequate. Several items deemed crucial for transparent reporting were not fully reported in studies on ML-based prediction models. Review registration. PROSPERO ID# CRD42021284881. (Amended to limit the scope).</t>
  </si>
  <si>
    <t>Munguia-Realpozo, Pamela; Etchegaray-Morales, Ivet; Mendoza-Pinto, Claudia; Mendez-Martinez, Socorro; Osorio-Pena, Angel David; Ayon-Aguilar, Jorge; Garcia-Carrasco, Mario</t>
  </si>
  <si>
    <t>Mendoza-Pinto, C (corresponding author), Specialties Hosp UMAE, Syst Autoimmune Dis Res Unit, CIBIOR, Mexican Inst Social Secur, 2 Norte 2004, Puebla 72000, Mexico.</t>
  </si>
  <si>
    <t>socorro.mendez@imss.gob.mx; cmendozap.26@gmail.com; ivetcheg@gmail.com; jorge.ayona@imss.gob.mx</t>
  </si>
  <si>
    <t>[Munguia-Realpozo, Pamela; Mendoza-Pinto, Claudia] Specialties Hosp UMAE, Mexican Inst Social Secur, Syst Autoimmune Dis Res Unit, CIBIOR, Puebla, Mexico; [Munguia-Realpozo, Pamela; Etchegaray-Morales, Ivet; Mendoza-Pinto, Claudia; Osorio-Pena, Angel David; Garcia-Carrasco, Mario] Meritorious Autonomous Univ Puebla, Med Sch, Dept Rheumatol, Puebla, Mexico; [Mendez-Martinez, Socorro; Ayon-Aguilar, Jorge] Mexican Social Secur Inst, Coordinat Hlth Res, Puebla, Mexico</t>
  </si>
  <si>
    <t>Instituto Mexicano del Seguro Social; Benemerita Universidad Autonoma de Puebla; Instituto Mexicano del Seguro Social</t>
  </si>
  <si>
    <t>Current state and completeness of reporting clinical prediction models using machine learning in systemic lupus erythematosus: A systematic review</t>
  </si>
  <si>
    <t>AUTOIMMUNITY REVIEWS</t>
  </si>
  <si>
    <t>Machine learning; Prediction; Big data; Rheumatic autoimmune diseases; Systematic review</t>
  </si>
  <si>
    <t>CLASSIFICATION; DIAGNOSIS; OUTCOMES; RISK; ATHEROSCLEROSIS; SIGNATURES; PROGNOSIS; NEPHRITIS; CRITERIA</t>
  </si>
  <si>
    <t>Mendez-Martínez, Socorro/AAH-5080-2020; Mendoza-Pinto, Claudia/LDF-4677-2024; Ayón-Aguilar, Jorge/KDO-8332-2024; Etchegaray Morales, Ivet/JRX-0115-2023; Munguía-Realpozo, Pamela/IUP-8760-2023; Carrasco, Mario/AAU-5477-2021</t>
  </si>
  <si>
    <t>Mendez-Martínez, Socorro/0000-0001-7463-0580; Mendoza-Pinto, Claudia/0000-0002-5101-7705; Ayón-Aguilar, Jorge/0000-0001-9704-8032; Etchegaray Morales, Ivet/0000-0002-5857-4299</t>
  </si>
  <si>
    <t>1568-9972</t>
  </si>
  <si>
    <t>1873-0183</t>
  </si>
  <si>
    <t>AUTOIMMUN REV</t>
  </si>
  <si>
    <t>Autoimmun. Rev.</t>
  </si>
  <si>
    <t>103294</t>
  </si>
  <si>
    <t>10.1016/j.autrev.2023.103294</t>
  </si>
  <si>
    <t>http://dx.doi.org/10.1016/j.autrev.2023.103294</t>
  </si>
  <si>
    <t>FEB 2023</t>
  </si>
  <si>
    <t>9P9PC</t>
  </si>
  <si>
    <t>36791873</t>
  </si>
  <si>
    <t>WOS:000944607100001</t>
  </si>
  <si>
    <t>Pessôa, RL; Kessler, VG; Becker, GG; Garcia, GM; Araldi, PVD; Aver, PV</t>
  </si>
  <si>
    <t>Objective This systematic review and network meta-analysis aimed to evaluate the efficacy and safety of direct oral anticoagulants (DOACs) in adults aged 75 and over undergoing acute venous thromboembolism (VTE) treatment.Methods PubMed, Embase and the CENTRAL were searched up to 25 December 2023. The incidence of VTE recurrence and bleeding events was assessed. Employing a frequentist network meta-analysis approach, interventions not directly compared could be indirectly assessed through the 95% confidence interval (CI), enhancing the interpretability of the search results. The surface under the cumulative ranking curves (SUCRA) was utilized to generate the relative ranking probabilities for each group.Results Our study, analysing 6 randomised controlled trials with 3665 patients, compares direct oral anticoagulants (DOACs) and vitamin K antagonists (VKAs) in adults aged 75 and over with acute venous thromboembolism. Edoxaban reduces VTE recurrence risk compared with VKAs (risk ratio [RR] .50, 95% CI 0.27 - .95), while apixaban significantly decreases bleeding risk compared with VKAs (RR .23, 95% CI 0.08 - .69), edoxaban (RR .28, 95% CI 0.09 - .86) and rivaroxaban (RR .28, 95% CI 0.09 - .86). Despite low overall evidence quality, apixaban consistently ranks highest for both efficacy and safety. Findings underscore the nuanced efficacy-safety balance in this population, emphasizing cautious interpretation due to evidence limitations.Conclusion Apixaban emerges as a favourable choice for acute VTE treatment in the elderly, displaying reduced bleeding risk compared to other treatments while maintaining comparable efficacy. Future studies should explore diverse anticoagulants efficacy and safety in older populations. Additionally, clinical prediction models tailored to geriatric cohorts are crucial for guiding treatment duration decisions.</t>
  </si>
  <si>
    <t>Pessoa, Renato Luis; Kessler, Vitor Germano; Becker, Gabriel Goerck; Garcia, Gabriel Moretti; Araldi, Pedro Victor Duarte; Aver, Pedro Verza</t>
  </si>
  <si>
    <t>Pessôa, RL (corresponding author), Univ Vale Taquari, Med Sch, Ave Tallini St,171, BR-95914014 Lajeado, Brazil.</t>
  </si>
  <si>
    <t>renato.pessoa@universo.univates.br</t>
  </si>
  <si>
    <t>[Pessoa, Renato Luis; Kessler, Vitor Germano; Becker, Gabriel Goerck; Garcia, Gabriel Moretti] Univ Vale Taquari, Med Sch, Ave Tallini St,171, BR-95914014 Lajeado, Brazil; [Araldi, Pedro Victor Duarte] Univ Reg Noroeste Estado Rio Grande Do Sul, Med Sch, Ijui, Brazil; [Aver, Pedro Verza] Univ Contestado, Med Sch, Mafra, Brazil</t>
  </si>
  <si>
    <t>Universidade Regional do Noroeste do Estado do Rio Grande do Sul - UNIJUI; Universidade do Contestado</t>
  </si>
  <si>
    <t>Efficacy and Safety of Direct Oral Anticoagulants for Acute Treatment of Venous Thromboembolism in Older Adults: A Network Meta-Analysis of Randomised Controlled Trials</t>
  </si>
  <si>
    <t>VASCULAR AND ENDOVASCULAR SURGERY</t>
  </si>
  <si>
    <t>venous thromboembolism; aged; meta-analysis; treatment outcome; factor xa inhibitors; anticoagulants</t>
  </si>
  <si>
    <t>WARFARIN; RIVAROXABAN; DABIGATRAN; EDOXABAN; DEFINITION; MANAGEMENT; APIXABAN</t>
  </si>
  <si>
    <t>Pessôa, Renato/0000-0003-2286-8022</t>
  </si>
  <si>
    <t>1538-5744</t>
  </si>
  <si>
    <t>1938-9116</t>
  </si>
  <si>
    <t>VASC ENDOVASC SURG</t>
  </si>
  <si>
    <t>Vasc. Endovasc. Surg.</t>
  </si>
  <si>
    <t>AUG 2024</t>
  </si>
  <si>
    <t>639</t>
  </si>
  <si>
    <t>10.1177/15385744241253201</t>
  </si>
  <si>
    <t>http://dx.doi.org/10.1177/15385744241253201</t>
  </si>
  <si>
    <t>Surgery; Peripheral Vascular Disease</t>
  </si>
  <si>
    <t>Surgery; Cardiovascular System &amp; Cardiology</t>
  </si>
  <si>
    <t>WC5A5</t>
  </si>
  <si>
    <t>38706248</t>
  </si>
  <si>
    <t>WOS:001214422400001</t>
  </si>
  <si>
    <t>Shah, KV; Gadelrab, M; Brennan, EA; Westfal, ML; Donahue, CA; Gaizo, JD; Kilic, A; Curran, T</t>
  </si>
  <si>
    <t>Venous thromboembolism (VTE), including deep vein thrombosis (DVT) and pulmonary embolism (PE), is a significant complication in surgical patients. Artificial intelligence (AI) and machine learning (ML) may enhance VTE risk stratification by leveraging novel parameters in electronic medical records (EMRs). We aim to systematically review the role of AI and ML in stratifying the risk of postoperative VTE in surgical patients. A systematic literature search was conducted in PubMed, Scopus, and CINAHL Complete through May 24, 2024, and registered in PROSPERO (CRD420250522393). Eligible studies included primary research on postoperative adult patients undergoing any surgery that reported VTE risk assessment using the area under the receiver operating characteristic curve (AUC). Risk of bias was assessed, and the Wilcoxon signed-rank test was used to compare AUCs. 34 studies met the inclusion criteria, of which 22 directly compared AI models with non-AI models and were used for analysis. AI models showed higher discrimination than non-AI comparators within the same cohorts, with a median Delta AUC of + 0.10 (IQR 0.03-0.21; Wilcoxon signed-rank test, n = 22, p &lt; 0.001). 31 studies were found to have a high risk of bias in model development, with only 12 reporting calibration metrics. Studies were limited to the United States (17) and China (17), with substantial surgical heterogeneity. Across head-to-head studies, AI models consistently showed higher discrimination than their non-AI comparators within the same cohorts. Future research should prioritize external validation, standardized reporting of calibration metrics, and generalizability.[GRAPHICS]</t>
  </si>
  <si>
    <t>Shah, Kavin; Gadelrab, Michael; Brennan, Emily A.; Westfal, Maggie L.; Donahue, Colleen A.; Gaizo, John Del; Kilic, Arman; Curran, Thomas</t>
  </si>
  <si>
    <t>Shah, KV (corresponding author), Med Univ South Carolina, Coll Med, Charleston, SC 29425 USA.</t>
  </si>
  <si>
    <t>shahkav@musc.edu</t>
  </si>
  <si>
    <t>Medical University of South Carolina</t>
  </si>
  <si>
    <t>Open access funding provided by the Carolinas Consortium.</t>
  </si>
  <si>
    <t>[Shah, Kavin; Gadelrab, Michael] Med Univ South Carolina, Coll Med, Charleston, SC 29425 USA; [Brennan, Emily A.] Med Univ South Carolina, MUSC Lib, MLIS, Charleston, SC USA; [Westfal, Maggie L.; Donahue, Colleen A.; Gaizo, John Del; Kilic, Arman; Curran, Thomas] Med Univ South Carolina, Dept Surg, Charleston, SC USA</t>
  </si>
  <si>
    <t>Medical University of South Carolina; Medical University of South Carolina; Medical University of South Carolina</t>
  </si>
  <si>
    <t>Artificial intelligence for venous thromboembolism risk stratification in surgical patients: a systematic review</t>
  </si>
  <si>
    <t>JOURNAL OF THROMBOSIS AND THROMBOLYSIS</t>
  </si>
  <si>
    <t>Artificial intelligence; Machine learning; Venous thromboembolism; Surgical patients; Risk stratification; Systematic review</t>
  </si>
  <si>
    <t>DEEP-VEIN THROMBOSIS; CLINICAL-PREDICTION MODEL; MACHINE LEARNING-MODELS; VALIDATION; COMPLICATIONS; MULTICENTER; EVENTS</t>
  </si>
  <si>
    <t>Westfal, Maggie/JTT-8067-2023</t>
  </si>
  <si>
    <t>Brennan, Emily A/0000-0001-8463-1499</t>
  </si>
  <si>
    <t>DORDRECHT</t>
  </si>
  <si>
    <t>VAN GODEWIJCKSTRAAT 30, 3311 GZ DORDRECHT, NETHERLANDS</t>
  </si>
  <si>
    <t>0929-5305</t>
  </si>
  <si>
    <t>1573-742X</t>
  </si>
  <si>
    <t>J THROMB THROMBOLYS</t>
  </si>
  <si>
    <t>J. Thromb. Thrombolysis</t>
  </si>
  <si>
    <t>1298</t>
  </si>
  <si>
    <t>1312</t>
  </si>
  <si>
    <t>10.1007/s11239-026-03257-9</t>
  </si>
  <si>
    <t>http://dx.doi.org/10.1007/s11239-026-03257-9</t>
  </si>
  <si>
    <t>Cardiac &amp; Cardiovascular Systems; Hematology; Peripheral Vascular Disease</t>
  </si>
  <si>
    <t>Cardiovascular System &amp; Cardiology; Hematology</t>
  </si>
  <si>
    <t>KM9IE</t>
  </si>
  <si>
    <t>41790327</t>
  </si>
  <si>
    <t>WOS:001712540600001</t>
  </si>
  <si>
    <t>Tovar, DR; Rosenthal, MH; Maitra, A; Koay, EJ</t>
  </si>
  <si>
    <t>Pancreatic ductal adenocarcinoma (PDAC) is the third most lethal cancer in the United States, with a 5-year life expectancy of 11%. Most symptoms manifest at an advanced stage of the disease when surgery is no longer appropriate. The dire prognosis of PDAC warrants new strategies to improve the outcomes of patients, and early detection has garnered significant attention. However, early detection of PDAC is most often incidental, emphasizing the importance of developing new early detection screening strategies. Due to the low incidence of the disease in the general population, much of the focus for screening has turned to individuals at high risk of PDAC. This enriches the screening population and balances the risks associated with pancreas interventions. The cancers that are found in these high-risk individuals by MRI and/or EUS screening show favorable 73% 5-year overall survival. Even with the emphasis on screening in enriched high-risk populations, only a minority of incident cancers are detected this way. One strategy to improve early detection outcomes is to integrate artificial intelligence (AI) into biomarker discovery and risk models. This expert review summarizes recent publications that have developed AI algorithms for the applications of risk stratification of PDAC using radiomics and electronic health records. Furthermore, this review illustrates the current uses of radiomics and biomarkers in AI for early detection of PDAC. Finally, various challenges and potential solutions are highlighted regarding the use of AI in medicine for early detection purposes.</t>
  </si>
  <si>
    <t>Tovar, Daniela R.; Rosenthal, Michael H.; Maitra, Anirban; Koay, Eugene J.</t>
  </si>
  <si>
    <t>Koay, EJ (corresponding author), Univ Texas MD Anderson Canc Ctr, Dept Gastrointestinal Radiat Oncol, 1400 Pressler St, Houston, TX 77030 USA.</t>
  </si>
  <si>
    <t>ekoay@mdanderson.org</t>
  </si>
  <si>
    <t>NIH [1U01DK126365, 5U01CA200468, 3U01CA196403, 5R01CA218004, U54CA210181, U54CA143837, U01CA214263, P50CA221707, R01CA221971, P30CA016672, NIH/NCI U01CA210171, U01CA200468]; DOD [W81XWH-21-1-0709]; Hale Family Center for Pancreatic Cancer Research at Dana-Farber Cancer Institute; Lustgarten Foundation; MD Anderson Pancreatic Cancer Moon Shot Program; Sheikh Khalifa Bin Zayed Al-Nahyan Foundation</t>
  </si>
  <si>
    <t>NIH (United States Department of Health &amp; Human Services, National Institutes of Health (NIH) - USA); DOD (United States Department of Defense); Hale Family Center for Pancreatic Cancer Research at Dana-Farber Cancer Institute; Lustgarten Foundation; MD Anderson Pancreatic Cancer Moon Shot Program; Sheikh Khalifa Bin Zayed Al-Nahyan Foundation</t>
  </si>
  <si>
    <t>Maitra A and Koay EJ were supported with grants from NIH (1U01DK126365, 5U01CA200468, 3U01CA196403, 5R01CA218004) . Koay EJ was also partially supported by DOD (W81XWH-21-1-0709) and NIH (U54CA210181, U54CA143837, U01CA214263, P50CA221707, R01CA221971, P30CA016672) . Maitra A and Koay EJ would also like to gratefully acknowledge the generous support from Jennifer and Wil vanLoh, KWS Foundation, and the Michael C Linn Family Foundation. Rosenthal MH received funding from the Hale Family Center for Pancreatic Cancer Research at Dana-Farber Cancer Institute, NIH (NIH/NCI U01CA210171 and U01CA200468) , Lustgarten Foundation, and Stand Up to Cancer for related work. Maitra A is supported by the MD Anderson Pancreatic Cancer Moon Shot Program, the Sheikh Khalifa Bin Zayed Al-Nahyan Foundation. Maitra A receives royalties for a pancreatic cancer biomarker test from Cosmos Wisdom Biotechnology, and this financial relationship is managed and monitored by the UTMDACC Conflict of Interest Committee. Maitra A is also listed as an inventor on a patent that has been licensed by Johns Hopkins University to ThriveEarlier Detection. Maitra A serves as a consultant for Freenome and Tezcat Biotechnology.</t>
  </si>
  <si>
    <t>[Tovar, Daniela R.; Koay, Eugene J.] Univ Texas MD Anderson Canc Ctr, Dept Gastrointestinal Radiat Oncol, 1400 Pressler St, Houston, TX 77030 USA; [Rosenthal, Michael H.] Dana Farber Canc Inst, Dept Radiol, Boston, MA 02215 USA; [Maitra, Anirban] Univ Texas MD Anderson Canc Ctr, Dept Radiol, Houston, TX 77030 USA</t>
  </si>
  <si>
    <t>University of Texas System; UTMD Anderson Cancer Center; Harvard University; Harvard University Medical Affiliates; Dana-Farber Cancer Institute; University of Texas System; UTMD Anderson Cancer Center</t>
  </si>
  <si>
    <t>Potential of artificial intelligence in the risk stratification for and early detection of pancreatic cancer</t>
  </si>
  <si>
    <t>ARTIFICIAL INTELLIGENCE SURGERY</t>
  </si>
  <si>
    <t>Pancreatic cancer; artificial intelligence; early detection; risk prediction</t>
  </si>
  <si>
    <t>CLINICAL-PREDICTION MODEL; FINE-NEEDLE-ASPIRATION; NEURAL-NETWORKS; DIAGNOSIS; INFORMATION; PREVALENCE; RADIOMICS; BIOMARKER; FNA</t>
  </si>
  <si>
    <t>, Daniela Tovar/0009-0005-9016-5099</t>
  </si>
  <si>
    <t>OAE PUBLISHING INC</t>
  </si>
  <si>
    <t>ALHAMBRA</t>
  </si>
  <si>
    <t>245 E MAIN ST, ST122, ALHAMBRA, CA 91801 USA</t>
  </si>
  <si>
    <t>2771-0408</t>
  </si>
  <si>
    <t>ARTIF INTELL SURG</t>
  </si>
  <si>
    <t>Artif. Intell. Surg.</t>
  </si>
  <si>
    <t>MAR 2023</t>
  </si>
  <si>
    <t>10.20517/ais.2022.38</t>
  </si>
  <si>
    <t>http://dx.doi.org/10.20517/ais.2022.38</t>
  </si>
  <si>
    <t>I6U0R</t>
  </si>
  <si>
    <t>37124705</t>
  </si>
  <si>
    <t>WOS:001331578600002</t>
  </si>
  <si>
    <t>Callister, MEJ; Baldwin, DR</t>
  </si>
  <si>
    <t>Pulmonary nodules are a common incidental finding on CT and the inexorable rise in the use of CT (10% increase per year in the UK over the last decade) means that the frequency of their detection is likely to increase over coming years. This may be augmented further if CT screening is implemented. Management has previously been influenced by North American guidelines, with the most widely used resource to date being the Fleischner Society guidelines published in 2005. These predominantly focus on the timing of CT scans arranged to survey small pulmonary nodules (&lt;= 8 mm), and the guideline authors chose not to offer specific recommendations regarding larger nodules. More recently, the society published specific guidelines for sub-solid nodules, reflecting the different prognosis that this subtype of nodules confers. The American College of Chest Physicians have published two guidelines on pulmonary nodules the latest was completed in 2012 and published in Chest the following year.However, the investigation and management of pulmonary nodules is a rapidly evolving subject largely driven by evidence from the large CT screening studies. In 2012, The British Thoracic Society (BTS) convened a guideline development group to address the topic of pulmonary nodule investigation and management, with publication of the guideline in July 2015. One third of the 359 references included in the guideline date from 2012 onwards, and many of the differences between the recommendations made and previous guideline recommendations reflect this recent evidence. This article reviews specific evidence considered in formulating the BTS guidelines, and summarises the main guideline recommendations. (C) 2015 Elsevier Ireland Ltd. All rights reserved.</t>
  </si>
  <si>
    <t>Callister, Matthew E. J.; Baldwin, David R.</t>
  </si>
  <si>
    <t>Callister, MEJ (corresponding author), St James Univ Hosp, Leeds Teaching Hosp, Dept Resp Med, Leeds, W Yorkshire, England.</t>
  </si>
  <si>
    <t>matthew.callister@nhs.net</t>
  </si>
  <si>
    <t>[Callister, Matthew E. J.] St James Univ Hosp, Leeds Teaching Hosp, Dept Resp Med, Leeds, W Yorkshire, England; [Baldwin, David R.] Univ Nottingham Hosp, David Evans Res Ctr, Resp Med Unit, Nottingham NG7 2UH, England</t>
  </si>
  <si>
    <t>Saint James's University Hospital; University of Leeds; University of Nottingham</t>
  </si>
  <si>
    <t>How should pulmonary nodules be optimally investigated and managed?</t>
  </si>
  <si>
    <t>LUNG CANCER</t>
  </si>
  <si>
    <t>Pulmonary nodule; Lung cancer; Pulmonary metastasis</t>
  </si>
  <si>
    <t>CELL LUNG-CANCER; STEREOTACTIC ABLATIVE RADIOTHERAPY; ASSISTED THORACOSCOPIC SURGERY; CT-GUIDED BIOPSY; ELECTROMAGNETIC NAVIGATION BRONCHOSCOPY; TRANSTHORACIC NEEDLE-BIOPSY; CLINICAL-PREDICTION MODEL; GROUND-GLASS NODULES; COMPUTED-TOMOGRAPHY; DIAGNOSTIC-ACCURACY</t>
  </si>
  <si>
    <t>Baldwin, David/0000-0001-8410-7160; Callister, Matthew/0000-0001-8157-0803</t>
  </si>
  <si>
    <t>ELSEVIER IRELAND LTD</t>
  </si>
  <si>
    <t>CLARE</t>
  </si>
  <si>
    <t>ELSEVIER HOUSE, BROOKVALE PLAZA, EAST PARK SHANNON, CO, CLARE, 00000, IRELAND</t>
  </si>
  <si>
    <t>0169-5002</t>
  </si>
  <si>
    <t>1872-8332</t>
  </si>
  <si>
    <t>Lung Cancer</t>
  </si>
  <si>
    <t>JAN 2016</t>
  </si>
  <si>
    <t>10.1016/j.lungcan.2015.10.018</t>
  </si>
  <si>
    <t>http://dx.doi.org/10.1016/j.lungcan.2015.10.018</t>
  </si>
  <si>
    <t>Oncology; Respiratory System</t>
  </si>
  <si>
    <t>DC4RD</t>
  </si>
  <si>
    <t>26711934</t>
  </si>
  <si>
    <t>WOS:000369207100008</t>
  </si>
  <si>
    <t>Caragata, R; Wyssusek, KH; Kruger, R</t>
  </si>
  <si>
    <t>Acute kidney injury (AKI) is a frequent postoperative complication amongst liver transplant recipients and is associated with increased morbidity and mortality. This systematic review analysed the existing predictive models, in order to solidify current understanding. Articles were selected for inclusion if they described the primary development of a clinical prediction model (either an algorithm or risk score) to predict AKI post liver transplantation. The database search yielded a total of seven studies describing the primary development of a prediction model or risk score for the development of AKI following liver transplantation. The models span thirteen years of clinical. research and highlight a gradual change in the definitions of AKI, emphasising the need to employ standardised definitions for subsequent studies. Collectively, the models identify a diverse range of predictive factors with several common trends. They emphasise the impact of preoperative renal dysfunction, liver disease severity and aetiology, metabolic risk factors as well as intraoperative variables including measures of haemodynamic instability and graft quality. Although several of the models address postoperative parameters, their utility in predictive modelling seems to be of questionable relevance. The common risk factors identified within this systematic review provide a minimum list of variables, which future studies should address. Research in this area would benefit from prospective, multi site studies with larger cohorts as well as the subsequent internal and external validation of predictive models. Ultimately, the ability to identify patients at high risk of post-transplant AKI may enable early intervention and perhaps prevention.</t>
  </si>
  <si>
    <t>Caragata, R.; Wyssusek, K. H.; Kruger, R.</t>
  </si>
  <si>
    <t>Wyssusek, KH (corresponding author), Princess Alexandra Hosp, Dept Anaesthesia, Brisbane, Qld 4102, Australia.; Wyssusek, KH (corresponding author), Univ Queensland, Sch Med, Brisbane, Qld, Australia.</t>
  </si>
  <si>
    <t>kwyssusek@gmail.com</t>
  </si>
  <si>
    <t>[Caragata, R.; Wyssusek, K. H.] Princess Alexandra Hosp, Dept Anaesthesia, Brisbane, Qld 4102, Australia; [Caragata, R.; Wyssusek, K. H.; Kruger, R.] Univ Queensland, Sch Med, Brisbane, Qld, Australia; [Kruger, R.] Princess Alexandra Hosp, Dept Intens Care Med, Brisbane, Qld, Australia</t>
  </si>
  <si>
    <t>Princess Alexandra Hospital; University of Queensland; Princess Alexandra Hospital</t>
  </si>
  <si>
    <t>Acute kidney injury following liver transplantation: a systematic review of published predictive models</t>
  </si>
  <si>
    <t>ANAESTHESIA AND INTENSIVE CARE</t>
  </si>
  <si>
    <t>acute kidney injury; liver transplantation; prediction model; risk score</t>
  </si>
  <si>
    <t>ACUTE-RENAL-FAILURE; GELATINASE-ASSOCIATED LIPOCALIN; RISK-FACTORS; REPLACEMENT THERAPY; RIFLE CRITERIA; CYSTATIN-C; PERIOPERATIVE PREDICTORS; CONSENSUS CONFERENCE; IMPACT; DISEASE</t>
  </si>
  <si>
    <t>Wyssusek, Kerstin/A-8290-2012; Caragata, Rebecca/GNP-4653-2022</t>
  </si>
  <si>
    <t>Wyssusek, Kerstin/0000-0003-1709-4958; Caragata, Rebecca/0000-0002-6439-8615</t>
  </si>
  <si>
    <t>0310-057X</t>
  </si>
  <si>
    <t>1448-0271</t>
  </si>
  <si>
    <t>ANAESTH INTENS CARE</t>
  </si>
  <si>
    <t>Anaesth. Intensive Care</t>
  </si>
  <si>
    <t>251</t>
  </si>
  <si>
    <t>261</t>
  </si>
  <si>
    <t>10.1177/0310057X1604400212</t>
  </si>
  <si>
    <t>http://dx.doi.org/10.1177/0310057X1604400212</t>
  </si>
  <si>
    <t>Anesthesiology; Critical Care Medicine</t>
  </si>
  <si>
    <t>Anesthesiology; General &amp; Internal Medicine</t>
  </si>
  <si>
    <t>DJ8AW</t>
  </si>
  <si>
    <t>27029658</t>
  </si>
  <si>
    <t>WOS:000374435500010</t>
  </si>
  <si>
    <t>Wadud, S; Cheadle, EJ; Sutton, PA</t>
  </si>
  <si>
    <t>Background: Treatment response to neoadjuvant therapy in rectal cancer exhibits a considerable degree of interpatient heterogeneity. Select components of the tumour immune microenvironment have been identified as predictive biomarkers of therapeutic response, for which more evidence is required for future clinical prediction models. Aim: The research aimed to identify key tumour immune microenvironment biomarkers predictive of the response to neoadjuvant therapy through the systematic appraisal of existing literature. Methods: A structured search was performed across PubMed, Ovid Embase, and Cochrane databases to retrieve primary studies investigating the association between the tumour immune microenvironment and pathological complete response (pCR) or tumour regression grade (TRG) in patients with rectal cancer. Studies were screened against predefined inclusion and exclusion criteria. Results: Fifteen studies satisfied the inclusion criteria, with cohorts ranging between 24 and 298 participants with predominantly stage II-III disease. Considerable heterogeneity was observed in both types and methods of quantification of biomarkers. Biomarkers assessed in pretreatment biopsies included tumour-infiltrating lymphocytes (TILs), investigated by subtype (cluster of differentiation (CD)8+, CD4+, forkhead box protein 3+ (FOXP3)) or as a composite measure, as well as programmed death-ligand 1 (PD-L1), PD-1+, natural killer (NK) cells, CD163+, and CD68+. Findings showed that high densities of TILs-particularly the CD8+ subtype-consistently correlated with improved tumour regression. FOXP3+ and CD163+ were inconsistently associated with reduced treatment response. NK cells and CD68+ cells were less frequently investigated and yielded non-significant findings. Conclusions: CD8+ TILs have the potential to serve as predictive biomarkers of therapeutic response to neoadjuvant treatment in patients with rectal cancer. Inconsistent findings with FOXP3+ Tregs and CD163+ macrophages reinforce the need for their further investigation.</t>
  </si>
  <si>
    <t>Wadud, Sreya; Cheadle, Eleanor J.; Sutton, Paul A.</t>
  </si>
  <si>
    <t>Sutton, PA (corresponding author), Christie NHS Fdn Trust, Colorectal &amp; Peritoneal Oncol Ctr, Manchester M20 4BX, England.; Cheadle, EJ; Sutton, PA (corresponding author), Univ Manchester, Manchester Acad Hlth Sci Ctr, Div Canc Sci, Targeted Therapy Grp, Manchester M20 4BX, England.</t>
  </si>
  <si>
    <t>eleanor.j.cheadle@manchester.ac.uk; paul.sutton1@nhs.net; sreya.wadud@student.manchester.ac.uk</t>
  </si>
  <si>
    <t>The Christie Charity; National Institute for Health and Care Research [NIHR203308, NIHR-BRC-1215-20007]</t>
  </si>
  <si>
    <t>The Christie Charity; National Institute for Health and Care Research</t>
  </si>
  <si>
    <t>E.J.C. is funded by the National Institute for Health and Care Research (NIHR), Manchester Biomedical Research Centre (BRC) (NIHR203308, NIHR-BRC-1215-20007). P.A.S. is funded by The Christie Charity, in partnership with the NIHR Manchester Biomedical Research Centre. The views expressed are those of the author(s) and not necessarily those of the NIHR or the Department of Health and Social Care.</t>
  </si>
  <si>
    <t>[Wadud, Sreya; Sutton, Paul A.] Christie NHS Fdn Trust, Colorectal &amp; Peritoneal Oncol Ctr, Manchester M20 4BX, England; [Cheadle, Eleanor J.; Sutton, Paul A.] Univ Manchester, Manchester Acad Hlth Sci Ctr, Div Canc Sci, Targeted Therapy Grp, Manchester M20 4BX, England</t>
  </si>
  <si>
    <t>Christie NHS Foundation Trust; University of Manchester</t>
  </si>
  <si>
    <t>The Tumour Immune Microenvironment as a Predictor of the Response to Neoadjuvant Therapy in Rectal Cancer</t>
  </si>
  <si>
    <t>rectal cancer; tumour immune microenvironment; neoadjuvant therapy; tumour regression; pathological complete response</t>
  </si>
  <si>
    <t>INFILTRATING LYMPHOCYTES; T-CELLS; CHEMORADIOTHERAPY; DENSITY; TILS</t>
  </si>
  <si>
    <t>Cheadle, Eleanor/IAR-6601-2023</t>
  </si>
  <si>
    <t>Cheadle, Eleanor/0000-0002-8286-0658</t>
  </si>
  <si>
    <t>APR 16 2026</t>
  </si>
  <si>
    <t>1261</t>
  </si>
  <si>
    <t>10.3390/cancers18081261</t>
  </si>
  <si>
    <t>http://dx.doi.org/10.3390/cancers18081261</t>
  </si>
  <si>
    <t>HA5DD</t>
  </si>
  <si>
    <t>42073586</t>
  </si>
  <si>
    <t>WOS:001749430700001</t>
  </si>
  <si>
    <t>Navarro, CLA; Damen, JAA; Takada, T; Nijman, SWJ; Dhiman, P; Ma, J; Collins, GS; Bajpai, R; Riley, RD; Moons, KGM; Hooft, L</t>
  </si>
  <si>
    <t>Objectives: We evaluated the presence and frequency of spin practices and poor reporting standards in studies that developed and/or validated clinical prediction models using supervised machine learning techniques. Study Design and Setting: We systematically searched PubMed from 01/2018 to 12/2019 to identify diagnostic and prognostic prediction model studies using supervised machine learning. No restrictions were placed on data source, outcome, or clinical specialty. Results: We included 152 studies: 38% reported diagnostic models and 62% prognostic models. When reported, discrimination was described without precision estimates in 53/71 abstracts (74.6% [95% CI 63.4-83.3]) and 53/81 main texts (65.4% [95% CI 54.6-74.9]). Of the 21 abstracts that recommended the model to be used in daily practice, 20 (95.2% [95% CI 77.3-99.8]) lacked any external validation of the developed models. Likewise, 74/133 (55.6% [95% CI 47.2-63.8]) studies made recommendations for clinical use in their main text without any external validation. Reporting guidelines were cited in 13/152 (8.6% [95% CI 5.1-14.1]) studies. Conclusion: Spin practices and poor reporting standards are also present in studies on prediction models using machine learning techniques. A tailored framework for the identification of spin will enhance the sound reporting of prediction model studies. (c) 2023 The Author(s). Published by Elsevier Inc. This is an open access article under the CC BY license (http://creativecommons.org/licenses/by/4.0/).</t>
  </si>
  <si>
    <t>Navarro, Constanza L. Andaur; Damen, Johanna A. A.; Takada, Toshihiko; Nijman, Steven W. J.; Dhiman, Paula; Ma, Jie; Collins, Gary S.; Bajpai, Ram; Riley, Richard D.; Moons, Karel G. M.; Hooft, Lotty</t>
  </si>
  <si>
    <t>Navarro, CLA (corresponding author), Julius Ctr Hlth Sci &amp; Primary Care, POB 85500, Univ Weg 100, NL-3508 Utrecht, Netherlands.</t>
  </si>
  <si>
    <t>c.l.andaurnavarro@umcutrecht.nl</t>
  </si>
  <si>
    <t>Cancer Research UK [27294] Funding Source: Medline</t>
  </si>
  <si>
    <t>Cancer Research UK (Cancer Research UK)</t>
  </si>
  <si>
    <t>[Navarro, Constanza L. Andaur; Damen, Johanna A. A.;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Ctr Stat Med, NDORMS, Oxford, England; [Dhiman, Paula; Collins, Gary S.] Oxford Univ Hosp NHS Fdn Trust, NIHR Oxford Biomed Res Ctr, Oxford, England; [Riley, Richard D.] Keele Univ, Ctr Prognosis Res, Sch Med, Keele, England; [Navarro, Constanza L. Andaur] Julius Ctr Hlth Sci &amp; Primary Care, POB 85500, Univ Weg 100, NL-3508 Utrecht, Netherlands</t>
  </si>
  <si>
    <t>Utrecht University; Utrecht University Medical Center; Utrecht University; Utrecht University Medical Center; University of Oxford; University of Oxford; Oxford University Hospitals NHS Foundation Trust; Keele University</t>
  </si>
  <si>
    <t>Systematic review finds "spin"practices and poor reporting standards in studies on machine learning-based prediction models</t>
  </si>
  <si>
    <t>Diagnosis; Prognosis; Development; Validation; Misinterpretation; Overinterpretation; Overextrapolation; Spin</t>
  </si>
  <si>
    <t>SPIN; MANUSCRIPTS; ABSTRACTS; CANCER; IMPACT</t>
  </si>
  <si>
    <t>Collins, Gary/A-2258-2014; Moons, Karel GM/JPA-4011-2023; Bajpai, Ram/I-1038-2016; Hooft, Lotty/PCC-6420-2025; Riley, Richard D/G-2406-2011</t>
  </si>
  <si>
    <t>Collins, Gary/0000-0002-2772-2316; Damen, Johanna/0000-0001-7401-4593; Takada, Toshihiko/0000-0002-8032-6224; Bajpai, Ram/0000-0002-1227-2703; Andaur Navarro, Constanza L/0000-0002-7745-2887; Hooft, Lotty/0000-0002-7950-2980; Dhiman, Paula/0000-0002-0989-0623; Riley, Richard D/0000-0001-8699-0735; Ma, Jie/0000-0002-3900-1903; Nijman, Steven/0000-0001-6798-2078</t>
  </si>
  <si>
    <t>10.1016/j.jclinepi.2023.03.024</t>
  </si>
  <si>
    <t>http://dx.doi.org/10.1016/j.jclinepi.2023.03.024</t>
  </si>
  <si>
    <t>G6ES9</t>
  </si>
  <si>
    <t>37024020</t>
  </si>
  <si>
    <t>WOS:000990073300001</t>
  </si>
  <si>
    <t>Wang, SY; Shi, MP; Zhou, X; Yu, JN; Han, MZ; Zhang, XS; Li, ZH; Chen, XH</t>
  </si>
  <si>
    <t>BackgroundPatients with vertebral compression fractures may experience unpredictable residual pain following vertebral augmentation. Clinical prediction models have shown potential for early prevention and intervention of such residual pain. However, studies focusing on the quality and accuracy of these prediction models are lacking. Therefore, we systematically reviewed and critically evaluated prediction models for residual pain following vertebral augmentation.MethodsWe systematically searched eight databases (PubMed, Embase, Web of Science, CNKI, WanFang, VIP, and SinoMed) for studies that developed and/or validated risk prediction models for residual pain after vertebral augmentation. The limitations of existing models were critically assessed using the PROBAST tool. We performed a descriptive analysis of the models' characteristics and predictors. Extracted C-statistics were combined using a weighted approach based on the Restricted Maximum Likelihood (REML) method to represent the models' average performance. All statistical analyses were performed using R 4.3.1 and STATA 17 software.ResultsFifteen models were evaluated, involving 4802 patients with vertebral compression fractures post-vertebral augmentation. The overall pooled C-statistic was 0.87, with a 95% CI of 0.83 to 0.89 and a prediction interval ranging from 0.72 to 0.94. The models included 35 different predictors, with posterior fascia injury (PFI), bone mineral density (BMD), and intravertebral vacuum cleft (IVC) being the most common. Most models were rated high risk due to concerns about population selection and modeling methodology, yet their clinical applicability remains promising.ConclusionThe development and validation of current models exhibit a certain risk of bias, and our study highlights these existing flaws and limitations. Although these models demonstrate satisfactory predictive performance and clinical applicability, further external validation is needed to confirm their accuracy in clinical practice. Clinicians can utilize these models alongside relevant risk factors to predict and prevent residual pain after vertebral augmentation, or to formulate personalized treatment plans.</t>
  </si>
  <si>
    <t>Wang, Siyi; Shi, Mingpeng; Zhou, Xue; Yu, Jianan; Han, Mingze; Zhang, Xianshuai; Li, Zhenhua; Chen, Xinhua</t>
  </si>
  <si>
    <t>Li, ZH (corresponding author), Changchun Univ Chinese Med, Dept Orthoped, Affiliated Hosp, Changchun, Peoples R China.; Chen, XH (corresponding author), Changchun Univ Chinese Med, Dept Acupuncture &amp; Moxibust, Affiliated Hosp, Changchun, Peoples R China.</t>
  </si>
  <si>
    <t>187098190@qq.com; lizhenhua1972@163.com</t>
  </si>
  <si>
    <t>[Wang, Siyi; Zhou, Xue] Changchun Univ Chinese Med, Coll Acupuncture &amp; Massage, Changchun, Peoples R China; [Shi, Mingpeng; Yu, Jianan; Han, Mingze] Changchun Univ Chinese Med, Coll Tradit Chinese Med, Changchun, Peoples R China; [Zhang, Xianshuai; Li, Zhenhua] Changchun Univ Chinese Med, Dept Orthoped, Affiliated Hosp, Changchun, Peoples R China; [Chen, Xinhua] Changchun Univ Chinese Med, Dept Acupuncture &amp; Moxibust, Affiliated Hosp, Changchun, Peoples R China</t>
  </si>
  <si>
    <t>Changchun University of Chinese Medicine; Changchun University of Chinese Medicine; Changchun University of Chinese Medicine; Changchun University of Chinese Medicine</t>
  </si>
  <si>
    <t>Predicting residual pain after vertebral augmentation in vertebral compression fractures: a systematic review and critical appraisal of risk prediction models</t>
  </si>
  <si>
    <t>Residual pain; Prediction model; Vertebral augmentation; Vertebral compression fractures; Systematic review</t>
  </si>
  <si>
    <t>BACK-PAIN; MANAGEMENT; KYPHOPLASTY; DIAGNOSIS; PROBAST; BIAS; TOOL</t>
  </si>
  <si>
    <t>JAN 27 2025</t>
  </si>
  <si>
    <t>10.1186/s12891-025-08338-z</t>
  </si>
  <si>
    <t>http://dx.doi.org/10.1186/s12891-025-08338-z</t>
  </si>
  <si>
    <t>T9B8L</t>
  </si>
  <si>
    <t>39871243</t>
  </si>
  <si>
    <t>WOS:001407881400002</t>
  </si>
  <si>
    <t>Warman, A; Kalluri, AL; Azad, TD</t>
  </si>
  <si>
    <t>OBJECTIVE In recent years, machine learning models for clinical prediction have become increasingly prevalent in the neurosurgical literature. However, little is known about the quality of these models, and their translation to clinical care has been limited. The aim of this systematic review was to empirically determine the adherence of machine learning models in neurosurgery with standard reporting guidelines specific to clinical prediction models.METHODS Studies describing the development or validation of machine learning predictive models published between January 1, 2020, and January 10, 2023, across five neurosurgery journals (Journal of Neurosurgery, Journal of Neurosurgery: Spine, Journal of Neurosurgery: Pediatrics, Neurosurgery, and World Neurosurgery) were included. Studies where the TRIPOD (Transparent Reporting of a Multivariable Prediction Model for Individual Prognosis or Diagnosis) guidelines were not applicable, radiomic studies, and natural language processing studies were excluded.RESULTS Forty-seven studies featuring a machine learning-based predictive model in neurosurgery were included. The majority (53%) of studies were single-center studies, and only 15% of studies externally validated the model in an independent cohort of patients. The median compliance across all 47 studies was 82.1% (IQR 75.9%-85.7%). Giving details of treatment (n = 17 [36%]), including the number of patients with missing data (n = 11 [23%]), and explaining the use of the prediction model (n = 23 [49%]) were identified as the TRIPOD criteria with the lowest rates of compliance.CONCLUSIONS Improved adherence to TRIPOD guidelines will increase transparency in neurosurgical machine learning predictive models and streamline their translation into clinical care.</t>
  </si>
  <si>
    <t>Warman, Anmol; Kalluri, Anita L.; Azad, Tej D.</t>
  </si>
  <si>
    <t>Azad, TD (corresponding author), Johns Hopkins Univ Hosp, Baltimore, MD 21287 USA.</t>
  </si>
  <si>
    <t>tazad1@jhmi.edu</t>
  </si>
  <si>
    <t>[Warman, Anmol; Kalluri, Anita L.; Azad, Tej D.] Johns Hopkins Univ Hosp, Dept Neurosurg, Baltimore, MD 21287 USA</t>
  </si>
  <si>
    <t>Johns Hopkins University; Johns Hopkins Medicine</t>
  </si>
  <si>
    <t>Machine learning predictive models in neurosurgery: an appraisal based on the TRIPOD guidelines. Systematic review</t>
  </si>
  <si>
    <t>NEUROSURGICAL FOCUS</t>
  </si>
  <si>
    <t>machine learning; clinical prediction; guideline adherence</t>
  </si>
  <si>
    <t>SPINE SURGERY; HEMORRHAGE; VALIDATION</t>
  </si>
  <si>
    <t>Azad, Tej/0000-0001-7823-4294</t>
  </si>
  <si>
    <t>AMER ASSOC NEUROLOGICAL SURGEONS</t>
  </si>
  <si>
    <t>ROLLING MEADOWS</t>
  </si>
  <si>
    <t>5550 MEADOWBROOK DRIVE, ROLLING MEADOWS, IL 60008 USA</t>
  </si>
  <si>
    <t>1092-0684</t>
  </si>
  <si>
    <t>NEUROSURG FOCUS</t>
  </si>
  <si>
    <t>Neurosurg. Focus</t>
  </si>
  <si>
    <t>E8</t>
  </si>
  <si>
    <t>10.3171/2023.3.FOCUS2386</t>
  </si>
  <si>
    <t>http://dx.doi.org/10.3171/2023.3.FOCUS2386</t>
  </si>
  <si>
    <t>Clinical Neurology; Surgery</t>
  </si>
  <si>
    <t>Neurosciences &amp; Neurology; Surgery</t>
  </si>
  <si>
    <t>S2LI0</t>
  </si>
  <si>
    <t>37283325</t>
  </si>
  <si>
    <t>WOS:001069531500008</t>
  </si>
  <si>
    <t>Dhiman, P; Ma, J; Gibbs, VN; Rampotas, A; Kamal, H; Arshad, SS; Kirtley, S; Doree, C; Murphy, MF; Collins, GS; Palmer, AJR</t>
  </si>
  <si>
    <t>Background: Blood transfusion can be a lifesaving intervention after perioperative blood loss. Many prediction models have been developed to identify patients most likely to require blood transfusion during elective surgery, but it is unclear whether any are suitable for clinical practice.Study Design and Setting: We conducted a systematic review, searching MEDLINE, Embase, PubMed, The Cochrane Library, Transfusion Evidence Library, Scopus, and Web of Science databases for studies reporting the development or validation of a blood transfusion prediction model in elective surgery patients between January 1, 2000 and June 30, 2021. We extracted study characteristics, discrimination performance (c-statistics) of final models, and data, which we used to perform risk of bias assessment using the Prediction model risk of bias assessment tool (PROBAST). Results: We reviewed 66 studies (72 developed and 48 externally validated models). Pooled c-statistics of externally validated models ranged from 0.67 to 0.78. Most developed and validated models were at high risk of bias due to handling of predictors, validation methods, and too small sample sizes. Conclusion: Most blood transfusion prediction models are at high risk of bias and suffer from poor reporting and methodological qual-ity, which must be addressed before they can be safely used in clinical practice. &amp; COPY; 2023 The Author(s). Published by Elsevier Inc. This is an open access article under the CC BY license (http://creativecommons.org/licenses/by/4.0/).</t>
  </si>
  <si>
    <t>Dhiman, Paula; Ma, Jie; Gibbs, Victoria N.; Rampotas, Alexandros; Kamal, Hassan; Arshad, Sahar S.; Kirtley, Shona; Doree, Carolyn; Murphy, Michael F.; Collins, Gary S.; Palmer, Antony J. R.</t>
  </si>
  <si>
    <t>Dhiman, P (corresponding author), Univ Oxford, Ctr Stat Med, Nuffield Dept Orthopaed Rheumatol &amp; Musculoskeleta, Oxford OX3 7LD, England.</t>
  </si>
  <si>
    <t>NIHR Biomedical Research Centre, Oxford; Cancer Research UK [C49297/A27294]; NIHR Academic Clinical Fellowship [ACF-2018-13-011]; VNG; NHS Blood amp; Transplant; Oxford University Hospitals NHS Foundation Trust; NIHR Blood and Transplant Research Unit in Data Driven Transfusion Practice [NIHR203334]</t>
  </si>
  <si>
    <t>NIHR Biomedical Research Centre, Oxford (National Institutes of Health Research (NIHR)); Cancer Research UK (Cancer Research UK); NIHR Academic Clinical Fellowship; VNG; NHS Blood amp; Transplant; Oxford University Hospitals NHS Foundation Trust (University of Oxford); NIHR Blood and Transplant Research Unit in Data Driven Transfusion Practice</t>
  </si>
  <si>
    <t>This study did not receive any funding. PD and GSC are supported by the NIHR Biomedical Research Centre, Oxford. GSC, SK, and JM are supported by Cancer Research UK (programme grant: C49297/A27294) . AR is funded by a NIHR Academic Clinical Fellowship (grant number: ACF-2018-13-011) . MFM, VNG and CD are employed by NHS Blood &amp; Transplant and the Oxford University Hospitals NHS Foundation Trust. AJRP is employed by the Oxford University Hospitals NHS Foundation Trust and supported by the NIHR Blood and Transplant Research Unit in Data Driven Transfusion Practice (NIHR203334) . The views expressed are those of the author (s) and not necessarily those of the Cancer Research UK, the NHS, the NIHR or the of Health and Social Care.</t>
  </si>
  <si>
    <t>[Dhiman, Paula; Ma, Jie; Kamal, Hassan; Arshad, Sahar S.; Kirtley, Shona; Collins, Gary S.] Univ Oxford, Ctr Stat Med, Nuffield Dept Orthopaed Rheumatol &amp; Musculoskeleta, Oxford OX3 7LD, England; [Dhiman, Paula; Murphy, Michael F.; Collins, Gary S.] Oxford Univ Hosp NHS Fdn Trust, NIHR Oxford Biomed Res Ctr, Oxford, England; [Gibbs, Victoria N.; Palmer, Antony J. R.] Univ Oxford, Nuffield Dept Orthopaed Rheumatol &amp; Musculoskeleta, Oxford, England; [Rampotas, Alexandros; Doree, Carolyn; Murphy, Michael F.] John Radcliffe Hosp, Systemat Review Initiat, NHS Blood &amp; Transplant, Oxford, England; [Kamal, Hassan] Univ Dundee, Ninewells Hosp &amp; Med Sch, Sch Med, Dundee DD1 9SY, Scotland; [Murphy, Michael F.; Palmer, Antony J. R.] Univ Oxford, Radcliffe Dept Med, Nuffield Div Clin Lab Sci, NIHR Blood &amp; Transplant Res Unit Data Driven Trans, Oxford, England; [Palmer, Antony J. R.] Oxford Univ Hosp, Nuffield Orthopaed Ctr, Windmill Rd, Oxford OX3 7HE, England</t>
  </si>
  <si>
    <t>University of Oxford; University of Oxford; Oxford University Hospitals NHS Foundation Trust; University of Oxford; University of Oxford; University of Dundee; University of Oxford; Nuffield Orthopaedic Centre</t>
  </si>
  <si>
    <t>Systematic review highlights high risk of bias of clinical prediction models for blood transfusion in patients undergoing elective surgery</t>
  </si>
  <si>
    <t>Blood transfusion; Prediction model; Risk of bias; Systematic review; Meta-analysis; Surgery</t>
  </si>
  <si>
    <t>PERIOPERATIVE TRANSFUSION; LIVER-TRANSPLANTATION; EXTERNAL VALIDATION; CELL TRANSFUSION; CARDIAC-SURGERY; HEPATOCELLULAR-CARCINOMA; INDIVIDUAL PROGNOSIS; IDENTIFYING PATIENTS; DIAGNOSIS TRIPOD; SCORE</t>
  </si>
  <si>
    <t>Doree, Carolyn/JXW-7143-2024; Arshad, Sahar/HZL-1226-2023; Collins, Gary/A-2258-2014; Rampotas, Alexandros/AAM-4305-2020</t>
  </si>
  <si>
    <t>Dhiman, Paula/0000-0002-0989-0623; Gib, Victoria Naomi/0009-0003-7888-4993; Doree, Carolyn/0000-0001-6955-7497; Palmer, Antony/0000-0003-4616-7482; Ma, Jie/0000-0002-3900-1903; Murphy, Michael/0000-0002-2375-7503; Collins, Gary/0000-0002-2772-2316; Rampotas, Alexandros/0000-0002-2681-5860</t>
  </si>
  <si>
    <t>10.1016/j.jclinepi.2023.05.002</t>
  </si>
  <si>
    <t>http://dx.doi.org/10.1016/j.jclinepi.2023.05.002</t>
  </si>
  <si>
    <t>K1YI3</t>
  </si>
  <si>
    <t>37156342</t>
  </si>
  <si>
    <t>WOS:001014464100001</t>
  </si>
  <si>
    <t>Yang, Y; Yang, BX; Wang, B; Zhou, H; Yang, M; Liu, BC</t>
  </si>
  <si>
    <t>Diabetes mellitus (DM) has become a major chronic disease seriously affecting human health. Type 2 diabetes mellitus (T2DM) accounts for about 90% of DM patients, which is the largest type. Approximately 25-35% of T2DM patients develop kidney disease, which not only impacts the survival rate and quality of life but also, to the family and society, are of great economic burden. Early identification of high-risk T2DM patients with kidney disease is crucial for initiating targeted prevention and treatment measures in time to reduce or delay the occurrence and progression of diabetic kidney disease. Previous studies have identified a variety of clinical predictors for the progression of renal function in T2DM patients, including proteinuria, estimated glomerular filtration rate, blood glucose, blood pressure, serum uric acid, dyslipidemia, obesity, smoking, duration of DM, age, gender, race, family history of DM, and diabetic retinopathy. Clinical prediction models based on conventional clinical indicators are instrumental in evaluating the risk of kidney disease in T2DM patients, assisting in patient risk stratification. This article systematically reviews the clinical prediction factors and prediction models associated with the progression of renal function in T2DM patients, providing a comprehensive and current reference for improved clinical assessment of the risk of renal function progression.</t>
  </si>
  <si>
    <t>Yang, Yan; Yang, Bixia; Wang, Bin; Zhou, Hua; Yang, Min; Liu, Bicheng</t>
  </si>
  <si>
    <t>Yang, M (corresponding author), Soochow Univ, Affiliated Hosp 3, Dept Nephrol, 185 Juqian Rd, Changzhou 213003, Jiangsu, Peoples R China.; Liu, BC (corresponding author), Southeast Univ, Zhongda Hosp, Inst Nephrol, Sch Med, 87 Dingjia Qiao, Nanjing 210000, Jiangsu, Peoples R China.</t>
  </si>
  <si>
    <t>yangmin1516@czfph.com; liubc64@163.com</t>
  </si>
  <si>
    <t>Changzhou Science and Technology Youth Talent Support Program [KY20221408]; Young Talent Development Plan of Changzhou Health Commission [CZQM2023002]; Changzhou Key Medical Discipline [CZXK202204]</t>
  </si>
  <si>
    <t>Changzhou Science and Technology Youth Talent Support Program; Young Talent Development Plan of Changzhou Health Commission; Changzhou Key Medical Discipline</t>
  </si>
  <si>
    <t>Changzhou Science and Technology Youth Talent Support Program, Grant/Award Number: KY20221408; Young Talent Development Plan of Changzhou Health Commission, Grant/Award Number: CZQM2023002; Changzhou Key Medical Discipline, Grant/Award Number: CZXK202204)</t>
  </si>
  <si>
    <t>[Yang, Yan; Yang, Bixia; Zhou, Hua; Yang, Min] Soochow Univ, Affiliated Hosp 3, Dept Nephrol, 185 Juqian Rd, Changzhou 213003, Jiangsu, Peoples R China; [Wang, Bin; Liu, Bicheng] Southeast Univ, Zhongda Hosp, Inst Nephrol, Sch Med, 87 Dingjia Qiao, Nanjing 210000, Jiangsu, Peoples R China</t>
  </si>
  <si>
    <t>Soochow University - China; Southeast University - China</t>
  </si>
  <si>
    <t>Prediction factors and models for chronic kidney disease in type 2 diabetes mellitus: A review of the literature</t>
  </si>
  <si>
    <t>CLINICAL AND TRANSLATIONAL DISCOVERY</t>
  </si>
  <si>
    <t>diabetes kidney disease; diabetic nephropathy; end-stage renal disease; prediction models; type 2 diabetes mellitus</t>
  </si>
  <si>
    <t>STAGE RENAL-DISEASE; LIFETIME HEALTH OUTCOMES; CHINESE PATIENTS; RISK PREDICTION; NATURAL-HISTORY; NEPHROPATHY; PROGRESSION; VALIDATION; ASSOCIATION; COMPLICATIONS</t>
  </si>
  <si>
    <t>Hua, Zhou/JQV-3429-2023; Wang, Bin/OCL-2838-2025</t>
  </si>
  <si>
    <t>Fu, Yuqi/0009-0004-0257-9420</t>
  </si>
  <si>
    <t>2768-0622</t>
  </si>
  <si>
    <t>CLIN TRANSL DISCOV</t>
  </si>
  <si>
    <t>Clin. Transl. Discov.</t>
  </si>
  <si>
    <t>SEP 5 2024</t>
  </si>
  <si>
    <t>e355</t>
  </si>
  <si>
    <t>10.1002/ctd2.355</t>
  </si>
  <si>
    <t>http://dx.doi.org/10.1002/ctd2.355</t>
  </si>
  <si>
    <t>E9H3K</t>
  </si>
  <si>
    <t>WOS:001306033500001</t>
  </si>
  <si>
    <t>Ogink, PT; Groot, OQ; Karhade, A; Bongers, MER; Oner, FC; Verlaan, JJ; Schwab, JH</t>
  </si>
  <si>
    <t>Background and purpose - Advancements in software and hardware have enabled the rise of clinical prediction models based on machine learning (ML) in orthopedic surgery. Given their growing popularity and their likely implementation in clinical practice we evaluated which outcomes these new models have focused on and what methodologies are being employed. Material and methods - We performed a systematic search in PubMed, Embase, and Cochrane Library for studies published up to June 18, 2020. Studies reporting on non-ML prediction models or non-orthopedic outcomes were excluded. After screening 7,138 studies, 59 studies reporting on 77 prediction models were included. We extracted data regarding outcome, study design, and reported performance metrics. Results - Of the 77 identified ML prediction models the most commonly reported outcome domain was medical management (17/77). Spinal surgery was the most commonly involved orthopedic subspecialty (28/77). The most frequently employed algorithm was neural networks (42/77). Median size of datasets was 5,507 (IQR 635-26,364). The median area under the curve (AUC) was 0.80 (IQR 0.73-0.86). Calibration was reported for 26 of the models and 14 provided decision-curve analysis. Interpretation - ML prediction models have been developed for a wide variety of topics in orthopedics. Topics regarding medical management were the most commonly studied. Heterogeneity between studies is based on study size, algorithm, and time-point of outcome. Calibration and decision-curve analysis were generally poorly reported.</t>
  </si>
  <si>
    <t>Ogink, Paul T.; Groot, Olivier Q.; Karhade, Aditya, V; Bongers, Michiel E. R.; Oner, F. Cumhur; Verlaan, Jorrit-Jan; Schwab, Joseph H.</t>
  </si>
  <si>
    <t>Ogink, PT (corresponding author), Univ Utrecht, Dept Orthoped Surg, Univ Med Ctr Utrecht, Utrecht, Netherlands.</t>
  </si>
  <si>
    <t>ptogink@gmail.com</t>
  </si>
  <si>
    <t>[Ogink, Paul T.; Oner, F. Cumhur; Verlaan, Jorrit-Jan] Univ Utrecht, Dept Orthoped Surg, Univ Med Ctr Utrecht, Utrecht, Netherlands; [Groot, Olivier Q.; Karhade, Aditya, V; Bongers, Michiel E. R.; Schwab, Joseph H.] Harvard Med Sch, Dept Orthoped Surg, Orthoped Oncol Serv, Massachusetts Gen Hosp, Boston, MA 02115 USA</t>
  </si>
  <si>
    <t>Utrecht University; Utrecht University Medical Center; Harvard University; Harvard Medical School; Harvard University Medical Affiliates; Massachusetts General Hospital</t>
  </si>
  <si>
    <t>Wide range of applications for machine-learning prediction models in orthopedic surgical outcome: a systematic review</t>
  </si>
  <si>
    <t>ACTA ORTHOPAEDICA</t>
  </si>
  <si>
    <t>ARTIFICIAL-INTELLIGENCE; HEALTH-CARE; ALGORITHM; VALIDATION; DISCHARGE; TRIPOD; IMPACT</t>
  </si>
  <si>
    <t>Oner, FC/L-7769-2013</t>
  </si>
  <si>
    <t>HUITRON, EFREN/0009-0008-2046-3359; Schwab, Joseph/0000-0002-2059-7559</t>
  </si>
  <si>
    <t>Medical Journal Sweden AB</t>
  </si>
  <si>
    <t>Uppsala</t>
  </si>
  <si>
    <t>Kungsngsvgen 27St, Uppsala, SWEDEN</t>
  </si>
  <si>
    <t>1745-3674</t>
  </si>
  <si>
    <t>1745-3682</t>
  </si>
  <si>
    <t>ACTA ORTHOP</t>
  </si>
  <si>
    <t>Acta Orthop.</t>
  </si>
  <si>
    <t>OCT 8 2021</t>
  </si>
  <si>
    <t>526</t>
  </si>
  <si>
    <t>10.1080/17453674.2021.1932928</t>
  </si>
  <si>
    <t>http://dx.doi.org/10.1080/17453674.2021.1932928</t>
  </si>
  <si>
    <t>WG4OI</t>
  </si>
  <si>
    <t>34109892</t>
  </si>
  <si>
    <t>WOS:000659761400001</t>
  </si>
  <si>
    <t>Li, Y; Lu, GY; Liu, XL; Lu, J; Song, W; Cui, JW</t>
  </si>
  <si>
    <t>Low-dose CT (LDCT) lung cancer screening significantly reduces mortality but has dramatically increased the detection of pulmonary nodules. Most of these nodules are benign, leading to a high false-positive rate that triggers unnecessary invasive procedures and patient anxiety, underscoring the need for more precise noninvasive diagnostic tools. Critically, single-modality liquid biopsy biomarkers, including circulating tumor cells, cell-free DNA mutations, or individual microRNAs, have demonstrated insufficient sensitivity or specificity for independent clinical deployment when used in isolation. This necessitates a paradigm shift toward multimodal molecular integration, wherein complementary biomarker classes are combined to overcome the inherent limitations of any single analyte. Traditional clinical prediction models (Mayo, VA, Brock, Herder) assist in estimating malignancy risk, yet their accuracy remains modest. Emerging approaches harness radiomics and artificial intelligence (AI) to extract high-dimensional imaging features from chest CT scans, improving risk stratification beyond human assessment alone. In parallel, minimally invasive liquid biopsy biomarkers offer complementary avenues to detect occult malignancy signals. Additionally, bronchial airway gene expression classifiers leverage the "field-of-injury" effect in normal respiratory epithelium to help identify lung cancer even when the nodule itself cannot be directly sampled via biopsy. Integrating these radiologic and molecular data streams into a multi-omics framework has the potential to enhance diagnostic precision for indeterminate pulmonary nodules, enabling more confident discrimination between benign and malignant lesions. However, most of these emerging tools have not yet been validated in large prospective trials and face technological barriers as well as challenges in real-world implementation. This review focuses primarily on LDCT screening detected pulmonary nodules, while incorporating evidence from incidentally detected and other indeterminate nodule cohorts when relevant to broader CT based management. By synthesizing advances in radiomics, AI, liquid biopsy, airway classifiers, and multi-omics integration, we highlight the need for prospective validation and multidisciplinary collaboration to translate these approaches into clinically useful pathways that improve early lung cancer detection, reduce unnecessary interventions, and enhance patient outcomes.</t>
  </si>
  <si>
    <t>Li, Yan; Lu, Guanyu; Liu, Xiangliang; Lu, Jin; Song, Wei; Cui, Jiuwei</t>
  </si>
  <si>
    <t>Cui, JW (corresponding author), First Hosp Jilin Univ, Canc Ctr, 1 Xinmin St, Changchun 130061, Jilin, Peoples R China.</t>
  </si>
  <si>
    <t>cuijw@jlu.edu.cn</t>
  </si>
  <si>
    <t>National Natural Science Foundation of China [82303211, 82541026]</t>
  </si>
  <si>
    <t>This work was supported by the National Natural Science Foundation of China (82303211, 82541026) .</t>
  </si>
  <si>
    <t>[Li, Yan; Lu, Guanyu; Liu, Xiangliang; Lu, Jin; Song, Wei; Cui, Jiuwei] First Hosp Jilin Univ, Canc Ctr, 1 Xinmin St, Changchun 130061, Jilin, Peoples R China</t>
  </si>
  <si>
    <t>Jilin University</t>
  </si>
  <si>
    <t>Pulmonary nodule prediction in the multi-omics era: Integrating radiomics, AI, liquid biopsy, and airway classifiers</t>
  </si>
  <si>
    <t>pulmonary nodules; lung cancer; prediction model; liquid biopsy; artificial intelligence; multi-omics</t>
  </si>
  <si>
    <t>CIRCULATING TUMOR-CELLS; LUNG-CANCER; COMPUTED-TOMOGRAPHY; MODEL; MALIGNANCY; BIOMARKERS; CLASSIFICATION; PROBABILITY; VALIDATION; BENIGN</t>
  </si>
  <si>
    <t>225</t>
  </si>
  <si>
    <t>105483</t>
  </si>
  <si>
    <t>10.1016/j.critrevonc.2026.105483</t>
  </si>
  <si>
    <t>http://dx.doi.org/10.1016/j.critrevonc.2026.105483</t>
  </si>
  <si>
    <t>LM2ST</t>
  </si>
  <si>
    <t>42431477</t>
  </si>
  <si>
    <t>WOS:001827943500001</t>
  </si>
  <si>
    <t>Bukowski, R; Schulz, K; Gaither, K; Stephens, KK; Semeraro, D; Drake, J; Smith, G; Cordola, C; Zariphopoulou, T; Hughes, TJR; Zarins, C; Kusnezov, D; Howard, D; Oden, T</t>
  </si>
  <si>
    <t>Medicine is, in its essence, decision making under uncertainty; the decisions are made about tests to be performed and treatments to be administered. Traditionally, the uncertainty in decision making was handled using expertise collected by individual providers and, more recently, systematic appraisal of research in the form of evidence-based medicine. The traditional approach has been used successfully in medicine for a very long time. However, it has substantial limitations because of the complexity of the system of the human body and healthcare. The complex systems are a network of highly coupled components intensely interacting with each other. These interactions give those systems redundancy and thus robustness to failure and, at the same time, equifinality, that is, many different causative pathways leading to the same outcome. The equifinality of the complex systems of the human body and healthcare system demand the individualization of medical care, medicine, and medical decision making. Computational models excel in modeling complex systems and, consequently, enabling individualization of medical decision making and medicine. Computational models are theory- or knowledge-based models, data-driven models, or models that combine both approaches. Data are essential, although to a different degree, for computational models to successfully represent complex systems. The individualized decision making, made possible by the computational modeling of complex systems, has the potential to revolutionize the entire spectrum of medicine from individual patient care to policymaking. This approach allows applying tests and treatments to individuals who receive a net benefit from them, for whom benefits outweigh the risk, rather than treating all individuals in a population because, on average, the population benefits. Thus, the computational modeling-enabled individualization of medical decision making has the potential to both improve health outcomes and decrease the costs of healthcare.</t>
  </si>
  <si>
    <t>Bukowski, Radek; Schulz, Karl; Gaither, Kelly; Stephens, Keri K.; Semeraro, Dave; Drake, Justin; Smith, Gordon; Cordola, Craig; Zariphopoulou, Thaleia; Hughes, Thomas J. R.; Zarins, Christopher; Kusnezov, Dimitri; Howard, Donna; Oden, Tinsley</t>
  </si>
  <si>
    <t>Bukowski, R (corresponding author), Univ Texas Austin, Dell Med Sch, Dept Womens Hlth, Austin, TX 78712 USA.</t>
  </si>
  <si>
    <t>radek.bukowski@austin.utexas.edu</t>
  </si>
  <si>
    <t>[Bukowski, Radek; Schulz, Karl; Gaither, Kelly; Semeraro, Dave; Drake, Justin] Univ Texas Austin, Dell Med Sch, Dept Womens Hlth, Austin, TX 78712 USA; [Schulz, Karl; Hughes, Thomas J. R.; Oden, Tinsley] Oden Inst Computat Engn &amp; Sci, Austin, TX USA; [Gaither, Kelly; Semeraro, Dave; Drake, Justin] Texas Adv Comp Ctr, Austin, TX USA; [Stephens, Keri K.] Univ Texas Austin, Moody Coll Commun, Austin, TX 78712 USA; [Smith, Gordon] Univ Cambridge, Dept Obstet &amp; Gynaecol, Cambridge, England; [Cordola, Craig] Ascension, St Louis, MO USA; [Zariphopoulou, Thaleia] Univ Texas Austin, Dept Math, Austin, TX 78712 USA; [Zariphopoulou, Thaleia] Univ Texas Austin, IROM, McCombs Sch Business, Austin, TX 78712 USA; [Zarins, Christopher] HeartFlow Inc, Redwood City, CA USA; [Kusnezov, Dimitri] US DOE, Deputy Secretary Artificial Intelligence &amp; Techno, Washington, DC 20585 USA; [Howard, Donna] Texas House Representat, Austin, TX USA</t>
  </si>
  <si>
    <t>University of Texas System; University of Texas Austin; University of Texas System; University of Texas Austin; University of Cambridge; Ascension; University of Texas System; University of Texas Austin; University of Texas System; University of Texas Austin; United States Department of Energy (DOE)</t>
  </si>
  <si>
    <t>Computational medicine, present and the future: obstetrics and gynecology perspective</t>
  </si>
  <si>
    <t>AMERICAN JOURNAL OF OBSTETRICS AND GYNECOLOGY</t>
  </si>
  <si>
    <t>computation; data; data-driven models; machine learning; modeling; physics-based models; theory-based models; uncertainty</t>
  </si>
  <si>
    <t>CLINICAL-PREDICTION MODELS; RANDOMIZED CONTROLLED-TRIALS; COMPLEXITY SCIENCE; RISK; HETEROGENEITY; INFORMATION; HEALTH; DISCRIMINATION; COMMUNICATION; HYPERTENSION</t>
  </si>
  <si>
    <t>Smith, Gordon/HLQ-7454-2023; Hughes, Thomas J. R/AAL-8013-2020; Bukowski, Radek/B-6976-2013</t>
  </si>
  <si>
    <t>Smith, Gordon/0000-0003-2124-0997; Hughes, Thomas J. R/0000-0001-7024-8368; Zariphopoulou, Thaleia/0000-0002-4213-3720</t>
  </si>
  <si>
    <t>0002-9378</t>
  </si>
  <si>
    <t>1097-6868</t>
  </si>
  <si>
    <t>AM J OBSTET GYNECOL</t>
  </si>
  <si>
    <t>Am. J. Obstet. Gynecol.</t>
  </si>
  <si>
    <t>10.1016/j.ajog.2020.08.057</t>
  </si>
  <si>
    <t>http://dx.doi.org/10.1016/j.ajog.2020.08.057</t>
  </si>
  <si>
    <t>PR6PZ</t>
  </si>
  <si>
    <t>32841628</t>
  </si>
  <si>
    <t>WOS:000607357300005</t>
  </si>
  <si>
    <t>Parsons, R; Cramb, SM; McPhail, SM</t>
  </si>
  <si>
    <t>Introduction Falls remain one of the most prevalent adverse events in hospitals and are associated with substantial negative health impacts and costs. Approaches to assess patients' fall risk have been implemented in hospitals internationally, ranging from brief screening questions to multifactorial risk assessments and complex prediction models, despite a lack of clear evidence of effect in reducing falls in acute hospital environments. The increasing digitisation of hospital systems provides new opportunities to understand and predict falls using routinely recorded data, with potential to integrate fall prediction models into real-time or near-real-time computerised decision support for clinical teams seeking to mitigate fall risk. However, the use of non-traditional approaches to fall risk prediction, including machine learning using integrated electronic medical records, has not yet been reviewed relative to more traditional fall prediction models. This scoping review will summarise methodologies used to develop existing hospital fall prediction models, including reporting quality assessment. Methods and analysis This scoping review will follow the Arksey and O'Malley framework and its recent advances, and will be reported using Preferred Reporting Items for Systematic Reviews and Meta-Analyses extension for Scoping Reviews recommendations. Four electronic databases (CINAHL via EBSCOhost, PubMed, IEEE Xplore and Embase) will be initially searched for studies up to 12 November 2020, and searches may be updated prior to final reporting. Additional studies will be identified by reference list review and citation analysis of included studies. No restriction will be placed on the date or language of identified studies. Screening of search results and extraction of data will be performed by two independent reviewers. Reporting quality will be assessed by the adherence to the Transparent Reporting of a multivariable prediction model for Individual Prognosis Or Diagnosis. Ethics and dissemination Ethical approval is not required for this study. Findings will be disseminated through peer-reviewed publication and scientific conferences.</t>
  </si>
  <si>
    <t>Parsons, Rex; Cramb, Susanna M.; McPhail, Steven M.</t>
  </si>
  <si>
    <t>Parsons, R (corresponding author), Queensland Univ Technol, Australian Ctr Hlth Serv Innovat, Kelvin Grove, Qld, Australia.; Parsons, R (corresponding author), Queensland Univ Technol, Sch Publ Hlth &amp; Social Work, Ctr Healthcare Translat, Kelvin Grove, Qld, Australia.</t>
  </si>
  <si>
    <t>rex.parsons@hdr.qut.edu.au</t>
  </si>
  <si>
    <t>Digital Health Cooperative Research Centre [DHCRC-0058]; National Health and Medical Research Council [1181138]</t>
  </si>
  <si>
    <t>Digital Health Cooperative Research Centre; National Health and Medical Research Council (National Health &amp; Medical Research Council (NHMRC) of Australia)</t>
  </si>
  <si>
    <t>This work was supported by funding from the Digital Health Cooperative Research Centre (DHCRC-0058) and SMM is supported by an National Health and Medical Research Council administered fellowship (#1181138). The funders had no role in study design or decision to submit for publication.</t>
  </si>
  <si>
    <t>[Parsons, Rex; Cramb, Susanna M.; McPhail, Steven M.] Queensland Univ Technol, Australian Ctr Hlth Serv Innovat, Kelvin Grove, Qld, Australia; [Parsons, Rex; Cramb, Susanna M.; McPhail, Steven M.] Queensland Univ Technol, Sch Publ Hlth &amp; Social Work, Ctr Healthcare Translat, Kelvin Grove, Qld, Australia; [Cramb, Susanna M.] Metro North Hlth, Royal Brisbane &amp; Womens Hosp, Jamieson Trauma Inst, Herston, Qld, Australia; [McPhail, Steven M.] Metro South Hlth, Clin Informat Directorate, Woolloongabba, Qld, Australia</t>
  </si>
  <si>
    <t>Queensland University of Technology (QUT); Queensland University of Technology (QUT); Royal Brisbane &amp; Women's Hospital</t>
  </si>
  <si>
    <t>Clinical prediction models for hospital falls: a scoping review protocol</t>
  </si>
  <si>
    <t>risk management; health informatics; geriatric medicine; quality in health care; health &amp; safety</t>
  </si>
  <si>
    <t>RISK; STRATIFY; TOOLS; COST</t>
  </si>
  <si>
    <t>McPhail, Steven/JMR-2141-2023</t>
  </si>
  <si>
    <t>Cramb, Susanna/0000-0001-9041-9531; McPhail, Steven/0000-0002-1463-662X; Parsons, Rex/0000-0002-6053-8174</t>
  </si>
  <si>
    <t>e051047</t>
  </si>
  <si>
    <t>10.1136/bmjopen-2021-051047</t>
  </si>
  <si>
    <t>http://dx.doi.org/10.1136/bmjopen-2021-051047</t>
  </si>
  <si>
    <t>UT0YP</t>
  </si>
  <si>
    <t>34518271</t>
  </si>
  <si>
    <t>WOS:000697851300001</t>
  </si>
  <si>
    <t>Parsons, R; Blythe, RD; Cramb, SM; McPhail, SM</t>
  </si>
  <si>
    <t>Introduction: The digitization of hospital systems, including integrated electronic medical records, has provided opportunities to improve the prediction performance of inpatient fall risk models and their application to computerized clinical decision support systems. This review describes the data sources and scope of methods reported in studies that developed inpatient fall prediction models, including machine learning and more traditional approaches to inpatient fall risk prediction. Methods: This scoping review used methods recommended by the Arksey and O'Malley framework and its recent advances. PubMed, CINAHL, IEEE Xplore, and EMBASE databases were systematically searched. Studies reporting the development of inpatient fall risk prediction approaches were included. There was no restriction on language or recency. Reference lists and manual searches were also completed. Reporting quality was assessed using adherence to Transparent Reporting of a multivariable prediction model for Individual Prognosis or Diagnosis statement (TRIPOD), where appropriate. Results: Database searches identified 1,396 studies, 63 were included for scoping assessment and 45 for reporting quality assessment. There was considerable overlap in data sources and methods used for model development. Fall prediction models typically relied on features from patient assessments, including indicators of physical function or impairment, or cognitive function or impairment. All but two studies used patient information at or soon after admission and predicted fall risk over the entire admission, without consideration of post-admission interventions, acuity changes or length of stay. Overall, reporting quality was poor, but improved in the past decade. Conclusion: There was substantial homogeneity in data sources and prediction model development methods. Use of artificial intelligence, including machine learning with high-dimensional data, remains underexplored in the context of hospital falls. Future research should consider approaches with the potential to utilize high-dimensional data from digital hospital systems, which may contribute to greater performance and clinical usefulness. (C) 2022 S. Karger AG, Basel</t>
  </si>
  <si>
    <t>Parsons, Rex; Blythe, Robin D.; Cramb, Susanna M.; McPhail, Steven M.</t>
  </si>
  <si>
    <t>Parsons, R (corresponding author), Queensland Univ Technol, Fac Hlth, Australian Ctr Hlth Serv Innovat, Ctr Healthcare Transformat, Kelvin Grove, Qld, Australia.</t>
  </si>
  <si>
    <t>Digital Health Cooperative Research Centre [DHCRC-0058]; National Health and Medical Research Council (NHMRC) [1181138]</t>
  </si>
  <si>
    <t>Digital Health Cooperative Research Centre; National Health and Medical Research Council (NHMRC) (National Health &amp; Medical Research Council (NHMRC) of Australia)</t>
  </si>
  <si>
    <t>This work was supported by funding from the Digital Health Cooperative Research Centre (DHCRC-0058). Steven M. McPhail is supported by a National Health and Medical Research Council (NHMRC) administered fellowship (#1181138). Funders had no role in the conduct of the study, preparation of the manuscript, or decisions related to publication.</t>
  </si>
  <si>
    <t>[Parsons, Rex; Blythe, Robin D.; Cramb, Susanna M.; McPhail, Steven M.] Queensland Univ Technol, Fac Hlth, Australian Ctr Hlth Serv Innovat, Ctr Healthcare Transformat, Kelvin Grove, Qld, Australia; [Cramb, Susanna M.] Royal Brisbane &amp; Womens Hosp, Jamieson Trauma Inst, Metro North Hlth, Herston, Qld, Australia; [McPhail, Steven M.] Metro South Hlth, Digital Hlth &amp; Informat, Woolloongabba, Qld, Australia</t>
  </si>
  <si>
    <t>Queensland University of Technology (QUT); Royal Brisbane &amp; Women's Hospital</t>
  </si>
  <si>
    <t>Inpatient Fall Prediction Models: A Scoping Review</t>
  </si>
  <si>
    <t>GERONTOLOGY</t>
  </si>
  <si>
    <t>Clinical prediction models; Decision making; Falls; Frailty; Geriatric medicine; Review</t>
  </si>
  <si>
    <t>RISK-ASSESSMENT-TOOL; HOSPITAL FALLS; SCALE; VALIDATION; EPIDEMIOLOGY; IDENTIFY; STRATIFY; PEOPLE; SYSTEM; WARDS</t>
  </si>
  <si>
    <t>Blythe, Robin/HJY-9229-2023; McPhail, Steven/JMR-2141-2023</t>
  </si>
  <si>
    <t>Blythe, Robin/0000-0002-3643-4332; Cramb, Susanna/0000-0001-9041-9531; Parsons, Rex/0000-0002-6053-8174; McPhail, Steven/0000-0002-1463-662X</t>
  </si>
  <si>
    <t>0304-324X</t>
  </si>
  <si>
    <t>1423-0003</t>
  </si>
  <si>
    <t>Gerontology</t>
  </si>
  <si>
    <t>10.1159/000525727</t>
  </si>
  <si>
    <t>http://dx.doi.org/10.1159/000525727</t>
  </si>
  <si>
    <t>7Q2UH</t>
  </si>
  <si>
    <t>35977533</t>
  </si>
  <si>
    <t>WOS:000843061400001</t>
  </si>
  <si>
    <t>Upshaw, JN</t>
  </si>
  <si>
    <t>Patients with breast cancer have higher rates of cardiovascular disease than age-matched controls. Anthracyclines and trastuzumab increase the risk of heart failure (HF) and radiation increases the risk of ischemic heart disease, valvular disease and HF. Older age, low normal ejection fraction, history of coronary artery disease (CAD), cardiac risk factors, higher cumulative anthracycline exposure, combination anthracycline and trastuzumab and/or radiation all increase the risk of cardiac events post treatment. Clinical prediction models (CPMs) and/or genetic testing may be useful in guiding treatment decisions but further external validation is necessary. Screening for asymptomatic cardiotoxicity using echocardiography after completion of therapy is reasonable in patients receiving anthracyclines and/or radiation, especially in those with traditional cardiac risk factors such as hypertension, diabetes, hyperlipidemia, and obesity or with low normal baseline left ventricular ejection fraction (LVEF). Elevated cardiac troponins during anthracycline therapy and early reductions in myocardial deformation may predict subsequent reductions in LVEF but further research is needed to demonstrate clinical benefit to routine screening and early treatment. Neurohormonal antagonist therapy with ACEi/ARBs and beta-blockers are indicated in patients with reduced ejection fraction and ongoing research will clarify the role for neurohormonal antagonists and statins for the prevention of breast cancer therapy cardiotoxicity. Patients treated for breast cancer should be educated on the evidence for optimal lifestyle behaviors such as not smoking, regular exercise, healthy diet and maintaining a healthy weight in reducing the risk of cardiovascular disease. Traditional cardiac risk factors such as hypertension, diabetes and hyperlipidemia should be optimally managed to reduce the risk of cardiovascular events in patients treated for breast cancer.</t>
  </si>
  <si>
    <t>Upshaw, Jenica N.</t>
  </si>
  <si>
    <t>Upshaw, JN (corresponding author), Tufts Med Ctr, Div Cardiol, 800 Washington St, Boston, MA 02111 USA.</t>
  </si>
  <si>
    <t>jupshaw@tuftsmedicalcenter.org</t>
  </si>
  <si>
    <t>[Upshaw, Jenica N.] Tufts Med Ctr, Div Cardiol, 800 Washington St, Boston, MA 02111 USA</t>
  </si>
  <si>
    <t>Tufts Medical Center</t>
  </si>
  <si>
    <t>Cardio-oncology: protecting the heart from curative breast cancer treatment</t>
  </si>
  <si>
    <t>GLAND SURGERY</t>
  </si>
  <si>
    <t>Breast cancer; heart failure (HF); coronary artery disease (CAD); prevention; screening</t>
  </si>
  <si>
    <t>LEFT-VENTRICULAR DYSFUNCTION; ANTHRACYCLINE-INDUCED CARDIOTOXICITY; TRIAL COMPARING DOXORUBICIN; 2013 ACCF/AHA GUIDELINE; ASSOCIATION TASK-FORCE; CARDIOVASCULAR-DISEASE; FOLLOW-UP; ADJUVANT TRASTUZUMAB; RANDOMIZED-TRIAL; MYOCARDIAL-INFARCTION</t>
  </si>
  <si>
    <t>2227-684X</t>
  </si>
  <si>
    <t>2227-8575</t>
  </si>
  <si>
    <t>GLAND SURG</t>
  </si>
  <si>
    <t>Gland Surg.</t>
  </si>
  <si>
    <t>AUG 2018</t>
  </si>
  <si>
    <t>365</t>
  </si>
  <si>
    <t>10.21037/gs.2017.11.09</t>
  </si>
  <si>
    <t>http://dx.doi.org/10.21037/gs.2017.11.09</t>
  </si>
  <si>
    <t>GQ0XE</t>
  </si>
  <si>
    <t>30175052</t>
  </si>
  <si>
    <t>WOS:000441342900002</t>
  </si>
  <si>
    <t>Jian, QL; Mu, FX; Wang, KX; Wang, F</t>
  </si>
  <si>
    <t>Objective Recurrent pregnancy loss (RPL) is a significant clinical challenge, with many cases remaining unexplained, and existing risk prediction models often lacking objective evaluation. This study aims to systematically review and evaluate the published risk prediction models for pregnancy outcomes in RPL. Methods Literature search was conducted in August 2024 using PubMed, Embase, Web of Science, CNKI, and CMAJ databases to identify studies that reported the development and/or validation of clinical prediction models for RPL pregnancy outcomes. Pregnancy outcomes included pregnancy loss, ongoing pregnancy, and live birth. Data were extracted using the CHARMS checklist. Risk of bias and applicability were evaluated with PROBAST. Results A total of 1,112 records were identified, with 15 studies ultimately included, encompassing 22 risk prediction models for evaluating RPL patients' pregnancy outcomes. The majority were retrospective cohort studies (13/15), and logistic regression was the predominant modeling method (14/15). Sample sizes ranged from 85 to 789, with the number of predictors per model varying from 2 to 18 (median=5). In total, 65 distinct predictors were identified, including five categories: patient-related, imaging-related, thrombophilia-related, metabolic/endocrinologic, and immunological factors, most frequently maternal age (n=10) and number of previous pregnancy losses (n=9). Among the 20 models that reported discriminative performance by the area under the receiver operating characteristics (ROC) curve (AUC), 13 achieved AUC above 0.80 (range: 0.809-0.97). Notably, 7 studies did not perform any form of validation, and only 3 studies conducted external validation. Despite the models reported a good predictive performance, they were all appraised to have high risk of bias in applicability due to methodological deficiencies. Conclusion The findings suggest that current risk prediction models for RPL pregnancy outcomes have a high risk of bias in clinical applications, primarily due to methodological flaws in development and validation processes. Future research should focus on data quality, sample diversity, and model transparency to ensure broad applicability across different populations, providing more reliable and effective tools for clinical practice.</t>
  </si>
  <si>
    <t>Jian, Qiliang; Mu, Fangxiang; Wang, Kexin; Wang, Fang</t>
  </si>
  <si>
    <t>Wang, F (corresponding author), Lanzhou Univ Second Hosp, Dept Reprod Med, Lanzhou, Peoples R China.</t>
  </si>
  <si>
    <t>ery_fwang@lzu.edu.cn</t>
  </si>
  <si>
    <t>[Jian, Qiliang; Mu, Fangxiang; Wang, Kexin; Wang, Fang] Lanzhou Univ Second Hosp, Dept Reprod Med, Lanzhou, Peoples R China</t>
  </si>
  <si>
    <t>Risk prediction models for pregnancy outcomes in recurrent pregnancy loss: a narrative systematic review</t>
  </si>
  <si>
    <t>FRONTIERS IN ENDOCRINOLOGY</t>
  </si>
  <si>
    <t>recurrent pregnancy loss; prediction model; pregnancy outcomes; systematic review; general practice</t>
  </si>
  <si>
    <t>COUPLES; EVENTS; APPLICABILITY; DIAGNOSIS; PROBAST; BIAS; TOOL</t>
  </si>
  <si>
    <t>1664-2392</t>
  </si>
  <si>
    <t>FRONT ENDOCRINOL</t>
  </si>
  <si>
    <t>Front. Endocrinol.</t>
  </si>
  <si>
    <t>MAY 29 2025</t>
  </si>
  <si>
    <t>1582156</t>
  </si>
  <si>
    <t>10.3389/fendo.2025.1582156</t>
  </si>
  <si>
    <t>http://dx.doi.org/10.3389/fendo.2025.1582156</t>
  </si>
  <si>
    <t>3QU5Q</t>
  </si>
  <si>
    <t>40510467</t>
  </si>
  <si>
    <t>WOS:001506800900001</t>
  </si>
  <si>
    <t>Sandy-Hodgetts, K; Assadian, O; Wainwright, TW; Rochon, M; Van Der Merwe, Z; Jones, RM; Serena, T; Alves, P; Smith, G</t>
  </si>
  <si>
    <t>Objective: Despite advances in surgical techniques, intraoperative practice and a plethora of advanced wound therapies, surgical wound complications (SWCs), such as surgical site infection (SSI) and surgical wound dehiscence (SWD), continue to pose a considerable burden to the patient and healthcare setting. Predicting those patients at risk of a SWC may give patients and healthcare providers the opportunity to implement a tailored prevention plan or potentially ameliorate known risk factors to improve patient postoperative outcomes.Method: A scoping review of the literature for studies which reported predictive power and internal/external validity of risk tools for clinical use in predicting patients at risk of SWCs after surgery was conducted. An electronic search of three databases and two registries was carried out with date restrictions. The search terms included 'prediction surgical site infection' and 'prediction surgical wound dehiscence'.Results: A total of 73 records were identified from the database search, of which six studies met the inclusion criteria. Of these, the majority of validated risk tools were predominantly within the cardiothoracic domain, and targeted morbidity and mortality outcomes. There were four risk tools specifically targeting SWCs following surgery.Conclusion: The findings of this review have highlighted an absence of well-developed risk tools specifically for SSI and/or SWD in most surgical populations. This review suggests that further research is required for the development and clinical implementation of rigorously validated and fit-for-purpose risk tools for predicting patients at risk of SWCs following surgery. The ability to predict such patients enables the implementation of preventive strategies, such as the use of prophylactic antibiotics, delayed timing of surgery, or advanced wound therapies following a procedure.Declaration of interest: The authors have no conflict of interest to disclose in relation to the content of this article.</t>
  </si>
  <si>
    <t>Sandy-Hodgetts, Kylie; Assadian, Ojan; Wainwright, Thomas W.; Rochon, Melissa; Van Der Merwe, Zhavandre; Jones, Rhidian Morgan; Serena, Thomas; Alves, Paulo; Smith, George</t>
  </si>
  <si>
    <t>Sandy-Hodgetts, K (corresponding author), Murdoch Univ, Ctr Mol Med &amp; Innovat Therapeut, Hlth Futures Inst, Skin Integr Res Grp,Program Lead, Perth, WA, Australia.; Sandy-Hodgetts, K (corresponding author), Univ Western Australia, Perth, WA, Australia.</t>
  </si>
  <si>
    <t>kylie.sandyhodgetts@murdoch.edu.au</t>
  </si>
  <si>
    <t>[Sandy-Hodgetts, Kylie] Murdoch Univ, Ctr Mol Med &amp; Innovat Therapeut, Hlth Futures Inst, Skin Integr Res Grp,Program Lead, Perth, WA, Australia; [Sandy-Hodgetts, Kylie] Univ Western Australia, Perth, WA, Australia; [Assadian, Ojan] Reg Hosp Wiener Neustadt, Neustadt, Austria; [Assadian, Ojan] Univ Huddersfield, Inst Skin Integr &amp; Infect Prevent, Sch Human &amp; Hlth Sci, Huddersfield, W Yorkshire, England; [Wainwright, Thomas W.] Bournemouth Univ, Orthopaed Res Inst, Orthopaed, Bournemouth, Dorset, England; [Wainwright, Thomas W.] Univ Hosp Dorset NHS Fdn Trust, Physiotherapy Dept, Bournemouth, Dorset, England; [Rochon, Melissa] Guys &amp; St Thomas NHS Fdn Trust, SSI Surveillance Res &amp; Innovat Surveillance &amp; Inn, Directorate Infect, London, England; [Van Der Merwe, Zhavandre] 4 Wounds Wound Care Practice, Pretoria, South Africa; [Jones, Rhidian Morgan] Schoen Clin Orthopaed &amp; Spinal Hosp, London, England; [Serena, Thomas] SerenaGroup, Cambridge, MA USA; [Alves, Paulo] Univ Catolica Portuguesa, Wounds Res Lab, Ctr Interdisciplinary Res Hlth, Lisbon, Portugal; [Smith, George] Hull York Med Sch, Vasc Surg Unit, York, N Yorkshire, England</t>
  </si>
  <si>
    <t>Murdoch University; University of Western Australia; University of Huddersfield; Bournemouth University; Guy's &amp; St Thomas' NHS Foundation Trust; Universidade Catolica Portuguesa; University of York - UK; University of Hull</t>
  </si>
  <si>
    <t>Clinical prediction models and risk tools for early detection of patients at risk of surgical site infection and surgical wound dehiscence: a scoping review</t>
  </si>
  <si>
    <t>JOURNAL OF WOUND CARE</t>
  </si>
  <si>
    <t>algorithms; early detection; prediction; prevention; surgical site infection; surgical wound complication; surgical wound dehiscence; wound; wound care; wound dressing; wound healing</t>
  </si>
  <si>
    <t>NOSOCOMIAL INFECTIONS; EUROSCORE II; STRATIFICATION; VALIDATION; GUIDELINES; PERFORMANCE; PREVENTION; OUTCOMES; SURGERY; SYSTEM</t>
  </si>
  <si>
    <t>Assadian, Ojan/H-9753-2019; Sandy-Hodgetts, Kylie/A-7494-2019; Alves, Paulo/AAD-1391-2019; Wainwright, Thomas/F-5130-2015</t>
  </si>
  <si>
    <t>Sandy-Hodgetts, Kylie/0000-0001-6848-2526; Alves, Paulo/0000-0002-6348-3316; Wainwright, Thomas/0000-0001-7860-2990; Rochon, Melissa/0000-0002-1101-2256</t>
  </si>
  <si>
    <t>MA HEALTHCARE LTD</t>
  </si>
  <si>
    <t>ST JUDES CHURCH, DULWICH ROAD, LONDON SE24 0PB, ENGLAND</t>
  </si>
  <si>
    <t>0969-0700</t>
  </si>
  <si>
    <t>2052-2916</t>
  </si>
  <si>
    <t>J WOUND CARE</t>
  </si>
  <si>
    <t>J. Wound Care</t>
  </si>
  <si>
    <t>8A</t>
  </si>
  <si>
    <t>S4</t>
  </si>
  <si>
    <t>S12</t>
  </si>
  <si>
    <t>10.12968/jowc.2023.32.Sup8a.S4</t>
  </si>
  <si>
    <t>http://dx.doi.org/10.12968/jowc.2023.32.Sup8a.S4</t>
  </si>
  <si>
    <t>Dermatology</t>
  </si>
  <si>
    <t>Q3GP6</t>
  </si>
  <si>
    <t>37591662</t>
  </si>
  <si>
    <t>WOS:001056434800002</t>
  </si>
  <si>
    <t>Lu, SC; Xu, C; Nguyen, CH; Geng, YM; Pfob, A; Sidey-Gibbons, C</t>
  </si>
  <si>
    <t>Background: In the United States, national guidelines suggest that aggressive cancer care should be avoided in the final months of life. However, guideline compliance currently requires clinicians to make judgments based on their experience as to when a patient is nearing the end of their life. Machine learning (ML) algorithms may facilitate improved end-of-life care provision for patients with cancer by identifying patients at risk of short-term mortality.Objective: This study aims to summarize the evidence for applying ML in &lt;= 1-year cancer mortality prediction to assist with the transition to end-of-life care for patients with cancer.Methods: We searched MEDLINE, Embase, Scopus, Web of Science, and IEEE to identify relevant articles. We included studies describing ML algorithms predicting &lt;= 1-year mortality in patients of oncology. We used the prediction model risk of bias assessment tool to assess the quality of the included studies.Results: We included 15 articles involving 110,058 patients in the final synthesis. Of the 15 studies, 12 (80%) had a high or unclear risk of bias. The model performance was good: the area under the receiver operating characteristic curve ranged from 0.72 to 0.92. We identified common issues leading to biased models, including using a single performance metric, incomplete reporting of or inappropriate modeling practice, and small sample size.Conclusions: We found encouraging signs of ML performance in predicting short-term cancer mortality. Nevertheless, no included ML algorithms are suitable for clinical practice at the current stage because of the high risk of bias and uncertainty regarding real-world performance. Further research is needed to develop ML models using the modern standards of algorithm development and reporting.</t>
  </si>
  <si>
    <t>Lu, Sheng-Chieh; Xu, Cai; Nguyen, Chandler H.; Geng, Yimin; Pfob, Andre; Sidey-Gibbons, Chris</t>
  </si>
  <si>
    <t>Sidey-Gibbons, C (corresponding author), Univ Texas MD Anderson Canc Ctr, Dept Symptom Res, 6565 MD Anderson Blvd, Houston, TX 77030 USA.</t>
  </si>
  <si>
    <t>cgibbons@mdanderson.org</t>
  </si>
  <si>
    <t>Division of Internal Medicine Immuno-Oncology Toxicity Award Program of the University of Texas MD Anderson Cancer Center</t>
  </si>
  <si>
    <t>The authors would like to acknowledge the support of the Division of Internal Medicine Immuno-Oncology Toxicity Award Program of the University of Texas MD Anderson Cancer Center. The content is solely the responsibility of the authors and does not necessarily represent the official views of the funding agency.</t>
  </si>
  <si>
    <t>[Lu, Sheng-Chieh; Xu, Cai; Sidey-Gibbons, Chris] Univ Texas MD Anderson Canc Ctr, Dept Symptom Res, 6565 MD Anderson Blvd, Houston, TX 77030 USA; [Nguyen, Chandler H.] Univ Texas Hlth Sci Ctr Houston, McGovern Med Sch, Houston, TX 77030 USA; [Geng, Yimin] Univ Texas MD Anderson Canc Ctr, Res Med Lib, Houston, TX 77030 USA; [Pfob, Andre] Heidelberg Univ Hosp, Dept Obstet &amp; Gynecol, Heidelberg, Germany</t>
  </si>
  <si>
    <t>University of Texas System; UTMD Anderson Cancer Center; University of Texas System; University of Texas Health Science Center Houston; University of Texas System; UTMD Anderson Cancer Center; Ruprecht Karls University Heidelberg</t>
  </si>
  <si>
    <t>Machine Learning-Based Short-Term Mortality Prediction Models for Patients With Cancer Using Electronic Health Record Data: Systematic Review and Critical Appraisal</t>
  </si>
  <si>
    <t>machine learning; cancer mortality; artificial intelligence; clinical prediction models; end-of-life care</t>
  </si>
  <si>
    <t>BIG DATA; RISK; END; PROGNOSIS; SURVIVAL; BIAS; CARE</t>
  </si>
  <si>
    <t>Geng, Yimin/AAZ-9222-2021; Lu, Sheng-Chieh/HTO-1308-2023; Pfob, André/GQH-3910-2022</t>
  </si>
  <si>
    <t>Geng, Yimin/0000-0002-8491-3151; Lu, Sheng-Chieh/0000-0002-6685-1524; Xu, Cai/0000-0002-1412-4229; Nguyen, Chandler/0000-0001-8434-5185; Pfob, André/0000-0001-6140-9895</t>
  </si>
  <si>
    <t>e33182</t>
  </si>
  <si>
    <t>10.2196/33182</t>
  </si>
  <si>
    <t>http://dx.doi.org/10.2196/33182</t>
  </si>
  <si>
    <t>0K8GN</t>
  </si>
  <si>
    <t>35285816</t>
  </si>
  <si>
    <t>WOS:000781027400001</t>
  </si>
  <si>
    <t>Youssef, A; Hoorn, MLPV; van Lith, JMM; van Eekelen, R; du Foss, NA; Lashley, LEELO</t>
  </si>
  <si>
    <t>Objective: To identify models predicting live birth or ongoing pregnancy in couples with unexplained recurrent pregnancy loss (RPL) and evaluate the risk of bias, performance, generalizability, and applicability of these models. Evidence Review: A systematic literature search was performed in PubMed, Embase, Web of Science, and Cochrane Library until December 2020. Studies were eligible for inclusion if they were original studies predicting pregnancy outcome in patients with unexplained RPL and presented a tool that allowed for individual predictions. The risk of bias and applicability of the studies were assessed using the Prediction model Risk of Bias Assessment Tool. The Transparent Reporting of a multivariable prediction model for Individual Prognosis Or Diagnosis statement was used to assess reporting quality. Results: The search yielded 1,170 unique articles that were screened on the basis of the title and abstract. Seven studies were included: 1 prospective cohort study and 6 retrospective cohort studies. The recommended steps for the development of a prediction model were not followed by any of the studies, although 6 were published before the Prediction model Risk of Bias Assessment Tool and Transparent Reporting of a multivariable prediction model for Individual Prognosis Or Diagnosis guidelines. The included studies had a high risk of bias and were not externally validated. Conclusion: International guidelines recommend supportive care programs with prognostic counseling for couples with unexplained RPL. This information manages the expectations of couples and improves their ability to make an informed decision regarding further pregnancy attempts. On the basis of the results of this study, we cannot recommend the use of any of the studied prediction models in clinical practice to prevent overestimation of chances and false belief. (Fertil Steril Rev (R) 2022;3:136-45. (c) 2022 by American Society for Reproductive Medicine.)</t>
  </si>
  <si>
    <t>Youssef, Angelos; Hoorn, Marie -Louise P. van der; van Lith, Johannes M. M.; van Eekelen, Rik; du Foss, Nadia A.; Lashley, Lisa E. E. L. O.</t>
  </si>
  <si>
    <t>Youssef, A (corresponding author), Leiden Univ, Med Ctr, Dept Obstet &amp; Gynecol, Albinusdreef 2, NL-2333 ZA Leiden, Netherlands.</t>
  </si>
  <si>
    <t>a.youssef@lumc.nl</t>
  </si>
  <si>
    <t>[Youssef, Angelos; Hoorn, Marie -Louise P. van der; van Lith, Johannes M. M.; du Foss, Nadia A.; Lashley, Lisa E. E. L. O.] Leiden Univ, Med Ctr, Dept Obstet &amp; Gynecol, Albinusdreef 2, NL-2333 ZA Leiden, Netherlands; [van Eekelen, Rik] Univ Amsterdam, Ctr Reprod Med, Med Ctr, Amsterdam, Netherlands</t>
  </si>
  <si>
    <t>Leiden University; Leiden University Medical Center (LUMC); Leiden University - Excl LUMC; University of Amsterdam</t>
  </si>
  <si>
    <t>Prognosis in unexplained recurrent pregnancy loss: a systematic review and quality assessment of current clinical prediction models</t>
  </si>
  <si>
    <t>F&amp;S REVIEWS</t>
  </si>
  <si>
    <t>Recurrent pregnancy loss; prediction model; prognostic tool; PROBAST; TRIPOD</t>
  </si>
  <si>
    <t>INDIVIDUAL PROGNOSIS; PATERNAL SMOKING; DIAGNOSIS TRIPOD; LIVE BIRTH; RISK; MISCARRIAGE; APPLICABILITY; VALIDATION; PROBAST; BIAS</t>
  </si>
  <si>
    <t>Youssef, Angelos/0000-0003-4385-7971; Van Lith, Jan MM/0000-0002-4679-9028; van der Hoorn, Marie-Louise/0000-0002-7781-7815</t>
  </si>
  <si>
    <t>2666-5719</t>
  </si>
  <si>
    <t>F&amp;S REV</t>
  </si>
  <si>
    <t>F&amp;S Rev.</t>
  </si>
  <si>
    <t>136</t>
  </si>
  <si>
    <t>10.1016/j.xfnr.2022.02.002</t>
  </si>
  <si>
    <t>http://dx.doi.org/10.1016/j.xfnr.2022.02.002</t>
  </si>
  <si>
    <t>OR2T6</t>
  </si>
  <si>
    <t>WOS:001208942400004</t>
  </si>
  <si>
    <t>Papadomanolakis-Pakis, N; Munch, PV; Carle, N; Uhrbrand, CG; Haroutounian, S; Nikolajsen, L</t>
  </si>
  <si>
    <t>Background Acute post-surgical pain is managed inadequately in many patients undergoing surgery. Severalprognostic risk prediction models have been developed to identify patients at high risk of developingmoderate to severe acute post-surgical pain. The aim of this systematic review was to describe and evaluate themethodological conduct of these prediction models. Methods We searched MEDLINE, EMBASE and CINAHL for studies of prognostic risk prediction models foracute post-surgical pain using predetermined criteria. Prediction model performance was evaluated accordingto discrimination and calibration. Adherence to TRIPOD guidelines was assessed. Risk of bias and applicabilitywas independently assessed by two reviewers using the prediction model risk of bias assessment tool. Results We included 14 studies reporting on 17 prediction models. The most common predictors identified infinal prediction models included age; surgery type; sex or gender; anxiety or fear of surgery; pre-operative painintensity; pre-operative analgesic use; pain catastrophising; and expected surgical incision size. Discrimination,measured by the area under receiver operating characteristic curves or c-statistic, ranged from 0.61 to 0.83.Calibration was only reported for seven models. The median (IQR [range]) overall adherence rate to TRIPODitems was 62 (53-66 [47-72])%. All prediction models were at high risk of bias. Conclusions Effective prediction models could support the prevention and treatment of acute post-surgicalpain; however, existing models are at high risk of bias which may affect their reliability to inform practice.Consideration should be given to the goals, timing of intended use and desired outcomes of a predictionmodel before development.</t>
  </si>
  <si>
    <t>Papadomanolakis-Pakis, Nicholas; Munch, Philip V.; Carle, Nicolai; Uhrbrand, Camilla G.; Haroutounian, Simon; Nikolajsen, Lone</t>
  </si>
  <si>
    <t>Papadomanolakis-Pakis, N (corresponding author), Aarhus Univ Hosp, Dept Anaesthesiol &amp; Intens Care, Aarhus, Denmark.</t>
  </si>
  <si>
    <t>Disarm Therapeutics</t>
  </si>
  <si>
    <t>This study was prospectively registered on PROSPERO (CRD42023393840). The authors wish to thank Karen Rodriguez Sigaard (Aarhus University Librarian) for assisting with the development of our database search strategy. SH has received research support from Disarm Therapeutics and consultancy fees from Vertex Pharmaceuticals unrelated to this project. Data are available from the corresponding author upon reasonable request (TRIPOD adherence and risk of bias assessment data). No external funding or other competing interests declared.</t>
  </si>
  <si>
    <t>[Papadomanolakis-Pakis, Nicholas; Nikolajsen, Lone] Aarhus Univ Hosp, Dept Anaesthesiol &amp; Intens Care, Aarhus, Denmark; [Munch, Philip V.] Aarhus Univ, Dept Clin Epidemiol, Aarhus, Denmark; [Carle, Nicolai; Uhrbrand, Camilla G.; Nikolajsen, Lone] Aarhus Univ, Dept Clin Med, Aarhus, Denmark; [Haroutounian, Simon] Washington Univ, Sch Med St Louis, Dept Anesthesiol, St Louis, MO USA</t>
  </si>
  <si>
    <t>Aarhus University; Aarhus University; Aarhus University; Washington University (WUSTL); Saint Louis University</t>
  </si>
  <si>
    <t>Prognostic clinical prediction models for acute post-surgical pain in adults: a systematic review</t>
  </si>
  <si>
    <t>ANAESTHESIA</t>
  </si>
  <si>
    <t>acute postoperative pain; post-surgical pain; prediction; prognosis; systematic review</t>
  </si>
  <si>
    <t>OPIOID RECEPTOR GENE; NUMERIC RATING-SCALE; POSTOPERATIVE PAIN; QUALITY IMPROVEMENT; MANAGEMENT; RISK; SENSITIVITY; VALIDATION; SURGERY; PATIENT</t>
  </si>
  <si>
    <t>Carlé, Nicolai/0009-0001-7654-1327; Nikolajsen, Lone/0000-0002-2705-7088; Munch, Philip/0000-0002-8239-2970; Haroutounian, Simon/0000-0003-2231-5452; Papadomanolakis-Pakis, Nicholas/0000-0002-9624-6552; Uhrbrand, Camilla Gaarsdal/0009-0002-6722-4140</t>
  </si>
  <si>
    <t>0003-2409</t>
  </si>
  <si>
    <t>1365-2044</t>
  </si>
  <si>
    <t>Anaesthesia</t>
  </si>
  <si>
    <t>1335</t>
  </si>
  <si>
    <t>10.1111/anae.16429</t>
  </si>
  <si>
    <t>http://dx.doi.org/10.1111/anae.16429</t>
  </si>
  <si>
    <t>L4U4W</t>
  </si>
  <si>
    <t>39283262</t>
  </si>
  <si>
    <t>WOS:001313814800001</t>
  </si>
  <si>
    <t>de Jong, Y; Ramspek, CL; Zoccali, C; Jager, KJ; Dekker, FW; van Diepen, M</t>
  </si>
  <si>
    <t>Over the past few years, a large number of prediction models have been published, often of poor methodological quality. Seemingly objective and straightforward, prediction models provide a risk estimate for the outcome of interest, usually based on readily available clinical information. Yet, using models of substandard methodological rigour, especially without external validation, may result in incorrect risk estimates and consequently misclassification. To assess and combat bias in prediction research the prediction model risk of bias assessment tool (PROBAST) was published in 2019. This risk of bias (ROB) tool includes four domains and 20 signalling questions highlighting methodological flaws, and provides guidance in assessing the applicability of the model. In this paper, the PROBAST will be discussed, along with an in-depth review of two commonly encountered pitfalls in prediction modelling that may induce bias: overfitting and composite endpoints. We illustrate the prevalence of potential bias in prediction models with a meta-review of 50 systematic reviews that used the PROBAST to appraise their included studies, thus including 1510 different studies on 2104 prediction models. All domains showed an unclear or high ROB; these results were markedly stable over time, highlighting the urgent need for attention on bias in prediction research. This article aims to do just that by providing (1) the clinician with tools to evaluate the (methodological) quality of a clinical prediction model, (2) the researcher working on a review with methods to appraise the included models, and (3) the researcher developing a model with suggestions to improve model quality.</t>
  </si>
  <si>
    <t>de Jong, Ype; Ramspek, Chava L.; Zoccali, Carmine; Jager, Kitty J.; Dekker, Friedo W.; van Diepen, Merel</t>
  </si>
  <si>
    <t>de Jong, Y (corresponding author), Leiden Univ Med Ctr, Dept Clin Epidemiol, Leiden, Netherlands.; de Jong, Y (corresponding author), Leiden Univ Med Ctr, Dept Internal Med, Leiden, Netherlands.; de Jong, Y (corresponding author), Renal Res Inst, New York, NY 10065 USA.; de Jong, Y (corresponding author), Hypertens Associat Renal Transplant Nephrol, Reggio Emilia, Italy.; de Jong, Y (corresponding author), Univ Amsterdam, Amsterdam Publ Hlth Inst, ERA EDTA Registry, Dept Med Informat, Amsterdam, Netherlands.</t>
  </si>
  <si>
    <t>y.de_jong@lumc.nl</t>
  </si>
  <si>
    <t>Dutch Kidney Foundation [16OKG12]</t>
  </si>
  <si>
    <t>Dutch Kidney Foundation</t>
  </si>
  <si>
    <t>Dutch Kidney Foundation, Grant/Award Number: 16OKG12</t>
  </si>
  <si>
    <t>[de Jong, Ype; Ramspek, Chava L.; Dekker, Friedo W.; van Diepen, Merel] Leiden Univ Med Ctr, Dept Clin Epidemiol, Leiden, Netherlands; [de Jong, Ype] Leiden Univ Med Ctr, Dept Internal Med, Leiden, Netherlands; [de Jong, Ype; Zoccali, Carmine] Renal Res Inst, New York, NY 10065 USA; [de Jong, Ype; Zoccali, Carmine] Hypertens Associat Renal Transplant Nephrol, Reggio Emilia, Italy; [de Jong, Ype; Jager, Kitty J.] Univ Amsterdam, Amsterdam Publ Hlth Inst, ERA EDTA Registry, Dept Med Informat, Amsterdam, Netherlands</t>
  </si>
  <si>
    <t>Leiden University; Leiden University Medical Center (LUMC); Leiden University; Leiden University Medical Center (LUMC); Renal Research Institute; University of Amsterdam</t>
  </si>
  <si>
    <t>Appraising prediction research: a guide and meta-review on bias and applicability assessment using the Prediction model Risk Of Bias ASsessment Tool (PROBAST)</t>
  </si>
  <si>
    <t>NEPHROLOGY</t>
  </si>
  <si>
    <t>clinical epidemiology; epidemiology; evidence-based medicine; medical education; meta-analysis</t>
  </si>
  <si>
    <t>EXTERNAL VALIDATION; STROKE</t>
  </si>
  <si>
    <t>de Jong, Ype/AGT-0541-2022; Dekker, Friedo/B-6452-2011</t>
  </si>
  <si>
    <t>de Jong, Ype/0000-0002-7805-1508</t>
  </si>
  <si>
    <t>1320-5358</t>
  </si>
  <si>
    <t>1440-1797</t>
  </si>
  <si>
    <t>Nephrology</t>
  </si>
  <si>
    <t>939</t>
  </si>
  <si>
    <t>947</t>
  </si>
  <si>
    <t>10.1111/nep.13913</t>
  </si>
  <si>
    <t>http://dx.doi.org/10.1111/nep.13913</t>
  </si>
  <si>
    <t>WS9KH</t>
  </si>
  <si>
    <t>34138495</t>
  </si>
  <si>
    <t>WOS:000670742600001</t>
  </si>
  <si>
    <t>Boakye, NF; O'Toole, CC; Jalali, A; Hannigan, A</t>
  </si>
  <si>
    <t>Background: Logistic regression (LR) has traditionally been the standard method used for predicting binary health outcomes; however, machine learning (ML) methods are increasingly popular. Objective: This study aimed to compare the performance of ML and LR for obesity risk prediction, identify how LR and ML were being compared, and identify the commonly used ML methods. Methods: We conducted comprehensive searches in PubMed, Scopus, Embase, IEEE Xplore, and Web of Science databases on 24th November 2023, with no restrictions on publication dates. Meta-analyses were performed to quantify the overall predictive performance of the methods using the area under the curve (AUC) for LR, AUC for the best performing ML, as well as the difference in the AUC between the two approaches as the effect measures. Results: We included 28 studies out of 913 abstracts screened. Accuracy and sensitivity were the most commonly used performance measures. More than half of the studies used AUC, with no calibration assessment conducted in any of the studies. Decision trees followed by boosting algorithms were the most commonly used ML methods. Seventy-five percent of the studies were at high risk of bias. There were 14 included studies in the meta-analysis. The pooled AUC for LR was 0.75 (95% CI 0.70 to 0.80) and the pooled AUC for ML was 0.76 (95% CI 0.70 to 0.82). The pooled difference in logit(AUC) between ML and LR was 0.13 (95% CI-0.11 to 0.37). Conclusion: We conclude that there is no significant difference in the performance of ML and LR for obesity risk prediction. However, there is a need for improved quality of reporting of studies, the use of more performance measures particularly calibration, and to validate models in different populations.</t>
  </si>
  <si>
    <t>Boakye, Nancy Fosua; O'Toole, Ciaran Courtney; Jalali, Amirhossein; Hannigan, Ailish</t>
  </si>
  <si>
    <t>Boakye, NF (corresponding author), Univ Limerick, Res Ireland Ctr Res Training Fdn Data Sci, Dept Math &amp; Stat, Limerick, Ireland.</t>
  </si>
  <si>
    <t>nancy.fosua.boakye@ul.ie</t>
  </si>
  <si>
    <t>Taighde Eireann - Research Ireland [18/CRT/6049]</t>
  </si>
  <si>
    <t>Taighde Eireann - Research Ireland</t>
  </si>
  <si>
    <t>This publication has emanated from research supported in part by a grant from Taighde Eireann - Research Ireland under Grant number 18/CRT/6049. For the purpose of Open Access, the author has applied a CC BY public copyright licence to any Author Accepted Manuscript version arising from this submission.</t>
  </si>
  <si>
    <t>[Boakye, Nancy Fosua] Univ Limerick, Res Ireland Ctr Res Training Fdn Data Sci, Dept Math &amp; Stat, Limerick, Ireland; [O'Toole, Ciaran Courtney; Jalali, Amirhossein; Hannigan, Ailish] Univ Limerick, Sch Med, Limerick, Ireland; [Boakye, Nancy Fosua; O'Toole, Ciaran Courtney; Jalali, Amirhossein; Hannigan, Ailish] Univ Limerick, Hlth Res Inst HRI, Limerick V94 T9PX, Ireland</t>
  </si>
  <si>
    <t>University of Limerick; University of Limerick; University of Limerick</t>
  </si>
  <si>
    <t>Comparing logistic regression and machine learning for obesity risk prediction: A systematic review and meta-analysis</t>
  </si>
  <si>
    <t>INTERNATIONAL JOURNAL OF MEDICAL INFORMATICS</t>
  </si>
  <si>
    <t>Machine learning; Logistic regression; Obesity; Clinical prediction model; AUC; Systematic review; Meta-analysis</t>
  </si>
  <si>
    <t>BIG DATA; HEALTH; EXPLANATION; DISEASE; MODEL</t>
  </si>
  <si>
    <t>Jalali, Amirhossein/AAC-9771-2022; Hannigan, Ailish/HJI-7212-2023</t>
  </si>
  <si>
    <t>Boakye, Nancy Fosua/0009-0001-6790-7286; Courtney O'Toole, Ciarán/0000-0002-1990-5198; Jalali, Amirhossein/0000-0001-7227-8261</t>
  </si>
  <si>
    <t>1386-5056</t>
  </si>
  <si>
    <t>1872-8243</t>
  </si>
  <si>
    <t>INT J MED INFORM</t>
  </si>
  <si>
    <t>Int. J. Med. Inform.</t>
  </si>
  <si>
    <t>JUL 2025</t>
  </si>
  <si>
    <t>199</t>
  </si>
  <si>
    <t>105887</t>
  </si>
  <si>
    <t>10.1016/j.ijmedinf.2025.105887</t>
  </si>
  <si>
    <t>http://dx.doi.org/10.1016/j.ijmedinf.2025.105887</t>
  </si>
  <si>
    <t>Computer Science, Information Systems; Health Care Sciences &amp; Services; Medical Informatics</t>
  </si>
  <si>
    <t>Computer Science; Health Care Sciences &amp; Services; Medical Informatics</t>
  </si>
  <si>
    <t>0ZX8V</t>
  </si>
  <si>
    <t>40157246</t>
  </si>
  <si>
    <t>WOS:001460008300001</t>
  </si>
  <si>
    <t>D'Angelo, E; Lauro, C; Rubino, L; Bruni, A</t>
  </si>
  <si>
    <t>Objective: The aim of this review is to evaluate the role of stereotactic body radiotherapy (SBRT) in treating solitary lung nodule without pathological confirmation. Background: Lung cancer is one of the leading causes of cancer death worldwide. Taking into account the increasing number of new diagnoses of solid solitary pulmonary nodules, the issue is to identify when an invasive procedure is needed before planning a radical treatment. The role of SBRT is crucial, particularly in those patients at greater risk of complications after invasive procedures or surgery. Methods: This review focused on selection criteria of patients submitted to SBRT for solid solitary lung nodules in clinically diagnosed lung cancer. A literature search in Medline was performed until April 2021. Terms used were a combination of "solitary pulmonary nodule", "radiotherapy", "stereotactic body radiotherapy", "pathological confirmation", and "lung". We identified 149 records and 20 studies were selected, analyzed and discussed. All studies but two are retrospective. In 6 studies only patients without pathological confirmation were included, while 14 compared histologically proven and not subgroups. All studies were published between 2009 and 2019. SBRT was used in all except one, even if different doses were administered. SBRT resulted as an efficient treatment with high rates of local control in patients affected by early stage non -small -cell lung cancer (NSCLC), even if overall survival varies greatly depending on different factors (population features, lesion diameter, clinical stage, radiation therapy doses). Three-year local control was higher than 75% in all studies in which it was reported, while 3 -year overall survival was different in each one (range, 38.6-90%). Acute and late toxicities were generally low. Conclusions: Validated probability test together with the use of metabolic imaging may facilitate the clinical diagnosis of cancer in patients with solitary pulmonary nodule. SBRT seems to be a very efficient radical treatment for these subgroups of patients with early stage clinically diagnosed lung cancer, even if more prospective trials are needed.</t>
  </si>
  <si>
    <t>D'Angelo, Elisa; Lauro, Chiara; Rubino, Laura; Bruni, Alessio</t>
  </si>
  <si>
    <t>Bruni, A (corresponding author), Univ Hosp Modena, Dept Oncol &amp; Hematol, Radiat Therapy Unit, Modena, Italy.</t>
  </si>
  <si>
    <t>bruni.alessio@aou.mo.it</t>
  </si>
  <si>
    <t>[D'Angelo, Elisa; Lauro, Chiara; Rubino, Laura; Bruni, Alessio] Univ Hosp Modena, Dept Oncol &amp; Hematol, Radiat Therapy Unit, Modena, Italy</t>
  </si>
  <si>
    <t>Universita di Modena e Reggio Emilia; Universita di Modena e Reggio Emilia Hospital</t>
  </si>
  <si>
    <t>Non-invasive approach to treat primary solid solitary pulmonary nodule: a narrative review by the radiation oncologist perspective</t>
  </si>
  <si>
    <t>AME SURGICAL JOURNAL</t>
  </si>
  <si>
    <t>Solitary lung nodule; stereotactic body radiotherapy (SBRT); non-small-cell lung cancer (NSCLC)</t>
  </si>
  <si>
    <t>STEREOTACTIC BODY RADIOTHERAPY; CELL LUNG-CANCER; CLINICAL-PREDICTION MODEL; ABLATIVE RADIOTHERAPY; BIOPSY-PROVEN; THERAPY; OUTCOMES; RISK; DIAGNOSIS; SURGERY</t>
  </si>
  <si>
    <t>D'Angelo, Elisa/K-8027-2016; Bruni, Alessio/E-3239-2016</t>
  </si>
  <si>
    <t>D'Angelo, Elisa/0000-0002-5954-0939</t>
  </si>
  <si>
    <t>2788-578X</t>
  </si>
  <si>
    <t>AME SURG J</t>
  </si>
  <si>
    <t>AME Surg. J.</t>
  </si>
  <si>
    <t>SEP 30 2022</t>
  </si>
  <si>
    <t>10.21037/asj-21-39</t>
  </si>
  <si>
    <t>http://dx.doi.org/10.21037/asj-21-39</t>
  </si>
  <si>
    <t>OR4K8</t>
  </si>
  <si>
    <t>WOS:001208985600001</t>
  </si>
  <si>
    <t>Liu, J; Xiao, XH; Zhang, Q; Yu, M</t>
  </si>
  <si>
    <t>BackgroundGlucokinase maturity-onset diabetes of the young (GCK-MODY) is difficult to distinguish from other diabetic forms. This article aims to characterize the differences in results from routine examinations between GCK-MODY and hepatocyte nuclear factor 1-alpha (HNF1A)-MODY or type 2 diabetes (T2D) patients in different periods of diabetes. MethodsOvid Medline, Embase, and the Cochrane Library were searched up until October 9, 2022 for articles containing baseline characteristics of GCK-MODY, HNF1A-MOFY, and T2D, excluding pregnant women. The pooled standardized mean differences were derived using a random-effects model. ResultsCompared to HNF1A-MODY, GCK-MODY patients had lower indicators of glucose metabolism. Total triglycerides (TG) (-0.93 [-1.66, -0.21] mmol/l) were consistently lower in GCK-MODY patients in the all-family-members subgroup analysis. Compared to T2D, GCK-MODY patients were younger at diagnosis and had lower body mass index (BMI), lower high-sensitivity C-reactive protein (hsCRP) (-0.60 [-0.75, -0.44] mg/l), lower fasting C-peptide (FCP), and lower 2-hour postprandial glucose (2-h PG). Indicators of glycated hemoglobin (HbA1c) and fasting blood glucose (FPG) were consistently lower in subgroup studies with all family members of GCK-MODY patients as well. ConclusionsLower HbA1c, FPG, 2-h PG, and change in 2-h PG may help to diagnose GCK-MODY differentially from HNF1A-MODY at an early stage, and lower TG may strengthen such a diagnosis in the follow-up stages. Younger age combined with lower BMI, FCP, hsCRP, and 2-h PG may be useful to distinguish GCK-MODY from MODY-like T2D, whereas results of glucose metabolism indicators such as HbA1c and FPG may not help physicians until after a long follow-up period.</t>
  </si>
  <si>
    <t>Liu, Jing; Xiao, Xinhua; Zhang, Qian; Yu, Miao</t>
  </si>
  <si>
    <t>Xiao, XH (corresponding author), Chinese Acad Med Sci &amp; Peking Union Med Coll, Peking Union Med Coll Hosp, Chinese Acad Med Sci, Key Lab Endocrinol,Natl Hlth Commiss,Diabet Res Ct, Beijing 100730, Peoples R China.</t>
  </si>
  <si>
    <t>xiaoxh2014@vip.163.com</t>
  </si>
  <si>
    <t>Beijing Municipal Science &amp; Technology Commission [Z201100005520011] Funding Source: Medline; Beijing Natural Science Foundation [7202163] Funding Source: Medline; CAMS Innovation Fund for Medical Sciences [CIFMS2021-1-I2M-002, CIFMS2017-I2M-1-008] Funding Source: Medline; National Key Research and Development Program of China [2018YFC2001100] Funding Source: Medline; National Natural Science Foundation of China [81870579, 81570715, 81870545, 81170736, 82170854] Funding Source: Medline; National High Level Hospital Clinical Research Funding [2022-PUMCH-C-019, 2022-PUMCH-B-121] Funding Source: Medline</t>
  </si>
  <si>
    <t>Beijing Municipal Science &amp; Technology Commission (Beijing Municipal Science &amp; Technology Commission); Beijing Natural Science Foundation (Beijing Natural Science Foundation); CAMS Innovation Fund for Medical Sciences (CAMS Innovation Fund for Medical Sciences (CIFMS)); National Key Research and Development Program of China (National Key Research &amp; Development Program of China); National Natural Science Foundation of China (National Natural Science Foundation of China (NSFC)); National High Level Hospital Clinical Research Funding</t>
  </si>
  <si>
    <t>[Liu, Jing; Xiao, Xinhua; Zhang, Qian; Yu, Miao] Chinese Acad Med Sci &amp; Peking Union Med Coll, Peking Union Med Coll Hosp, Chinese Acad Med Sci, Key Lab Endocrinol,Natl Hlth Commiss,Diabet Res Ct, Beijing 100730, Peoples R China</t>
  </si>
  <si>
    <t>Chinese Academy of Medical Sciences - Peking Union Medical College; Peking Union Medical College; Peking Union Medical College Hospital</t>
  </si>
  <si>
    <t>Insights from basic adjunctive examinations of GCK-MODY, HNF1A-MODY, and type 2 diabetes: A systemic review and meta-analysis</t>
  </si>
  <si>
    <t>JOURNAL OF DIABETES</t>
  </si>
  <si>
    <t>clinical laboratory techniques; diabetes mellitus; type 2; maturity-onset diabetes of the young; type 3</t>
  </si>
  <si>
    <t>CLINICAL-PREDICTION MODEL; GLUCOKINASE MUTATIONS; CANDIDATE GENES; YOUNG; COMPLICATIONS; PREVALENCE; CHILDREN; DIAGNOSIS; SUBTYPES; REVEALS</t>
  </si>
  <si>
    <t>Zhang, Qian/PXD-1088-2026</t>
  </si>
  <si>
    <t>Liu, Jing/0000-0003-0851-309X</t>
  </si>
  <si>
    <t>1753-0393</t>
  </si>
  <si>
    <t>1753-0407</t>
  </si>
  <si>
    <t>J DIABETES</t>
  </si>
  <si>
    <t>J. Diabetes</t>
  </si>
  <si>
    <t>519</t>
  </si>
  <si>
    <t>531</t>
  </si>
  <si>
    <t>10.1111/1753-0407.13390</t>
  </si>
  <si>
    <t>http://dx.doi.org/10.1111/1753-0407.13390</t>
  </si>
  <si>
    <t>J2NU9</t>
  </si>
  <si>
    <t>37226652</t>
  </si>
  <si>
    <t>WOS:000992739400001</t>
  </si>
  <si>
    <t>Fabes, J; Seligman, W; Barrett, C; McKechnie, S; Griffiths, J</t>
  </si>
  <si>
    <t>Objective To develop a clinical prediction model for poor outcome after intensive care unit (ICU) discharge in a large observational data set and couple this to an acute post-ICU ward-based review tool (PIRT) to identify high-risk patients at the time of ICU discharge and improve their acute ward-based review and outcome.Design Retrospective patient cohort of index ICU admissions between June 2006 and October 2011 receiving routine inpatient review. Prospective cohort between March 2012 and March 2013 underwent risk scoring (PIRT) which subsequently guided inpatient ward-based review.Setting Two UK adult ICUs.Participants 4212 eligible discharges from ICU in the retrospective development cohort and 1028 patients included in the prospective intervention cohort.Interventions Multivariate analysis was performed to determine factors associated with pooroutcome in the retrospective cohort and used to generate a discharge risk score. A discharge and daily ward-based review tool incorporating an adjusted risk score was introduced. The prospective cohort underwent risk scoring at ICU discharge and inpatient review using the PIRT. Outcomes The primary outcome was the composite of death or readmission to ICU within 14 days of ICU discharge following the index ICU admission.Results PIRT review was achieved for 67.3% of all eligible discharges and improved the targeting of acute post-ICU review to high-risk patients. The presence of ward-based PIRT review in the prospective cohort did not correlate with a reduction in poor outcome overall (P=0.876) or overall readmission but did reduce early readmission (within the first 48 hours) from 4.5% to 3.6% (P=0.039), while increasing the rate of late readmission (48 hours to 14 days) from 2.7% to 5.8% (P=0.046).Conclusion PIRT facilitates the appropriate targeting of nurse-led inpatient review acutely after ICU discharge but does not reduce hospital mortality or overall readmission rates to ICU.</t>
  </si>
  <si>
    <t>Fabes, Jez; Seligman, William; Barrett, Carolyn; McKechnie, Stuart; Griffiths, John</t>
  </si>
  <si>
    <t>Fabes, J (corresponding author), Univ Coll London Hosp NHS Fdn Trust, Dept Anaesthesia, London, England.</t>
  </si>
  <si>
    <t>jfabes@doctors.org.uk</t>
  </si>
  <si>
    <t>[Fabes, Jez] Univ Coll London Hosp NHS Fdn Trust, Dept Anaesthesia, London, England; [Seligman, William] Chelsea &amp; Westminster Hosp NHS Fdn Trust, Dept Anaesthesia, London, England; [Barrett, Carolyn; McKechnie, Stuart; Griffiths, John] Oxford Univ Hosp NHS Fdn Trust, John Radcliffe Hosp, Dept Intens Care Med, London, England</t>
  </si>
  <si>
    <t>University College London Hospitals NHS Foundation Trust; University of London; University College London; Imperial College London; Oxford University Hospitals NHS Foundation Trust</t>
  </si>
  <si>
    <t>Does the implementation of a novel intensive care discharge risk score and nurse-led inpatient review tool improve outcome? A prospective cohort study in two intensive care units in the UK</t>
  </si>
  <si>
    <t>OUTREACH TEAM; READMISSION; ADMISSIONS; ILLNESS; IMPACT</t>
  </si>
  <si>
    <t>Fabes, Jeremy/J-8028-2017</t>
  </si>
  <si>
    <t>Fabes, Jeremy/0000-0003-1111-5973</t>
  </si>
  <si>
    <t>DEC 2017</t>
  </si>
  <si>
    <t>e018322</t>
  </si>
  <si>
    <t>10.1136/bmjopen-2017-018322</t>
  </si>
  <si>
    <t>http://dx.doi.org/10.1136/bmjopen-2017-018322</t>
  </si>
  <si>
    <t>FU4MH</t>
  </si>
  <si>
    <t>29282265</t>
  </si>
  <si>
    <t>WOS:000423826700123</t>
  </si>
  <si>
    <t>Van Grootven, B; Jepma, P; Rijpkema, C; Verweij, L; Leeflang, M; Daams, J; Deschodt, M; Milisen, K; Flamaing, J; Buurman, B</t>
  </si>
  <si>
    <t>Objective To describe the discrimination and calibration of clinical prediction models, identify characteristics that contribute to better predictions and investigate predictors that are associated with unplanned hospital readmissions. Design Systematic review and meta-analysis. Data source Medline, EMBASE, ICTPR (for study protocols) and Web of Science (for conference proceedings) were searched up to 25 August 2020. Eligibility criteria for selecting studies Studies were eligible if they reported on (1) hospitalised adult patients with acute heart disease; (2) a clinical presentation of prediction models with c-statistic; (3) unplanned hospital readmission within 6 months. Primary and secondary outcome measures Model discrimination for unplanned hospital readmission within 6 months measured using concordance (c) statistics and model calibration. Meta-regression and subgroup analyses were performed to investigate predefined sources of heterogeneity. Outcome measures from models reported in multiple independent cohorts and similarly defined risk predictors were pooled. Results Sixty studies describing 81 models were included: 43 models were newly developed, and 38 were externally validated. Included populations were mainly patients with heart failure (HF) (n=29). The average age ranged between 56.5 and 84 years. The incidence of readmission ranged from 3% to 43%. Risk of bias (RoB) was high in almost all studies. The c-statistic was &lt;0.7 in 72 models, between 0.7 and 0.8 in 16 models and &gt;0.8 in 5 models. The study population, data source and number of predictors were significant moderators for the discrimination. Calibration was reported for 27 models. Only the GRACE (Global Registration of Acute Coronary Events) score had adequate discrimination in independent cohorts (0.78, 95% CI 0.63 to 0.86). Eighteen predictors were pooled. Conclusion Some promising models require updating and validation before use in clinical practice. The lack of independent validation studies, high RoB and low consistency in measured predictors limit their applicability. PROSPERO registration number CRD42020159839.</t>
  </si>
  <si>
    <t>Van Grootven, Bastiaan; Jepma, Patricia; Rijpkema, Corinne; Verweij, Lotte; Leeflang, Mariska; Daams, Joost; Deschodt, Mieke; Milisen, Koen; Flamaing, Johan; Buurman, Bianca</t>
  </si>
  <si>
    <t>Van Grootven, B (corresponding author), Katholieke Univ Leuven, Dept Publ Hlth &amp; Primary Care, Leuven, Belgium.; Van Grootven, B (corresponding author), Res Fdn Flanders, Brussels, Belgium.</t>
  </si>
  <si>
    <t>bastiaan.vangrootven@kuleuven.be</t>
  </si>
  <si>
    <t>Research Foundation Flanders (FWO) [1165518N]; Dutch Research Council (NWO) [023.009.036]</t>
  </si>
  <si>
    <t>Research Foundation Flanders (FWO) (FWO); Dutch Research Council (NWO) (Netherlands Organization for Scientific Research (NWO))</t>
  </si>
  <si>
    <t>This work was partly supported by the Research Foundation Flanders (FWO) fellowship grant (grant number 1165518N (BVG)), and by the Dutch Research Council (NWO) (grant number 023.009.036 (PJ)). The funders had no role in the design and conduct of the study; collection, management, analysis and interpretation of the data; preparation, review or approval of the manuscript; and decision to submit the manuscript for publication.</t>
  </si>
  <si>
    <t>[Van Grootven, Bastiaan] Katholieke Univ Leuven, Dept Publ Hlth &amp; Primary Care, Leuven, Belgium; [Van Grootven, Bastiaan] Res Fdn Flanders, Brussels, Belgium; [Jepma, Patricia; Verweij, Lotte; Buurman, Bianca] Amsterdam Univ Appl Sci, Fac Hlth, Ctr Expertise Urban Vital, Amsterdam, Netherlands; [Rijpkema, Corinne] Vrije Univ Amsterdam, Fac Sci, Amsterdam, Noord Holland, Netherlands; [Leeflang, Mariska; Buurman, Bianca] Amsterdam UMC Locatie AMC, Fac Sci, Amsterdam, Netherlands; [Daams, Joost] Amsterdam UMC Locat AMC, Med Lib, Amsterdam, Netherlands; [Deschodt, Mieke; Milisen, Koen] KU Leuven Univ Leuven, Dept Publ Hlth &amp; Primary Care, Leuven, Belgium; [Deschodt, Mieke] Univ Basel, Dept Publ Hlth, Basel, Switzerland; [Milisen, Koen] Univ Hosp Leuven, Dept Geriatr Med, Leuven, Belgium; [Flamaing, Johan] Univ Hosp Leuven, Dept Publ Hlth &amp; Primary Care, Leuven, Belgium; [Flamaing, Johan] KU Leuven Univ Leuven, Dept Geriatr Med, Leuven, Belgium</t>
  </si>
  <si>
    <t>KU Leuven; Vrije Universiteit Amsterdam; KU Leuven; University of Basel; KU Leuven; University Hospital Leuven; KU Leuven; University Hospital Leuven; KU Leuven</t>
  </si>
  <si>
    <t>Prediction models for hospital readmissions in patients with heart disease: a systematic review and meta-analysis</t>
  </si>
  <si>
    <t>cardiology; adverse events; risk management</t>
  </si>
  <si>
    <t>ALL-CAUSE READMISSION; ACUTE MYOCARDIAL-INFARCTION; RISK-PREDICTION; 30-DAY READMISSION; FAILURE READMISSION; UNPLANNED READMISSION; LOGISTIC-REGRESSION; ATRIAL-FIBRILLATION; STATISTICAL-MODELS; PART 2</t>
  </si>
  <si>
    <t>Van Grootven, Bastiaan/ABE-5742-2020; Deschodt, Mieke/PGA-5190-2026; Daams, Joost/P-1507-2018; Leeflang, Mariska/AAF-8199-2019</t>
  </si>
  <si>
    <t>Van Grootven, Bastiaan/0000-0002-3182-573X; Milisen, Koen/0000-0001-9230-1246; Daams, Joost/0000-0002-8025-4961; Buurman, Bianca/0000-0001-7139-6178; Verweij, Lotte/0000-0002-4727-0126</t>
  </si>
  <si>
    <t>e047576</t>
  </si>
  <si>
    <t>10.1136/bmjopen-2020-047576</t>
  </si>
  <si>
    <t>http://dx.doi.org/10.1136/bmjopen-2020-047576</t>
  </si>
  <si>
    <t>UC0YG</t>
  </si>
  <si>
    <t>34404703</t>
  </si>
  <si>
    <t>WOS:000686260400017</t>
  </si>
  <si>
    <t>gold; Green Accepted; Green Submitted</t>
  </si>
  <si>
    <t>Peters, WR; Diwan, AD; Zotti, MG</t>
  </si>
  <si>
    <t>Background Chronic low back pain is a leading cause of global disability, with discogenic low back pain (DLBP), mechanically stimulated pain arising from the intervertebral disc, representing an important but often under-recognized subtype. DLBP arises from chronic structural and metabolic changes within the intervertebral disc, leading to inflammation, nerve ingrowth, and nociceptive sensitization. Diagnosis remains difficult due to overlapping symptoms, non-specific imaging, and the lack of a universally accepted reference standard. Accurate identification is critical for guiding effective management. This review aims to summarize and evaluate current and proposed diagnostic features of DLBP.Methods A narrative literature review was conducted using PubMed, Scopus, and Web of Science, with supplementary hand searching and citation tracking. Studies evaluating clinical or investigative diagnostic features of DLBP were included, without restriction on study design. Studies involving neural compression, radiculopathy, or non-DLBP were excluded. Evidence was thematically synthesized, with preference given to higher-quality or larger studies where findings overlapped.Results No clinical features have been consistently validated as predictive of DLBP. Flexion-based postures, movements, and prolonged sitting demonstrate modest diagnostic value, while traditional features such as axial loading or Valsalva maneuvers lack supporting evidence. Imaging findings, including Modic changes, high-intensity zones, and Pfirrmann grading, show limited specificity. Provocative discography is constrained by invasiveness, complications, and questionable reliability. Emerging metabolic imaging techniques demonstrate early potential as future reference standards. Evidence of clinical prediction models for DLBP remains limited.Conclusions DLBP diagnosis remains constrained by non-specific features and imperfect reference standards. Emerging metabolic imaging techniques warrant further validation, alongside development of robust diagnostic models to improve clinical decision making.</t>
  </si>
  <si>
    <t>Peters, William Roger; Diwan, Ashish D.; Zotti, Mario Giuseppe</t>
  </si>
  <si>
    <t>Peters, WR (corresponding author), Bond Univ, Fac Hlth Sci &amp; Med, Robina, Qld, Australia.</t>
  </si>
  <si>
    <t>williamrogerpeters@gmail.com</t>
  </si>
  <si>
    <t>[Peters, William Roger; Zotti, Mario Giuseppe] Bond Univ, Fac Hlth Sci &amp; Med, Robina, Qld, Australia; [Diwan, Ashish D.] Dept Orthopaed Surg, Spine Serv, St George Hosp Campus, Sydney, NSW, Australia; [Diwan, Ashish D.] Univ New South Wales, St George &amp; Sutherland Clin Sch, Sydney, Australia; [Diwan, Ashish D.] Royal Adelaide Hosp, Adelaide, SA, Australia; [Diwan, Ashish D.] Adelaide Univ, Adelaide, SA, Australia; [Zotti, Mario Giuseppe] Back Neck Clin, Gold Coast, Qld, Australia</t>
  </si>
  <si>
    <t>Bond University; St George Hospital; University of New South Wales Sydney; Royal Adelaide Hospital; Adelaide University; University of Adelaide</t>
  </si>
  <si>
    <t>Diagnostic Features of Discogenic Low Back Pain: A Narrative Review and Suggested Areas for Future Research and Clinical Practice</t>
  </si>
  <si>
    <t>JOR SPINE</t>
  </si>
  <si>
    <t>discogenic low back pain; discography; intervertebral disc; magnetic resonance spectroscopy</t>
  </si>
  <si>
    <t>LUMBAR INTERVERTEBRAL DISC; HIGH-INTENSITY ZONE; PROVOCATION DISCOGRAPHY; ASYMPTOMATIC SUBJECTS; MODIC CHANGES; DEGENERATION; CLASSIFICATION; PREVALENCE; DISRUPTION; MANAGEMENT</t>
  </si>
  <si>
    <t>Diwan, Ashish/OPN-6729-2025</t>
  </si>
  <si>
    <t>2572-1143</t>
  </si>
  <si>
    <t>JOR Spine</t>
  </si>
  <si>
    <t>MAY 28 2026</t>
  </si>
  <si>
    <t>e70195</t>
  </si>
  <si>
    <t>10.1002/jsp2.70195</t>
  </si>
  <si>
    <t>http://dx.doi.org/10.1002/jsp2.70195</t>
  </si>
  <si>
    <t>IQ1MJ</t>
  </si>
  <si>
    <t>42253287</t>
  </si>
  <si>
    <t>WOS:001777673800001</t>
  </si>
  <si>
    <t>Wang, Y; Xiao, YY; Yang, QD; Wang, F; Wang, Y; Yuan, C</t>
  </si>
  <si>
    <t>Introduction Multidrug-resistant organisms (MDROs) are pathogenic bacteria that are the leading cause of hospital-acquired infection which is associated with high morbidity and mortality rates in intensive care units, increasing hospitalisation duration and cost. Predicting the risk of MDRO colonisation or infection for critically ill patients supports clinical decision-making. Several models predicting MDRO colonisation or infection have been developed; however, owing to different disease scenarios, bacterial species and few externally validated cohorts in different prediction models; the stability and applicability of these models for MDRO colonisation or infection in critically ill patients are controversial. In addition, there are currently no standardised risk scoring systems to predict MDRO colonisation or infection in critically ill patients. The aim of this systematic review is to summarise and assess models predicting MDRO colonisation or infection in critically ill patients and to compare their predictive performance. Methods and analysis We will perform a systematic search of PubMed, Cochrane Library, CINAHL, Embase, Web of science, China National Knowledge Infrastructure and Wanfang databases to identify all studies describing the development and/or external validation of models predicting MDRO colonisation or infection in critically ill patients. Two reviewers will independently extract and review the data using the Data Extraction for Systematic Reviews of Prediction Modelling Studies checklist; they will also assess the risk of bias using the Prediction Model Risk of Bias Assessment Tool. Quantitative data on model predictive performance will be synthesised in meta-analyses, as applicable. Ethics and dissemination Ethical permissions will not be required because all data will be extracted from published studies. We intend to publish our results in peer-reviewed scientific journals and to present them at international conferences on critical care. PROSPERO registration number CRD42022274175.</t>
  </si>
  <si>
    <t>Wang, Yi; Xiao, Yanyan; Yang, Qidi; Wang, Fang; Wang, Ying; Yuan, Cui</t>
  </si>
  <si>
    <t>Yuan, C (corresponding author), Peking Univ First Hosp, Intens Care Unit, Beijing, Peoples R China.</t>
  </si>
  <si>
    <t>yuancui2013@sina.com</t>
  </si>
  <si>
    <t>[Wang, Yi; Xiao, Yanyan; Yang, Qidi; Wang, Fang; Wang, Ying; Yuan, Cui] Peking Univ First Hosp, Intens Care Unit, Beijing, Peoples R China</t>
  </si>
  <si>
    <t>Clinical prediction models for multidrug-resistant organism colonisation or infection in critically ill patients: a systematic review protocol</t>
  </si>
  <si>
    <t>Protocols &amp; guidelines; Risk management; Infection control; Adult intensive &amp; critical care</t>
  </si>
  <si>
    <t>INTENSIVE-CARE-UNIT; RISK; APPLICABILITY; MORTALITY; PROBAST; BIAS; TOOL</t>
  </si>
  <si>
    <t>Xiao, Yanyan/PII-5167-2026</t>
  </si>
  <si>
    <t>e064566</t>
  </si>
  <si>
    <t>10.1136/bmjopen-2022-064566</t>
  </si>
  <si>
    <t>http://dx.doi.org/10.1136/bmjopen-2022-064566</t>
  </si>
  <si>
    <t>5B2PO</t>
  </si>
  <si>
    <t>36175101</t>
  </si>
  <si>
    <t>WOS:000863416400038</t>
  </si>
  <si>
    <t>Body, R</t>
  </si>
  <si>
    <t>Chest pain accounts for approximately 6% of Emergency Department (ED) attendances and is the most common reason for emergency hospital admission. For many years, our approach to diagnosis has required patients to stay in hospital for at least 6-12 h to undergo serial biomarker testing. As less than one fifth of the patients undergoing investigation actually has an acute coronary syndrome (ACS), there is tremendous potential to reduce unnecessary hospital admissions.Recent advances in diagnostic technology have improved the efficiency of care pathways. Decision aids such as the Thrombolysis in Myocardial Infarction (TIMI) risk score and the History, Electrocardiogram, Age, Risk factors and Troponin (HEART) score enable rapid 'rule out' of ACS within hours of patients arriving in the ED. With high sensitivity cardiac troponin (hs-cTn) assays, approximately one third of patients can have ACS 'ruled out' with a single blood test, and up to two thirds could have an acute myocardial infarction 'ruled out' with a second sample taken after as little as 1 h.Building on those recent advances, this paper presents an overview of the principles behind the development of the Troponin-only Manchester Acute Coronary Syndromes (T-MACS) decision aid. This clinical prediction model could be used to 'rule out' and ` rule in' ACS following a single blood test and to calculate the probability of ACS for every patient. The future potential of this approach is then addressed, including practical applications of artificial intelligence, shared decision making, near-patient testing and personalized medicine. Copyright (C) 2018 The Emergency Medicine Association of Turkey. Production and hosting by Elsevier B.V. on behalf of the Owner. This is an open access article under the CC BY-NC-ND license (http://creativecommons.org/licenses/by-nc-nd/4.0/).</t>
  </si>
  <si>
    <t>Body, Richard</t>
  </si>
  <si>
    <t>Body, R (corresponding author), Manchester Royal Infirm, Emergency Dept, Oxford Rd, Manchester M13 9WL, Lancs, England.</t>
  </si>
  <si>
    <t>richard.body@manchester.ac.uk</t>
  </si>
  <si>
    <t>Singulex; Alere; Siemens; National Institute for Health Research [CL-2009-06-001, PDF-2012-05-193] Funding Source: researchfish</t>
  </si>
  <si>
    <t>Singulex; Alere; Siemens (Siemens AG); National Institute for Health Research (National Institutes of Health Research (NIHR))</t>
  </si>
  <si>
    <t>The authors declare the following interests: Richard Body has undertaken research involving donation of reagents without charge by Roche, Abbott, Alere, Siemens, Randox, FABPulous BV and Singulex. Richard Body has accepted speaker fees from Singulex, Alere and Siemens and provision of travel and accommodation to present research findings at conferences from Roche and Randox.</t>
  </si>
  <si>
    <t>[Body, Richard] Univ Manchester, Div Cardiovasc Sci, Oxford Rd, Manchester M13 9PL, Lancs, England; [Body, Richard] Manchester Univ Fdn NHS Trust, Emergency Dept, Oxford Rd, Manchester M13 9WL, Lancs, England; [Body, Richard] Manchester Metropolitan Univ, Healthcare Sci Dept, John Dalton Bldg,Oxford Rd, Manchester, Lancs, England</t>
  </si>
  <si>
    <t>University of Manchester; Manchester Metropolitan University</t>
  </si>
  <si>
    <t>Acute coronary syndromes diagnosis, version 2.0: Tomorrow's approach to diagnosing acute coronary syndromes?</t>
  </si>
  <si>
    <t>TURKISH JOURNAL OF EMERGENCY MEDICINE</t>
  </si>
  <si>
    <t>Acute myocardial infarction; Acute Coronary Syndromes; Diagnosis; Sensitivity and specificity; Troponins; Troponins, high sensitivity; Emergency medicine</t>
  </si>
  <si>
    <t>SENSITIVITY CARDIAC TROPONIN; ACUTE MYOCARDIAL-INFARCTION; CHEST-PAIN; EMERGENCY-DEPARTMENT; RULE-OUT; SYMPTOMS; RISK; PREDICTION; SIGNS; ASSAY</t>
  </si>
  <si>
    <t>Body, Richard/C-2736-2010</t>
  </si>
  <si>
    <t>Body, Richard/0000-0001-9089-8130</t>
  </si>
  <si>
    <t>2452-2473</t>
  </si>
  <si>
    <t>TURK J EMERG MED</t>
  </si>
  <si>
    <t>Turk. J. Emerg. Med.</t>
  </si>
  <si>
    <t>SEP 2018</t>
  </si>
  <si>
    <t>10.1016/j.tjem.2018.05.005</t>
  </si>
  <si>
    <t>http://dx.doi.org/10.1016/j.tjem.2018.05.005</t>
  </si>
  <si>
    <t>GW1JF</t>
  </si>
  <si>
    <t>30191187</t>
  </si>
  <si>
    <t>WOS:000446628200002</t>
  </si>
  <si>
    <t>Ismail, SR; Khalil, MKN; Mohamad, MSF; Shah, SA</t>
  </si>
  <si>
    <t>Background: The cultural and genetic diversity of the Southeast Asian population has contributed to distinct cardiovascular disease risks, incidence, and prognosis compared to the Western population, thereby raising concerns about the accuracy of predicted risks of existing prognostic models. Objectives: We aimed to evaluate the predictive performances of validated, recalibrated, and developed prognostic risk prediction tools used in the Southeast Asian population with acute myocardial infarction (AMI) events for secondary events Methods: We searched MEDLINE and Cochrane Central databases until March 2022. We included prospective and retrospective cohort studies that exclusively evaluated populations in the Southeast Asian region with a confirmed diagnosis of an AMI event and evaluated for risk of secondary events such as mortality, recurrent AMI, and heart failure admission. The CHARMS and PRISMA checklists and PROBAST for risk of bias assessment were used in this review. Results: We included 7 studies with 11 external validations, 3 recalibrations, and 3 new models from 4 countries. Both short- and long-term outcomes were assessed. Overall, we observed that the external validation studies provided a good predictive accuracy of the models in the respective populations. The pooled estimate of the C-statistic in the Southeast Asian population for GRACE risk score is 0.83 (95%CI 0.72-0.90, n = 6 validations) and for the TIMI risk score is 0.80 (95%CI: 0.772-0.83, n = 5 validations). Recalibrated and new models demonstrated marginal improvements in discriminative values. However, the method of predictive accuracy measurement in most studies was insufficient thereby contributing to the mixed accuracy effect. The evidence synthesis was limited due to the relatively low quality and heterogeneity of the available studies. Conclusion: Both TIMI and GRACE risk scores demonstrated good predictive accuracies in the population. However, with the limited strength of evidence, these results should be interpreted with caution. Future higher-quality studies spanning various parts of the Asian region will help to understand the prognostic utility of these models better.Systematic review registration.</t>
  </si>
  <si>
    <t>Ismail, Sophia Rasheeqa; Khalil, Muhamad Khairul Nazrin; Mohamad, Mohd Shawal Faizal; Shah, Shamsul Azhar</t>
  </si>
  <si>
    <t>Shah, SA (corresponding author), Natl Univ Malaysia, Fac Med, Dept Community Hlth, Kuala Lumpur, Malaysia.</t>
  </si>
  <si>
    <t>drsham@ppukm.ukm.edu.my</t>
  </si>
  <si>
    <t>[Ismail, Sophia Rasheeqa; Khalil, Muhamad Khairul Nazrin] Natl Inst Hlth, Inst Med Res, Nutr Metab &amp; Cardiovasc Res Ctr, Shah Alam, Malaysia; [Ismail, Sophia Rasheeqa; Shah, Shamsul Azhar] Natl Univ Malaysia, Fac Med, Dept Community Hlth, Kuala Lumpur, Malaysia; [Mohamad, Mohd Shawal Faizal] Hosp Canselor Tuanku Muhriz, Dept Cardiol, Kuala Lumpur, Malaysia</t>
  </si>
  <si>
    <t>Kementerian Kesihatan Malaysia; Universiti Kebangsaan Malaysia</t>
  </si>
  <si>
    <t>Systematic review and meta-analysis of prognostic models in Southeast Asian populations with acute myocardial infarction</t>
  </si>
  <si>
    <t>risk prediction model; prognostic model; acute myocardial infarction; validation; Southeast Asia</t>
  </si>
  <si>
    <t>GRACE RISK SCORE; CLINICAL-PREDICTION MODELS; ACUTE CORONARY SYNDROMES; ADVERSE CARDIAC EVENTS; IN-HOSPITAL MORTALITY; CARDIOVASCULAR RISK; CHINESE PATIENTS; GLOBAL REGISTRY; UNSTABLE ANGINA; TIMI</t>
  </si>
  <si>
    <t>Shah, Shamsul Azhar/IXN-9583-2023; Khalil, Muhamad khairul nazrin/KBA-6696-2024; Ismail, Sophia Rasheeqa/AAE-1089-2022</t>
  </si>
  <si>
    <t>Ismail, Sophia Rasheeqa/0000-0002-4271-0241</t>
  </si>
  <si>
    <t>JUL 26 2022</t>
  </si>
  <si>
    <t>921044</t>
  </si>
  <si>
    <t>10.3389/fcvm.2022.921044</t>
  </si>
  <si>
    <t>http://dx.doi.org/10.3389/fcvm.2022.921044</t>
  </si>
  <si>
    <t>3Q6WM</t>
  </si>
  <si>
    <t>35958391</t>
  </si>
  <si>
    <t>WOS:000838368900001</t>
  </si>
  <si>
    <t>Meier, K; Parrish, J; D'Souza, R</t>
  </si>
  <si>
    <t>Introduction The purpose of this study was to systematically identify and compare clinical models using universally accessible clinical and demographic factors that were derived and/or validated to predict the success of labor induction with a view to making recommendations for practice. Material and methods MEDLINE, Embase, , and PubMed (for non-MEDLINE and studies in-progress) were searched from inception to November 2017. Only studies that derived and/or validated clinical prediction models using variables obtained through antenatal history and digital cervical examination were included. Two reviewers independently screened titles and abstracts and extracted data from eligible studies into a standardized form. Extracted data included: participant characteristics, sample size, variables considered and included, endpoint definitions, study design and model performance. The Prediction Study Risk of Bias Assessment Tool (PROBAST) was used to appraise included studies. In view of clinical and methodologic heterogeneity between studies, only descriptive analysis was possible. The protocol was registered with the PROSPERO International prospective register of systematic reviews [CRD42017081548]. Results The search identified 16 studies describing 14 prediction models derived between 1966 and 2018. Models varied and demonstrated major limitations with regard to methodology, scope and performance. Of the derived models, six were internally validated and three were externally validated. Performance was most commonly measured using the area under the receiver operator characteristic curve, which ranged from 0.68 to 0.79, 0.67 to 0.77 and 0.61 to 0.73 for derived, internally validated and externally validated models, respectively. The risk-of-bias of included studies ranged from some studies fulfilling only 36% and some others fulfilling 86% of eligible PROBAST items. Conclusions No published model can be recommended for use at the bedside to determine the success of vaginal birth after labor induction. Based on the limitations of included models, a list of recommendations for improving model performance and utilization is provided, as well as measures for encouraging appropriate use of prediction models. The attitudes of women and care providers, and the clinical and resource implications must be explored prior to recommending the use of prediction models for determining the success of labor induction.</t>
  </si>
  <si>
    <t>Meier, Kennedy; Parrish, Jacqueline; D'Souza, Rohan</t>
  </si>
  <si>
    <t>D'Souza, R (corresponding author), Mt Sinai Hosp, 700 Univ Ave,3-908, Toronto, ON M5G 1Z5, Canada.</t>
  </si>
  <si>
    <t>rohan.dsouza@sinaihealthsystem.ca</t>
  </si>
  <si>
    <t>[Meier, Kennedy; D'Souza, Rohan] Univ Toronto, Toronto, ON, Canada; [Parrish, Jacqueline; D'Souza, Rohan] Mt Sinai Hosp, Div Maternal Fetal Med, Dept Obstet &amp; Gynecol, Toronto, ON, Canada; [D'Souza, Rohan] Lunenfeld Tanenbaum Res Inst, Toronto, ON, Canada</t>
  </si>
  <si>
    <t>University of Toronto; University of Toronto; Sinai Health System Toronto; Lunenfeld Tanenbaum Research Institute; University of Toronto; Sinai Health System Toronto; Lunenfeld Tanenbaum Research Institute</t>
  </si>
  <si>
    <t>Prediction models for determining the success of labor induction: A systematic review</t>
  </si>
  <si>
    <t>ACTA OBSTETRICIA ET GYNECOLOGICA SCANDINAVICA</t>
  </si>
  <si>
    <t>induction of labor; prediction model; pregnancy; successful induction; systematic review; vaginal birth</t>
  </si>
  <si>
    <t>CESAREAN DELIVERY; FETAL FIBRONECTIN; NULLIPAROUS WOMEN; VAGINAL DELIVERY; FAILED INDUCTION; BISHOP SCORE; RISK; ACCURACY; SECTION; TERM</t>
  </si>
  <si>
    <t>D'Souza, Rohan/F-7997-2016</t>
  </si>
  <si>
    <t>D'Souza, Rohan/0000-0002-4049-2017</t>
  </si>
  <si>
    <t>0001-6349</t>
  </si>
  <si>
    <t>1600-0412</t>
  </si>
  <si>
    <t>ACTA OBSTET GYN SCAN</t>
  </si>
  <si>
    <t>Acta Obstet. Gynecol. Scand.</t>
  </si>
  <si>
    <t>SEP 2019</t>
  </si>
  <si>
    <t>1100</t>
  </si>
  <si>
    <t>1112</t>
  </si>
  <si>
    <t>10.1111/aogs.13589</t>
  </si>
  <si>
    <t>http://dx.doi.org/10.1111/aogs.13589</t>
  </si>
  <si>
    <t>IV6KQ</t>
  </si>
  <si>
    <t>30793763</t>
  </si>
  <si>
    <t>WOS:000484377700003</t>
  </si>
  <si>
    <t>Feller, D; Wingbermuhle, R; Berg, B; Vigdal, ON; Innocenti, T; Grotle, M; Ostelo, R; Chiarotto, A</t>
  </si>
  <si>
    <t>This metaresearch study aimed to evaluate the completeness of reporting of prediction model studies in patients with spinal pain or osteoarthritis (OA) in terms of adherence to the transparent reporting of a multivariable prediction model for individual prognosis or diagnosis (TRIPOD) statement. We searched for prognostic and diagnostic prediction models in patients with spinal pain or OA in MEDLINE, Embase, Web of Science, and CINAHL. Using a standardized assessment form, we assessed the adherence to the TRIPOD of the included studies. Two independent reviewers performed the study selection and data extraction phases. We included 66 studies. Approximately 35% of the studies declared to have used the TRIPOD. The median adherence to the TRIPOD was 59% overall (interquartile range (IQR): 21.8), with the items of the methods and results sections having the worst reporting. Studies on neck pain had better adherence to the TRIPOD than studies on back pain and OA (medians of 76.5%, 59%, and 53%, respectively). External validation studies had the highest total adherence (median: 79.5%, IQR: 12.8) of all the study types. The median overall adherence was 4 points higher in studies that declared TRIPOD use than those that did not. Finally, we did not observe any improvement in adherence over the years. The adherence to the TRIPOD of prediction models in the spinal and OA fields is low, with the methods and results sections being the most poorly reported. Future studies on prediction models in spinal pain and OA should follow the TRIPOD to improve their reporting completeness. Perspective: This article provides data about adherence to the TRIPOD statement in 66 prediction model studies for spinal pain or OA. The adherence to the TRIPOD statement was found to be low (median adherence of 59%). This inadequate reporting may negatively impact the effective use of the models in clinical practice. (c) 2024 The Author(s). Published by Elsevier Inc. on behalf of United States Association for the Study of Pain, Inc This is an open access article under the CC BY license (http://creativecommons.org/licenses/by/4.0/).</t>
  </si>
  <si>
    <t>Feller, Daniel; Wingbermuhle, Roel; Berg, Bjornar; Vigdal, Orjan Nesse; Innocenti, Tiziano; Grotle, Margreth; Ostelo, Raymond; Chiarotto, Alessandro</t>
  </si>
  <si>
    <t>Feller, D (corresponding author), Via Lungo Leno 27, I-38068 Trento, Italy.</t>
  </si>
  <si>
    <t>d.feller@erasmusmc.nl</t>
  </si>
  <si>
    <t>[Feller, Daniel] Prov Agcy Hlth Autonomous Prov Trento, Dept Rehabil, Trento, Italy; [Feller, Daniel] Prov Agcy Hlth Autonomous Prov Trento, Dept Human Resources, Trento, Italy; [Feller, Daniel; Wingbermuhle, Roel; Chiarotto, Alessandro] Univ Med Ctr, Dept Gen Practice, Erasmus MC, Rotterdam, Netherlands; [Wingbermuhle, Roel] SOMT Univ Physiotherapy, Dept Physiotherapy &amp; Rehabil Sci, Amersfoort, Netherlands; [Berg, Bjornar] Oslo Metropolitan Univ, Fac Hlth Sci, Ctr Intelligent Musculoskeletal Hlth, Oslo, Norway; [Vigdal, Orjan Nesse] OsloMet Oslo Metropolitan Univ, Fac Hlth Sci, Dept Rehabil Sci &amp; Hlth Technol, Oslo, Norway; [Innocenti, Tiziano; Ostelo, Raymond] Vrije Univ Amsterdam, Fac Sci, Dept Hlth Sci, Amsterdam Movement Sci, Amsterdam, Netherlands; [Innocenti, Tiziano] GIMBE Fdn, Bologna, Italy; [Grotle, Margreth] Oslo Univ Hosp, Dept Res &amp; Innovat, Div Clin Neurosci, Oslo, Norway; [Ostelo, Raymond] Locat Vrije Univ, Amsterdam Movement Sci, Amsterdam UMC, Amsterdam, Netherlands; [Ostelo, Raymond] Amsterdam Movement Sci, Musculoskeletal Hlth, Amsterdam, Netherlands</t>
  </si>
  <si>
    <t>Erasmus University Rotterdam; Erasmus MC; Oslo Metropolitan University (OsloMet); Oslo Metropolitan University (OsloMet); Vrije Universiteit Amsterdam; University of Oslo; University of Amsterdam; Vrije Universiteit Amsterdam; Vrije Universiteit Amsterdam</t>
  </si>
  <si>
    <t>Improvements Are Needed in the Adherence to the TRIPOD Statement for Clinical Prediction Models for Patients With Spinal Pain or Osteoarthritis: A Metaresearch Study</t>
  </si>
  <si>
    <t>JOURNAL OF PAIN</t>
  </si>
  <si>
    <t>Reporting guidelines; machine learning; reporting; prognosis; diagnosis</t>
  </si>
  <si>
    <t>REPORTING GUIDELINES; PROGNOSTIC MODELS; PRIMARY-CARE; DIAGNOSIS</t>
  </si>
  <si>
    <t>Chiarotto, Alessandro/X-5526-2019; Innocenti, Tiziano/AGG-6047-2022; Feller, Daniel/ACB-3822-2022; Ostelo, Raymond/GSE-2602-2022</t>
  </si>
  <si>
    <t>Berg, Bjørnar/0000-0002-9017-5562; Chiarotto, Alessandro/0000-0003-2350-9945; Innocenti, Tiziano/0000-0003-4696-6989; Feller, Daniel/0000-0001-9853-3486; Ostelo, Raymond/0000-0001-7679-7210</t>
  </si>
  <si>
    <t>CHURCHILL LIVINGSTONE</t>
  </si>
  <si>
    <t>EDINBURGH</t>
  </si>
  <si>
    <t>JOURNAL PRODUCTION DEPT, ROBERT STEVENSON HOUSE, 1-3 BAXTERS PLACE, LEITH WALK, EDINBURGH EH1 3AF, MIDLOTHIAN, SCOTLAND</t>
  </si>
  <si>
    <t>1526-5900</t>
  </si>
  <si>
    <t>1528-8447</t>
  </si>
  <si>
    <t>J PAIN</t>
  </si>
  <si>
    <t>J. Pain</t>
  </si>
  <si>
    <t>NOV 2024</t>
  </si>
  <si>
    <t>104624</t>
  </si>
  <si>
    <t>10.1016/j.jpain.2024.104624</t>
  </si>
  <si>
    <t>http://dx.doi.org/10.1016/j.jpain.2024.104624</t>
  </si>
  <si>
    <t>J4B8Q</t>
  </si>
  <si>
    <t>39002741</t>
  </si>
  <si>
    <t>WOS:001336543300001</t>
  </si>
  <si>
    <t>Li, P; Bai, Y; Yuan, X; Zhang, H; Li, F; Liu, J; Du, J; Xing, Y</t>
  </si>
  <si>
    <t>Multi-drug-resistant organism (MDRO) infections pose a significant threat to patient safety in intensive care units (ICUs). Risk prediction models (RPMs) are promising tools for early identification, but their stability and generalizability remain uncertain. This systematic review aimed to evaluate the status, methodological quality, and performance of RPMs for MDRO infection in adult ICU patients. We searched five databases for studies published up to 30th July, 2025. Studies that developed or validated a prediction model were included. Data on characteristics, predictors, methods, and performance were extracted. Quality was assessed using the Prediction model Risk Of Bias Assessment Tool (PROBAST). Sixtytwo studies, comprising 100 prediction models, were included in the analysis. Most were single-centre, retrospective studies from mainland China. Predictors were categorized into ten domains, with antibiotic use, comorbidities, and invasive procedures being the most frequent. Logistic regression was the most common technique. Model validation was insufficient: 37 studies did not report detailed validation, and only 17 performed external validation. PROBAST indicated a high risk of bias in 87.1% of studies, primarily due to analytical shortcomings like inappropriate predictor handling, suboptimal variable selection, and lack of proper validation. The systematic review reveals that existing RPMs have methodological limitations and constrained generalizability, hindering clinical application. Future efforts should focus on integrating dynamic predictors, conducting rigorous external validation, and developing models based on large-scale, prospective, multi-centre data. (c) 2026 The Author(s). Published by Elsevier Ltd on behalf of The Healthcare Infection Society. This is an open access article under the CC BY-NC-ND license (http://creativecommons.org/licenses/by-nc-nd/4.0/).</t>
  </si>
  <si>
    <t>Li, P.; Bai, Y.; Yuan, X.; Zhang, H.; Li, F.; Liu, J.; Du, J.; Xing, Y.</t>
  </si>
  <si>
    <t>Xing, Y (corresponding author), Peking Univ Third Hosp, Dept Nosocomial Infect Management, Huayuanbeilu 49, Beijing 100191, Peoples R China.</t>
  </si>
  <si>
    <t>xingyan@bjmu.edu.cn</t>
  </si>
  <si>
    <t>Capital's Funds for Health Improvement and Research [CFH 2024-2G-40916]; Peking University Third Hospital Clinical Cohort Construction Project [BYSYDL2022008]; Peking University Third Hospital Innovation and Transformation Fund Project [BYSYZHKC126]</t>
  </si>
  <si>
    <t>Capital's Funds for Health Improvement and Research; Peking University Third Hospital Clinical Cohort Construction Project; Peking University Third Hospital Innovation and Transformation Fund Project</t>
  </si>
  <si>
    <t>This work was supported by Capital's Funds for Health Improvement and Research (CFH 2024-2G-40916), Peking University Third Hospital Clinical Cohort Construction Project (BYSYDL2022008) , and Peking University Third Hospital Innovation and Transformation Fund Project (BYSYZHKC126).</t>
  </si>
  <si>
    <t>[Li, P.; Bai, Y.; Yuan, X.; Zhang, H.; Du, J.; Xing, Y.] Peking Univ Third Hosp, Dept Nosocomial Infect Management, Huayuanbeilu 49, Beijing 100191, Peoples R China; [Li, F.; Liu, J.] Peking Univ Third Hosp, Beijing Haidian Hosp, Dept Infect Control, Haidian Sect, Zhongguancundajie 29, Beijing, Peoples R China; [Xing, Y.] Peking Univ Third Hosp, Dept Pediat, Huayuanbeilu 49, Beijing, Peoples R China</t>
  </si>
  <si>
    <t>Peking University; Peking University; Peking University</t>
  </si>
  <si>
    <t>Clinical prediction models for hospital-acquired infection of multi-drug-resistant organism in intensive care units: a systematic review</t>
  </si>
  <si>
    <t>Hospital infection; Multi-drug-resistant organism; Intensive care units; Risk prediction models</t>
  </si>
  <si>
    <t>RISK; ESTABLISHMENT; NOMOGRAM</t>
  </si>
  <si>
    <t>173</t>
  </si>
  <si>
    <t>294</t>
  </si>
  <si>
    <t>306</t>
  </si>
  <si>
    <t>10.1016/j.jhin.2026.04.022</t>
  </si>
  <si>
    <t>http://dx.doi.org/10.1016/j.jhin.2026.04.022</t>
  </si>
  <si>
    <t>KE4AG</t>
  </si>
  <si>
    <t>42103026</t>
  </si>
  <si>
    <t>WOS:001804974300001</t>
  </si>
  <si>
    <t>Wildes, DM; Chisale, M; Drew, RJ; Harrington, P; Watson, CJ; Ledwidge, MT; Gallagher, J</t>
  </si>
  <si>
    <t>Background: Our goal was to identify existing clinical prediction rules for predicting hospitalisation due to lower respiratory tract infection (LRTI) in children in primary care, guiding antibiotic therapy. A validation of these rules was then performed in a novel cohort of children presenting to primary care in Malawi with World Health Organisation clinically defined pneumonia.Methods: MEDLINE &amp; EMBASE databases were searched for studies on the development, validation and clinical impact of clinical prediction models for hospitalisation in children with lower respiratory tract infection between January 1st1946-June 30th 2021. Two reviewers screened all abstracts and titles independently. The study was conducted in accordance with the Preferred Reporting Items for Systematic Reviews &amp; Meta-Analyses guidelines. The BIOTOPE cohort (BIOmarkers TO diagnose PnEumonia) recruited children aged 2-59 months with WHO-defined pneumonia from two primary care facilities in Mzuzu, Malawi. Validation of identified rules was undertaken in this cohort.Findings: 1023 abstracts were identified. Following the removal of duplicates, a review of 989 abstracts was conducted leading to the identification of one eligible model. The CHARMS checklist for prediction modelling studies was utilized for evaluation. The area under the curve (AUC) of the STARWAVe rule for hospitalisation in BIOTOPE was found to be 0.80 (95% C.I of 0.75-0.85). The AUC of STARWAVe for a confirmed diagnosis of bacterial pneumonia was 0.39 (95% C.I 0.25-0.54).Interpretation: This review highlights the lack of clinical prediction rules in this area. The STARWAVe rule iden-tified was useful in predicting hospitalisation from bacterial infection as defined. However, in the absence of a gold standard indicator for bacterial LRTI, this is a reasonable surrogate and could lead to reductions in antibiotic prescription rates, should clinical impact studies prove its utility. Further work to determine the clinical impact of STARWAVe and to identify diagnostic tests for bacterial LRTI in primary care is required. (C) 2021 The Author(s). Published by Elsevier Ltd.</t>
  </si>
  <si>
    <t>Wildes, Dermot M.; Chisale, Master; Drew, Richard J.; Harrington, Peter; Watson, Chris J.; Ledwidge, Mark T.; Gallagher, Joe</t>
  </si>
  <si>
    <t>Wildes, DM (corresponding author), Univ Coll Dublin, Sch Med, gHlth Res Grp, Dublin, Ireland.</t>
  </si>
  <si>
    <t>Bill &amp; Melinda Gates Foundation [OPP1139557]; Bill and Melinda Gates Foundation [OPP1139557] Funding Source: Bill and Melinda Gates Foundation</t>
  </si>
  <si>
    <t>Bill &amp; Melinda Gates Foundation (Bill &amp; Melinda Gates Foundation, Bill &amp; Melinda Gates Foundation Grand Challenges Explorations Initiative, CGIAR); Bill and Melinda Gates Foundation (Bill &amp; Melinda Gates Foundation)</t>
  </si>
  <si>
    <t>This study was funded in whole or in part by the support of the Bill &amp; Melinda Gates Foundation (Investment ID: OPP1139557). The foundation was not involved in study design, data collection, analysis, interpretation or drafting of this report.</t>
  </si>
  <si>
    <t>[Wildes, Dermot M.; Harrington, Peter; Ledwidge, Mark T.; Gallagher, Joe] Univ Coll Dublin, Sch Med, UCD Conway Inst, gHlth Res Grp, Dublin, Ireland; [Chisale, Master] Mzuzu Univ, Fac Sci Technol &amp; Innovat, Biol Sci Dept, Mzuzu, Malawi; [Drew, Richard J.] Irish Meningitis &amp; Sepsis Reference Lab, Temple St, Dublin 2, Ireland; [Watson, Chris J.] Queens Univ Belfast, Wellcome Wolfson Inst Expt Med, Belfast, Antrim, North Ireland</t>
  </si>
  <si>
    <t>University College Dublin; Queens University Belfast</t>
  </si>
  <si>
    <t>A systematic review of clinical prediction rules to predict hospitalisation in children with lower respiratory infection in primary care and their validation in a new cohort</t>
  </si>
  <si>
    <t>ECLINICALMEDICINE</t>
  </si>
  <si>
    <t>Paediatrics; Respiratory Medicine; Infectious disease; Global health; Pneumonia</t>
  </si>
  <si>
    <t>Chisale/AAG-3033-2019; Wildes, Dermot Michael/HKO-9658-2023; Gallagher, Joseph/L-6810-2013</t>
  </si>
  <si>
    <t>Chisale/0000-0002-8301-6184; Wildes, Dermot Michael/0000-0001-6281-5713; ew, Richard John/0000-0001-9797-3797; Gallagher, Joseph/0000-0002-5564-2890; Ledwidge, Mark/0000-0001-7391-2949</t>
  </si>
  <si>
    <t>2589-5370</t>
  </si>
  <si>
    <t>EClinicalMedicine</t>
  </si>
  <si>
    <t>101164</t>
  </si>
  <si>
    <t>10.1016/j.eclinm.2021.101164</t>
  </si>
  <si>
    <t>http://dx.doi.org/10.1016/j.eclinm.2021.101164</t>
  </si>
  <si>
    <t>XD9SH</t>
  </si>
  <si>
    <t>34712930</t>
  </si>
  <si>
    <t>WOS:000723039100006</t>
  </si>
  <si>
    <t>Ricci, V; Martinotti, G; Mosca, A; Maina, G</t>
  </si>
  <si>
    <t>Background Identifying biomarkers to predict psychosis transition in clinical high-risk (CHR) individuals represents a critical challenge in early intervention psychiatry. While 20-30 % of CHR individuals develop psychosis within two years, most do not transition, necessitating improved prognostic tools. This systematic review evaluates neurobiological, neuroimaging, genetic, and peripheral biomarkers for predicting psychosis onset. Methods Following PRISMA guidelines, we searched five databases (PubMed, Scopus, Web of Science, PsycINFO, Embase) through November 2024 for longitudinal studies assessing baseline biomarkers in CHR populations. Study quality was evaluated using the Newcastle-Ottawa Scale and PROBAST. Due to substantial heterogeneity, findings were synthesized narratively. Results From 7894 citations, 46 studies encompassing similar to 15,500 CHR unique individuals were included. Neurophysiological measures showed the most consistent replication, with mismatch negativity and P300 event-related potentials demonstrating moderate effect sizes in multiple independent cohorts. Structural neuroimaging identified prefrontal and anterior cingulate volume reductions as predictive markers. Polygenic risk scores explained similar to 10 % of transition variance in European ancestry populations but performed poorly in non-European samples. Multimodal prediction models achieved 70-86 % accuracy in development samples, though external validation remains absent. Clinical prediction models using symptoms and functioning often matched or exceeded biomarker-based approaches. Conclusions Despite two decades of research, no biomarker achieves clinical implementation standards. Methodological limitations include small samples, validation deficits, and population biases. While biomarkers illuminate psychosis pathophysiology and identify potential intervention targets, their current value lies primarily in research rather than clinical practice. Future priorities include adequately powered multi-site studies with rigorous external validation across diverse populations</t>
  </si>
  <si>
    <t>Ricci, Valerio; Martinotti, Giovanni; Mosca, Alessio; Maina, Giuseppe</t>
  </si>
  <si>
    <t>Ricci, V (corresponding author), Univ Turin, San Luigi Gonzaga Hosp, Reg Gonzole 10, I-10043 Orbassano, Italy.</t>
  </si>
  <si>
    <t>valerio.ricci@unito.it</t>
  </si>
  <si>
    <t>[Ricci, Valerio] Univ Turin, San Luigi Gonzaga Hosp, Reg Gonzole 10, I-10043 Orbassano, Italy; [Martinotti, Giovanni; Mosca, Alessio] Univ G Annunzio Chieti Pescara, Dept Neurosci, Imaging &amp; Clin Sci, I-66100 Chieti, Italy; [Maina, Giuseppe] Univ Turin, Dept Neurosci Rita Levi Montalcini, Via Cherasco 15, I-10126 Turin, Italy</t>
  </si>
  <si>
    <t>Azienda Ospedaliero-Universitaria San Luigi Gonzaga; University of Turin; G d'Annunzio University of Chieti-Pescara; University of Turin</t>
  </si>
  <si>
    <t>Biomarkers for predicting transition from at-risk mental state to psychosis: A systematic review</t>
  </si>
  <si>
    <t>NEUROSCIENCE AND BIOBEHAVIORAL REVIEWS</t>
  </si>
  <si>
    <t>At-risk mental state; Clinical high risk; Psychosis; Biomarkers; Polygenic risk score; Event-related potentials</t>
  </si>
  <si>
    <t>CLINICAL HIGH-RISK; ULTRA-HIGH-RISK; YOUNG-ADULTS; MISMATCH NEGATIVITY; SCHIZOPHRENIA; INDIVIDUALS; METAANALYSIS; ONSET; OUTCOMES; YOUTH</t>
  </si>
  <si>
    <t>Martinotti, Giovanni/AAC-7592-2022; Mosca, Alessio/AEM-5947-2022; Ricci, Valerio/AAL-7972-2021</t>
  </si>
  <si>
    <t>0149-7634</t>
  </si>
  <si>
    <t>1873-7528</t>
  </si>
  <si>
    <t>NEUROSCI BIOBEHAV R</t>
  </si>
  <si>
    <t>Neurosci. Biobehav. Rev.</t>
  </si>
  <si>
    <t>106612</t>
  </si>
  <si>
    <t>10.1016/j.neubiorev.2026.106612</t>
  </si>
  <si>
    <t>http://dx.doi.org/10.1016/j.neubiorev.2026.106612</t>
  </si>
  <si>
    <t>Behavioral Sciences; Neurosciences</t>
  </si>
  <si>
    <t>Behavioral Sciences; Neurosciences &amp; Neurology</t>
  </si>
  <si>
    <t>EC1TW</t>
  </si>
  <si>
    <t>41707763</t>
  </si>
  <si>
    <t>WOS:001697590000001</t>
  </si>
  <si>
    <t>Abdulaziz, KE; Perry, JJ; Yadav, K; Dowlatshahi, D; Stiell, IG; Wells, GA; Taljaard, M</t>
  </si>
  <si>
    <t>Background Clinical prediction models/scores help clinicians make optimal evidence-based decisions when caring for their patients. To critically appraise such prediction models for use in a clinical setting, essential information on the derivation and validation of the models needs to be transparently reported. In this systematic review, we assessed the quality of reporting of derivation and validation studies of prediction models for the prognosis of recurrent stroke in patients with transient ischemic attack or minor stroke.Methods MEDLINE and EMBASE databases were searched up to February 04, 2020. Studies reporting development or validation of multivariable prognostic models predicting recurrent stroke within 90 days in patients with TIA or minor stroke were included. Included studies were appraised for reporting quality and conduct using a select list of items from the Transparent Reporting of a Multivariable Prediction Model for Individual Prognosis or Diagnosis (TRIPOD) Statement.Results After screening 7026 articles, 60 eligible articles were retained, consisting of 100 derivation and validation studies of 27 unique prediction models. Four models were newly derived while 23 were developed by validating and updating existing models. Of the 60 articles, 15 (25%) reported an informative title. Among the 100 derivation and validation studies, few reported whether assessment of the outcome (24%) and predictors (12%) was blinded. Similarly, sample size justifications (49%), description of methods for handling missing data (16.1%), and model calibration (5%) were seldom reported. Among the 96 validation studies, 17 (17.7%) clearly reported on similarity (in terms of setting, eligibility criteria, predictors, and outcomes) between the validation and the derivation datasets. Items with the highest prevalence of adherence were the source of data (99%), eligibility criteria (93%), measures of discrimination (81%) and study setting (65%).Conclusions The majority of derivation and validation studies for the prognosis of recurrent stroke in TIA and minor stroke patients suffer from poor reporting quality. We recommend that all prediction model derivation and validation studies follow the TRIPOD statement to improve transparency and promote uptake of more reliable prediction models in practice.Trial registration The protocol for this review was registered with PROSPERO (Registration number CRD42020201130).</t>
  </si>
  <si>
    <t>Abdulaziz, Kasim E.; Perry, Jeffrey J.; Yadav, Krishan; Dowlatshahi, Dar; Stiell, Ian G.; Wells, George A.; Taljaard, Monica</t>
  </si>
  <si>
    <t>Abdulaziz, KE (corresponding author), Ottawa Hosp, Clin Epidemiol Program, Res Inst, Ottawa, ON, Canada.; Abdulaziz, KE (corresponding author), Univ Ottawa, Fac Med, Sch Epidemiol &amp; Publ Hlth, Ottawa, ON, Canada.</t>
  </si>
  <si>
    <t>kasim.abdulaziz@uottawa.ca</t>
  </si>
  <si>
    <t>Heart and Stroke Foundation of Ontario</t>
  </si>
  <si>
    <t>The authors have no funding sources to report for this study. Dr. Perry is supported with a peer-reviewed unrestricted mid-career salary support grant from the Heart and Stroke Foundation of Ontario.</t>
  </si>
  <si>
    <t>[Abdulaziz, Kasim E.; Perry, Jeffrey J.; Yadav, Krishan; Stiell, Ian G.; Wells, George A.; Taljaard, Monica] Ottawa Hosp, Clin Epidemiol Program, Res Inst, Ottawa, ON, Canada; [Abdulaziz, Kasim E.; Perry, Jeffrey J.; Dowlatshahi, Dar; Stiell, Ian G.; Wells, George A.; Taljaard, Monica] Univ Ottawa, Fac Med, Sch Epidemiol &amp; Publ Hlth, Ottawa, ON, Canada; [Perry, Jeffrey J.; Yadav, Krishan; Dowlatshahi, Dar; Stiell, Ian G.] Univ Ottawa, Dept Emergency Med, Ottawa, ON, Canada; [Dowlatshahi, Dar] Univ Ottawa, Ottawa Hosp, Dept Med Neurol, Res Inst, Ottawa, ON, Canada; [Wells, George A.] Univ Ottawa, Heart Inst, Cardiovasc Res Methods Ctr, Ottawa, ON, Canada</t>
  </si>
  <si>
    <t>University of Ottawa; Ottawa Hospital Research Institute; University of Ottawa; University of Ottawa; University of Ottawa; Ottawa Hospital Research Institute; University of Ottawa; University of Ottawa Heart Institute</t>
  </si>
  <si>
    <t>Quality and transparency of reporting derivation and validation prognostic studies of recurrent stroke in patients with TIA and minor stroke: a systematic review</t>
  </si>
  <si>
    <t>Prediction models; Prediction rules; Clinical decision rules; Risk scores; Recurrent stroke; Transient ischemic attack; Cerebral ischemia; TRIPOD; CHARMS; Reporting quality</t>
  </si>
  <si>
    <t>CLINICAL DECISION RULES; MULTIVARIABLE PREDICTION MODEL; INDIVIDUAL PROGNOSIS; SEARCH STRATEGIES; DIAGNOSIS TRIPOD; IMPACT; RISK</t>
  </si>
  <si>
    <t>Taljaard, Monica/AFJ-8820-2022; Abdulaziz, Kasim/GZA-8875-2022</t>
  </si>
  <si>
    <t>THE CAMPUS, 4 CRINAN ST, LONDON, N1 9XW, ENGLAND</t>
  </si>
  <si>
    <t>MAY 19 2022</t>
  </si>
  <si>
    <t>10.1186/s41512-022-00123-z</t>
  </si>
  <si>
    <t>http://dx.doi.org/10.1186/s41512-022-00123-z</t>
  </si>
  <si>
    <t>OU2T2</t>
  </si>
  <si>
    <t>35585563</t>
  </si>
  <si>
    <t>WOS:001209736400001</t>
  </si>
  <si>
    <t>Dhiman, P; Ma, J; Qi, C; Bullock, G; Sergeant, JC; Riley, RD; Collins, GS</t>
  </si>
  <si>
    <t>BackgroundHaving an appropriate sample size is important when developing a clinical prediction model. We aimed to review how sample size is considered in studies developing a prediction model for a binary outcome.MethodsWe searched PubMed for studies published between 01/07/2020 and 30/07/2020 and reviewed the sample size calculations used to develop the prediction models. Using the available information, we calculated the minimum sample size that would be needed to estimate overall risk and minimise overfitting in each study and summarised the difference between the calculated and used sample size.ResultsA total of 119 studies were included, of which nine studies provided sample size justification (8%). The recommended minimum sample size could be calculated for 94 studies: 73% (95% CI: 63-82%) used sample sizes lower than required to estimate overall risk and minimise overfitting including 26% studies that used sample sizes lower than required to estimate overall risk only. A similar number of studies did not meet the &amp; GE; 10EPV criteria (75%, 95% CI: 66-84%). The median deficit of the number of events used to develop a model was 75 [IQR: 234 lower to 7 higher]) which reduced to 63 if the total available data (before any data splitting) was used [IQR:225 lower to 7 higher]. Studies that met the minimum required sample size had a median c-statistic of 0.84 (IQR:0.80 to 0.9) and studies where the minimum sample size was not met had a median c-statistic of 0.83 (IQR: 0.75 to 0.9). Studies that met the &amp; GE; 10 EPP criteria had a median c-statistic of 0.80 (IQR: 0.73 to 0.84).ConclusionsPrediction models are often developed with no sample size calculation, as a consequence many are too small to precisely estimate the overall risk. We encourage researchers to justify, perform and report sample size calculations when developing a prediction model.</t>
  </si>
  <si>
    <t>Dhiman, Paula; Ma, Jie; Qi, Cathy; Bullock, Garrett; Sergeant, Jamie C.; Riley, Richard D.; Collins, Gary S.</t>
  </si>
  <si>
    <t>Cancer Research UK [PRCPJT-Nov21\\100021, 27294, C49297/A27294] Funding Source: Medline; Department of Health Funding Source: Medline</t>
  </si>
  <si>
    <t>Cancer Research UK (Cancer Research UK); Department of Health</t>
  </si>
  <si>
    <t>[Dhiman, Paula; Ma, Jie; Collins, Gary S.] Univ Oxford, Ctr Stat Med, Nuffield Dept Orthopaed Rheumatol &amp; Musculoskeleta, Oxford OX3 7LD, England; [Qi, Cathy] Swansea Univ, Swansea Univ Med Sch, Fac Med Hlth &amp; Life Sci, Populat Data Sci, Singleton Pk, Swansea SA2 8PP, Wales; [Bullock, Garrett] Wake Forest Sch Med, Dept Orthopaed Surg, Winston Salem, NC USA; [Bullock, Garrett] Univ Oxford, Ctr Sport Exercise &amp; Osteoarthritis Res Versus Art, Oxford, England; [Sergeant, Jamie C.] Univ Manchester, Ctr Biostat, Manchester Acad Hlth Sci Ctr, Manchester M13 9PT, England; [Sergeant, Jamie C.] Univ Manchester, Ctr Epidemiol Versus Arthrit, Ctr Musculoskeletal Res, Manchester Acad Hlth Sci Ctr, Manchester M13 9PT, England; [Riley, Richard D.] Univ Birmingham, Inst Appl Hlth Res, Coll Med &amp; Dent Sci, Birmingham B15 2TT, England</t>
  </si>
  <si>
    <t>University of Oxford; Swansea University; Wake Forest University; University of Oxford; University of Manchester; University of Manchester; University of Birmingham</t>
  </si>
  <si>
    <t>Sample size requirements are not being considered in studies developing prediction models for binary outcomes: a systematic review</t>
  </si>
  <si>
    <t>Sample size; Methodology; Prediction model</t>
  </si>
  <si>
    <t>APPLICABILITY; ONCOLOGY; SURGERY; PROBAST; RISK; BIAS; TOOL</t>
  </si>
  <si>
    <t>Collins, Gary/A-2258-2014; Sergeant, Jamie/B-2534-2015; Riley, Richard D/G-2406-2011</t>
  </si>
  <si>
    <t>Collins, Gary/0000-0002-2772-2316; Sergeant, Jamie/0000-0002-9000-4413; Ma, Jie/0000-0002-3900-1903; Riley, Richard D/0000-0001-8699-0735; Bullock, Garrett/0000-0003-0236-9015</t>
  </si>
  <si>
    <t>AUG 19 2023</t>
  </si>
  <si>
    <t>10.1186/s12874-023-02008-1</t>
  </si>
  <si>
    <t>http://dx.doi.org/10.1186/s12874-023-02008-1</t>
  </si>
  <si>
    <t>P4XN1</t>
  </si>
  <si>
    <t>37598153</t>
  </si>
  <si>
    <t>WOS:001050709200001</t>
  </si>
  <si>
    <t>Ratcliffe, C; Pradeep, V; Marson, A; Keller, SS; Bonnett, LJ</t>
  </si>
  <si>
    <t>Up to 35% of individuals diagnosed with epilepsy continue to have seizures despite treatment, commonly referred to as drug-resistant epilepsy. Uncontrolled seizures can directly, or indirectly, negatively impact an individual's quality of life. To inform clinical management and life decisions, it is important to be able to predict the likelihood of seizure control. Those likely to achieve seizure control will be able to return sooner to their usual work and leisure activities and require less follow-up, whereas those with a poor prognosis will need more frequent clinical attendance and earlier consideration of epilepsy surgery. This is a systematic review aimed at identifying demographic, clinical, physiological (e.g., electroencephalographic), and imaging (e.g., magnetic resonance imaging) factors that may be predictive of treatment outcomes in patients with newly diagnosed epilepsy (NDE). MEDLINE and Embase were searched for prediction models of treatment outcomes in patients with NDE. Study characteristics were extracted and subjected to assessment of risk of bias (and applicability concerns) using the PROBAST (Prediction Model Risk of Bias Assessment Tool) tool. Baseline variables associated with treatment outcomes are reported as prognostic factors. After screening, 48 models were identified in 32 studies, which generally scored low for concerns of applicability, but universally scored high for susceptibility to bias. Outcomes reported fit broadly into four categories: drug resistance, short-term treatment response, seizure remission, and mortality. Prognostic factors were also heterogenous, but the predictors that were commonly significantly associated with outcomes were those related to seizure characteristics/types, epilepsy history, and age at onset. Antiseizure medication response was often included as a baseline variable, potentially obscuring other factor relationships at baseline. Currently, outcome prediction models for NDE demonstrate a high risk of bias. Model development could be improved with a stronger adherence to recommended TRIPOD (Transparent Reporting of a Multivariable Prediction Model for Individual Prognosis or Diagnosis) practices. Furthermore, we outline actionable changes to common practices that are intended to improve the overall quality of prediction model development in NDE.</t>
  </si>
  <si>
    <t>Ratcliffe, Corey; Pradeep, Vishnav; Marson, Anthony; Keller, Simon S.; Bonnett, Laura J.</t>
  </si>
  <si>
    <t>Ratcliffe, C (corresponding author), Univ Liverpool, Inst Syst Mol &amp; Integrat Biol, Dept Pharmacol &amp; Therapeut, 3rd Floor, William Henry Duncan Bldg, Liverpool L7 8TX, England.</t>
  </si>
  <si>
    <t>corey.ratcliffe@liverpool.ac.uk</t>
  </si>
  <si>
    <t>[Ratcliffe, Corey; Marson, Anthony; Keller, Simon S.] Univ Liverpool, Inst Syst Mol &amp; Integrat Biol, Dept Pharmacol &amp; Therapeut, 3rd Floor, William Henry Duncan Bldg, Liverpool L7 8TX, England; [Ratcliffe, Corey] Natl Inst Mental Hlth &amp; Neurosci, Dept Neuro Imaging &amp; Intervent Radiol, Bangalore, India; [Pradeep, Vishnav; Bonnett, Laura J.] Univ Liverpool, Dept Hlth Data Sci, Liverpool, England; [Keller, Simon S.] Walton Ctr NHS Fdn Trust, Liverpool, England</t>
  </si>
  <si>
    <t>University of Liverpool; National Institute of Mental Health &amp; Neurosciences - India; University of Liverpool; Walton Centre</t>
  </si>
  <si>
    <t>Clinical prediction models for treatment outcomes in newly diagnosed epilepsy: A systematic review</t>
  </si>
  <si>
    <t>EPILEPSIA</t>
  </si>
  <si>
    <t>intractability; newly diagnosed epilepsy; outcomes; prognosis; seizures; treatment</t>
  </si>
  <si>
    <t>CHILDREN; SEIZURE</t>
  </si>
  <si>
    <t>Marson, Anthony/AAW-9776-2020; Bonnett, Laura/A-2159-2015; Keller, Simon/IQR-7228-2023; Ratcliffe, Corey/LFU-8776-2024</t>
  </si>
  <si>
    <t>Marson, Anthony/0000-0002-6861-8806; Bonnett, Laura/0000-0002-6981-9212; Keller, Simon/0000-0001-5247-9795; Ratcliffe, Corey/0000-0002-3824-1681</t>
  </si>
  <si>
    <t>0013-9580</t>
  </si>
  <si>
    <t>1528-1167</t>
  </si>
  <si>
    <t>Epilepsia</t>
  </si>
  <si>
    <t>65</t>
  </si>
  <si>
    <t>1811</t>
  </si>
  <si>
    <t>1846</t>
  </si>
  <si>
    <t>10.1111/epi.17994</t>
  </si>
  <si>
    <t>http://dx.doi.org/10.1111/epi.17994</t>
  </si>
  <si>
    <t>Clinical Neurology</t>
  </si>
  <si>
    <t>YK1W2</t>
  </si>
  <si>
    <t>38687193</t>
  </si>
  <si>
    <t>WOS:001209643600001</t>
  </si>
  <si>
    <t>Navarro, CLA; Damen, JAA; van Smeden, M; Takada, T; Nijman, SWJ; Dhiman, P; Ma, J; Collins, GS; Bajpai, R; Riley, RD; Moons, KGM; Hooft, L</t>
  </si>
  <si>
    <t>Background and Objectives: We sought to summarize the study design, modelling strategies, and performance measures reported in studies on clinical prediction models developed using machine learning techniques.Methods: We search PubMed for articles published between 01/01/2018 and 31/12/2019, describing the development or the development with external validation of a multivariable prediction model using any supervised machine learning technique. No restrictions were made based on study design, data source, or predicted patient-related health outcomes.Results: We included 152 studies, 58 (38.2% [95% CI 30.8-46.1]) were diagnostic and 94 (61.8% [95% CI 53.9-69.2]) prognostic studies. Most studies reported only the development of prediction models (n = 133, 87.5% [95% CI 81.3-91.8]), focused on binary outcomes (n = 131, 86.2% [95% CI 79.8-90.8), and did not report a sample size calculation (n = 125, 82.2% [95% CI 75.4-87.5]). The most common algorithms used were support vector machine (n = 86/522, 16.5% [95% CI 13.5-19.9]) and random forest (n = 73/522, 14% [95% CI 11.3-17.2]). Values for area under the Receiver Operating Characteristic curve ranged from 0.45 to 1.00. Calibration metrics were often missed (n 5 494/522, 94.6% [95% CI 92.4-96.3]).Conclusion: Our review revealed that focus is required on handling of missing values, methods for internal validation, and reporting of calibration to improve the methodological conduct of studies on machine learning-based prediction models.Systematic review registration: PROSPERO, CRD42019161764. (c) 2022 The Author(s). Published by Elsevier Inc. This is an open access article under the CC BY license (http://creativecommons.org/licenses/by/4.0/).</t>
  </si>
  <si>
    <t>Navarro, Constanza L. Andaur; Damen, Johanna A. A.; van Smeden, Maarten; Takada, Toshihiko; Nijman, Steven W. J.; Dhiman, Paula; Ma, Jie; Collins, Gary S.; Bajpai, Ram; Riley, Richard D.; Moons, Karel G. M.; Hooft, Lotty</t>
  </si>
  <si>
    <t>Navarro, CLA (corresponding author), Julius Ctr Hlth Sci &amp; Primary Care, Univ Weg 100,POB 8550, NL-3508 GA Utrecht, Netherlands.</t>
  </si>
  <si>
    <t>Cancer Research UK [C49297/A27294, 27294] Funding Source: Medline</t>
  </si>
  <si>
    <t>[Navarro, Constanza L. Andaur; Damen, Johanna A. A.; van Smeden, Maarten;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Ctr Stat Med, Nuffield Dept Orthopaed Rheumatol &amp; Musculoskeleta, Oxford, England; [Dhiman, Paula; Collins, Gary S.] Oxford Univ Hosp NHS Fdn Trust, NIHR Oxford Biomed Res Ctr, Oxford, England; [Bajpai, Ram; Riley, Richard D.] Keele Univ, Ctr Prognosis Res, Sch Med, Keele, England; [Navarro, Constanza L. Andaur] Julius Ctr Hlth Sci &amp; Primary Care, Univ Weg 100,POB 8550, NL-3508 GA Utrecht, Netherlands</t>
  </si>
  <si>
    <t>Systematic review identifies the design and methodological conduct of studies on machine learning-based prediction models</t>
  </si>
  <si>
    <t>Predictive algorithm; Risk prediction; Diagnosis; Prognosis; Development; Validation</t>
  </si>
  <si>
    <t>RISK; APPLICABILITY; EXPLANATION; VALIDATION; DIAGNOSIS; PROBAST; BIAS; TOOL</t>
  </si>
  <si>
    <t>Bajpai, Ram/I-1038-2016; Riley, Richard D/G-2406-2011; van Smeden, Maarten/Y-7034-2019; Dhiman, Paula/Y-7034-2019; Moons, Karel GM/JPA-4011-2023; Hooft, Lotty/PCC-6420-2025; Collins, Gary/A-2258-2014</t>
  </si>
  <si>
    <t>Bajpai, Ram/0000-0002-1227-2703; Riley, Richard D/0000-0001-8699-0735; Nijman, Steven/0000-0001-6798-2078; Ma, Jie/0000-0002-3900-1903; Dhiman, Paula/0000-0002-0989-0623; van Smeden, Maarten/0000-0002-5529-1541; Dhiman, Paula/0000-0002-0989-0623; Hooft, Lotty/0000-0002-7950-2980; Damen, Johanna/0000-0001-7401-4593; Collins, Gary/0000-0002-2772-2316; Andaur Navarro, Constanza L/0000-0002-7745-2887; Takada, Toshihiko/0000-0002-8032-6224</t>
  </si>
  <si>
    <t>10.1016/j.jclinepi.2022.11.015</t>
  </si>
  <si>
    <t>http://dx.doi.org/10.1016/j.jclinepi.2022.11.015</t>
  </si>
  <si>
    <t>7S3ZM</t>
  </si>
  <si>
    <t>36436815</t>
  </si>
  <si>
    <t>WOS:000910694800001</t>
  </si>
  <si>
    <t>Bentivegna, M; Hulme, C; Ebell, MH</t>
  </si>
  <si>
    <t>Background: The aim of this systematic review is to summarize the best available evidence regarding individual risk factors, simple risk scores, and multivariate models that use patient characteristics, vital signs, comorbidities, and laboratory tests relevant to outpatient and primary care settings.Methods: Medline, WHO COVID-19, and MedRxIV databases were searched; studies meeting inclusion criteria were reviewed in parallel, and variables describing study characteristics, study quality, and risk factor data were abstracted. Study quality was assessed using the Quality in Prognostic Studies tool. Random effects meta-analysis of relative risks (categorical variables) and unstandardized mean differences (continuous variables) was performed; multivariate models and clinical prediction rules were summarized qualitatively.Results: A total of 551 studies were identified and 22 studies were included. The median or mean age ranged from 38 to 68 years. All studies included only inpatients, and mortality rates ranged from 3.2% to 50.5%. Individual risk factors most strongly associated with mortality included increased age, c-reactive protein (CRP), d-dimer, heart rate, respiratory rate, lactate dehydrogenase, and procalcitonin as well as decreased oxygen saturation, the presence of dyspnea, and comorbid coronary heart and chronic kidney disease. Independent predictors of adverse outcomes reported most frequently by multivariate models include increasing age, increased CRP, decreased lymphocyte count, increased lactate dehydrogenase, elevated temperature, and the presence of any comorbidity. Simple risk scores and multivariate models have been proposed but are often complex, and most have not been validated.Conclusions: Our systematic review identifies several risk factors for adverse outcomes in COVID-19-infected inpatients that are often available in the outpatient and primary care settings: increasing age, increased CRP or procalcitonin, decreased lymphocyte count, decreased oxygen saturation, dyspnea on presentation, and the presence of comorbidities. Future research to develop clinical prediction models and rules should include these predictors as part of their core data set to develop and validate pragmatic outpatient risk scores.</t>
  </si>
  <si>
    <t>Bentivegna, Michelle; Hulme, Cassie; Ebell, Mark H.</t>
  </si>
  <si>
    <t>Ebell, MH (corresponding author), Univ Georgia, Dept Epidemiol &amp; Biostat, Coll Publ Hlth, Athens, GA 30602 USA.</t>
  </si>
  <si>
    <t>ebell@uga.edu</t>
  </si>
  <si>
    <t>[Bentivegna, Michelle; Hulme, Cassie; Ebell, Mark H.] Univ Georgia, Dept Epidemiol &amp; Biostat, Coll Publ Hlth, Athens, GA 30602 USA</t>
  </si>
  <si>
    <t>University System of Georgia; University of Georgia</t>
  </si>
  <si>
    <t>Primary Care Relevant Risk Factors for Adverse Outcomes in Patients With COVID-19 Infection: A Systematic Review</t>
  </si>
  <si>
    <t>JOURNAL OF THE AMERICAN BOARD OF FAMILY MEDICINE</t>
  </si>
  <si>
    <t>C-Reactive Protein; Clinical Prediction Rule; Comorbidity; COVID-19; Prognosis; Risk Factors; Systematic Review; Meta-Analysis</t>
  </si>
  <si>
    <t>Hulme, Cassie/HTQ-2905-2023</t>
  </si>
  <si>
    <t>AMER BOARD FAMILY MEDICINE</t>
  </si>
  <si>
    <t>LEXINGTON</t>
  </si>
  <si>
    <t>2228 YOUNG DR, LEXINGTON, KY 40505 USA</t>
  </si>
  <si>
    <t>1557-2625</t>
  </si>
  <si>
    <t>1558-7118</t>
  </si>
  <si>
    <t>J AM BOARD FAM MED</t>
  </si>
  <si>
    <t>J. Am. Board Fam. Med.</t>
  </si>
  <si>
    <t>S113</t>
  </si>
  <si>
    <t>10.3122/jabfm.2021.S1.200429</t>
  </si>
  <si>
    <t>http://dx.doi.org/10.3122/jabfm.2021.S1.200429</t>
  </si>
  <si>
    <t>Primary Health Care; Medicine, General &amp; Internal</t>
  </si>
  <si>
    <t>RK3LF</t>
  </si>
  <si>
    <t>33622826</t>
  </si>
  <si>
    <t>WOS:000638200400020</t>
  </si>
  <si>
    <t>Toumazis, I; Bastani, M; Han, SS; Plevritis, SK</t>
  </si>
  <si>
    <t>Lung cancer remains the leading cause of cancer related deaths worldwide. Lung cancer screening using lowdose computed tomography (LDCT) has been shown to reduce lung cancer specific mortality. In 2013, the United States Preventive Services Task Force (USPSTF) recommended annual lung cancer screening with LDCT for smokers aged between 55 years to 80 years, with at least 30 pack-years of smoking exposure that currently smoke or who have quit smoking within 15 years. Risk-based lung cancer screening is an alternative approach that defines screening eligibility based on the personal risk of individuals. Selection of individuals for lung cancer screening based on their personal lung cancer risk has been shown to improve the sensitivity and specificity associated with the eligibility criteria of the screening program as compared to the 2013 USPSTF criteria. Numerous risk prediction models have been developed to estimate the lung cancer risk of individuals incorporating sociodemographic, smoking, and clinical risk factors associated with lung cancer, including age, smoking history, sex, race/ethnicity, personal and family history of cancer, and history of emphysema and chronic obstructive pulmonary disease (COPD), among others. Some risk prediction models include biomarker information, such as germline mutations or protein-based biomarkers as independent risk predictors, in addition to clinical, smoking, and sociodemographic risk factors. While, the majority of lung cancer risk prediction models are suitable for selecting high-risk individuals for lung cancer screening, some risk models have been developed to predict the probability of malignancy of screen-detected solidary pulmonary nodules or to optimize the screening frequency of eligible individuals by incorporating past screening findings. In this systematic review, we provide an overview of existing risk prediction models and their applications to lung cancer screening. We discuss potential strengths and limitations of lung cancer screening using risk prediction models and future research directions.</t>
  </si>
  <si>
    <t>Toumazis, Iakovos; Bastani, Mehrad; Han, Summer S.; Plevritis, Sylvia K.</t>
  </si>
  <si>
    <t>Plevritis, SK (corresponding author), Stanford Univ, Dept Biomed Data Sci, James H Clark Ctr, Room S255A,318 Campus Dr, Stanford, CA 94305 USA.</t>
  </si>
  <si>
    <t>sylvia.plevritis@stanford.edu; summer.han@stanford.edu; bastani@stanford.edu; iakovos.toumazis@stanford.edu</t>
  </si>
  <si>
    <t>National Cancer Institute at the National Institutes of Health [F32 CA220961, U01 CA199284]</t>
  </si>
  <si>
    <t>National Cancer Institute at the National Institutes of Health (United States Department of Health &amp; Human Services, National Institutes of Health (NIH) - USA, NIH National Cancer Institute (NCI))</t>
  </si>
  <si>
    <t>This work was supported by the National Cancer Institute at the National Institutes of Health (grant numbers: F32 CA220961 to I.T. and U01 CA199284 to S.K.P.). The funder had no role in the design of the study; the collection, analysis, and interpretation of the data; the writing of the manuscript; and the decision to submit the manuscript for publication.</t>
  </si>
  <si>
    <t>[Toumazis, Iakovos; Bastani, Mehrad; Plevritis, Sylvia K.] Stanford Univ, Dept Biomed Data Sci, Stanford, CA 94305 USA; [Toumazis, Iakovos; Bastani, Mehrad; Plevritis, Sylvia K.] Stanford Univ, Dept Radiol, Stanford, CA 94305 USA; [Han, Summer S.] Stanford Univ, Dept Med, Quantitat Sci Unit, Stanford, CA 94305 USA</t>
  </si>
  <si>
    <t>Stanford University; Stanford University; Stanford Medicine; Stanford Medicine; Stanford University</t>
  </si>
  <si>
    <t>Risk-Based lung cancer screening: A systematic review</t>
  </si>
  <si>
    <t>Lung neoplasms; Screening; Early diagnosis; Risk assessment; Risk prediction; Statistical model; Pulmonary nodules; Computed tomography</t>
  </si>
  <si>
    <t>SOLITARY PULMONARY NODULES; CLINICAL-PREDICTION MODEL; MULTICENTER EXTERNAL VALIDATION; COMPUTED-TOMOGRAPHY; PRETEST PROBABILITY; INDIVIDUAL RISK; MULTISTAGE CARCINOGENESIS; SELECTION CRITERIA; BAYESIAN-ANALYSIS; MALIGNANCY</t>
  </si>
  <si>
    <t>Toumazis, Iakovos/IUO-0347-2023</t>
  </si>
  <si>
    <t>Toumazis, Iakovos/0000-0002-3462-2137</t>
  </si>
  <si>
    <t>220</t>
  </si>
  <si>
    <t>186</t>
  </si>
  <si>
    <t>10.1016/j.lungcan.2020.07.007</t>
  </si>
  <si>
    <t>http://dx.doi.org/10.1016/j.lungcan.2020.07.007</t>
  </si>
  <si>
    <t>NR3PX</t>
  </si>
  <si>
    <t>32721652</t>
  </si>
  <si>
    <t>WOS:000571476500001</t>
  </si>
  <si>
    <t>Gharishvandi, F; Moheimani, H; Esmaeili, S; Larijani, B; Tootee, A; Esfahani, EN; Fahimfar, N</t>
  </si>
  <si>
    <t>Background Proper synthesis of existing epidemiologic studies on diabetes in Iran can guide future research efforts. We aimed to conduct a comprehensive scoping review on all research articles that investigated any aspect of diabetes epidemiology in Iran during 2015-2019. Methods This work was conducted as a part of the Iran Diabetes Research Roadmap and completed under Arksey and O'Malley's framework for scoping reviews. The Scopus and PubMed databases were searched on Feb 15(th), 2020. Eligible document types on diabetes epidemiology in the Iranian population, in Persian or English, that published during the 2015-2019 period underwent eligibility assessment. A total of 315 relevant articles were included and further analysis was performed on the original studies (n = 268). Through classifying them into six domains: Diabetes incidence; the prevalence of diabetes and associated factors; the incidence/prevalence of complications/comorbid conditions; mortality/survival; burden; and prediction modeling. Results In total, 64 (20.3%) papers were published in Q1 journals, and 40 (12.6%) were international collaborations. No clear annual trend was present in the number of published primary or secondary articles, the portion of papers published in Q1 journals, international collaborations or relative domain proportions. Few review articles were found on prediction modeling, mortality or burden (excluding global studies). Conclusions Our findings show a minor portion of works on diabetic epidemiology in Iran meets the quality standards of Q1 journals. Researchers have neglected some critical subjects and have occasionally fallen for common pitfalls of epidemiologic research. In particular, adhering to established guidelines can help authors implement rigorous methods to develop, validate, and deploy practical clinical prediction models. Researchers should prioritize investigating longitudinally collected data that aid in measuring disease incidence and enable casual inference.</t>
  </si>
  <si>
    <t>Gharishvandi, Fatemeh; Moheimani, Hamed; Esmaeili, Shahnaz; Larijani, Bagher; Tootee, Ali; Esfahani, Ensieh Nasli; Fahimfar, Noushin</t>
  </si>
  <si>
    <t>Esfahani, EN (corresponding author), Univ Tehran Med Sci, Diabet Res Ctr, Endocrinol &amp; Metab Clin Sci Inst, POB 1411413137, Tehran, Iran.; Fahimfar, N (corresponding author), Univ Tehran Med Sci, Endocrinol &amp; Metab Clin Sci Inst, Osteoporosis Res Ctr, Tehran, Iran.</t>
  </si>
  <si>
    <t>nfahimfar@gmail.com; n.nasli@yahoo.com</t>
  </si>
  <si>
    <t>[Gharishvandi, Fatemeh; Esmaeili, Shahnaz; Tootee, Ali; Esfahani, Ensieh Nasli] Univ Tehran Med Sci, Diabet Res Ctr, Endocrinol &amp; Metab Clin Sci Inst, POB 1411413137, Tehran, Iran; [Moheimani, Hamed; Fahimfar, Noushin] Univ Tehran Med Sci, Endocrinol &amp; Metab Clin Sci Inst, Osteoporosis Res Ctr, Tehran, Iran; [Larijani, Bagher] Univ Tehran Med Sci, Endocrinol &amp; Metab Clin Sci Inst, Endocrinol &amp; Metab Res Ctr, Tehran, Iran</t>
  </si>
  <si>
    <t>Tehran University of Medical Sciences; Tehran University of Medical Sciences; Tehran University of Medical Sciences</t>
  </si>
  <si>
    <t>Epidemiology of diabetes in Iran: A scoping review of studies published during 2015-2019</t>
  </si>
  <si>
    <t>JOURNAL OF DIABETES AND METABOLIC DISORDERS</t>
  </si>
  <si>
    <t>Diabetes; Epidemiology; Iran; Prediction modeling; Research roadmap</t>
  </si>
  <si>
    <t>EXTERNAL VALIDATION; RISK-FACTORS; SELF-REPORTS; PREDICTION; MELLITUS; DISEASES; MODEL</t>
  </si>
  <si>
    <t>Tootee, Ali/AAE-4768-2019; Fahimfar, Noushin/M-2310-2018; Moheimani, Hamed/ISA-7869-2023; Larijani, Bagher/ABE-3315-2020</t>
  </si>
  <si>
    <t>Moheimani, Hamed/0000-0001-7855-5143; Larijani, Bagher/0000-0001-5386-7597</t>
  </si>
  <si>
    <t>SPRINGER INT PUBL AG</t>
  </si>
  <si>
    <t>CHAM</t>
  </si>
  <si>
    <t>GEWERBESTRASSE 11, CHAM, CH-6330, SWITZERLAND</t>
  </si>
  <si>
    <t>2251-6581</t>
  </si>
  <si>
    <t>J DIABETES METAB DIS</t>
  </si>
  <si>
    <t>J. Diabetes Metab. Disord.</t>
  </si>
  <si>
    <t>1913</t>
  </si>
  <si>
    <t>1921</t>
  </si>
  <si>
    <t>10.1007/s40200-022-01094-0</t>
  </si>
  <si>
    <t>http://dx.doi.org/10.1007/s40200-022-01094-0</t>
  </si>
  <si>
    <t>6G9RJ</t>
  </si>
  <si>
    <t>36404822</t>
  </si>
  <si>
    <t>WOS:000836083400002</t>
  </si>
  <si>
    <t>Lee, JH; Hwang, EJ; Kim, H; Park, CM</t>
  </si>
  <si>
    <t>Background and Objective: Deep learning (DL) algorithms have been developed for various tasks, including lung nodule detection on chest radiographs or lung cancer computed tomography screening, potential candidate selection in lung cancer screening, malignancy prediction for indeterminate pulmonary nodules, lung cancer staging, treatment response prediction, prognostication, and prediction of genetic mutations in lung cancer. Furthermore, these DL algorithms have been applied in various clinical settings in order for them to be generalized in real-world clinical practice. Multiple DL algorithms have been corroborated to be on par with experts or current clinical prediction models for several specific tasks. However, no article has yet comprehensively reviewed DL algorithms dedicated to lung cancer research. This narrative review presents an overview of the literature dealing with DL techniques applied in lung cancer research and briefly summarizes the results according to the DL algorithms' clinical use cases. Methods: we performed a narrative review by searching the Embase and OVID-MEDLINE databases for articles published in English from October, 2016 until September, 2021 and reviewing the bibliographies of key references to identify important literature related to DL in lung cancer research. The background, development, results, and clinical implications of each DL algorithm are briefly discussed. Lastly, we end this review article by highlighting future directions in lung cancer research using DL techniques. Key Content and Findings: DL algorithms have been introduced to show comparable or higher performance than human experts in various clinical settings. Specifically, they have been actively applied to detect lung nodules in chest radiographs or computed tomography (CT) examinations, optimize candidate selection for lung cancer screening (LCS), predict the malignancy of lung nodules, stage lung cancer, and predict treatment response, patients' prognoses, and genetic mutations in lung cancers. Conclusions: DL algorithms have corroborated their potential value for various tasks, ranging from lung cancer screening to prognostication of lung cancer patients. Future research is warranted for the clinical application of these algorithms in daily clinical practice and verification of their real-world clinical usefulness.</t>
  </si>
  <si>
    <t>Lee, Jong Hyuk; Hwang, Eui Jin; Kim, Hyungjin; Park, Chang Min</t>
  </si>
  <si>
    <t>Park, CM (corresponding author), Seoul Natl Univ, Dept Radiol, Coll Med, 101 Daehak Ro, Seoul 03080, South Korea.; Park, CM (corresponding author), Seoul Natl Univ, Inst Radiat Med, Coll Med, 101 Daehak Ro, Seoul 03080, South Korea.</t>
  </si>
  <si>
    <t>cmpark.morphius@gmail.com</t>
  </si>
  <si>
    <t>Seoul National University Hospital Research Fund [06-2018-4520]</t>
  </si>
  <si>
    <t>Seoul National University Hospital Research Fund</t>
  </si>
  <si>
    <t>This study was supported by the Seoul National University Hospital Research Fund (grant number: 06-2018-4520). However, the funder had no role in the study design; in the collection, analysis, and interpretation of the data; in the writing of the report; and in the decision to submit the article for publication.</t>
  </si>
  <si>
    <t>[Lee, Jong Hyuk; Hwang, Eui Jin; Kim, Hyungjin; Park, Chang Min] Seoul Natl Univ Hosp, Dept Radiol, Seoul, South Korea; [Lee, Jong Hyuk; Hwang, Eui Jin; Kim, Hyungjin; Park, Chang Min] Seoul Natl Univ, Dept Radiol, Coll Med, 101 Daehak Ro, Seoul 03080, South Korea; [Lee, Jong Hyuk; Hwang, Eui Jin; Kim, Hyungjin; Park, Chang Min] Seoul Natl Univ, Inst Radiat Med, Med Res Ctr, Seoul, South Korea; [Park, Chang Min] Seoul Natl Univ, Inst Med &amp; Biol Engn, Med Res Ctr, Seoul, South Korea</t>
  </si>
  <si>
    <t>Seoul National University (SNU); Seoul National University Hospital; Seoul National University (SNU); Seoul National University Hospital; Seoul National University (SNU); Seoul National University (SNU)</t>
  </si>
  <si>
    <t>A narrative review of deep learning applications in lung cancer research: from screening to prognostication</t>
  </si>
  <si>
    <t>TRANSLATIONAL LUNG CANCER RESEARCH</t>
  </si>
  <si>
    <t>Deep learning (DL); lung neoplasms; diagnosis; treatment outcome; prognosis</t>
  </si>
  <si>
    <t>COMPUTER-AIDED DETECTION; LOW-DOSE CT; STAGING PROJECT PROPOSALS; FORTHCOMING 8TH EDITION; POSITIVE TEST RESULT; PULMONARY NODULES; TNM CLASSIFICATION; CHEST RADIOGRAPH; PHASE-III; PERFORMANCE</t>
  </si>
  <si>
    <t>Hwang, Eui/X-4415-2018; Kim, Hyungjin/JED-7172-2023</t>
  </si>
  <si>
    <t>Park, Chang Min/0000-0003-1884-3738</t>
  </si>
  <si>
    <t>2218-6751</t>
  </si>
  <si>
    <t>2226-4477</t>
  </si>
  <si>
    <t>TRANSL LUNG CANCER R</t>
  </si>
  <si>
    <t>Transl. Lung Cancer Res.</t>
  </si>
  <si>
    <t>1229</t>
  </si>
  <si>
    <t>10.21037/tlcr-21-1012</t>
  </si>
  <si>
    <t>http://dx.doi.org/10.21037/tlcr-21-1012</t>
  </si>
  <si>
    <t>2T4DX</t>
  </si>
  <si>
    <t>35832457</t>
  </si>
  <si>
    <t>WOS:000809599900001</t>
  </si>
  <si>
    <t>Liu, D; Liu, J; Zhang, LP; Chen, YM; Zhang, Q</t>
  </si>
  <si>
    <t>Background: Post-infectious bronchiolitis obliterans (PIBO) is a long-term sequela after an initial insult to the lower respiratory tract. A comprehensive understanding of the factors that contribute to a high risk of developing PIBO is important to help define therapeutic strategies and improve prognosis. Methods: We performed a systematic review of published literature available in the online databases including PubMed, Embase, Web of Science, CNKI, Wan Fang, and VIP, with the last search updated on 27 January 2022. Observational studies and case-control studies that provide sufficient data to examine associations between potential risk factors and PIBO were included. Pooled odds ratio (OR) or mean difference (MD) with 95% confidence interval (CI) and heterogeneity were calculated. Results: A total of 14 risk factors were selected from 9 studies included in the analysis. The strongest risk factors were hypoxemia, mechanical ventilation, tachypnea, and wheezing. Hypoxemia conferred the greatest risk with pooled OR of 21.54 (95% CI: 10-46.36, p &lt; 0.001). Mechanical ventilation ranked second (pooled OR 14.61, 95% CI: 7.53-28.35, p &lt; 0.001). Use of gamma-globulin, use of glucocorticoids, co-infection of bacteria, a history of wheezing, and being male were other prominent risk factors. The effects of premature birth, allergic rhinitis, and imaging finding (pulmonary consolidation, atelectasis, pleural effusion) are less clear and require further confirmation. Cases that developing PIBO had a lower age compared with controls (MD, -8.76 months, 95% CI: -16.50 to -1.02, p = 0.03). No significant differences were observed in the duration of fever (MD, 1.74 days, 95% CI: -0.07 to 3.54, p = 0.06). Children diagnosed with PIBO had higher LDH levels (MD, 264.69 U/L, 95% CI: 67.43 to 461.74, p = 0.008) and duration of hospitalization (MD, 4.50 days, 95% CI: 2.63 to 6.37, p &lt; 0.001). Conclusion: In this study, we found that the strongest risk factors for PIBO were hypoxemia, mechanical ventilation, tachypnea, and wheezing. Use of glucocorticoids, gamma-globulin, co-infection of bacteria, a history of wheezing, and being male may also play a role. The factors discussed above can inform the generation of a clinical prediction model for the developing PIBO in children.</t>
  </si>
  <si>
    <t>Liu, Die; Liu, Jing; Zhang, Lipeng; Chen, Yuanmei; Zhang, Qi</t>
  </si>
  <si>
    <t>Zhang, Q (corresponding author), China Japan Friendship Hosp, Dept Pediat, Beijing, Peoples R China.</t>
  </si>
  <si>
    <t>zhangqikeyan@163.com</t>
  </si>
  <si>
    <t>Scientific Research Foundation of China-Japan Friendship Hospital [2019-RC-3]</t>
  </si>
  <si>
    <t>Scientific Research Foundation of China-Japan Friendship Hospital</t>
  </si>
  <si>
    <t>Funding This work was financially supported by the Scientific Research Foundation of China-Japan Friendship Hospital (2019-RC-3). The funder had no role in any other part of the study (including study design, data collection, data interpretation, et al.) or in writing the manuscript.</t>
  </si>
  <si>
    <t>[Liu, Die; Liu, Jing; Zhang, Lipeng; Chen, Yuanmei; Zhang, Qi] China Japan Friendship Hosp, Dept Pediat, Beijing, Peoples R China; [Liu, Jing; Zhang, Lipeng] Chinese Acad Med Sci, Grad Sch Peking Union Med Coll, Beijing, Peoples R China</t>
  </si>
  <si>
    <t>China-Japan Friendship Hospital; Chinese Academy of Medical Sciences - Peking Union Medical College; Peking Union Medical College</t>
  </si>
  <si>
    <t>Risk Factors for Post-infectious Bronchiolitis Obliterans in Children: A Systematic Review and Meta-Analysis</t>
  </si>
  <si>
    <t>meta-analysis; post-infectious bronchiolitis obliterans; bronchiolitis obliterans; risk factors; children</t>
  </si>
  <si>
    <t>BRONCHIECTASIS; INFECTION</t>
  </si>
  <si>
    <t>Liu, Jing/0000-0002-6427-3126; Liu, Die/0009-0005-0169-5769</t>
  </si>
  <si>
    <t>JUN 9 2022</t>
  </si>
  <si>
    <t>881908</t>
  </si>
  <si>
    <t>10.3389/fped.2022.881908</t>
  </si>
  <si>
    <t>http://dx.doi.org/10.3389/fped.2022.881908</t>
  </si>
  <si>
    <t>2I4AV</t>
  </si>
  <si>
    <t>35757133</t>
  </si>
  <si>
    <t>WOS:000814923900001</t>
  </si>
  <si>
    <t>Phillips, RS; Scott, B; Carter, SJ; Taylor, M; Peirce, E; Davies, P; Maconochie, IK</t>
  </si>
  <si>
    <t>BackgroundCardiopulmonary arrest in children is an uncommon event, and often fatal. Resuscitation is often attempted, but at what point, and under what circumstances do continued attempts to re-establish circulation become futile? The uncertainty around these questions can lead to unintended distress to the family and to the resuscitation team.ObjectivesTo define the likely outcomes of cardiopulmonary resuscitation in children, within different patient groups, related to clinical features.Data SourcesMEDLINE, MEDLINE in-Process &amp; Other non-Indexed Citations, EMBASE, Cochrane database of systematic reviews and Cochrane central register of trials, Database of Abstracts of Reviews of Effects (DARE), the Health Technology Assessment database, along with reference lists of relevant systematic reviews and included articles.Study Eligibility CriteriaProspective cohort studies which derive or validate a clinical prediction model of outcome following cardiopulmonary arrest.Participants and Interventions Children or young people (aged 0 - 18 years) who had cardiopulmonary arrest and received an attempt at resuscitation, excluding resuscitation at birth.Study Appraisal and Synthesis MethodsRisk of bias assessment developed the Hayden system for non-randomised studies and QUADAS2 for decision rules. Synthesis undertaken by narrative, and random effects meta-analysis with the DerSimonian-Laird estimator.ResultsMore than 18,000 episodes in 16 data sets were reported. Meta-analysis was possible for survival and one neurological outcome; others were reported too inconsistently. In-hospital patients (average survival 37.2% (95% CI 23.7 to 53.0%)) have a better chance of survival following cardiopulmonary arrest than out-of-hospital arrests (5.8% (95% CI 3.9% to 8.6%)). Better neurological outcome was also seen, but data were too scarce for meta-analysis (17% to 71% 'good' outcomes, compared with 2.8% to 3.2%).LimitationLack of consistent outcome reporting and short-term neurological outcome measures limited the strength of conclusions that can be drawn from this review.Conclusions and Implications of Key FindingsThere is a need to collaboratively, prospectively, collect potentially predictive data on these rare events to understand more clearly the predictors of survival and long-term neurological outcome.</t>
  </si>
  <si>
    <t>Phillips, Robert S.; Scott, Bryonnie; Carter, Simon J.; Taylor, Matthew; Peirce, Eleanor; Davies, Patrick; Maconochie, Ian K.</t>
  </si>
  <si>
    <t>Phillips, RS (corresponding author), Univ York, Ctr Reviews &amp; Disseminat, York YO10 5DD, N Yorkshire, England.</t>
  </si>
  <si>
    <t>bob.phillips@york.ac.uk</t>
  </si>
  <si>
    <t>Resuscitation Council (UK); National Institute for Health Research (NIHR) Biomedical Research Centre based at Imperial College Healthcare NHS Trust; Imperial College London; Medical Research Council [G0800472] Funding Source: researchfish; National Institute for Health Research [PDF-2014-07-072] Funding Source: researchfish</t>
  </si>
  <si>
    <t>Resuscitation Council (UK); National Institute for Health Research (NIHR) Biomedical Research Centre based at Imperial College Healthcare NHS Trust; Imperial College London; Medical Research Council (UK Research &amp; Innovation (UKRI), Medical Research Council UK (MRC)); National Institute for Health Research (National Institutes of Health Research (NIHR))</t>
  </si>
  <si>
    <t>The authors gratefully acknowledge financial support from the Resuscitation Council (UK) Melville Greenwood fund in memory of Elizabeth Jane Greenwood in making this article available through funding the open access charges. Ian Maconochie receives a grant from the National Institute for Health Research (NIHR) Biomedical Research Centre based at Imperial College Healthcare NHS Trust and Imperial College London. The views expressed are those of the authors and not necessarily those of the NHS, the NIHR or the Department of Health.</t>
  </si>
  <si>
    <t>[Phillips, Robert S.] Univ York, Ctr Reviews &amp; Disseminat, York YO10 5DD, N Yorkshire, England; [Phillips, Robert S.; Taylor, Matthew] Leeds Gen Infirm, Leeds Childrens Hosp, Leeds, W Yorkshire, England; [Scott, Bryonnie] York Dist Gen Hosp, York, N Yorkshire, England; [Carter, Simon J.] Hull Royal Infirm, Kingston Upon Hull, Yorks, England; [Peirce, Eleanor] Sheffield Childrens Hosp, Sheffield, S Yorkshire, England; [Davies, Patrick] Nottingham Hosp NHS Trust, Nottingham Childrens Hosp, Nottingham, England; [Maconochie, Ian K.] Imperial Coll NHS Healthcare Trust, St Marys Hosp, London, England</t>
  </si>
  <si>
    <t>University of York - UK; University of Leeds; Leeds General Infirmary; University of Hull; Sheffield Children's NHS Foundation Trust; Sheffield Children's Hospital; Nottingham University Hospital NHS Trust; Imperial College London</t>
  </si>
  <si>
    <t>Systematic Review and Meta-Analysis of Outcomes after Cardiopulmonary Arrest in Childhood</t>
  </si>
  <si>
    <t>PEDIATRIC CARDIAC-ARREST; INTENSIVE-CARE UNITS; RESUSCITATION; EPIDEMIOLOGY; CHILDREN; QUALITY</t>
  </si>
  <si>
    <t>/L-7923-2019; Maconochie, Ian/JGE-4291-2023</t>
  </si>
  <si>
    <t>Maconochie, Ian/0000-0001-6319-8550; Carter, Simon/0000-0002-2907-9651</t>
  </si>
  <si>
    <t>JUN 24 2015</t>
  </si>
  <si>
    <t>e0130327</t>
  </si>
  <si>
    <t>10.1371/journal.pone.0130327</t>
  </si>
  <si>
    <t>http://dx.doi.org/10.1371/journal.pone.0130327</t>
  </si>
  <si>
    <t>CL4OM</t>
  </si>
  <si>
    <t>26107958</t>
  </si>
  <si>
    <t>WOS:000356932500091</t>
  </si>
  <si>
    <t>Couillard, S; Steyerberg, E; Beasley, R; Pavord, I</t>
  </si>
  <si>
    <t>Introduction The reduction of the risk of asthma attacks is a major goal of guidelines. The fact that type-2 inflammatory biomarkers identify a higher risk, anti-inflammatory responsive phenotype is potentially relevant to this goal. We aim to quantify the relation between blood eosinophils, exhaled nitric oxide (FeNO) and the risk of severe asthma attacks. Methods and analysis A systematic review of randomised controlled trials (RCTs) will be conducted by searching MEDLINE from January 1993 to April 2021. We will include RCTs that investigated the effect of fixed treatment(s) regimen(s) on severe asthma exacerbation rates over at least 24 weeks and reported a baseline value for blood eosinophils and FeNO. Study selection will follow the Preferred Reporting Items for Systematic Reviews and Meta-Analyses guidelines, and the methodological appraisal of the studies will be assessed by the Cochrane Risk-of-Bias Tool for RCTs. Study authors will be contacted to request anonymised individual participant data (IPD) for patients randomised to the trial's control arm. An IPD meta-analysis will be performed for multivariable prognostic modelling with performance assessment (calibration plots and the c-statistic) in a cross-validation by study procedure. The outcome to predict is the absolute number of severe asthma attacks to occur in the following 12 months if anti-inflammatory therapy is not changed (ie, annualised number of attacks requiring &gt;= 3 days of systemic corticosteroids and/or hospitalisation if the patient was randomised to the control arm of an RCT). A summary prognostic equation and risk stratification chart will be reported as a basis for further analyses of individualised treatment benefit. Ethics and dissemination The protocol has been reviewed by the relevant Oxford academic ethics committee and found to comprise fully anonymised data not requiring further ethical approbation. Results will be communicated in an international meeting and submitted to a peer-reviewed journal. PROSPERO registration number CRD42021245337.</t>
  </si>
  <si>
    <t>Couillard, Simon; Steyerberg, Ewout; Beasley, Richard; Pavord, Ian</t>
  </si>
  <si>
    <t>Couillard, S (corresponding author), Univ Oxford, Nuffield Dept Med, Oxford Resp NIHR BRC, Oxford, England.; Couillard, S (corresponding author), Univ Sherbrooke, Fac med &amp; Sci sante, Sherbrooke, PQ, Canada.</t>
  </si>
  <si>
    <t>s.couillard@usherbrooke.ca</t>
  </si>
  <si>
    <t>NIHR Oxford BRC</t>
  </si>
  <si>
    <t>This work was supported by the NIHR Oxford BRC. The funders had no role in the conduct of the study nor the writing of the manuscript. The views expressed are those of the authors and not necessarily those of the NHS, the NIHR or the Department of Health.</t>
  </si>
  <si>
    <t>[Couillard, Simon; Pavord, Ian] Univ Oxford, Nuffield Dept Med, Oxford Resp NIHR BRC, Oxford, England; [Couillard, Simon] Univ Sherbrooke, Fac med &amp; Sci sante, Sherbrooke, PQ, Canada; [Steyerberg, Ewout] Leiden Univ, Biomed Data Sci, Med Ctr, Leiden, Netherlands; [Beasley, Richard] Med Res Inst New Zealand, Resp Med, Wellington, New Zealand</t>
  </si>
  <si>
    <t>University of Oxford; University of Sherbrooke; Leiden University; Leiden University - Excl LUMC; Leiden University Medical Center (LUMC); Medical Research Institute Of New Zealand</t>
  </si>
  <si>
    <t>Blood eosinophils, fractional exhaled nitric oxide and the risk of asthma attacks in randomised controlled trials: protocol for a systemic review and control arm patient-level meta-analysis for clinical prediction modelling</t>
  </si>
  <si>
    <t>asthma; immunology; epidemiology; thoracic medicine; preventive medicine</t>
  </si>
  <si>
    <t>HEALTH-CARE; ADULTS; EXACERBATIONS; SCORE; ORGANIZATION; VALIDATION; SEVERITY; MODERATE; OUTCOMES; PLACEBO</t>
  </si>
  <si>
    <t>Couillard, Simon/AAL-2461-2021; Beasley, Richard/AAH-3908-2019; Steyerberg, Ewout/C-1509-2018</t>
  </si>
  <si>
    <t>Couillard, Simon/0000-0002-4057-6886; Beasley, Richard/0000-0003-0337-406X</t>
  </si>
  <si>
    <t>e058215</t>
  </si>
  <si>
    <t>10.1136/bmjopen-2021-058215</t>
  </si>
  <si>
    <t>http://dx.doi.org/10.1136/bmjopen-2021-058215</t>
  </si>
  <si>
    <t>0G4ZJ</t>
  </si>
  <si>
    <t>35365539</t>
  </si>
  <si>
    <t>WOS:000778054700035</t>
  </si>
  <si>
    <t>Peng, JH; Fang, YQ; Shen, WZ; Hu, JY; Deng, XD; Yin, LL</t>
  </si>
  <si>
    <t>Background We aim to conduct a systematic review and meta-analysis to evaluate the performance of existing predictive models for adverse pregnancy outcomes in pregnancies with fetal growth restriction from multiple perspectives. Methods A systematic literature search was conducted in PubMed, the Cochrane Library, Web of Science, and CNKI up to January 2025 to identify studies on the development, validation, or updating of clinical prediction models for adverse pregnancy outcomes in fetal growth restriction. Risk of bias was assessed using the Prediction Model Study Risk of Bias Assessment Tool. Subgroup analyses were based on study design, country income level, predictor types, and outcome categories. A random-effects model was used for meta-analysis. Results A systematic literature search identified 40 studies describing predictive models for adverse pregnancy outcomes in the context of fetal growth restriction. Of these, 26 studies were ultimately included in the meta-analysis based on diagnostic criteria for FGR and risk assessment methodologies. Meta-analysis showed pooled AUCs of 0.823 (95% CI: 0.767-0.868; I &amp; sup2; = 52.52%) for early-onset FGR, 0.749 (95% CI: 0.671-0.813; I &amp; sup2; = 92.78%) for late-onset FGR, and 0.791 (95% CI: 0.714-0.852; I &amp; sup2; = 84.09%) for studies without onset differentiation. Models using multiple predictors consistently outperformed single-predictor models (AUC: 0.758 vs. 0.743; 0.845 vs. 0.746) in the late-onset FGR and FGR groups. We also demonstrated models with different predictor sets for composite adverse pregnancy outcomes. Incorporating Doppler indices, biochemical markers, or maternal clinical factors into models based on estimated fetal weight may moderately enhance overall predictive performance. Conclusions Our study demonstrates that integrating Doppler parameters, biochemical markers, or maternal clinical factors into models based on estimated fetal weight may moderately improve overall predictive performance for composite adverse pregnancy outcomes with FGR. However, few have undergone rigorous internal or external validation; therefore, their clinical application warrants caution. Future research should focus on multi-center studies, improve existing thresholds, and explore new indicators. It is also necessary to combine machine learning and deep learning techniques to enhance model performance.</t>
  </si>
  <si>
    <t>Peng, Jihong; Fang, Yingqi; Shen, Wenzhuo; Hu, Jinyang; Deng, Xuedong; Yin, Linliang</t>
  </si>
  <si>
    <t>Deng, XD; Yin, LL (corresponding author), Nanjing Med Univ, Affiliated Suzhou Hosp, Suzhou Municipal Hosp, Ctr Med Ultrasound, 26 Daoqian St, Suzhou 215002, Jiangsu, Peoples R China.</t>
  </si>
  <si>
    <t>pjh20010625@163.com; xuedongdeng@163.com; yllsznthello@hotmail.com; 1402413933@qq.com</t>
  </si>
  <si>
    <t>Special Project of Suzhou Clinical Key Disease's Diagnosis and Treatment [LCZX202208]; Jiangsu Provincial Maternal and Child Health Scientific Project [F202044]; Case Cohort Project from Gusu School, Nanjing Medical University [GSKY20220408]; Suzhou General Project for Advancing Science, Education health [MSXM2024022]</t>
  </si>
  <si>
    <t>Special Project of Suzhou Clinical Key Disease's Diagnosis and Treatment; Jiangsu Provincial Maternal and Child Health Scientific Project; Case Cohort Project from Gusu School, Nanjing Medical University; Suzhou General Project for Advancing Science, Education health</t>
  </si>
  <si>
    <t>Suzhou General Project for Advancing Science, Education &amp; health (MSXM2024022); Special Project of Suzhou Clinical Key Disease's Diagnosis and Treatment (LCZX202208); Case Cohort Project from Gusu School, Nanjing Medical University (GSKY20220408); Jiangsu Provincial Maternal and Child Health Scientific Project (F202044).</t>
  </si>
  <si>
    <t>[Peng, Jihong; Fang, Yingqi; Deng, Xuedong; Yin, Linliang] Nanjing Med Univ, Affiliated Suzhou Hosp, Suzhou Municipal Hosp, Ctr Med Ultrasound, 26 Daoqian St, Suzhou 215002, Jiangsu, Peoples R China; [Shen, Wenzhuo] Capital Med Univ, Xuanwu Hosp, Dept Radiol &amp; Nucl Med, 45 Changchun St, Beijing 100053, Peoples R China; [Shen, Wenzhuo] Beijing Key Lab Magnet Resonance Imaging &amp; Brain I, Beijing, Peoples R China; [Hu, Jinyang] Wenzhou Med Univ, Affiliated Hosp 2, Dept Neurosurg, Wenzhou, Peoples R China; [Hu, Jinyang] Wenzhou Med Univ, Wenzhou, Peoples R China</t>
  </si>
  <si>
    <t>Nanjing Medical University; Capital Medical University; Wenzhou Medical University; Wenzhou Medical University</t>
  </si>
  <si>
    <t>Predictive models for adverse pregnancy outcomes in fetal growth restriction: a systematic review and meta-analysis</t>
  </si>
  <si>
    <t>BMC PREGNANCY AND CHILDBIRTH</t>
  </si>
  <si>
    <t>Fetal growth restriction; Pregnancy outcomes; Prognostic models; Systematic review; Meta-analysis</t>
  </si>
  <si>
    <t>FOR-GESTATIONAL-AGE; EARLY-ONSET; CONSENSUS DEFINITION; PERINATAL OUTCOMES; LATE PRETERM; DOPPLER; FETUSES; INDEX; PARAMETERS; MORBIDITY</t>
  </si>
  <si>
    <t>Yin, Linliang/PDW-6079-2025</t>
  </si>
  <si>
    <t>1471-2393</t>
  </si>
  <si>
    <t>BMC PREGNANCY CHILDB</t>
  </si>
  <si>
    <t>BMC Pregnancy Childbirth</t>
  </si>
  <si>
    <t>MAR 17 2026</t>
  </si>
  <si>
    <t>525</t>
  </si>
  <si>
    <t>10.1186/s12884-026-08904-w</t>
  </si>
  <si>
    <t>http://dx.doi.org/10.1186/s12884-026-08904-w</t>
  </si>
  <si>
    <t>IE4QT</t>
  </si>
  <si>
    <t>41840511</t>
  </si>
  <si>
    <t>WOS:001769750000001</t>
  </si>
  <si>
    <t>Huff, JL; Plante, I; Blattnig, SR; Norman, RB; Little, MP; Khera, A; Simonsen, LC; Patel, ZS</t>
  </si>
  <si>
    <t>NASA has recently completed several long-duration missions to the International Space Station and is solidifying plans to return to the Moon, with an eye toward Mars and beyond. As NASA pushes the boundaries of human space exploration, the hazards of spaceflight, including space radiation, levy an increasing burden on astronaut health and performance. The cardiovascular system may be especially vulnerable due to the combined impacts of space radiation exposure, lack of gravity, and other spaceflight hazards. On Earth, the risk for cardiovascular disease (CVD) following moderate to high radiation doses is well-established from clinical, environmental, and occupational exposures (largely from gamma- and x-rays). Less is known about CVD risks associated with high-energy charged ions found in space and increasingly used in radiotherapy applications on Earth, making this a critical area of investigation for occupational radiation protection. Assessing CVD risk is complicated by its multifactorial nature, where an individual's risk is strongly influenced by factors such as family history, blood pressure, and lipid profiles. These known risk factors provide the basis for development of a variety of clinical risk prediction models (CPMs) that inform the likelihood of medical outcomes over a defined period. These tools improve clinical decision-making, personalize care, and support primary prevention of CVD. They may also be useful for individualizing risk estimates for CVD following radiation exposure both in the clinic and in space. In this review, we summarize unique aspects of radiation risk assessment for astronauts, and we evaluate the most widely used CVD CPMs for their use in NASA radiation risk assessment applications. We describe a comprehensive dual-use risk assessment framework that supports both clinical care and operational management of space radiation health risks using quantitative metrics. This approach is a first step in using personalized medicine for radiation risk assessment to support safe and productive spaceflight and long-term quality of life for NASA astronauts.</t>
  </si>
  <si>
    <t>Huff, Janice L.; Plante, Ianik; Blattnig, Steve R.; Norman, Ryan B.; Little, Mark P.; Khera, Amit; Simonsen, Lisa C.; Patel, Zarana S.</t>
  </si>
  <si>
    <t>Huff, JL (corresponding author), NASA, Langley Res Ctr, Hampton, VA 23666 USA.</t>
  </si>
  <si>
    <t>janice.l.huff@nasa.gov</t>
  </si>
  <si>
    <t>Human Research Program of the Human Exploration and Operations Mission Directorate of the National Aeronautics and Space Administration; Human Health and Performance contract [NNJ15HK11B]; Intramural Research Program of the National Institutes of Health, National Cancer Institute, Division of Cancer Epidemiology and Genetics; NASA [80NSSC19M0207]</t>
  </si>
  <si>
    <t>Human Research Program of the Human Exploration and Operations Mission Directorate of the National Aeronautics and Space Administration; Human Health and Performance contract; Intramural Research Program of the National Institutes of Health, National Cancer Institute, Division of Cancer Epidemiology and Genetics (United States Department of Health &amp; Human Services, National Institutes of Health (NIH) - USA, NIH National Cancer Institute (NCI), NIH National Cancer Institute- Division of Cancer Epidemiology &amp; Genetics); NASA (National Aeronautics &amp; Space Administration (NASA))</t>
  </si>
  <si>
    <t>This work was supported by the Human Research Program of the Human Exploration and Operations Mission Directorate of the National Aeronautics and Space Administration [JH, SB, RN, and LS] and by the Human Health and Performance contract NNJ15HK11B [IP and ZP]; by the Intramural Research Program of the National Institutes of Health, National Cancer Institute, Division of Cancer Epidemiology and Genetics [ML]; NASA 80NSSC19M0207 [AK].</t>
  </si>
  <si>
    <t>[Huff, Janice L.; Blattnig, Steve R.; Norman, Ryan B.] NASA, Langley Res Ctr, Hampton, VA 23666 USA; [Plante, Ianik; Patel, Zarana S.] KBR, Houston, TX USA; [Plante, Ianik; Patel, Zarana S.] NASA, Johnson Space Ctr, Houston, TX USA; [Little, Mark P.] NCI, Natl Inst Hlth NIH, Dept Hlth &amp; Human Serv DHHS, Div Canc Epidemiol &amp; Genet, Radiation Epidemiology Branch, Bethesda, MD USA; [Khera, Amit] Univ Texas Southwestern Med Ctr, Div Cardiol, Dallas, TX USA; [Simonsen, Lisa C.] NASA, NASA Headquarters, Washington, DC USA</t>
  </si>
  <si>
    <t>National Aeronautics &amp; Space Administration (NASA); NASA Langley Research Center; National Aeronautics &amp; Space Administration (NASA); National Institutes of Health (NIH) - USA; NIH National Cancer Institute (NCI); NIH National Cancer Institute- Division of Cancer Epidemiology &amp; Genetics; University of Texas System; University of Texas Southwestern Medical Center; National Aeronautics &amp; Space Administration (NASA)</t>
  </si>
  <si>
    <t>Cardiovascular Disease Risk Modeling for Astronauts: Making the Leap From Earth to Space</t>
  </si>
  <si>
    <t>clinical prediction model; radiation-induced cardiovascular disease; space radiation; risk modeling; astronaut; biomarker; individual risk; radiation epidemiology</t>
  </si>
  <si>
    <t>CORONARY-HEART-DISEASE; LIFETIME CANCER-RISK; CLONAL HEMATOPOIESIS; CIRCULATORY DISEASE; RADIATION; MORTALITY; PREDICTION; VALIDATION; POPULATION; EXPOSURE</t>
  </si>
  <si>
    <t>Norman, Ryan/D-5095-2017; Khera, Amit/ADI-2450-2022; Plante, Ianik/JEZ-5105-2023</t>
  </si>
  <si>
    <t>Huff, Janice/0000-0003-4236-7698</t>
  </si>
  <si>
    <t>873597</t>
  </si>
  <si>
    <t>10.3389/fcvm.2022.873597</t>
  </si>
  <si>
    <t>http://dx.doi.org/10.3389/fcvm.2022.873597</t>
  </si>
  <si>
    <t>1V8AN</t>
  </si>
  <si>
    <t>35665268</t>
  </si>
  <si>
    <t>WOS:000806306300001</t>
  </si>
  <si>
    <t>Tieliwaerdi, X; Manalo, K; Abuduweili, A; Khan, S; Appiah-Kubi, E; Williams, BA; Oehler, AC</t>
  </si>
  <si>
    <t>Purpose:Cardiac rehabilitation (CR) has been proven to reduce mortality and morbidity in patients with cardiovascular disease. Machine learning (ML) techniques are increasingly used to predict healthcare outcomes in various fields of medicine including CR. This systemic review aims to perform critical appraisal of existing ML-based prognosis predictive model within CR and identify key research gaps in this area.Review Methods:A systematic literature search was conducted in Scopus, PubMed, Web of Science, and Google Scholar from the inception of each database to January 28, 2024. The data extracted included clinical features, predicted outcomes, model development, and validation as well as model performance metrics. Included studies underwent quality assessments using the IJMEDI and Prediction Model Risk of Bias Assessment Tool checklist.Summary:A total of 22 ML-based clinical models from 7 studies across multiple phases of CR were included. Most models were developed using smaller patient cohorts from 41 to 227, with one exception involving 2280 patients. The prediction objectives ranged from patient intention to initiate CR to graduate from outpatient CR along with interval physiological and psychological progression in CR. The best-performing ML models reported area under the receiver operating characteristics curve between 0.82 and 0.91, with sensitivity from 0.77 to 0.95, indicating good prediction capabilities. However, none of them underwent calibration or external validation. Most studies raised concerns about bias. Readiness of these models for implementation into practice is questionable. External validation of existing models and development of new models with robust methodology based on larger populations and targeting diverse clinical outcomes in CR are needed. KEY PERSPECTIVE What is novel? This systematic review is the first to critically appraise existing machine learning (ML)-based clinical prognostic models in cardiac rehabilitation (CR). It identifies key research gaps in ML application in CR and provides constructive suggestions for improving the quality of ML models specifically in CR. What are the clinical and/or research implications? The review demonstrates various clinical challenges in the CR setting that ML models have been used to address and their corresponding outcomes. It reveals potential limitations in existing models and offers recommendations to enhance the readiness of current and future models for implementation in clinical settings as clinical decision-support tools.</t>
  </si>
  <si>
    <t>Tieliwaerdi, Xiarepati; Manalo, Kathryn; Abuduweili, Abulikemu; Khan, Sana; Appiah-Kubi, Edmund; Williams, Brent A.; Oehler, Andrew C.</t>
  </si>
  <si>
    <t>Oehler, AC (corresponding author), Allegheny Hlth Network, Allegheny Hlth Network Cardiovasc Inst, 320 E North Ave, Pittsburgh, PA 15212 USA.</t>
  </si>
  <si>
    <t>abulikea@andrew.cmu.edu; khan.sana@ahn.org; Kathryn.Manalo@ahn.org; andrew.oehler@ahn.org; x.tieliwaerdi@outlook.com; brent.williams@ahn.org</t>
  </si>
  <si>
    <t>[Tieliwaerdi, Xiarepati; Manalo, Kathryn; Khan, Sana; Appiah-Kubi, Edmund] Allegheny Hlth Network, Dept Med, Pittsburgh, PA 15212 USA; [Abuduweili, Abulikemu] Carnegie Mellon Univ, Robot Inst, Pittsburgh, PA USA; [Williams, Brent A.; Oehler, Andrew C.] Allegheny Hlth Network, Allegheny Hlth Network Cardiovasc Inst, 320 E North Ave, Pittsburgh, PA 15212 USA</t>
  </si>
  <si>
    <t>Allegheny Health Network; Carnegie Mellon University; Allegheny Health Network</t>
  </si>
  <si>
    <t>Machine Learning-Based Prediction Models for Healthcare Outcomes in Patients Participating in Cardiac Rehabilitation</t>
  </si>
  <si>
    <t>JOURNAL OF CARDIOPULMONARY REHABILITATION AND PREVENTION</t>
  </si>
  <si>
    <t>cardiac rehabilitation; clinical prediction models; machine learning; systematic review</t>
  </si>
  <si>
    <t>APPLICABILITY; ASSOCIATION; CALIBRATION; PROBAST; RISK; BIAS; TOOL</t>
  </si>
  <si>
    <t>Abuduweili, Abulikemu/JOL-0213-2023</t>
  </si>
  <si>
    <t>1932-7501</t>
  </si>
  <si>
    <t>1932-751X</t>
  </si>
  <si>
    <t>J CARDIOPULM REHABIL</t>
  </si>
  <si>
    <t>J. Cardiopulm. Rehabil. Prev.</t>
  </si>
  <si>
    <t>10.1097/HCR.0000000000000943</t>
  </si>
  <si>
    <t>http://dx.doi.org/10.1097/HCR.0000000000000943</t>
  </si>
  <si>
    <t>4IM3B</t>
  </si>
  <si>
    <t>40257822</t>
  </si>
  <si>
    <t>WOS:001518809100001</t>
  </si>
  <si>
    <t>Background: While many studies have consistently found incomplete reporting of regression-based prediction model studies, evidence is lacking for machine learning-based prediction model studies. We aim to systematically review the adherence of Machine Learning (ML)-based prediction model studies to the Transparent Reporting of a multivariable prediction model for Individual Prognosis Or Diagnosis (TRIPOD) Statement.Methods: We included articles reporting on development or external validation of a multivariable prediction model (either diagnostic or prognostic) developed using supervised ML for individualized predictions across all medical fields. We searched PubMed from 1 January 2018 to 31 December 2019. Data extraction was performed using the 22-item checklist for reporting of prediction model studies (www.TRIPOD-statement.org). We measured the overall adherence per article and per TRIPOD item.Results: Our search identified 24,814 articles, of which 152 articles were included: 94 (61.8%) prognostic and 58 (38.2%) diagnostic prediction model studies. Overall, articles adhered to a median of 38.7% (IQR 31.0-46.4%) of TRIPOD items. No article fully adhered to complete reporting of the abstract and very few reported the flow of participants (3.9%, 95% CI 1.8 to 8.3), appropriate title (4.6%, 95% CI 2.2 to 9.2), blinding of predictors (4.6%, 95% CI 2.2 to 9.2), model specification (5.2%, 95% CI 2.4 to 10.8), and model's predictive performance (5.9%, 95% CI 3.1 to 10.9). There was often complete reporting of source of data (98.0%, 95% CI 94.4 to 99.3) and interpretation of the results (94.7%, 95% CI 90.0 to 97.3).Conclusion: Similar to prediction model studies developed using conventional regression-based techniques, the completeness of reporting is poor. Essential information to decide to use the model (i.e. model specification and its performance) is rarely reported. However, some items and sub-items ofTRIPOD might be less suitable for ML-based prediction model studies and thus, TRIPOD requires extensions. Overall, there is an urgent need to improve the reporting quality and usability of research to avoid research waste.</t>
  </si>
  <si>
    <t>Navarro, CLA (corresponding author), Univ Utrecht, Univ Med Ctr Utrecht, Julius Ctr Hlth Sci &amp; Primary Care, Utrecht, Netherlands.; Navarro, CLA (corresponding author), Univ Utrecht, Univ Med Ctr Utrecht, Cochrane Netherlands, Utrecht, Netherlands.</t>
  </si>
  <si>
    <t>clandaurnavarro@umcutrecht.nl</t>
  </si>
  <si>
    <t>National Institute for Health Research (NIHR) Oxford Biomedical Research Centre (BRC); Cancer Research UK program [C49297/A27294]; NIHR Oxford BRC; Medical Research Council [HDR-9001] Funding Source: researchfish</t>
  </si>
  <si>
    <t>National Institute for Health Research (NIHR) Oxford Biomedical Research Centre (BRC) (National Institutes of Health Research (NIHR)); Cancer Research UK program (Cancer Research UK); NIHR Oxford BRC; Medical Research Council (UK Research &amp; Innovation (UKRI), Medical Research Council UK (MRC))</t>
  </si>
  <si>
    <t>This study did not receive any specific grant from funding agencies in the public, commercial, or not-for-profit sectors. GSC is supported by the National Institute for Health Research (NIHR) Oxford Biomedical Research Centre (BRC) and by Cancer Research UK program grant (C49297/A27294). PD is supported by the NIHR Oxford BRC. The views expressed are those of the authors and not necessarily those of the NHS, NIHR, or Department of Health.</t>
  </si>
  <si>
    <t>[Navarro, Constanza L. Andaur; Damen, Johanna A. A.;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Ctr Stat Med, NDORMS, Oxford, England; [Dhiman, Paula; Collins, Gary S.] Oxford Univ Hosp NHS Fdn Trust, NIHR Oxford Biomed Res Ctr, Oxford, England; [Bajpai, Ram; Riley, Richard D.] Keele Univ, Ctr Prognosis Res, Sch Med, Keele, Staffs, England</t>
  </si>
  <si>
    <t>Completeness of reporting of clinical prediction models developed using supervised machine learning: a systematic review</t>
  </si>
  <si>
    <t>Prediction model; Diagnosis; Prognosis; Development; Validation; Reporting adherence; Reporting guideline; TRIPOD</t>
  </si>
  <si>
    <t>Collins, Gary/A-2258-2014; Hooft, Lotty/PCC-6420-2025; Moons, Karel G/JPA-4011-2023; Riley, Richard D/G-2406-2011; Bajpai, Ram/I-1038-2016</t>
  </si>
  <si>
    <t>Andaur Navarro, Constanza L/0000-0002-7745-2887; Collins, Gary/0000-0002-2772-2316; Takada, Toshihiko/0000-0002-8032-6224; Hooft, Lotty/0000-0002-7950-2980; Nijman, Steven/0000-0001-6798-2078; Dhiman, Paula/0000-0002-0989-0623; Moons, Karel G/0000-0003-2118-004X; Riley, Richard D/0000-0001-8699-0735; Bajpai, Ram/0000-0002-1227-2703; Damen, Johanna/0000-0001-7401-4593; Ma, Jie/0000-0002-3900-1903</t>
  </si>
  <si>
    <t>JAN 13 2022</t>
  </si>
  <si>
    <t>10.1186/s12874-021-01469-6</t>
  </si>
  <si>
    <t>http://dx.doi.org/10.1186/s12874-021-01469-6</t>
  </si>
  <si>
    <t>YG3BO</t>
  </si>
  <si>
    <t>35026997</t>
  </si>
  <si>
    <t>WOS:000742367600002</t>
  </si>
  <si>
    <t>Chen, JW; Heidsma, CM; Engelsman, AF; Kabaktepe, E; van Dieren, S; Falconi, M; Besselink, MG; van Dijkum, EJMN</t>
  </si>
  <si>
    <t>Simple Summary The risk prediction for tumor recurrence after surgery for non-functional pancreatic neuroendocrine tumors is a major unmet clinical need. Accurate recurrence risk prediction could pave the way for tailor-made follow-up protocols in the future, as well as help select suitable patients for cancer treatment trials. Multiple prediction models have been developed; however, none are currently incorporated into international guidelines. This systematic review found 13 original models, of which 3 were validated outside the patient group in which they were developed. The effectiveness of a prediction model is not proven in the wider population without this validation; thus, the lack of it hinders the progress toward clinical use. We propose to test the included models in a large, multinational database to compare their performance. We recommend all authors developing a prediction model to perform the minimally required tests of model development and to implement it by creating an online calculator. Recurrence after resection in patients with non-functional pancreatic neuroendocrine tumors (NF-pNET) has a considerable impact on overall survival. Accurate risk stratification will tailor optimal follow-up strategies. This systematic review assessed available prediction models, including their quality. This systematic review followed PRISMA and CHARMS guidelines. PubMed, Embase, and the Cochrane Library were searched up to December 2022 for studies that developed, updated, or validated prediction models for recurrence in resectable grade 1 or 2 NF-pNET. Studies were critically appraised. After screening 1883 studies, 14 studies with 3583 patients were included: 13 original prediction models and 1 prediction model validation. Four models were developed for preoperative and nine for postoperative use. Six models were presented as scoring systems, five as nomograms, and two as staging systems. The c statistic ranged from 0.67 to 0.94. The most frequently included predictors were tumor grade, tumor size, and lymph node positivity. Critical appraisal deemed all development studies as having a high risk of bias and the validation study as having a low risk of bias. This systematic review identified 13 prediction models for recurrence in resectable NF-pNET with external validations for 3 of them. External validation of prediction models improves their reliability and stimulates use in daily practice.</t>
  </si>
  <si>
    <t>Chen, Jeffrey W.; Heidsma, Charlotte M.; Engelsman, Anton F.; Kabaktepe, Ertunc; van Dieren, Susan; Falconi, Massimo; Besselink, Marc G.; van Dijkum, Els J. M. Nieveen</t>
  </si>
  <si>
    <t>Chen, JW (corresponding author), Univ Amsterdam, Dept Surg, Amsterdam UMC, NL-1081 HV Amsterdam, Netherlands.; Chen, JW (corresponding author), Amsterdam Ctr Endocrine &amp; Neuroendocrine Tumors A, NL-1081 HV Amsterdam, Netherlands.; Chen, JW (corresponding author), Canc Ctr Amsterdam, NL-1081 HV Amsterdam, Netherlands.</t>
  </si>
  <si>
    <t>j.w.chen@amsterdamumc.nl</t>
  </si>
  <si>
    <t>[Chen, Jeffrey W.; Heidsma, Charlotte M.; Engelsman, Anton F.; Kabaktepe, Ertunc; van Dieren, Susan; Besselink, Marc G.; van Dijkum, Els J. M. Nieveen] Univ Amsterdam, Dept Surg, Amsterdam UMC, NL-1081 HV Amsterdam, Netherlands; [Chen, Jeffrey W.; Heidsma, Charlotte M.; Engelsman, Anton F.; van Dijkum, Els J. M. Nieveen] Amsterdam Ctr Endocrine &amp; Neuroendocrine Tumors A, NL-1081 HV Amsterdam, Netherlands; [Chen, Jeffrey W.; Heidsma, Charlotte M.; Engelsman, Anton F.; Kabaktepe, Ertunc; van Dieren, Susan; Besselink, Marc G.; van Dijkum, Els J. M. Nieveen] Canc Ctr Amsterdam, NL-1081 HV Amsterdam, Netherlands; [Falconi, Massimo] Univ Vita Salute, IRCCS Osped San Raffaele, Pancreat Surg, I-20132 Milan, Italy</t>
  </si>
  <si>
    <t>University of Amsterdam; University of Amsterdam; Vrije Universiteit Amsterdam; Vita-Salute San Raffaele University; IRCCS Ospedale San Raffaele</t>
  </si>
  <si>
    <t>Clinical Prediction Models for Recurrence in Patients with Resectable Grade 1 and 2 Sporadic Non-Functional Pancreatic Neuroendocrine Tumors: A Systematic Review</t>
  </si>
  <si>
    <t>pancreatic neuroendocrine tumor; non-functional; resectable; recurrence; prediction model; grade 1; grade 2</t>
  </si>
  <si>
    <t>CONSENSUS GUIDELINES UPDATE; EXTERNAL VALIDATION; PROGNOSTIC-FACTORS; RISK; NEOPLASMS; MANAGEMENT; SURVIVAL; AJCC; MICROENVIRONMENT; STRATIFICATION</t>
  </si>
  <si>
    <t>Besselink, Marc/R-4268-2019; Nieveen van Dijkum, Elisabeth/KHD-9185-2024</t>
  </si>
  <si>
    <t>Engelsman, Anton Frederik/0000-0003-4943-8882; Falconi, Massimo/0000-0001-9654-7243</t>
  </si>
  <si>
    <t>1525</t>
  </si>
  <si>
    <t>10.3390/cancers15051525</t>
  </si>
  <si>
    <t>http://dx.doi.org/10.3390/cancers15051525</t>
  </si>
  <si>
    <t>9T3RP</t>
  </si>
  <si>
    <t>36900316</t>
  </si>
  <si>
    <t>WOS:000946947700001</t>
  </si>
  <si>
    <t>Liu, X; Liu, X; Jin, CY; Luo, YT; Yang, LP; Ning, XJ; Zhuo, C; Xiao, F</t>
  </si>
  <si>
    <t>Background: Prediction models help to target patients at risk of multidrug-resistant organism (MDRO) colonization or infection and could serve as tools informing clinical practices to prevent MDRO transmission and inappropriate empiric antibiotic therapy. However, there is limited evidence to identify which among the available models are of low risk of bias and suitable for clinical application. Objectives: To identify, describe, appraise, and summarise the performance of all prognostic and diagnostic models developed or validated for predicting MDRO colonization or infection. Data sources: Six electronic literature databases and clinical registration databases were searched until April 2022. Study eligibility criteria: Development and validation studies of any multivariable prognostic and diagnostic models to predict MDRO colonization or infection in adults. Participants: Adults (&gt;= 18 years old) without MDRO colonization or infection (in prognostic models) or with unknown or suspected MDRO colonization or infection (in diagnostic models). Assessment of risk of bias: The Prediction Model Risk of Bias Assessment Tool was used to assess the risk of bias. Evidence certainty was assessed using the Grading of Recommendations Assessment, Development, and Evaluation approach. Methods of data synthesis: Meta-analyses were conducted to summarize the discrimination and calibration of the models' external validations conducted in at least two non-overlapping datasets. Results: We included 162 models (108 studies) developed for diagnosing (n = 135) and predicting (n = 27) MDRO colonization or infection. Models exhibited a high-risk of bias, especially in statistical analysis. Highfrequency predictors were age, recent invasive procedures, antibiotic usage, and prior hospitalization. Less than 25% of the models underwent external validations, with only seven by independent teams. Metaanalyses for one diagnostic and two prognostic models only produced very low to low certainty of evidence. Conclusions: The review comprehensively described the models for identifying patients at risk of MDRO colonization or infection. We cannot recommend which models are ready for application because of the high-risk of bias, limited validations, and low certainty of evidence from meta-analyses, indicating a clear need to improve the conducting and reporting of model development and external validation studies to facilitate clinical application. Xu Liu, Clin Microbiol Infect 2024;30:1364 (c) 2024 European Society of Clinical Microbiology and Infectious Diseases. Published by Elsevier Ltd. All rights are reserved, including those for text and data mining, AI training, and similar technologies.</t>
  </si>
  <si>
    <t>Liu, Xu; Liu, Xi; Jin, Chenyue; Luo, Yuting; Yang, Lianping; Ning, Xinjiao; Zhuo, Chao; Xiao, Fei</t>
  </si>
  <si>
    <t>Xiao, F (corresponding author), Sun Yat Sen Univ, Affiliated Hosp 5, Dept Infect Dis, 52 MeiHua East Rd, Zhuhai 519000, Peoples R China.; Zhuo, C (corresponding author), Guangzhou Med Univ, Affiliated Hosp 1, State Key Lab Resp Dis, Guangzhou, Peoples R China.</t>
  </si>
  <si>
    <t>chaosheep@sina.com; xiaof35@sysu.edu.cn</t>
  </si>
  <si>
    <t>National Natural Science Foundation of China [72204275, 82172241]; Guangdong Basic and Applied Basic Research Foundation [2021A1515110364, 2023A1515220226]; China Postdoctoral Science Foundation [2022M723580]</t>
  </si>
  <si>
    <t>National Natural Science Foundation of China (National Natural Science Foundation of China (NSFC)); Guangdong Basic and Applied Basic Research Foundation (Guangdong Basic and Applied Basic Research Foundation); China Postdoctoral Science Foundation (China Postdoctoral Science Foundation)</t>
  </si>
  <si>
    <t>This study was funded by grants from National Natural Science Foundation of China (grant numbers 72204275 to Xu.L., 82172241 to F.X.) ; Guangdong Basic and Applied Basic Research Foundation (grant number 2021A1515110364 to Xu.L., and 2023A1515220226 to Xi.L.) ; and China Postdoctoral Science Foundation (grant number 2022M723580 to Xu.L.) .</t>
  </si>
  <si>
    <t>[Liu, Xu; Liu, Xi; Jin, Chenyue; Luo, Yuting; Ning, Xinjiao; Xiao, Fei] Sun Yat Sen Univ, Affiliated Hosp 5, Dept Infect Dis, 52 MeiHua East Rd, Zhuhai 519000, Peoples R China; [Liu, Xu; Liu, Xi; Xiao, Fei] Sun Yat Sen Univ, Guangdong Hong Kong Macao Univ Joint Lab Intervent, Affiliated Hosp 5, Hong Kong, Guangdong, Peoples R China; [Luo, Yuting] Liuzhou Peoples Hosp, Dept Infect Dis, Liuzhou, Peoples R China; [Yang, Lianping] Sun Yat Sen Univ, Sch Publ Hlth, Guangzhou, Peoples R China; [Zhuo, Chao] Guangzhou Med Univ, Affiliated Hosp 1, State Key Lab Resp Dis, Guangzhou, Peoples R China; [Xiao, Fei] Sun Yat Sen Univ, Affiliated Hosp 5, Guangdong Prov Engn Res Ctr Mol Imaging, Zhuhai, Peoples R China; [Xiao, Fei] First Peoples Hosp Kashi, Kashi Guangdong Inst Sci &amp; Technol, Kashi, Peoples R China; [Xiao, Fei] Sun Yat Sen Univ, Sch Pharmaceut Sci, State Key Lab Antiinfect Drug Dev, Guangzhou, Peoples R China</t>
  </si>
  <si>
    <t>Sun Yat Sen University; Sun Yat Sen University; Sun Yat Sen University; Guangzhou Medical University; State Key Laboratory of Respiratory Disease; Sun Yat Sen University; Sun Yat Sen University</t>
  </si>
  <si>
    <t>Prediction models for diagnosis and prognosis of the colonization or infection of multidrug-resistant organisms in adults: a systematic review, critical appraisal, and meta-analysis</t>
  </si>
  <si>
    <t>CLINICAL MICROBIOLOGY AND INFECTION</t>
  </si>
  <si>
    <t>Bacterial; Clinical decision rules; Clinical prediction model; Drug resistance; Multidrug-resistant organism; Multiple; Systematic review</t>
  </si>
  <si>
    <t>STAPHYLOCOCCUS-AUREUS; HOSPITAL ADMISSION; RISK; APPLICABILITY; PROBAST; BIAS; TOOL</t>
  </si>
  <si>
    <t>Xiao, Fei/OJU-8277-2025</t>
  </si>
  <si>
    <t>Xiao, Fei/0000-0001-7353-2700</t>
  </si>
  <si>
    <t>1198-743X</t>
  </si>
  <si>
    <t>1469-0691</t>
  </si>
  <si>
    <t>CLIN MICROBIOL INFEC</t>
  </si>
  <si>
    <t>Clin. Microbiol. Infect.</t>
  </si>
  <si>
    <t>1364</t>
  </si>
  <si>
    <t>1373</t>
  </si>
  <si>
    <t>10.1016/j.cmi.2024.07.005</t>
  </si>
  <si>
    <t>http://dx.doi.org/10.1016/j.cmi.2024.07.005</t>
  </si>
  <si>
    <t>OCT 2024</t>
  </si>
  <si>
    <t>Infectious Diseases; Microbiology</t>
  </si>
  <si>
    <t>J3Q3O</t>
  </si>
  <si>
    <t>38992430</t>
  </si>
  <si>
    <t>WOS:001336237700001</t>
  </si>
  <si>
    <t>Siddique, SM; Tipton, K; Leas, B; Jepson, C; Aysola, J; Cohen, JB; Flores, E; Harhay, MO; Schmidt, H; Weissman, GE; Fricke, J; Treadwell, JR; Mull, NK</t>
  </si>
  <si>
    <t>Background: There is increasing concern for the potential impact of health care algorithms on racial and ethnic disparities. Purpose: To examine the evidence on how health care algorithms and associated mitigation strategies affect racial and ethnic disparities. Data Sources: Several databases were searched for relevant studies published from 1 January 2011 to 30 September 2023. Study Selection: Using predefined criteria and dual review, studies were screened and selected to determine: 1) the effect of algorithms on racial and ethnic disparities in health and health care outcomes and 2) the effect of strategies or approaches to mitigate racial and ethnic bias in the development, validation, dissemination, and implementation of algorithms. Data Extraction: Outcomes of interest (that is, access to health care, quality of care, and health outcomes) were extracted with risk-of-bias assessment using the ROBINS-I (Risk Of Bias In Non-randomised Studies - of Interventions) tool and adapted CARE-CPM (Critical Appraisal for Racial and Ethnic Equity in Clinical Prediction Models) equity extension. Data Synthesis: Sixty-three studies (51 modeling, 4 retrospective, 2 prospective, 5 prepost studies, and 1 randomized controlled trial) were included. Heterogenous evidence on algorithms was found to: a) reduce disparities (for example, the revised kidney allocation system), b) perpetuate or exacerbate disparities (for example, severity-of-illness scores applied to critical care resource allocation), and/or c) have no statistically significant effect on select outcomes (for example, the HEART Pathway [history, electrocardiogram, age, risk factors, and troponin]). To mitigate disparities, 7 strategies were identified: removing an input variable, replacing a variable, adding race, adding a non-race-based variable, changing the racial and ethnic composition of the population used in model development, creating separate thresholds for subpopulations, and modifying algorithmic analytic techniques. Limitation: Results are mostly based on modeling studies and may be highly context-specific. Conclusion: Algorithms can mitigate, perpetuate, and exacerbate racial and ethnic disparities, regardless of the explicit use of race and ethnicity, but evidence is heterogeneous. Intentionality and implementation of the algorithm can impact the effect on disparities, and there may be tradeoffs in outcomes. Primary Funding Source: Agency for Healthcare Quality and Research.</t>
  </si>
  <si>
    <t>Siddique, Shazia Mehmood; Tipton, Kelley; Leas, Brian; Jepson, Christopher; Aysola, Jaya; Cohen, Jordana B.; Flores, Emilia; Harhay, Michael O.; Schmidt, Harald; Weissman, Gary E.; Fricke, Julie; Treadwell, Jonathan R.; Mull, Nikhil K.</t>
  </si>
  <si>
    <t>Siddique, SM (corresponding author), Univ Penn, 517 Blockley Hall,423 Guardian Dr, Philadelphia, PA 19104 USA.</t>
  </si>
  <si>
    <t>shazia.siddique@pennmedicine.upenn.edu</t>
  </si>
  <si>
    <t>Agency for Healthcare Quality and Research [75Q80120D00002]</t>
  </si>
  <si>
    <t>Agency for Healthcare Quality and Research (United States Department of Health &amp; Human Services, Agency for Healthcare Research &amp; Quality)</t>
  </si>
  <si>
    <t>By Agency for Healthcare Quality and Research contract no. 75Q80120D00002.</t>
  </si>
  <si>
    <t>[Siddique, Shazia Mehmood] Univ Penn, Div Gastroenterol, Philadelphia, PA USA; [Siddique, Shazia Mehmood; Aysola, Jaya; Harhay, Michael O.] Univ Penn, Leonard Davis Inst Hlth Econ, Philadelphia, PA USA; [Siddique, Shazia Mehmood; Leas, Brian; Flores, Emilia; Harhay, Michael O.; Fricke, Julie; Mull, Nikhil K.] Penn Med, Ctr Evidence Based Practice, Philadelphia, PA USA; [Tipton, Kelley; Jepson, Christopher; Treadwell, Jonathan R.] ECRI, ECRI Penn Med Evidence based Practice Ctr, Plymouth Meeting, PA USA; [Aysola, Jaya] Univ Penn, Div Gen Internal Med, Philadelphia, PA USA; [Aysola, Jaya] Penn Med, Penn Med Ctr Hlth Equ Advancement, Philadelphia, PA USA; [Cohen, Jordana B.] Univ Penn, Div Renal Electrolyte &amp; Hypertens, Philadelphia, PA USA; [Cohen, Jordana B.; Harhay, Michael O.; Weissman, Gary E.] Univ Penn, Dept Biostat Epidemiol &amp; Informat, Philadelphia, PA USA; [Harhay, Michael O.; Weissman, Gary E.] Univ Penn, Div Pulm &amp; Crit Care, Philadelphia, PA USA; [Schmidt, Harald] Univ Penn, Dept Med Eth &amp; Hlth Policy, Philadelphia, PA USA; [Mull, Nikhil K.] Univ Penn, Div Hosp Med, Philadelphia, PA USA; [Siddique, Shazia Mehmood] Univ Penn, 517 Blockley Hall,423 Guardian Dr, Philadelphia, PA 19104 USA</t>
  </si>
  <si>
    <t>University of Pennsylvania; Pennsylvania Medicine; University of Pennsylvania; University of Pennsylvania; Pennsylvania Medicine; University of Pennsylvania; Pennsylvania Medicine; University of Pennsylvania; Pennsylvania Medicine; University of Pennsylvania; University of Pennsylvania; Pennsylvania Medicine; University of Pennsylvania; University of Pennsylvania; University of Pennsylvania; University of Pennsylvania</t>
  </si>
  <si>
    <t>The Impact of Health Care Algorithms on Racial and Ethnic Disparities A Systematic Review</t>
  </si>
  <si>
    <t>ANNALS OF INTERNAL MEDICINE</t>
  </si>
  <si>
    <t>GLOMERULAR-FILTRATION-RATE; PREDICTION MODELS; RACE; RISK; VALIDATION; FRAMINGHAM; DISEASE; EVENTS; EQUITY; BIAS</t>
  </si>
  <si>
    <t>Aysola, Jaya/C-8592-2013; Harhay, Michael/AFP-3723-2022; Cohen, Jordana/S-5435-2016</t>
  </si>
  <si>
    <t>Aysola, Jaya/0000-0002-8474-3682; Schmidt, Harald/0000-0003-4806-8816; Ulrick, Julie/0000-0002-8722-6429; Cohen, Jordana/0000-0003-4649-079X</t>
  </si>
  <si>
    <t>AMER COLL PHYSICIANS</t>
  </si>
  <si>
    <t>INDEPENDENCE MALL WEST 6TH AND RACE ST, PHILADELPHIA, PA 19106-1572, UNITED STATES</t>
  </si>
  <si>
    <t>0003-4819</t>
  </si>
  <si>
    <t>1539-3704</t>
  </si>
  <si>
    <t>ANN INTERN MED</t>
  </si>
  <si>
    <t>Ann. Intern. Med.</t>
  </si>
  <si>
    <t>177</t>
  </si>
  <si>
    <t>484</t>
  </si>
  <si>
    <t>496</t>
  </si>
  <si>
    <t>10.7326/M23-2960</t>
  </si>
  <si>
    <t>http://dx.doi.org/10.7326/M23-2960</t>
  </si>
  <si>
    <t>PP8K0</t>
  </si>
  <si>
    <t>38467001</t>
  </si>
  <si>
    <t>WOS:001185724300001</t>
  </si>
  <si>
    <t>Zhong, JY; Si, LP; Zhang, GC; Huo, JY; Xing, Y; Hu, YF; Zhang, H; Yao, WW</t>
  </si>
  <si>
    <t>Background: Osteoarthritis is the most common degenerative joint disease. It is associated with significant socioeconomic burden and poor quality of life, mainly due to knee osteoarthritis (KOA), and related total knee arthroplasty (TKA). Since early detection method and disease-modifying drug is lacking, the key of KOA treatment is shifting to disease prevention and progression slowing. The prognostic prediction models are called for to guide clinical decision-making. The aim of our review is to identify and characterize reported multivariable prognostic models for KOA about three clinical concerns: (1) the risk of developing KOA in the general population, (2) the risk of receiving TKA in KOA patients, and (3) the outcome of TKA in KOA patients who plan to receive TKA.Methods: The electronic datasets (PubMed, Embase, the Cochrane Library, Web of Science, Scopus, SportDiscus, and CINAHL) and gray literature sources (OpenGrey, British Library Inside, ProQuest Dissertations &amp; Theses Global, and BIOSIS preview) will be searched from their inception onwards. Title and abstract screening and full-text review will be accomplished by two independent reviewers. The multivariable prognostic models that concern on (1) the risk of developing KOA in the general population, (2) the risk of receiving TKA in KOA patients, and (3) the outcome of TKA in KOA patients who plan to receive TKA will be included. Data extraction instrument and critical appraisal instrument will be developed before formal assessment and will be modified during a training phase in advance. Study reporting transparency, methodological quality, and risk of bias will be assessed according to the TRIPOD statement, CHARMS checklist, and PROBAST tool, respectively. Prognostic prediction models will be summarized qualitatively. Quantitative metrics on the predictive performance of these models will be synthesized with meta-analyses if appropriate.Discussion: Our systematic review will collate evidence from prognostic prediction models that can be used through the whole process of KOA. The review may identify models which are capable of allowing personalized preventative and therapeutic interventions to be precisely targeted at those individuals who are at the highest risk. To accomplish the prediction models to cross the translational gaps between an exploratory research method and a valued addition to precision medicine workflows, research recommendations relating to model development, validation, or impact assessment will be made.</t>
  </si>
  <si>
    <t>Zhong, Jingyu; Si, Liping; Zhang, Guangcheng; Huo, Jiayu; Xing, Yue; Hu, Yangfan; Zhang, Huan; Yao, Weiwu</t>
  </si>
  <si>
    <t>Yao, WW (corresponding author), Shanghai Jiao Tong Univ, Tongren Hosp, Dept Imaging, Sch Med, 1111 Xianxia Rd, Shanghai 200336, Peoples R China.; Zhang, H (corresponding author), Shanghai Jiao Tong Univ, Ruijin Hosp, Dept Radiol, Sch Med, 197 Ruijin 2nd Rd, Shanghai 200025, Peoples R China.</t>
  </si>
  <si>
    <t>yaoweiwuhuan@163.com; huanzhangy@163.com</t>
  </si>
  <si>
    <t>National Natural Science Foundation of China [81771790]; Medicine and Engineering Combination Project of Shanghai Jiao Tong University [YG2019ZDB09]</t>
  </si>
  <si>
    <t>National Natural Science Foundation of China (National Natural Science Foundation of China (NSFC)); Medicine and Engineering Combination Project of Shanghai Jiao Tong University</t>
  </si>
  <si>
    <t>This work is supported by the National Natural Science Foundation of China (81771790) and the Medicine and Engineering Combination Project of Shanghai Jiao Tong University (YG2019ZDB09). They played no role in the design of the study and collection, analysis, and interpretation of data and in writing the manuscript.</t>
  </si>
  <si>
    <t>[Zhong, Jingyu; Si, Liping; Xing, Yue; Yao, Weiwu] Shanghai Jiao Tong Univ, Tongren Hosp, Dept Imaging, Sch Med, 1111 Xianxia Rd, Shanghai 200336, Peoples R China; [Zhang, Guangcheng] Shanghai Jiao Tong Univ Affiliated Peoples Hosp 6, Dept Orthoped, 600 Yishan Rd, Shanghai 200233, Peoples R China; [Huo, Jiayu] Shanghai Jiao Tong Univ, Sch Biomed Engn, Inst Med Imaging Technol, 1954 Huashan Rd, Shanghai 200030, Peoples R China; [Hu, Yangfan] Shanghai Jiao Tong Univ Affiliated Peoples Hosp 6, Dept Radiol, 600 Yishan Rd, Shanghai 200233, Peoples R China; [Zhang, Huan] Shanghai Jiao Tong Univ, Ruijin Hosp, Dept Radiol, Sch Med, 197 Ruijin 2nd Rd, Shanghai 200025, Peoples R China</t>
  </si>
  <si>
    <t>Shanghai Jiao Tong University; Shanghai Jiao Tong University; Shanghai Jiao Tong University; Shanghai Jiao Tong University; Shanghai Jiao Tong University</t>
  </si>
  <si>
    <t>Prognostic models for knee osteoarthritis: a protocol for systematic review, critical appraisal, and meta-analysis</t>
  </si>
  <si>
    <t>Knee; Osteoarthritis; Total knee arthroplasty; Prediction model; Prognosis; Systematic review; Meta-analysis</t>
  </si>
  <si>
    <t>CLINICAL-PREDICTION MODELS; PATIENT SATISFACTION; IDENTIFY PATIENTS; WILL RESPOND; RISK-FACTORS; PROGRESSION; ARTHROPLASTY; BURDEN; FOCUS; BIAS</t>
  </si>
  <si>
    <t>Huo, Jiayu/OKH-4752-2025; Zhong, Jingyu/GPW-8726-2022</t>
  </si>
  <si>
    <t>Huo, Jiayu/0000-0002-9811-0368; Zhong, Jingyu/0000-0002-9817-2294; Zhang, Guangcheng/0000-0002-7889-2710</t>
  </si>
  <si>
    <t>MAY 19 2021</t>
  </si>
  <si>
    <t>10.1186/s13643-021-01683-9</t>
  </si>
  <si>
    <t>http://dx.doi.org/10.1186/s13643-021-01683-9</t>
  </si>
  <si>
    <t>SE0ZK</t>
  </si>
  <si>
    <t>34006309</t>
  </si>
  <si>
    <t>WOS:000651804000001</t>
  </si>
  <si>
    <t>Vagliano, I; Chesnaye, NC; Leopold, JH; Jager, KJ; Abu-Hanna, A; Schut, MC</t>
  </si>
  <si>
    <t>Lay Summary The number of studies applying machine learning (ML) to predict acute kidney injury (AKI) has grown steadily over the past decade. We assessed and critically appraised the state of the art in ML models for AKI prediction, considering performance, methodological soundness, and applicability. Forty-six studies from 3166 titles were included. Thirty-eight studies developed a model, five developed and externally validated one, and three studies externally validated one. Flexible ML methods were popular for the prediction of AKI, although more complex models based on deep learning are emerging and were especially common with temporal variables and text. Our critical appraisal identified a high risk of bias in 39 studies. External validation and interpretability of results were rarely considered. Fifteen studies focused on AKI prediction in the intensive care setting. Studies should externally validate models more often, improve model interpretability, and share data and code to improve reproducibility.Background The number of studies applying machine learning (ML) to predict acute kidney injury (AKI) has grown steadily over the past decade. We assess and critically appraise the state of the art in ML models for AKI prediction, considering performance, methodological soundness, and applicability. Methods We searched PubMed and ArXiv, extracted data, and critically appraised studies based on the Transparent Reporting of a Multivariable Prediction Model for Individual Prognosis or Diagnosis (TRIPOD), Checklist for Critical Appraisal and Data Extraction for Systematic Reviews of Prediction Modelling Studies (CHARMS), and Prediction Model Risk of Bias Assessment Tool (PROBAST) guidelines. Results Forty-six studies from 3166 titles were included. Thirty-eight studies developed a model, five developed and externally validated one, and three studies externally validated one. Flexible ML methods were used more often than deep learning, although the latter was common with temporal variables and text as predictors. Predictive performance showed an area under receiver operating curves ranging from 0.49 to 0.99. Our critical appraisal identified a high risk of bias in 39 studies. Some studies lacked internal validation, whereas external validation and interpretability of results were rarely considered. Fifteen studies focused on AKI prediction in the intensive care setting, and the US-derived Medical Information Mart for Intensive Care (MIMIC) data set was commonly used. Reproducibility was limited as data and code were usually unavailable. Conclusions Flexible ML methods are popular for the prediction of AKI, although more complex models based on deep learning are emerging. Our critical appraisal identified a high risk of bias in most models: Studies should use calibration measures and external validation more often, improve model interpretability, and share data and code to improve reproducibility.</t>
  </si>
  <si>
    <t>Vagliano, Iacopo; Chesnaye, Nicholas C.; Leopold, Jan Hendrik; Jager, Kitty J.; Abu-Hanna, Ameen; Schut, Martijn C.</t>
  </si>
  <si>
    <t>Vagliano, I (corresponding author), Univ Amsterdam, Amsterdam UMC, Amsterdam Publ Hlth Res Inst, Dept Med Informat, Amsterdam, Netherlands.</t>
  </si>
  <si>
    <t>i.vagliano@amsterdamumc.nl</t>
  </si>
  <si>
    <t>[Vagliano, Iacopo; Leopold, Jan Hendrik; Abu-Hanna, Ameen; Schut, Martijn C.] Univ Amsterdam, Amsterdam UMC, Amsterdam Publ Hlth Res Inst, Dept Med Informat, Amsterdam, Netherlands; [Chesnaye, Nicholas C.; Jager, Kitty J.] Univ Amsterdam, Amsterdam Publ Hlth Res Inst, Amsterdam UMC, ERA Registry,Dept Med Informat, Amsterdam, Netherlands</t>
  </si>
  <si>
    <t>Vrije Universiteit Amsterdam; University of Amsterdam; University of Amsterdam; Vrije Universiteit Amsterdam</t>
  </si>
  <si>
    <t>Machine learning models for predicting acute kidney injury: a systematic review and critical appraisal</t>
  </si>
  <si>
    <t>CLINICAL KIDNEY JOURNAL</t>
  </si>
  <si>
    <t>acute kidney injury; clinical prediction models; critical appraisal; machine learning; systematic review</t>
  </si>
  <si>
    <t>RISK STRATIFICATION MODELS; REGRESSION; SURGERY; TRANSPLANTATION; ALGORITHMS; BIOMARKERS; PROGNOSIS; WORLD; BIAS</t>
  </si>
  <si>
    <t>Chesnaye, Nicholas/G-5707-2013</t>
  </si>
  <si>
    <t>Chesnaye, Nicholas/0000-0003-4883-9174</t>
  </si>
  <si>
    <t>97</t>
  </si>
  <si>
    <t>2048-8505</t>
  </si>
  <si>
    <t>2048-8513</t>
  </si>
  <si>
    <t>CLIN KIDNEY J</t>
  </si>
  <si>
    <t>Clin. Kidney J.</t>
  </si>
  <si>
    <t>NOV 27 2022</t>
  </si>
  <si>
    <t>2280</t>
  </si>
  <si>
    <t>10.1093/ckj/sfac181</t>
  </si>
  <si>
    <t>http://dx.doi.org/10.1093/ckj/sfac181</t>
  </si>
  <si>
    <t>6H4QZ</t>
  </si>
  <si>
    <t>36381375</t>
  </si>
  <si>
    <t>WOS:000843575400001</t>
  </si>
  <si>
    <t>Dam, AN; Klapman, J</t>
  </si>
  <si>
    <t>Barrett's esophagus (BE) is a condition resulting from an acquired metaplastic epithelial change in the esophagus in response to gastroesophageal reflux. BE is the only known precursor lesion to esophageal adenocarcinoma, and can progress from non-dysplastic BE (NDBE) to low grade dysplasia (LGD) and high grade dysplasia (HGD), and ultimately invasive carcinoma. Although the risk of developing esophageal adenocarcinoma (EAC) in NBDE is less than 0.5% per year, there has been a rising incidence of EAC in Western countries, which continue to drive efforts to optimize screening and surveillance methods. The current gold standard for diagnosis is esophagogastroduodenoscopy (EGD), and there has been significant interest in alternative, minimally invasive methods for screening which would be more readily accessible in the primary care setting. Surveillance endoscopy in 3-5 years is recommended for NDBE given the low progression to EAC. The mainstay of treatment for LGD and HGD is endoscopic eradication therapy (EET). Visible lesions are treated with endoscopic mucosal resection (EMR) or endoscopic submucosal dissection (ESD). Radiofrequency ablation (RFA) is considered first line therapy for flat dysplastic BE and cryotherapy has shown promising results as an alternate form of treatment for of dysplasia. The molecular progression of BE to EAC is a complex process involving multiple pathways involving genetic and epigenetic modifications. Genomic studies have further led to the understanding of the complex molecular landscape that occurs early and late in the disease process. Promising biomarker panels have been investigated to help with the diagnosis of BE as well as aid in the risk stratification of BE during surveillance. In addition, clinical prediction models have been developed to categorize BE patients in low, intermediate, and high risk for progression to HGD and EAC. Further clinical and translational research is needed to help refine markers and techniques in diagnosis, screening, and surveillance.</t>
  </si>
  <si>
    <t>Dam, Aamir N.; Klapman, Jason</t>
  </si>
  <si>
    <t>Klapman, J (corresponding author), Univ S Florida, Dept Gastrointestinal Oncol, Moffitt Canc Ctr, 12902 Magnolia Dr, Tampa, FL 33612 USA.; Klapman, J (corresponding author), Univ S Florida, Dept Oncol Sci, Med, 12902 Magnolia Dr, Tampa, FL 33612 USA.</t>
  </si>
  <si>
    <t>jason.klapman@moffitt.org</t>
  </si>
  <si>
    <t>[Dam, Aamir N.; Klapman, Jason] H Lee Moffitt Canc Ctr &amp; Res Inst, Dept Gastrointestinal Oncol, Tampa, FL USA</t>
  </si>
  <si>
    <t>H Lee Moffitt Cancer Center &amp; Research Institute</t>
  </si>
  <si>
    <t>A narrative review of Barrett's esophagus in 2020, molecular and clinical update</t>
  </si>
  <si>
    <t>Barrett's esophagus (BE); low grade dysplasia (LGD); high grade dysplasia (HGD); endoscopic eradication therapy; esophageal cancer; biomarkers</t>
  </si>
  <si>
    <t>LOW-GRADE DYSPLASIA; RADIOFREQUENCY ABLATION; NEOPLASTIC PROGRESSION; INTESTINAL METAPLASIA; INCREASED RISK; PROMOTER HYPERMETHYLATION; MALIGNANT PROGRESSION; DNA METHYLATION; ADVERSE EVENTS; ADENOCARCINOMA</t>
  </si>
  <si>
    <t>1107</t>
  </si>
  <si>
    <t>10.21037/atm-20-4406</t>
  </si>
  <si>
    <t>http://dx.doi.org/10.21037/atm-20-4406</t>
  </si>
  <si>
    <t>NW2LT</t>
  </si>
  <si>
    <t>33145326</t>
  </si>
  <si>
    <t>WOS:000574842100001</t>
  </si>
  <si>
    <t>Levis, B; Snell, KIE; Damen, JAA; Hattle, M; Ensor, J; Dhiman, P; Navarro, CLA; Takwoingi, Y; Whiting, PF; Debray, TPA; Reitsma, JB; Moons, KGM; Collins, GS; Riley, RD</t>
  </si>
  <si>
    <t>Objectives: Risk of bias assessments are important in meta-analyses of both aggregate and individual participant data (IPD). There is limited evidence on whether and how risk of bias of included studies or datasets in IPD meta-analyses (IPDMAs) is assessed. We review how risk of bias is currently assessed, reported, and incorporated in IPDMAs of test accuracy and clinical prediction model studies and provide recommendations for improvement. Study Design and Setting: We searched PubMed (January 2018 -May 2020) to identify IPDMAs of test accuracy and prediction models, then elicited whether each IPDMA assessed risk of bias of included studies and, if so, how assessments were reported and sub-sequently incorporated into the IPDMAs. Results: Forty-nine IPDMAs were included. Nineteen of 27 (70%) test accuracy IPDMAs assessed risk of bias, compared to 5 of 22 (23%) prediction model IPDMAs. Seventeen of 19 (89%) test accuracy IPDMAs used Quality Assessment of Diagnostic Accuracy Studies -2 (QUADAS-2), but no tool was used consistently among prediction model IPDMAs. Of IPDMAs assessing risk of bias, 7 (37%) test ac-curacy IPDMAs and 1 (20%) prediction model IPDMA provided details on the information sources (e.g., the original manuscript, IPD, primary investigators) used to inform judgments, and 4 (21%) test accuracy IPDMAs and 1 (20%) prediction model IPDMA provided in-formation or whether assessments were done before or after obtaining the IPD of the included studies or datasets. Of all included IPDMAs, only seven test accuracy IPDMAs (26%) and one prediction model IPDMA (5%) incorporated risk of bias assessments into their meta-analyses. For future IPDMA projects, we provide guidance on how to adapt tools such as Prediction model Risk Of Bias ASsessment Tool (for prediction models) and QUADAS-2 (for test accuracy) to assess risk of bias of included primary studies and their IPD.Conclusion: Risk of bias assessments and their reporting need to be improved in IPDMAs of test accuracy and, especially, prediction model studies. Using recommended tools, both before and after IPD are obtained, will address this. (c) 2023 The Authors. Published by Elsevier Inc. This is an open access article under the CC BY license (http://creativecommons.org/licenses/by/4.0/).</t>
  </si>
  <si>
    <t>Levis, Brooke; Snell, Kym I. E.; Damen, Johanna A. A.; Hattle, Miriam; Ensor, Joie; Dhiman, Paula; Navarro, Constanza L. Andaur; Takwoingi, Yemisi; Whiting, Penny F.; Debray, Thomas P. A.; Reitsma, Johannes B.; Moons, Karel G. M.; Collins, Gary S.; Riley, Richard D.</t>
  </si>
  <si>
    <t>Levis, B (corresponding author), Jewish Gen Hosp, Lady Davis Inst Med Res, Ctr Clin Epidemiol, 3755 Cote Ste Catherine, Montreal, PQ H3T 1E2, Canada.; Riley, RD (corresponding author), Univ Birmingham, Inst Appl Hlth Res, Coll Med &amp; Dent Sci, Birmingham B15 2TT, England.</t>
  </si>
  <si>
    <t>brooke.levis@mail.mcgill.ca; r.d.riley@bham.ac.uk</t>
  </si>
  <si>
    <t>Fonds de Recherche du Quebec-Sante Postdoctoral Training Fellowship; MRC-NIHR Better Methods Better Research panel [MR/V038168/1]; Cancer Research UK [C49297/A27294]; NIHR Biomedical Research Centre, Oxford; National Institute for Health Research (NIHR) Postdoctoral Fellowship; NIHR Birmingham Biomedical Research Center</t>
  </si>
  <si>
    <t>Fonds de Recherche du Quebec-Sante Postdoctoral Training Fellowship; MRC-NIHR Better Methods Better Research panel; Cancer Research UK (Cancer Research UK); NIHR Biomedical Research Centre, Oxford (National Institutes of Health Research (NIHR)); National Institute for Health Research (NIHR) Postdoctoral Fellowship (National Institutes of Health Research (NIHR)); NIHR Birmingham Biomedical Research Center</t>
  </si>
  <si>
    <t>Brooke Levis was supported by a Fonds de Recherche du Quebec-Sante Postdoctoral Training Fellowship. Kym IE Snell, Joie Ensor, Gary S Collins, Miriam Hattle, and Richard D Riley were supported by funding from the MRC-NIHR Better Methods Better Research panel (grant reference: MR/V038168/1) . Gary S Collins was also supported by Cancer Research UK (programme grant: C49297/A27294) . Paula Dhiman was supported by the NIHR Biomedical Research Centre, Oxford. Yemisi Takwoin-gi was funded by a National Institute for Health Research (NIHR) Postdoctoral Fellowship. Yemisi Takwoingi, Richard D Riley, Kym IE Snell, Joie Ensor, and Miriam Hattle were supported by the NIHR Birmingham Biomedical Research Center. The views expressed are those of the authors</t>
  </si>
  <si>
    <t>[Levis, Brooke] Keele Univ, Ctr Prognosis Res, Sch Med, Keele, England; [Levis, Brooke] Jewish Gen Hosp, Ctr Clin Epidemiol, Lady Davis Inst Med Res, Montreal, PQ, Canada; [Snell, Kym I. E.; Hattle, Miriam; Ensor, Joie; Takwoingi, Yemisi; Riley, Richard D.] Univ Birmingham, Inst Appl Hlth Res, Coll Med &amp; Dent Sci, Birmingham, England; [Snell, Kym I. E.; Hattle, Miriam; Ensor, Joie; Takwoingi, Yemisi; Riley, Richard D.] Birmingham Biomed Res Ctr, Natl Inst Hlth &amp; Care Res NIHR, Birmingham, England; [Damen, Johanna A. A.; Navarro, Constanza L. Andaur; Debray, Thomas P. A.; Reitsma, Johannes B.; Moons, Karel G. M.] Univ Utrecht, Univ Med Ctr Utrecht, Julius Ctr Hlth Sci &amp; Primary Care, Utrecht, Netherlands; [Dhiman, Paula; Collins, Gary S.] Univ Oxford, Ctr Stat Med, Nuffield Dept Orthopaed Rheumatol &amp; Musculoskeleta, Oxford, England; [Whiting, Penny F.] Univ Bristol, Sch Social &amp; Community Med, Bristol, England; [Levis, Brooke] Jewish Gen Hosp, Lady Davis Inst Med Res, Ctr Clin Epidemiol, 3755 Cote Ste Catherine, Montreal, PQ H3T 1E2, Canada; [Riley, Richard D.] Univ Birmingham, Inst Appl Hlth Res, Coll Med &amp; Dent Sci, Birmingham B15 2TT, England</t>
  </si>
  <si>
    <t>Keele University; Jewish General Hospital - Montreal; Lady Davis Institute; University of Birmingham; Utrecht University; Utrecht University Medical Center; University of Oxford; University of Bristol; Lady Davis Institute; Jewish General Hospital - Montreal; University of Birmingham</t>
  </si>
  <si>
    <t>Risk of bias assessments in individual participant data meta-analyses of test accuracy and prediction models: a review shows improvements are needed</t>
  </si>
  <si>
    <t>Risk of bias; Individual participant data meta-analysis; Test accuracy; Prediction models; Applicability; Quality; QUADAS-2; PROBAST</t>
  </si>
  <si>
    <t>POOLED ANALYSIS; TOOL; APPLICABILITY; VALIDATION; PROBAST; IMPACT; WOMEN</t>
  </si>
  <si>
    <t>Reitsma, Johannes/PCT-8920-2025; Moons, Karel GM/JPA-4011-2023; Collins, Gary/A-2258-2014; Debray, Thomas/J-7413-2012; Ensor, Joie/AAE-9109-2019; Snell, Kym/L-1918-2015; Whiting, Penny/JQI-9077-2023; Riley, Richard D/G-2406-2011</t>
  </si>
  <si>
    <t>Takwoingi, Yemisi/0000-0002-5828-9746; Collins, Gary/0000-0002-2772-2316; Damen, Johanna/0000-0001-7401-4593; Debray, Thomas/0000-0002-1790-2719; Ensor, Joie/0000-0001-7481-0282; Snell, Kym/0000-0001-9373-6591; Whiting, Penny/0000-0003-1138-5682; Hattle, Miriam/0000-0003-1542-6277; Riley, Richard D/0000-0001-8699-0735</t>
  </si>
  <si>
    <t>111206</t>
  </si>
  <si>
    <t>10.1016/j.jclinepi.2023.10.022</t>
  </si>
  <si>
    <t>http://dx.doi.org/10.1016/j.jclinepi.2023.10.022</t>
  </si>
  <si>
    <t>EV6W4</t>
  </si>
  <si>
    <t>37925059</t>
  </si>
  <si>
    <t>WOS:001141756800001</t>
  </si>
  <si>
    <t>Hunt, A; Law, H; Carney, R; Mulholland, R; Flores, A; Smith, CT; Varese, F; Parker, S; Yung, AR; Bonnett, LJ</t>
  </si>
  <si>
    <t>Objectives: This study aims to review studies developing or validating a prediction model for transition to psychosis in individuals meeting At Risk Mental State (ARMS) criteria focussing on predictors that can be obtained as part of standard clinical practice. Prediction of transition is crucial to facilitating identification of patients who would benefit from cognitive behavioural therapy and, conversely, those that would benefit from less costly and less-intensive regular mental state monitoring. The review aims to determine whether prediction models rated as low risk of bias exist and, if not, what further research is needed within the field. Design: Bibliographic databases (PsycINFO, Medline, EMBASE, CINAHL) were searched using index terms relating to the clinical field and prognosis from 1994, the initial year of the first prospective study using ARMS criteria, to July 2024. Screening of titles, abstracts, and subsequently full texts was conducted by two reviewers independently using predefined criteria. Study quality was assessed using the Prediction model Risk Of Bias ASessment Tool (PROBAST). Setting: Studies in any setting were included. Primary and secondary outcome measures: The primary outcome for the review was the identification of prediction models considering transition risk and a summary of their risk of bias. Results: Forty-eight unique prediction models considering risk of transition to psychosis were identified. Variables found to be consistently important when predicting transition were age, gender, global functioning score, trait vulnerability, and unusual thought content. PROBAST criteria categorised four unique prediction models as having an overall low-risk bias. Other studies were insufficiently powered for the number of candidate predictors or lacking enough information to draw a conclusion regarding risk of bias. Conclusions: Two of the 48 identified prediction models were developed using current best practice statistical methodology, validated their model in independent data, and presented low risk of bias overall in line with the PROBAST guidelines. Any new prediction model built to evaluate the risk of transition to psychosis in people meeting ARMS criteria should be informed by the latest statistical methodology and adhere to the TRIPOD reporting guidelines to ensure that clinical practice is informed by the best possible evidence. External validation of such models should be carefully planned particularly considering generalisation across different countries. Systematic review registration https://www.crd.york.ac.uk/PROSPEROFILES/108488_PROTOCOL_20191127.pdf, identifier CRD42018108488.</t>
  </si>
  <si>
    <t>Hunt, Alexandra; Law, Heather; Carney, Rebekah; Mulholland, Rachel; Flores, Allan; Smith, Catrin Tudur; Varese, Filippo; Parker, Sophie; Yung, Alison R.; Bonnett, Laura J.</t>
  </si>
  <si>
    <t>a.hunt5@liverpool.ac.uk</t>
  </si>
  <si>
    <t>National Institute for Health and Care Research10.13039/501100000272</t>
  </si>
  <si>
    <t>We thank Nouran Abdou for her assistance with screening of titles and abstracts.</t>
  </si>
  <si>
    <t>[Hunt, Alexandra; Flores, Allan; Smith, Catrin Tudur; Bonnett, Laura J.] Univ Liverpool, Dept Hlth Data Sci, Liverpool, England; [Law, Heather; Carney, Rebekah; Mulholland, Rachel; Varese, Filippo; Parker, Sophie; Yung, Alison R.] Greater Manchester Mental Hlth NHS Fdn Trust, Manchester, England; [Law, Heather; Carney, Rebekah; Varese, Filippo; Parker, Sophie; Yung, Alison R.] Univ Manchester, Sch Hlth Sci, Div Psychol &amp; Mental Hlth, Manchester, England; [Yung, Alison R.] Deakin Univ, Inst Mental &amp; Phys Hlth &amp; Clin Translat IMPACT, Geelong, Vic, Australia</t>
  </si>
  <si>
    <t>University of Liverpool; University of Manchester; Deakin University</t>
  </si>
  <si>
    <t>Systematic review of clinical prediction models for psychosis in individuals meeting At Risk Mental State criteria</t>
  </si>
  <si>
    <t>prognostic/prediction modelling; mental health; ARMS; psychosis; systematic review</t>
  </si>
  <si>
    <t>PROGNOSTIC MODELS; APPLICABILITY; TRANSITION; PROBAST; EVENTS; BIAS; TOOL</t>
  </si>
  <si>
    <t>Bonnett, Laura/A-2159-2015; Carney, Rebekah/AAO-5205-2021; Yung, Alison/N-6729-2019</t>
  </si>
  <si>
    <t>Bonnett, Laura/0000-0002-6981-9212; Varese, Filippo/0000-0001-7244-598X; hunt, Alexandra/0000-0001-5510-0285; Tudur Smith, Catrin/0000-0003-3051-1445; Law, Heather/0000-0002-1889-9179; Parker, Sophie/0000-0001-5596-7524</t>
  </si>
  <si>
    <t>OCT 2 2024</t>
  </si>
  <si>
    <t>1408738</t>
  </si>
  <si>
    <t>10.3389/fpsyt.2024.1408738</t>
  </si>
  <si>
    <t>http://dx.doi.org/10.3389/fpsyt.2024.1408738</t>
  </si>
  <si>
    <t>I8Z7Q</t>
  </si>
  <si>
    <t>39415891</t>
  </si>
  <si>
    <t>WOS:001333088200001</t>
  </si>
  <si>
    <t>Almaghrabi, M; Gandhi, M; Guizzetti, L; Iansavichene, A; Yan, B; Wilson, A; Oakland, K; Jairath, V; Sey, M</t>
  </si>
  <si>
    <t>IMPORTANCE Clinical prediction models, or risk scores, can be used to risk stratify patients with lower gastrointestinal bleeding (LGIB), although the most discriminative score is unknown.OBJECTIVE To identify all LGIB risk scores available and compare their prognostic performance.DATA SOURCES A systematic search of Ovid MEDLINE, Embase, and the Cochrane Central Register of Controlled Trials from January 1, 1990, through August 31, 2021, was conducted. Non-English-language articles were excluded.STUDY SELECTION Observational and interventional studies deriving or validating an LGIB risk score for the prediction of a clinical outcome were included. Studies including patients younger than 16 years or limited to a specific patient population or a specific cause of bleeding were excluded. Two investigators independently screened the studies, and disagreements were resolved by consensus.DATA EXTRACTION AND SYNTHESIS Data were abstracted according to the Preferred Reporting Items for Systematic Reviews and Meta-analyses (PRISMA) guideline independently by 2 investigators and pooled using random-effects models.MAIN OUTCOMES AND MEASURES Summary diagnostic performance measures (sensitivity, specificity, and area under the receiver operating characteristic curve [AUROC]) determined a priori were calculated for each risk score and outcome combination.RESULTS A total of 3268 citations were identified, of which 9 studies encompassing 12 independent cohorts and 4 risk scores (Oakland, Strate, NOBLADS [nonsteroidal anti-inflammatory drug use, no diarrhea, no abdominal tenderness, blood pressure &lt;= 100 mm Hg, antiplatelet drug use (nonaspirin), albumin &lt;3.0 g/dL, disease score &gt;= 2 (according to the Charlson Comorbidity Index), and syncope], and BLEED [ongoing bleeding, low systolic blood pressure, elevated prothrombin time, erratic mental status, and unstable comorbid disease]) were included in the meta-analysis. For the prediction of safe discharge, the AUROC for the Oakland score was 0.86 (95% CI, 0.82-0.88). For major bleeding, the AUROC was 0.93 (95% CI, 0.90-0.95) for the Oakland score, 0.73 (95% CI, 0.69-0.77) for the Strate score, 0.58 (95% CI, 0.53-0.62) for the NOBLADS score, and 0.65 (95% CI, 0.61-0.69) for the BLEED score. For transfusion, the AUROC was 0.99 (95% CI, 0.98-1.00) for the Oakland score and 0.88 (95% CI, 0.85-0.90) for the NOBLADS score. For hemostasis, the AUROC was 0.36 (95% CI, 0.32-0.40) for the Oakland score, 0.82 (95% CI, 0.79-0.85) for the Strate score, and 0.24 (95% CI, 0.20-0.28)for the NOBLADS score.CONCLUSIONS AND RELEVANCE The Oakland score was the most discriminative LGIB risk score for predicting safe discharge, major bleeding, and need for transfusion, whereas the Strate score was best for predicting need for hemostasis. This study suggests that these scores can be used to predict outcomes from LGIB and guide clinical care accordingly.</t>
  </si>
  <si>
    <t>Almaghrabi, Majed; Gandhi, Mandark; Guizzetti, Leonardo; Iansavichene, Alla; Yan, Brian; Wilson, Aze; Oakland, Kathryn; Jairath, Vipul; Sey, Michael</t>
  </si>
  <si>
    <t>Sey, M (corresponding author), London Hlth Sci Ctr, Lawson Hlth Res Inst, 800 Commissioners Rd E, London, ON N6A 5W9, Canada.</t>
  </si>
  <si>
    <t>msey2@uwo.ca</t>
  </si>
  <si>
    <t>[Almaghrabi, Majed; Yan, Brian; Wilson, Aze; Jairath, Vipul; Sey, Michael] Western Univ, Div Gastroenterol, London, ON, Canada; [Gandhi, Mandark] Grand River Hosp, Dept Med, Kitchener, ON, Canada; [Iansavichene, Alla] London Hlth Sci Ctr, Lib Serv, London, ON, Canada; [Oakland, Kathryn] HCA Healthcare UK, Digest Dis Dept, London, England; [Jairath, Vipul; Sey, Michael] London Hlth Sci Ctr, Lawson Hlth Res Inst, 800 Commissioners Rd E, London, ON N6A 5W9, Canada; [Jairath, Vipul] Western Univ, Dept Epidemiol &amp; Biostat, London, ON, Canada</t>
  </si>
  <si>
    <t>Western University (University of Western Ontario); London Health Sciences Centre; London Health Sciences Centre; Western University (University of Western Ontario); University Western Ontario Hospital; Western University (University of Western Ontario)</t>
  </si>
  <si>
    <t>Comparison of Risk Scores for Lower Gastrointestinal Bleeding A Systematic Review and Meta-analysis</t>
  </si>
  <si>
    <t>PREDICTION MODEL; NEURAL-NETWORK; VALIDATION; OUTCOMES; MANAGEMENT; HEMORRHAGE; TOOL; NEED</t>
  </si>
  <si>
    <t>Jairath, Vipul/LHA-0256-2024; Oakland, Kathryn/AAX-8832-2020; Wilson, Aze/K-1129-2016; Guizzetti, Leonardo/H-9346-2012; Sey, Michael/G-1068-2018</t>
  </si>
  <si>
    <t>Jairath, Vipul/0000-0002-1092-0033; Iansavitchene, Alla/0000-0002-5651-1024</t>
  </si>
  <si>
    <t>MAY 27 2022</t>
  </si>
  <si>
    <t>e2214253</t>
  </si>
  <si>
    <t>10.1001/jamanetworkopen.2022.14253</t>
  </si>
  <si>
    <t>http://dx.doi.org/10.1001/jamanetworkopen.2022.14253</t>
  </si>
  <si>
    <t>1N4NQ</t>
  </si>
  <si>
    <t>35622365</t>
  </si>
  <si>
    <t>WOS:000800634900003</t>
  </si>
  <si>
    <t>Fu, LH; Schwartz, J; Moy, A; Knaplund, C; Kang, MJ; Schnock, KO; Garcia, JP; Jia, H; Dykes, PC; Cato, K; Albers, D; Rossetti, SC</t>
  </si>
  <si>
    <t>Objectives: This review aims to: 1) evaluate the quality of model reporting, 2) provide an overview of methodology for developing and validating Early Warning Score Systems (EWSs) for adult patients in acute care settings, and 3) highlight the strengths and limitations of the methodologies, as well as identify future directions for EWS derivation and validation studies.Methodology: A systematic search was conducted in PubMed, Cochrane Library, and CINAHL. Only peer reviewed articles and clinical guidelines regarding developing and validating EWSs for adult patients in acute care settings were included. 615 articles were extracted and reviewed by five of the authors. Selected studies were evaluated based on the Transparent Reporting of a multivariable prediction model for Individual Prognosis Or Diagnosis (TRIPOD) checklist. The studies were analyzed according to their study design, predictor selection, outcome measurement, methodology of modeling, and validation strategy.Results: A total of 29 articles were included in the final analysis. Twenty-six articles reported on the development and validation of a new EWS, while three reported on validation and model modification. Only eight studies met more than 75% of the items in the TRIPOD checklist. Three major techniques were utilized among the studies to inform their predictive algorithms: 1) clinical-consensus models (n = 6), 2) regression models (n = 15), and 3) tree models (n = 5). The number of predictors included in the EWSs varied from 3 to 72 with a median of seven. Twenty-eight models included vital signs, while 11 included lab data. Pulse oximetry, mental status, and other variables extracted from electronic health records (EHRs) were among other frequently used predictors. Inhospital mortality, unplanned transfer to the intensive care unit (ICU), and cardiac arrest were commonly used clinical outcomes. Twenty-eight studies conducted a form of model validation either within the study or against other widely-used EWSs. Only three studies validated their model using an external database separate from the derived database.Conclusion: This literature review demonstrates that the characteristics of the cohort, predictors, and outcome selection, as well as the metrics for model validation, vary greatly across EWS studies. There is no consensus on the optimal strategy for developing such algorithms since data-driven models with acceptable predictive accuracy are often site-specific. A standardized checklist for clinical prediction model reporting exists, but few studies have included reporting aligned with it in their publications. Data-driven models are subjected to biases in the use of EHR data, thus it is particularly important to provide detailed study protocols and acknowledge, leverage, or reduce potential biases of the data used for EWS development to improve transparency and generalizability.</t>
  </si>
  <si>
    <t>Fu, Li-Heng; Schwartz, Jessica; Moy, Amanda; Knaplund, Chris; Kang, Min-Jeoung; Schnock, Kumiko O.; Garcia, Jose P.; Jia, Haomiao; Dykes, Patricia C.; Cato, Kenrick; Albers, David; Rossetti, Sarah Collins</t>
  </si>
  <si>
    <t>Fu, LH (corresponding author), Columbia Univ, Dept Biomed Informat, 622 W 168th St,Presbyterian Bldg 20th Floor, New York, NY 10032 USA.</t>
  </si>
  <si>
    <t>lf2608@cumc.columbia.edu</t>
  </si>
  <si>
    <t>National Library of Medicine Training Grant [5 T15 LM007079]; National Institute for Nursing Research (NINR) [1R01NR016941, 5T32NR007969]; National Institute of Nursing Research [T32NR007969, R01NR016941] Funding Source: NIH RePORTER; National Library of Medicine; National Institute of Allergy and Infectious Diseases [T15LM007079] Funding Source: NIH RePORTER</t>
  </si>
  <si>
    <t>National Library of Medicine Training Grant; National Institute for Nursing Research (NINR); National Institute of Nursing Research (United States Department of Health &amp; Human Services, National Institutes of Health (NIH) - USA, NIH National Institute of Nursing Research (NINR)); National Library of Medicine; National Institute of Allergy and Infectious Diseases (United States Department of Health &amp; Human Services, National Institutes of Health (NIH) - USA, NIH National Library of Medicine (NLM), NIH National Institute of Allergy &amp; Infectious Diseases (NIAID))</t>
  </si>
  <si>
    <t>This work was funded by the National Library of Medicine Training Grant #5 T15 LM007079 and the National Institute for Nursing Research (NINR) funded CONCERN Study #1R01NR016941 and Training Grant #5T32NR007969.</t>
  </si>
  <si>
    <t>[Fu, Li-Heng; Moy, Amanda; Knaplund, Chris; Albers, David; Rossetti, Sarah Collins] Columbia Univ, Dept Biomed Informat, 622 W 168th St,Presbyterian Bldg 20th Floor, New York, NY 10032 USA; [Schwartz, Jessica; Jia, Haomiao; Cato, Kenrick; Rossetti, Sarah Collins] Columbia Univ, Sch Nursing, New York, NY USA; [Kang, Min-Jeoung; Schnock, Kumiko O.; Garcia, Jose P.; Dykes, Patricia C.] Brigham &amp; Womens Hosp, Div Gen Internal Med &amp; Primary Care, 75 Francis St, Boston, MA 02115 USA; [Kang, Min-Jeoung; Schnock, Kumiko O.; Dykes, Patricia C.] Harvard Med Sch, Boston, MA 02115 USA; [Jia, Haomiao] Columbia Univ, Mailman Sch Publ Hlth, Dept Biostat, New York, NY USA; [Albers, David] Univ Colorado, Dept Pediat, Sect Informat &amp; Data Sci, Aurora, CO USA</t>
  </si>
  <si>
    <t>Columbia University; Columbia University; Harvard University; Harvard University Medical Affiliates; Brigham &amp; Women's Hospital; Harvard University; Harvard Medical School; Columbia University; University of Colorado System; University of Colorado Anschutz</t>
  </si>
  <si>
    <t>Development and validation of early warning score system: A systematic literature review</t>
  </si>
  <si>
    <t>Early warning scores; Clinical predictive modeling; Monitoring; Physiologic; Electronic health records; Decision support technique; Prognosis</t>
  </si>
  <si>
    <t>HEALTH RECORD DATA; MULTIVARIABLE PREDICTION MODEL; CARDIAC-ARREST; CLINICAL DETERIORATION; HOSPITALIZED-PATIENTS; INDIVIDUAL PROGNOSIS; RISK STRATIFICATION; MEDICAL ADMISSIONS; EARLY RECOGNITION; DIAGNOSIS TRIPOD</t>
  </si>
  <si>
    <t>Jia, Haomiao/AAU-8276-2021</t>
  </si>
  <si>
    <t>Fu, Li-heng/0000-0001-5662-8321; Cato, Kenrick/0000-0002-0704-3826; Garcia, Jose Peo/0000-0001-5089-547X</t>
  </si>
  <si>
    <t>103410</t>
  </si>
  <si>
    <t>10.1016/j.jbi.2020.103410</t>
  </si>
  <si>
    <t>http://dx.doi.org/10.1016/j.jbi.2020.103410</t>
  </si>
  <si>
    <t>LR4GB</t>
  </si>
  <si>
    <t>32278089</t>
  </si>
  <si>
    <t>WOS:000535653800004</t>
  </si>
  <si>
    <t>Bronze; Green Accepted</t>
  </si>
  <si>
    <t>Sun, Y; Li, B; Ju, CL; Hu, LM; Sun, HY; An, J; Kim, TH; Bu, ZJ; Shi, ZY; Liu, JP; Liu, ZL</t>
  </si>
  <si>
    <t>Background: Predicting colorectal cancer (CRC) recurrence risk remains a challenge in clinical practice. Owing to the widespread use of radiomics in CRC diagnosis and treatment, some researchers recently explored the effectiveness of radiomics-based models in forecasting CRC recurrence risk. Nonetheless, the lack of systematic evidence of the efficacy of such models has hampered their clinical adoption. Objective: This study aimed to explore the value of radiomics in predicting CRC recurrence, providing a scholarly rationale for developing more specific interventions. Methods: Overall, 4 databases (Embase, PubMed, the Cochrane Library, and Web of Science) were searched for relevant articles from inception to January 1, 2025. We included studies that developed or validated radiomics-based machine learning models for predicting CRC recurrence using computed tomography or magnetic resonance imaging and provided discriminative performance metrics (c-index). Nonoriginal articles, studies that did not develop a model, and those lacking clear outcome measures were excluded from the study. The quality of the included original studies was assessed using the Radiomics Quality Score. A bivariate mixed-effects model was used to conduct a meta-analysis in which the c-index values with 95% CI were pooled. For the meta-analysis, subgroup analyses were conducted separately on the validation and training sets. Results: This meta-analysis included 17 original studies involving 4600 patients with CRC. The quality of the identified studies was low (mean Radiomics Quality Score 13.23/36, SD 2.56), with limitations in prospective design and biological validation. In the validation set, the c-index values based on clinical features, radiomics features, and radiomics features combined with clinical features were 0.73 (95% CI 0.68-0.79), 0.80 (95% CI 0.75-0.85), and 0.83 (95% CI 0.79-0.87), respectively. In the internal validation set, the c-index values based on clinical features, radiomics features, and radiomics features+clinical features were 0.70 (95% CI 0.61-0.79), 0.83 (95% CI 0.78-0.88), and 0.83 (95% CI 0.78-0.88), respectively. Finally, in the external validation set, the c-index values based on clinical features, radiomics features, and radiomics features combined with clinical features were 0.76 (95% CI 0.70-0.83), 0.75 (95% CI 0.66-0.83), and 0.83 (95% CI 0.78-0.88), respectively. Conclusions: Radiomics-based machine learning models, especially those integrating radiomics and clinical features, showed promising predictive performance for CRC recurrence risk. However, this study has several limitations, such as moderate study quality, limited sample size, and high heterogeneity in modeling approaches. These findings suggest the potential clinical value of integrated models in risk stratification and their potential to enhance personalized treatment, though further high-quality prospective studies are warranted.</t>
  </si>
  <si>
    <t>Sun, Yuan; Li, Bo; Ju, Chuanlan; Hu, Liming; Sun, Huiyi; An, Jing; Kim, Tae-Hun; Bu, Zhijun; Shi, Zeyang; Liu, Jianping; Liu, Zhaolan</t>
  </si>
  <si>
    <t>Liu, ZL (corresponding author), Beijing Univ Chinese Med, Ctr Evidence Based Chinese Med, 11 East Beisanhuan Rd,Heping St, Beijing 100029, Peoples R China.</t>
  </si>
  <si>
    <t>lzl1019@163.com</t>
  </si>
  <si>
    <t>National Natural Science Foundation of China [82374298]; Backup Leader Support Program of Beijing University of Chinese Medicine [90010960920033]; High-level Chinese Medicine Key Discipline of the Double-tier Supporting Support Bureau-Evidence-based Medicine in Chinese Medicine [90010951310169]</t>
  </si>
  <si>
    <t>National Natural Science Foundation of China (National Natural Science Foundation of China (NSFC)); Backup Leader Support Program of Beijing University of Chinese Medicine; High-level Chinese Medicine Key Discipline of the Double-tier Supporting Support Bureau-Evidence-based Medicine in Chinese Medicine</t>
  </si>
  <si>
    <t>This work was supported by the National Natural Science Foundation of China (grant 82374298), Backup Leader Support Program of Beijing University of Chinese Medicine (90010960920033), and High-level Chinese Medicine Key Discipline of the Double-tier Supporting Support Bureau-Evidence-based Medicine in Chinese Medicine (90010951310169).</t>
  </si>
  <si>
    <t>[Sun, Yuan; Bu, Zhijun; Shi, Zeyang; Liu, Jianping; Liu, Zhaolan] Beijing Univ Chinese Med, Ctr Evidence Based Chinese Med, 11 East Beisanhuan Rd,Heping St, Beijing 100029, Peoples R China; [Sun, Yuan] Shandong Coll Tradit Chinese Med, Dept Publ Hlth, Yantai, Peoples R China; [Li, Bo] Prevent Med Assoc, Yantai Ctr Dis Control &amp; Prevent, Yantai, Peoples R China; [Ju, Chuanlan] Yantai Hosp Tradit Chinese Med, Dept Publ Hlth, Yantai, Peoples R China; [Hu, Liming] Beijing Univ Chinese Med, Dongfang Hosp, Dept Spleen Stomach Liver &amp; Gallbladder, Beijing, Peoples R China; [Sun, Huiyi] Beijing Univ Chinese Med, Dongzhimen Hosp, Dept Spleen Stomach Liver &amp; Gallbladder, Beijing, Peoples R China; [An, Jing] Beijing Univ Chinese Med, Affiliated Hosp 3, Dept Spleen &amp; Stomach, Beijing, Peoples R China; [Kim, Tae-Hun] Kyung Hee Univ, Korean Med Clin Trial Ctr, Korean Med Hosp, Seoul, South Korea</t>
  </si>
  <si>
    <t>Beijing University of Chinese Medicine; Shandong University of Traditional Chinese Medicine; Beijing University of Chinese Medicine; Beijing University of Chinese Medicine; Beijing University of Chinese Medicine; Kyung Hee University; Kyung Hee University Hospital</t>
  </si>
  <si>
    <t>Predictive Performance of Radiomics-Based Machine Learning for Colorectal Cancer Recurrence Risk: Systematic Review and Meta-Analysis</t>
  </si>
  <si>
    <t>colorectal cancer; radiomics; meta-analysis; clinical prediction model; PRISMA; Preferred Reporting Items for Systematic Reviews and Meta-Analyses</t>
  </si>
  <si>
    <t>QUALITY</t>
  </si>
  <si>
    <t>HU, LIMING/KEI-7486-2024</t>
  </si>
  <si>
    <t>Bu, Zhijun/0009-0006-0051-1662; Liu, Jianping/0000-0002-0320-061X</t>
  </si>
  <si>
    <t>e78644</t>
  </si>
  <si>
    <t>10.2196/78644</t>
  </si>
  <si>
    <t>http://dx.doi.org/10.2196/78644</t>
  </si>
  <si>
    <t>Q3677</t>
  </si>
  <si>
    <t>41328447</t>
  </si>
  <si>
    <t>WOS:001634518000002</t>
  </si>
  <si>
    <t>Nweke, M; Ibeneme, S; Pillay, JD; Mshunqane, N</t>
  </si>
  <si>
    <t>Background Coronary artery disease (CAD) is a leading cause of mortality among people living with HIV (PLWH). Risk stratification remains inconsistent due to geographic disparities, ART-related metabolic effects, and overreliance on strength of association. This review synthesizes global evidence to classify CAD risk factors in PLWH, aiming to improve predictive models and preventative strategies. Methods Following the PRISMA 2020 guidelines, a systematic review was conducted across six databases: PubMed, Scopus, Web of Science, Medline, CINAHL, and African Journals (SABINET). Two independent reviewers screened studies and extracted data. Narrative synthesis and meta-analysis were conducted. Risk factors were classified using Rw, causality index (CI), and public health priority (PHP). Findings Twenty-two studies involving 103,370 participants were included. First-class risk factors (CI: 7-10) included hypertension (OR: 4.9; p &lt; 0.05; Rw: 4.5), advanced age (&gt;= 50 years) (OR: 4.96, p &lt; 0.05, Rw: 3.58), dyslipidemia (OR: 2.15, p &lt; 0.04, Rw: 2.15), and overweight/obesity (OR: 1.81, p &lt; 0.05, Rw: 1.36). Second-class risk factors (CI: 5-6) included family history of CVD (OR: 3.25, p &lt; 0.05; Rw: 2. 24). Third-class risk factors (CI &lt;= 4) included diabetes (OR: 2.64, p &lt; 0.05, Rw: 1.32), antiretroviral therapy exposure (OR: 1.68, p &lt; 0.05, Rw: 0.63), and homosexuality (OR: 1.82, p &lt; 0.05, Rw: 0.62). Critical thresholds (cumulative Rw: 14.8 and 8.0) were set at 75th and 50th percentiles of cumulative Rw. At GTT value of 0.50, the parsimonious global clinical prediction model for HIV-related CAD included age, hypertension, dyslipidemia, family history of CVD, diabetes, and overweight/obesity (Rw: 15.5, GTT: 4.05). For primary prevention, the optimal model comprised hypertension, dyslipidemia, and obesity (Rw: 8.01, GTT: 2.07). Advanced age and hypertension were "necessary causes" of CAD among PLWH. Conclusion Association strength alone cannot determine CAD risk. Cumulative risk indexing and responsiveness provide a robust framework. Prevention should prioritize hypertension and dyslipidemia management, with interventions for obesity, smoking, and virological failure. Age and hypertension should prompt cardiovascular screening. Standardized risk definitions, accounting for the role of protective factors and integrating evidence with domain knowledge are vital for improved CAD risk stratification and prediction in PLWH. Routine cardiovascular screening in HIV care remains essential.</t>
  </si>
  <si>
    <t>Nweke, Martins; Ibeneme, Sam; Pillay, Julian D.; Mshunqane, Nombeko</t>
  </si>
  <si>
    <t>Nweke, M (corresponding author), Univ Pretoria, Fac Hlth Sci, Dept Physiotherapy, Pretoria, South Africa.; Nweke, M (corresponding author), Durban Univ Technol, Fac Hlth Sci, Dept Global Hlth &amp; Sustainabil, Durban, South Africa.; Nweke, M (corresponding author), David Umahi Fed Univ Hlth Sci, Dept Physiotherapy, Uburu, Ebonyi, Nigeria.</t>
  </si>
  <si>
    <t>martins.nweke@gmail.com</t>
  </si>
  <si>
    <t>The author(s) declare that financial support was received for the research and/or publication of this article. This study was self-funded by the authors.</t>
  </si>
  <si>
    <t>[Nweke, Martins; Mshunqane, Nombeko] Univ Pretoria, Fac Hlth Sci, Dept Physiotherapy, Pretoria, South Africa; [Nweke, Martins; Pillay, Julian D.] Durban Univ Technol, Fac Hlth Sci, Dept Global Hlth &amp; Sustainabil, Durban, South Africa; [Nweke, Martins; Ibeneme, Sam] David Umahi Fed Univ Hlth Sci, Dept Physiotherapy, Uburu, Ebonyi, Nigeria</t>
  </si>
  <si>
    <t>University of Pretoria; Durban University of Technology</t>
  </si>
  <si>
    <t>Characterization and risk stratification of coronary artery disease in people living with HIV: a global systematic review</t>
  </si>
  <si>
    <t>coronary artery disease; HIV; risk stratification; epidemiological model; systematic review</t>
  </si>
  <si>
    <t>HUMAN-IMMUNODEFICIENCY-VIRUS; HEART-DISEASE; CARDIOVASCULAR-DISEASE; ANTIRETROVIRAL THERAPY; PROTEASE INHIBITORS; CIGARETTE-SMOKING; INFECTED PATIENTS; VASCULAR-DISEASE; FAMILY-HISTORY; ASSOCIATION</t>
  </si>
  <si>
    <t>Ibeneme, Sam/AAU-6547-2021; Nweke, Martins/AFU-8955-2022</t>
  </si>
  <si>
    <t>AUG 12 2025</t>
  </si>
  <si>
    <t>1586019</t>
  </si>
  <si>
    <t>10.3389/fcvm.2025.1586019</t>
  </si>
  <si>
    <t>http://dx.doi.org/10.3389/fcvm.2025.1586019</t>
  </si>
  <si>
    <t>6PE3K</t>
  </si>
  <si>
    <t>40873612</t>
  </si>
  <si>
    <t>WOS:001558703300001</t>
  </si>
  <si>
    <t>Virdee, PS; Collins, KK; Smith, CF; Yang, X; Zhu, SF; Roberts, N; Oke, JL; Bankhead, C; Perera, R; Hobbs, FDR; Nicholson, B</t>
  </si>
  <si>
    <t>Background: Blood tests used to identify patients at increased risk of undiagnosed cancer are commonly used in isolation, primarily by monitoring whether results fall outside the normal range. Some prediction models incorporate changes over repeated blood tests (or trends) to improve individualized cancer risk identification, as relevant trends may be confined within the normal range. Objective: Our aim was to critically appraise existing diagnostic prediction models incorporating blood test trends for the risk of cancer. Methods: MEDLINE and EMBASE were searched until April 3, 2025 for diagnostic prediction model studies using blood test trends for cancer risk. Screening was performed by 4 reviewers. Data extraction for each article was performed by 2 reviewers independently. To critically appraise models, we narratively synthesized studies, including model building and validation strategies, model reporting, and the added value of blood test trends. We also reviewed the performance measures of each model, including discrimination and calibration. We performed a random-effects meta-analysis of the c-statistic for a trends-based prediction model if there were at least 3 studies validating the model. The risk of bias was assessed using the PROBAST (prediction model risk of bias assessment tool). Results: We included 16 articles, with a total of 7 models developed and 14 external validation studies. In the 7 models derived, full blood count (FBC) trends were most commonly used (86%, n=7 models). Cancers modeled were colorectal (43%, n=3), gastro-intestinal (29%, n=2), nonsmall cell lung (14%, n=1), and pancreatic (14%, n=1). In total, 2 models used statistical logistic regression, 2 used joint modeling, and 1 each used XGBoost, decision trees, and random forests. The number of blood test trends included in the models ranged from 1 to 26. A total of 2 of 4 models were reported with the full set of coefficients needed to predict risk, with the remaining excluding at least one coefficient from their article or were not publicly accessible. The c-statistic ranged 0.69-0.87 among validation studies. The ColonFlag model using trends in the FBC was commonly externally validated, with a pooled c-statistic=0.81 (95% CI 0.77-0.85; n=4 studies) for 6-month colorectal cancer risk. Models were often inadequately tested, with only one external validation study assessing model calibration. All 16 studies scored a low risk of bias regarding predictor and outcome details. All but one study scored a high risk of bias in the analysis domain, with most studies often removing patients with missing data from analysis or not adjusting the derived model for overfitting. Conclusions: Our review highlights that blood test trends may inform further investigation for cancer. However, models were not available for most cancer sites, were rarely externally validated, and rarely assessed calibration when they were externally validated. Trial Registration: PROSPERO CRD42022348907; https://www.crd.york.ac.uk/PROSPERO/view/CRD42022348907</t>
  </si>
  <si>
    <t>Virdee, Pradeep S.; Collins, Kiana K.; Smith, Claire Friedemann; Yang, Xin; Zhu, Sufen; Roberts, Nia; Oke, Jason L.; Bankhead, Clare; Perera, Rafael; Hobbs, F. D. Richard; Nicholson, Brian</t>
  </si>
  <si>
    <t>Virdee, PS (corresponding author), Univ Oxford, Nuffield Dept Primary Care Hlth Sci, Radcliffe Primary Care Bldg, Woodstock Rd, Oxford OX2 6GG, England.</t>
  </si>
  <si>
    <t>pradeep.virdee@phc.ox.ac.uk</t>
  </si>
  <si>
    <t>Cancer Research UK Clinical Careers Committee Postdoctoral Fellowship [RCCPDF\100005]</t>
  </si>
  <si>
    <t>Cancer Research UK Clinical Careers Committee Postdoctoral Fellowship</t>
  </si>
  <si>
    <t>Acknowledgments PSV and BDN are funded for this work by a Cancer Research UK Clinical Careers Committee Postdoctoral Fellowship (RCCPDF\100005) . The authors would also like to thank patient and public involvement representatives Alton Sutton, Bernard Gudgin, Clara Martins de Barros, Emily Lam, Ian Blelloch, Julian Ashton, Margaret Ogden, Shannon Draisey, and Susan Lynne for applying a patient perspective on the relevance of blood test trends for cancer detection.</t>
  </si>
  <si>
    <t>[Virdee, Pradeep S.; Collins, Kiana K.; Smith, Claire Friedemann; Zhu, Sufen; Oke, Jason L.; Bankhead, Clare; Hobbs, F. D. Richard; Nicholson, Brian] Univ Oxford, Nuffield Dept Primary Care Hlth Sci, Radcliffe Primary Care Bldg, Woodstock Rd, Oxford OX2 6GG, England; [Yang, Xin] Univ Oxford, St Edmund Hall, Oxford, England; [Roberts, Nia] Univ Oxford, Bodleian Hlth Care Lib, Oxford, England</t>
  </si>
  <si>
    <t>University of Oxford; University of Oxford; University of Oxford</t>
  </si>
  <si>
    <t>Clinical Prediction Models Incorporating Blood Test Trend for Cancer Detection: Systematic Review, Meta-Analysis, and Critical Appraisal</t>
  </si>
  <si>
    <t>JMIR CANCER</t>
  </si>
  <si>
    <t>blood test; hematologic tests; trend; prediction model; primary health care; cancer; neoplasms; systematic review</t>
  </si>
  <si>
    <t>COLORECTAL-CANCER; PRIMARY-CARE; VALIDATION; RISK</t>
  </si>
  <si>
    <t>hobbs, richard/LMN-3113-2024; Friedemann Smith, Claire/J-4491-2019; Roberts, Nia Wyn/F-9842-2010; Virdee, Pradeep/AAI-1261-2019</t>
  </si>
  <si>
    <t>Yang, Xin/0000-0001-7951-5055; Zhu, Sufen/0009-0003-1298-3905; Collins, Kiana Khorasani/0000-0002-3736-6976; hobbs, richard/0000-0001-7976-7172; Perera, Rafael/0000-0003-2418-2091; Oke, Jason/0000-0003-3467-6677; Friedemann Smith, Claire/0000-0001-9934-5882; Roberts, Nia Wyn/0000-0002-1142-6440; Virdee, Pradeep/0000-0002-3006-8730</t>
  </si>
  <si>
    <t>2369-1999</t>
  </si>
  <si>
    <t>JMIR Cancer</t>
  </si>
  <si>
    <t>e70275</t>
  </si>
  <si>
    <t>10.2196/70275</t>
  </si>
  <si>
    <t>http://dx.doi.org/10.2196/70275</t>
  </si>
  <si>
    <t>4SL5V</t>
  </si>
  <si>
    <t>40577667</t>
  </si>
  <si>
    <t>WOS:001525591100001</t>
  </si>
  <si>
    <t>Nguyen, NH; Picetti, D; Dulai, PS; Jairath, V; Sandborn, WJ; Ohno-Machado, L; Chen, PL; Singh, S</t>
  </si>
  <si>
    <t>Background and Aims There is increasing interest in machine learning-based prediction models in inflammatory bowel diseases [IBD]. We synthesised and critically appraised studies comparing machine learning vs traditional statistical models, using routinely available clinical data for risk prediction in IBD. Methods Through a systematic review till January 1, 2021, we identified cohort studies that derived and/or validated machine learning models, based on routinely collected clinical data in patients with IBD, to predict the risk of harbouring or developing adverse clinical outcomes, and reported its predictive performance against a traditional statistical model for the same outcome. We appraised the risk of bias in these studies using the Prediction model Risk of Bias ASsessment [PROBAST] tool. Results We included 13 studies on machine learning-based prediction models in IBD, encompassing themes of predicting treatment response to biologics and thiopurines and predicting longitudinal disease activity and complications and outcomes in patients with acute severe ulcerative colitis. The most common machine learning models used were tree-based algorithms, which are classification approaches achieved through supervised learning. Machine learning models outperformed traditional statistical models in risk prediction. However, most models were at high risk of bias, and only one was externally validated. Conclusions Machine learning-based prediction models based on routinely collected data generally perform better than traditional statistical models in risk prediction in IBD, though frequently have high risk of bias. Future studies examining these approaches are warranted, with special focus on external validation and clinical applicability.</t>
  </si>
  <si>
    <t>Nguyen, Nghia H.; Picetti, Dominic; Dulai, Parambir S.; Jairath, Vipul; Sandborn, William J.; Ohno-Machado, Lucila; Chen, Peter L.; Singh, Siddharth</t>
  </si>
  <si>
    <t>Singh, S (corresponding author), Univ Calif San Diego, Div Biomed Informat, 9452 Med Ctr Dr,ACTRI 1W501, La Jolla, CA 92093 USA.; Singh, S (corresponding author), Univ Calif San Diego, Div Gastroenterol, 9452 Med Ctr Dr,ACTRI 1W501, La Jolla, CA 92093 USA.</t>
  </si>
  <si>
    <t>sis040@ucsd.edu</t>
  </si>
  <si>
    <t>National Institute of Diabetes and Digestive and Kidney Diseases of the National Institutes of Health [T32DK007202, T15LM01127WJS, K23DK117058]; NIDDK [P30 DK120515]; National Institute of Diabetes and Digestive and Kidney Diseases [P30DK120515, K23DK117058, R03DK129631, T32DK007202] Funding Source: NIH RePORTER; National Library of Medicine [T15LM011271] Funding Source: NIH RePORTER</t>
  </si>
  <si>
    <t>National Institute of Diabetes and Digestive and Kidney Diseases of the National Institutes of Health (United States Department of Health &amp; Human Services, National Institutes of Health (NIH) - USA, NIH National Institute of Diabetes &amp; Digestive &amp; Kidney Diseases (NIDDK)); NIDDK (United States Department of Health &amp; Human Services, National Institutes of Health (NIH) - USA, NIH National Institute of Diabetes &amp; Digestive &amp; Kidney Diseases (NIDDK)); National Institute of Diabetes and Digestive and Kidney Diseases (United States Department of Health &amp; Human Services, National Institutes of Health (NIH) - USA, NIH National Institute of Diabetes &amp; Digestive &amp; Kidney Diseases (NIDDK)); National Library of Medicine (United States Department of Health &amp; Human Services, National Institutes of Health (NIH) - USA, NIH National Library of Medicine (NLM))</t>
  </si>
  <si>
    <t>No direct funding was used for this project. NHN is supported by the National Institute of Diabetes and Digestive and Kidney Diseases of the National Institutes of Health under award number T32DK007202 and T15LM01127WJS is supported in part by NIDDK-funded San Diego Digestive Diseases Research Centre [P30 DK120515]. SS is supported by the National Institute of Diabetes and Digestive and Kidney Diseases of the National Institutes of Health under award number K23DK117058.</t>
  </si>
  <si>
    <t>[Nguyen, Nghia H.; Picetti, Dominic; Dulai, Parambir S.; Sandborn, William J.; Singh, Siddharth] Univ Calif San Diego, Dept Med, Div Gastroenterol, La Jolla, CA 92093 USA; [Jairath, Vipul] Western Univ, Dept Epidemiol &amp; Biostat, London, ON, Canada; [Jairath, Vipul] Western Univ, Div Gastroenterol, London, ON, Canada; [Ohno-Machado, Lucila; Singh, Siddharth] Univ Calif San Diego, Div Biomed Informat, 9452 Med Ctr Dr,ACTRI 1W501, La Jolla, CA 92093 USA; [Chen, Peter L.] HyperPlanar, San Diego, CA USA</t>
  </si>
  <si>
    <t>University of California System; University of California San Diego; Western University (University of Western Ontario); Western University (University of Western Ontario); University of California System; University of California San Diego</t>
  </si>
  <si>
    <t>Machine Learning-based Prediction Models for Diagnosis and Prognosis in Inflammatory Bowel Diseases: A Systematic Review</t>
  </si>
  <si>
    <t>JOURNAL OF CROHNS &amp; COLITIS</t>
  </si>
  <si>
    <t>Machine learning; prediction; big data; Crohn's disease; ulcerative colitis</t>
  </si>
  <si>
    <t>APPLICABILITY; VEDOLIZUMAB; REMISSION; PROBAST; RISK; BIAS; TOOL</t>
  </si>
  <si>
    <t>Jairath, Vipul/GLS-6449-2022; Dulai, Parambir/AAE-2983-2021; Sandborn, William/ABE-8342-2020</t>
  </si>
  <si>
    <t>1873-9946</t>
  </si>
  <si>
    <t>1876-4479</t>
  </si>
  <si>
    <t>J CROHNS COLITIS</t>
  </si>
  <si>
    <t>J. Crohns Colitis</t>
  </si>
  <si>
    <t>MAR 14 2022</t>
  </si>
  <si>
    <t>398</t>
  </si>
  <si>
    <t>10.1093/ecco-jcc/jjab155</t>
  </si>
  <si>
    <t>http://dx.doi.org/10.1093/ecco-jcc/jjab155</t>
  </si>
  <si>
    <t>ZS4OZ</t>
  </si>
  <si>
    <t>34492100</t>
  </si>
  <si>
    <t>WOS:000756670200001</t>
  </si>
  <si>
    <t>Senanayake, S; White, N; Graves, N; Healy, H; Baboolal, K; Kularatna, S</t>
  </si>
  <si>
    <t>Introduction: Machine learning has been increasingly used to develop predictive models to diagnose different disease conditions. The heterogeneity of the kidney transplant population makes predicting graft outcomes extremely challenging. Several kidney graft outcome prediction models have been developed using machine learning, and are available in the literature. However, a systematic review of machine learning based prediction methods applied to kidney transplant has not been done to date. The main aim of our study was to perform an in-depth systematic analysis of different machine learning methods used to predict graft outcomes among kidney transplant patients, and assess their usefulness as an aid to decision-making.Methods: A systemic review of machine learning methods used to predict graft outcomes among kidney transplant patients was carried out using a search of the Medline, the Cumulative Index to Nursing and Allied Health Literature, EMBASE, PsycINFO and Cochrane databases.Results: A total of 295 articles were identified and extracted. Of these, 18 ma the inclusion criteria. Most of the studies were published in the United States after 2010. The population size used to develop the models varied from 80 to 92,844, and the number of features in the models ranged from 6 to 71. The most common machine learning methods used were artificial neural networks, decision trees and Bayesian belief networks. Most of the machine learning based predictive models predicted graft failure with high sensitivity and specificity. Only one machine learning based prediction model had modelled time-to-event (survival) information. Seven studies compared the predictive performance of machine learning models with traditional regression methods and the performance of machine learning methods was found to be mixed, when compared with traditional regression methods.Conclusion: There was a wide variation in the size of the study population and the input variables used. However, the prediction accuracy provided mixed results when machine learning and traditional predictive methods are compared. Based on reported gains in predictive performance, machine learning has the potential to improve kidney transplant outcome prediction and aid medical decision making</t>
  </si>
  <si>
    <t>Senanayake, Sameera; White, Nicole; Graves, Nicholas; Healy, Helen; Baboolal, Keshwar; Kularatna, Sanjeewa</t>
  </si>
  <si>
    <t>Senanayake, S (corresponding author), Queensland Univ Technol, Australian Ctr Hlth Serv Innovat, Sch Publ Hlth, Inst Hlth &amp; Biomed Innovat, 60 Musk Ave, Kelvin Grove, Qld 4059, Australia.</t>
  </si>
  <si>
    <t>sameerajayan.senanayake@hdr.qut.edu.au</t>
  </si>
  <si>
    <t>Australian Government Research Training Program (RTP); Queensland University of Technology</t>
  </si>
  <si>
    <t>Sameera Senanayake is a recipient of Australian Government Research Training Program (RTP) for Postgraduate Research (PhD) Scholarship and Queensland University of Technology International Postgraduate Research(PhD) Scholarship (2018-2021)</t>
  </si>
  <si>
    <t>[Senanayake, Sameera; White, Nicole; Graves, Nicholas; Kularatna, Sanjeewa] Queensland Univ Technol, Australian Ctr Hlth Serv Innovat, Kelvin Grove, Qld, Australia; [Healy, Helen; Baboolal, Keshwar] Royal Brisbane Hosp Women, Brisbane, Qld, Australia; [Healy, Helen; Baboolal, Keshwar] Univ Queensland, Sch Med, Brisbane, Qld, Australia</t>
  </si>
  <si>
    <t>Queensland University of Technology (QUT); University of Queensland</t>
  </si>
  <si>
    <t>Machine learning in predicting graft failure following kidney transplantation: A systematic review of published predictive models</t>
  </si>
  <si>
    <t>Machine learning; Predictive models; Kidney transplant; Graft failure</t>
  </si>
  <si>
    <t>NEURAL-NETWORKS; SURVIVAL; RECIPIENTS; NOMOGRAMS; THERAPY; AGE</t>
  </si>
  <si>
    <t>Baboolal, Kesh/B-8243-2012; Graves, Nicholas/A-3052-2011; Senanayake, Sameera/K-2966-2019; Healy, Helen/G-2686-2010; White, Nicole/AGO-2409-2022</t>
  </si>
  <si>
    <t>Baboolal, Kesh/0000-0002-3688-9353; Graves, Nicholas/0000-0002-5559-3267; Senanayake, Sameera/0000-0002-5606-2046; Healy, Helen/0000-0003-4342-5300; White, Nicole/0000-0002-9292-0773; Kularatna, Sanjeewa/0000-0001-5650-154X</t>
  </si>
  <si>
    <t>130</t>
  </si>
  <si>
    <t>103957</t>
  </si>
  <si>
    <t>10.1016/j.ijmedinf.2019.103957</t>
  </si>
  <si>
    <t>http://dx.doi.org/10.1016/j.ijmedinf.2019.103957</t>
  </si>
  <si>
    <t>IV7ZX</t>
  </si>
  <si>
    <t>31472443</t>
  </si>
  <si>
    <t>WOS:000484486600010</t>
  </si>
  <si>
    <t>Liu, TY; Krentz, A; Lu, L; Curcin, V</t>
  </si>
  <si>
    <t>Cardiovascular disease (CVD) remains a major cause of mortality in the UK, prompting the need for improved risk predictive models for primary prevention. Machine learning (ML) models utilizing electronic health records (EHRs) offer potential enhancements over traditional risk scores like QRISK3 and ASCVD. To systematically evaluate and compare the efficacy of ML models against conventional CVD risk prediction algorithms using EHR data for medium to long-term (5-10 years) CVD risk prediction. A systematic review and random-effect meta-analysis were conducted according to preferred reporting items for systematic reviews and meta-analyses guidelines, assessing studies from 2010 to 2024. We retrieved 32 ML models and 26 conventional statistical models from 20 selected studies, focusing on performance metrics such as area under the curve (AUC) and heterogeneity across models. ML models, particularly random forest and deep learning, demonstrated superior performance, with the highest recorded pooled AUCs of 0.865 (95% CI: 0.812-0.917) and 0.847 (95% CI: 0.766-0.927), respectively. These significantly outperformed the conventional risk score of 0.765 (95% CI: 0.734-0.796). However, significant heterogeneity (I-2 &gt; 99%) and potential publication bias were noted across the studies. While ML models show enhanced calibration for CVD risk, substantial variability and methodological concerns limit their current clinical applicability. Future research should address these issues by enhancing methodological transparency and standardization to improve the reliability and utility of these models in clinical settings. This study highlights the advanced capabilities of ML models in CVD risk prediction and emphasizes the need for rigorous validation to facilitate their integration into clinical practice.</t>
  </si>
  <si>
    <t>Liu, Tianyi; Krentz, Andrew; Lu, Lei; Curcin, Vasa</t>
  </si>
  <si>
    <t>Liu, TY (corresponding author), Kings Coll London, Sch Life Course &amp; Populat Sci, London SE1 1UL, England.</t>
  </si>
  <si>
    <t>Tianyi.4.liu@kcl.ac.uk</t>
  </si>
  <si>
    <t>Engineering and Physical Sciences Research Council (EPSRC)-funded King's Health Partners Digital Health Hub [EP/X030628/1]; Metadvice Ltd; National Institute for Health Research (NIHR) Biomedical Research Centre based at Guy's and St Thomas' NHS Foundation Trust and King's College London [IS-BRC- 1215-20006]</t>
  </si>
  <si>
    <t>Engineering and Physical Sciences Research Council (EPSRC)-funded King's Health Partners Digital Health Hub (UK Research &amp; Innovation (UKRI), Engineering &amp; Physical Sciences Research Council (EPSRC)); Metadvice Ltd; National Institute for Health Research (NIHR) Biomedical Research Centre based at Guy's and St Thomas' NHS Foundation Trust and King's College London</t>
  </si>
  <si>
    <t>V.C. is supported by the Engineering and Physical Sciences Research Council (EPSRC)-funded King's Health Partners Digital Health Hub (EP/X030628/1). T.L. is a PhD student at KCL's DRIVE-Health CDT supported by Metadvice Ltd. and the National Institute for Health Research (NIHR) Biomedical Research Centre based at Guy's and St Thomas' NHS Foundation Trust and King's College London (IS-BRC- 1215-20006). The views expressed are those of the author(s) and not necessarily those of the NHS, the NIHR or the Department of Health.</t>
  </si>
  <si>
    <t>[Liu, Tianyi; Krentz, Andrew; Lu, Lei; Curcin, Vasa] Kings Coll London, Sch Life Course &amp; Populat Sci, London SE1 1UL, England; [Krentz, Andrew] Metadvice, 45 Pall Mall, London SW1Y 5JG, England</t>
  </si>
  <si>
    <t>University of London; King's College London</t>
  </si>
  <si>
    <t>Machine learning based prediction models for cardiovascular disease risk using electronic health records data: systematic review and meta-analysis</t>
  </si>
  <si>
    <t>EUROPEAN HEART JOURNAL - DIGITAL HEALTH</t>
  </si>
  <si>
    <t>Cardiovascular diseases; Machine learning; Electronic health records; Risk prediction; Primary prevention</t>
  </si>
  <si>
    <t>HEART-FAILURE; SOCIAL DETERMINANTS; PREVENTION; VALIDATION; DIAGNOSIS; BIAS</t>
  </si>
  <si>
    <t>Liu, Tianyi/KQV-0795-2024; Lu, Lei/AFG-2253-2022</t>
  </si>
  <si>
    <t>Liu, Tianyi/0000-0002-0912-7652; Krentz, Andrew/0000-0003-4169-0469; Lu, Lei/0000-0001-9139-8955; Curcin, Vasa/0000-0002-8308-2886</t>
  </si>
  <si>
    <t>104</t>
  </si>
  <si>
    <t>2634-3916</t>
  </si>
  <si>
    <t>EUR HEART J-DIGIT HL</t>
  </si>
  <si>
    <t>Eur. Heart. J.-Digit. Health</t>
  </si>
  <si>
    <t>NOV 12 2024</t>
  </si>
  <si>
    <t>10.1093/ehjdh/ztae080</t>
  </si>
  <si>
    <t>http://dx.doi.org/10.1093/ehjdh/ztae080</t>
  </si>
  <si>
    <t>S8V1N</t>
  </si>
  <si>
    <t>39846062</t>
  </si>
  <si>
    <t>WOS:001353107400001</t>
  </si>
  <si>
    <t>Yang, QY; Fan, X; Cao, X; Hao, WJ; Lu, JL; Wei, J; Tian, JH; Yin, M; Ge, L</t>
  </si>
  <si>
    <t>IntroductionThere was limited evidence on the quality of reporting and methodological quality of prediction models using machine learning methods in preterm birth. This systematic review aimed to assess the reporting quality and risk of bias of a machine learning-based prediction model in preterm birth. Material and methodsWe conducted a systematic review, searching the PubMed, Embase, the Cochrane Library, China National Knowledge Infrastructure, China Biology Medicine disk, VIP Database, and WanFang Data from inception to September 27, 2021. Studies that developed (validated) a prediction model using machine learning methods in preterm birth were included. We used the Transparent Reporting of a multivariable prediction model for Individual Prognosis Or Diagnosis (TRIPOD) statement and Prediction model Risk of Bias Assessment Tool (PROBAST) to evaluate the reporting quality and the risk of bias of included studies, respectively. Findings were summarized using descriptive statistics and visual plots. The protocol was registered in PROSPERO (no. CRD 42022301623). ResultsTwenty-nine studies met the inclusion criteria, with 24 development-only studies and 5 development-with-validation studies. Overall, TRIPOD adherence per study ranged from 17% to 79%, with a median adherence of 49%. The reporting of title, abstract, blinding of predictors, sample size justification, explanation of model, and model performance were mostly poor, with TRIPOD adherence ranging from 4% to 17%. For all included studies, 79% had a high overall risk of bias, and 21% had an unclear overall risk of bias. The analysis domain was most commonly rated as high risk of bias in included studies, mainly as a result of small effective sample size, selection of predictors based on univariable analysis, and lack of calibration evaluation. ConclusionsReporting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</si>
  <si>
    <t>Yang, Qiuyu; Fan, Xia; Cao, Xiao; Hao, Weijie; Lu, Jiale; Wei, Jia; Tian, Jinhui; Yin, Min; Ge, Long</t>
  </si>
  <si>
    <t>Yin, M (corresponding author), Lanzhou Univ, Hosp 1, Hlth Examinat Ctr, 1 Donggang West Rd, Lanzhou, Peoples R China.</t>
  </si>
  <si>
    <t>ldyyym@126.com</t>
  </si>
  <si>
    <t>Gansu Provincial Science and Technology Plan Project [22JR5RA366]</t>
  </si>
  <si>
    <t>Gansu Provincial Science and Technology Plan Project</t>
  </si>
  <si>
    <t>Gansu Provincial Science and Technology Plan Project, Grant/Award Number: 22JR5RA366 and 20CX9ZA112 Gansu Provincial Science and Technology Plan Project (22JR5RA366, 20CX9ZA112).</t>
  </si>
  <si>
    <t>[Yang, Qiuyu; Cao, Xiao] Lanzhou Univ, Evidence Based Nursing Ctr, Sch Nursing, Lanzhou, Peoples R China; [Fan, Xia] Shanxi Univ Chinese Med, Sch Clin Med 2, Dept Obstet &amp; Gynecol, Shanxi, Peoples R China; [Hao, Weijie; Lu, Jiale; Wei, Jia; Ge, Long] Lanzhou Univ, Evidence Based Social Sci Res Ctr, Sch Publ Hlth, Lanzhou, Peoples R China; [Tian, Jinhui] Key Lab Evidence Based Med &amp; Knowledge Translat Ga, Lanzhou, Peoples R China; [Tian, Jinhui; Ge, Long] Lanzhou Univ, Evidence Based Med Ctr, Sch Basic Med Sci, Lanzhou, Peoples R China; [Yin, Min] Lanzhou Univ, Hosp 1, Hlth Examinat Ctr, Lanzhou, Peoples R China; [Ge, Long] Lanzhou Univ, Dept Social Med &amp; Hlth Management, Lanzhou, Peoples R China; [Yin, Min] Lanzhou Univ, Hosp 1, Hlth Examinat Ctr, 1 Donggang West Rd, Lanzhou, Peoples R China</t>
  </si>
  <si>
    <t>Lanzhou University; Lanzhou University; Lanzhou University; Lanzhou University; Lanzhou University; Lanzhou University</t>
  </si>
  <si>
    <t>Reporting and risk of bias of prediction models based on machine learning methods in preterm birth: A systematic review</t>
  </si>
  <si>
    <t>machine learning; prediction model; preterm birth; quality of reporting; risk of bias; systematic review</t>
  </si>
  <si>
    <t>INDIVIDUAL PROGNOSIS; DIAGNOSIS TRIPOD; EXPLANATION</t>
  </si>
  <si>
    <t>葛, 龙/G-8876-2017; Ge, Long/G-8876-2017; Yang, Qiuyu/HDM-0606-2022</t>
  </si>
  <si>
    <t>葛, 龙/0000-0002-3555-1107</t>
  </si>
  <si>
    <t>10.1111/aogs.14475</t>
  </si>
  <si>
    <t>http://dx.doi.org/10.1111/aogs.14475</t>
  </si>
  <si>
    <t>7H5QS</t>
  </si>
  <si>
    <t>36397723</t>
  </si>
  <si>
    <t>WOS:000888913000001</t>
  </si>
  <si>
    <t>Wolfgart, JM; Hofmann, UK; Praster, M; Danalache, M; Migliorini, F; Feierabend, M</t>
  </si>
  <si>
    <t>Introduction: Machine learning-based tools are becoming increasingly popular in clinical practice. They offer new possibilities but are also limited in their reliability and accuracy. Objectives: The present systematic review updates and discusses the existing literature regarding machine learning algorithm-based tools to predict outcome and management in patients after ACL reconstruction. Method: PubMed was searched for articles containing machine learning algorithms related to anterior cruciate ligament reconstruction and its outcome and management. No additional filters or time constraints were used. All eligible studies were accessed by hand. Results: After screening of 115 articles, 15 were included. Six studies evaluated predictors for reoperation after ACL surgery. Four studies investigated the clinical outcome prediction after ACL reconstruction including prediction of secondary meniscus tear and secondary knee osteoarthritis. Single topics addressed in patients with ACL reconstruction were costs, opioid use, the need for a femoral nerve block, short term complications, hospital admission, and reduction of the burden to complete the Knee Osteoarthritis and Outcome score questionnaire. Predictive power was very heterogeneous, depending on the specific research question and parameters included. Conclusion: New machine-learning tools offer interesting insights into variables affecting the target outcome and general management of patients with ACL reconstruction. While present machine-learning based prediction models seem to outperform previous existing benchmark regression models, their predictive ability often is still too low to base individual decision making on them. With the rapid progress observed over the last few years, it is conceivable that this might change, however, in the foreseeable future.&lt;br /&gt; (c) 2025 Published by Elsevier B.V.</t>
  </si>
  <si>
    <t>Wolfgart, Julius Michael; Hofmann, Ulf Krister; Praster, Maximilian; Danalache, Marina; Migliorini, Filipo; Feierabend, Martina</t>
  </si>
  <si>
    <t>Hofmann, UK (corresponding author), RWTH Univ Hosp, Dept Orthopaed Trauma &amp; Reconstruct Surg, Div Arthroplasty &amp; Tumour Surg, D-52074 Aachen, Germany.</t>
  </si>
  <si>
    <t>uhofmann@ukaachen.de; mfeierab@uni-koeln.de; jwolfgart@ukaachen.de; marina.danalache@uni-tuebingen.de; mpraster@ukaachen.de</t>
  </si>
  <si>
    <t>[Wolfgart, Julius Michael; Migliorini, Filipo] RWTH Univ Hosp, Dept Orthopaed Trauma &amp; Reconstruct Surg, D-52074 Aachen, Germany; [Wolfgart, Julius Michael; Hofmann, Ulf Krister; Praster, Maximilian] RWTH Univ Hosp, Dept Orthopaed Trauma &amp; Reconstruct Surg, Div Arthroplasty &amp; Tumour Surg, D-52074 Aachen, Germany; [Praster, Maximilian] RWTH Univ Hosp, Teaching &amp; Res Area Expt Orthpaed &amp; Trauma Surg, D-52074 Aachen, Germany; [Danalache, Marina] Univ Hosp Tubingen, Dept Orthopaed Surg, Tubingen, Germany; [Migliorini, Filipo] Paracelsus Med Univ, Acad Hosp Bolzano SABES ASDAA, Dept Orthopaed &amp; Trauma Surg, Teaching Hosp, I-39100 Bolzano, Italy; [Feierabend, Martina] Univ Cologne, Metab Reconstruct &amp; Flux Modelling, Inst Plant Sci, Cologne, Germany</t>
  </si>
  <si>
    <t>RWTH Aachen University; RWTH Aachen University Hospital; RWTH Aachen University; RWTH Aachen University Hospital; RWTH Aachen University; RWTH Aachen University Hospital; Eberhard Karls University of Tubingen; Eberhard Karls University Hospital; University of Cologne</t>
  </si>
  <si>
    <t>Application of machine learning in the context of reoperation, outcome and management after ACL reconstruction-A systematic review</t>
  </si>
  <si>
    <t>KNEE</t>
  </si>
  <si>
    <t>Machine learning; Artificial intelligence; Anterior cruciate ligament reconstruction; Outcome prediction</t>
  </si>
  <si>
    <t>INJURIES; KNEE; RISK</t>
  </si>
  <si>
    <t>Feierabend, Martina/ABD-6337-2021; Migliorini, Filippo/AAZ-9529-2021</t>
  </si>
  <si>
    <t>Danalache, Marina/0009-0009-2525-1926; Migliorini, Filippo/0000-0001-7220-1221</t>
  </si>
  <si>
    <t>0968-0160</t>
  </si>
  <si>
    <t>1873-5800</t>
  </si>
  <si>
    <t>Knee</t>
  </si>
  <si>
    <t>315</t>
  </si>
  <si>
    <t>10.1016/j.knee.2025.02.032</t>
  </si>
  <si>
    <t>http://dx.doi.org/10.1016/j.knee.2025.02.032</t>
  </si>
  <si>
    <t>Orthopedics; Sport Sciences; Surgery</t>
  </si>
  <si>
    <t>0LV0Z</t>
  </si>
  <si>
    <t>40106866</t>
  </si>
  <si>
    <t>WOS:001450432700001</t>
  </si>
  <si>
    <t>OBJECTIVE To assess the methodological quality of studies on prediction models developed using machine learning techniques across all medical specialties. DESIGN Systematic review. DATA SOURCES PubMed from 1 January 2018 to 31 December 2019. ELIGIBILITY CRITERIA Articles reporting on the development, with or without external validation, of a multivariable prediction model (diagnostic or prognostic) developed using supervised machine learning for individualised predictions. No restrictions applied for study design, data source, or predicted patient related health outcomes. REVIEW METHODS Methodological quality of the studies was determined and risk of bias evaluated using the prediction risk of bias assessment tool (PROBAST). This tool contains 21 signalling questions tailored to identify potential biases in four domains. Risk of bias was measured for each domain (participants, predictors, outcome, and analysis) and each study (overall). RESULTS 152 studies were included: 58 (38%) included a diagnostic prediction model and 94 (62%) a prognostic prediction model. PROBAST was applied to 152 developed models and 19 external validations. Of these 171 analyses, 148 (87%, 95% confidence interval 81% to 91%) were rated at high risk of bias. The analysis domain was most frequently rated at high risk of bias. Of the 152 models, 85 (56%, 48% to 64%) were developed with an inadequate number of events per candidate predictor, 62 handled missing data inadequately (41%, 33% to 49%), and 59 assessed overfitting improperly (39%, 31% to 47%). Most models used appropriate data sources to develop (73%, 66% to 79%) and externally validate the machine learning based prediction models (74%, 51% to 88%). Information about blinding of outcome and blinding of predictors was, however, absent in 60 (40%, 32% to 47%) and 79 (52%, 44% to 60%) of the developed models, respectively. 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 SYSTEMATIC REVIEW REGISTRATION PROSPERO CRD42019161764.</t>
  </si>
  <si>
    <t>Navarro, Constanza L. Andaur; Damen, Johanna A. A.; Takada, Toshihiko; Nijman, Steven W. J.; Dhiman, Paula; Ma, Jie; Collins, Gary S.; Bajpai, Ram; Riley, Richard; Moons, Karel G. M.; Hooft, Lotty</t>
  </si>
  <si>
    <t>National Institute for Health Research (NIHR) Oxford Biomedical Research Centre (BRC); Cancer Research UK programme [C49297/A27294]; NIHR Oxford BRC</t>
  </si>
  <si>
    <t>National Institute for Health Research (NIHR) Oxford Biomedical Research Centre (BRC) (National Institutes of Health Research (NIHR)); Cancer Research UK programme (Cancer Research UK); NIHR Oxford BRC</t>
  </si>
  <si>
    <t>This study received no specific funding. GSC is supported by the National Institute for Health Research (NIHR) Oxford Biomedical Research Centre (BRC) and by a Cancer Research UK programme grant (C49297/A27294) . PD is supported by the NIHR Oxford BRC. The views expressed are those of the authors and not necessarily those of the NHS, NIHR, or Department of Health. None of the funding sources had a role in the design, conduct, analyses, or reporting of the study or in the decision to submit the manuscript for publication.</t>
  </si>
  <si>
    <t>[Navarro, Constanza L. Andaur; Damen, Johanna A. A.;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Nuffield Dept Orthopaed Rheumatol &amp; Musculoskelet, Ctr Stat Med, Oxford, England; [Dhiman, Paula; Collins, Gary S.] Oxford Univ Hosp NHS Fdn Trust, NIHR Oxford Biomed Res Ctr, Oxford, England; [Bajpai, Ram; Riley, Richard] Keele Univ, Sch Med, Ctr Prognosis Res, Keele, Staffs, England</t>
  </si>
  <si>
    <t>Utrecht University; Utrecht University Medical Center; Utrecht University; Utrecht University Medical Center; University of Oxford; Oxford University Hospitals NHS Foundation Trust; University of Oxford; Keele University</t>
  </si>
  <si>
    <t>Risk of bias in studies on prediction models developed using supervised machine learning techniques: systematic review</t>
  </si>
  <si>
    <t>BMJ-BRITISH MEDICAL JOURNAL</t>
  </si>
  <si>
    <t>APPLICABILITY; PERFORMANCE; PROBAST; EVENTS; TOOL</t>
  </si>
  <si>
    <t>Hooft, Lotty/PCC-6420-2025; Collins, Gary/A-2258-2014; Bajpai, Ram/I-1038-2016; Riley, Richard D/G-2406-2011; Moons, Karel GM/JPA-4011-2023</t>
  </si>
  <si>
    <t>Takada, Toshihiko/0000-0002-8032-6224; Hooft, Lotty/0000-0002-7950-2980; Nijman, Steven/0000-0001-6798-2078; Collins, Gary/0000-0002-2772-2316; Bajpai, Ram/0000-0002-1227-2703; Ma, Jie/0000-0002-3900-1903; Riley, Richard D/0000-0001-8699-0735; Andaur Navarro, Constanza L/0000-0002-7745-2887; Damen, Johanna/0000-0001-7401-4593; Dhiman, Paula/0000-0002-0989-0623</t>
  </si>
  <si>
    <t>320</t>
  </si>
  <si>
    <t>351</t>
  </si>
  <si>
    <t>0959-535X</t>
  </si>
  <si>
    <t>1756-1833</t>
  </si>
  <si>
    <t>BMJ-BRIT MED J</t>
  </si>
  <si>
    <t>BMJ-British Medical Journal</t>
  </si>
  <si>
    <t>OCT 20 2021</t>
  </si>
  <si>
    <t>375</t>
  </si>
  <si>
    <t>n2281</t>
  </si>
  <si>
    <t>10.1136/bmj.n2281</t>
  </si>
  <si>
    <t>http://dx.doi.org/10.1136/bmj.n2281</t>
  </si>
  <si>
    <t>WQ3HE</t>
  </si>
  <si>
    <t>34670780</t>
  </si>
  <si>
    <t>WOS:000713709400016</t>
  </si>
  <si>
    <t>AlGhamdi, A; Almousa, H; BinGhaith, A; Almughamisi, R; Fnais, N; Alzahrani, FR; Alessa, M; Alqahtani, K; Aldhahri, S</t>
  </si>
  <si>
    <t>PurposeOral tongue squamous cell carcinoma (OTSCC) is characterized by aggressive local invasion and a high risk of cervical nodal metastasis and mortality. Earlier detection of recurrent OTSCC is associated with improved survival. This systematic review with quantitative synthesis aimed to evaluate the performance of machine learning (ML) models in predicting recurrence in OTSCC.MethodsThis review was conducted in accordance with the PRISMA 2020 guidelines. Studies published between August 2019 and July 2025 that used ML models to predict recurrence in OTSCC were included. Five eligible retrospective cohort and registry-based studies using various ML models were identified. Extracted performance metrics included the area under the receiver operating characteristic curve (AUC), accuracy, sensitivity, and specificity.ResultsML-based models showed generally favorable predictive performance for OTSCC recurrence. Reported AUCs ranged from 0.69 to 0.97 in exploratory quantitative synthesis. Model accuracies ranged from 68% to 95%, sensitivities from 47% to 94%, and specificities from 79% to 96%. Multimodal models that integrated whole-slide imaging (WSI) features with clinicopathological variables, particularly depth of invasion, achieved the highest reported performance across the included studies.ConclusionML models show promising predictive performance for recurrence in OTSCC, particularly in early-stage disease. Multimodal models that combine WSI with clinicopathological data appear to improve predictive accuracy. Although ML models are not a substitute for clinical expertise, they are rapidly evolving into valuable adjunctive tools for recurrence risk stratification. Prospective validation and external testing across diverse populations are warranted before routine clinical implementation.</t>
  </si>
  <si>
    <t>AlGhamdi, Abdullah; Almousa, Hisham; BinGhaith, Abdullah; Almughamisi, Rasil; Fnais, Naif; Alzahrani, Faisal R.; Alessa, Mohammed; Alqahtani, Khalid; Aldhahri, Saleh</t>
  </si>
  <si>
    <t>Almousa, H (corresponding author), King Saud Univ, Dept Otolaryngol Head &amp; Neck Surg, Riyadh, Saudi Arabia.</t>
  </si>
  <si>
    <t>maalessa@ksu.edu.sa; Raseel275@gmail.com; saldhahri@ksu.edu.sa; kalqahtani@ksu.edu.sa; abdullahbinghaith06@gmail.com; alghamadi52@gmail.com; h.h.h66@windowslive.com; nfnais@ksu.edu.sa; fralzahrani@ksu.edu.sa</t>
  </si>
  <si>
    <t>King Saud University, Riyadh, Saudi Arabia [ORF-2026-1198]</t>
  </si>
  <si>
    <t>King Saud University, Riyadh, Saudi Arabia (King Saud University)</t>
  </si>
  <si>
    <t>Ongoing Research Funding program, (ORF-2026-1198) King Saud University, Riyadh, Saudi Arabia.</t>
  </si>
  <si>
    <t>[AlGhamdi, Abdullah] King Fahad Gen Hosp, Dept Otolaryngol Head &amp; Neck Surg, Albaha, Saudi Arabia; [AlGhamdi, Abdullah; Almousa, Hisham; Fnais, Naif; Alzahrani, Faisal R.; Alessa, Mohammed; Alqahtani, Khalid; Aldhahri, Saleh] King Saud Univ, Dept Otolaryngol Head &amp; Neck Surg, Riyadh, Saudi Arabia; [BinGhaith, Abdullah] King Saud Univ, Coll Med, Riyadh, Saudi Arabia; [Almughamisi, Rasil] Taibah Univ, Coll Med, Al Madinah Al Munawwarah, Saudi Arabia; [Aldhahri, Saleh] King Fahad Med City, Dept Otolaryngol Head &amp; Neck Surg, Riyadh, Saudi Arabia</t>
  </si>
  <si>
    <t>King Fahd Hospital Jeddah; King Saud University; King Saud University; Taibah University; King Fahad Medical City</t>
  </si>
  <si>
    <t>Machine learning based prediction of recurrence in oral tongue cancer: a systematic review with quantitative synthesis</t>
  </si>
  <si>
    <t>EUROPEAN ARCHIVES OF OTO-RHINO-LARYNGOLOGY</t>
  </si>
  <si>
    <t>Oral tongue cancer; Machine learning; Artificial intelligence; Recurrence; Systematic review; Quantitative synthesis</t>
  </si>
  <si>
    <t>SQUAMOUS-CELL CARCINOMA; RISK-FACTORS; SURVIVAL</t>
  </si>
  <si>
    <t>Fnais, Naif/JKI-0060-2023; Alzahrani, Faisal/JKJ-1860-2023; Almousa, Hisham/LRS-7815-2024; ALESSA, MOHAMMED/AGO-3282-2022</t>
  </si>
  <si>
    <t>0937-4477</t>
  </si>
  <si>
    <t>1434-4726</t>
  </si>
  <si>
    <t>EUR ARCH OTO-RHINO-L</t>
  </si>
  <si>
    <t>Eur. Arch. Oto-Rhino-Laryn.</t>
  </si>
  <si>
    <t>10.1007/s00405-026-10316-7</t>
  </si>
  <si>
    <t>http://dx.doi.org/10.1007/s00405-026-10316-7</t>
  </si>
  <si>
    <t>Otorhinolaryngology</t>
  </si>
  <si>
    <t>IY1KJ</t>
  </si>
  <si>
    <t>42236620</t>
  </si>
  <si>
    <t>WOS:001783096100001</t>
  </si>
  <si>
    <t>Patel, S; Nischal, SA; Chai, YH; Kale, KM; Hines, K; Heller, J; Jallo, J; Harrop, JS; Prasad, SK</t>
  </si>
  <si>
    <t>BackgroundProximal junctional kyphosis (PJK) and failure (PJF) remain challenging and incompletely predictable adverse event following adult spinal deformity (ASD) surgery. Machine learning (ML) models have been proposed to improve risk stratification, but performance varies and clinical applicability remains uncertain. A systematic review and diagnostic test accuracy meta-analysis was performed to synthesize the predictive performance of ML-based models for proximal junctional pathology after ASD surgery.MethodsPubMed, Embase, and CENTRAL were searched from inception to February 2026. Studies developing or validating ML models predicting PJK or PJF following ASD surgery were included. Diagnostic performance was synthesized using random-effects models, pooling sensitivity, specificity, diagnostic odds ratio (dOR), and summary receiver operating characteristic (SROC) curves. A prespecified secondary analysis pooled one highest-performing model per study to reduce within-study dependence. Risk of bias was assessed using PROBAST and certainty of evidence using GRADE.ResultsSixteen studies comprising 3625 patients and 30 ML models met inclusion criteria. Twenty-two models provided extractable test-set data for diagnostic synthesis. Pooled sensitivity was 0.51 (95% CI: 0.41-0.61) and specificity 0.84 (95% CI: 0.78-0.89), with a pooled AUC of 0.67 (95% CI: 0.62-0.72). In the highest-performing model analysis, pooled sensitivity improved to 0.63 (95% CI: 0.55-0.71) and AUC to 0.77 95% CI: 0.71- 0.83). Specificity remained high (0.86). External validation was rare, and calibration was inconsistently reported. Frequently prioritized predictors included sagittal alignment parameters, construct characteristics, bone quality metrics, and age.ConclusionsML-based models demonstrate biologically coherent but clinically moderate discrimination for predicting proximal junctional pathology following ASD surgery. Current performance supports risk stratification rather than categorical decision-making. Progress toward clinically actionable prediction will require standardized endpoint definitions, robust external validation, and calibration-centered reporting.</t>
  </si>
  <si>
    <t>Patel, Shaan; Nischal, Shiva A.; Chai, Yi Hein; Kale, Kush M.; Hines, Kevin; Heller, Joshua; Jallo, Jack; Harrop, James S.; Prasad, Srinivas K.</t>
  </si>
  <si>
    <t>Nischal, SA (corresponding author), Univ Oxford, Dept Physiol Anat &amp; Genet, Med Sci Div, Oxford, England.</t>
  </si>
  <si>
    <t>shiva.nischal@dpag.ox.ac.uk</t>
  </si>
  <si>
    <t>[Patel, Shaan; Hines, Kevin; Heller, Joshua; Jallo, Jack; Harrop, James S.; Prasad, Srinivas K.] Thomas Jefferson Univ Hosp, Dept Neurol Surg, Philadelphia, PA USA; [Nischal, Shiva A.; Kale, Kush M.] Univ Oxford, Dept Physiol Anat &amp; Genet, Med Sci Div, Oxford, England; [Chai, Yi Hein] UCL, Med Sch, London, England</t>
  </si>
  <si>
    <t>Thomas Jefferson University; University of Oxford; University of London; University College London</t>
  </si>
  <si>
    <t>Machine learning-based prediction of proximal junctional pathology after adult spinal deformity surgery: a systematic review and diagnostic test accuracy meta-analysis</t>
  </si>
  <si>
    <t>ACTA NEUROCHIRURGICA</t>
  </si>
  <si>
    <t>Proximal junctional kyphosis; Proximal junctional failure; Adult spinal deformity; Machine learning; Artificial intelligence; Predictive modelling</t>
  </si>
  <si>
    <t>RISK-FACTORS; ARTIFICIAL-INTELLIGENCE; KYPHOSIS; FAILURE; VALIDATION; PREVENTION; ALIGNMENT</t>
  </si>
  <si>
    <t>HARROP, JAMES/MSW-4204-2025</t>
  </si>
  <si>
    <t>SPRINGER WIEN</t>
  </si>
  <si>
    <t>Vienna</t>
  </si>
  <si>
    <t>Prinz-Eugen-Strasse 8-10, A-1040 Vienna, AUSTRIA</t>
  </si>
  <si>
    <t>0001-6268</t>
  </si>
  <si>
    <t>0942-0940</t>
  </si>
  <si>
    <t>ACTA NEUROCHIR</t>
  </si>
  <si>
    <t>Acta Neurochir.</t>
  </si>
  <si>
    <t>MAY 7 2026</t>
  </si>
  <si>
    <t>10.1007/s00701-026-06876-6</t>
  </si>
  <si>
    <t>http://dx.doi.org/10.1007/s00701-026-06876-6</t>
  </si>
  <si>
    <t>KI3IQ</t>
  </si>
  <si>
    <t>42098465</t>
  </si>
  <si>
    <t>WOS:001807640000001</t>
  </si>
  <si>
    <t>Yan, LW; Gao, SY; Gu, C; Wei, BZ</t>
  </si>
  <si>
    <t>BackgroundMagnetic resonance imaging (MRI) is widely used for the diagnosis, evaluation, and follow-up of intestinal diseases. With advances in artificial intelligence, MRI radiomics and deep learning have emerged as promising tools for prognostic assessment and treatment guidance. This review synthesizes current evidence on MRI radiomics and deep learning for prognostic assessment of intestinal diseases, with a focus on inflammatory bowel disease and colorectal cancer.MethodsWe conducted a narrative review of studies published between January 2005 and March 2025, retrieved from PubMed/MEDLINE, Web of Science, and Embase. Eligible studies applied deep learning or radiomics approaches to MRI data to predict treatment response, recurrence, metastasis, or survival outcomes. Methodological quality and clinical relevance were critically appraised with reference to established artificial intelligence-specific evaluation frameworks.ResultsThe reviewed studies indicate that deep learning models, including convolutional neural networks, vision transformers, and multimodal fusion approaches, can effectively exploit multiparametric MRI data to improve prognostic prediction across multiple clinical endpoints. These applications encompass image preprocessing, treatment planning, prediction of therapeutic response, disease relapse, and survival outcomes. MRI-based deep learning models generally outperform conventional imaging and traditional radiomics methods, particularly when integrated with clinical variables. However, most studies remain retrospective, with limited external validation and challenges related to interpretability and generalizability.ConclusionsMRI-based radiomics and deep learning hold substantial potential for enhancing precision medicine in intestinal diseases. Future progress will depend on standardized imaging protocols, multicenter prospective validation, and the development of explainable and clinically trustworthy artificial intelligence models.</t>
  </si>
  <si>
    <t>Yan, Liwei; Gao, Shanyu; Gu, Chao; Wei, Bengzheng</t>
  </si>
  <si>
    <t>Wei, BZ (corresponding author), Shandong Univ Tradit Chinese Med, Ctr Med Artificial Intelligence, Qingdao 266112, Peoples R China.</t>
  </si>
  <si>
    <t>wbz99@sina.com</t>
  </si>
  <si>
    <t>Shandong Medical and Health Science and Technology Development Plan Project [202304011527]</t>
  </si>
  <si>
    <t>Shandong Medical and Health Science and Technology Development Plan Project</t>
  </si>
  <si>
    <t>This study was supported by the Shandong Medical and Health Science and Technology Development Plan Project (Grant No. 202304011527).</t>
  </si>
  <si>
    <t>[Yan, Liwei; Gao, Shanyu; Gu, Chao] Shandong Univ Tradit Chinese Med, Dept Anorectal Surg, Affiliated Hosp, Jinan 250014, Peoples R China; [Yan, Liwei] Shandong Univ Tradit Chinese Med, Clin Coll 1, Jinan 250013, Peoples R China; [Wei, Bengzheng] Shandong Univ Tradit Chinese Med, Ctr Med Artificial Intelligence, Qingdao 266112, Peoples R China</t>
  </si>
  <si>
    <t>Shandong University of Traditional Chinese Medicine; Shandong University of Traditional Chinese Medicine; Shandong University of Traditional Chinese Medicine</t>
  </si>
  <si>
    <t>Role of MRI radiomics in deep learning-based prediction of intestinal diseases</t>
  </si>
  <si>
    <t>INTERNATIONAL JOURNAL OF COLORECTAL DISEASE</t>
  </si>
  <si>
    <t>Magnetic resonance imaging; Deep learning; Intestinal diseases; Prognostic assessment; Image analysis</t>
  </si>
  <si>
    <t>WEIGHTED MAGNETIC-RESONANCE; CONTRAST-ENHANCED MRI; INFLAMMATION</t>
  </si>
  <si>
    <t>0179-1958</t>
  </si>
  <si>
    <t>1432-1262</t>
  </si>
  <si>
    <t>INT J COLORECTAL DIS</t>
  </si>
  <si>
    <t>Int. J. Colorectal Dis.</t>
  </si>
  <si>
    <t>JAN 20 2026</t>
  </si>
  <si>
    <t>10.1007/s00384-026-05083-0</t>
  </si>
  <si>
    <t>http://dx.doi.org/10.1007/s00384-026-05083-0</t>
  </si>
  <si>
    <t>CH0RH</t>
  </si>
  <si>
    <t>41559237</t>
  </si>
  <si>
    <t>WOS:001665607700001</t>
  </si>
  <si>
    <t>Cao, J; Nie, J; Wu, DX; Liu, HQ</t>
  </si>
  <si>
    <t>Objectives This study aimed to systematically evaluate the predictive performance and methodological characteristics of machine learning-based models for predicting progression to severe Mycoplasma pneumoniae pneumonia (SMPP) in pediatric patients. Methods A comprehensive literature search was conducted in PubMed, EMBASE, Web of Science, Cochrane Library, CNKI, and Wanfang databases from inception to November 2025 to identify studies developing or validating prediction models for SMPP in children. Data on study characteristics, modeling algorithms, predictors, and performance metrics were extracted. A narrative synthesis was performed to summarize model characteristics, predictors, and modeling approaches, while model discrimination was quantitatively synthesized using pooled area under the receiver operating characteristic curve (AUC). Subgroup analyses were conducted according to modeling algorithms. Methodological quality and risk of bias were assessed using the PROBAST tool. Results A total of 13 studies were included. The reported prevalence of hypoglycemia ranged from 17 to 33%. The AUC for predictive models ranged from 0.81 to 0.90. Subgroup analyses showed that machine learning-based models such as XGBoost and random forest generally reported higher AUC values compared with other modeling approaches. Commonly reported predictors included age, insulin use, body mass index, HbA1c, creatinine, and history of hypoglycemia. Conclusion Research on risk prediction models for SMPP in children is still at a developmental stage. Although current models demonstrate high discriminatory performance, methodological limitations and limited clinical translation remain. Future studies should focus on developing robust, interpretable machine learning models and facilitating their integration into pediatric clinical practice. Systematic review registration https://www.crd.york.ac.uk/PROSPERO/ CRD42020190338.</t>
  </si>
  <si>
    <t>Cao, Juan; Nie, Jiao; Wu, Danxia; Liu, Huiqin</t>
  </si>
  <si>
    <t>Liu, HQ (corresponding author), China Three Gorges Univ, Yichang Cent Peoples Hosp, Coll Clin Med 1, Yichang, Peoples R China.</t>
  </si>
  <si>
    <t>25097412@qq.com</t>
  </si>
  <si>
    <t>[Cao, Juan] China Three Gorges Univ, Coll Med &amp; Hlth Sci, Yichang, Hubei, Peoples R China; [Nie, Jiao] Jiangxi Prov Childrens Hosp, Dept Nursing, Nanchang, Jiangxi, Peoples R China; [Wu, Danxia] Jiangxi Prov Childrens Hosp, Dept Resp Med, Nanchang, Jiangxi, Peoples R China; [Liu, Huiqin] China Three Gorges Univ, Yichang Cent Peoples Hosp, Coll Clin Med 1, Yichang, Peoples R China</t>
  </si>
  <si>
    <t>China Three Gorges University</t>
  </si>
  <si>
    <t>Machine learning-based prediction models for severe Mycoplasma pneumoniae pneumonia in Chinese children: a systematic review and meta-analysis of prediction model performance</t>
  </si>
  <si>
    <t>FRONTIERS IN PUBLIC HEALTH</t>
  </si>
  <si>
    <t>machine learning; meta-analysis; pediatrics; prediction model; severe Mycoplasma pneumoniae pneumonia</t>
  </si>
  <si>
    <t>BIAS; RISK</t>
  </si>
  <si>
    <t>2296-2565</t>
  </si>
  <si>
    <t>FRONT PUBLIC HEALTH</t>
  </si>
  <si>
    <t>Front. Public Health</t>
  </si>
  <si>
    <t>JUN 3 2026</t>
  </si>
  <si>
    <t>1793116</t>
  </si>
  <si>
    <t>10.3389/fpubh.2026.1793116</t>
  </si>
  <si>
    <t>http://dx.doi.org/10.3389/fpubh.2026.1793116</t>
  </si>
  <si>
    <t>JQ3JT</t>
  </si>
  <si>
    <t>42318005</t>
  </si>
  <si>
    <t>WOS:001795444500001</t>
  </si>
  <si>
    <t>Laurinavicius, A; Rasmusson, A; Plancoulaine, B; Shribak, M; Levenson, R</t>
  </si>
  <si>
    <t>Assessment of intratumoral heterogeneity and tumor-host interaction within the tumor microenvironment is becoming increasingly important for innovative cancer therapy decisions because of the unique information it can generate about the state of the disease. However, its assessment and quantification are limited by ambiguous definitions of the tumor-host interface and by human cognitive capacity in current pathology practice. Advances in machine learning and artificial intelligence have opened the field of digital pathology to novel tissue image analytics and feature extraction for generation of high-capacity computational disease management models. A particular benefit is expected from machine-learning applications that can perform extraction and quantification of subvisual features of both intratumoral heterogeneity and tumor microenvironment aspects. These methods generate information about cancer cell subpopulation heterogeneity, potential tumor-host interactions, and tissue microarchitecture, derived from morphologically resolved content using both explicit and implicit features. Several studies have achieved promising diagnostic, prognostic, and predictive artificial intelligence models that often outperform current clinical and pathology criteria. However, further effort is needed for clinical adoption of such methods through development of standardizable high-capacity workflows and proper validation studies.</t>
  </si>
  <si>
    <t>Laurinavicius, Arvydas; Rasmusson, Allan; Plancoulaine, Benoit; Shribak, Michael; Levenson, Richard</t>
  </si>
  <si>
    <t>Laurinavicius, A (corresponding author), Vilnius Univ, Hosp Santaros Klinikos, Natl Ctr Pathol, P Baublio Str 5, LT-08406 Vilnius, Lithuania.</t>
  </si>
  <si>
    <t>arvydas.laurinavicius@vpc.lt</t>
  </si>
  <si>
    <t>European Social Fund [09.3.3-LMT-K-712]</t>
  </si>
  <si>
    <t>European Social Fund (European Social Fund (ESF))</t>
  </si>
  <si>
    <t>Supported by the European Social Fund grant 09.3.3-LMT-K-712.</t>
  </si>
  <si>
    <t>[Laurinavicius, Arvydas; Rasmusson, Allan; Plancoulaine, Benoit; Shribak, Michael; Levenson, Richard] Vilnius Univ, Fac Med, Inst Biomed Sci, Dept Pathol Forens Med &amp; Pharmacol, Vilnius, Lithuania; [Laurinavicius, Arvydas; Rasmusson, Allan] Vilnius Univ, Hosp Santaros Klinikos, Natl Ctr Pathol, P Baublio Str 5, LT-08406 Vilnius, Lithuania; [Plancoulaine, Benoit] Normandy Univ, INSERM, UMR 1086, Canc Ctr F Baclesse,ANTICIPE, Caen, France; [Shribak, Michael] Univ Chicago, Marine Biol Lab, Chicago, IL 60637 USA; [Levenson, Richard] Univ Calif Davis Hlth, Woods Hole Massachusetts, Sacramento, CA USA; [Levenson, Richard] Univ Calif Davis Hlth, Dept Pathol &amp; Lab Med, Sacramento, CA USA</t>
  </si>
  <si>
    <t>Vilnius University; Vilnius University; Vilnius University Hospital Santariskiu Klinikos; Institut National de la Sante et de la Recherche Medicale (Inserm); Universite de Caen Normandie; University of Chicago</t>
  </si>
  <si>
    <t>Machine-Learning-Based Evaluation of Intratumoral Heterogeneity and Tumor-Stroma Interface for Clinical Guidance</t>
  </si>
  <si>
    <t>AMERICAN JOURNAL OF PATHOLOGY</t>
  </si>
  <si>
    <t>INFILTRATING LYMPHOCYTES; IMAGE-ANALYSIS; QUANTIFICATION; ORGANIZATION; CARCINOMA</t>
  </si>
  <si>
    <t>Laurinavicius, Arvydas/F-9039-2012; Rasmusson, Allan/AAX-1804-2020; Shribak, Michael/H-8724-2018; PLANCOULAINE, Benoit/L-2029-2015</t>
  </si>
  <si>
    <t>Laurinavicius, Arvydas/0000-0001-9232-1730; Rasmusson, Allan/0000-0001-6705-6795; Shribak, Michael/0000-0002-5849-6294; PLANCOULAINE, Benoit/0000-0002-4913-3184; Levenson, Richard/0000-0002-0112-6823</t>
  </si>
  <si>
    <t>0002-9440</t>
  </si>
  <si>
    <t>1525-2191</t>
  </si>
  <si>
    <t>AM J PATHOL</t>
  </si>
  <si>
    <t>Am. J. Pathol.</t>
  </si>
  <si>
    <t>191</t>
  </si>
  <si>
    <t>1724</t>
  </si>
  <si>
    <t>1731</t>
  </si>
  <si>
    <t>10.1016/j.ajpath.2021.04.008</t>
  </si>
  <si>
    <t>http://dx.doi.org/10.1016/j.ajpath.2021.04.008</t>
  </si>
  <si>
    <t>UY9ON</t>
  </si>
  <si>
    <t>33895120</t>
  </si>
  <si>
    <t>WOS:000701844500009</t>
  </si>
  <si>
    <t>Lee, SH; Jang, HJ</t>
  </si>
  <si>
    <t>Molecular tests are necessary to stratify cancer patients for targeted therapy. However, high cost and technical barriers limit the application of these tests, hindering optimal treatment. Recently, deep learning (DL) has been applied to predict molecular test results from digitized images of tissue slides. Furthermore, treatment response and prognosis can be predicted from tissue slides using DL. In this review, we summarized DL-based studies regarding the prediction of genetic mutation, microsatellite instability, tumor mutational burden, molecular subtypes, gene expression, treatment response, and prognosis directly from Hematoxylin and Eosin-stained tissue slides. Although performance needs to be improved, these studies clearly demonstrated the feasibility of DL- based prediction of key molecular features in cancer tissues. With the accumulation of data and technical advances, the performance of the DL system could be improved in the near future. Therefore, we expect that DL could provide cost- and time-effective alternative tools for patient stratification in the era of precision oncology.</t>
  </si>
  <si>
    <t>Lee, Sung Hak; Jang, Hyun-Jong</t>
  </si>
  <si>
    <t>Jang, HJ (corresponding author), Catholic Univ Korea, Dept Physiol, Coll Med, 222 Banpo Daero,Seocho Gu, Seoul 06591, South Korea.</t>
  </si>
  <si>
    <t>hjjang@catholic.ac.kr</t>
  </si>
  <si>
    <t>National Research Foundation of Korea [NRF-2021R1A4A5028966]; Korea Health Technology R&amp;D Project through the Korea Health Industry Development Institute (KHIDI) - Ministry of Health &amp; Welfare, Republic of Korea [HI21C0940]</t>
  </si>
  <si>
    <t>National Research Foundation of Korea (National Research Foundation of Korea); Korea Health Technology R&amp;D Project through the Korea Health Industry Development Institute (KHIDI) - Ministry of Health &amp; Welfare, Republic of Korea</t>
  </si>
  <si>
    <t>This work was supported by a grant from the National Research Foundation of Korea (NRF-2021R1A4A5028966) and a grant from the Korea Health Technology R&amp;D Project through the Korea Health Industry Development Institute (KHIDI), funded by the Ministry of Health &amp; Welfare, Republic of Korea (grant number: HI21C0940).</t>
  </si>
  <si>
    <t>[Lee, Sung Hak] Catholic Univ Korea, Seoul St Marys Hosp, Dept Hosp Pathol, Coll Med, Seoul, South Korea; [Jang, Hyun-Jong] Catholic Univ Korea, Dept Physiol, Coll Med, Catholic Big Data Integrat Ctr, Seoul, South Korea</t>
  </si>
  <si>
    <t>Catholic University of Korea; Seoul St. Mary's Hospital; Catholic University of Korea</t>
  </si>
  <si>
    <t>Deep learning-based prediction of molecular cancer biomarkers from tissue slides: A new tool for precision oncology</t>
  </si>
  <si>
    <t>CLINICAL AND MOLECULAR HEPATOLOGY</t>
  </si>
  <si>
    <t>Deep learning; Pathology; Molecular tests; Precision medicine; Precision oncology</t>
  </si>
  <si>
    <t>COLORECTAL-CANCER; MICROSATELLITE INSTABILITY; SUBTYPES; MODEL</t>
  </si>
  <si>
    <t>Jang, Hyun-Jong/IUO-7586-2023</t>
  </si>
  <si>
    <t>Lee, Sung Hak/0000-0003-1020-5838; Jang, Hyun-Jong/0000-0003-4535-1560</t>
  </si>
  <si>
    <t>KOREAN ASSOC STUDY LIVER</t>
  </si>
  <si>
    <t>RM A1210, 53 MAPO-DAERO, MAPOTRAPALACE, DOWHA-DONG, MAPO-GU, SEOUL, 04158, SOUTH KOREA</t>
  </si>
  <si>
    <t>2287-2728</t>
  </si>
  <si>
    <t>2287-285X</t>
  </si>
  <si>
    <t>CLIN MOL HEPATOL</t>
  </si>
  <si>
    <t>Clin. Mol. Hepatol.</t>
  </si>
  <si>
    <t>754</t>
  </si>
  <si>
    <t>772</t>
  </si>
  <si>
    <t>10.3350/cmh.2021.0394</t>
  </si>
  <si>
    <t>http://dx.doi.org/10.3350/cmh.2021.0394</t>
  </si>
  <si>
    <t>6A2KL</t>
  </si>
  <si>
    <t>35443570</t>
  </si>
  <si>
    <t>WOS:000880487800005</t>
  </si>
  <si>
    <t>Wang, YM; Tian, L; Liu, X; Zhang, H; Tang, YC; Zhang, H; Nie, WB; Wang, LS</t>
  </si>
  <si>
    <t>Simple Summary Cancer-related fatigue (CRF) is the most common and distressing symptom in cancer survivors, severely affecting their quality of life. However, clinicians and patients are not well recognized for its importance and lack timely screening and assessment. With the rapid development of artificial intelligence and personalized care, early screening and assessment of CRF using machine learning to construct risk prediction models may contribute to this. Therefore, we redefined the predictors of CRF based on the predisposing, precipitating, and perpetuating (3P) model to develop a valid basis for the feature selection of future prediction models, intending to provide a more accurate and personalized plan for the clinical diagnosis and management of CRF.Abstract Cancer-related fatigue (CRF) is a widespread symptom with high prevalence in cancer patients, seriously affecting their quality of life. In the context of precision care, constructing machine learning-based prediction models for early screening and assessment of CRF is beneficial to this situation. To further understand the predictors of CRF for model construction, we conducted a comprehensive search in PubMed, Web of Science, Embase, and Scopus databases, combining CRF with predictor-related terms. A total of 27 papers met the inclusion criteria. We evaluated the above studies into three subgroups following the predisposing, precipitating, and perpetuating (3P) factor model. (1) Predisposing factors-baseline fatigue, demographic characteristics, clinical characteristics, psychosocial traits and physical symptoms. (2) Precipitating factors-type and stage of chemotherapy, inflammatory factors, laboratory indicators and metabolic changes. (3) Perpetuating factors-a low level of physical activity and poorer nutritional status. Future research should prioritize large-scale prospective studies with emerging technologies to identify accurate predictors of CRF. The assessment and management of CRF should also focus on the above factors, especially the controllable precipitating factors, to improve the quality of life of cancer survivors.</t>
  </si>
  <si>
    <t>Wang, Yiming; Tian, Lv; Liu, Xia; Zhang, Hao; Tang, Yongchun; Zhang, Hong; Nie, Wenbo; Wang, Lisheng</t>
  </si>
  <si>
    <t>Nie, WB; Wang, LS (corresponding author), Jilin Univ, Sch Nursing, 965 Xinjiang St, Changchun 130021, Peoples R China.; Wang, LS (corresponding author), Hebei Yanda Hosp, Yanda Med Res Inst, Sanhe 065201, Peoples R China.</t>
  </si>
  <si>
    <t>tianlv21@mails.jlu.edu.cn; 13691477201@163.com; lishengwang@jlu.edu.cn; wangyiming21@mails.jlu.edu.cn; yoyoxia3588@sina.cn; tangyc1309152820@163.com; zhanghong08021220@163.com; niewb@jlu.edu.cn</t>
  </si>
  <si>
    <t>[Wang, Yiming; Tian, Lv; Nie, Wenbo; Wang, Lisheng] Jilin Univ, Sch Nursing, 965 Xinjiang St, Changchun 130021, Peoples R China; [Liu, Xia; Tang, Yongchun; Zhang, Hong] Peoples Liberat Army Gen Hosp, Sr Dept Hematol, Med Ctr 5, Beijing 100071, Peoples R China; [Zhang, Hao; Wang, Lisheng] Hebei Yanda Hosp, Yanda Med Res Inst, Sanhe 065201, Peoples R China</t>
  </si>
  <si>
    <t>Jilin University; Chinese People's Liberation Army General Hospital</t>
  </si>
  <si>
    <t>Multidimensional Predictors of Cancer-Related Fatigue Based on the Predisposing, Precipitating, and Perpetuating (3P) Model: A Systematic Review</t>
  </si>
  <si>
    <t>cancer-related fatigue; predictor; systematic review</t>
  </si>
  <si>
    <t>QUALITY-OF-LIFE; BREAST-CANCER; PHYSICAL-ACTIVITY; PALLIATIVE CARE; PREVALENCE; ASSOCIATION; WOMEN; MANAGEMENT; CHEMOTHERAPY; INFLAMMATION</t>
  </si>
  <si>
    <t>5879</t>
  </si>
  <si>
    <t>10.3390/cancers15245879</t>
  </si>
  <si>
    <t>http://dx.doi.org/10.3390/cancers15245879</t>
  </si>
  <si>
    <t>DG7R5</t>
  </si>
  <si>
    <t>38136423</t>
  </si>
  <si>
    <t>WOS:001130945500001</t>
  </si>
  <si>
    <t>Mondillo, G; Colosimo, S; Perrotta, A; Frattolillo, V; Gicchino, MF</t>
  </si>
  <si>
    <t>This review examines the increasing use of artificial intelligence (AI) in rheumatology, focusing on its potential impact in key areas. AI, including machine learning (ML) and deep learning (DL), is revolutionizing diagnosis, treatment personalization, and prognosis prediction in rheumatologic diseases. Specifically, AI models based on convolutional neural networks (CNNs) demonstrate significant efficacy in analyzing medical images for disease classification and severity assessment. Predictive AI models also have the ability to forecast disease trajectories and treatment responses, enabling more informed clinical decisions. The role of wearable devices and mobile applications in continuous disease monitoring is discussed, although their effectiveness varies across studies. Despite existing challenges, such as data privacy concerns and issues of model generalizability, the compelling results highlight the transformative potential of AI in rheumatologic disease management. As AI technologies continue to evolve, further research will be essential to address these challenges and fully harness the potential of AI to improve patient outcomes in rheumatology.</t>
  </si>
  <si>
    <t>Mondillo, Gianluca; Colosimo, Simone; Perrotta, Alessandra; Frattolillo, Vittoria; Gicchino, Maria Francesca</t>
  </si>
  <si>
    <t>Mondillo, G (corresponding author), AOU Univ Campania Luigi Vanvitelli, Dept Woman Child &amp; Gen &amp; Specialized Surg, Via Luigi Crecchio 4, I-80138 Naples, Italy.</t>
  </si>
  <si>
    <t>mariafrancesca.gicchino@unicampania.it; alessandra.perrotta@studenti.unicampania.it; gianluca.mondillo@gmail.com; simone.colosimo@studenti.unicampania.it; vittoria.frattolillo@studenti.unicampania.it</t>
  </si>
  <si>
    <t>[Mondillo, Gianluca; Colosimo, Simone; Perrotta, Alessandra; Frattolillo, Vittoria; Gicchino, Maria Francesca] AOU Univ Campania Luigi Vanvitelli, Dept Woman Child &amp; Gen &amp; Specialized Surg, Via Luigi Crecchio 4, I-80138 Naples, Italy</t>
  </si>
  <si>
    <t>Universita della Campania Vanvitelli</t>
  </si>
  <si>
    <t>Unveiling Artificial Intelligence's Power: Precision, Personalization, and Progress in Rheumatology</t>
  </si>
  <si>
    <t>artificial intelligence (AI); rheumatology; diagnosis</t>
  </si>
  <si>
    <t>ARTHRITIS; PREDICT; DISEASE</t>
  </si>
  <si>
    <t>Gicchino, Maria/AAB-3410-2019</t>
  </si>
  <si>
    <t>Mondillo, Gianluca/0009-0000-7756-8145; colosimo, simone/0000-0001-5598-7883</t>
  </si>
  <si>
    <t>6559</t>
  </si>
  <si>
    <t>10.3390/jcm13216559</t>
  </si>
  <si>
    <t>http://dx.doi.org/10.3390/jcm13216559</t>
  </si>
  <si>
    <t>L5S3W</t>
  </si>
  <si>
    <t>39518698</t>
  </si>
  <si>
    <t>WOS:001351312300001</t>
  </si>
  <si>
    <t>Hassan, N; Slight, R; Morgan, G; Bates, DW; Gallier, S; Sapey, E; Slight, S</t>
  </si>
  <si>
    <t>BackgroundPredictive models have been used in clinical care for decades. They can determine the risk of a patient developing a particular condition or complication and inform the shared decision-making process. Developing artificial intelligence (AI) predictive models for use in clinical practice is challenging; even if they have good predictive performance, this does not guarantee that they will be used or enhance decision-making. We describe nine stages of developing and evaluating a predictive AI model, recognising the challenges that clinicians might face at each stage and providing practical tips to help manage them. FindingsThe nine stages included clarifying the clinical question or outcome(s) of interest (output), identifying appropriate predictors (features selection), choosing relevant datasets, developing the AI predictive model, validating and testing the developed model, presenting and interpreting the model prediction(s), licensing and maintaining the AI predictive model and evaluating the impact of the AI predictive model. The introduction of an AI prediction model into clinical practice usually consists of multiple interacting components, including the accuracy of the model predictions, physician and patient understanding and use of these probabilities, expected effectiveness of subsequent actions or interventions and adherence to these. Much of the difference in whether benefits are realised relates to whether the predictions are given to clinicians in a timely way that enables them to take an appropriate action. ConclusionThe downstream effects on processes and outcomes of AI prediction models vary widely, and it is essential to evaluate the use in clinical practice using an appropriate study design.</t>
  </si>
  <si>
    <t>Hassan, Nehal; Slight, Robert; Morgan, Graham; Bates, David W.; Gallier, Suzy; Sapey, Elizabeth; Slight, Sarah</t>
  </si>
  <si>
    <t>Slight, S (corresponding author), Newcastle Univ, Sch Pharm, Newcastle Upon Tyne, England.; Slight, S (corresponding author), Newcastle Univ, Populat Hlth Sci Inst, Fac Med Sci, Newcastle Upon Tyne, England.</t>
  </si>
  <si>
    <t>Sarah.Slight@newcastle.ac.uk</t>
  </si>
  <si>
    <t>Newcastle University; MRC [MC_PC_21055, MC_PC_21015] Funding Source: UKRI</t>
  </si>
  <si>
    <t>Newcastle University (Newcastle University - UK, University of Newcastle); MRC (UK Research &amp; Innovation (UKRI), Medical Research Council UK (MRC))</t>
  </si>
  <si>
    <t>The first author (NH) was awarded NUORS scholarship by Newcastle University, which covers tuition fees; this project is a part of a doctorate degree</t>
  </si>
  <si>
    <t>[Hassan, Nehal; Slight, Sarah] Newcastle Univ, Sch Pharm, Newcastle Upon Tyne, England; [Hassan, Nehal; Slight, Robert; Slight, Sarah] Newcastle Univ, Populat Hlth Sci Inst, Fac Med Sci, Newcastle Upon Tyne, England; [Slight, Robert] Newcastle Tyne Hosp NHS Fdn Trust, Freeman Hosp, Newcastle Upon Tyne, England; [Morgan, Graham] Newcastle Univ, Sch Comp, Newcastle Upon Tyne, England; [Bates, David W.] Harvard Med Sch, Dept Gen Internal Med, Boston, MA USA; [Gallier, Suzy; Sapey, Elizabeth] Univ Hosp Birmingham NHS Fdn Trust, PIONEER Hlth Data Res Hub, Birmingham, England; [Gallier, Suzy; Sapey, Elizabeth] Univ Hosp Birmingham NHS Fdn Trust, Dept Hlth Informat, PIONEER Hlth Data Res Hub, Birmingham, England</t>
  </si>
  <si>
    <t>Newcastle University - UK; Newcastle University - UK; Newcastle Freeman Hospital; Newcastle Upon Tyne Hospitals NHS Foundation Trust; Newcastle University - UK; Harvard University; Harvard Medical School; University of Birmingham; University of Birmingham</t>
  </si>
  <si>
    <t>Road map for clinicians to develop and evaluate AI predictive models to inform clinical decision-making</t>
  </si>
  <si>
    <t>BMJ HEALTH &amp; CARE INFORMATICS</t>
  </si>
  <si>
    <t>artificial intelligence; decision support systems; clinical; preventive medicine</t>
  </si>
  <si>
    <t>INDIVIDUAL PROGNOSIS; EXTERNAL VALIDATION; DIAGNOSIS TRIPOD; SEPSIS; HEALTH; BIAS</t>
  </si>
  <si>
    <t>Bates, David/AAE-7283-2019; Morgan, Graham/AAF-9579-2020</t>
  </si>
  <si>
    <t>Gallier, Suzy/0000-0003-1026-4125; Morgan, Graham/0000-0002-0089-0395; Hassan, Nehal/0000-0002-8302-5769; Sapey, Elizabeth/0000-0003-3454-5482</t>
  </si>
  <si>
    <t>2632-1009</t>
  </si>
  <si>
    <t>BMJ HEALTH CARE INFO</t>
  </si>
  <si>
    <t>BMJ Health Care Inform.</t>
  </si>
  <si>
    <t>e100784</t>
  </si>
  <si>
    <t>10.1136/bmjhci-2023-100784</t>
  </si>
  <si>
    <t>http://dx.doi.org/10.1136/bmjhci-2023-100784</t>
  </si>
  <si>
    <t>O8RV7</t>
  </si>
  <si>
    <t>37558245</t>
  </si>
  <si>
    <t>WOS:001046442600002</t>
  </si>
  <si>
    <t>Tu, YY; Zhu, HY; Zhang, XZ; Huang, SY; Tu, WY</t>
  </si>
  <si>
    <t>BackgroundThe number of risk prediction models for postoperative delirium(POD) has increased yearly, but their quality and applicability in clinical practice and future research remain unclear.AimsThis systematic review aimed to evaluate published studies on POD risk prediction models, evaluate the diagnostic accuracy of these models, and provide guidance for model establishment and improvement.MethodsWe conducted a systematic search in PubMed, Embase, the Cochrane Library, and other scientific databases to identify eligible studies published up to February 15, 2025. The included studies provided data on the sensitivity and specificity of predictive models.ResultsWe included 17 articles with 69 machine learning (ML) prediction models, encompassing 205,202 individuals who underwent surgerg, among whom 50,899 developed POD (24.8%). The average number of cases per study was 12,070, with the largest study including 163,436 cases. The combined area under the receiver operating characteristic curve (AUROC) for predicting POD, calculated by averaging the AUROC values reported in the studies, was 0.83 [95% CI, 0.79-0.86], with a sensitivity of 0.73 [95% CI, 0.68-0.74] and a specificity of 0.79 [95% CI, 0.74-0.82]. Subgroup analysis revealed that the random forest model exhibited the highest pooled AUROC, reaching 0.89 [95% CI, 0.86-0.92]. Notably, models predicting POD for orthopedic surgeries (AUROC: 0.88 [95% CI, 0.85-0.90]) and patients younger than 60 years (AUROC: 0.84 [95% CI, 0.81-0.87]) demonstrated superior predictive performance. Furthermore, models that underwent only internal validation had lower predictive performance compared to those validated both internally and externally (AUROC: 0.84 [95% CI, 0.81-0.87]). Compared to models developed for European and American populations, those applied to Asian populations performed better (AUROC: 0.85 [95% CI, 0.82-0.88]). Across the included studies, advanced age, preoperative cognitive impairment, comorbidities, anemia, and hypoalbuminemia were the most consistently reported predictors of POD .ConclusionsML models perform well in predicting the occurrence of POD, with stable performance across various surgical and demographic subgroups.</t>
  </si>
  <si>
    <t>Tu, Yingying; Zhu, Haoyuan; Zhang, Xiaozhen; Huang, Shaoyi; Tu, Wenyi</t>
  </si>
  <si>
    <t>Tu, WY (corresponding author), Wenzhou Med Univ, Affiliated Hosp 1, Dept Nursing, Wenzhou, Zhejiang, Peoples R China.</t>
  </si>
  <si>
    <t>tuwenyi@wmu.edu.cn</t>
  </si>
  <si>
    <t>Wenzhou Science and Technology Bureau [Y20190312, Y2020625]</t>
  </si>
  <si>
    <t>Wenzhou Science and Technology Bureau</t>
  </si>
  <si>
    <t>This work is supported by two projects of the Wenzhou Science and Technology Bureau (Nos. Y20190312 and Y2020625).</t>
  </si>
  <si>
    <t>[Tu, Yingying; Zhang, Xiaozhen; Huang, Shaoyi; Tu, Wenyi] Wenzhou Med Univ, Affiliated Hosp 1, Dept Nursing, Wenzhou, Zhejiang, Peoples R China; [Zhu, Haoyuan] Nanchang Univ, Affiliated Hosp 2, Anesthesia Care Unit, Nanchang, Jiangxi, Peoples R China</t>
  </si>
  <si>
    <t>Wenzhou Medical University; Nanchang University</t>
  </si>
  <si>
    <t>Machine Learning-Based prediction models for postoperative delirium: a systematic review and Meta-Analysis</t>
  </si>
  <si>
    <t>BMC PSYCHIATRY</t>
  </si>
  <si>
    <t>Postoperative delirium; Prediction model; Machine learning; Systematic review</t>
  </si>
  <si>
    <t>ELDERLY-PATIENTS; NONCARDIAC SURGERY; HIP FRACTURE; RISK-FACTORS; INTERVENTIONS; VALIDATION; ALGORITHMS; MORTALITY; FRAILTY</t>
  </si>
  <si>
    <t>TU, YINGYING/0000-0003-1470-7392</t>
  </si>
  <si>
    <t>1471-244X</t>
  </si>
  <si>
    <t>BMC Psychiatry</t>
  </si>
  <si>
    <t>940</t>
  </si>
  <si>
    <t>10.1186/s12888-025-07401-2</t>
  </si>
  <si>
    <t>http://dx.doi.org/10.1186/s12888-025-07401-2</t>
  </si>
  <si>
    <t>8IV6T</t>
  </si>
  <si>
    <t>41057784</t>
  </si>
  <si>
    <t>WOS:001589710300008</t>
  </si>
  <si>
    <t>Marra, A; Morganti, S; Pareja, F; Campanella, G; Bibeau, F; Fuchs, T; Loda, M; Parwan, A; Scarpa, A; Reis, JS; Curigliano, G; Marchiò, C; Kather, JN</t>
  </si>
  <si>
    <t>Background: Artificial intelligence (AI) is rapidly transforming the fields of pathology and oncology, offering novel opportunities for advancing diagnosis, prognosis, and treatment of cancer. Methods: Through a systematic review-based approach, the representatives from the European Society for Medical Oncology (ESMO) Precision Oncology Working Group (POWG) and international experts identified studies in pathology and oncology that applied AI-based algorithms for tumour diagnosis, molecular biomarker detection, and cancer prognosis assessment. These findings were synthesised to provide a comprehensive overview of current AI applications and future directions in cancer pathology. Results: The integration of AI tools in digital pathology is markedly improving the accuracy and efficiency of image analysis, allowing for automated tumour detection and classification, identification of prognostic molecular biomarkers, and prediction of treatment response and patient outcomes. Several barriers for the adoption of AI in clinical workflows, such as data availability, explainability, and regulatory considerations, still persist. There are currently no prognostic or predictive AI-based biomarkers supported by level IA or IB evidence. The ongoing advancements in AI algorithms, particularly foundation models, generalist models and transformer-based deep learning, offer immense promise for the future of cancer research and care. AI is also facilitating the integration of multi-omics data, leading to more precise patient stratification and personalised treatment strategies. Conclusions: The application of AI in pathology is poised to not only enhance the accuracy and efficiency of cancer diagnosis and prognosis but also facilitate the development of personalised treatment strategies. Although barriers to implementation remain, ongoing research and development in this field coupled with addressing ethical and regulatory considerations will likely lead to a future where AI plays an integral role in cancer management and precision medicine. The continued evolution and adoption of AI in pathology and oncology are anticipated to reshape the landscape of cancer care, heralding a new era of precision medicine and improved patient outcomes.</t>
  </si>
  <si>
    <t>Marra, A.; Morganti, S.; Pareja, F.; Campanella, G.; Bibeau, F.; Fuchs, T.; Loda, M.; Parwan, A.; Scarpa, A.; Reis-Filho, J. S.; Curigliano, G.; Marchio, C.; Kather, J. N.</t>
  </si>
  <si>
    <t>Kather, JN (corresponding author), ESMO Head Off, Sci &amp; Med Div, Via Ginevra 4, CH-6900 Lugano, Switzerland.</t>
  </si>
  <si>
    <t>education@esmo.org</t>
  </si>
  <si>
    <t>European Society for Medical Oncology</t>
  </si>
  <si>
    <t>This work was supported by the European Society for Medical Oncology (no grant number) .</t>
  </si>
  <si>
    <t>[Marra, A.; Curigliano, G.] European Inst Oncol IRCCS, Div Early Drug Dev Innovat Therapies, Milan, Italy; [Morganti, S.; Parwan, A.] Dana Farber Canc Inst, Dept Med Oncol, Boston, MA USA; [Morganti, S.] Harvard Med Sch, Dept Med, Boston, MA USA; [Morganti, S.] Broad Inst MIT &amp; Harvard, Gerstner Ctr Canc Diagnost, Boston, MA USA; [Pareja, F.; Reis-Filho, J. S.] Mem Sloan Kettering Canc Ctr, Dept Pathol &amp; Lab Med, New York, NY USA; [Campanella, G.; Fuchs, T.] Mt Sinai Sch Med, Hasso Plattner Inst Digital Hlth, New York, NY USA; [Campanella, G.; Fuchs, T.] Icahn Sch Med Mt Sinai, Dept AI &amp; Human Hlth, New York, NY USA; [Bibeau, F.] Univ Hosp Besancon, Dept Pathol, Besancon, France; [Loda, M.] Weill Cornell Med, Dept Pathol &amp; Lab Med, New York, NY USA; [Loda, M.] Univ Oxford, Nuffield Dept Surg Sci, Oxford, England; [Loda, M.] Dana Farber Canc Inst, Dept Oncol Pathol, Boston, MA USA; [Loda, M.] Harvard Med Sch, Boston, MA USA; [Parwan, A.] Ohio State Univ, Wexner Med Ctr, Dept Pathol, Columbus, OH USA; [Scarpa, A.] Univ &amp; Hosp Trust Verona, Dept Diagnost &amp; Publ Hlth, Sect Pathol, Verona, Italy; [Scarpa, A.] Univ Verona, ARC Net Res Ctr, Verona, Italy; [Curigliano, G.] Univ Milan, Dept Oncol &amp; Hematooncol, Milan, Italy; [Curigliano, G.] FPO IRCCS, Candiolo Canc Inst, Candiolo, Italy; [Marchio, C.] Univ Turin, Dept Med Sci, Turin, Italy; [Kather, J. N.] Tech Univ Dresden, Med Fac Carl Gustav Carus, Else Kroener Fresenius Ctr Digital Hlth, Dresden, Germany; [Kather, J. N.] Tech Univ Dresden, Univ Hosp, Dept Med 1, Dresden, Germany; [Kather, J. N.] Tech Univ Dresden, Fac Med Carl Gustav Carus, Dresden, Germany; [Kather, J. N.] Univ Hosp Heidelberg, Natl Ctr Tumor Dis NCT, Med Oncol, Heidelberg, Germany; [Fuchs, T.] Elly Lilly, Indianapolis, IN USA; [Reis-Filho, J. S.] AstraZeneca, Canc Biomarker Dev, Gaithersburg, MD USA</t>
  </si>
  <si>
    <t>IRCCS European Institute of Oncology (IEO); Harvard University; Harvard University Medical Affiliates; Dana-Farber Cancer Institute; Harvard University; Harvard Medical School; Harvard University; Massachusetts Institute of Technology (MIT); Broad Institute; Memorial Sloan Kettering Cancer Center; Icahn School of Medicine at Mount Sinai; Icahn School of Medicine at Mount Sinai; Universite Marie et Louis Pasteur; CHU Besancon; Cornell University; Weill Cornell Medicine; University of Oxford; Harvard University; Harvard University Medical Affiliates; Dana-Farber Cancer Institute; Harvard University; Harvard Medical School; University System of Ohio; Ohio State University; University of Verona; Azienda Ospedaliera Universitaria Integrata Verona; University of Verona; University of Milan; IRCCS Fondazione del Piemonte per l'Oncologia; University of Turin; Technische Universitat Dresden; Carl Gustav Carus University Hospital; Technische Universitat Dresden; Carl Gustav Carus University Hospital; Technische Universitat Dresden; Ruprecht Karls University Heidelberg; Helmholtz Association; National Center for Tumor Diseases; German Cancer Research Center (DKFZ); AstraZeneca</t>
  </si>
  <si>
    <t>Artificial intelligence entering the pathology arena in oncology: current applications and future perspectives</t>
  </si>
  <si>
    <t>ANNALS OF ONCOLOGY</t>
  </si>
  <si>
    <t>pathology; oncology; biomarkers; arti fi cial intelligence; deep learning</t>
  </si>
  <si>
    <t>MULTIMODAL DATA INTEGRATION; PROSTATE-CANCER; COLORECTAL-CANCER; MICROSATELLITE INSTABILITY; MOLECULAR SUBTYPES; FOUNDATION MODEL; PREDICTION; RECURRENCE; IMAGES; CLASSIFICATION</t>
  </si>
  <si>
    <t>Curigliano, Giuseppe/D-3371-2018; Marra, Antonio/HLQ-2867-2023; Morganti, Stefania/AAB-1145-2021; Kather, Jakob Nikolas/D-4279-2015; Marchio, Caterina/J-9152-2016</t>
  </si>
  <si>
    <t>Pareja, Fresia/0000-0003-3748-8049; Marra, Antonio/0000-0002-7310-7824; Morganti, Stefania/0000-0001-5284-9944; Kather, Jakob Nikolas/0000-0002-3730-5348</t>
  </si>
  <si>
    <t>0923-7534</t>
  </si>
  <si>
    <t>1569-8041</t>
  </si>
  <si>
    <t>ANN ONCOL</t>
  </si>
  <si>
    <t>Ann. Oncol.</t>
  </si>
  <si>
    <t>712</t>
  </si>
  <si>
    <t>725</t>
  </si>
  <si>
    <t>10.1016/j.annonc.2025.03.006</t>
  </si>
  <si>
    <t>http://dx.doi.org/10.1016/j.annonc.2025.03.006</t>
  </si>
  <si>
    <t>4BK1J</t>
  </si>
  <si>
    <t>40307127</t>
  </si>
  <si>
    <t>WOS:001514003600002</t>
  </si>
  <si>
    <t>Feng, JB; Ma, M; Ou, CL; Zhang, KW</t>
  </si>
  <si>
    <t>Background Postoperative readmission is a critical metric after total hip and knee arthroplasty (THA/TKA). While machine learning (ML) models for predicting readmission risk are proliferating, the stability of their performance and the robustness of their methodology remain contentious. This study aimed to systematically review and quantitatively synthesize the evidence base for ML-based readmission prediction after THA/TKA. Methods A systematic search was conducted across PubMed, Embase, Cochrane Library, and Web of Science from inception to December 31, 2025. Studies developing or validating ML models for THA/TKA readmission were included. Model performance (C-statistic/AUC) was extracted. Study quality was assessed using the PROBAST + AI tool. A multivariate random-effects meta-analysis was performed to pool C-statistics and quantify heterogeneity, with subgroup analyses stratified by study design, surgery type, prediction timeframe, and algorithmic class. Results Fifteen studies (57 distinct models) were included. The pooled C-statistic was 0.76 (95% CI: 0.71-0.81). However, extreme heterogeneity (I-2 = 99.9%) rendered this point estimate of limited clinical utility; the 95% prediction interval (0.38-0.94) highlighted profound outcome unpredictability. Subgroup analyses revealed significant moderators: single-center models showed optimistically higher performance (0.86) compared to multicenter models (0.65), and THA-specific models yielded higher estimates than TKA-specific models, although these findings were derived from few studies and should be interpreted as exploratory. Advanced ML algorithms did not demonstrate consistent superiority over traditional logistic regression. Crucially, the PROBAST + AI assessment identified a high risk of bias in the majority of studies, primarily due to analytical shortcomings and a universal lack of model recalibration. Conclusion The current body of evidence for ML-based readmission prediction after THA/TKA is characterized by extreme heterogeneity and high methodological bias, severely constraining clinical utility. The inability to pool calibration metrics represents a critical evidence gap. Future research must prioritize multi-institutional validation, stringent adherence to reporting standards (e.g., TRIPOD-AI), and the mandatory transparent reporting of both discrimination and calibration metrics to realize any potential clinical benefit.</t>
  </si>
  <si>
    <t>Feng, Jiabin; Ma, Min; Ou, Changliang; Zhang, Kaiwei</t>
  </si>
  <si>
    <t>Zhang, KW (corresponding author), Guizhou Univ Tradit Chinese Med, Coll Traumatol &amp; Orthoped, Guiyang, Guizhou, Peoples R China.</t>
  </si>
  <si>
    <t>zkw1973@sina.com</t>
  </si>
  <si>
    <t>National Natural Science Foundation of China [82160914]</t>
  </si>
  <si>
    <t>The author(s) declared that financial support was received for this work and/or its publication. This research was funded by the National Natural Science Foundation of China (82160914), the Guizhou University of Traditional Chinese Medicine Postgraduate Scientific Research Fund Project (YCXKYB2025025), and the Guizhou Provincial Health Commission Science and Technology Fund Project (gzwkj2026-159).</t>
  </si>
  <si>
    <t>[Feng, Jiabin; Ou, Changliang; Zhang, Kaiwei] Guizhou Univ Tradit Chinese Med, Coll Traumatol &amp; Orthoped, Guiyang, Guizhou, Peoples R China; [Ma, Min] Second Peoples Hosp Guizhou Prov, Dept Endocrinol, Guiyang, Guizhou, Peoples R China</t>
  </si>
  <si>
    <t>Guizhou University of Traditional Chinese Medicine</t>
  </si>
  <si>
    <t>Systematic review and meta-analysis of machine learning-based prediction models for readmission risk after total hip and knee arthroplasty</t>
  </si>
  <si>
    <t>artificial intelligence; machine learning; Patient Readmission; risk prediction; systematic review; total hip arthroplasty; total knee arthroplasty</t>
  </si>
  <si>
    <t>JUL 15 2026</t>
  </si>
  <si>
    <t>1855638</t>
  </si>
  <si>
    <t>10.3389/fmed.2026.1855638</t>
  </si>
  <si>
    <t>http://dx.doi.org/10.3389/fmed.2026.1855638</t>
  </si>
  <si>
    <t>LX0GJ</t>
  </si>
  <si>
    <t>42528854</t>
  </si>
  <si>
    <t>WOS:001835239700001</t>
  </si>
  <si>
    <t>Chai, WT; Fan, SY; Lin, YN; Zheng, NT; Xiong, YF; Chen, Y; Zhang, ZX; Chen, LJ</t>
  </si>
  <si>
    <t>Through systematic review and meta-analysis, we explored the perfor mance of machine lear ning (ML) risk prediction models for early-onset colorectal cancer (EOCRC) to enhance model development and application. Following preregistration of the study protocol in PROSPERO (CRD42024606785), we searched PubMed, Embase, Web of Science, Cochrane Library, WanFang Data, VIP, SinoMed, and the CNKI databases for studies on constructing predictive EOCRC based on ML methods. The prediction model Risk of Bias Assessment Tool + Artificial Intelligence (PROBAST + AI) tool was used to evaluate the quality, bias risk, and applicability of the included studies. The Transparent Reporting of a multivariable prediction model for Individual Prognosis or Diagnosis + Artificial Intelligence (TRIPOD + AI) reporting standard was applied to assess the reporting quality of these studies. We conducted subgroup analysis and sensitivity analysis. This study followed the PRISMA reporting guidelines. A total of 2809 studies were retrieved, and 7 studies were included. The training set size ranged from 987 to 21,700 patients, with an average of 5037 per model. XGBoost was the most frequently used modelling method. Overall TRIPOD + AI compliance was 70.5%. In model development, 5 studies were rated as high-quality concerns (2 unclear), and 5 studies were rated as high adaptability concerns (2 unclear). In model evaluation, 6 studies were rated as high-risk bias (1 unclear), and 5 studies were of concern for high adaptability (2 unclear). The top 5 most common predictors include age, gender, BMI, diabetes and smoking. Meta-analysis showed a pooled AUC of 0.84 (95% CI, 0.77-0.90; I 2 = 99.3%, P &lt; .001). Pooled sensitivity and specificity were 0.75 (95% CI, 0.59-0.86; I-2 = 94.8%) and 0.87 (95% CI, 0.71-0.94; I-2 = 95.6%), respectively (both P &lt; .001 for heterogeneity). This study demonstrates that ML models show outstanding discriminatory capabilities in predicting the risk of EOCRC, supporting their potential application in identifying high-risk individuals for targeted prevention and monitoring. In the future, prospective design and standardized reporting are needed to enhance reliability and clinical translation.</t>
  </si>
  <si>
    <t>Chai, Wenting; Fan, Siyue; Lin, Yanni; Zheng, Nengtong; Xiong, Yuanfang; Chen, Yuan; Zhang, Zhaoxia; Chen, Lijuan</t>
  </si>
  <si>
    <t>Chen, LJ (corresponding author), Xiamen Univ, Zhongshan Hosp, Dept Nursing, 201-209 Hubin South Rd, Xiamen 361004, Fujian, Peoples R China.</t>
  </si>
  <si>
    <t>xmetchenlijuan@163.com</t>
  </si>
  <si>
    <t>[Chai, Wenting; Lin, Yanni; Zheng, Nengtong; Xiong, Yuanfang; Chen, Yuan; Zhang, Zhaoxia; Chen, Lijuan] Fujian Univ Tradit Chinese Med, Sch Nursing, Fuzhou, Fujian, Peoples R China; [Fan, Siyue] Ningxia Med Univ, Sch Nursing, Yinchuan, Peoples R China; [Chen, Lijuan] Xiamen Univ, Zhongshan Hosp, Dept Gen Surg, Xiamen, Peoples R China</t>
  </si>
  <si>
    <t>Fujian University of Traditional Chinese Medicine; Ningxia Medical University; Xiamen University</t>
  </si>
  <si>
    <t>Machine Learning-Based Prediction Model for Early-Onset Colorectal Cancer Risk: A Systematic Review and Meta-Analysis</t>
  </si>
  <si>
    <t>CLINICAL COLORECTAL CANCER</t>
  </si>
  <si>
    <t>Colorectal neoplasms; Artificial intelligence; Early detection of cancer; Predictive model; Adult</t>
  </si>
  <si>
    <t>ADVANCED NEOPLASIA; PREVENTION; SCORE</t>
  </si>
  <si>
    <t>1533-0028</t>
  </si>
  <si>
    <t>1938-0674</t>
  </si>
  <si>
    <t>CLIN COLORECTAL CANC</t>
  </si>
  <si>
    <t>Clin. Colorectal Canc.</t>
  </si>
  <si>
    <t>DEC 2025</t>
  </si>
  <si>
    <t>445</t>
  </si>
  <si>
    <t>10.1016/j.clcc.2025.09.003</t>
  </si>
  <si>
    <t>http://dx.doi.org/10.1016/j.clcc.2025.09.003</t>
  </si>
  <si>
    <t>K7914</t>
  </si>
  <si>
    <t>41139529</t>
  </si>
  <si>
    <t>WOS:001628910500003</t>
  </si>
  <si>
    <t>Villanueva-Meyer, JE; Bakas, S; Tiwari, P; Lupo, JM; Calabrese, E; Davatzikos, C; Bi, WL; Ismail, M; Akbari, H; Lohmann, P; Booth, TC; Wiestler, B; Aerts, HJWL; Rasool, G; Tonn, JC; Nowosielski, M; Jain, R; Colen, RR; Pati, S; Baid, U; Vollmuth, P; Macdonald, D; Vogelbaum, MA; Chang, SM; Huang, RY; Galldiks, N</t>
  </si>
  <si>
    <t>The development, application, and benchmarking of artificial intelligence (AI) tools to improve diagnosis, prognostication, and therapy in neuro-oncology are increasing at a rapid pace. This Policy Review provides an overview and critical assessment of the work to date in this field, focusing on diagnostic AI models of key genomic markers, predictive AI models of response before and after therapy, and differentiation of true disease progression from treatment-related changes, which is a considerable challenge based on current clinical care in neuro-oncology. Furthermore, promising future directions, including the use of AI for automated response assessment in neuro-oncology, are discussed.</t>
  </si>
  <si>
    <t>Villanueva-Meyer, Javier E.; Bakas, Spyridon; Tiwari, Pallavi; Lupo, Janine M.; Calabrese, Evan; Davatzikos, Christos; Bi, Wenya Linda; Ismail, Marwa; Akbari, Hamed; Lohmann, Philipp; Booth, Thomas C.; Wiestler, Benedikt; Aerts, Hugo J. W. L.; Rasool, Ghulam; Tonn, Joerg C.; Nowosielski, Martha; Jain, Rajan; Colen, Rivka R.; Pati, Sarthak; Baid, Ujjwal; Vollmuth, Philipp; Macdonald, David; Vogelbaum, Michael A.; Chang, Susan M.; Huang, Raymond Y.; Galldiks, Norbert</t>
  </si>
  <si>
    <t>Villanueva-Meyer, JE (corresponding author), Univ Calif San Francisco, Dept Radiol &amp; Biomed Imaging, San Francisco, CA 94143 USA.</t>
  </si>
  <si>
    <t>javier.villanueva-meyer@ucsf.edu</t>
  </si>
  <si>
    <t>NCATS NIH HHS [UL1 TR001878] Funding Source: Medline; NCI NIH HHS [U01 CA209414, U24 CA194354, U24 CA189523, U01 CA190234, R01 CA269948, U24 CA279629, P01 CA118816, R01 CA264017, P30 CA082709, U01 CA242871, U01 CA248226] Funding Source: Medline; NINDS NIH HHS [R01 NS042645] Funding Source: Medline; Wellcome Trust Funding Source: Medline; BLRD VA [I01 BX005842] Funding Source: Medline</t>
  </si>
  <si>
    <t>NCATS NIH HHS (United States Department of Health &amp; Human Services, National Institutes of Health (NIH) - USA, NIH National Center for Advancing Translational Sciences (NCATS)); NCI NIH HHS (United States Department of Health &amp; Human Services, National Institutes of Health (NIH) - USA, NIH National Cancer Institute (NCI)); NINDS NIH HHS (United States Department of Health &amp; Human Services, National Institutes of Health (NIH) - USA, NIH National Institute of Neurological Disorders &amp; Stroke (NINDS)); Wellcome Trust (Wellcome Trust); BLRD VA</t>
  </si>
  <si>
    <t>[Villanueva-Meyer, Javier E.; Lupo, Janine M.] Univ Calif San Francisco, Dept Radiol &amp; Biomed Imaging, San Francisco, CA 94143 USA; [Villanueva-Meyer, Javier E.; Chang, Susan M.] Univ Calif San Francisco, Dept Neurol Surg, San Francisco, CA USA; [Bakas, Spyridon; Pati, Sarthak; Baid, Ujjwal] Indiana Univ Sch Med, Div Computat Pathol, Dept Pathol &amp; Lab Med, Indianapolis, IN USA; [Bakas, Spyridon] Indiana Univ Sch Med, Sch Med, Dept Radiol &amp; Imaging Sci, Indianapolis, IN USA; [Bakas, Spyridon] Indiana Univ Sch Med, Dept Biostat &amp; Hlth Data Sci, Indianapolis, IN USA; [Bakas, Spyridon] Dept Neurol SurgeryIndiana Univ Sch Med, Indianapolis, IN USA; [Bakas, Spyridon] Indiana Univ, Melvin &amp; Bren Simon Comprehens Canc Ctr, Indianapolis, IN USA; [Bakas, Spyridon] Indiana Univ, Luddy Sch Informat Comp &amp; Engn, Dept Comp Sci, Indianapolis, IN USA; [Tiwari, Pallavi; Ismail, Marwa] Univ Wisconsin, Dept Radiol &amp; Biomed Engn, Madison, WI USA; [Calabrese, Evan] Duke Univ, Ctr Artificial Intelligence Radiol, Dept Radiol, Durham, NC USA; [Davatzikos, Christos] Univ Penn, Ctr Artificial Intelligence &amp; Data Sci Integrated, Philadelphia, PA USA; [Davatzikos, Christos] Univ Penn, Ctr Biomed Image Comp &amp; Analyt Analyt CBICA, Philadelphia, PA USA; [Davatzikos, Christos; Akbari, Hamed] Univ Penn, Dept Radiol, Perelman Sch Med, Philadelphia, PA USA; [Bi, Wenya Linda] Harvard Med Sch, Brigham &amp; Womens Hosp, Dana Farber Canc Inst, Dept Neurosurg, Boston, MA USA; [Huang, Raymond Y.] Harvard Med Sch, Brigham &amp; Womens Hosp, Dana Farber Canc Inst, Dept Radiol, Boston, MA USA; [Aerts, Hugo J. W. L.] Harvard Med Sch, Artificial Intelligence Med AIM Program, Mass Gen Brigham, Boston, MA USA; [Galldiks, Norbert] Res Ctr Juelich FZJ, Inst Neurosci &amp; Med INM 4, Julich, Germany; [Lohmann, Philipp] Univ Hosp RWTH Aachen, Dept Nucl Med, Aachen, Germany; [Booth, Thomas C.] Kings Coll Hosp NHS Fdn Trust, Dept Neuroradiol, London, England; [Booth, Thomas C.] Kings Coll London, Sch Biomed Engn &amp; Imaging Sci, London, England; [Booth, Thomas C.] London Reg Canc Program, London, England; [Wiestler, Benedikt] Tech Univ Munich, Univ Hosp, Dept Neuroradiol, Munich, Germany; [Tonn, Joerg C.] Ludwig Maximilians Univ Munchen, Dept Neurosurg, Partner Site Munich, Munich, Germany; [Tonn, Joerg C.] German Canc Consortium DKTK, Partner Site Munich, Munich, Germany; [Nowosielski, Martha] Med Univ Innsbruck, Dept Neurol, Innsbruck, Austria; [Jain, Rajan] New York Univ Langone Hlth, Dept Radiol, New York, NY USA; [Jain, Rajan] New York Univ Langone Hlth, Dept Neurosurg, New York, NY USA; [Vollmuth, Philipp] Heidelberg Univ Hosp, Dept Neuroradiol, Heidelberg, Germany; [Macdonald, David] H Lee Moffitt Canc Ctr &amp; Res Inst, Dept Neurooncol, Tampa, FL USA; [Vogelbaum, Michael A.] H Lee Moffitt Canc Ctr &amp; Res Inst, Dept Neurosurg, Tampa, FL USA; [Rasool, Ghulam; Vogelbaum, Michael A.] H Lee Moffitt Canc Ctr &amp; Res Inst, Dept Machine Learning, Tampa, FL USA; [Galldiks, Norbert] Fac Med, Dept Neurol, Cologne, Germany; [Galldiks, Norbert] Univ Hosp Cologne, Cologne, Germany; [Akbari, Hamed] Santa Clara Univ, Dept Bioengn, Santa Clara, CA USA; [Aerts, Hugo J. W. L.; Colen, Rivka R.] Maastricht Univ, Radiol &amp; Nucl Med, CARIM, Maastricht, Netherlands; [Aerts, Hugo J. W. L.; Colen, Rivka R.] Maastricht Univ, GROW, Maastricht, Netherlands</t>
  </si>
  <si>
    <t>University of California System; University of California San Francisco; University of California System; University of California San Francisco; Indiana University System; Indiana University Bloomington; Indiana University System; Indiana University Bloomington; Indiana University System; Indiana University Bloomington; Indiana University System; Indiana University Indianapolis; Indiana University System; Indiana University Indianapolis; University of Wisconsin System; University of Wisconsin Madison; Duke University; University of Pennsylvania; University of Pennsylvania; University of Pennsylvania; Pennsylvania Medicine; Harvard University; Harvard Medical School; Harvard University Medical Affiliates; Brigham &amp; Women's Hospital; Dana-Farber Cancer Institute; Harvard University; Harvard Medical School; Harvard University Medical Affiliates; Brigham &amp; Women's Hospital; Dana-Farber Cancer Institute; Harvard University; Mass General Brigham; Harvard Medical School; Helmholtz Association; Julich Research Centre; RWTH Aachen University; RWTH Aachen University Hospital; King's College Hospital NHS Foundation Trust; University of London; King's College London; University of Munich; Technical University of Munich; University of Munich; Helmholtz Association; German Cancer Research Center (DKFZ); Medical University of Innsbruck; New York University; New York University; Ruprecht Karls University Heidelberg; H Lee Moffitt Cancer Center &amp; Research Institute; H Lee Moffitt Cancer Center &amp; Research Institute; H Lee Moffitt Cancer Center &amp; Research Institute; University of Cologne; University of Cologne; Santa Clara University; Maastricht University; Maastricht University Medical Centre (MUMC); Maastricht University</t>
  </si>
  <si>
    <t>Response Assessment Neuro Oncol RANO Grp</t>
  </si>
  <si>
    <t>Artificial Intelligence for Response Assessment in Neuro Oncology (AI-RANO), part 1: review of current advancements</t>
  </si>
  <si>
    <t>LANCET ONCOLOGY</t>
  </si>
  <si>
    <t>HIGH-GRADE GLIOMAS; MRI; GLIOBLASTOMA; FEATURES; RADIOMICS; MUTATIONS; CLASSIFICATION; SIGNATURE; SURVIVAL; NETWORK</t>
  </si>
  <si>
    <t>Huang, Raymond/AFN-4922-2022; Nowosielski, Martha/AAD-5442-2022; Lohmann, Philipp/I-3293-2017; Akbari, Hamed/AAG-7535-2020; Vollmuth (né Kickingereder), Philipp/AAK-3267-2021; Colen, Rivka/Y-4062-2019; Davatzikos, Christos/ABE-2057-2021; Tonn, Joerg/AAK-8509-2021; Galldiks, Norbert/AAG-6896-2019; Aerts, Hugo/ABF-2821-2020; Pati, Sarthak/AAL-1334-2020</t>
  </si>
  <si>
    <t>Huang, Raymond/0000-0001-7661-797X; Lohmann, Philipp/0000-0002-5360-046X; Wiestler, Benedikt/0000-0002-2963-7772</t>
  </si>
  <si>
    <t>1470-2045</t>
  </si>
  <si>
    <t>1474-5488</t>
  </si>
  <si>
    <t>LANCET ONCOL</t>
  </si>
  <si>
    <t>Lancet Oncol.</t>
  </si>
  <si>
    <t>e581</t>
  </si>
  <si>
    <t>e588</t>
  </si>
  <si>
    <t>10.1016/S1470-2045(24)00316-4</t>
  </si>
  <si>
    <t>http://dx.doi.org/10.1016/S1470-2045(24)00316-4</t>
  </si>
  <si>
    <t>L6D9C</t>
  </si>
  <si>
    <t>39481414</t>
  </si>
  <si>
    <t>WOS:001351613600001</t>
  </si>
  <si>
    <t>Wilkinson, J; Gogna, K; Gallagher, M; Richardson, A; Devall, A; Sephton, V; Campbell, A; Dhillon-Smith, R; Bamford, T; Coomarasamy, A</t>
  </si>
  <si>
    <t>Accurately predicting oocyte yield is key to individualizing gonadotrophin dosing in assisted reproduction, where excessive responses carry significant risks and inadequate responses may compromise treatment success. Machine learning models are being developed to support this. This review evaluates the accuracy and clinical readiness of such models for predicting oocyte yield at transvaginal oocyte retrieval. A literature search of OVID MEDLINE, OVID EMBASE and the Cochrane Database identified nine relevant studies, eight retrospective and one prospective cohort, and encompassing 62,354 cycles. Study quality was assessed using the TRIPOD checklist and risk of bias was assessed with PROBAST. Accuracy was variably reported; the most frequent measure was mean absolute error, ranging from 0.62 to 4.13. A meta-analysis was not possible due to heterogeneity. Neural network models generally performed best. None of the studies were externally validated, limiting the generalizability. Most lacked transparency around data pre-processing, including handling missing data and variable transformation, reducing reproducibility. Although several models demonstrated promising internal performance, they remain at high risk of bias. Clinicians should be cautious in applying these models to practice until independently validated. Overall, machine learning-based prediction of oocyte yield remains in the early phase, and future development should prioritize external validation and transparent reporting.</t>
  </si>
  <si>
    <t>Wilkinson, Jessica; Gogna, Kanishka; Gallagher, Meurig; Richardson, Alison; Devall, Adam; Sephton, Victoria; Campbell, Alison; Dhillon-Smith, Rima; Bamford, Tom; Coomarasamy, Arri</t>
  </si>
  <si>
    <t>Wilkinson, J (corresponding author), Univ Birmingham, Dept Metab &amp; Syst Sci, Birmingham, England.</t>
  </si>
  <si>
    <t>jessicawilkinson@doctors.org.uk</t>
  </si>
  <si>
    <t>CARE Fertility</t>
  </si>
  <si>
    <t>JW and KG received FUNDING obtained by CARE Fertility for PhD tuition fees and stipend at the University of Birmingham.</t>
  </si>
  <si>
    <t>[Wilkinson, Jessica; Gogna, Kanishka; Devall, Adam; Dhillon-Smith, Rima; Coomarasamy, Arri] Univ Birmingham, Dept Metab &amp; Syst Sci, Birmingham, England; [Gallagher, Meurig] Univ Birmingham, Coll Med &amp; Hlth, Ctr Human Reprod Sci Metab &amp; Syst Res, Birmingham, England; [Richardson, Alison; Sephton, Victoria; Campbell, Alison; Bamford, Tom] Care Fertil Ltd, Nottingham, England</t>
  </si>
  <si>
    <t>University of Birmingham; University of Birmingham</t>
  </si>
  <si>
    <t>Can machine learning models predict oocyte yield during assisted conception?: a systematic review</t>
  </si>
  <si>
    <t>REPRODUCTIVE BIOMEDICINE ONLINE</t>
  </si>
  <si>
    <t>Artificial intelligence; Gonadotrophin dosing; Machine learning; Model; Oocyte retrieval; Prediction model</t>
  </si>
  <si>
    <t>ARTIFICIAL-INTELLIGENCE; OVARIAN HYPERSTIMULATION; INDIVIDUAL PROGNOSIS; DIAGNOSIS TRIPOD; EXPLANATION</t>
  </si>
  <si>
    <t>Devall, Adam/AAC-9646-2022</t>
  </si>
  <si>
    <t>1472-6483</t>
  </si>
  <si>
    <t>1472-6491</t>
  </si>
  <si>
    <t>REPROD BIOMED ONLINE</t>
  </si>
  <si>
    <t>Reprod. Biomed. Online</t>
  </si>
  <si>
    <t>105362</t>
  </si>
  <si>
    <t>10.1016/j.rbmo.2025.105362</t>
  </si>
  <si>
    <t>http://dx.doi.org/10.1016/j.rbmo.2025.105362</t>
  </si>
  <si>
    <t>ET4TK</t>
  </si>
  <si>
    <t>41780078</t>
  </si>
  <si>
    <t>WOS:001709339400001</t>
  </si>
  <si>
    <t>Li, LJ; Lan, XZ; Zeng, WK; Xu, YJ; Chen, Q</t>
  </si>
  <si>
    <t>Background Postmenopausal osteoporosis usually happens 5 similar to 10 years after menopause. Low awareness, low detection rates and high morbidity have prevented the possibility of early or preventive interventions, thus increasing the social and economic burden on families and societies. A reliable prediction model for postmenopausal osteoporosis has the potential to guide the prevention, but regarding the early prediction of postmenopausal osteoporosis without fracture, this field has not been sufficiently studied. Although many scholars have developed several prediction models to estimate the risk of postmenopausal osteoporosis without fractures, the evidence about the model quality and clinical applicability is scarce.Method Nine databases (Medline, Embase, Web of science, CINAHL, The Cochrane Library, CNKI, SinoMed, Wanfang, VIP data) were systematically searched from 1 January 2014 to 1 May 2024. Two researchers independently extracted data using the CHARMS checklist and assessed bias using the PROBAST tool. The primary outcomes of interest were related to the model's discriminative ability (assessed by pooled AUC values) and calibration performance (evaluated using calibration curves or the calibration intercept and slope). We performed meta-regression and sensitivity analyses to explore the influence of important factors, such as data sources, machine learning methods, and types of predictor variables, on the aforementioned. results. Additionally, subgroup analyses were conducted based on data sources, machine learning. methods, and types of predictor variables. The study was registered in the PROSPERO database (registration number CRD42024542498).Results A total of 8,549 records were initially identified, and 7 studies (comprising 19 models) were ultimately included. All models were developed based on Asian population data. The risk of bias assessment showed: 1 study had a low risk, 1 study had an unclear risk, and 5 studies had a high risk. The sample sizes ranged from 319 to 4,417 participants. The reported AUC of the models ranged from 0.639 to 0.921; however, the vast majority of studies lacked reports on calibration performance. The pooled C-statistic (AUC) was 0.78 (95%CI: 0.73-0.83). Sensitivity analysis yielded robust results (AUC=0.77). Subgroup analysis indicated that models combining demographic and laboratory data demonstrated the best performance (AUC=0.92). Significant publication bias and substantial heterogeneity (I-2 = 98%) were observed among the studies.Conclusion Current machine learning-based prediction models for postmenopausal osteoporosis without fractures, as presented in the included studies, demonstrate good discriminative ability but are generally characterized by a high risk of bias, a notable lack of calibration performance evaluation, and insufficient validation of clinical utility. Furthermore, existing models are developed entirely on Asian population data, which limits their generalizability to other populations. Future research should focus on strictly adhering to prediction model research guidelines (such as PROBAST), enhancing the reporting of model calibration and clinical utility, and assessing model generalizability through external validation in multi-center studies encompassing diverse ethnicities and regions.</t>
  </si>
  <si>
    <t>Li, Lingjia; Lan, Xiangzhou; Zeng, Weike; Xu, Yujiao; Chen, Qing</t>
  </si>
  <si>
    <t>Chen, Q (corresponding author), Hunan Univ Tradit Chinese Med, Hosp 1, Changsha, Hunan, Peoples R China.</t>
  </si>
  <si>
    <t>13787142874@163.com</t>
  </si>
  <si>
    <t>Hunan University of Traditional Chinese Medicine Joint Public Fund Project [2023XYLH008]; Hunan Nursing Association Training Program [HNKYP202308]; National Chinese Medicine Advantage Speciality - Nursing [State Medical Letter of Traditional Chinese Medicine [2024] No. 90]; Hunan Provincial Natural Science Foundation Program [2024JJ9424]</t>
  </si>
  <si>
    <t>Hunan University of Traditional Chinese Medicine Joint Public Fund Project; Hunan Nursing Association Training Program; National Chinese Medicine Advantage Speciality - Nursing; Hunan Provincial Natural Science Foundation Program</t>
  </si>
  <si>
    <t>Project commissioned by Hunan University of Traditional Chinese Medicine Joint Public Fund Project (No: 2023XYLH008); Hunan Provincial Natural Science Foundation Program (No: 2024JJ9424); National Chinese Medicine Advantage Speciality - Nursing (State Medical Letter of Traditional Chinese Medicine [2024] No. 90);Hunan Nursing Association Training Program(HNKYP202308).</t>
  </si>
  <si>
    <t>[Li, Lingjia; Lan, Xiangzhou; Chen, Qing] Hunan Univ Tradit Chinese Med, Hosp 1, Changsha, Hunan, Peoples R China; [Li, Lingjia] Hunan Univ Chinese Med, Changsha, Hunan, Peoples R China; [Zeng, Weike] Changsha Contemporary Nurses Magazine Ltd, Changsha, Hunan, Peoples R China; [Xu, Yujiao] Soochow Univ, Affiliated Hosp 2, Dept Neurol, Suzhou, Jiangsu, Peoples R China</t>
  </si>
  <si>
    <t>Hunan University of Chinese Medicine; Hunan University of Chinese Medicine; Soochow University - China</t>
  </si>
  <si>
    <t>Risk prediction models for postmenopausal osteoporosis: a systematic review and meta-analysis study</t>
  </si>
  <si>
    <t>Machine learning; Postmenopausal osteoporosis; Systematic review</t>
  </si>
  <si>
    <t>VALIDATION; WOMEN; TOOL</t>
  </si>
  <si>
    <t>JAN 8 2026</t>
  </si>
  <si>
    <t>10.1186/s12891-025-09385-2</t>
  </si>
  <si>
    <t>http://dx.doi.org/10.1186/s12891-025-09385-2</t>
  </si>
  <si>
    <t>CM1HQ</t>
  </si>
  <si>
    <t>41507834</t>
  </si>
  <si>
    <t>WOS:001669051200001</t>
  </si>
  <si>
    <t>Pinho, T; Costa, L; Carvalho, JP</t>
  </si>
  <si>
    <t>Background: Artificial intelligence (AI) integrated with cone-beam computed tomography (CBCT) has rapidly advanced the diagnostic capability of orthodontics, particularly for quantifying external root resorption (ERR). High-risk scenarios such as bilateral maxillary canine impaction require objective tools to guide treatment decisions and prevent irreversible damage. Objectives: To evaluate the diagnostic accuracy and clinical applicability of AI-assisted CBCT for orthodontically induced ERR, and to demonstrate its value in a complex clinical case where decision-making regarding canine traction versus extraction required precise risk quantification and definition of biological limits. Methods: A systematic review following PRISMA 2020 guidelines was conducted in PubMed, ScienceDirect, and Cochrane Library (2015-September 2025). Eligible studies applied AI-enhanced CBCT to assess ERR in orthodontic patients. Additionally, a clinical case with bilaterally impacted maxillary canines was evaluated using CBCT with automated AI segmentation and manual refinement to quantify root volume changes and determine prognostic thresholds for treatment modification. Results: Nine studies met the inclusion criteria. AI-based imaging, predominantly convolutional neural networks, showed high diagnostic accuracy (up to 94%), improving reproducibility and reducing operator dependency. In the clinical case, volumetric monitoring showed rapid progression of ERR in the lateral incisors (LI) associated with a persistent unfavorable 3D spatial relationship between the canines and incisor roots, despite controlled distal traction with skeletal anchorage, leading to a timely change in the treatment plan and extraction of the severely compromised incisors with substitution by the canines. AI-generated data provided objective evidence supporting safer decision-making and prevented further structural deterioration. Conclusions: AI-enhanced CBCT enables early, objective, and quantifiable ERR assessment, strengthening prognosis-based decisions in orthodontics. Findings of this review and the clinical case highlight the translational relevance of AI for managing high-risk cases, such as maxillary canine impaction with extensive LI resorption, supporting future predictive AI models for safer canine traction.</t>
  </si>
  <si>
    <t>Pinho, Teresa; Costa, Leticia; Carvalho, Joao Pedro</t>
  </si>
  <si>
    <t>Pinho, T (corresponding author), Univ Inst Hlth Sci IUCS, Cooperat Polytech &amp; Univ Educ CESPU, UNIPRO Oral Pathol &amp; Rehabil Res Unit, P-4585116 Gandra, Portugal.; Pinho, T (corresponding author), Univ Porto, Abel Salazar Inst Biomed Sci ICBAS, UMIB Multidisciplinary Biomed Res Unit, P-4050313 Porto, Portugal.</t>
  </si>
  <si>
    <t>teresa.pinho@iucs.cespu.pt; a33585@alunos.cespu.pt; a29614@alunos.cespu.pt</t>
  </si>
  <si>
    <t>[Pinho, Teresa; Costa, Leticia; Carvalho, Joao Pedro] Univ Inst Hlth Sci IUCS, Cooperat Polytech &amp; Univ Educ CESPU, UNIPRO Oral Pathol &amp; Rehabil Res Unit, P-4585116 Gandra, Portugal; [Pinho, Teresa] Univ Porto, Abel Salazar Inst Biomed Sci ICBAS, UMIB Multidisciplinary Biomed Res Unit, P-4050313 Porto, Portugal</t>
  </si>
  <si>
    <t>Universidade do Porto</t>
  </si>
  <si>
    <t>AI-Enhanced CBCT for Quantifying Orthodontic Root Resorption: Evidence from a Systematic Review and a Clinical Case of Severe Bilateral Canine Impaction</t>
  </si>
  <si>
    <t>root resorption; cone beam computed tomography; artificial intelligence; deep learning; orthodontics</t>
  </si>
  <si>
    <t>MAXILLARY CANINES; ECTOPIC ERUPTION; INCISORS; SEGMENTATION; LOCALIZATION</t>
  </si>
  <si>
    <t>Pinho, Teresa/A-5343-2012</t>
  </si>
  <si>
    <t>Pinho, Teresa/0000-0003-0012-6626; Carvalho, João Pedro/0009-0000-3156-2223</t>
  </si>
  <si>
    <t>JAN 12 2026</t>
  </si>
  <si>
    <t>771</t>
  </si>
  <si>
    <t>10.3390/app16020771</t>
  </si>
  <si>
    <t>http://dx.doi.org/10.3390/app16020771</t>
  </si>
  <si>
    <t>CN7BL</t>
  </si>
  <si>
    <t>WOS:001670121200001</t>
  </si>
</sst>
</file>

<file path=xl/styles.xml><?xml version="1.0" encoding="utf-8"?>
<styleSheet xmlns="http://schemas.openxmlformats.org/spreadsheetml/2006/main">
  <numFmts count="0"/>
  <fonts count="580">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580">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177%2F0962280215626466" TargetMode="External" Type="http://schemas.openxmlformats.org/officeDocument/2006/relationships/hyperlink"/><Relationship Id="rId10" Target="https%3A%2F%2Fwww.webofscience.com%2Fwos%2Fwoscc%2Ffull-record%2FWOS%3A000782186000028" TargetMode="External" Type="http://schemas.openxmlformats.org/officeDocument/2006/relationships/hyperlink"/><Relationship Id="rId100" Target="https%3A%2F%2Fwww.webofscience.com%2Fwos%2Fwoscc%2Ffull-record%2FWOS%3A001586608500006" TargetMode="External" Type="http://schemas.openxmlformats.org/officeDocument/2006/relationships/hyperlink"/><Relationship Id="rId101" Target="http%3A%2F%2Fdx.doi.org%2F10.1016%2Fj.jtha.2023.09.006" TargetMode="External" Type="http://schemas.openxmlformats.org/officeDocument/2006/relationships/hyperlink"/><Relationship Id="rId102" Target="https%3A%2F%2Fwww.webofscience.com%2Fwos%2Fwoscc%2Ffull-record%2FWOS%3A001124205800001" TargetMode="External" Type="http://schemas.openxmlformats.org/officeDocument/2006/relationships/hyperlink"/><Relationship Id="rId103" Target="http%3A%2F%2Fdx.doi.org%2F10.1136%2Fpostgradmedj-2020-139352" TargetMode="External" Type="http://schemas.openxmlformats.org/officeDocument/2006/relationships/hyperlink"/><Relationship Id="rId104" Target="https%3A%2F%2Fwww.webofscience.com%2Fwos%2Fwoscc%2Ffull-record%2FWOS%3A000727496900001" TargetMode="External" Type="http://schemas.openxmlformats.org/officeDocument/2006/relationships/hyperlink"/><Relationship Id="rId105" Target="http%3A%2F%2Fdx.doi.org%2F10.1111%2Fejh.70177" TargetMode="External" Type="http://schemas.openxmlformats.org/officeDocument/2006/relationships/hyperlink"/><Relationship Id="rId106" Target="https%3A%2F%2Fwww.webofscience.com%2Fwos%2Fwoscc%2Ffull-record%2FWOS%3A001727852400001" TargetMode="External" Type="http://schemas.openxmlformats.org/officeDocument/2006/relationships/hyperlink"/><Relationship Id="rId107" Target="http%3A%2F%2Fdx.doi.org%2F10.1097%2FPAP.0000000000000072" TargetMode="External" Type="http://schemas.openxmlformats.org/officeDocument/2006/relationships/hyperlink"/><Relationship Id="rId108" Target="https%3A%2F%2Fwww.webofscience.com%2Fwos%2Fwoscc%2Ffull-record%2FWOS%3A000360589100003" TargetMode="External" Type="http://schemas.openxmlformats.org/officeDocument/2006/relationships/hyperlink"/><Relationship Id="rId109" Target="http%3A%2F%2Fdx.doi.org%2F10.1016%2Fj.jclinepi.2018.05.008" TargetMode="External" Type="http://schemas.openxmlformats.org/officeDocument/2006/relationships/hyperlink"/><Relationship Id="rId11" Target="http%3A%2F%2Fdx.doi.org%2F10.1016%2Fj.critrevonc.2020.102908" TargetMode="External" Type="http://schemas.openxmlformats.org/officeDocument/2006/relationships/hyperlink"/><Relationship Id="rId110" Target="https%3A%2F%2Fwww.webofscience.com%2Fwos%2Fwoscc%2Ffull-record%2FWOS%3A000444662400005" TargetMode="External" Type="http://schemas.openxmlformats.org/officeDocument/2006/relationships/hyperlink"/><Relationship Id="rId111" Target="http%3A%2F%2Fdx.doi.org%2F10.1002%2Fcam4.70697" TargetMode="External" Type="http://schemas.openxmlformats.org/officeDocument/2006/relationships/hyperlink"/><Relationship Id="rId112" Target="https%3A%2F%2Fwww.webofscience.com%2Fwos%2Fwoscc%2Ffull-record%2FWOS%3A001458446100001" TargetMode="External" Type="http://schemas.openxmlformats.org/officeDocument/2006/relationships/hyperlink"/><Relationship Id="rId113" Target="http%3A%2F%2Fdx.doi.org%2F10.1016%2Fj.injury.2023.05.027" TargetMode="External" Type="http://schemas.openxmlformats.org/officeDocument/2006/relationships/hyperlink"/><Relationship Id="rId114" Target="https%3A%2F%2Fwww.webofscience.com%2Fwos%2Fwoscc%2Ffull-record%2FWOS%3A001016622800001" TargetMode="External" Type="http://schemas.openxmlformats.org/officeDocument/2006/relationships/hyperlink"/><Relationship Id="rId115" Target="http%3A%2F%2Fdx.doi.org%2F10.1016%2Fj.esmoop.2025.105557" TargetMode="External" Type="http://schemas.openxmlformats.org/officeDocument/2006/relationships/hyperlink"/><Relationship Id="rId116" Target="https%3A%2F%2Fwww.webofscience.com%2Fwos%2Fwoscc%2Ffull-record%2FWOS%3A001586862100001" TargetMode="External" Type="http://schemas.openxmlformats.org/officeDocument/2006/relationships/hyperlink"/><Relationship Id="rId117" Target="http%3A%2F%2Fdx.doi.org%2F10.1016%2Fj.jhin.2019.01.012" TargetMode="External" Type="http://schemas.openxmlformats.org/officeDocument/2006/relationships/hyperlink"/><Relationship Id="rId118" Target="https%3A%2F%2Fwww.webofscience.com%2Fwos%2Fwoscc%2Ffull-record%2FWOS%3A000465285500002" TargetMode="External" Type="http://schemas.openxmlformats.org/officeDocument/2006/relationships/hyperlink"/><Relationship Id="rId119" Target="http%3A%2F%2Fdx.doi.org%2F10.1111%2Fbjh.70115" TargetMode="External" Type="http://schemas.openxmlformats.org/officeDocument/2006/relationships/hyperlink"/><Relationship Id="rId12" Target="https%3A%2F%2Fwww.webofscience.com%2Fwos%2Fwoscc%2Ffull-record%2FWOS%3A000527295500011" TargetMode="External" Type="http://schemas.openxmlformats.org/officeDocument/2006/relationships/hyperlink"/><Relationship Id="rId120" Target="https%3A%2F%2Fwww.webofscience.com%2Fwos%2Fwoscc%2Ffull-record%2FWOS%3A001554843900001" TargetMode="External" Type="http://schemas.openxmlformats.org/officeDocument/2006/relationships/hyperlink"/><Relationship Id="rId121" Target="http%3A%2F%2Fdx.doi.org%2F10.1016%2Fj.jclinepi.2023.10.016" TargetMode="External" Type="http://schemas.openxmlformats.org/officeDocument/2006/relationships/hyperlink"/><Relationship Id="rId122" Target="https%3A%2F%2Fwww.webofscience.com%2Fwos%2Fwoscc%2Ffull-record%2FWOS%3A001129852100001" TargetMode="External" Type="http://schemas.openxmlformats.org/officeDocument/2006/relationships/hyperlink"/><Relationship Id="rId123" Target="http%3A%2F%2Fdx.doi.org%2F10.1016%2Fj.jhep.2024.03.030" TargetMode="External" Type="http://schemas.openxmlformats.org/officeDocument/2006/relationships/hyperlink"/><Relationship Id="rId124" Target="https%3A%2F%2Fwww.webofscience.com%2Fwos%2Fwoscc%2Ffull-record%2FWOS%3A001293745500001" TargetMode="External" Type="http://schemas.openxmlformats.org/officeDocument/2006/relationships/hyperlink"/><Relationship Id="rId125" Target="http%3A%2F%2Fdx.doi.org%2F10.1097%2Fj.pain.0000000000002261" TargetMode="External" Type="http://schemas.openxmlformats.org/officeDocument/2006/relationships/hyperlink"/><Relationship Id="rId126" Target="https%3A%2F%2Fwww.webofscience.com%2Fwos%2Fwoscc%2Ffull-record%2FWOS%3A000707417300006" TargetMode="External" Type="http://schemas.openxmlformats.org/officeDocument/2006/relationships/hyperlink"/><Relationship Id="rId127" Target="http%3A%2F%2Fdx.doi.org%2F10.1186%2Fs13075-023-03140-5" TargetMode="External" Type="http://schemas.openxmlformats.org/officeDocument/2006/relationships/hyperlink"/><Relationship Id="rId128" Target="https%3A%2F%2Fwww.webofscience.com%2Fwos%2Fwoscc%2Ffull-record%2FWOS%3A001056344000001" TargetMode="External" Type="http://schemas.openxmlformats.org/officeDocument/2006/relationships/hyperlink"/><Relationship Id="rId129" Target="http%3A%2F%2Fdx.doi.org%2F10.1017%2FS0033291716003494" TargetMode="External" Type="http://schemas.openxmlformats.org/officeDocument/2006/relationships/hyperlink"/><Relationship Id="rId13" Target="http%3A%2F%2Fdx.doi.org%2F10.1093%2Fgerona%2Fglad205" TargetMode="External" Type="http://schemas.openxmlformats.org/officeDocument/2006/relationships/hyperlink"/><Relationship Id="rId130" Target="https%3A%2F%2Fwww.webofscience.com%2Fwos%2Fwoscc%2Ffull-record%2FWOS%3A000398797100001" TargetMode="External" Type="http://schemas.openxmlformats.org/officeDocument/2006/relationships/hyperlink"/><Relationship Id="rId131" Target="http%3A%2F%2Fdx.doi.org%2F10.1371%2Fjournal.pone.0185402" TargetMode="External" Type="http://schemas.openxmlformats.org/officeDocument/2006/relationships/hyperlink"/><Relationship Id="rId132" Target="https%3A%2F%2Fwww.webofscience.com%2Fwos%2Fwoscc%2Ffull-record%2FWOS%3A000423514700001" TargetMode="External" Type="http://schemas.openxmlformats.org/officeDocument/2006/relationships/hyperlink"/><Relationship Id="rId133" Target="http%3A%2F%2Fdx.doi.org%2F10.3389%2Ffmed.2025.1529201" TargetMode="External" Type="http://schemas.openxmlformats.org/officeDocument/2006/relationships/hyperlink"/><Relationship Id="rId134" Target="https%3A%2F%2Fwww.webofscience.com%2Fwos%2Fwoscc%2Ffull-record%2FWOS%3A001438815100001" TargetMode="External" Type="http://schemas.openxmlformats.org/officeDocument/2006/relationships/hyperlink"/><Relationship Id="rId135" Target="http%3A%2F%2Fdx.doi.org%2F10.1038%2Fs41533-018-0086-6" TargetMode="External" Type="http://schemas.openxmlformats.org/officeDocument/2006/relationships/hyperlink"/><Relationship Id="rId136" Target="https%3A%2F%2Fwww.webofscience.com%2Fwos%2Fwoscc%2Ffull-record%2FWOS%3A000432755800001" TargetMode="External" Type="http://schemas.openxmlformats.org/officeDocument/2006/relationships/hyperlink"/><Relationship Id="rId137" Target="http%3A%2F%2Fdx.doi.org%2F10.1016%2Fj.jbi.2021.103980" TargetMode="External" Type="http://schemas.openxmlformats.org/officeDocument/2006/relationships/hyperlink"/><Relationship Id="rId138" Target="https%3A%2F%2Fwww.webofscience.com%2Fwos%2Fwoscc%2Ffull-record%2FWOS%3A000767887400004" TargetMode="External" Type="http://schemas.openxmlformats.org/officeDocument/2006/relationships/hyperlink"/><Relationship Id="rId139" Target="http%3A%2F%2Fdx.doi.org%2F10.1016%2Fj.pmedr.2021.101672" TargetMode="External" Type="http://schemas.openxmlformats.org/officeDocument/2006/relationships/hyperlink"/><Relationship Id="rId14" Target="https%3A%2F%2Fwww.webofscience.com%2Fwos%2Fwoscc%2Ffull-record%2FWOS%3A001077350300001" TargetMode="External" Type="http://schemas.openxmlformats.org/officeDocument/2006/relationships/hyperlink"/><Relationship Id="rId140" Target="https%3A%2F%2Fwww.webofscience.com%2Fwos%2Fwoscc%2Ffull-record%2FWOS%3A000748438200016" TargetMode="External" Type="http://schemas.openxmlformats.org/officeDocument/2006/relationships/hyperlink"/><Relationship Id="rId141" Target="http%3A%2F%2Fdx.doi.org%2F10.21037%2Fvats-21-47" TargetMode="External" Type="http://schemas.openxmlformats.org/officeDocument/2006/relationships/hyperlink"/><Relationship Id="rId142" Target="https%3A%2F%2Fwww.webofscience.com%2Fwos%2Fwoscc%2Ffull-record%2FWOS%3A000768385300001" TargetMode="External" Type="http://schemas.openxmlformats.org/officeDocument/2006/relationships/hyperlink"/><Relationship Id="rId143" Target="http%3A%2F%2Fdx.doi.org%2F10.1111%2F1471-0528.14170" TargetMode="External" Type="http://schemas.openxmlformats.org/officeDocument/2006/relationships/hyperlink"/><Relationship Id="rId144" Target="https%3A%2F%2Fwww.webofscience.com%2Fwos%2Fwoscc%2Ffull-record%2FWOS%3A000397007500013" TargetMode="External" Type="http://schemas.openxmlformats.org/officeDocument/2006/relationships/hyperlink"/><Relationship Id="rId145" Target="http%3A%2F%2Fdx.doi.org%2F10.1371%2Fjournal.pone.0192310" TargetMode="External" Type="http://schemas.openxmlformats.org/officeDocument/2006/relationships/hyperlink"/><Relationship Id="rId146" Target="https%3A%2F%2Fwww.webofscience.com%2Fwos%2Fwoscc%2Ffull-record%2FWOS%3A000424517900065" TargetMode="External" Type="http://schemas.openxmlformats.org/officeDocument/2006/relationships/hyperlink"/><Relationship Id="rId147" Target="http%3A%2F%2Fdx.doi.org%2F10.1111%2Fbcp.15104" TargetMode="External" Type="http://schemas.openxmlformats.org/officeDocument/2006/relationships/hyperlink"/><Relationship Id="rId148" Target="https%3A%2F%2Fwww.webofscience.com%2Fwos%2Fwoscc%2Ffull-record%2FWOS%3A000712887300001" TargetMode="External" Type="http://schemas.openxmlformats.org/officeDocument/2006/relationships/hyperlink"/><Relationship Id="rId149" Target="http%3A%2F%2Fdx.doi.org%2F10.1016%2Fj.jphys.2022.03.009" TargetMode="External" Type="http://schemas.openxmlformats.org/officeDocument/2006/relationships/hyperlink"/><Relationship Id="rId15" Target="http%3A%2F%2Fdx.doi.org%2F10.1186%2Fs12874-023-01849-0" TargetMode="External" Type="http://schemas.openxmlformats.org/officeDocument/2006/relationships/hyperlink"/><Relationship Id="rId150" Target="https%3A%2F%2Fwww.webofscience.com%2Fwos%2Fwoscc%2Ffull-record%2FWOS%3A000803702600007" TargetMode="External" Type="http://schemas.openxmlformats.org/officeDocument/2006/relationships/hyperlink"/><Relationship Id="rId151" Target="http%3A%2F%2Fdx.doi.org%2F10.21037%2Fjtd.2018.05.67" TargetMode="External" Type="http://schemas.openxmlformats.org/officeDocument/2006/relationships/hyperlink"/><Relationship Id="rId152" Target="https%3A%2F%2Fwww.webofscience.com%2Fwos%2Fwoscc%2Ffull-record%2FWOS%3A000449336700002" TargetMode="External" Type="http://schemas.openxmlformats.org/officeDocument/2006/relationships/hyperlink"/><Relationship Id="rId153" Target="http%3A%2F%2Fdx.doi.org%2F10.1186%2Fs12893-025-02802-2" TargetMode="External" Type="http://schemas.openxmlformats.org/officeDocument/2006/relationships/hyperlink"/><Relationship Id="rId154" Target="https%3A%2F%2Fwww.webofscience.com%2Fwos%2Fwoscc%2Ffull-record%2FWOS%3A001434956700001" TargetMode="External" Type="http://schemas.openxmlformats.org/officeDocument/2006/relationships/hyperlink"/><Relationship Id="rId155" Target="http%3A%2F%2Fdx.doi.org%2F10.1016%2Fj.jebdp.2024.102057" TargetMode="External" Type="http://schemas.openxmlformats.org/officeDocument/2006/relationships/hyperlink"/><Relationship Id="rId156" Target="https%3A%2F%2Fwww.webofscience.com%2Fwos%2Fwoscc%2Ffull-record%2FWOS%3A001447310300001" TargetMode="External" Type="http://schemas.openxmlformats.org/officeDocument/2006/relationships/hyperlink"/><Relationship Id="rId157" Target="http%3A%2F%2Fdx.doi.org%2F10.1093%2Fjamia%2Focac058" TargetMode="External" Type="http://schemas.openxmlformats.org/officeDocument/2006/relationships/hyperlink"/><Relationship Id="rId158" Target="https%3A%2F%2Fwww.webofscience.com%2Fwos%2Fwoscc%2Ffull-record%2FWOS%3A000787860800001" TargetMode="External" Type="http://schemas.openxmlformats.org/officeDocument/2006/relationships/hyperlink"/><Relationship Id="rId159" Target="http%3A%2F%2Fdx.doi.org%2F10.1177%2F02676591241237758" TargetMode="External" Type="http://schemas.openxmlformats.org/officeDocument/2006/relationships/hyperlink"/><Relationship Id="rId16" Target="https%3A%2F%2Fwww.webofscience.com%2Fwos%2Fwoscc%2Ffull-record%2FWOS%3A000935936200003" TargetMode="External" Type="http://schemas.openxmlformats.org/officeDocument/2006/relationships/hyperlink"/><Relationship Id="rId160" Target="https%3A%2F%2Fwww.webofscience.com%2Fwos%2Fwoscc%2Ffull-record%2FWOS%3A001206505700001" TargetMode="External" Type="http://schemas.openxmlformats.org/officeDocument/2006/relationships/hyperlink"/><Relationship Id="rId161" Target="http%3A%2F%2Fdx.doi.org%2F10.1055%2Fs-0040-1708541" TargetMode="External" Type="http://schemas.openxmlformats.org/officeDocument/2006/relationships/hyperlink"/><Relationship Id="rId162" Target="https%3A%2F%2Fwww.webofscience.com%2Fwos%2Fwoscc%2Ffull-record%2FWOS%3A000529016400007" TargetMode="External" Type="http://schemas.openxmlformats.org/officeDocument/2006/relationships/hyperlink"/><Relationship Id="rId163" Target="http%3A%2F%2Fdx.doi.org%2F10.1007%2Fs11701-024-02009-2" TargetMode="External" Type="http://schemas.openxmlformats.org/officeDocument/2006/relationships/hyperlink"/><Relationship Id="rId164" Target="https%3A%2F%2Fwww.webofscience.com%2Fwos%2Fwoscc%2Ffull-record%2FWOS%3A001249165800001" TargetMode="External" Type="http://schemas.openxmlformats.org/officeDocument/2006/relationships/hyperlink"/><Relationship Id="rId165" Target="http%3A%2F%2Fdx.doi.org%2F10.1177%2F1358863X18821159" TargetMode="External" Type="http://schemas.openxmlformats.org/officeDocument/2006/relationships/hyperlink"/><Relationship Id="rId166" Target="https%3A%2F%2Fwww.webofscience.com%2Fwos%2Fwoscc%2Ffull-record%2FWOS%3A000463633200005" TargetMode="External" Type="http://schemas.openxmlformats.org/officeDocument/2006/relationships/hyperlink"/><Relationship Id="rId167" Target="http%3A%2F%2Fdx.doi.org%2F10.1016%2Fj.jclinepi.2025.111675" TargetMode="External" Type="http://schemas.openxmlformats.org/officeDocument/2006/relationships/hyperlink"/><Relationship Id="rId168" Target="https%3A%2F%2Fwww.webofscience.com%2Fwos%2Fwoscc%2Ffull-record%2FWOS%3A001419734400001" TargetMode="External" Type="http://schemas.openxmlformats.org/officeDocument/2006/relationships/hyperlink"/><Relationship Id="rId169" Target="http%3A%2F%2Fdx.doi.org%2F10.1016%2Fj.jclinepi.2025.111763" TargetMode="External" Type="http://schemas.openxmlformats.org/officeDocument/2006/relationships/hyperlink"/><Relationship Id="rId17" Target="http%3A%2F%2Fdx.doi.org%2F10.1186%2Fs12873-024-01107-6" TargetMode="External" Type="http://schemas.openxmlformats.org/officeDocument/2006/relationships/hyperlink"/><Relationship Id="rId170" Target="https%3A%2F%2Fwww.webofscience.com%2Fwos%2Fwoscc%2Ffull-record%2FWOS%3A001469404200001" TargetMode="External" Type="http://schemas.openxmlformats.org/officeDocument/2006/relationships/hyperlink"/><Relationship Id="rId171" Target="http%3A%2F%2Fdx.doi.org%2F10.1055%2Fs-0041-1723778" TargetMode="External" Type="http://schemas.openxmlformats.org/officeDocument/2006/relationships/hyperlink"/><Relationship Id="rId172" Target="https%3A%2F%2Fwww.webofscience.com%2Fwos%2Fwoscc%2Ffull-record%2FWOS%3A000623521400002" TargetMode="External" Type="http://schemas.openxmlformats.org/officeDocument/2006/relationships/hyperlink"/><Relationship Id="rId173" Target="http%3A%2F%2Fdx.doi.org%2F10.1183%2F16000617.0021-2023" TargetMode="External" Type="http://schemas.openxmlformats.org/officeDocument/2006/relationships/hyperlink"/><Relationship Id="rId174" Target="https%3A%2F%2Fwww.webofscience.com%2Fwos%2Fwoscc%2Ffull-record%2FWOS%3A001014958900003" TargetMode="External" Type="http://schemas.openxmlformats.org/officeDocument/2006/relationships/hyperlink"/><Relationship Id="rId175" Target="http%3A%2F%2Fdx.doi.org%2F10.1097%2FCCM.0000000000007206" TargetMode="External" Type="http://schemas.openxmlformats.org/officeDocument/2006/relationships/hyperlink"/><Relationship Id="rId176" Target="https%3A%2F%2Fwww.webofscience.com%2Fwos%2Fwoscc%2Ffull-record%2FWOS%3A001842424800014" TargetMode="External" Type="http://schemas.openxmlformats.org/officeDocument/2006/relationships/hyperlink"/><Relationship Id="rId177" Target="http%3A%2F%2Fdx.doi.org%2F10.15212%2FCVIA.2023.0083" TargetMode="External" Type="http://schemas.openxmlformats.org/officeDocument/2006/relationships/hyperlink"/><Relationship Id="rId178" Target="https%3A%2F%2Fwww.webofscience.com%2Fwos%2Fwoscc%2Ffull-record%2FWOS%3A001159327700001" TargetMode="External" Type="http://schemas.openxmlformats.org/officeDocument/2006/relationships/hyperlink"/><Relationship Id="rId179" Target="http%3A%2F%2Fdx.doi.org%2F10.1016%2Fj.heliyon.2023.e22226" TargetMode="External" Type="http://schemas.openxmlformats.org/officeDocument/2006/relationships/hyperlink"/><Relationship Id="rId18" Target="https%3A%2F%2Fwww.webofscience.com%2Fwos%2Fwoscc%2Ffull-record%2FWOS%3A001336411100002" TargetMode="External" Type="http://schemas.openxmlformats.org/officeDocument/2006/relationships/hyperlink"/><Relationship Id="rId180" Target="https%3A%2F%2Fwww.webofscience.com%2Fwos%2Fwoscc%2Ffull-record%2FWOS%3A001121435300001" TargetMode="External" Type="http://schemas.openxmlformats.org/officeDocument/2006/relationships/hyperlink"/><Relationship Id="rId181" Target="http%3A%2F%2Fdx.doi.org%2F10.1016%2Fj.jgo.2020.04.006" TargetMode="External" Type="http://schemas.openxmlformats.org/officeDocument/2006/relationships/hyperlink"/><Relationship Id="rId182" Target="https%3A%2F%2Fwww.webofscience.com%2Fwos%2Fwoscc%2Ffull-record%2FWOS%3A000583348000005" TargetMode="External" Type="http://schemas.openxmlformats.org/officeDocument/2006/relationships/hyperlink"/><Relationship Id="rId183" Target="http%3A%2F%2Fdx.doi.org%2F10.1001%2Fjamapsychiatry.2018.2530" TargetMode="External" Type="http://schemas.openxmlformats.org/officeDocument/2006/relationships/hyperlink"/><Relationship Id="rId184" Target="https%3A%2F%2Fwww.webofscience.com%2Fwos%2Fwoscc%2Ffull-record%2FWOS%3A000452682200013" TargetMode="External" Type="http://schemas.openxmlformats.org/officeDocument/2006/relationships/hyperlink"/><Relationship Id="rId185" Target="http%3A%2F%2Fdx.doi.org%2F10.1159%2F000430996" TargetMode="External" Type="http://schemas.openxmlformats.org/officeDocument/2006/relationships/hyperlink"/><Relationship Id="rId186" Target="https%3A%2F%2Fwww.webofscience.com%2Fwos%2Fwoscc%2Ffull-record%2FWOS%3A000360632100010" TargetMode="External" Type="http://schemas.openxmlformats.org/officeDocument/2006/relationships/hyperlink"/><Relationship Id="rId187" Target="http%3A%2F%2Fdx.doi.org%2F10.1001%2Fjama.2017.12126" TargetMode="External" Type="http://schemas.openxmlformats.org/officeDocument/2006/relationships/hyperlink"/><Relationship Id="rId188" Target="https%3A%2F%2Fwww.webofscience.com%2Fwos%2Fwoscc%2Ffull-record%2FWOS%3A000412838900021" TargetMode="External" Type="http://schemas.openxmlformats.org/officeDocument/2006/relationships/hyperlink"/><Relationship Id="rId189" Target="http%3A%2F%2Fdx.doi.org%2F10.1111%2F1471-0528.17948" TargetMode="External" Type="http://schemas.openxmlformats.org/officeDocument/2006/relationships/hyperlink"/><Relationship Id="rId19" Target="http%3A%2F%2Fdx.doi.org%2F10.1016%2Fj.biopsych.2024.02.1006" TargetMode="External" Type="http://schemas.openxmlformats.org/officeDocument/2006/relationships/hyperlink"/><Relationship Id="rId190" Target="https%3A%2F%2Fwww.webofscience.com%2Fwos%2Fwoscc%2Ffull-record%2FWOS%3A001308986500001" TargetMode="External" Type="http://schemas.openxmlformats.org/officeDocument/2006/relationships/hyperlink"/><Relationship Id="rId191" Target="http%3A%2F%2Fdx.doi.org%2F10.1186%2Fs12891-022-05030-4" TargetMode="External" Type="http://schemas.openxmlformats.org/officeDocument/2006/relationships/hyperlink"/><Relationship Id="rId192" Target="https%3A%2F%2Fwww.webofscience.com%2Fwos%2Fwoscc%2Ffull-record%2FWOS%3A000749186900003" TargetMode="External" Type="http://schemas.openxmlformats.org/officeDocument/2006/relationships/hyperlink"/><Relationship Id="rId193" Target="http%3A%2F%2Fdx.doi.org%2F10.1186%2Fs41512-025-00205-8" TargetMode="External" Type="http://schemas.openxmlformats.org/officeDocument/2006/relationships/hyperlink"/><Relationship Id="rId194" Target="https%3A%2F%2Fwww.webofscience.com%2Fwos%2Fwoscc%2Ffull-record%2FWOS%3A001565038200001" TargetMode="External" Type="http://schemas.openxmlformats.org/officeDocument/2006/relationships/hyperlink"/><Relationship Id="rId195" Target="http%3A%2F%2Fdx.doi.org%2F10.1177%2F15330338231173504" TargetMode="External" Type="http://schemas.openxmlformats.org/officeDocument/2006/relationships/hyperlink"/><Relationship Id="rId196" Target="https%3A%2F%2Fwww.webofscience.com%2Fwos%2Fwoscc%2Ffull-record%2FWOS%3A000988573800001" TargetMode="External" Type="http://schemas.openxmlformats.org/officeDocument/2006/relationships/hyperlink"/><Relationship Id="rId197" Target="http%3A%2F%2Fdx.doi.org%2F10.4328%2FJCAM.2370" TargetMode="External" Type="http://schemas.openxmlformats.org/officeDocument/2006/relationships/hyperlink"/><Relationship Id="rId198" Target="https%3A%2F%2Fwww.webofscience.com%2Fwos%2Fwoscc%2Ffull-record%2FWOS%3A000215591800042" TargetMode="External" Type="http://schemas.openxmlformats.org/officeDocument/2006/relationships/hyperlink"/><Relationship Id="rId199" Target="http%3A%2F%2Fdx.doi.org%2F10.3389%2Ffmed.2017.00041" TargetMode="External" Type="http://schemas.openxmlformats.org/officeDocument/2006/relationships/hyperlink"/><Relationship Id="rId2" Target="https%3A%2F%2Fwww.webofscience.com%2Fwos%2Fwoscc%2Ffull-record%2FWOS%3A000419874400013" TargetMode="External" Type="http://schemas.openxmlformats.org/officeDocument/2006/relationships/hyperlink"/><Relationship Id="rId20" Target="https%3A%2F%2Fwww.webofscience.com%2Fwos%2Fwoscc%2Ffull-record%2FWOS%3A001312547300001" TargetMode="External" Type="http://schemas.openxmlformats.org/officeDocument/2006/relationships/hyperlink"/><Relationship Id="rId200" Target="https%3A%2F%2Fwww.webofscience.com%2Fwos%2Fwoscc%2Ffull-record%2FWOS%3A000407110600001" TargetMode="External" Type="http://schemas.openxmlformats.org/officeDocument/2006/relationships/hyperlink"/><Relationship Id="rId201" Target="http%3A%2F%2Fdx.doi.org%2F10.1161%2FCIRCOUTCOMES.121.007858" TargetMode="External" Type="http://schemas.openxmlformats.org/officeDocument/2006/relationships/hyperlink"/><Relationship Id="rId202" Target="https%3A%2F%2Fwww.webofscience.com%2Fwos%2Fwoscc%2Ffull-record%2FWOS%3A000685474900006" TargetMode="External" Type="http://schemas.openxmlformats.org/officeDocument/2006/relationships/hyperlink"/><Relationship Id="rId203" Target="http%3A%2F%2Fdx.doi.org%2F10.21037%2Fjtd.2019.01.25" TargetMode="External" Type="http://schemas.openxmlformats.org/officeDocument/2006/relationships/hyperlink"/><Relationship Id="rId204" Target="https%3A%2F%2Fwww.webofscience.com%2Fwos%2Fwoscc%2Ffull-record%2FWOS%3A000462698500011" TargetMode="External" Type="http://schemas.openxmlformats.org/officeDocument/2006/relationships/hyperlink"/><Relationship Id="rId205" Target="http%3A%2F%2Fdx.doi.org%2F10.1007%2Fs11596-026-00200-0" TargetMode="External" Type="http://schemas.openxmlformats.org/officeDocument/2006/relationships/hyperlink"/><Relationship Id="rId206" Target="https%3A%2F%2Fwww.webofscience.com%2Fwos%2Fwoscc%2Ffull-record%2FWOS%3A001751957100001" TargetMode="External" Type="http://schemas.openxmlformats.org/officeDocument/2006/relationships/hyperlink"/><Relationship Id="rId207" Target="http%3A%2F%2Fdx.doi.org%2F10.1016%2Fj.trsl.2021.03.012" TargetMode="External" Type="http://schemas.openxmlformats.org/officeDocument/2006/relationships/hyperlink"/><Relationship Id="rId208" Target="https%3A%2F%2Fwww.webofscience.com%2Fwos%2Fwoscc%2Ffull-record%2FWOS%3A000661683600006" TargetMode="External" Type="http://schemas.openxmlformats.org/officeDocument/2006/relationships/hyperlink"/><Relationship Id="rId209" Target="http%3A%2F%2Fdx.doi.org%2F10.1515%2Fjpem-2018-0110" TargetMode="External" Type="http://schemas.openxmlformats.org/officeDocument/2006/relationships/hyperlink"/><Relationship Id="rId21" Target="http%3A%2F%2Fdx.doi.org%2F10.1016%2Fj.pharmthera.2020.107557" TargetMode="External" Type="http://schemas.openxmlformats.org/officeDocument/2006/relationships/hyperlink"/><Relationship Id="rId210" Target="https%3A%2F%2Fwww.webofscience.com%2Fwos%2Fwoscc%2Ffull-record%2FWOS%3A000431124900002" TargetMode="External" Type="http://schemas.openxmlformats.org/officeDocument/2006/relationships/hyperlink"/><Relationship Id="rId211" Target="http%3A%2F%2Fdx.doi.org%2F10.1038%2Fs41380-022-01528-4" TargetMode="External" Type="http://schemas.openxmlformats.org/officeDocument/2006/relationships/hyperlink"/><Relationship Id="rId212" Target="https%3A%2F%2Fwww.webofscience.com%2Fwos%2Fwoscc%2Ffull-record%2FWOS%3A000777289500002" TargetMode="External" Type="http://schemas.openxmlformats.org/officeDocument/2006/relationships/hyperlink"/><Relationship Id="rId213" Target="http%3A%2F%2Fdx.doi.org%2F10.1186%2Fs12874-020-0913-7" TargetMode="External" Type="http://schemas.openxmlformats.org/officeDocument/2006/relationships/hyperlink"/><Relationship Id="rId214" Target="https%3A%2F%2Fwww.webofscience.com%2Fwos%2Fwoscc%2Ffull-record%2FWOS%3A000513699400003" TargetMode="External" Type="http://schemas.openxmlformats.org/officeDocument/2006/relationships/hyperlink"/><Relationship Id="rId215" Target="http%3A%2F%2Fdx.doi.org%2F10.1186%2Fs12874-022-01577-x" TargetMode="External" Type="http://schemas.openxmlformats.org/officeDocument/2006/relationships/hyperlink"/><Relationship Id="rId216" Target="https%3A%2F%2Fwww.webofscience.com%2Fwos%2Fwoscc%2Ffull-record%2FWOS%3A000781341800002" TargetMode="External" Type="http://schemas.openxmlformats.org/officeDocument/2006/relationships/hyperlink"/><Relationship Id="rId217" Target="http%3A%2F%2Fdx.doi.org%2F10.1007%2Fs00520-025-09562-y" TargetMode="External" Type="http://schemas.openxmlformats.org/officeDocument/2006/relationships/hyperlink"/><Relationship Id="rId218" Target="https%3A%2F%2Fwww.webofscience.com%2Fwos%2Fwoscc%2Ffull-record%2FWOS%3A001502753300001" TargetMode="External" Type="http://schemas.openxmlformats.org/officeDocument/2006/relationships/hyperlink"/><Relationship Id="rId219" Target="http%3A%2F%2Fdx.doi.org%2F10.1016%2Fj.jhin.2025.04.035" TargetMode="External" Type="http://schemas.openxmlformats.org/officeDocument/2006/relationships/hyperlink"/><Relationship Id="rId22" Target="https%3A%2F%2Fwww.webofscience.com%2Fwos%2Fwoscc%2Ffull-record%2FWOS%3A000541079600004" TargetMode="External" Type="http://schemas.openxmlformats.org/officeDocument/2006/relationships/hyperlink"/><Relationship Id="rId220" Target="https%3A%2F%2Fwww.webofscience.com%2Fwos%2Fwoscc%2Ffull-record%2FWOS%3A001568392100002" TargetMode="External" Type="http://schemas.openxmlformats.org/officeDocument/2006/relationships/hyperlink"/><Relationship Id="rId221" Target="http%3A%2F%2Fdx.doi.org%2F10.1016%2Fj.euroneuro.2022.08.001" TargetMode="External" Type="http://schemas.openxmlformats.org/officeDocument/2006/relationships/hyperlink"/><Relationship Id="rId222" Target="https%3A%2F%2Fwww.webofscience.com%2Fwos%2Fwoscc%2Ffull-record%2FWOS%3A000877581400002" TargetMode="External" Type="http://schemas.openxmlformats.org/officeDocument/2006/relationships/hyperlink"/><Relationship Id="rId223" Target="http%3A%2F%2Fdx.doi.org%2F10.3389%2Ffcvm.2024.1449058" TargetMode="External" Type="http://schemas.openxmlformats.org/officeDocument/2006/relationships/hyperlink"/><Relationship Id="rId224" Target="https%3A%2F%2Fwww.webofscience.com%2Fwos%2Fwoscc%2Ffull-record%2FWOS%3A001345900900001" TargetMode="External" Type="http://schemas.openxmlformats.org/officeDocument/2006/relationships/hyperlink"/><Relationship Id="rId225" Target="http%3A%2F%2Fdx.doi.org%2F10.2196%2F62710" TargetMode="External" Type="http://schemas.openxmlformats.org/officeDocument/2006/relationships/hyperlink"/><Relationship Id="rId226" Target="https%3A%2F%2Fwww.webofscience.com%2Fwos%2Fwoscc%2Ffull-record%2FWOS%3A001529728100001" TargetMode="External" Type="http://schemas.openxmlformats.org/officeDocument/2006/relationships/hyperlink"/><Relationship Id="rId227" Target="http%3A%2F%2Fdx.doi.org%2F10.1007%2Fs12975-024-01261-w" TargetMode="External" Type="http://schemas.openxmlformats.org/officeDocument/2006/relationships/hyperlink"/><Relationship Id="rId228" Target="https%3A%2F%2Fwww.webofscience.com%2Fwos%2Fwoscc%2Ffull-record%2FWOS%3A001242784100001" TargetMode="External" Type="http://schemas.openxmlformats.org/officeDocument/2006/relationships/hyperlink"/><Relationship Id="rId229" Target="http%3A%2F%2Fdx.doi.org%2F10.3389%2Ffpsyt.2025.1629023" TargetMode="External" Type="http://schemas.openxmlformats.org/officeDocument/2006/relationships/hyperlink"/><Relationship Id="rId23" Target="http%3A%2F%2Fdx.doi.org%2F10.1146%2Fannurev-statistics-042324-123749" TargetMode="External" Type="http://schemas.openxmlformats.org/officeDocument/2006/relationships/hyperlink"/><Relationship Id="rId230" Target="https%3A%2F%2Fwww.webofscience.com%2Fwos%2Fwoscc%2Ffull-record%2FWOS%3A001651596700001" TargetMode="External" Type="http://schemas.openxmlformats.org/officeDocument/2006/relationships/hyperlink"/><Relationship Id="rId231" Target="http%3A%2F%2Fdx.doi.org%2F10.3390%2Ftechnologies14030184" TargetMode="External" Type="http://schemas.openxmlformats.org/officeDocument/2006/relationships/hyperlink"/><Relationship Id="rId232" Target="https%3A%2F%2Fwww.webofscience.com%2Fwos%2Fwoscc%2Ffull-record%2FWOS%3A001725224400001" TargetMode="External" Type="http://schemas.openxmlformats.org/officeDocument/2006/relationships/hyperlink"/><Relationship Id="rId233" Target="http%3A%2F%2Fdx.doi.org%2F10.3390%2Fdiagnostics13243689" TargetMode="External" Type="http://schemas.openxmlformats.org/officeDocument/2006/relationships/hyperlink"/><Relationship Id="rId234" Target="https%3A%2F%2Fwww.webofscience.com%2Fwos%2Fwoscc%2Ffull-record%2FWOS%3A001130676500001" TargetMode="External" Type="http://schemas.openxmlformats.org/officeDocument/2006/relationships/hyperlink"/><Relationship Id="rId235" Target="http%3A%2F%2Fdx.doi.org%2F10.1007%2Fs12285-024-00516-7" TargetMode="External" Type="http://schemas.openxmlformats.org/officeDocument/2006/relationships/hyperlink"/><Relationship Id="rId236" Target="https%3A%2F%2Fwww.webofscience.com%2Fwos%2Fwoscc%2Ffull-record%2FWOS%3A001415971000001" TargetMode="External" Type="http://schemas.openxmlformats.org/officeDocument/2006/relationships/hyperlink"/><Relationship Id="rId237" Target="http%3A%2F%2Fdx.doi.org%2F10.2196%2F80325" TargetMode="External" Type="http://schemas.openxmlformats.org/officeDocument/2006/relationships/hyperlink"/><Relationship Id="rId238" Target="https%3A%2F%2Fwww.webofscience.com%2Fwos%2Fwoscc%2Ffull-record%2FWOS%3A001709736300002" TargetMode="External" Type="http://schemas.openxmlformats.org/officeDocument/2006/relationships/hyperlink"/><Relationship Id="rId239" Target="http%3A%2F%2Fdx.doi.org%2F10.1016%2Fj.jisako.2026.101088" TargetMode="External" Type="http://schemas.openxmlformats.org/officeDocument/2006/relationships/hyperlink"/><Relationship Id="rId24" Target="https%3A%2F%2Fwww.webofscience.com%2Fwos%2Fwoscc%2Ffull-record%2FWOS%3A001710034200002" TargetMode="External" Type="http://schemas.openxmlformats.org/officeDocument/2006/relationships/hyperlink"/><Relationship Id="rId240" Target="https%3A%2F%2Fwww.webofscience.com%2Fwos%2Fwoscc%2Ffull-record%2FWOS%3A001717830900001" TargetMode="External" Type="http://schemas.openxmlformats.org/officeDocument/2006/relationships/hyperlink"/><Relationship Id="rId241" Target="http%3A%2F%2Fdx.doi.org%2F10.1002%2FVIW.20260011" TargetMode="External" Type="http://schemas.openxmlformats.org/officeDocument/2006/relationships/hyperlink"/><Relationship Id="rId242" Target="https%3A%2F%2Fwww.webofscience.com%2Fwos%2Fwoscc%2Ffull-record%2FWOS%3A001751020500001" TargetMode="External" Type="http://schemas.openxmlformats.org/officeDocument/2006/relationships/hyperlink"/><Relationship Id="rId243" Target="http%3A%2F%2Fdx.doi.org%2F10.1097%2FBSD.0000000000000287" TargetMode="External" Type="http://schemas.openxmlformats.org/officeDocument/2006/relationships/hyperlink"/><Relationship Id="rId244" Target="https%3A%2F%2Fwww.webofscience.com%2Fwos%2Fwoscc%2Ffull-record%2FWOS%3A000357318900002" TargetMode="External" Type="http://schemas.openxmlformats.org/officeDocument/2006/relationships/hyperlink"/><Relationship Id="rId245" Target="http%3A%2F%2Fdx.doi.org%2F10.1016%2Fj.spinee.2020.06.014" TargetMode="External" Type="http://schemas.openxmlformats.org/officeDocument/2006/relationships/hyperlink"/><Relationship Id="rId246" Target="https%3A%2F%2Fwww.webofscience.com%2Fwos%2Fwoscc%2Ffull-record%2FWOS%3A000704865800009" TargetMode="External" Type="http://schemas.openxmlformats.org/officeDocument/2006/relationships/hyperlink"/><Relationship Id="rId247" Target="http%3A%2F%2Fdx.doi.org%2F10.1053%2Fj.semperi.2019.05.008" TargetMode="External" Type="http://schemas.openxmlformats.org/officeDocument/2006/relationships/hyperlink"/><Relationship Id="rId248" Target="https%3A%2F%2Fwww.webofscience.com%2Fwos%2Fwoscc%2Ffull-record%2FWOS%3A000485207200008" TargetMode="External" Type="http://schemas.openxmlformats.org/officeDocument/2006/relationships/hyperlink"/><Relationship Id="rId249" Target="http%3A%2F%2Fdx.doi.org%2F10.1016%2Fj.landig.2026.101001" TargetMode="External" Type="http://schemas.openxmlformats.org/officeDocument/2006/relationships/hyperlink"/><Relationship Id="rId25" Target="http%3A%2F%2Fdx.doi.org%2F10.3348%2Fkjr.2016.17.3.339" TargetMode="External" Type="http://schemas.openxmlformats.org/officeDocument/2006/relationships/hyperlink"/><Relationship Id="rId250" Target="https%3A%2F%2Fwww.webofscience.com%2Fwos%2Fwoscc%2Ffull-record%2FWOS%3A001839509400001" TargetMode="External" Type="http://schemas.openxmlformats.org/officeDocument/2006/relationships/hyperlink"/><Relationship Id="rId251" Target="http%3A%2F%2Fdx.doi.org%2F10.1016%2Fj.csbj.2024.02.018" TargetMode="External" Type="http://schemas.openxmlformats.org/officeDocument/2006/relationships/hyperlink"/><Relationship Id="rId252" Target="https%3A%2F%2Fwww.webofscience.com%2Fwos%2Fwoscc%2Ffull-record%2FWOS%3A001204845000001" TargetMode="External" Type="http://schemas.openxmlformats.org/officeDocument/2006/relationships/hyperlink"/><Relationship Id="rId253" Target="http%3A%2F%2Fdx.doi.org%2F10.1111%2Fden.13974" TargetMode="External" Type="http://schemas.openxmlformats.org/officeDocument/2006/relationships/hyperlink"/><Relationship Id="rId254" Target="https%3A%2F%2Fwww.webofscience.com%2Fwos%2Fwoscc%2Ffull-record%2FWOS%3A000641062300001" TargetMode="External" Type="http://schemas.openxmlformats.org/officeDocument/2006/relationships/hyperlink"/><Relationship Id="rId255" Target="http%3A%2F%2Fdx.doi.org%2F10.1001%2Fjamaoto.2021.1548" TargetMode="External" Type="http://schemas.openxmlformats.org/officeDocument/2006/relationships/hyperlink"/><Relationship Id="rId256" Target="https%3A%2F%2Fwww.webofscience.com%2Fwos%2Fwoscc%2Ffull-record%2FWOS%3A000673054000002" TargetMode="External" Type="http://schemas.openxmlformats.org/officeDocument/2006/relationships/hyperlink"/><Relationship Id="rId257" Target="http%3A%2F%2Fdx.doi.org%2F10.1093%2Fjamia%2Focz228" TargetMode="External" Type="http://schemas.openxmlformats.org/officeDocument/2006/relationships/hyperlink"/><Relationship Id="rId258" Target="https%3A%2F%2Fwww.webofscience.com%2Fwos%2Fwoscc%2Ffull-record%2FWOS%3A000548306200016" TargetMode="External" Type="http://schemas.openxmlformats.org/officeDocument/2006/relationships/hyperlink"/><Relationship Id="rId259" Target="http%3A%2F%2Fdx.doi.org%2F10.1186%2Fs12911-024-02848-x" TargetMode="External" Type="http://schemas.openxmlformats.org/officeDocument/2006/relationships/hyperlink"/><Relationship Id="rId26" Target="https%3A%2F%2Fwww.webofscience.com%2Fwos%2Fwoscc%2Ffull-record%2FWOS%3A000375889600004" TargetMode="External" Type="http://schemas.openxmlformats.org/officeDocument/2006/relationships/hyperlink"/><Relationship Id="rId260" Target="https%3A%2F%2Fwww.webofscience.com%2Fwos%2Fwoscc%2Ffull-record%2FWOS%3A001397203200003" TargetMode="External" Type="http://schemas.openxmlformats.org/officeDocument/2006/relationships/hyperlink"/><Relationship Id="rId261" Target="http%3A%2F%2Fdx.doi.org%2F10.1016%2Fj.jclinepi.2021.11.023" TargetMode="External" Type="http://schemas.openxmlformats.org/officeDocument/2006/relationships/hyperlink"/><Relationship Id="rId262" Target="https%3A%2F%2Fwww.webofscience.com%2Fwos%2Fwoscc%2Ffull-record%2FWOS%3A000740342300014" TargetMode="External" Type="http://schemas.openxmlformats.org/officeDocument/2006/relationships/hyperlink"/><Relationship Id="rId263" Target="http%3A%2F%2Fdx.doi.org%2F10.3390%2Fjcm9051582" TargetMode="External" Type="http://schemas.openxmlformats.org/officeDocument/2006/relationships/hyperlink"/><Relationship Id="rId264" Target="https%3A%2F%2Fwww.webofscience.com%2Fwos%2Fwoscc%2Ffull-record%2FWOS%3A000540223800339" TargetMode="External" Type="http://schemas.openxmlformats.org/officeDocument/2006/relationships/hyperlink"/><Relationship Id="rId265" Target="http%3A%2F%2Fdx.doi.org%2F10.1001%2Fjamanetworkopen.2022.27779" TargetMode="External" Type="http://schemas.openxmlformats.org/officeDocument/2006/relationships/hyperlink"/><Relationship Id="rId266" Target="https%3A%2F%2Fwww.webofscience.com%2Fwos%2Fwoscc%2Ffull-record%2FWOS%3A000841917800010" TargetMode="External" Type="http://schemas.openxmlformats.org/officeDocument/2006/relationships/hyperlink"/><Relationship Id="rId267" Target="http%3A%2F%2Fdx.doi.org%2F10.1080%2F14712598.2019.1576631" TargetMode="External" Type="http://schemas.openxmlformats.org/officeDocument/2006/relationships/hyperlink"/><Relationship Id="rId268" Target="https%3A%2F%2Fwww.webofscience.com%2Fwos%2Fwoscc%2Ffull-record%2FWOS%3A000466573300008" TargetMode="External" Type="http://schemas.openxmlformats.org/officeDocument/2006/relationships/hyperlink"/><Relationship Id="rId269" Target="http%3A%2F%2Fdx.doi.org%2F10.1097%2FMNH.0000000000000223" TargetMode="External" Type="http://schemas.openxmlformats.org/officeDocument/2006/relationships/hyperlink"/><Relationship Id="rId27" Target="http%3A%2F%2Fdx.doi.org%2F10.1007%2Fs00198-026-08059-6" TargetMode="External" Type="http://schemas.openxmlformats.org/officeDocument/2006/relationships/hyperlink"/><Relationship Id="rId270" Target="https%3A%2F%2Fwww.webofscience.com%2Fwos%2Fwoscc%2Ffull-record%2FWOS%3A000374739900011" TargetMode="External" Type="http://schemas.openxmlformats.org/officeDocument/2006/relationships/hyperlink"/><Relationship Id="rId271" Target="http%3A%2F%2Fdx.doi.org%2F10.1093%2Fjamia%2Focaa242" TargetMode="External" Type="http://schemas.openxmlformats.org/officeDocument/2006/relationships/hyperlink"/><Relationship Id="rId272" Target="https%3A%2F%2Fwww.webofscience.com%2Fwos%2Fwoscc%2Ffull-record%2FWOS%3A000648972200020" TargetMode="External" Type="http://schemas.openxmlformats.org/officeDocument/2006/relationships/hyperlink"/><Relationship Id="rId273" Target="http%3A%2F%2Fdx.doi.org%2F10.1177%2F14574969231167781" TargetMode="External" Type="http://schemas.openxmlformats.org/officeDocument/2006/relationships/hyperlink"/><Relationship Id="rId274" Target="https%3A%2F%2Fwww.webofscience.com%2Fwos%2Fwoscc%2Ffull-record%2FWOS%3A000972957200001" TargetMode="External" Type="http://schemas.openxmlformats.org/officeDocument/2006/relationships/hyperlink"/><Relationship Id="rId275" Target="http%3A%2F%2Fdx.doi.org%2F10.1038%2Fbjc.2017.274" TargetMode="External" Type="http://schemas.openxmlformats.org/officeDocument/2006/relationships/hyperlink"/><Relationship Id="rId276" Target="https%3A%2F%2Fwww.webofscience.com%2Fwos%2Fwoscc%2Ffull-record%2FWOS%3A000411710900001" TargetMode="External" Type="http://schemas.openxmlformats.org/officeDocument/2006/relationships/hyperlink"/><Relationship Id="rId277" Target="http%3A%2F%2Fdx.doi.org%2F10.1016%2FS2352-4642%2823%2900105-0" TargetMode="External" Type="http://schemas.openxmlformats.org/officeDocument/2006/relationships/hyperlink"/><Relationship Id="rId278" Target="https%3A%2F%2Fwww.webofscience.com%2Fwos%2Fwoscc%2Ffull-record%2FWOS%3A001063314500001" TargetMode="External" Type="http://schemas.openxmlformats.org/officeDocument/2006/relationships/hyperlink"/><Relationship Id="rId279" Target="http%3A%2F%2Fdx.doi.org%2F10.1513%2FAnnalsATS.201803-173CME" TargetMode="External" Type="http://schemas.openxmlformats.org/officeDocument/2006/relationships/hyperlink"/><Relationship Id="rId28" Target="https%3A%2F%2Fwww.webofscience.com%2Fwos%2Fwoscc%2Ffull-record%2FWOS%3A001751842500001" TargetMode="External" Type="http://schemas.openxmlformats.org/officeDocument/2006/relationships/hyperlink"/><Relationship Id="rId280" Target="https%3A%2F%2Fwww.webofscience.com%2Fwos%2Fwoscc%2Ffull-record%2FWOS%3A000447989900001" TargetMode="External" Type="http://schemas.openxmlformats.org/officeDocument/2006/relationships/hyperlink"/><Relationship Id="rId281" Target="http%3A%2F%2Fdx.doi.org%2F10.1093%2Fpsyrad%2Fkkae031" TargetMode="External" Type="http://schemas.openxmlformats.org/officeDocument/2006/relationships/hyperlink"/><Relationship Id="rId282" Target="https%3A%2F%2Fwww.webofscience.com%2Fwos%2Fwoscc%2Ffull-record%2FWOS%3A001492644500001" TargetMode="External" Type="http://schemas.openxmlformats.org/officeDocument/2006/relationships/hyperlink"/><Relationship Id="rId283" Target="http%3A%2F%2Fdx.doi.org%2F10.1038%2Fs41390-022-02274-7" TargetMode="External" Type="http://schemas.openxmlformats.org/officeDocument/2006/relationships/hyperlink"/><Relationship Id="rId284" Target="https%3A%2F%2Fwww.webofscience.com%2Fwos%2Fwoscc%2Ffull-record%2FWOS%3A000855600200002" TargetMode="External" Type="http://schemas.openxmlformats.org/officeDocument/2006/relationships/hyperlink"/><Relationship Id="rId285" Target="http%3A%2F%2Fdx.doi.org%2F10.1097%2FMCG.0000000000001284" TargetMode="External" Type="http://schemas.openxmlformats.org/officeDocument/2006/relationships/hyperlink"/><Relationship Id="rId286" Target="https%3A%2F%2Fwww.webofscience.com%2Fwos%2Fwoscc%2Ffull-record%2FWOS%3A000514586300002" TargetMode="External" Type="http://schemas.openxmlformats.org/officeDocument/2006/relationships/hyperlink"/><Relationship Id="rId287" Target="http%3A%2F%2Fdx.doi.org%2F10.3389%2Ffresc.2022.824281" TargetMode="External" Type="http://schemas.openxmlformats.org/officeDocument/2006/relationships/hyperlink"/><Relationship Id="rId288" Target="https%3A%2F%2Fwww.webofscience.com%2Fwos%2Fwoscc%2Ffull-record%2FWOS%3A001008612900001" TargetMode="External" Type="http://schemas.openxmlformats.org/officeDocument/2006/relationships/hyperlink"/><Relationship Id="rId289" Target="http%3A%2F%2Fdx.doi.org%2F10.1097%2FACO.0000000000000834" TargetMode="External" Type="http://schemas.openxmlformats.org/officeDocument/2006/relationships/hyperlink"/><Relationship Id="rId29" Target="http%3A%2F%2Fdx.doi.org%2F10.1016%2Fj.acap.2024.03.016" TargetMode="External" Type="http://schemas.openxmlformats.org/officeDocument/2006/relationships/hyperlink"/><Relationship Id="rId290" Target="https%3A%2F%2Fwww.webofscience.com%2Fwos%2Fwoscc%2Ffull-record%2FWOS%3A000524758400006" TargetMode="External" Type="http://schemas.openxmlformats.org/officeDocument/2006/relationships/hyperlink"/><Relationship Id="rId291" Target="http%3A%2F%2Fdx.doi.org%2F10.1111%2Fjpc.70429" TargetMode="External" Type="http://schemas.openxmlformats.org/officeDocument/2006/relationships/hyperlink"/><Relationship Id="rId292" Target="https%3A%2F%2Fwww.webofscience.com%2Fwos%2Fwoscc%2Ffull-record%2FWOS%3A001760371100001" TargetMode="External" Type="http://schemas.openxmlformats.org/officeDocument/2006/relationships/hyperlink"/><Relationship Id="rId293" Target="http%3A%2F%2Fdx.doi.org%2F10.1146%2Fannurev-biodatasci-122220-10053" TargetMode="External" Type="http://schemas.openxmlformats.org/officeDocument/2006/relationships/hyperlink"/><Relationship Id="rId294" Target="https%3A%2F%2Fwww.webofscience.com%2Fwos%2Fwoscc%2Ffull-record%2FWOS%3A000844738900018" TargetMode="External" Type="http://schemas.openxmlformats.org/officeDocument/2006/relationships/hyperlink"/><Relationship Id="rId295" Target="http%3A%2F%2Fdx.doi.org%2F10.1177%2F17539447241290438" TargetMode="External" Type="http://schemas.openxmlformats.org/officeDocument/2006/relationships/hyperlink"/><Relationship Id="rId296" Target="https%3A%2F%2Fwww.webofscience.com%2Fwos%2Fwoscc%2Ffull-record%2FWOS%3A001344888300001" TargetMode="External" Type="http://schemas.openxmlformats.org/officeDocument/2006/relationships/hyperlink"/><Relationship Id="rId297" Target="http%3A%2F%2Fdx.doi.org%2F10.3389%2Ffmed.2026.1818061" TargetMode="External" Type="http://schemas.openxmlformats.org/officeDocument/2006/relationships/hyperlink"/><Relationship Id="rId298" Target="https%3A%2F%2Fwww.webofscience.com%2Fwos%2Fwoscc%2Ffull-record%2FWOS%3A001776864100001" TargetMode="External" Type="http://schemas.openxmlformats.org/officeDocument/2006/relationships/hyperlink"/><Relationship Id="rId299" Target="http%3A%2F%2Fdx.doi.org%2F10.1097%2FMIB.0000000000000184" TargetMode="External" Type="http://schemas.openxmlformats.org/officeDocument/2006/relationships/hyperlink"/><Relationship Id="rId3" Target="http%3A%2F%2Fdx.doi.org%2F10.1016%2Fj.prrv.2025.01.002" TargetMode="External" Type="http://schemas.openxmlformats.org/officeDocument/2006/relationships/hyperlink"/><Relationship Id="rId30" Target="https%3A%2F%2Fwww.webofscience.com%2Fwos%2Fwoscc%2Ffull-record%2FWOS%3A001296016600001" TargetMode="External" Type="http://schemas.openxmlformats.org/officeDocument/2006/relationships/hyperlink"/><Relationship Id="rId300" Target="https%3A%2F%2Fwww.webofscience.com%2Fwos%2Fwoscc%2Ffull-record%2FWOS%3A000348906200024" TargetMode="External" Type="http://schemas.openxmlformats.org/officeDocument/2006/relationships/hyperlink"/><Relationship Id="rId301" Target="http%3A%2F%2Fdx.doi.org%2F10.1016%2Fj.hpb.2021.05.002" TargetMode="External" Type="http://schemas.openxmlformats.org/officeDocument/2006/relationships/hyperlink"/><Relationship Id="rId302" Target="https%3A%2F%2Fwww.webofscience.com%2Fwos%2Fwoscc%2Ffull-record%2FWOS%3A000706500700002" TargetMode="External" Type="http://schemas.openxmlformats.org/officeDocument/2006/relationships/hyperlink"/><Relationship Id="rId303" Target="http%3A%2F%2Fdx.doi.org%2F10.21037%2Fatm-21-4733" TargetMode="External" Type="http://schemas.openxmlformats.org/officeDocument/2006/relationships/hyperlink"/><Relationship Id="rId304" Target="https%3A%2F%2Fwww.webofscience.com%2Fwos%2Fwoscc%2Ffull-record%2FWOS%3A000710740600001" TargetMode="External" Type="http://schemas.openxmlformats.org/officeDocument/2006/relationships/hyperlink"/><Relationship Id="rId305" Target="http%3A%2F%2Fdx.doi.org%2F10.4103%2Fatm.ATM_110_19" TargetMode="External" Type="http://schemas.openxmlformats.org/officeDocument/2006/relationships/hyperlink"/><Relationship Id="rId306" Target="https%3A%2F%2Fwww.webofscience.com%2Fwos%2Fwoscc%2Ffull-record%2FWOS%3A000501816700002" TargetMode="External" Type="http://schemas.openxmlformats.org/officeDocument/2006/relationships/hyperlink"/><Relationship Id="rId307" Target="http%3A%2F%2Fdx.doi.org%2F10.1080%2F14737159.2021.1917384" TargetMode="External" Type="http://schemas.openxmlformats.org/officeDocument/2006/relationships/hyperlink"/><Relationship Id="rId308" Target="https%3A%2F%2Fwww.webofscience.com%2Fwos%2Fwoscc%2Ffull-record%2FWOS%3A000641516900001" TargetMode="External" Type="http://schemas.openxmlformats.org/officeDocument/2006/relationships/hyperlink"/><Relationship Id="rId309" Target="http%3A%2F%2Fdx.doi.org%2F10.1053%2Fj.ajkd.2015.11.007" TargetMode="External" Type="http://schemas.openxmlformats.org/officeDocument/2006/relationships/hyperlink"/><Relationship Id="rId31" Target="http%3A%2F%2Fdx.doi.org%2F10.1136%2Fbmjgh-2020-003451" TargetMode="External" Type="http://schemas.openxmlformats.org/officeDocument/2006/relationships/hyperlink"/><Relationship Id="rId310" Target="https%3A%2F%2Fwww.webofscience.com%2Fwos%2Fwoscc%2Ffull-record%2FWOS%3A000374849400417" TargetMode="External" Type="http://schemas.openxmlformats.org/officeDocument/2006/relationships/hyperlink"/><Relationship Id="rId311" Target="http%3A%2F%2Fdx.doi.org%2F10.1080%2F21681163.2022.2074545" TargetMode="External" Type="http://schemas.openxmlformats.org/officeDocument/2006/relationships/hyperlink"/><Relationship Id="rId312" Target="https%3A%2F%2Fwww.webofscience.com%2Fwos%2Fwoscc%2Ffull-record%2FWOS%3A000797433600001" TargetMode="External" Type="http://schemas.openxmlformats.org/officeDocument/2006/relationships/hyperlink"/><Relationship Id="rId313" Target="http%3A%2F%2Fdx.doi.org%2F10.6061%2Fclinics%2F2017%2803%2910" TargetMode="External" Type="http://schemas.openxmlformats.org/officeDocument/2006/relationships/hyperlink"/><Relationship Id="rId314" Target="https%3A%2F%2Fwww.webofscience.com%2Fwos%2Fwoscc%2Ffull-record%2FWOS%3A000397874900010" TargetMode="External" Type="http://schemas.openxmlformats.org/officeDocument/2006/relationships/hyperlink"/><Relationship Id="rId315" Target="http%3A%2F%2Fdx.doi.org%2F10.1016%2Fj.aopr.2025.07.002" TargetMode="External" Type="http://schemas.openxmlformats.org/officeDocument/2006/relationships/hyperlink"/><Relationship Id="rId316" Target="https%3A%2F%2Fwww.webofscience.com%2Fwos%2Fwoscc%2Ffull-record%2FWOS%3A001561353800001" TargetMode="External" Type="http://schemas.openxmlformats.org/officeDocument/2006/relationships/hyperlink"/><Relationship Id="rId317" Target="http%3A%2F%2Fdx.doi.org%2F10.1016%2Fj.artmed.2024.102824" TargetMode="External" Type="http://schemas.openxmlformats.org/officeDocument/2006/relationships/hyperlink"/><Relationship Id="rId318" Target="https%3A%2F%2Fwww.webofscience.com%2Fwos%2Fwoscc%2Ffull-record%2FWOS%3A001195736000001" TargetMode="External" Type="http://schemas.openxmlformats.org/officeDocument/2006/relationships/hyperlink"/><Relationship Id="rId319" Target="http%3A%2F%2Fdx.doi.org%2F10.1007%2Fs00125-024-06097-5" TargetMode="External" Type="http://schemas.openxmlformats.org/officeDocument/2006/relationships/hyperlink"/><Relationship Id="rId32" Target="https%3A%2F%2Fwww.webofscience.com%2Fwos%2Fwoscc%2Ffull-record%2FWOS%3A000612942900003" TargetMode="External" Type="http://schemas.openxmlformats.org/officeDocument/2006/relationships/hyperlink"/><Relationship Id="rId320" Target="https%3A%2F%2Fwww.webofscience.com%2Fwos%2Fwoscc%2Ffull-record%2FWOS%3A001159733300001" TargetMode="External" Type="http://schemas.openxmlformats.org/officeDocument/2006/relationships/hyperlink"/><Relationship Id="rId321" Target="http%3A%2F%2Fdx.doi.org%2F10.1002%2Fehf2.12426" TargetMode="External" Type="http://schemas.openxmlformats.org/officeDocument/2006/relationships/hyperlink"/><Relationship Id="rId322" Target="https%3A%2F%2Fwww.webofscience.com%2Fwos%2Fwoscc%2Ffull-record%2FWOS%3A000468324300005" TargetMode="External" Type="http://schemas.openxmlformats.org/officeDocument/2006/relationships/hyperlink"/><Relationship Id="rId323" Target="http%3A%2F%2Fdx.doi.org%2F10.1136%2Fbmjopen-2018-025076" TargetMode="External" Type="http://schemas.openxmlformats.org/officeDocument/2006/relationships/hyperlink"/><Relationship Id="rId324" Target="https%3A%2F%2Fwww.webofscience.com%2Fwos%2Fwoscc%2Ffull-record%2FWOS%3A000471116800225" TargetMode="External" Type="http://schemas.openxmlformats.org/officeDocument/2006/relationships/hyperlink"/><Relationship Id="rId325" Target="http%3A%2F%2Fdx.doi.org%2F10.1042%2FETLS20210246" TargetMode="External" Type="http://schemas.openxmlformats.org/officeDocument/2006/relationships/hyperlink"/><Relationship Id="rId326" Target="https%3A%2F%2Fwww.webofscience.com%2Fwos%2Fwoscc%2Ffull-record%2FWOS%3A000734092600001" TargetMode="External" Type="http://schemas.openxmlformats.org/officeDocument/2006/relationships/hyperlink"/><Relationship Id="rId327" Target="http%3A%2F%2Fdx.doi.org%2F10.1053%2Fj.jvca.2021.02.056" TargetMode="External" Type="http://schemas.openxmlformats.org/officeDocument/2006/relationships/hyperlink"/><Relationship Id="rId328" Target="https%3A%2F%2Fwww.webofscience.com%2Fwos%2Fwoscc%2Ffull-record%2FWOS%3A000655505900038" TargetMode="External" Type="http://schemas.openxmlformats.org/officeDocument/2006/relationships/hyperlink"/><Relationship Id="rId329" Target="http%3A%2F%2Fdx.doi.org%2F10.46292%2Fsci23-00010" TargetMode="External" Type="http://schemas.openxmlformats.org/officeDocument/2006/relationships/hyperlink"/><Relationship Id="rId33" Target="http%3A%2F%2Fdx.doi.org%2F10.1186%2Fs41512-026-00221-2" TargetMode="External" Type="http://schemas.openxmlformats.org/officeDocument/2006/relationships/hyperlink"/><Relationship Id="rId330" Target="https%3A%2F%2Fwww.webofscience.com%2Fwos%2Fwoscc%2Ffull-record%2FWOS%3A001189632300006" TargetMode="External" Type="http://schemas.openxmlformats.org/officeDocument/2006/relationships/hyperlink"/><Relationship Id="rId331" Target="http%3A%2F%2Fdx.doi.org%2F10.1111%2Fene.13813" TargetMode="External" Type="http://schemas.openxmlformats.org/officeDocument/2006/relationships/hyperlink"/><Relationship Id="rId332" Target="https%3A%2F%2Fwww.webofscience.com%2Fwos%2Fwoscc%2Ffull-record%2FWOS%3A000452969300005" TargetMode="External" Type="http://schemas.openxmlformats.org/officeDocument/2006/relationships/hyperlink"/><Relationship Id="rId333" Target="http%3A%2F%2Fdx.doi.org%2F10.12980%2Fjad.6.2017JADWEB-2016-0069" TargetMode="External" Type="http://schemas.openxmlformats.org/officeDocument/2006/relationships/hyperlink"/><Relationship Id="rId334" Target="https%3A%2F%2Fwww.webofscience.com%2Fwos%2Fwoscc%2Ffull-record%2FWOS%3A000398493700002" TargetMode="External" Type="http://schemas.openxmlformats.org/officeDocument/2006/relationships/hyperlink"/><Relationship Id="rId335" Target="http%3A%2F%2Fdx.doi.org%2F10.1080%2F14787210.2019.1625770" TargetMode="External" Type="http://schemas.openxmlformats.org/officeDocument/2006/relationships/hyperlink"/><Relationship Id="rId336" Target="https%3A%2F%2Fwww.webofscience.com%2Fwos%2Fwoscc%2Ffull-record%2FWOS%3A000477753200003" TargetMode="External" Type="http://schemas.openxmlformats.org/officeDocument/2006/relationships/hyperlink"/><Relationship Id="rId337" Target="http%3A%2F%2Fdx.doi.org%2F10.3390%2Finformatics7030025" TargetMode="External" Type="http://schemas.openxmlformats.org/officeDocument/2006/relationships/hyperlink"/><Relationship Id="rId338" Target="https%3A%2F%2Fwww.webofscience.com%2Fwos%2Fwoscc%2Ffull-record%2FWOS%3A000578947400001" TargetMode="External" Type="http://schemas.openxmlformats.org/officeDocument/2006/relationships/hyperlink"/><Relationship Id="rId339" Target="http%3A%2F%2Fdx.doi.org%2F10.1055%2Fs-0036-1597557" TargetMode="External" Type="http://schemas.openxmlformats.org/officeDocument/2006/relationships/hyperlink"/><Relationship Id="rId34" Target="https%3A%2F%2Fwww.webofscience.com%2Fwos%2Fwoscc%2Ffull-record%2FWOS%3A001682897800001" TargetMode="External" Type="http://schemas.openxmlformats.org/officeDocument/2006/relationships/hyperlink"/><Relationship Id="rId340" Target="https%3A%2F%2Fwww.webofscience.com%2Fwos%2Fwoscc%2Ffull-record%2FWOS%3A000393014900012" TargetMode="External" Type="http://schemas.openxmlformats.org/officeDocument/2006/relationships/hyperlink"/><Relationship Id="rId341" Target="http%3A%2F%2Fdx.doi.org%2F10.1007%2Fs00256-024-04590-x" TargetMode="External" Type="http://schemas.openxmlformats.org/officeDocument/2006/relationships/hyperlink"/><Relationship Id="rId342" Target="https%3A%2F%2Fwww.webofscience.com%2Fwos%2Fwoscc%2Ffull-record%2FWOS%3A001147821900001" TargetMode="External" Type="http://schemas.openxmlformats.org/officeDocument/2006/relationships/hyperlink"/><Relationship Id="rId343" Target="http%3A%2F%2Fdx.doi.org%2F10.1177%2F21925682241237469" TargetMode="External" Type="http://schemas.openxmlformats.org/officeDocument/2006/relationships/hyperlink"/><Relationship Id="rId344" Target="https%3A%2F%2Fwww.webofscience.com%2Fwos%2Fwoscc%2Ffull-record%2FWOS%3A001179539800001" TargetMode="External" Type="http://schemas.openxmlformats.org/officeDocument/2006/relationships/hyperlink"/><Relationship Id="rId345" Target="http%3A%2F%2Fdx.doi.org%2F10.1016%2Fj.jclinepi.2021.09.008" TargetMode="External" Type="http://schemas.openxmlformats.org/officeDocument/2006/relationships/hyperlink"/><Relationship Id="rId346" Target="https%3A%2F%2Fwww.webofscience.com%2Fwos%2Fwoscc%2Ffull-record%2FWOS%3A000710522000009" TargetMode="External" Type="http://schemas.openxmlformats.org/officeDocument/2006/relationships/hyperlink"/><Relationship Id="rId347" Target="http%3A%2F%2Fdx.doi.org%2F10.1016%2Fj.clgc.2022.11.002" TargetMode="External" Type="http://schemas.openxmlformats.org/officeDocument/2006/relationships/hyperlink"/><Relationship Id="rId348" Target="https%3A%2F%2Fwww.webofscience.com%2Fwos%2Fwoscc%2Ffull-record%2FWOS%3A001009235300001" TargetMode="External" Type="http://schemas.openxmlformats.org/officeDocument/2006/relationships/hyperlink"/><Relationship Id="rId349" Target="http%3A%2F%2Fdx.doi.org%2F10.1055%2Fa-1339-9987" TargetMode="External" Type="http://schemas.openxmlformats.org/officeDocument/2006/relationships/hyperlink"/><Relationship Id="rId35" Target="http%3A%2F%2Fdx.doi.org%2F10.1093%2Fejcts%2Fezaf142" TargetMode="External" Type="http://schemas.openxmlformats.org/officeDocument/2006/relationships/hyperlink"/><Relationship Id="rId350" Target="https%3A%2F%2Fwww.webofscience.com%2Fwos%2Fwoscc%2Ffull-record%2FWOS%3A000621185700001" TargetMode="External" Type="http://schemas.openxmlformats.org/officeDocument/2006/relationships/hyperlink"/><Relationship Id="rId351" Target="http%3A%2F%2Fdx.doi.org%2F10.1016%2Fj.ejon.2024.102510" TargetMode="External" Type="http://schemas.openxmlformats.org/officeDocument/2006/relationships/hyperlink"/><Relationship Id="rId352" Target="https%3A%2F%2Fwww.webofscience.com%2Fwos%2Fwoscc%2Ffull-record%2FWOS%3A001178285600001" TargetMode="External" Type="http://schemas.openxmlformats.org/officeDocument/2006/relationships/hyperlink"/><Relationship Id="rId353" Target="http%3A%2F%2Fdx.doi.org%2F10.3390%2Fjcdd13030119" TargetMode="External" Type="http://schemas.openxmlformats.org/officeDocument/2006/relationships/hyperlink"/><Relationship Id="rId354" Target="https%3A%2F%2Fwww.webofscience.com%2Fwos%2Fwoscc%2Ffull-record%2FWOS%3A001725700600001" TargetMode="External" Type="http://schemas.openxmlformats.org/officeDocument/2006/relationships/hyperlink"/><Relationship Id="rId355" Target="http%3A%2F%2Fdx.doi.org%2F10.1007%2Fs11926-023-01119-4" TargetMode="External" Type="http://schemas.openxmlformats.org/officeDocument/2006/relationships/hyperlink"/><Relationship Id="rId356" Target="https%3A%2F%2Fwww.webofscience.com%2Fwos%2Fwoscc%2Ffull-record%2FWOS%3A001100523200001" TargetMode="External" Type="http://schemas.openxmlformats.org/officeDocument/2006/relationships/hyperlink"/><Relationship Id="rId357" Target="http%3A%2F%2Fdx.doi.org%2F10.3390%2Fdiagnostics16142266" TargetMode="External" Type="http://schemas.openxmlformats.org/officeDocument/2006/relationships/hyperlink"/><Relationship Id="rId358" Target="https%3A%2F%2Fwww.webofscience.com%2Fwos%2Fwoscc%2Ffull-record%2FWOS%3A001833299600001" TargetMode="External" Type="http://schemas.openxmlformats.org/officeDocument/2006/relationships/hyperlink"/><Relationship Id="rId359" Target="http%3A%2F%2Fdx.doi.org%2F10.1136%2Fbmjresp-2021-001165" TargetMode="External" Type="http://schemas.openxmlformats.org/officeDocument/2006/relationships/hyperlink"/><Relationship Id="rId36" Target="https%3A%2F%2Fwww.webofscience.com%2Fwos%2Fwoscc%2Ffull-record%2FWOS%3A001495450500001" TargetMode="External" Type="http://schemas.openxmlformats.org/officeDocument/2006/relationships/hyperlink"/><Relationship Id="rId360" Target="https%3A%2F%2Fwww.webofscience.com%2Fwos%2Fwoscc%2Ffull-record%2FWOS%3A000770294800001" TargetMode="External" Type="http://schemas.openxmlformats.org/officeDocument/2006/relationships/hyperlink"/><Relationship Id="rId361" Target="http%3A%2F%2Fdx.doi.org%2F10.1007%2Fs00586-021-07064-z" TargetMode="External" Type="http://schemas.openxmlformats.org/officeDocument/2006/relationships/hyperlink"/><Relationship Id="rId362" Target="https%3A%2F%2Fwww.webofscience.com%2Fwos%2Fwoscc%2Ffull-record%2FWOS%3A000722477200001" TargetMode="External" Type="http://schemas.openxmlformats.org/officeDocument/2006/relationships/hyperlink"/><Relationship Id="rId363" Target="http%3A%2F%2Fdx.doi.org%2F10.3390%2Fbrainsci13121723" TargetMode="External" Type="http://schemas.openxmlformats.org/officeDocument/2006/relationships/hyperlink"/><Relationship Id="rId364" Target="https%3A%2F%2Fwww.webofscience.com%2Fwos%2Fwoscc%2Ffull-record%2FWOS%3A001130788800001" TargetMode="External" Type="http://schemas.openxmlformats.org/officeDocument/2006/relationships/hyperlink"/><Relationship Id="rId365" Target="https%3A%2F%2Fwww.webofscience.com%2Fwos%2Fwoscc%2Ffull-record%2FWOS%3A000403106500002" TargetMode="External" Type="http://schemas.openxmlformats.org/officeDocument/2006/relationships/hyperlink"/><Relationship Id="rId366" Target="http%3A%2F%2Fdx.doi.org%2F10.1016%2Fj.cpcardiol.2026.103399" TargetMode="External" Type="http://schemas.openxmlformats.org/officeDocument/2006/relationships/hyperlink"/><Relationship Id="rId367" Target="https%3A%2F%2Fwww.webofscience.com%2Fwos%2Fwoscc%2Ffull-record%2FWOS%3A001835274100001" TargetMode="External" Type="http://schemas.openxmlformats.org/officeDocument/2006/relationships/hyperlink"/><Relationship Id="rId368" Target="http%3A%2F%2Fdx.doi.org%2F10.14218%2FJCTH.2025.00612" TargetMode="External" Type="http://schemas.openxmlformats.org/officeDocument/2006/relationships/hyperlink"/><Relationship Id="rId369" Target="https%3A%2F%2Fwww.webofscience.com%2Fwos%2Fwoscc%2Ffull-record%2FWOS%3A001701620500001" TargetMode="External" Type="http://schemas.openxmlformats.org/officeDocument/2006/relationships/hyperlink"/><Relationship Id="rId37" Target="http%3A%2F%2Fdx.doi.org%2F10.1017%2FS003329172610378X" TargetMode="External" Type="http://schemas.openxmlformats.org/officeDocument/2006/relationships/hyperlink"/><Relationship Id="rId370" Target="http%3A%2F%2Fdx.doi.org%2F10.3390%2Fhemato2010003" TargetMode="External" Type="http://schemas.openxmlformats.org/officeDocument/2006/relationships/hyperlink"/><Relationship Id="rId371" Target="https%3A%2F%2Fwww.webofscience.com%2Fwos%2Fwoscc%2Ffull-record%2FWOS%3A001109224600001" TargetMode="External" Type="http://schemas.openxmlformats.org/officeDocument/2006/relationships/hyperlink"/><Relationship Id="rId372" Target="http%3A%2F%2Fdx.doi.org%2F10.3389%2Ffmed.2018.00116" TargetMode="External" Type="http://schemas.openxmlformats.org/officeDocument/2006/relationships/hyperlink"/><Relationship Id="rId373" Target="https%3A%2F%2Fwww.webofscience.com%2Fwos%2Fwoscc%2Ffull-record%2FWOS%3A000430982100001" TargetMode="External" Type="http://schemas.openxmlformats.org/officeDocument/2006/relationships/hyperlink"/><Relationship Id="rId374" Target="http%3A%2F%2Fdx.doi.org%2F10.14309%2Fajg.0000000000002022" TargetMode="External" Type="http://schemas.openxmlformats.org/officeDocument/2006/relationships/hyperlink"/><Relationship Id="rId375" Target="https%3A%2F%2Fwww.webofscience.com%2Fwos%2Fwoscc%2Ffull-record%2FWOS%3A000917940200014" TargetMode="External" Type="http://schemas.openxmlformats.org/officeDocument/2006/relationships/hyperlink"/><Relationship Id="rId376" Target="http%3A%2F%2Fdx.doi.org%2F10.1016%2Fj.jad.2023.04.026" TargetMode="External" Type="http://schemas.openxmlformats.org/officeDocument/2006/relationships/hyperlink"/><Relationship Id="rId377" Target="https%3A%2F%2Fwww.webofscience.com%2Fwos%2Fwoscc%2Ffull-record%2FWOS%3A000984167300001" TargetMode="External" Type="http://schemas.openxmlformats.org/officeDocument/2006/relationships/hyperlink"/><Relationship Id="rId378" Target="http%3A%2F%2Fdx.doi.org%2F10.1016%2Fj.mcpdig.2025.100228" TargetMode="External" Type="http://schemas.openxmlformats.org/officeDocument/2006/relationships/hyperlink"/><Relationship Id="rId379" Target="https%3A%2F%2Fwww.webofscience.com%2Fwos%2Fwoscc%2Ffull-record%2FWOS%3A001545381600001" TargetMode="External" Type="http://schemas.openxmlformats.org/officeDocument/2006/relationships/hyperlink"/><Relationship Id="rId38" Target="https%3A%2F%2Fwww.webofscience.com%2Fwos%2Fwoscc%2Ffull-record%2FWOS%3A001787215500001" TargetMode="External" Type="http://schemas.openxmlformats.org/officeDocument/2006/relationships/hyperlink"/><Relationship Id="rId380" Target="http%3A%2F%2Fdx.doi.org%2F10.1016%2Fj.cjca.2017.01.018" TargetMode="External" Type="http://schemas.openxmlformats.org/officeDocument/2006/relationships/hyperlink"/><Relationship Id="rId381" Target="https%3A%2F%2Fwww.webofscience.com%2Fwos%2Fwoscc%2Ffull-record%2FWOS%3A000402461800008" TargetMode="External" Type="http://schemas.openxmlformats.org/officeDocument/2006/relationships/hyperlink"/><Relationship Id="rId382" Target="http%3A%2F%2Fdx.doi.org%2F10.1186%2Fs12891-025-09389-y" TargetMode="External" Type="http://schemas.openxmlformats.org/officeDocument/2006/relationships/hyperlink"/><Relationship Id="rId383" Target="https%3A%2F%2Fwww.webofscience.com%2Fwos%2Fwoscc%2Ffull-record%2FWOS%3A001674363500001" TargetMode="External" Type="http://schemas.openxmlformats.org/officeDocument/2006/relationships/hyperlink"/><Relationship Id="rId384" Target="http%3A%2F%2Fdx.doi.org%2F10.1016%2Fj.jclinepi.2022.10.016" TargetMode="External" Type="http://schemas.openxmlformats.org/officeDocument/2006/relationships/hyperlink"/><Relationship Id="rId385" Target="https%3A%2F%2Fwww.webofscience.com%2Fwos%2Fwoscc%2Ffull-record%2FWOS%3A000905334600013" TargetMode="External" Type="http://schemas.openxmlformats.org/officeDocument/2006/relationships/hyperlink"/><Relationship Id="rId386" Target="http%3A%2F%2Fdx.doi.org%2F10.1016%2Fj.artd.2025.101672" TargetMode="External" Type="http://schemas.openxmlformats.org/officeDocument/2006/relationships/hyperlink"/><Relationship Id="rId387" Target="https%3A%2F%2Fwww.webofscience.com%2Fwos%2Fwoscc%2Ffull-record%2FWOS%3A001458585200001" TargetMode="External" Type="http://schemas.openxmlformats.org/officeDocument/2006/relationships/hyperlink"/><Relationship Id="rId388" Target="http%3A%2F%2Fdx.doi.org%2F10.22038%2FABJS.2022.58485.2897" TargetMode="External" Type="http://schemas.openxmlformats.org/officeDocument/2006/relationships/hyperlink"/><Relationship Id="rId389" Target="https%3A%2F%2Fwww.webofscience.com%2Fwos%2Fwoscc%2Ffull-record%2FWOS%3A000910900400001" TargetMode="External" Type="http://schemas.openxmlformats.org/officeDocument/2006/relationships/hyperlink"/><Relationship Id="rId39" Target="http%3A%2F%2Fdx.doi.org%2F10.1186%2Fs13048-023-01310-2" TargetMode="External" Type="http://schemas.openxmlformats.org/officeDocument/2006/relationships/hyperlink"/><Relationship Id="rId390" Target="http%3A%2F%2Fdx.doi.org%2F10.1192%2Fbjp.2021.218" TargetMode="External" Type="http://schemas.openxmlformats.org/officeDocument/2006/relationships/hyperlink"/><Relationship Id="rId391" Target="https%3A%2F%2Fwww.webofscience.com%2Fwos%2Fwoscc%2Ffull-record%2FWOS%3A000741165900001" TargetMode="External" Type="http://schemas.openxmlformats.org/officeDocument/2006/relationships/hyperlink"/><Relationship Id="rId392" Target="http%3A%2F%2Fdx.doi.org%2F10.3389%2Ffped.2024.1361850" TargetMode="External" Type="http://schemas.openxmlformats.org/officeDocument/2006/relationships/hyperlink"/><Relationship Id="rId393" Target="https%3A%2F%2Fwww.webofscience.com%2Fwos%2Fwoscc%2Ffull-record%2FWOS%3A001291526600001" TargetMode="External" Type="http://schemas.openxmlformats.org/officeDocument/2006/relationships/hyperlink"/><Relationship Id="rId394" Target="http%3A%2F%2Fdx.doi.org%2F10.1177%2F17585732251412368" TargetMode="External" Type="http://schemas.openxmlformats.org/officeDocument/2006/relationships/hyperlink"/><Relationship Id="rId395" Target="https%3A%2F%2Fwww.webofscience.com%2Fwos%2Fwoscc%2Ffull-record%2FWOS%3A001672300300001" TargetMode="External" Type="http://schemas.openxmlformats.org/officeDocument/2006/relationships/hyperlink"/><Relationship Id="rId396" Target="http%3A%2F%2Fdx.doi.org%2F10.1097%2FTA.0000000000001760" TargetMode="External" Type="http://schemas.openxmlformats.org/officeDocument/2006/relationships/hyperlink"/><Relationship Id="rId397" Target="https%3A%2F%2Fwww.webofscience.com%2Fwos%2Fwoscc%2Ffull-record%2FWOS%3A000426552800014" TargetMode="External" Type="http://schemas.openxmlformats.org/officeDocument/2006/relationships/hyperlink"/><Relationship Id="rId398" Target="http%3A%2F%2Fdx.doi.org%2F10.1186%2Fs12890-025-03750-6" TargetMode="External" Type="http://schemas.openxmlformats.org/officeDocument/2006/relationships/hyperlink"/><Relationship Id="rId399" Target="https%3A%2F%2Fwww.webofscience.com%2Fwos%2Fwoscc%2Ffull-record%2FWOS%3A001505070000002" TargetMode="External" Type="http://schemas.openxmlformats.org/officeDocument/2006/relationships/hyperlink"/><Relationship Id="rId4" Target="https%3A%2F%2Fwww.webofscience.com%2Fwos%2Fwoscc%2Ffull-record%2FWOS%3A001501899200004" TargetMode="External" Type="http://schemas.openxmlformats.org/officeDocument/2006/relationships/hyperlink"/><Relationship Id="rId40" Target="https%3A%2F%2Fwww.webofscience.com%2Fwos%2Fwoscc%2Ffull-record%2FWOS%3A001109369300001" TargetMode="External" Type="http://schemas.openxmlformats.org/officeDocument/2006/relationships/hyperlink"/><Relationship Id="rId400" Target="http%3A%2F%2Fdx.doi.org%2F10.1016%2Fj.tranon.2026.102961" TargetMode="External" Type="http://schemas.openxmlformats.org/officeDocument/2006/relationships/hyperlink"/><Relationship Id="rId401" Target="https%3A%2F%2Fwww.webofscience.com%2Fwos%2Fwoscc%2Ffull-record%2FWOS%3A001847280400001" TargetMode="External" Type="http://schemas.openxmlformats.org/officeDocument/2006/relationships/hyperlink"/><Relationship Id="rId402" Target="http%3A%2F%2Fdx.doi.org%2F10.1016%2Fj.autrev.2023.103294" TargetMode="External" Type="http://schemas.openxmlformats.org/officeDocument/2006/relationships/hyperlink"/><Relationship Id="rId403" Target="https%3A%2F%2Fwww.webofscience.com%2Fwos%2Fwoscc%2Ffull-record%2FWOS%3A000944607100001" TargetMode="External" Type="http://schemas.openxmlformats.org/officeDocument/2006/relationships/hyperlink"/><Relationship Id="rId404" Target="http%3A%2F%2Fdx.doi.org%2F10.1177%2F15385744241253201" TargetMode="External" Type="http://schemas.openxmlformats.org/officeDocument/2006/relationships/hyperlink"/><Relationship Id="rId405" Target="https%3A%2F%2Fwww.webofscience.com%2Fwos%2Fwoscc%2Ffull-record%2FWOS%3A001214422400001" TargetMode="External" Type="http://schemas.openxmlformats.org/officeDocument/2006/relationships/hyperlink"/><Relationship Id="rId406" Target="http%3A%2F%2Fdx.doi.org%2F10.1007%2Fs11239-026-03257-9" TargetMode="External" Type="http://schemas.openxmlformats.org/officeDocument/2006/relationships/hyperlink"/><Relationship Id="rId407" Target="https%3A%2F%2Fwww.webofscience.com%2Fwos%2Fwoscc%2Ffull-record%2FWOS%3A001712540600001" TargetMode="External" Type="http://schemas.openxmlformats.org/officeDocument/2006/relationships/hyperlink"/><Relationship Id="rId408" Target="http%3A%2F%2Fdx.doi.org%2F10.20517%2Fais.2022.38" TargetMode="External" Type="http://schemas.openxmlformats.org/officeDocument/2006/relationships/hyperlink"/><Relationship Id="rId409" Target="https%3A%2F%2Fwww.webofscience.com%2Fwos%2Fwoscc%2Ffull-record%2FWOS%3A001331578600002" TargetMode="External" Type="http://schemas.openxmlformats.org/officeDocument/2006/relationships/hyperlink"/><Relationship Id="rId41" Target="http%3A%2F%2Fdx.doi.org%2F10.1016%2Fj.jclinepi.2019.02.004" TargetMode="External" Type="http://schemas.openxmlformats.org/officeDocument/2006/relationships/hyperlink"/><Relationship Id="rId410" Target="http%3A%2F%2Fdx.doi.org%2F10.1016%2Fj.lungcan.2015.10.018" TargetMode="External" Type="http://schemas.openxmlformats.org/officeDocument/2006/relationships/hyperlink"/><Relationship Id="rId411" Target="https%3A%2F%2Fwww.webofscience.com%2Fwos%2Fwoscc%2Ffull-record%2FWOS%3A000369207100008" TargetMode="External" Type="http://schemas.openxmlformats.org/officeDocument/2006/relationships/hyperlink"/><Relationship Id="rId412" Target="http%3A%2F%2Fdx.doi.org%2F10.1177%2F0310057X1604400212" TargetMode="External" Type="http://schemas.openxmlformats.org/officeDocument/2006/relationships/hyperlink"/><Relationship Id="rId413" Target="https%3A%2F%2Fwww.webofscience.com%2Fwos%2Fwoscc%2Ffull-record%2FWOS%3A000374435500010" TargetMode="External" Type="http://schemas.openxmlformats.org/officeDocument/2006/relationships/hyperlink"/><Relationship Id="rId414" Target="http%3A%2F%2Fdx.doi.org%2F10.3390%2Fcancers18081261" TargetMode="External" Type="http://schemas.openxmlformats.org/officeDocument/2006/relationships/hyperlink"/><Relationship Id="rId415" Target="https%3A%2F%2Fwww.webofscience.com%2Fwos%2Fwoscc%2Ffull-record%2FWOS%3A001749430700001" TargetMode="External" Type="http://schemas.openxmlformats.org/officeDocument/2006/relationships/hyperlink"/><Relationship Id="rId416" Target="http%3A%2F%2Fdx.doi.org%2F10.1016%2Fj.jclinepi.2023.03.024" TargetMode="External" Type="http://schemas.openxmlformats.org/officeDocument/2006/relationships/hyperlink"/><Relationship Id="rId417" Target="https%3A%2F%2Fwww.webofscience.com%2Fwos%2Fwoscc%2Ffull-record%2FWOS%3A000990073300001" TargetMode="External" Type="http://schemas.openxmlformats.org/officeDocument/2006/relationships/hyperlink"/><Relationship Id="rId418" Target="http%3A%2F%2Fdx.doi.org%2F10.1186%2Fs12891-025-08338-z" TargetMode="External" Type="http://schemas.openxmlformats.org/officeDocument/2006/relationships/hyperlink"/><Relationship Id="rId419" Target="https%3A%2F%2Fwww.webofscience.com%2Fwos%2Fwoscc%2Ffull-record%2FWOS%3A001407881400002" TargetMode="External" Type="http://schemas.openxmlformats.org/officeDocument/2006/relationships/hyperlink"/><Relationship Id="rId42" Target="https%3A%2F%2Fwww.webofscience.com%2Fwos%2Fwoscc%2Ffull-record%2FWOS%3A000487194400003" TargetMode="External" Type="http://schemas.openxmlformats.org/officeDocument/2006/relationships/hyperlink"/><Relationship Id="rId420" Target="http%3A%2F%2Fdx.doi.org%2F10.3171%2F2023.3.FOCUS2386" TargetMode="External" Type="http://schemas.openxmlformats.org/officeDocument/2006/relationships/hyperlink"/><Relationship Id="rId421" Target="https%3A%2F%2Fwww.webofscience.com%2Fwos%2Fwoscc%2Ffull-record%2FWOS%3A001069531500008" TargetMode="External" Type="http://schemas.openxmlformats.org/officeDocument/2006/relationships/hyperlink"/><Relationship Id="rId422" Target="http%3A%2F%2Fdx.doi.org%2F10.1016%2Fj.jclinepi.2023.05.002" TargetMode="External" Type="http://schemas.openxmlformats.org/officeDocument/2006/relationships/hyperlink"/><Relationship Id="rId423" Target="https%3A%2F%2Fwww.webofscience.com%2Fwos%2Fwoscc%2Ffull-record%2FWOS%3A001014464100001" TargetMode="External" Type="http://schemas.openxmlformats.org/officeDocument/2006/relationships/hyperlink"/><Relationship Id="rId424" Target="http%3A%2F%2Fdx.doi.org%2F10.1002%2Fctd2.355" TargetMode="External" Type="http://schemas.openxmlformats.org/officeDocument/2006/relationships/hyperlink"/><Relationship Id="rId425" Target="https%3A%2F%2Fwww.webofscience.com%2Fwos%2Fwoscc%2Ffull-record%2FWOS%3A001306033500001" TargetMode="External" Type="http://schemas.openxmlformats.org/officeDocument/2006/relationships/hyperlink"/><Relationship Id="rId426" Target="http%3A%2F%2Fdx.doi.org%2F10.1080%2F17453674.2021.1932928" TargetMode="External" Type="http://schemas.openxmlformats.org/officeDocument/2006/relationships/hyperlink"/><Relationship Id="rId427" Target="https%3A%2F%2Fwww.webofscience.com%2Fwos%2Fwoscc%2Ffull-record%2FWOS%3A000659761400001" TargetMode="External" Type="http://schemas.openxmlformats.org/officeDocument/2006/relationships/hyperlink"/><Relationship Id="rId428" Target="http%3A%2F%2Fdx.doi.org%2F10.1016%2Fj.critrevonc.2026.105483" TargetMode="External" Type="http://schemas.openxmlformats.org/officeDocument/2006/relationships/hyperlink"/><Relationship Id="rId429" Target="https%3A%2F%2Fwww.webofscience.com%2Fwos%2Fwoscc%2Ffull-record%2FWOS%3A001827943500001" TargetMode="External" Type="http://schemas.openxmlformats.org/officeDocument/2006/relationships/hyperlink"/><Relationship Id="rId43" Target="http%3A%2F%2Fdx.doi.org%2F10.3390%2Fimmuno6010019" TargetMode="External" Type="http://schemas.openxmlformats.org/officeDocument/2006/relationships/hyperlink"/><Relationship Id="rId430" Target="http%3A%2F%2Fdx.doi.org%2F10.1016%2Fj.ajog.2020.08.057" TargetMode="External" Type="http://schemas.openxmlformats.org/officeDocument/2006/relationships/hyperlink"/><Relationship Id="rId431" Target="https%3A%2F%2Fwww.webofscience.com%2Fwos%2Fwoscc%2Ffull-record%2FWOS%3A000607357300005" TargetMode="External" Type="http://schemas.openxmlformats.org/officeDocument/2006/relationships/hyperlink"/><Relationship Id="rId432" Target="http%3A%2F%2Fdx.doi.org%2F10.1136%2Fbmjopen-2021-051047" TargetMode="External" Type="http://schemas.openxmlformats.org/officeDocument/2006/relationships/hyperlink"/><Relationship Id="rId433" Target="https%3A%2F%2Fwww.webofscience.com%2Fwos%2Fwoscc%2Ffull-record%2FWOS%3A000697851300001" TargetMode="External" Type="http://schemas.openxmlformats.org/officeDocument/2006/relationships/hyperlink"/><Relationship Id="rId434" Target="http%3A%2F%2Fdx.doi.org%2F10.1159%2F000525727" TargetMode="External" Type="http://schemas.openxmlformats.org/officeDocument/2006/relationships/hyperlink"/><Relationship Id="rId435" Target="https%3A%2F%2Fwww.webofscience.com%2Fwos%2Fwoscc%2Ffull-record%2FWOS%3A000843061400001" TargetMode="External" Type="http://schemas.openxmlformats.org/officeDocument/2006/relationships/hyperlink"/><Relationship Id="rId436" Target="http%3A%2F%2Fdx.doi.org%2F10.21037%2Fgs.2017.11.09" TargetMode="External" Type="http://schemas.openxmlformats.org/officeDocument/2006/relationships/hyperlink"/><Relationship Id="rId437" Target="https%3A%2F%2Fwww.webofscience.com%2Fwos%2Fwoscc%2Ffull-record%2FWOS%3A000441342900002" TargetMode="External" Type="http://schemas.openxmlformats.org/officeDocument/2006/relationships/hyperlink"/><Relationship Id="rId438" Target="http%3A%2F%2Fdx.doi.org%2F10.3389%2Ffendo.2025.1582156" TargetMode="External" Type="http://schemas.openxmlformats.org/officeDocument/2006/relationships/hyperlink"/><Relationship Id="rId439" Target="https%3A%2F%2Fwww.webofscience.com%2Fwos%2Fwoscc%2Ffull-record%2FWOS%3A001506800900001" TargetMode="External" Type="http://schemas.openxmlformats.org/officeDocument/2006/relationships/hyperlink"/><Relationship Id="rId44" Target="https%3A%2F%2Fwww.webofscience.com%2Fwos%2Fwoscc%2Ffull-record%2FWOS%3A001725547700001" TargetMode="External" Type="http://schemas.openxmlformats.org/officeDocument/2006/relationships/hyperlink"/><Relationship Id="rId440" Target="http%3A%2F%2Fdx.doi.org%2F10.12968%2Fjowc.2023.32.Sup8a.S4" TargetMode="External" Type="http://schemas.openxmlformats.org/officeDocument/2006/relationships/hyperlink"/><Relationship Id="rId441" Target="https%3A%2F%2Fwww.webofscience.com%2Fwos%2Fwoscc%2Ffull-record%2FWOS%3A001056434800002" TargetMode="External" Type="http://schemas.openxmlformats.org/officeDocument/2006/relationships/hyperlink"/><Relationship Id="rId442" Target="http%3A%2F%2Fdx.doi.org%2F10.2196%2F33182" TargetMode="External" Type="http://schemas.openxmlformats.org/officeDocument/2006/relationships/hyperlink"/><Relationship Id="rId443" Target="https%3A%2F%2Fwww.webofscience.com%2Fwos%2Fwoscc%2Ffull-record%2FWOS%3A000781027400001" TargetMode="External" Type="http://schemas.openxmlformats.org/officeDocument/2006/relationships/hyperlink"/><Relationship Id="rId444" Target="http%3A%2F%2Fdx.doi.org%2F10.1016%2Fj.xfnr.2022.02.002" TargetMode="External" Type="http://schemas.openxmlformats.org/officeDocument/2006/relationships/hyperlink"/><Relationship Id="rId445" Target="https%3A%2F%2Fwww.webofscience.com%2Fwos%2Fwoscc%2Ffull-record%2FWOS%3A001208942400004" TargetMode="External" Type="http://schemas.openxmlformats.org/officeDocument/2006/relationships/hyperlink"/><Relationship Id="rId446" Target="http%3A%2F%2Fdx.doi.org%2F10.1111%2Fanae.16429" TargetMode="External" Type="http://schemas.openxmlformats.org/officeDocument/2006/relationships/hyperlink"/><Relationship Id="rId447" Target="https%3A%2F%2Fwww.webofscience.com%2Fwos%2Fwoscc%2Ffull-record%2FWOS%3A001313814800001" TargetMode="External" Type="http://schemas.openxmlformats.org/officeDocument/2006/relationships/hyperlink"/><Relationship Id="rId448" Target="http%3A%2F%2Fdx.doi.org%2F10.1111%2Fnep.13913" TargetMode="External" Type="http://schemas.openxmlformats.org/officeDocument/2006/relationships/hyperlink"/><Relationship Id="rId449" Target="https%3A%2F%2Fwww.webofscience.com%2Fwos%2Fwoscc%2Ffull-record%2FWOS%3A000670742600001" TargetMode="External" Type="http://schemas.openxmlformats.org/officeDocument/2006/relationships/hyperlink"/><Relationship Id="rId45" Target="http%3A%2F%2Fdx.doi.org%2F10.3389%2Ffonc.2026.1786176" TargetMode="External" Type="http://schemas.openxmlformats.org/officeDocument/2006/relationships/hyperlink"/><Relationship Id="rId450" Target="http%3A%2F%2Fdx.doi.org%2F10.1016%2Fj.ijmedinf.2025.105887" TargetMode="External" Type="http://schemas.openxmlformats.org/officeDocument/2006/relationships/hyperlink"/><Relationship Id="rId451" Target="https%3A%2F%2Fwww.webofscience.com%2Fwos%2Fwoscc%2Ffull-record%2FWOS%3A001460008300001" TargetMode="External" Type="http://schemas.openxmlformats.org/officeDocument/2006/relationships/hyperlink"/><Relationship Id="rId452" Target="http%3A%2F%2Fdx.doi.org%2F10.21037%2Fasj-21-39" TargetMode="External" Type="http://schemas.openxmlformats.org/officeDocument/2006/relationships/hyperlink"/><Relationship Id="rId453" Target="https%3A%2F%2Fwww.webofscience.com%2Fwos%2Fwoscc%2Ffull-record%2FWOS%3A001208985600001" TargetMode="External" Type="http://schemas.openxmlformats.org/officeDocument/2006/relationships/hyperlink"/><Relationship Id="rId454" Target="http%3A%2F%2Fdx.doi.org%2F10.1111%2F1753-0407.13390" TargetMode="External" Type="http://schemas.openxmlformats.org/officeDocument/2006/relationships/hyperlink"/><Relationship Id="rId455" Target="https%3A%2F%2Fwww.webofscience.com%2Fwos%2Fwoscc%2Ffull-record%2FWOS%3A000992739400001" TargetMode="External" Type="http://schemas.openxmlformats.org/officeDocument/2006/relationships/hyperlink"/><Relationship Id="rId456" Target="http%3A%2F%2Fdx.doi.org%2F10.1136%2Fbmjopen-2017-018322" TargetMode="External" Type="http://schemas.openxmlformats.org/officeDocument/2006/relationships/hyperlink"/><Relationship Id="rId457" Target="https%3A%2F%2Fwww.webofscience.com%2Fwos%2Fwoscc%2Ffull-record%2FWOS%3A000423826700123" TargetMode="External" Type="http://schemas.openxmlformats.org/officeDocument/2006/relationships/hyperlink"/><Relationship Id="rId458" Target="http%3A%2F%2Fdx.doi.org%2F10.1136%2Fbmjopen-2020-047576" TargetMode="External" Type="http://schemas.openxmlformats.org/officeDocument/2006/relationships/hyperlink"/><Relationship Id="rId459" Target="https%3A%2F%2Fwww.webofscience.com%2Fwos%2Fwoscc%2Ffull-record%2FWOS%3A000686260400017" TargetMode="External" Type="http://schemas.openxmlformats.org/officeDocument/2006/relationships/hyperlink"/><Relationship Id="rId46" Target="https%3A%2F%2Fwww.webofscience.com%2Fwos%2Fwoscc%2Ffull-record%2FWOS%3A001740298500001" TargetMode="External" Type="http://schemas.openxmlformats.org/officeDocument/2006/relationships/hyperlink"/><Relationship Id="rId460" Target="http%3A%2F%2Fdx.doi.org%2F10.1002%2Fjsp2.70195" TargetMode="External" Type="http://schemas.openxmlformats.org/officeDocument/2006/relationships/hyperlink"/><Relationship Id="rId461" Target="https%3A%2F%2Fwww.webofscience.com%2Fwos%2Fwoscc%2Ffull-record%2FWOS%3A001777673800001" TargetMode="External" Type="http://schemas.openxmlformats.org/officeDocument/2006/relationships/hyperlink"/><Relationship Id="rId462" Target="http%3A%2F%2Fdx.doi.org%2F10.1136%2Fbmjopen-2022-064566" TargetMode="External" Type="http://schemas.openxmlformats.org/officeDocument/2006/relationships/hyperlink"/><Relationship Id="rId463" Target="https%3A%2F%2Fwww.webofscience.com%2Fwos%2Fwoscc%2Ffull-record%2FWOS%3A000863416400038" TargetMode="External" Type="http://schemas.openxmlformats.org/officeDocument/2006/relationships/hyperlink"/><Relationship Id="rId464" Target="http%3A%2F%2Fdx.doi.org%2F10.1016%2Fj.tjem.2018.05.005" TargetMode="External" Type="http://schemas.openxmlformats.org/officeDocument/2006/relationships/hyperlink"/><Relationship Id="rId465" Target="https%3A%2F%2Fwww.webofscience.com%2Fwos%2Fwoscc%2Ffull-record%2FWOS%3A000446628200002" TargetMode="External" Type="http://schemas.openxmlformats.org/officeDocument/2006/relationships/hyperlink"/><Relationship Id="rId466" Target="http%3A%2F%2Fdx.doi.org%2F10.3389%2Ffcvm.2022.921044" TargetMode="External" Type="http://schemas.openxmlformats.org/officeDocument/2006/relationships/hyperlink"/><Relationship Id="rId467" Target="https%3A%2F%2Fwww.webofscience.com%2Fwos%2Fwoscc%2Ffull-record%2FWOS%3A000838368900001" TargetMode="External" Type="http://schemas.openxmlformats.org/officeDocument/2006/relationships/hyperlink"/><Relationship Id="rId468" Target="http%3A%2F%2Fdx.doi.org%2F10.1111%2Faogs.13589" TargetMode="External" Type="http://schemas.openxmlformats.org/officeDocument/2006/relationships/hyperlink"/><Relationship Id="rId469" Target="https%3A%2F%2Fwww.webofscience.com%2Fwos%2Fwoscc%2Ffull-record%2FWOS%3A000484377700003" TargetMode="External" Type="http://schemas.openxmlformats.org/officeDocument/2006/relationships/hyperlink"/><Relationship Id="rId47" Target="http%3A%2F%2Fdx.doi.org%2F10.1192%2Fbjo.2024.789" TargetMode="External" Type="http://schemas.openxmlformats.org/officeDocument/2006/relationships/hyperlink"/><Relationship Id="rId470" Target="http%3A%2F%2Fdx.doi.org%2F10.1016%2Fj.jpain.2024.104624" TargetMode="External" Type="http://schemas.openxmlformats.org/officeDocument/2006/relationships/hyperlink"/><Relationship Id="rId471" Target="https%3A%2F%2Fwww.webofscience.com%2Fwos%2Fwoscc%2Ffull-record%2FWOS%3A001336543300001" TargetMode="External" Type="http://schemas.openxmlformats.org/officeDocument/2006/relationships/hyperlink"/><Relationship Id="rId472" Target="http%3A%2F%2Fdx.doi.org%2F10.1016%2Fj.jhin.2026.04.022" TargetMode="External" Type="http://schemas.openxmlformats.org/officeDocument/2006/relationships/hyperlink"/><Relationship Id="rId473" Target="https%3A%2F%2Fwww.webofscience.com%2Fwos%2Fwoscc%2Ffull-record%2FWOS%3A001804974300001" TargetMode="External" Type="http://schemas.openxmlformats.org/officeDocument/2006/relationships/hyperlink"/><Relationship Id="rId474" Target="http%3A%2F%2Fdx.doi.org%2F10.1016%2Fj.eclinm.2021.101164" TargetMode="External" Type="http://schemas.openxmlformats.org/officeDocument/2006/relationships/hyperlink"/><Relationship Id="rId475" Target="https%3A%2F%2Fwww.webofscience.com%2Fwos%2Fwoscc%2Ffull-record%2FWOS%3A000723039100006" TargetMode="External" Type="http://schemas.openxmlformats.org/officeDocument/2006/relationships/hyperlink"/><Relationship Id="rId476" Target="http%3A%2F%2Fdx.doi.org%2F10.1016%2Fj.neubiorev.2026.106612" TargetMode="External" Type="http://schemas.openxmlformats.org/officeDocument/2006/relationships/hyperlink"/><Relationship Id="rId477" Target="https%3A%2F%2Fwww.webofscience.com%2Fwos%2Fwoscc%2Ffull-record%2FWOS%3A001697590000001" TargetMode="External" Type="http://schemas.openxmlformats.org/officeDocument/2006/relationships/hyperlink"/><Relationship Id="rId478" Target="http%3A%2F%2Fdx.doi.org%2F10.1186%2Fs41512-022-00123-z" TargetMode="External" Type="http://schemas.openxmlformats.org/officeDocument/2006/relationships/hyperlink"/><Relationship Id="rId479" Target="https%3A%2F%2Fwww.webofscience.com%2Fwos%2Fwoscc%2Ffull-record%2FWOS%3A001209736400001" TargetMode="External" Type="http://schemas.openxmlformats.org/officeDocument/2006/relationships/hyperlink"/><Relationship Id="rId48" Target="https%3A%2F%2Fwww.webofscience.com%2Fwos%2Fwoscc%2Ffull-record%2FWOS%3A001370413500001" TargetMode="External" Type="http://schemas.openxmlformats.org/officeDocument/2006/relationships/hyperlink"/><Relationship Id="rId480" Target="http%3A%2F%2Fdx.doi.org%2F10.1186%2Fs12874-023-02008-1" TargetMode="External" Type="http://schemas.openxmlformats.org/officeDocument/2006/relationships/hyperlink"/><Relationship Id="rId481" Target="https%3A%2F%2Fwww.webofscience.com%2Fwos%2Fwoscc%2Ffull-record%2FWOS%3A001050709200001" TargetMode="External" Type="http://schemas.openxmlformats.org/officeDocument/2006/relationships/hyperlink"/><Relationship Id="rId482" Target="http%3A%2F%2Fdx.doi.org%2F10.1111%2Fepi.17994" TargetMode="External" Type="http://schemas.openxmlformats.org/officeDocument/2006/relationships/hyperlink"/><Relationship Id="rId483" Target="https%3A%2F%2Fwww.webofscience.com%2Fwos%2Fwoscc%2Ffull-record%2FWOS%3A001209643600001" TargetMode="External" Type="http://schemas.openxmlformats.org/officeDocument/2006/relationships/hyperlink"/><Relationship Id="rId484" Target="http%3A%2F%2Fdx.doi.org%2F10.1016%2Fj.jclinepi.2022.11.015" TargetMode="External" Type="http://schemas.openxmlformats.org/officeDocument/2006/relationships/hyperlink"/><Relationship Id="rId485" Target="https%3A%2F%2Fwww.webofscience.com%2Fwos%2Fwoscc%2Ffull-record%2FWOS%3A000910694800001" TargetMode="External" Type="http://schemas.openxmlformats.org/officeDocument/2006/relationships/hyperlink"/><Relationship Id="rId486" Target="http%3A%2F%2Fdx.doi.org%2F10.3122%2Fjabfm.2021.S1.200429" TargetMode="External" Type="http://schemas.openxmlformats.org/officeDocument/2006/relationships/hyperlink"/><Relationship Id="rId487" Target="https%3A%2F%2Fwww.webofscience.com%2Fwos%2Fwoscc%2Ffull-record%2FWOS%3A000638200400020" TargetMode="External" Type="http://schemas.openxmlformats.org/officeDocument/2006/relationships/hyperlink"/><Relationship Id="rId488" Target="http%3A%2F%2Fdx.doi.org%2F10.1016%2Fj.lungcan.2020.07.007" TargetMode="External" Type="http://schemas.openxmlformats.org/officeDocument/2006/relationships/hyperlink"/><Relationship Id="rId489" Target="https%3A%2F%2Fwww.webofscience.com%2Fwos%2Fwoscc%2Ffull-record%2FWOS%3A000571476500001" TargetMode="External" Type="http://schemas.openxmlformats.org/officeDocument/2006/relationships/hyperlink"/><Relationship Id="rId49" Target="http%3A%2F%2Fdx.doi.org%2F10.1016%2Fj.spinee.2020.10.006" TargetMode="External" Type="http://schemas.openxmlformats.org/officeDocument/2006/relationships/hyperlink"/><Relationship Id="rId490" Target="http%3A%2F%2Fdx.doi.org%2F10.1007%2Fs40200-022-01094-0" TargetMode="External" Type="http://schemas.openxmlformats.org/officeDocument/2006/relationships/hyperlink"/><Relationship Id="rId491" Target="https%3A%2F%2Fwww.webofscience.com%2Fwos%2Fwoscc%2Ffull-record%2FWOS%3A000836083400002" TargetMode="External" Type="http://schemas.openxmlformats.org/officeDocument/2006/relationships/hyperlink"/><Relationship Id="rId492" Target="http%3A%2F%2Fdx.doi.org%2F10.21037%2Ftlcr-21-1012" TargetMode="External" Type="http://schemas.openxmlformats.org/officeDocument/2006/relationships/hyperlink"/><Relationship Id="rId493" Target="https%3A%2F%2Fwww.webofscience.com%2Fwos%2Fwoscc%2Ffull-record%2FWOS%3A000809599900001" TargetMode="External" Type="http://schemas.openxmlformats.org/officeDocument/2006/relationships/hyperlink"/><Relationship Id="rId494" Target="http%3A%2F%2Fdx.doi.org%2F10.3389%2Ffped.2022.881908" TargetMode="External" Type="http://schemas.openxmlformats.org/officeDocument/2006/relationships/hyperlink"/><Relationship Id="rId495" Target="https%3A%2F%2Fwww.webofscience.com%2Fwos%2Fwoscc%2Ffull-record%2FWOS%3A000814923900001" TargetMode="External" Type="http://schemas.openxmlformats.org/officeDocument/2006/relationships/hyperlink"/><Relationship Id="rId496" Target="http%3A%2F%2Fdx.doi.org%2F10.1371%2Fjournal.pone.0130327" TargetMode="External" Type="http://schemas.openxmlformats.org/officeDocument/2006/relationships/hyperlink"/><Relationship Id="rId497" Target="https%3A%2F%2Fwww.webofscience.com%2Fwos%2Fwoscc%2Ffull-record%2FWOS%3A000356932500091" TargetMode="External" Type="http://schemas.openxmlformats.org/officeDocument/2006/relationships/hyperlink"/><Relationship Id="rId498" Target="http%3A%2F%2Fdx.doi.org%2F10.1136%2Fbmjopen-2021-058215" TargetMode="External" Type="http://schemas.openxmlformats.org/officeDocument/2006/relationships/hyperlink"/><Relationship Id="rId499" Target="https%3A%2F%2Fwww.webofscience.com%2Fwos%2Fwoscc%2Ffull-record%2FWOS%3A000778054700035" TargetMode="External" Type="http://schemas.openxmlformats.org/officeDocument/2006/relationships/hyperlink"/><Relationship Id="rId5" Target="http%3A%2F%2Fdx.doi.org%2F10.3803%2FEnM.2016.31.1.38" TargetMode="External" Type="http://schemas.openxmlformats.org/officeDocument/2006/relationships/hyperlink"/><Relationship Id="rId50" Target="https%3A%2F%2Fwww.webofscience.com%2Fwos%2Fwoscc%2Ffull-record%2FWOS%3A000704865800004" TargetMode="External" Type="http://schemas.openxmlformats.org/officeDocument/2006/relationships/hyperlink"/><Relationship Id="rId500" Target="http%3A%2F%2Fdx.doi.org%2F10.1186%2Fs12884-026-08904-w" TargetMode="External" Type="http://schemas.openxmlformats.org/officeDocument/2006/relationships/hyperlink"/><Relationship Id="rId501" Target="https%3A%2F%2Fwww.webofscience.com%2Fwos%2Fwoscc%2Ffull-record%2FWOS%3A001769750000001" TargetMode="External" Type="http://schemas.openxmlformats.org/officeDocument/2006/relationships/hyperlink"/><Relationship Id="rId502" Target="http%3A%2F%2Fdx.doi.org%2F10.3389%2Ffcvm.2022.873597" TargetMode="External" Type="http://schemas.openxmlformats.org/officeDocument/2006/relationships/hyperlink"/><Relationship Id="rId503" Target="https%3A%2F%2Fwww.webofscience.com%2Fwos%2Fwoscc%2Ffull-record%2FWOS%3A000806306300001" TargetMode="External" Type="http://schemas.openxmlformats.org/officeDocument/2006/relationships/hyperlink"/><Relationship Id="rId504" Target="http%3A%2F%2Fdx.doi.org%2F10.1097%2FHCR.0000000000000943" TargetMode="External" Type="http://schemas.openxmlformats.org/officeDocument/2006/relationships/hyperlink"/><Relationship Id="rId505" Target="https%3A%2F%2Fwww.webofscience.com%2Fwos%2Fwoscc%2Ffull-record%2FWOS%3A001518809100001" TargetMode="External" Type="http://schemas.openxmlformats.org/officeDocument/2006/relationships/hyperlink"/><Relationship Id="rId506" Target="http%3A%2F%2Fdx.doi.org%2F10.1186%2Fs12874-021-01469-6" TargetMode="External" Type="http://schemas.openxmlformats.org/officeDocument/2006/relationships/hyperlink"/><Relationship Id="rId507" Target="https%3A%2F%2Fwww.webofscience.com%2Fwos%2Fwoscc%2Ffull-record%2FWOS%3A000742367600002" TargetMode="External" Type="http://schemas.openxmlformats.org/officeDocument/2006/relationships/hyperlink"/><Relationship Id="rId508" Target="http%3A%2F%2Fdx.doi.org%2F10.3390%2Fcancers15051525" TargetMode="External" Type="http://schemas.openxmlformats.org/officeDocument/2006/relationships/hyperlink"/><Relationship Id="rId509" Target="https%3A%2F%2Fwww.webofscience.com%2Fwos%2Fwoscc%2Ffull-record%2FWOS%3A000946947700001" TargetMode="External" Type="http://schemas.openxmlformats.org/officeDocument/2006/relationships/hyperlink"/><Relationship Id="rId51" Target="http%3A%2F%2Fdx.doi.org%2F10.3748%2Fwjg.v31.i46.111176" TargetMode="External" Type="http://schemas.openxmlformats.org/officeDocument/2006/relationships/hyperlink"/><Relationship Id="rId510" Target="http%3A%2F%2Fdx.doi.org%2F10.1016%2Fj.cmi.2024.07.005" TargetMode="External" Type="http://schemas.openxmlformats.org/officeDocument/2006/relationships/hyperlink"/><Relationship Id="rId511" Target="https%3A%2F%2Fwww.webofscience.com%2Fwos%2Fwoscc%2Ffull-record%2FWOS%3A001336237700001" TargetMode="External" Type="http://schemas.openxmlformats.org/officeDocument/2006/relationships/hyperlink"/><Relationship Id="rId512" Target="http%3A%2F%2Fdx.doi.org%2F10.7326%2FM23-2960" TargetMode="External" Type="http://schemas.openxmlformats.org/officeDocument/2006/relationships/hyperlink"/><Relationship Id="rId513" Target="https%3A%2F%2Fwww.webofscience.com%2Fwos%2Fwoscc%2Ffull-record%2FWOS%3A001185724300001" TargetMode="External" Type="http://schemas.openxmlformats.org/officeDocument/2006/relationships/hyperlink"/><Relationship Id="rId514" Target="http%3A%2F%2Fdx.doi.org%2F10.1186%2Fs13643-021-01683-9" TargetMode="External" Type="http://schemas.openxmlformats.org/officeDocument/2006/relationships/hyperlink"/><Relationship Id="rId515" Target="https%3A%2F%2Fwww.webofscience.com%2Fwos%2Fwoscc%2Ffull-record%2FWOS%3A000651804000001" TargetMode="External" Type="http://schemas.openxmlformats.org/officeDocument/2006/relationships/hyperlink"/><Relationship Id="rId516" Target="http%3A%2F%2Fdx.doi.org%2F10.1093%2Fckj%2Fsfac181" TargetMode="External" Type="http://schemas.openxmlformats.org/officeDocument/2006/relationships/hyperlink"/><Relationship Id="rId517" Target="https%3A%2F%2Fwww.webofscience.com%2Fwos%2Fwoscc%2Ffull-record%2FWOS%3A000843575400001" TargetMode="External" Type="http://schemas.openxmlformats.org/officeDocument/2006/relationships/hyperlink"/><Relationship Id="rId518" Target="http%3A%2F%2Fdx.doi.org%2F10.21037%2Fatm-20-4406" TargetMode="External" Type="http://schemas.openxmlformats.org/officeDocument/2006/relationships/hyperlink"/><Relationship Id="rId519" Target="https%3A%2F%2Fwww.webofscience.com%2Fwos%2Fwoscc%2Ffull-record%2FWOS%3A000574842100001" TargetMode="External" Type="http://schemas.openxmlformats.org/officeDocument/2006/relationships/hyperlink"/><Relationship Id="rId52" Target="https%3A%2F%2Fwww.webofscience.com%2Fwos%2Fwoscc%2Ffull-record%2FWOS%3A001651460600004" TargetMode="External" Type="http://schemas.openxmlformats.org/officeDocument/2006/relationships/hyperlink"/><Relationship Id="rId520" Target="http%3A%2F%2Fdx.doi.org%2F10.1016%2Fj.jclinepi.2023.10.022" TargetMode="External" Type="http://schemas.openxmlformats.org/officeDocument/2006/relationships/hyperlink"/><Relationship Id="rId521" Target="https%3A%2F%2Fwww.webofscience.com%2Fwos%2Fwoscc%2Ffull-record%2FWOS%3A001141756800001" TargetMode="External" Type="http://schemas.openxmlformats.org/officeDocument/2006/relationships/hyperlink"/><Relationship Id="rId522" Target="http%3A%2F%2Fdx.doi.org%2F10.3389%2Ffpsyt.2024.1408738" TargetMode="External" Type="http://schemas.openxmlformats.org/officeDocument/2006/relationships/hyperlink"/><Relationship Id="rId523" Target="https%3A%2F%2Fwww.webofscience.com%2Fwos%2Fwoscc%2Ffull-record%2FWOS%3A001333088200001" TargetMode="External" Type="http://schemas.openxmlformats.org/officeDocument/2006/relationships/hyperlink"/><Relationship Id="rId524" Target="http%3A%2F%2Fdx.doi.org%2F10.1001%2Fjamanetworkopen.2022.14253" TargetMode="External" Type="http://schemas.openxmlformats.org/officeDocument/2006/relationships/hyperlink"/><Relationship Id="rId525" Target="https%3A%2F%2Fwww.webofscience.com%2Fwos%2Fwoscc%2Ffull-record%2FWOS%3A000800634900003" TargetMode="External" Type="http://schemas.openxmlformats.org/officeDocument/2006/relationships/hyperlink"/><Relationship Id="rId526" Target="http%3A%2F%2Fdx.doi.org%2F10.1016%2Fj.jbi.2020.103410" TargetMode="External" Type="http://schemas.openxmlformats.org/officeDocument/2006/relationships/hyperlink"/><Relationship Id="rId527" Target="https%3A%2F%2Fwww.webofscience.com%2Fwos%2Fwoscc%2Ffull-record%2FWOS%3A000535653800004" TargetMode="External" Type="http://schemas.openxmlformats.org/officeDocument/2006/relationships/hyperlink"/><Relationship Id="rId528" Target="http%3A%2F%2Fdx.doi.org%2F10.2196%2F78644" TargetMode="External" Type="http://schemas.openxmlformats.org/officeDocument/2006/relationships/hyperlink"/><Relationship Id="rId529" Target="https%3A%2F%2Fwww.webofscience.com%2Fwos%2Fwoscc%2Ffull-record%2FWOS%3A001634518000002" TargetMode="External" Type="http://schemas.openxmlformats.org/officeDocument/2006/relationships/hyperlink"/><Relationship Id="rId53" Target="http%3A%2F%2Fdx.doi.org%2F10.1186%2Fs13643-024-02449-9" TargetMode="External" Type="http://schemas.openxmlformats.org/officeDocument/2006/relationships/hyperlink"/><Relationship Id="rId530" Target="http%3A%2F%2Fdx.doi.org%2F10.3389%2Ffcvm.2025.1586019" TargetMode="External" Type="http://schemas.openxmlformats.org/officeDocument/2006/relationships/hyperlink"/><Relationship Id="rId531" Target="https%3A%2F%2Fwww.webofscience.com%2Fwos%2Fwoscc%2Ffull-record%2FWOS%3A001558703300001" TargetMode="External" Type="http://schemas.openxmlformats.org/officeDocument/2006/relationships/hyperlink"/><Relationship Id="rId532" Target="http%3A%2F%2Fdx.doi.org%2F10.2196%2F70275" TargetMode="External" Type="http://schemas.openxmlformats.org/officeDocument/2006/relationships/hyperlink"/><Relationship Id="rId533" Target="https%3A%2F%2Fwww.webofscience.com%2Fwos%2Fwoscc%2Ffull-record%2FWOS%3A001525591100001" TargetMode="External" Type="http://schemas.openxmlformats.org/officeDocument/2006/relationships/hyperlink"/><Relationship Id="rId534" Target="http%3A%2F%2Fdx.doi.org%2F10.1093%2Fecco-jcc%2Fjjab155" TargetMode="External" Type="http://schemas.openxmlformats.org/officeDocument/2006/relationships/hyperlink"/><Relationship Id="rId535" Target="https%3A%2F%2Fwww.webofscience.com%2Fwos%2Fwoscc%2Ffull-record%2FWOS%3A000756670200001" TargetMode="External" Type="http://schemas.openxmlformats.org/officeDocument/2006/relationships/hyperlink"/><Relationship Id="rId536" Target="http%3A%2F%2Fdx.doi.org%2F10.1016%2Fj.ijmedinf.2019.103957" TargetMode="External" Type="http://schemas.openxmlformats.org/officeDocument/2006/relationships/hyperlink"/><Relationship Id="rId537" Target="https%3A%2F%2Fwww.webofscience.com%2Fwos%2Fwoscc%2Ffull-record%2FWOS%3A000484486600010" TargetMode="External" Type="http://schemas.openxmlformats.org/officeDocument/2006/relationships/hyperlink"/><Relationship Id="rId538" Target="http%3A%2F%2Fdx.doi.org%2F10.1093%2Fehjdh%2Fztae080" TargetMode="External" Type="http://schemas.openxmlformats.org/officeDocument/2006/relationships/hyperlink"/><Relationship Id="rId539" Target="https%3A%2F%2Fwww.webofscience.com%2Fwos%2Fwoscc%2Ffull-record%2FWOS%3A001353107400001" TargetMode="External" Type="http://schemas.openxmlformats.org/officeDocument/2006/relationships/hyperlink"/><Relationship Id="rId54" Target="https%3A%2F%2Fwww.webofscience.com%2Fwos%2Fwoscc%2Ffull-record%2FWOS%3A001148296800001" TargetMode="External" Type="http://schemas.openxmlformats.org/officeDocument/2006/relationships/hyperlink"/><Relationship Id="rId540" Target="http%3A%2F%2Fdx.doi.org%2F10.1111%2Faogs.14475" TargetMode="External" Type="http://schemas.openxmlformats.org/officeDocument/2006/relationships/hyperlink"/><Relationship Id="rId541" Target="https%3A%2F%2Fwww.webofscience.com%2Fwos%2Fwoscc%2Ffull-record%2FWOS%3A000888913000001" TargetMode="External" Type="http://schemas.openxmlformats.org/officeDocument/2006/relationships/hyperlink"/><Relationship Id="rId542" Target="http%3A%2F%2Fdx.doi.org%2F10.1016%2Fj.knee.2025.02.032" TargetMode="External" Type="http://schemas.openxmlformats.org/officeDocument/2006/relationships/hyperlink"/><Relationship Id="rId543" Target="https%3A%2F%2Fwww.webofscience.com%2Fwos%2Fwoscc%2Ffull-record%2FWOS%3A001450432700001" TargetMode="External" Type="http://schemas.openxmlformats.org/officeDocument/2006/relationships/hyperlink"/><Relationship Id="rId544" Target="http%3A%2F%2Fdx.doi.org%2F10.1136%2Fbmj.n2281" TargetMode="External" Type="http://schemas.openxmlformats.org/officeDocument/2006/relationships/hyperlink"/><Relationship Id="rId545" Target="https%3A%2F%2Fwww.webofscience.com%2Fwos%2Fwoscc%2Ffull-record%2FWOS%3A000713709400016" TargetMode="External" Type="http://schemas.openxmlformats.org/officeDocument/2006/relationships/hyperlink"/><Relationship Id="rId546" Target="http%3A%2F%2Fdx.doi.org%2F10.1007%2Fs00405-026-10316-7" TargetMode="External" Type="http://schemas.openxmlformats.org/officeDocument/2006/relationships/hyperlink"/><Relationship Id="rId547" Target="https%3A%2F%2Fwww.webofscience.com%2Fwos%2Fwoscc%2Ffull-record%2FWOS%3A001783096100001" TargetMode="External" Type="http://schemas.openxmlformats.org/officeDocument/2006/relationships/hyperlink"/><Relationship Id="rId548" Target="http%3A%2F%2Fdx.doi.org%2F10.1007%2Fs00701-026-06876-6" TargetMode="External" Type="http://schemas.openxmlformats.org/officeDocument/2006/relationships/hyperlink"/><Relationship Id="rId549" Target="https%3A%2F%2Fwww.webofscience.com%2Fwos%2Fwoscc%2Ffull-record%2FWOS%3A001807640000001" TargetMode="External" Type="http://schemas.openxmlformats.org/officeDocument/2006/relationships/hyperlink"/><Relationship Id="rId55" Target="http%3A%2F%2Fdx.doi.org%2F10.1016%2Fj.rce.2022.07.004" TargetMode="External" Type="http://schemas.openxmlformats.org/officeDocument/2006/relationships/hyperlink"/><Relationship Id="rId550" Target="http%3A%2F%2Fdx.doi.org%2F10.1007%2Fs00384-026-05083-0" TargetMode="External" Type="http://schemas.openxmlformats.org/officeDocument/2006/relationships/hyperlink"/><Relationship Id="rId551" Target="https%3A%2F%2Fwww.webofscience.com%2Fwos%2Fwoscc%2Ffull-record%2FWOS%3A001665607700001" TargetMode="External" Type="http://schemas.openxmlformats.org/officeDocument/2006/relationships/hyperlink"/><Relationship Id="rId552" Target="http%3A%2F%2Fdx.doi.org%2F10.3389%2Ffpubh.2026.1793116" TargetMode="External" Type="http://schemas.openxmlformats.org/officeDocument/2006/relationships/hyperlink"/><Relationship Id="rId553" Target="https%3A%2F%2Fwww.webofscience.com%2Fwos%2Fwoscc%2Ffull-record%2FWOS%3A001795444500001" TargetMode="External" Type="http://schemas.openxmlformats.org/officeDocument/2006/relationships/hyperlink"/><Relationship Id="rId554" Target="http%3A%2F%2Fdx.doi.org%2F10.1016%2Fj.ajpath.2021.04.008" TargetMode="External" Type="http://schemas.openxmlformats.org/officeDocument/2006/relationships/hyperlink"/><Relationship Id="rId555" Target="https%3A%2F%2Fwww.webofscience.com%2Fwos%2Fwoscc%2Ffull-record%2FWOS%3A000701844500009" TargetMode="External" Type="http://schemas.openxmlformats.org/officeDocument/2006/relationships/hyperlink"/><Relationship Id="rId556" Target="http%3A%2F%2Fdx.doi.org%2F10.3350%2Fcmh.2021.0394" TargetMode="External" Type="http://schemas.openxmlformats.org/officeDocument/2006/relationships/hyperlink"/><Relationship Id="rId557" Target="https%3A%2F%2Fwww.webofscience.com%2Fwos%2Fwoscc%2Ffull-record%2FWOS%3A000880487800005" TargetMode="External" Type="http://schemas.openxmlformats.org/officeDocument/2006/relationships/hyperlink"/><Relationship Id="rId558" Target="http%3A%2F%2Fdx.doi.org%2F10.3390%2Fcancers15245879" TargetMode="External" Type="http://schemas.openxmlformats.org/officeDocument/2006/relationships/hyperlink"/><Relationship Id="rId559" Target="https%3A%2F%2Fwww.webofscience.com%2Fwos%2Fwoscc%2Ffull-record%2FWOS%3A001130945500001" TargetMode="External" Type="http://schemas.openxmlformats.org/officeDocument/2006/relationships/hyperlink"/><Relationship Id="rId56" Target="https%3A%2F%2Fwww.webofscience.com%2Fwos%2Fwoscc%2Ffull-record%2FWOS%3A000921012200001" TargetMode="External" Type="http://schemas.openxmlformats.org/officeDocument/2006/relationships/hyperlink"/><Relationship Id="rId560" Target="http%3A%2F%2Fdx.doi.org%2F10.3390%2Fjcm13216559" TargetMode="External" Type="http://schemas.openxmlformats.org/officeDocument/2006/relationships/hyperlink"/><Relationship Id="rId561" Target="https%3A%2F%2Fwww.webofscience.com%2Fwos%2Fwoscc%2Ffull-record%2FWOS%3A001351312300001" TargetMode="External" Type="http://schemas.openxmlformats.org/officeDocument/2006/relationships/hyperlink"/><Relationship Id="rId562" Target="http%3A%2F%2Fdx.doi.org%2F10.1136%2Fbmjhci-2023-100784" TargetMode="External" Type="http://schemas.openxmlformats.org/officeDocument/2006/relationships/hyperlink"/><Relationship Id="rId563" Target="https%3A%2F%2Fwww.webofscience.com%2Fwos%2Fwoscc%2Ffull-record%2FWOS%3A001046442600002" TargetMode="External" Type="http://schemas.openxmlformats.org/officeDocument/2006/relationships/hyperlink"/><Relationship Id="rId564" Target="http%3A%2F%2Fdx.doi.org%2F10.1186%2Fs12888-025-07401-2" TargetMode="External" Type="http://schemas.openxmlformats.org/officeDocument/2006/relationships/hyperlink"/><Relationship Id="rId565" Target="https%3A%2F%2Fwww.webofscience.com%2Fwos%2Fwoscc%2Ffull-record%2FWOS%3A001589710300008" TargetMode="External" Type="http://schemas.openxmlformats.org/officeDocument/2006/relationships/hyperlink"/><Relationship Id="rId566" Target="http%3A%2F%2Fdx.doi.org%2F10.1016%2Fj.annonc.2025.03.006" TargetMode="External" Type="http://schemas.openxmlformats.org/officeDocument/2006/relationships/hyperlink"/><Relationship Id="rId567" Target="https%3A%2F%2Fwww.webofscience.com%2Fwos%2Fwoscc%2Ffull-record%2FWOS%3A001514003600002" TargetMode="External" Type="http://schemas.openxmlformats.org/officeDocument/2006/relationships/hyperlink"/><Relationship Id="rId568" Target="http%3A%2F%2Fdx.doi.org%2F10.3389%2Ffmed.2026.1855638" TargetMode="External" Type="http://schemas.openxmlformats.org/officeDocument/2006/relationships/hyperlink"/><Relationship Id="rId569" Target="https%3A%2F%2Fwww.webofscience.com%2Fwos%2Fwoscc%2Ffull-record%2FWOS%3A001835239700001" TargetMode="External" Type="http://schemas.openxmlformats.org/officeDocument/2006/relationships/hyperlink"/><Relationship Id="rId57" Target="http%3A%2F%2Fdx.doi.org%2F10.2196%2F30956" TargetMode="External" Type="http://schemas.openxmlformats.org/officeDocument/2006/relationships/hyperlink"/><Relationship Id="rId570" Target="http%3A%2F%2Fdx.doi.org%2F10.1016%2Fj.clcc.2025.09.003" TargetMode="External" Type="http://schemas.openxmlformats.org/officeDocument/2006/relationships/hyperlink"/><Relationship Id="rId571" Target="https%3A%2F%2Fwww.webofscience.com%2Fwos%2Fwoscc%2Ffull-record%2FWOS%3A001628910500003" TargetMode="External" Type="http://schemas.openxmlformats.org/officeDocument/2006/relationships/hyperlink"/><Relationship Id="rId572" Target="http%3A%2F%2Fdx.doi.org%2F10.1016%2FS1470-2045%2824%2900316-4" TargetMode="External" Type="http://schemas.openxmlformats.org/officeDocument/2006/relationships/hyperlink"/><Relationship Id="rId573" Target="https%3A%2F%2Fwww.webofscience.com%2Fwos%2Fwoscc%2Ffull-record%2FWOS%3A001351613600001" TargetMode="External" Type="http://schemas.openxmlformats.org/officeDocument/2006/relationships/hyperlink"/><Relationship Id="rId574" Target="http%3A%2F%2Fdx.doi.org%2F10.1016%2Fj.rbmo.2025.105362" TargetMode="External" Type="http://schemas.openxmlformats.org/officeDocument/2006/relationships/hyperlink"/><Relationship Id="rId575" Target="https%3A%2F%2Fwww.webofscience.com%2Fwos%2Fwoscc%2Ffull-record%2FWOS%3A001709339400001" TargetMode="External" Type="http://schemas.openxmlformats.org/officeDocument/2006/relationships/hyperlink"/><Relationship Id="rId576" Target="http%3A%2F%2Fdx.doi.org%2F10.1186%2Fs12891-025-09385-2" TargetMode="External" Type="http://schemas.openxmlformats.org/officeDocument/2006/relationships/hyperlink"/><Relationship Id="rId577" Target="https%3A%2F%2Fwww.webofscience.com%2Fwos%2Fwoscc%2Ffull-record%2FWOS%3A001669051200001" TargetMode="External" Type="http://schemas.openxmlformats.org/officeDocument/2006/relationships/hyperlink"/><Relationship Id="rId578" Target="http%3A%2F%2Fdx.doi.org%2F10.3390%2Fapp16020771" TargetMode="External" Type="http://schemas.openxmlformats.org/officeDocument/2006/relationships/hyperlink"/><Relationship Id="rId579" Target="https%3A%2F%2Fwww.webofscience.com%2Fwos%2Fwoscc%2Ffull-record%2FWOS%3A001670121200001" TargetMode="External" Type="http://schemas.openxmlformats.org/officeDocument/2006/relationships/hyperlink"/><Relationship Id="rId58" Target="https%3A%2F%2Fwww.webofscience.com%2Fwos%2Fwoscc%2Ffull-record%2FWOS%3A000779979500007" TargetMode="External" Type="http://schemas.openxmlformats.org/officeDocument/2006/relationships/hyperlink"/><Relationship Id="rId59" Target="http%3A%2F%2Fdx.doi.org%2F10.5194%2Fjbji-6-257-2021" TargetMode="External" Type="http://schemas.openxmlformats.org/officeDocument/2006/relationships/hyperlink"/><Relationship Id="rId6" Target="https%3A%2F%2Fwww.webofscience.com%2Fwos%2Fwoscc%2Ffull-record%2FWOS%3A000407801900006" TargetMode="External" Type="http://schemas.openxmlformats.org/officeDocument/2006/relationships/hyperlink"/><Relationship Id="rId60" Target="https%3A%2F%2Fwww.webofscience.com%2Fwos%2Fwoscc%2Ffull-record%2FWOS%3A000989006600001" TargetMode="External" Type="http://schemas.openxmlformats.org/officeDocument/2006/relationships/hyperlink"/><Relationship Id="rId61" Target="http%3A%2F%2Fdx.doi.org%2F10.3389%2Fti.2022.10397" TargetMode="External" Type="http://schemas.openxmlformats.org/officeDocument/2006/relationships/hyperlink"/><Relationship Id="rId62" Target="https%3A%2F%2Fwww.webofscience.com%2Fwos%2Fwoscc%2Ffull-record%2FWOS%3A000886070100001" TargetMode="External" Type="http://schemas.openxmlformats.org/officeDocument/2006/relationships/hyperlink"/><Relationship Id="rId63" Target="http%3A%2F%2Fdx.doi.org%2F10.1016%2Fj.semarthrit.2025.152728" TargetMode="External" Type="http://schemas.openxmlformats.org/officeDocument/2006/relationships/hyperlink"/><Relationship Id="rId64" Target="https%3A%2F%2Fwww.webofscience.com%2Fwos%2Fwoscc%2Ffull-record%2FWOS%3A001477223500001" TargetMode="External" Type="http://schemas.openxmlformats.org/officeDocument/2006/relationships/hyperlink"/><Relationship Id="rId65" Target="http%3A%2F%2Fdx.doi.org%2F10.1161%2FJAHA.119.011972" TargetMode="External" Type="http://schemas.openxmlformats.org/officeDocument/2006/relationships/hyperlink"/><Relationship Id="rId66" Target="https%3A%2F%2Fwww.webofscience.com%2Fwos%2Fwoscc%2Ffull-record%2FWOS%3A000493837200026" TargetMode="External" Type="http://schemas.openxmlformats.org/officeDocument/2006/relationships/hyperlink"/><Relationship Id="rId67" Target="http%3A%2F%2Fdx.doi.org%2F10.1016%2Fj.ejogrb.2023.04.031" TargetMode="External" Type="http://schemas.openxmlformats.org/officeDocument/2006/relationships/hyperlink"/><Relationship Id="rId68" Target="https%3A%2F%2Fwww.webofscience.com%2Fwos%2Fwoscc%2Ffull-record%2FWOS%3A001005961600001" TargetMode="External" Type="http://schemas.openxmlformats.org/officeDocument/2006/relationships/hyperlink"/><Relationship Id="rId69" Target="http%3A%2F%2Fdx.doi.org%2F10.1159%2F000530411" TargetMode="External" Type="http://schemas.openxmlformats.org/officeDocument/2006/relationships/hyperlink"/><Relationship Id="rId7" Target="http%3A%2F%2Fdx.doi.org%2F10.1016%2Fj.jclinepi.2023.07.017" TargetMode="External" Type="http://schemas.openxmlformats.org/officeDocument/2006/relationships/hyperlink"/><Relationship Id="rId70" Target="https%3A%2F%2Fwww.webofscience.com%2Fwos%2Fwoscc%2Ffull-record%2FWOS%3A001045827500001" TargetMode="External" Type="http://schemas.openxmlformats.org/officeDocument/2006/relationships/hyperlink"/><Relationship Id="rId71" Target="http%3A%2F%2Fdx.doi.org%2F10.1038%2Fs41533-019-0132-z" TargetMode="External" Type="http://schemas.openxmlformats.org/officeDocument/2006/relationships/hyperlink"/><Relationship Id="rId72" Target="https%3A%2F%2Fwww.webofscience.com%2Fwos%2Fwoscc%2Ffull-record%2FWOS%3A000469396000001" TargetMode="External" Type="http://schemas.openxmlformats.org/officeDocument/2006/relationships/hyperlink"/><Relationship Id="rId73" Target="http%3A%2F%2Fdx.doi.org%2F10.3389%2Ffmed.2025.1510742" TargetMode="External" Type="http://schemas.openxmlformats.org/officeDocument/2006/relationships/hyperlink"/><Relationship Id="rId74" Target="https%3A%2F%2Fwww.webofscience.com%2Fwos%2Fwoscc%2Ffull-record%2FWOS%3A001417989700001" TargetMode="External" Type="http://schemas.openxmlformats.org/officeDocument/2006/relationships/hyperlink"/><Relationship Id="rId75" Target="http%3A%2F%2Fdx.doi.org%2F10.1007%2Fs40520-025-03112-6" TargetMode="External" Type="http://schemas.openxmlformats.org/officeDocument/2006/relationships/hyperlink"/><Relationship Id="rId76" Target="https%3A%2F%2Fwww.webofscience.com%2Fwos%2Fwoscc%2Ffull-record%2FWOS%3A001536516000003" TargetMode="External" Type="http://schemas.openxmlformats.org/officeDocument/2006/relationships/hyperlink"/><Relationship Id="rId77" Target="http%3A%2F%2Fdx.doi.org%2F10.3310%2Fhta22660" TargetMode="External" Type="http://schemas.openxmlformats.org/officeDocument/2006/relationships/hyperlink"/><Relationship Id="rId78" Target="https%3A%2F%2Fwww.webofscience.com%2Fwos%2Fwoscc%2Ffull-record%2FWOS%3A000452132100001" TargetMode="External" Type="http://schemas.openxmlformats.org/officeDocument/2006/relationships/hyperlink"/><Relationship Id="rId79" Target="http%3A%2F%2Fdx.doi.org%2F10.3390%2Fcancers16091645" TargetMode="External" Type="http://schemas.openxmlformats.org/officeDocument/2006/relationships/hyperlink"/><Relationship Id="rId8" Target="https%3A%2F%2Fwww.webofscience.com%2Fwos%2Fwoscc%2Ffull-record%2FWOS%3A001070519900001" TargetMode="External" Type="http://schemas.openxmlformats.org/officeDocument/2006/relationships/hyperlink"/><Relationship Id="rId80" Target="https%3A%2F%2Fwww.webofscience.com%2Fwos%2Fwoscc%2Ffull-record%2FWOS%3A001219964500001" TargetMode="External" Type="http://schemas.openxmlformats.org/officeDocument/2006/relationships/hyperlink"/><Relationship Id="rId81" Target="http%3A%2F%2Fdx.doi.org%2F10.1186%2Fs12874-022-01801-8" TargetMode="External" Type="http://schemas.openxmlformats.org/officeDocument/2006/relationships/hyperlink"/><Relationship Id="rId82" Target="https%3A%2F%2Fwww.webofscience.com%2Fwos%2Fwoscc%2Ffull-record%2FWOS%3A000898499700001" TargetMode="External" Type="http://schemas.openxmlformats.org/officeDocument/2006/relationships/hyperlink"/><Relationship Id="rId83" Target="http%3A%2F%2Fdx.doi.org%2F10.1136%2Fbmjopen-2020-039712" TargetMode="External" Type="http://schemas.openxmlformats.org/officeDocument/2006/relationships/hyperlink"/><Relationship Id="rId84" Target="https%3A%2F%2Fwww.webofscience.com%2Fwos%2Fwoscc%2Ffull-record%2FWOS%3A000564351500005" TargetMode="External" Type="http://schemas.openxmlformats.org/officeDocument/2006/relationships/hyperlink"/><Relationship Id="rId85" Target="http%3A%2F%2Fdx.doi.org%2F10.1097%2FPEC.0000000000001303" TargetMode="External" Type="http://schemas.openxmlformats.org/officeDocument/2006/relationships/hyperlink"/><Relationship Id="rId86" Target="https%3A%2F%2Fwww.webofscience.com%2Fwos%2Fwoscc%2Ffull-record%2FWOS%3A000415128500019" TargetMode="External" Type="http://schemas.openxmlformats.org/officeDocument/2006/relationships/hyperlink"/><Relationship Id="rId87" Target="http%3A%2F%2Fdx.doi.org%2F10.1136%2Fbmjonc-2025-000914" TargetMode="External" Type="http://schemas.openxmlformats.org/officeDocument/2006/relationships/hyperlink"/><Relationship Id="rId88" Target="https%3A%2F%2Fwww.webofscience.com%2Fwos%2Fwoscc%2Ffull-record%2FWOS%3A001732886400001" TargetMode="External" Type="http://schemas.openxmlformats.org/officeDocument/2006/relationships/hyperlink"/><Relationship Id="rId89" Target="http%3A%2F%2Fdx.doi.org%2F10.3390%2Fapp16147171" TargetMode="External" Type="http://schemas.openxmlformats.org/officeDocument/2006/relationships/hyperlink"/><Relationship Id="rId9" Target="http%3A%2F%2Fdx.doi.org%2F10.1093%2Fjamia%2Focac002" TargetMode="External" Type="http://schemas.openxmlformats.org/officeDocument/2006/relationships/hyperlink"/><Relationship Id="rId90" Target="https%3A%2F%2Fwww.webofscience.com%2Fwos%2Fwoscc%2Ffull-record%2FWOS%3A001831483000001" TargetMode="External" Type="http://schemas.openxmlformats.org/officeDocument/2006/relationships/hyperlink"/><Relationship Id="rId91" Target="http%3A%2F%2Fdx.doi.org%2F10.1016%2Fj.jclinepi.2026.112371" TargetMode="External" Type="http://schemas.openxmlformats.org/officeDocument/2006/relationships/hyperlink"/><Relationship Id="rId92" Target="https%3A%2F%2Fwww.webofscience.com%2Fwos%2Fwoscc%2Ffull-record%2FWOS%3A001821453800001" TargetMode="External" Type="http://schemas.openxmlformats.org/officeDocument/2006/relationships/hyperlink"/><Relationship Id="rId93" Target="http%3A%2F%2Fdx.doi.org%2F10.1161%2FJAHA.121.024833" TargetMode="External" Type="http://schemas.openxmlformats.org/officeDocument/2006/relationships/hyperlink"/><Relationship Id="rId94" Target="https%3A%2F%2Fwww.webofscience.com%2Fwos%2Fwoscc%2Ffull-record%2FWOS%3A000796637400014" TargetMode="External" Type="http://schemas.openxmlformats.org/officeDocument/2006/relationships/hyperlink"/><Relationship Id="rId95" Target="http%3A%2F%2Fdx.doi.org%2F10.1111%2Fpapr.70129" TargetMode="External" Type="http://schemas.openxmlformats.org/officeDocument/2006/relationships/hyperlink"/><Relationship Id="rId96" Target="https%3A%2F%2Fwww.webofscience.com%2Fwos%2Fwoscc%2Ffull-record%2FWOS%3A001714039900014" TargetMode="External" Type="http://schemas.openxmlformats.org/officeDocument/2006/relationships/hyperlink"/><Relationship Id="rId97" Target="http%3A%2F%2Fdx.doi.org%2F10.1016%2Fj.semarthrit.2022.152076" TargetMode="External" Type="http://schemas.openxmlformats.org/officeDocument/2006/relationships/hyperlink"/><Relationship Id="rId98" Target="https%3A%2F%2Fwww.webofscience.com%2Fwos%2Fwoscc%2Ffull-record%2FWOS%3A000849117700009" TargetMode="External" Type="http://schemas.openxmlformats.org/officeDocument/2006/relationships/hyperlink"/><Relationship Id="rId99" Target="http%3A%2F%2Fdx.doi.org%2F10.1186%2Fs12891-025-09164-z"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29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78</v>
      </c>
      <c r="C2" t="s" s="0">
        <v>79</v>
      </c>
      <c r="D2" t="s" s="0">
        <v>78</v>
      </c>
      <c r="E2" t="s" s="0">
        <v>80</v>
      </c>
      <c r="F2" t="s" s="0">
        <v>81</v>
      </c>
      <c r="G2" t="s" s="0">
        <v>82</v>
      </c>
      <c r="H2" t="s" s="0">
        <v>83</v>
      </c>
      <c r="I2" t="s" s="0">
        <v>84</v>
      </c>
      <c r="J2" t="s" s="0">
        <v>85</v>
      </c>
      <c r="K2" t="s" s="0">
        <v>86</v>
      </c>
      <c r="L2" t="s" s="0">
        <v>87</v>
      </c>
      <c r="M2" t="s" s="0">
        <v>88</v>
      </c>
      <c r="N2" t="s" s="0">
        <v>89</v>
      </c>
      <c r="O2" t="s" s="0">
        <v>90</v>
      </c>
      <c r="P2" t="s" s="0">
        <v>91</v>
      </c>
      <c r="Q2" t="s" s="0">
        <v>92</v>
      </c>
      <c r="R2" t="s" s="0">
        <v>83</v>
      </c>
      <c r="S2" t="s" s="0">
        <v>83</v>
      </c>
      <c r="T2" t="s" s="0">
        <v>83</v>
      </c>
      <c r="U2" t="s" s="0">
        <v>83</v>
      </c>
      <c r="V2" t="s" s="0">
        <v>93</v>
      </c>
      <c r="W2" t="s" s="0">
        <v>94</v>
      </c>
      <c r="X2" t="s" s="0">
        <v>83</v>
      </c>
      <c r="Y2" t="s" s="0">
        <v>83</v>
      </c>
      <c r="Z2" t="s" s="0">
        <v>95</v>
      </c>
      <c r="AA2" t="s" s="0">
        <v>96</v>
      </c>
      <c r="AB2" t="s" s="0">
        <v>83</v>
      </c>
      <c r="AC2" t="s" s="0">
        <v>83</v>
      </c>
      <c r="AD2" t="s" s="0">
        <v>83</v>
      </c>
      <c r="AE2" t="s" s="0">
        <v>83</v>
      </c>
      <c r="AF2" t="s" s="0">
        <v>83</v>
      </c>
      <c r="AG2" t="s" s="0">
        <v>97</v>
      </c>
      <c r="AH2" t="s" s="0">
        <v>98</v>
      </c>
      <c r="AI2" t="s" s="0">
        <v>99</v>
      </c>
      <c r="AJ2" t="s" s="0">
        <v>100</v>
      </c>
      <c r="AK2" t="s" s="0">
        <v>83</v>
      </c>
      <c r="AL2" t="s" s="0">
        <v>101</v>
      </c>
      <c r="AM2" t="s" s="0">
        <v>102</v>
      </c>
      <c r="AN2" t="s" s="0">
        <v>103</v>
      </c>
      <c r="AO2" t="s" s="0">
        <v>78</v>
      </c>
      <c r="AP2" t="s" s="0">
        <v>104</v>
      </c>
      <c r="AQ2" t="s" s="0">
        <v>105</v>
      </c>
      <c r="AR2" t="s" s="0">
        <v>106</v>
      </c>
      <c r="AS2" t="s" s="0">
        <v>107</v>
      </c>
      <c r="AT2" t="s" s="0">
        <v>108</v>
      </c>
      <c r="AU2" t="s" s="0">
        <v>109</v>
      </c>
      <c r="AV2" t="s" s="0">
        <v>83</v>
      </c>
      <c r="AW2" t="s" s="0">
        <v>110</v>
      </c>
      <c r="AX2" t="s" s="0">
        <v>111</v>
      </c>
      <c r="AY2" t="s" s="0">
        <v>112</v>
      </c>
      <c r="AZ2" t="s" s="0">
        <v>113</v>
      </c>
      <c r="BA2" t="s" s="0">
        <v>114</v>
      </c>
      <c r="BB2" t="s" s="0">
        <v>115</v>
      </c>
      <c r="BC2" t="s" s="0">
        <v>83</v>
      </c>
      <c r="BD2" t="s" s="0">
        <v>83</v>
      </c>
      <c r="BE2" t="s" s="0">
        <v>83</v>
      </c>
      <c r="BF2" t="s" s="0">
        <v>83</v>
      </c>
      <c r="BG2" t="s" s="0">
        <v>116</v>
      </c>
      <c r="BH2" t="s" s="0">
        <v>117</v>
      </c>
      <c r="BI2" t="s" s="0">
        <v>83</v>
      </c>
      <c r="BJ2" t="s" s="0">
        <v>118</v>
      </c>
      <c r="BK2" t="s" s="1">
        <f>HYPERLINK("http://dx.doi.org/10.1177/0962280215626466","http://dx.doi.org/10.1177/0962280215626466")</f>
        <v>119</v>
      </c>
      <c r="BL2" t="s" s="0">
        <v>83</v>
      </c>
      <c r="BM2" t="s" s="0">
        <v>83</v>
      </c>
      <c r="BN2" t="s" s="0">
        <v>120</v>
      </c>
      <c r="BO2" t="s" s="0">
        <v>121</v>
      </c>
      <c r="BP2" t="s" s="0">
        <v>122</v>
      </c>
      <c r="BQ2" t="s" s="0">
        <v>123</v>
      </c>
      <c r="BR2" t="s" s="0">
        <v>124</v>
      </c>
      <c r="BS2" t="s" s="0">
        <v>125</v>
      </c>
      <c r="BT2" t="s" s="2">
        <f>HYPERLINK("https://www.webofscience.com/wos/woscc/full-record/WOS:000419874400013","View Record in Web of Science")</f>
        <v>126</v>
      </c>
      <c r="BU2" t="s" s="0">
        <v>127</v>
      </c>
      <c r="BV2" t="s" s="0">
        <v>128</v>
      </c>
      <c r="BW2" t="s" s="0">
        <v>129</v>
      </c>
      <c r="BX2" t="s" s="0">
        <v>130</v>
      </c>
    </row>
    <row r="3">
      <c r="A3" t="s" s="0">
        <v>78</v>
      </c>
      <c r="B3" t="s" s="0">
        <v>78</v>
      </c>
      <c r="C3" t="s" s="0">
        <v>115</v>
      </c>
      <c r="D3" t="s" s="0">
        <v>78</v>
      </c>
      <c r="E3" t="s" s="0">
        <v>131</v>
      </c>
      <c r="F3" t="s" s="0">
        <v>132</v>
      </c>
      <c r="G3" t="s" s="0">
        <v>133</v>
      </c>
      <c r="H3" t="s" s="0">
        <v>83</v>
      </c>
      <c r="I3" t="s" s="0">
        <v>84</v>
      </c>
      <c r="J3" t="s" s="0">
        <v>134</v>
      </c>
      <c r="K3" t="s" s="0">
        <v>135</v>
      </c>
      <c r="L3" t="s" s="0">
        <v>136</v>
      </c>
      <c r="M3" t="s" s="0">
        <v>137</v>
      </c>
      <c r="N3" t="s" s="0">
        <v>138</v>
      </c>
      <c r="O3" t="s" s="0">
        <v>139</v>
      </c>
      <c r="P3" t="s" s="0">
        <v>140</v>
      </c>
      <c r="Q3" t="s" s="0">
        <v>92</v>
      </c>
      <c r="R3" t="s" s="0">
        <v>83</v>
      </c>
      <c r="S3" t="s" s="0">
        <v>83</v>
      </c>
      <c r="T3" t="s" s="0">
        <v>83</v>
      </c>
      <c r="U3" t="s" s="0">
        <v>83</v>
      </c>
      <c r="V3" t="s" s="0">
        <v>141</v>
      </c>
      <c r="W3" t="s" s="0">
        <v>142</v>
      </c>
      <c r="X3" t="s" s="0">
        <v>83</v>
      </c>
      <c r="Y3" t="s" s="0">
        <v>83</v>
      </c>
      <c r="Z3" t="s" s="0">
        <v>95</v>
      </c>
      <c r="AA3" t="s" s="0">
        <v>96</v>
      </c>
      <c r="AB3" t="s" s="0">
        <v>83</v>
      </c>
      <c r="AC3" t="s" s="0">
        <v>83</v>
      </c>
      <c r="AD3" t="s" s="0">
        <v>83</v>
      </c>
      <c r="AE3" t="s" s="0">
        <v>83</v>
      </c>
      <c r="AF3" t="s" s="0">
        <v>83</v>
      </c>
      <c r="AG3" t="s" s="0">
        <v>143</v>
      </c>
      <c r="AH3" t="s" s="0">
        <v>144</v>
      </c>
      <c r="AI3" t="s" s="0">
        <v>145</v>
      </c>
      <c r="AJ3" t="s" s="0">
        <v>146</v>
      </c>
      <c r="AK3" t="s" s="0">
        <v>83</v>
      </c>
      <c r="AL3" t="s" s="0">
        <v>147</v>
      </c>
      <c r="AM3" t="s" s="0">
        <v>148</v>
      </c>
      <c r="AN3" t="s" s="0">
        <v>149</v>
      </c>
      <c r="AO3" t="s" s="0">
        <v>150</v>
      </c>
      <c r="AP3" t="s" s="0">
        <v>150</v>
      </c>
      <c r="AQ3" t="s" s="0">
        <v>151</v>
      </c>
      <c r="AR3" t="s" s="0">
        <v>152</v>
      </c>
      <c r="AS3" t="s" s="0">
        <v>153</v>
      </c>
      <c r="AT3" t="s" s="0">
        <v>154</v>
      </c>
      <c r="AU3" t="s" s="0">
        <v>155</v>
      </c>
      <c r="AV3" t="s" s="0">
        <v>83</v>
      </c>
      <c r="AW3" t="s" s="0">
        <v>156</v>
      </c>
      <c r="AX3" t="s" s="0">
        <v>157</v>
      </c>
      <c r="AY3" t="s" s="0">
        <v>158</v>
      </c>
      <c r="AZ3" t="s" s="0">
        <v>159</v>
      </c>
      <c r="BA3" t="s" s="0">
        <v>160</v>
      </c>
      <c r="BB3" t="s" s="0">
        <v>83</v>
      </c>
      <c r="BC3" t="s" s="0">
        <v>83</v>
      </c>
      <c r="BD3" t="s" s="0">
        <v>83</v>
      </c>
      <c r="BE3" t="s" s="0">
        <v>83</v>
      </c>
      <c r="BF3" t="s" s="0">
        <v>83</v>
      </c>
      <c r="BG3" t="s" s="0">
        <v>161</v>
      </c>
      <c r="BH3" t="s" s="0">
        <v>114</v>
      </c>
      <c r="BI3" t="s" s="0">
        <v>83</v>
      </c>
      <c r="BJ3" t="s" s="0">
        <v>162</v>
      </c>
      <c r="BK3" t="s" s="3">
        <f>HYPERLINK("http://dx.doi.org/10.1016/j.prrv.2025.01.002","http://dx.doi.org/10.1016/j.prrv.2025.01.002")</f>
        <v>163</v>
      </c>
      <c r="BL3" t="s" s="0">
        <v>83</v>
      </c>
      <c r="BM3" t="s" s="0">
        <v>164</v>
      </c>
      <c r="BN3" t="s" s="0">
        <v>165</v>
      </c>
      <c r="BO3" t="s" s="0">
        <v>166</v>
      </c>
      <c r="BP3" t="s" s="0">
        <v>166</v>
      </c>
      <c r="BQ3" t="s" s="0">
        <v>167</v>
      </c>
      <c r="BR3" t="s" s="0">
        <v>168</v>
      </c>
      <c r="BS3" t="s" s="0">
        <v>169</v>
      </c>
      <c r="BT3" t="s" s="4">
        <f>HYPERLINK("https://www.webofscience.com/wos/woscc/full-record/WOS:001501899200004","View Record in Web of Science")</f>
        <v>126</v>
      </c>
      <c r="BU3" t="s" s="0">
        <v>127</v>
      </c>
      <c r="BV3" t="s" s="0">
        <v>83</v>
      </c>
      <c r="BW3" t="s" s="0">
        <v>83</v>
      </c>
      <c r="BX3" t="s" s="0">
        <v>130</v>
      </c>
    </row>
    <row r="4">
      <c r="A4" t="s" s="0">
        <v>148</v>
      </c>
      <c r="B4" t="s" s="0">
        <v>78</v>
      </c>
      <c r="C4" t="s" s="0">
        <v>170</v>
      </c>
      <c r="D4" t="s" s="0">
        <v>115</v>
      </c>
      <c r="E4" t="s" s="0">
        <v>171</v>
      </c>
      <c r="F4" t="s" s="0">
        <v>172</v>
      </c>
      <c r="G4" t="s" s="0">
        <v>173</v>
      </c>
      <c r="H4" t="s" s="0">
        <v>83</v>
      </c>
      <c r="I4" t="s" s="0">
        <v>174</v>
      </c>
      <c r="J4" t="s" s="0">
        <v>175</v>
      </c>
      <c r="K4" t="s" s="0">
        <v>176</v>
      </c>
      <c r="L4" t="s" s="0">
        <v>177</v>
      </c>
      <c r="M4" t="s" s="0">
        <v>178</v>
      </c>
      <c r="N4" t="s" s="0">
        <v>179</v>
      </c>
      <c r="O4" t="s" s="0">
        <v>180</v>
      </c>
      <c r="P4" t="s" s="0">
        <v>181</v>
      </c>
      <c r="Q4" t="s" s="0">
        <v>92</v>
      </c>
      <c r="R4" t="s" s="0">
        <v>83</v>
      </c>
      <c r="S4" t="s" s="0">
        <v>83</v>
      </c>
      <c r="T4" t="s" s="0">
        <v>83</v>
      </c>
      <c r="U4" t="s" s="0">
        <v>83</v>
      </c>
      <c r="V4" t="s" s="0">
        <v>182</v>
      </c>
      <c r="W4" t="s" s="0">
        <v>183</v>
      </c>
      <c r="X4" t="s" s="0">
        <v>83</v>
      </c>
      <c r="Y4" t="s" s="0">
        <v>83</v>
      </c>
      <c r="Z4" t="s" s="0">
        <v>95</v>
      </c>
      <c r="AA4" t="s" s="0">
        <v>96</v>
      </c>
      <c r="AB4" t="s" s="0">
        <v>83</v>
      </c>
      <c r="AC4" t="s" s="0">
        <v>83</v>
      </c>
      <c r="AD4" t="s" s="0">
        <v>83</v>
      </c>
      <c r="AE4" t="s" s="0">
        <v>83</v>
      </c>
      <c r="AF4" t="s" s="0">
        <v>83</v>
      </c>
      <c r="AG4" t="s" s="0">
        <v>184</v>
      </c>
      <c r="AH4" t="s" s="0">
        <v>185</v>
      </c>
      <c r="AI4" t="s" s="0">
        <v>186</v>
      </c>
      <c r="AJ4" t="s" s="0">
        <v>187</v>
      </c>
      <c r="AK4" t="s" s="0">
        <v>83</v>
      </c>
      <c r="AL4" t="s" s="0">
        <v>188</v>
      </c>
      <c r="AM4" t="s" s="0">
        <v>189</v>
      </c>
      <c r="AN4" t="s" s="0">
        <v>190</v>
      </c>
      <c r="AO4" t="s" s="0">
        <v>115</v>
      </c>
      <c r="AP4" t="s" s="0">
        <v>191</v>
      </c>
      <c r="AQ4" t="s" s="0">
        <v>192</v>
      </c>
      <c r="AR4" t="s" s="0">
        <v>193</v>
      </c>
      <c r="AS4" t="s" s="0">
        <v>194</v>
      </c>
      <c r="AT4" t="s" s="0">
        <v>195</v>
      </c>
      <c r="AU4" t="s" s="0">
        <v>196</v>
      </c>
      <c r="AV4" t="s" s="0">
        <v>83</v>
      </c>
      <c r="AW4" t="s" s="0">
        <v>197</v>
      </c>
      <c r="AX4" t="s" s="0">
        <v>198</v>
      </c>
      <c r="AY4" t="s" s="0">
        <v>199</v>
      </c>
      <c r="AZ4" t="s" s="0">
        <v>200</v>
      </c>
      <c r="BA4" t="s" s="0">
        <v>201</v>
      </c>
      <c r="BB4" t="s" s="0">
        <v>115</v>
      </c>
      <c r="BC4" t="s" s="0">
        <v>83</v>
      </c>
      <c r="BD4" t="s" s="0">
        <v>83</v>
      </c>
      <c r="BE4" t="s" s="0">
        <v>83</v>
      </c>
      <c r="BF4" t="s" s="0">
        <v>83</v>
      </c>
      <c r="BG4" t="s" s="0">
        <v>202</v>
      </c>
      <c r="BH4" t="s" s="0">
        <v>203</v>
      </c>
      <c r="BI4" t="s" s="0">
        <v>83</v>
      </c>
      <c r="BJ4" t="s" s="0">
        <v>204</v>
      </c>
      <c r="BK4" t="s" s="5">
        <f>HYPERLINK("http://dx.doi.org/10.3803/EnM.2016.31.1.38","http://dx.doi.org/10.3803/EnM.2016.31.1.38")</f>
        <v>205</v>
      </c>
      <c r="BL4" t="s" s="0">
        <v>83</v>
      </c>
      <c r="BM4" t="s" s="0">
        <v>83</v>
      </c>
      <c r="BN4" t="s" s="0">
        <v>148</v>
      </c>
      <c r="BO4" t="s" s="0">
        <v>206</v>
      </c>
      <c r="BP4" t="s" s="0">
        <v>206</v>
      </c>
      <c r="BQ4" t="s" s="0">
        <v>207</v>
      </c>
      <c r="BR4" t="s" s="0">
        <v>208</v>
      </c>
      <c r="BS4" t="s" s="0">
        <v>209</v>
      </c>
      <c r="BT4" t="s" s="6">
        <f>HYPERLINK("https://www.webofscience.com/wos/woscc/full-record/WOS:000407801900006","View Record in Web of Science")</f>
        <v>126</v>
      </c>
      <c r="BU4" t="s" s="0">
        <v>210</v>
      </c>
      <c r="BV4" t="s" s="0">
        <v>83</v>
      </c>
      <c r="BW4" t="s" s="0">
        <v>83</v>
      </c>
      <c r="BX4" t="s" s="0">
        <v>130</v>
      </c>
    </row>
    <row r="5">
      <c r="A5" t="s" s="0">
        <v>78</v>
      </c>
      <c r="B5" t="s" s="0">
        <v>78</v>
      </c>
      <c r="C5" t="s" s="0">
        <v>211</v>
      </c>
      <c r="D5" t="s" s="0">
        <v>78</v>
      </c>
      <c r="E5" t="s" s="0">
        <v>212</v>
      </c>
      <c r="F5" t="s" s="0">
        <v>213</v>
      </c>
      <c r="G5" t="s" s="0">
        <v>214</v>
      </c>
      <c r="H5" t="s" s="0">
        <v>83</v>
      </c>
      <c r="I5" t="s" s="0">
        <v>84</v>
      </c>
      <c r="J5" t="s" s="0">
        <v>215</v>
      </c>
      <c r="K5" t="s" s="0">
        <v>216</v>
      </c>
      <c r="L5" t="s" s="0">
        <v>217</v>
      </c>
      <c r="M5" t="s" s="0">
        <v>218</v>
      </c>
      <c r="N5" t="s" s="0">
        <v>219</v>
      </c>
      <c r="O5" t="s" s="0">
        <v>220</v>
      </c>
      <c r="P5" t="s" s="0">
        <v>221</v>
      </c>
      <c r="Q5" t="s" s="0">
        <v>92</v>
      </c>
      <c r="R5" t="s" s="0">
        <v>83</v>
      </c>
      <c r="S5" t="s" s="0">
        <v>83</v>
      </c>
      <c r="T5" t="s" s="0">
        <v>83</v>
      </c>
      <c r="U5" t="s" s="0">
        <v>83</v>
      </c>
      <c r="V5" t="s" s="0">
        <v>222</v>
      </c>
      <c r="W5" t="s" s="0">
        <v>223</v>
      </c>
      <c r="X5" t="s" s="0">
        <v>83</v>
      </c>
      <c r="Y5" t="s" s="0">
        <v>83</v>
      </c>
      <c r="Z5" t="s" s="0">
        <v>95</v>
      </c>
      <c r="AA5" t="s" s="0">
        <v>96</v>
      </c>
      <c r="AB5" t="s" s="0">
        <v>83</v>
      </c>
      <c r="AC5" t="s" s="0">
        <v>83</v>
      </c>
      <c r="AD5" t="s" s="0">
        <v>83</v>
      </c>
      <c r="AE5" t="s" s="0">
        <v>83</v>
      </c>
      <c r="AF5" t="s" s="0">
        <v>83</v>
      </c>
      <c r="AG5" t="s" s="0">
        <v>224</v>
      </c>
      <c r="AH5" t="s" s="0">
        <v>225</v>
      </c>
      <c r="AI5" t="s" s="0">
        <v>226</v>
      </c>
      <c r="AJ5" t="s" s="0">
        <v>227</v>
      </c>
      <c r="AK5" t="s" s="0">
        <v>83</v>
      </c>
      <c r="AL5" t="s" s="0">
        <v>228</v>
      </c>
      <c r="AM5" t="s" s="0">
        <v>229</v>
      </c>
      <c r="AN5" t="s" s="0">
        <v>230</v>
      </c>
      <c r="AO5" t="s" s="0">
        <v>231</v>
      </c>
      <c r="AP5" t="s" s="0">
        <v>232</v>
      </c>
      <c r="AQ5" t="s" s="0">
        <v>233</v>
      </c>
      <c r="AR5" t="s" s="0">
        <v>234</v>
      </c>
      <c r="AS5" t="s" s="0">
        <v>235</v>
      </c>
      <c r="AT5" t="s" s="0">
        <v>236</v>
      </c>
      <c r="AU5" t="s" s="0">
        <v>237</v>
      </c>
      <c r="AV5" t="s" s="0">
        <v>83</v>
      </c>
      <c r="AW5" t="s" s="0">
        <v>238</v>
      </c>
      <c r="AX5" t="s" s="0">
        <v>239</v>
      </c>
      <c r="AY5" t="s" s="0">
        <v>240</v>
      </c>
      <c r="AZ5" t="s" s="0">
        <v>241</v>
      </c>
      <c r="BA5" t="s" s="0">
        <v>242</v>
      </c>
      <c r="BB5" t="s" s="0">
        <v>83</v>
      </c>
      <c r="BC5" t="s" s="0">
        <v>83</v>
      </c>
      <c r="BD5" t="s" s="0">
        <v>83</v>
      </c>
      <c r="BE5" t="s" s="0">
        <v>83</v>
      </c>
      <c r="BF5" t="s" s="0">
        <v>83</v>
      </c>
      <c r="BG5" t="s" s="0">
        <v>243</v>
      </c>
      <c r="BH5" t="s" s="0">
        <v>244</v>
      </c>
      <c r="BI5" t="s" s="0">
        <v>83</v>
      </c>
      <c r="BJ5" t="s" s="0">
        <v>245</v>
      </c>
      <c r="BK5" t="s" s="7">
        <f>HYPERLINK("http://dx.doi.org/10.1016/j.jclinepi.2023.07.017","http://dx.doi.org/10.1016/j.jclinepi.2023.07.017")</f>
        <v>246</v>
      </c>
      <c r="BL5" t="s" s="0">
        <v>83</v>
      </c>
      <c r="BM5" t="s" s="0">
        <v>247</v>
      </c>
      <c r="BN5" t="s" s="0">
        <v>248</v>
      </c>
      <c r="BO5" t="s" s="0">
        <v>249</v>
      </c>
      <c r="BP5" t="s" s="0">
        <v>249</v>
      </c>
      <c r="BQ5" t="s" s="0">
        <v>250</v>
      </c>
      <c r="BR5" t="s" s="0">
        <v>251</v>
      </c>
      <c r="BS5" t="s" s="0">
        <v>252</v>
      </c>
      <c r="BT5" t="s" s="8">
        <f>HYPERLINK("https://www.webofscience.com/wos/woscc/full-record/WOS:001070519900001","View Record in Web of Science")</f>
        <v>126</v>
      </c>
      <c r="BU5" t="s" s="0">
        <v>253</v>
      </c>
      <c r="BV5" t="s" s="0">
        <v>83</v>
      </c>
      <c r="BW5" t="s" s="0">
        <v>83</v>
      </c>
      <c r="BX5" t="s" s="0">
        <v>130</v>
      </c>
    </row>
    <row r="6">
      <c r="A6" t="s" s="0">
        <v>115</v>
      </c>
      <c r="B6" t="s" s="0">
        <v>78</v>
      </c>
      <c r="C6" t="s" s="0">
        <v>165</v>
      </c>
      <c r="D6" t="s" s="0">
        <v>78</v>
      </c>
      <c r="E6" t="s" s="0">
        <v>254</v>
      </c>
      <c r="F6" t="s" s="0">
        <v>255</v>
      </c>
      <c r="G6" t="s" s="0">
        <v>256</v>
      </c>
      <c r="H6" t="s" s="0">
        <v>83</v>
      </c>
      <c r="I6" t="s" s="0">
        <v>257</v>
      </c>
      <c r="J6" t="s" s="0">
        <v>258</v>
      </c>
      <c r="K6" t="s" s="0">
        <v>259</v>
      </c>
      <c r="L6" t="s" s="0">
        <v>260</v>
      </c>
      <c r="M6" t="s" s="0">
        <v>261</v>
      </c>
      <c r="N6" t="s" s="0">
        <v>262</v>
      </c>
      <c r="O6" t="s" s="0">
        <v>263</v>
      </c>
      <c r="P6" t="s" s="0">
        <v>264</v>
      </c>
      <c r="Q6" t="s" s="0">
        <v>92</v>
      </c>
      <c r="R6" t="s" s="0">
        <v>83</v>
      </c>
      <c r="S6" t="s" s="0">
        <v>83</v>
      </c>
      <c r="T6" t="s" s="0">
        <v>83</v>
      </c>
      <c r="U6" t="s" s="0">
        <v>83</v>
      </c>
      <c r="V6" t="s" s="0">
        <v>265</v>
      </c>
      <c r="W6" t="s" s="0">
        <v>266</v>
      </c>
      <c r="X6" t="s" s="0">
        <v>83</v>
      </c>
      <c r="Y6" t="s" s="0">
        <v>83</v>
      </c>
      <c r="Z6" t="s" s="0">
        <v>95</v>
      </c>
      <c r="AA6" t="s" s="0">
        <v>96</v>
      </c>
      <c r="AB6" t="s" s="0">
        <v>83</v>
      </c>
      <c r="AC6" t="s" s="0">
        <v>83</v>
      </c>
      <c r="AD6" t="s" s="0">
        <v>83</v>
      </c>
      <c r="AE6" t="s" s="0">
        <v>83</v>
      </c>
      <c r="AF6" t="s" s="0">
        <v>83</v>
      </c>
      <c r="AG6" t="s" s="0">
        <v>267</v>
      </c>
      <c r="AH6" t="s" s="0">
        <v>83</v>
      </c>
      <c r="AI6" t="s" s="0">
        <v>83</v>
      </c>
      <c r="AJ6" t="s" s="0">
        <v>268</v>
      </c>
      <c r="AK6" t="s" s="0">
        <v>83</v>
      </c>
      <c r="AL6" t="s" s="0">
        <v>269</v>
      </c>
      <c r="AM6" t="s" s="0">
        <v>229</v>
      </c>
      <c r="AN6" t="s" s="0">
        <v>270</v>
      </c>
      <c r="AO6" t="s" s="0">
        <v>150</v>
      </c>
      <c r="AP6" t="s" s="0">
        <v>161</v>
      </c>
      <c r="AQ6" t="s" s="0">
        <v>271</v>
      </c>
      <c r="AR6" t="s" s="0">
        <v>272</v>
      </c>
      <c r="AS6" t="s" s="0">
        <v>273</v>
      </c>
      <c r="AT6" t="s" s="0">
        <v>274</v>
      </c>
      <c r="AU6" t="s" s="0">
        <v>275</v>
      </c>
      <c r="AV6" t="s" s="0">
        <v>83</v>
      </c>
      <c r="AW6" t="s" s="0">
        <v>276</v>
      </c>
      <c r="AX6" t="s" s="0">
        <v>277</v>
      </c>
      <c r="AY6" t="s" s="0">
        <v>278</v>
      </c>
      <c r="AZ6" t="s" s="0">
        <v>279</v>
      </c>
      <c r="BA6" t="s" s="0">
        <v>280</v>
      </c>
      <c r="BB6" t="s" s="0">
        <v>281</v>
      </c>
      <c r="BC6" t="s" s="0">
        <v>83</v>
      </c>
      <c r="BD6" t="s" s="0">
        <v>83</v>
      </c>
      <c r="BE6" t="s" s="0">
        <v>83</v>
      </c>
      <c r="BF6" t="s" s="0">
        <v>83</v>
      </c>
      <c r="BG6" t="s" s="0">
        <v>282</v>
      </c>
      <c r="BH6" t="s" s="0">
        <v>283</v>
      </c>
      <c r="BI6" t="s" s="0">
        <v>83</v>
      </c>
      <c r="BJ6" t="s" s="0">
        <v>284</v>
      </c>
      <c r="BK6" t="s" s="9">
        <f>HYPERLINK("http://dx.doi.org/10.1093/jamia/ocac002","http://dx.doi.org/10.1093/jamia/ocac002")</f>
        <v>285</v>
      </c>
      <c r="BL6" t="s" s="0">
        <v>83</v>
      </c>
      <c r="BM6" t="s" s="0">
        <v>286</v>
      </c>
      <c r="BN6" t="s" s="0">
        <v>148</v>
      </c>
      <c r="BO6" t="s" s="0">
        <v>287</v>
      </c>
      <c r="BP6" t="s" s="0">
        <v>288</v>
      </c>
      <c r="BQ6" t="s" s="0">
        <v>289</v>
      </c>
      <c r="BR6" t="s" s="0">
        <v>290</v>
      </c>
      <c r="BS6" t="s" s="0">
        <v>291</v>
      </c>
      <c r="BT6" t="s" s="10">
        <f>HYPERLINK("https://www.webofscience.com/wos/woscc/full-record/WOS:000782186000028","View Record in Web of Science")</f>
        <v>126</v>
      </c>
      <c r="BU6" t="s" s="0">
        <v>292</v>
      </c>
      <c r="BV6" t="s" s="0">
        <v>83</v>
      </c>
      <c r="BW6" t="s" s="0">
        <v>83</v>
      </c>
      <c r="BX6" t="s" s="0">
        <v>130</v>
      </c>
    </row>
    <row r="7">
      <c r="A7" t="s" s="0">
        <v>78</v>
      </c>
      <c r="B7" t="s" s="0">
        <v>78</v>
      </c>
      <c r="C7" t="s" s="0">
        <v>149</v>
      </c>
      <c r="D7" t="s" s="0">
        <v>115</v>
      </c>
      <c r="E7" t="s" s="0">
        <v>293</v>
      </c>
      <c r="F7" t="s" s="0">
        <v>294</v>
      </c>
      <c r="G7" t="s" s="0">
        <v>295</v>
      </c>
      <c r="H7" t="s" s="0">
        <v>83</v>
      </c>
      <c r="I7" t="s" s="0">
        <v>84</v>
      </c>
      <c r="J7" t="s" s="0">
        <v>296</v>
      </c>
      <c r="K7" t="s" s="0">
        <v>297</v>
      </c>
      <c r="L7" t="s" s="0">
        <v>298</v>
      </c>
      <c r="M7" t="s" s="0">
        <v>299</v>
      </c>
      <c r="N7" t="s" s="0">
        <v>300</v>
      </c>
      <c r="O7" t="s" s="0">
        <v>301</v>
      </c>
      <c r="P7" t="s" s="0">
        <v>302</v>
      </c>
      <c r="Q7" t="s" s="0">
        <v>92</v>
      </c>
      <c r="R7" t="s" s="0">
        <v>83</v>
      </c>
      <c r="S7" t="s" s="0">
        <v>83</v>
      </c>
      <c r="T7" t="s" s="0">
        <v>83</v>
      </c>
      <c r="U7" t="s" s="0">
        <v>83</v>
      </c>
      <c r="V7" t="s" s="0">
        <v>303</v>
      </c>
      <c r="W7" t="s" s="0">
        <v>304</v>
      </c>
      <c r="X7" t="s" s="0">
        <v>83</v>
      </c>
      <c r="Y7" t="s" s="0">
        <v>83</v>
      </c>
      <c r="Z7" t="s" s="0">
        <v>95</v>
      </c>
      <c r="AA7" t="s" s="0">
        <v>96</v>
      </c>
      <c r="AB7" t="s" s="0">
        <v>83</v>
      </c>
      <c r="AC7" t="s" s="0">
        <v>83</v>
      </c>
      <c r="AD7" t="s" s="0">
        <v>83</v>
      </c>
      <c r="AE7" t="s" s="0">
        <v>83</v>
      </c>
      <c r="AF7" t="s" s="0">
        <v>83</v>
      </c>
      <c r="AG7" t="s" s="0">
        <v>305</v>
      </c>
      <c r="AH7" t="s" s="0">
        <v>306</v>
      </c>
      <c r="AI7" t="s" s="0">
        <v>307</v>
      </c>
      <c r="AJ7" t="s" s="0">
        <v>308</v>
      </c>
      <c r="AK7" t="s" s="0">
        <v>83</v>
      </c>
      <c r="AL7" t="s" s="0">
        <v>191</v>
      </c>
      <c r="AM7" t="s" s="0">
        <v>309</v>
      </c>
      <c r="AN7" t="s" s="0">
        <v>310</v>
      </c>
      <c r="AO7" t="s" s="0">
        <v>78</v>
      </c>
      <c r="AP7" t="s" s="0">
        <v>309</v>
      </c>
      <c r="AQ7" t="s" s="0">
        <v>233</v>
      </c>
      <c r="AR7" t="s" s="0">
        <v>234</v>
      </c>
      <c r="AS7" t="s" s="0">
        <v>311</v>
      </c>
      <c r="AT7" t="s" s="0">
        <v>312</v>
      </c>
      <c r="AU7" t="s" s="0">
        <v>313</v>
      </c>
      <c r="AV7" t="s" s="0">
        <v>83</v>
      </c>
      <c r="AW7" t="s" s="0">
        <v>314</v>
      </c>
      <c r="AX7" t="s" s="0">
        <v>315</v>
      </c>
      <c r="AY7" t="s" s="0">
        <v>316</v>
      </c>
      <c r="AZ7" t="s" s="0">
        <v>317</v>
      </c>
      <c r="BA7" t="s" s="0">
        <v>318</v>
      </c>
      <c r="BB7" t="s" s="0">
        <v>83</v>
      </c>
      <c r="BC7" t="s" s="0">
        <v>83</v>
      </c>
      <c r="BD7" t="s" s="0">
        <v>83</v>
      </c>
      <c r="BE7" t="s" s="0">
        <v>83</v>
      </c>
      <c r="BF7" t="s" s="0">
        <v>83</v>
      </c>
      <c r="BG7" t="s" s="0">
        <v>83</v>
      </c>
      <c r="BH7" t="s" s="0">
        <v>83</v>
      </c>
      <c r="BI7" t="s" s="0">
        <v>319</v>
      </c>
      <c r="BJ7" t="s" s="0">
        <v>320</v>
      </c>
      <c r="BK7" t="s" s="11">
        <f>HYPERLINK("http://dx.doi.org/10.1016/j.critrevonc.2020.102908","http://dx.doi.org/10.1016/j.critrevonc.2020.102908")</f>
        <v>321</v>
      </c>
      <c r="BL7" t="s" s="0">
        <v>83</v>
      </c>
      <c r="BM7" t="s" s="0">
        <v>83</v>
      </c>
      <c r="BN7" t="s" s="0">
        <v>149</v>
      </c>
      <c r="BO7" t="s" s="0">
        <v>322</v>
      </c>
      <c r="BP7" t="s" s="0">
        <v>322</v>
      </c>
      <c r="BQ7" t="s" s="0">
        <v>323</v>
      </c>
      <c r="BR7" t="s" s="0">
        <v>324</v>
      </c>
      <c r="BS7" t="s" s="0">
        <v>325</v>
      </c>
      <c r="BT7" t="s" s="12">
        <f>HYPERLINK("https://www.webofscience.com/wos/woscc/full-record/WOS:000527295500011","View Record in Web of Science")</f>
        <v>126</v>
      </c>
      <c r="BU7" t="s" s="0">
        <v>83</v>
      </c>
      <c r="BV7" t="s" s="0">
        <v>83</v>
      </c>
      <c r="BW7" t="s" s="0">
        <v>83</v>
      </c>
      <c r="BX7" t="s" s="0">
        <v>130</v>
      </c>
    </row>
    <row r="8">
      <c r="A8" t="s" s="0">
        <v>78</v>
      </c>
      <c r="B8" t="s" s="0">
        <v>78</v>
      </c>
      <c r="C8" t="s" s="0">
        <v>115</v>
      </c>
      <c r="D8" t="s" s="0">
        <v>78</v>
      </c>
      <c r="E8" t="s" s="0">
        <v>326</v>
      </c>
      <c r="F8" t="s" s="0">
        <v>327</v>
      </c>
      <c r="G8" t="s" s="0">
        <v>328</v>
      </c>
      <c r="H8" t="s" s="0">
        <v>83</v>
      </c>
      <c r="I8" t="s" s="0">
        <v>257</v>
      </c>
      <c r="J8" t="s" s="0">
        <v>329</v>
      </c>
      <c r="K8" t="s" s="0">
        <v>330</v>
      </c>
      <c r="L8" t="s" s="0">
        <v>331</v>
      </c>
      <c r="M8" t="s" s="0">
        <v>331</v>
      </c>
      <c r="N8" t="s" s="0">
        <v>331</v>
      </c>
      <c r="O8" t="s" s="0">
        <v>332</v>
      </c>
      <c r="P8" t="s" s="0">
        <v>83</v>
      </c>
      <c r="Q8" t="s" s="0">
        <v>92</v>
      </c>
      <c r="R8" t="s" s="0">
        <v>83</v>
      </c>
      <c r="S8" t="s" s="0">
        <v>83</v>
      </c>
      <c r="T8" t="s" s="0">
        <v>83</v>
      </c>
      <c r="U8" t="s" s="0">
        <v>83</v>
      </c>
      <c r="V8" t="s" s="0">
        <v>333</v>
      </c>
      <c r="W8" t="s" s="0">
        <v>334</v>
      </c>
      <c r="X8" t="s" s="0">
        <v>83</v>
      </c>
      <c r="Y8" t="s" s="0">
        <v>83</v>
      </c>
      <c r="Z8" t="s" s="0">
        <v>95</v>
      </c>
      <c r="AA8" t="s" s="0">
        <v>96</v>
      </c>
      <c r="AB8" t="s" s="0">
        <v>83</v>
      </c>
      <c r="AC8" t="s" s="0">
        <v>83</v>
      </c>
      <c r="AD8" t="s" s="0">
        <v>83</v>
      </c>
      <c r="AE8" t="s" s="0">
        <v>83</v>
      </c>
      <c r="AF8" t="s" s="0">
        <v>83</v>
      </c>
      <c r="AG8" t="s" s="0">
        <v>335</v>
      </c>
      <c r="AH8" t="s" s="0">
        <v>336</v>
      </c>
      <c r="AI8" t="s" s="0">
        <v>337</v>
      </c>
      <c r="AJ8" t="s" s="0">
        <v>338</v>
      </c>
      <c r="AK8" t="s" s="0">
        <v>83</v>
      </c>
      <c r="AL8" t="s" s="0">
        <v>191</v>
      </c>
      <c r="AM8" t="s" s="0">
        <v>77</v>
      </c>
      <c r="AN8" t="s" s="0">
        <v>77</v>
      </c>
      <c r="AO8" t="s" s="0">
        <v>115</v>
      </c>
      <c r="AP8" t="s" s="0">
        <v>148</v>
      </c>
      <c r="AQ8" t="s" s="0">
        <v>339</v>
      </c>
      <c r="AR8" t="s" s="0">
        <v>340</v>
      </c>
      <c r="AS8" t="s" s="0">
        <v>341</v>
      </c>
      <c r="AT8" t="s" s="0">
        <v>342</v>
      </c>
      <c r="AU8" t="s" s="0">
        <v>343</v>
      </c>
      <c r="AV8" t="s" s="0">
        <v>83</v>
      </c>
      <c r="AW8" t="s" s="0">
        <v>344</v>
      </c>
      <c r="AX8" t="s" s="0">
        <v>345</v>
      </c>
      <c r="AY8" t="s" s="0">
        <v>346</v>
      </c>
      <c r="AZ8" t="s" s="0">
        <v>241</v>
      </c>
      <c r="BA8" t="s" s="0">
        <v>347</v>
      </c>
      <c r="BB8" t="s" s="0">
        <v>248</v>
      </c>
      <c r="BC8" t="s" s="0">
        <v>83</v>
      </c>
      <c r="BD8" t="s" s="0">
        <v>83</v>
      </c>
      <c r="BE8" t="s" s="0">
        <v>83</v>
      </c>
      <c r="BF8" t="s" s="0">
        <v>83</v>
      </c>
      <c r="BG8" t="s" s="0">
        <v>348</v>
      </c>
      <c r="BH8" t="s" s="0">
        <v>349</v>
      </c>
      <c r="BI8" t="s" s="0">
        <v>83</v>
      </c>
      <c r="BJ8" t="s" s="0">
        <v>350</v>
      </c>
      <c r="BK8" t="s" s="13">
        <f>HYPERLINK("http://dx.doi.org/10.1093/gerona/glad205","http://dx.doi.org/10.1093/gerona/glad205")</f>
        <v>351</v>
      </c>
      <c r="BL8" t="s" s="0">
        <v>83</v>
      </c>
      <c r="BM8" t="s" s="0">
        <v>240</v>
      </c>
      <c r="BN8" t="s" s="0">
        <v>149</v>
      </c>
      <c r="BO8" t="s" s="0">
        <v>352</v>
      </c>
      <c r="BP8" t="s" s="0">
        <v>353</v>
      </c>
      <c r="BQ8" t="s" s="0">
        <v>354</v>
      </c>
      <c r="BR8" t="s" s="0">
        <v>355</v>
      </c>
      <c r="BS8" t="s" s="0">
        <v>356</v>
      </c>
      <c r="BT8" t="s" s="14">
        <f>HYPERLINK("https://www.webofscience.com/wos/woscc/full-record/WOS:001077350300001","View Record in Web of Science")</f>
        <v>126</v>
      </c>
      <c r="BU8" t="s" s="0">
        <v>357</v>
      </c>
      <c r="BV8" t="s" s="0">
        <v>83</v>
      </c>
      <c r="BW8" t="s" s="0">
        <v>83</v>
      </c>
      <c r="BX8" t="s" s="0">
        <v>130</v>
      </c>
    </row>
    <row r="9">
      <c r="A9" t="s" s="0">
        <v>150</v>
      </c>
      <c r="B9" t="s" s="0">
        <v>78</v>
      </c>
      <c r="C9" t="s" s="0">
        <v>358</v>
      </c>
      <c r="D9" t="s" s="0">
        <v>115</v>
      </c>
      <c r="E9" t="s" s="0">
        <v>359</v>
      </c>
      <c r="F9" t="s" s="0">
        <v>360</v>
      </c>
      <c r="G9" t="s" s="0">
        <v>361</v>
      </c>
      <c r="H9" t="s" s="0">
        <v>83</v>
      </c>
      <c r="I9" t="s" s="0">
        <v>84</v>
      </c>
      <c r="J9" t="s" s="0">
        <v>362</v>
      </c>
      <c r="K9" t="s" s="0">
        <v>363</v>
      </c>
      <c r="L9" t="s" s="0">
        <v>364</v>
      </c>
      <c r="M9" t="s" s="0">
        <v>364</v>
      </c>
      <c r="N9" t="s" s="0">
        <v>365</v>
      </c>
      <c r="O9" t="s" s="0">
        <v>366</v>
      </c>
      <c r="P9" t="s" s="0">
        <v>367</v>
      </c>
      <c r="Q9" t="s" s="0">
        <v>92</v>
      </c>
      <c r="R9" t="s" s="0">
        <v>83</v>
      </c>
      <c r="S9" t="s" s="0">
        <v>83</v>
      </c>
      <c r="T9" t="s" s="0">
        <v>83</v>
      </c>
      <c r="U9" t="s" s="0">
        <v>83</v>
      </c>
      <c r="V9" t="s" s="0">
        <v>368</v>
      </c>
      <c r="W9" t="s" s="0">
        <v>369</v>
      </c>
      <c r="X9" t="s" s="0">
        <v>83</v>
      </c>
      <c r="Y9" t="s" s="0">
        <v>83</v>
      </c>
      <c r="Z9" t="s" s="0">
        <v>95</v>
      </c>
      <c r="AA9" t="s" s="0">
        <v>96</v>
      </c>
      <c r="AB9" t="s" s="0">
        <v>83</v>
      </c>
      <c r="AC9" t="s" s="0">
        <v>83</v>
      </c>
      <c r="AD9" t="s" s="0">
        <v>83</v>
      </c>
      <c r="AE9" t="s" s="0">
        <v>83</v>
      </c>
      <c r="AF9" t="s" s="0">
        <v>83</v>
      </c>
      <c r="AG9" t="s" s="0">
        <v>370</v>
      </c>
      <c r="AH9" t="s" s="0">
        <v>371</v>
      </c>
      <c r="AI9" t="s" s="0">
        <v>372</v>
      </c>
      <c r="AJ9" t="s" s="0">
        <v>373</v>
      </c>
      <c r="AK9" t="s" s="0">
        <v>83</v>
      </c>
      <c r="AL9" t="s" s="0">
        <v>374</v>
      </c>
      <c r="AM9" t="s" s="0">
        <v>375</v>
      </c>
      <c r="AN9" t="s" s="0">
        <v>376</v>
      </c>
      <c r="AO9" t="s" s="0">
        <v>77</v>
      </c>
      <c r="AP9" t="s" s="0">
        <v>377</v>
      </c>
      <c r="AQ9" t="s" s="0">
        <v>378</v>
      </c>
      <c r="AR9" t="s" s="0">
        <v>106</v>
      </c>
      <c r="AS9" t="s" s="0">
        <v>379</v>
      </c>
      <c r="AT9" t="s" s="0">
        <v>83</v>
      </c>
      <c r="AU9" t="s" s="0">
        <v>380</v>
      </c>
      <c r="AV9" t="s" s="0">
        <v>83</v>
      </c>
      <c r="AW9" t="s" s="0">
        <v>381</v>
      </c>
      <c r="AX9" t="s" s="0">
        <v>382</v>
      </c>
      <c r="AY9" t="s" s="0">
        <v>383</v>
      </c>
      <c r="AZ9" t="s" s="0">
        <v>241</v>
      </c>
      <c r="BA9" t="s" s="0">
        <v>384</v>
      </c>
      <c r="BB9" t="s" s="0">
        <v>115</v>
      </c>
      <c r="BC9" t="s" s="0">
        <v>83</v>
      </c>
      <c r="BD9" t="s" s="0">
        <v>83</v>
      </c>
      <c r="BE9" t="s" s="0">
        <v>83</v>
      </c>
      <c r="BF9" t="s" s="0">
        <v>83</v>
      </c>
      <c r="BG9" t="s" s="0">
        <v>83</v>
      </c>
      <c r="BH9" t="s" s="0">
        <v>83</v>
      </c>
      <c r="BI9" t="s" s="0">
        <v>203</v>
      </c>
      <c r="BJ9" t="s" s="0">
        <v>385</v>
      </c>
      <c r="BK9" t="s" s="15">
        <f>HYPERLINK("http://dx.doi.org/10.1186/s12874-023-01849-0","http://dx.doi.org/10.1186/s12874-023-01849-0")</f>
        <v>386</v>
      </c>
      <c r="BL9" t="s" s="0">
        <v>83</v>
      </c>
      <c r="BM9" t="s" s="0">
        <v>83</v>
      </c>
      <c r="BN9" t="s" s="0">
        <v>149</v>
      </c>
      <c r="BO9" t="s" s="0">
        <v>387</v>
      </c>
      <c r="BP9" t="s" s="0">
        <v>387</v>
      </c>
      <c r="BQ9" t="s" s="0">
        <v>388</v>
      </c>
      <c r="BR9" t="s" s="0">
        <v>389</v>
      </c>
      <c r="BS9" t="s" s="0">
        <v>390</v>
      </c>
      <c r="BT9" t="s" s="16">
        <f>HYPERLINK("https://www.webofscience.com/wos/woscc/full-record/WOS:000935936200003","View Record in Web of Science")</f>
        <v>126</v>
      </c>
      <c r="BU9" t="s" s="0">
        <v>391</v>
      </c>
      <c r="BV9" t="s" s="0">
        <v>128</v>
      </c>
      <c r="BW9" t="s" s="0">
        <v>129</v>
      </c>
      <c r="BX9" t="s" s="0">
        <v>130</v>
      </c>
    </row>
    <row r="10">
      <c r="A10" t="s" s="0">
        <v>115</v>
      </c>
      <c r="B10" t="s" s="0">
        <v>78</v>
      </c>
      <c r="C10" t="s" s="0">
        <v>78</v>
      </c>
      <c r="D10" t="s" s="0">
        <v>115</v>
      </c>
      <c r="E10" t="s" s="0">
        <v>392</v>
      </c>
      <c r="F10" t="s" s="0">
        <v>393</v>
      </c>
      <c r="G10" t="s" s="0">
        <v>394</v>
      </c>
      <c r="H10" t="s" s="0">
        <v>83</v>
      </c>
      <c r="I10" t="s" s="0">
        <v>84</v>
      </c>
      <c r="J10" t="s" s="0">
        <v>395</v>
      </c>
      <c r="K10" t="s" s="0">
        <v>396</v>
      </c>
      <c r="L10" t="s" s="0">
        <v>397</v>
      </c>
      <c r="M10" t="s" s="0">
        <v>398</v>
      </c>
      <c r="N10" t="s" s="0">
        <v>83</v>
      </c>
      <c r="O10" t="s" s="0">
        <v>399</v>
      </c>
      <c r="P10" t="s" s="0">
        <v>400</v>
      </c>
      <c r="Q10" t="s" s="0">
        <v>92</v>
      </c>
      <c r="R10" t="s" s="0">
        <v>83</v>
      </c>
      <c r="S10" t="s" s="0">
        <v>83</v>
      </c>
      <c r="T10" t="s" s="0">
        <v>83</v>
      </c>
      <c r="U10" t="s" s="0">
        <v>83</v>
      </c>
      <c r="V10" t="s" s="0">
        <v>401</v>
      </c>
      <c r="W10" t="s" s="0">
        <v>402</v>
      </c>
      <c r="X10" t="s" s="0">
        <v>83</v>
      </c>
      <c r="Y10" t="s" s="0">
        <v>83</v>
      </c>
      <c r="Z10" t="s" s="0">
        <v>95</v>
      </c>
      <c r="AA10" t="s" s="0">
        <v>96</v>
      </c>
      <c r="AB10" t="s" s="0">
        <v>83</v>
      </c>
      <c r="AC10" t="s" s="0">
        <v>83</v>
      </c>
      <c r="AD10" t="s" s="0">
        <v>83</v>
      </c>
      <c r="AE10" t="s" s="0">
        <v>83</v>
      </c>
      <c r="AF10" t="s" s="0">
        <v>83</v>
      </c>
      <c r="AG10" t="s" s="0">
        <v>403</v>
      </c>
      <c r="AH10" t="s" s="0">
        <v>404</v>
      </c>
      <c r="AI10" t="s" s="0">
        <v>405</v>
      </c>
      <c r="AJ10" t="s" s="0">
        <v>406</v>
      </c>
      <c r="AK10" t="s" s="0">
        <v>83</v>
      </c>
      <c r="AL10" t="s" s="0">
        <v>407</v>
      </c>
      <c r="AM10" t="s" s="0">
        <v>149</v>
      </c>
      <c r="AN10" t="s" s="0">
        <v>165</v>
      </c>
      <c r="AO10" t="s" s="0">
        <v>78</v>
      </c>
      <c r="AP10" t="s" s="0">
        <v>150</v>
      </c>
      <c r="AQ10" t="s" s="0">
        <v>378</v>
      </c>
      <c r="AR10" t="s" s="0">
        <v>106</v>
      </c>
      <c r="AS10" t="s" s="0">
        <v>379</v>
      </c>
      <c r="AT10" t="s" s="0">
        <v>408</v>
      </c>
      <c r="AU10" t="s" s="0">
        <v>83</v>
      </c>
      <c r="AV10" t="s" s="0">
        <v>83</v>
      </c>
      <c r="AW10" t="s" s="0">
        <v>409</v>
      </c>
      <c r="AX10" t="s" s="0">
        <v>410</v>
      </c>
      <c r="AY10" t="s" s="0">
        <v>411</v>
      </c>
      <c r="AZ10" t="s" s="0">
        <v>412</v>
      </c>
      <c r="BA10" t="s" s="0">
        <v>413</v>
      </c>
      <c r="BB10" t="s" s="0">
        <v>115</v>
      </c>
      <c r="BC10" t="s" s="0">
        <v>83</v>
      </c>
      <c r="BD10" t="s" s="0">
        <v>83</v>
      </c>
      <c r="BE10" t="s" s="0">
        <v>83</v>
      </c>
      <c r="BF10" t="s" s="0">
        <v>83</v>
      </c>
      <c r="BG10" t="s" s="0">
        <v>83</v>
      </c>
      <c r="BH10" t="s" s="0">
        <v>83</v>
      </c>
      <c r="BI10" t="s" s="0">
        <v>414</v>
      </c>
      <c r="BJ10" t="s" s="0">
        <v>415</v>
      </c>
      <c r="BK10" t="s" s="17">
        <f>HYPERLINK("http://dx.doi.org/10.1186/s12873-024-01107-6","http://dx.doi.org/10.1186/s12873-024-01107-6")</f>
        <v>416</v>
      </c>
      <c r="BL10" t="s" s="0">
        <v>83</v>
      </c>
      <c r="BM10" t="s" s="0">
        <v>83</v>
      </c>
      <c r="BN10" t="s" s="0">
        <v>417</v>
      </c>
      <c r="BO10" t="s" s="0">
        <v>418</v>
      </c>
      <c r="BP10" t="s" s="0">
        <v>418</v>
      </c>
      <c r="BQ10" t="s" s="0">
        <v>419</v>
      </c>
      <c r="BR10" t="s" s="0">
        <v>420</v>
      </c>
      <c r="BS10" t="s" s="0">
        <v>421</v>
      </c>
      <c r="BT10" t="s" s="18">
        <f>HYPERLINK("https://www.webofscience.com/wos/woscc/full-record/WOS:001336411100002","View Record in Web of Science")</f>
        <v>126</v>
      </c>
      <c r="BU10" t="s" s="0">
        <v>210</v>
      </c>
      <c r="BV10" t="s" s="0">
        <v>83</v>
      </c>
      <c r="BW10" t="s" s="0">
        <v>83</v>
      </c>
      <c r="BX10" t="s" s="0">
        <v>130</v>
      </c>
    </row>
    <row r="11">
      <c r="A11" t="s" s="0">
        <v>78</v>
      </c>
      <c r="B11" t="s" s="0">
        <v>78</v>
      </c>
      <c r="C11" t="s" s="0">
        <v>281</v>
      </c>
      <c r="D11" t="s" s="0">
        <v>78</v>
      </c>
      <c r="E11" t="s" s="0">
        <v>422</v>
      </c>
      <c r="F11" t="s" s="0">
        <v>423</v>
      </c>
      <c r="G11" t="s" s="0">
        <v>424</v>
      </c>
      <c r="H11" t="s" s="0">
        <v>83</v>
      </c>
      <c r="I11" t="s" s="0">
        <v>84</v>
      </c>
      <c r="J11" t="s" s="0">
        <v>425</v>
      </c>
      <c r="K11" t="s" s="0">
        <v>426</v>
      </c>
      <c r="L11" t="s" s="0">
        <v>427</v>
      </c>
      <c r="M11" t="s" s="0">
        <v>428</v>
      </c>
      <c r="N11" t="s" s="0">
        <v>429</v>
      </c>
      <c r="O11" t="s" s="0">
        <v>430</v>
      </c>
      <c r="P11" t="s" s="0">
        <v>431</v>
      </c>
      <c r="Q11" t="s" s="0">
        <v>92</v>
      </c>
      <c r="R11" t="s" s="0">
        <v>83</v>
      </c>
      <c r="S11" t="s" s="0">
        <v>83</v>
      </c>
      <c r="T11" t="s" s="0">
        <v>83</v>
      </c>
      <c r="U11" t="s" s="0">
        <v>83</v>
      </c>
      <c r="V11" t="s" s="0">
        <v>432</v>
      </c>
      <c r="W11" t="s" s="0">
        <v>433</v>
      </c>
      <c r="X11" t="s" s="0">
        <v>83</v>
      </c>
      <c r="Y11" t="s" s="0">
        <v>83</v>
      </c>
      <c r="Z11" t="s" s="0">
        <v>95</v>
      </c>
      <c r="AA11" t="s" s="0">
        <v>96</v>
      </c>
      <c r="AB11" t="s" s="0">
        <v>83</v>
      </c>
      <c r="AC11" t="s" s="0">
        <v>83</v>
      </c>
      <c r="AD11" t="s" s="0">
        <v>83</v>
      </c>
      <c r="AE11" t="s" s="0">
        <v>83</v>
      </c>
      <c r="AF11" t="s" s="0">
        <v>83</v>
      </c>
      <c r="AG11" t="s" s="0">
        <v>83</v>
      </c>
      <c r="AH11" t="s" s="0">
        <v>434</v>
      </c>
      <c r="AI11" t="s" s="0">
        <v>435</v>
      </c>
      <c r="AJ11" t="s" s="0">
        <v>436</v>
      </c>
      <c r="AK11" t="s" s="0">
        <v>83</v>
      </c>
      <c r="AL11" t="s" s="0">
        <v>104</v>
      </c>
      <c r="AM11" t="s" s="0">
        <v>437</v>
      </c>
      <c r="AN11" t="s" s="0">
        <v>413</v>
      </c>
      <c r="AO11" t="s" s="0">
        <v>115</v>
      </c>
      <c r="AP11" t="s" s="0">
        <v>77</v>
      </c>
      <c r="AQ11" t="s" s="0">
        <v>233</v>
      </c>
      <c r="AR11" t="s" s="0">
        <v>234</v>
      </c>
      <c r="AS11" t="s" s="0">
        <v>311</v>
      </c>
      <c r="AT11" t="s" s="0">
        <v>438</v>
      </c>
      <c r="AU11" t="s" s="0">
        <v>439</v>
      </c>
      <c r="AV11" t="s" s="0">
        <v>83</v>
      </c>
      <c r="AW11" t="s" s="0">
        <v>440</v>
      </c>
      <c r="AX11" t="s" s="0">
        <v>441</v>
      </c>
      <c r="AY11" t="s" s="0">
        <v>442</v>
      </c>
      <c r="AZ11" t="s" s="0">
        <v>412</v>
      </c>
      <c r="BA11" t="s" s="0">
        <v>443</v>
      </c>
      <c r="BB11" t="s" s="0">
        <v>148</v>
      </c>
      <c r="BC11" t="s" s="0">
        <v>83</v>
      </c>
      <c r="BD11" t="s" s="0">
        <v>83</v>
      </c>
      <c r="BE11" t="s" s="0">
        <v>83</v>
      </c>
      <c r="BF11" t="s" s="0">
        <v>83</v>
      </c>
      <c r="BG11" t="s" s="0">
        <v>444</v>
      </c>
      <c r="BH11" t="s" s="0">
        <v>445</v>
      </c>
      <c r="BI11" t="s" s="0">
        <v>83</v>
      </c>
      <c r="BJ11" t="s" s="0">
        <v>446</v>
      </c>
      <c r="BK11" t="s" s="19">
        <f>HYPERLINK("http://dx.doi.org/10.1016/j.biopsych.2024.02.1006","http://dx.doi.org/10.1016/j.biopsych.2024.02.1006")</f>
        <v>447</v>
      </c>
      <c r="BL11" t="s" s="0">
        <v>83</v>
      </c>
      <c r="BM11" t="s" s="0">
        <v>448</v>
      </c>
      <c r="BN11" t="s" s="0">
        <v>232</v>
      </c>
      <c r="BO11" t="s" s="0">
        <v>449</v>
      </c>
      <c r="BP11" t="s" s="0">
        <v>450</v>
      </c>
      <c r="BQ11" t="s" s="0">
        <v>451</v>
      </c>
      <c r="BR11" t="s" s="0">
        <v>452</v>
      </c>
      <c r="BS11" t="s" s="0">
        <v>453</v>
      </c>
      <c r="BT11" t="s" s="20">
        <f>HYPERLINK("https://www.webofscience.com/wos/woscc/full-record/WOS:001312547300001","View Record in Web of Science")</f>
        <v>126</v>
      </c>
      <c r="BU11" t="s" s="0">
        <v>253</v>
      </c>
      <c r="BV11" t="s" s="0">
        <v>83</v>
      </c>
      <c r="BW11" t="s" s="0">
        <v>83</v>
      </c>
      <c r="BX11" t="s" s="0">
        <v>130</v>
      </c>
    </row>
    <row r="12">
      <c r="A12" t="s" s="0">
        <v>78</v>
      </c>
      <c r="B12" t="s" s="0">
        <v>78</v>
      </c>
      <c r="C12" t="s" s="0">
        <v>232</v>
      </c>
      <c r="D12" t="s" s="0">
        <v>78</v>
      </c>
      <c r="E12" t="s" s="0">
        <v>454</v>
      </c>
      <c r="F12" t="s" s="0">
        <v>455</v>
      </c>
      <c r="G12" t="s" s="0">
        <v>456</v>
      </c>
      <c r="H12" t="s" s="0">
        <v>83</v>
      </c>
      <c r="I12" t="s" s="0">
        <v>257</v>
      </c>
      <c r="J12" t="s" s="0">
        <v>457</v>
      </c>
      <c r="K12" t="s" s="0">
        <v>458</v>
      </c>
      <c r="L12" t="s" s="0">
        <v>459</v>
      </c>
      <c r="M12" t="s" s="0">
        <v>460</v>
      </c>
      <c r="N12" t="s" s="0">
        <v>461</v>
      </c>
      <c r="O12" t="s" s="0">
        <v>462</v>
      </c>
      <c r="P12" t="s" s="0">
        <v>463</v>
      </c>
      <c r="Q12" t="s" s="0">
        <v>92</v>
      </c>
      <c r="R12" t="s" s="0">
        <v>83</v>
      </c>
      <c r="S12" t="s" s="0">
        <v>83</v>
      </c>
      <c r="T12" t="s" s="0">
        <v>83</v>
      </c>
      <c r="U12" t="s" s="0">
        <v>83</v>
      </c>
      <c r="V12" t="s" s="0">
        <v>464</v>
      </c>
      <c r="W12" t="s" s="0">
        <v>465</v>
      </c>
      <c r="X12" t="s" s="0">
        <v>83</v>
      </c>
      <c r="Y12" t="s" s="0">
        <v>83</v>
      </c>
      <c r="Z12" t="s" s="0">
        <v>95</v>
      </c>
      <c r="AA12" t="s" s="0">
        <v>96</v>
      </c>
      <c r="AB12" t="s" s="0">
        <v>83</v>
      </c>
      <c r="AC12" t="s" s="0">
        <v>83</v>
      </c>
      <c r="AD12" t="s" s="0">
        <v>83</v>
      </c>
      <c r="AE12" t="s" s="0">
        <v>83</v>
      </c>
      <c r="AF12" t="s" s="0">
        <v>83</v>
      </c>
      <c r="AG12" t="s" s="0">
        <v>466</v>
      </c>
      <c r="AH12" t="s" s="0">
        <v>467</v>
      </c>
      <c r="AI12" t="s" s="0">
        <v>468</v>
      </c>
      <c r="AJ12" t="s" s="0">
        <v>469</v>
      </c>
      <c r="AK12" t="s" s="0">
        <v>83</v>
      </c>
      <c r="AL12" t="s" s="0">
        <v>102</v>
      </c>
      <c r="AM12" t="s" s="0">
        <v>470</v>
      </c>
      <c r="AN12" t="s" s="0">
        <v>280</v>
      </c>
      <c r="AO12" t="s" s="0">
        <v>78</v>
      </c>
      <c r="AP12" t="s" s="0">
        <v>471</v>
      </c>
      <c r="AQ12" t="s" s="0">
        <v>472</v>
      </c>
      <c r="AR12" t="s" s="0">
        <v>272</v>
      </c>
      <c r="AS12" t="s" s="0">
        <v>473</v>
      </c>
      <c r="AT12" t="s" s="0">
        <v>474</v>
      </c>
      <c r="AU12" t="s" s="0">
        <v>475</v>
      </c>
      <c r="AV12" t="s" s="0">
        <v>83</v>
      </c>
      <c r="AW12" t="s" s="0">
        <v>476</v>
      </c>
      <c r="AX12" t="s" s="0">
        <v>477</v>
      </c>
      <c r="AY12" t="s" s="0">
        <v>478</v>
      </c>
      <c r="AZ12" t="s" s="0">
        <v>317</v>
      </c>
      <c r="BA12" t="s" s="0">
        <v>479</v>
      </c>
      <c r="BB12" t="s" s="0">
        <v>83</v>
      </c>
      <c r="BC12" t="s" s="0">
        <v>83</v>
      </c>
      <c r="BD12" t="s" s="0">
        <v>83</v>
      </c>
      <c r="BE12" t="s" s="0">
        <v>83</v>
      </c>
      <c r="BF12" t="s" s="0">
        <v>83</v>
      </c>
      <c r="BG12" t="s" s="0">
        <v>83</v>
      </c>
      <c r="BH12" t="s" s="0">
        <v>83</v>
      </c>
      <c r="BI12" t="s" s="0">
        <v>480</v>
      </c>
      <c r="BJ12" t="s" s="0">
        <v>481</v>
      </c>
      <c r="BK12" t="s" s="21">
        <f>HYPERLINK("http://dx.doi.org/10.1016/j.pharmthera.2020.107557","http://dx.doi.org/10.1016/j.pharmthera.2020.107557")</f>
        <v>482</v>
      </c>
      <c r="BL12" t="s" s="0">
        <v>83</v>
      </c>
      <c r="BM12" t="s" s="0">
        <v>83</v>
      </c>
      <c r="BN12" t="s" s="0">
        <v>377</v>
      </c>
      <c r="BO12" t="s" s="0">
        <v>483</v>
      </c>
      <c r="BP12" t="s" s="0">
        <v>483</v>
      </c>
      <c r="BQ12" t="s" s="0">
        <v>484</v>
      </c>
      <c r="BR12" t="s" s="0">
        <v>485</v>
      </c>
      <c r="BS12" t="s" s="0">
        <v>486</v>
      </c>
      <c r="BT12" t="s" s="22">
        <f>HYPERLINK("https://www.webofscience.com/wos/woscc/full-record/WOS:000541079600004","View Record in Web of Science")</f>
        <v>126</v>
      </c>
      <c r="BU12" t="s" s="0">
        <v>127</v>
      </c>
      <c r="BV12" t="s" s="0">
        <v>83</v>
      </c>
      <c r="BW12" t="s" s="0">
        <v>83</v>
      </c>
      <c r="BX12" t="s" s="0">
        <v>130</v>
      </c>
    </row>
    <row r="13">
      <c r="A13" t="s" s="0">
        <v>78</v>
      </c>
      <c r="B13" t="s" s="0">
        <v>78</v>
      </c>
      <c r="C13" t="s" s="0">
        <v>150</v>
      </c>
      <c r="D13" t="s" s="0">
        <v>78</v>
      </c>
      <c r="E13" t="s" s="0">
        <v>487</v>
      </c>
      <c r="F13" t="s" s="0">
        <v>488</v>
      </c>
      <c r="G13" t="s" s="0">
        <v>489</v>
      </c>
      <c r="H13" t="s" s="0">
        <v>83</v>
      </c>
      <c r="I13" t="s" s="0">
        <v>84</v>
      </c>
      <c r="J13" t="s" s="0">
        <v>490</v>
      </c>
      <c r="K13" t="s" s="0">
        <v>491</v>
      </c>
      <c r="L13" t="s" s="0">
        <v>492</v>
      </c>
      <c r="M13" t="s" s="0">
        <v>493</v>
      </c>
      <c r="N13" t="s" s="0">
        <v>494</v>
      </c>
      <c r="O13" t="s" s="0">
        <v>495</v>
      </c>
      <c r="P13" t="s" s="0">
        <v>496</v>
      </c>
      <c r="Q13" t="s" s="0">
        <v>92</v>
      </c>
      <c r="R13" t="s" s="0">
        <v>83</v>
      </c>
      <c r="S13" t="s" s="0">
        <v>83</v>
      </c>
      <c r="T13" t="s" s="0">
        <v>83</v>
      </c>
      <c r="U13" t="s" s="0">
        <v>83</v>
      </c>
      <c r="V13" t="s" s="0">
        <v>497</v>
      </c>
      <c r="W13" t="s" s="0">
        <v>498</v>
      </c>
      <c r="X13" t="s" s="0">
        <v>83</v>
      </c>
      <c r="Y13" t="s" s="0">
        <v>83</v>
      </c>
      <c r="Z13" t="s" s="0">
        <v>95</v>
      </c>
      <c r="AA13" t="s" s="0">
        <v>96</v>
      </c>
      <c r="AB13" t="s" s="0">
        <v>83</v>
      </c>
      <c r="AC13" t="s" s="0">
        <v>83</v>
      </c>
      <c r="AD13" t="s" s="0">
        <v>83</v>
      </c>
      <c r="AE13" t="s" s="0">
        <v>83</v>
      </c>
      <c r="AF13" t="s" s="0">
        <v>83</v>
      </c>
      <c r="AG13" t="s" s="0">
        <v>499</v>
      </c>
      <c r="AH13" t="s" s="0">
        <v>500</v>
      </c>
      <c r="AI13" t="s" s="0">
        <v>501</v>
      </c>
      <c r="AJ13" t="s" s="0">
        <v>502</v>
      </c>
      <c r="AK13" t="s" s="0">
        <v>83</v>
      </c>
      <c r="AL13" t="s" s="0">
        <v>190</v>
      </c>
      <c r="AM13" t="s" s="0">
        <v>231</v>
      </c>
      <c r="AN13" t="s" s="0">
        <v>148</v>
      </c>
      <c r="AO13" t="s" s="0">
        <v>281</v>
      </c>
      <c r="AP13" t="s" s="0">
        <v>281</v>
      </c>
      <c r="AQ13" t="s" s="0">
        <v>503</v>
      </c>
      <c r="AR13" t="s" s="0">
        <v>504</v>
      </c>
      <c r="AS13" t="s" s="0">
        <v>505</v>
      </c>
      <c r="AT13" t="s" s="0">
        <v>506</v>
      </c>
      <c r="AU13" t="s" s="0">
        <v>507</v>
      </c>
      <c r="AV13" t="s" s="0">
        <v>83</v>
      </c>
      <c r="AW13" t="s" s="0">
        <v>508</v>
      </c>
      <c r="AX13" t="s" s="0">
        <v>509</v>
      </c>
      <c r="AY13" t="s" s="0">
        <v>510</v>
      </c>
      <c r="AZ13" t="s" s="0">
        <v>511</v>
      </c>
      <c r="BA13" t="s" s="0">
        <v>120</v>
      </c>
      <c r="BB13" t="s" s="0">
        <v>115</v>
      </c>
      <c r="BC13" t="s" s="0">
        <v>83</v>
      </c>
      <c r="BD13" t="s" s="0">
        <v>83</v>
      </c>
      <c r="BE13" t="s" s="0">
        <v>83</v>
      </c>
      <c r="BF13" t="s" s="0">
        <v>83</v>
      </c>
      <c r="BG13" t="s" s="0">
        <v>512</v>
      </c>
      <c r="BH13" t="s" s="0">
        <v>513</v>
      </c>
      <c r="BI13" t="s" s="0">
        <v>83</v>
      </c>
      <c r="BJ13" t="s" s="0">
        <v>514</v>
      </c>
      <c r="BK13" t="s" s="23">
        <f>HYPERLINK("http://dx.doi.org/10.1146/annurev-statistics-042324-123749","http://dx.doi.org/10.1146/annurev-statistics-042324-123749")</f>
        <v>515</v>
      </c>
      <c r="BL13" t="s" s="0">
        <v>83</v>
      </c>
      <c r="BM13" t="s" s="0">
        <v>83</v>
      </c>
      <c r="BN13" t="s" s="0">
        <v>516</v>
      </c>
      <c r="BO13" t="s" s="0">
        <v>517</v>
      </c>
      <c r="BP13" t="s" s="0">
        <v>518</v>
      </c>
      <c r="BQ13" t="s" s="0">
        <v>519</v>
      </c>
      <c r="BR13" t="s" s="0">
        <v>83</v>
      </c>
      <c r="BS13" t="s" s="0">
        <v>520</v>
      </c>
      <c r="BT13" t="s" s="24">
        <f>HYPERLINK("https://www.webofscience.com/wos/woscc/full-record/WOS:001710034200002","View Record in Web of Science")</f>
        <v>126</v>
      </c>
      <c r="BU13" t="s" s="0">
        <v>521</v>
      </c>
      <c r="BV13" t="s" s="0">
        <v>83</v>
      </c>
      <c r="BW13" t="s" s="0">
        <v>83</v>
      </c>
      <c r="BX13" t="s" s="0">
        <v>130</v>
      </c>
    </row>
    <row r="14">
      <c r="A14" t="s" s="0">
        <v>77</v>
      </c>
      <c r="B14" t="s" s="0">
        <v>78</v>
      </c>
      <c r="C14" t="s" s="0">
        <v>522</v>
      </c>
      <c r="D14" t="s" s="0">
        <v>115</v>
      </c>
      <c r="E14" t="s" s="0">
        <v>523</v>
      </c>
      <c r="F14" t="s" s="0">
        <v>524</v>
      </c>
      <c r="G14" t="s" s="0">
        <v>525</v>
      </c>
      <c r="H14" t="s" s="0">
        <v>83</v>
      </c>
      <c r="I14" t="s" s="0">
        <v>84</v>
      </c>
      <c r="J14" t="s" s="0">
        <v>526</v>
      </c>
      <c r="K14" t="s" s="0">
        <v>527</v>
      </c>
      <c r="L14" t="s" s="0">
        <v>83</v>
      </c>
      <c r="M14" t="s" s="0">
        <v>83</v>
      </c>
      <c r="N14" t="s" s="0">
        <v>83</v>
      </c>
      <c r="O14" t="s" s="0">
        <v>528</v>
      </c>
      <c r="P14" t="s" s="0">
        <v>529</v>
      </c>
      <c r="Q14" t="s" s="0">
        <v>92</v>
      </c>
      <c r="R14" t="s" s="0">
        <v>83</v>
      </c>
      <c r="S14" t="s" s="0">
        <v>83</v>
      </c>
      <c r="T14" t="s" s="0">
        <v>83</v>
      </c>
      <c r="U14" t="s" s="0">
        <v>83</v>
      </c>
      <c r="V14" t="s" s="0">
        <v>530</v>
      </c>
      <c r="W14" t="s" s="0">
        <v>531</v>
      </c>
      <c r="X14" t="s" s="0">
        <v>83</v>
      </c>
      <c r="Y14" t="s" s="0">
        <v>83</v>
      </c>
      <c r="Z14" t="s" s="0">
        <v>95</v>
      </c>
      <c r="AA14" t="s" s="0">
        <v>96</v>
      </c>
      <c r="AB14" t="s" s="0">
        <v>83</v>
      </c>
      <c r="AC14" t="s" s="0">
        <v>83</v>
      </c>
      <c r="AD14" t="s" s="0">
        <v>83</v>
      </c>
      <c r="AE14" t="s" s="0">
        <v>83</v>
      </c>
      <c r="AF14" t="s" s="0">
        <v>83</v>
      </c>
      <c r="AG14" t="s" s="0">
        <v>532</v>
      </c>
      <c r="AH14" t="s" s="0">
        <v>533</v>
      </c>
      <c r="AI14" t="s" s="0">
        <v>83</v>
      </c>
      <c r="AJ14" t="s" s="0">
        <v>534</v>
      </c>
      <c r="AK14" t="s" s="0">
        <v>83</v>
      </c>
      <c r="AL14" t="s" s="0">
        <v>535</v>
      </c>
      <c r="AM14" t="s" s="0">
        <v>536</v>
      </c>
      <c r="AN14" t="s" s="0">
        <v>537</v>
      </c>
      <c r="AO14" t="s" s="0">
        <v>78</v>
      </c>
      <c r="AP14" t="s" s="0">
        <v>120</v>
      </c>
      <c r="AQ14" t="s" s="0">
        <v>538</v>
      </c>
      <c r="AR14" t="s" s="0">
        <v>193</v>
      </c>
      <c r="AS14" t="s" s="0">
        <v>539</v>
      </c>
      <c r="AT14" t="s" s="0">
        <v>540</v>
      </c>
      <c r="AU14" t="s" s="0">
        <v>541</v>
      </c>
      <c r="AV14" t="s" s="0">
        <v>83</v>
      </c>
      <c r="AW14" t="s" s="0">
        <v>542</v>
      </c>
      <c r="AX14" t="s" s="0">
        <v>543</v>
      </c>
      <c r="AY14" t="s" s="0">
        <v>544</v>
      </c>
      <c r="AZ14" t="s" s="0">
        <v>200</v>
      </c>
      <c r="BA14" t="s" s="0">
        <v>269</v>
      </c>
      <c r="BB14" t="s" s="0">
        <v>545</v>
      </c>
      <c r="BC14" t="s" s="0">
        <v>83</v>
      </c>
      <c r="BD14" t="s" s="0">
        <v>83</v>
      </c>
      <c r="BE14" t="s" s="0">
        <v>83</v>
      </c>
      <c r="BF14" t="s" s="0">
        <v>83</v>
      </c>
      <c r="BG14" t="s" s="0">
        <v>546</v>
      </c>
      <c r="BH14" t="s" s="0">
        <v>547</v>
      </c>
      <c r="BI14" t="s" s="0">
        <v>83</v>
      </c>
      <c r="BJ14" t="s" s="0">
        <v>548</v>
      </c>
      <c r="BK14" t="s" s="25">
        <f>HYPERLINK("http://dx.doi.org/10.3348/kjr.2016.17.3.339","http://dx.doi.org/10.3348/kjr.2016.17.3.339")</f>
        <v>549</v>
      </c>
      <c r="BL14" t="s" s="0">
        <v>83</v>
      </c>
      <c r="BM14" t="s" s="0">
        <v>83</v>
      </c>
      <c r="BN14" t="s" s="0">
        <v>248</v>
      </c>
      <c r="BO14" t="s" s="0">
        <v>550</v>
      </c>
      <c r="BP14" t="s" s="0">
        <v>550</v>
      </c>
      <c r="BQ14" t="s" s="0">
        <v>551</v>
      </c>
      <c r="BR14" t="s" s="0">
        <v>552</v>
      </c>
      <c r="BS14" t="s" s="0">
        <v>553</v>
      </c>
      <c r="BT14" t="s" s="26">
        <f>HYPERLINK("https://www.webofscience.com/wos/woscc/full-record/WOS:000375889600004","View Record in Web of Science")</f>
        <v>126</v>
      </c>
      <c r="BU14" t="s" s="0">
        <v>253</v>
      </c>
      <c r="BV14" t="s" s="0">
        <v>83</v>
      </c>
      <c r="BW14" t="s" s="0">
        <v>83</v>
      </c>
      <c r="BX14" t="s" s="0">
        <v>130</v>
      </c>
    </row>
    <row r="15">
      <c r="A15" t="s" s="0">
        <v>78</v>
      </c>
      <c r="B15" t="s" s="0">
        <v>78</v>
      </c>
      <c r="C15" t="s" s="0">
        <v>78</v>
      </c>
      <c r="D15" t="s" s="0">
        <v>78</v>
      </c>
      <c r="E15" t="s" s="0">
        <v>554</v>
      </c>
      <c r="F15" t="s" s="0">
        <v>555</v>
      </c>
      <c r="G15" t="s" s="0">
        <v>556</v>
      </c>
      <c r="H15" t="s" s="0">
        <v>83</v>
      </c>
      <c r="I15" t="s" s="0">
        <v>84</v>
      </c>
      <c r="J15" t="s" s="0">
        <v>557</v>
      </c>
      <c r="K15" t="s" s="0">
        <v>558</v>
      </c>
      <c r="L15" t="s" s="0">
        <v>559</v>
      </c>
      <c r="M15" t="s" s="0">
        <v>560</v>
      </c>
      <c r="N15" t="s" s="0">
        <v>561</v>
      </c>
      <c r="O15" t="s" s="0">
        <v>562</v>
      </c>
      <c r="P15" t="s" s="0">
        <v>563</v>
      </c>
      <c r="Q15" t="s" s="0">
        <v>92</v>
      </c>
      <c r="R15" t="s" s="0">
        <v>83</v>
      </c>
      <c r="S15" t="s" s="0">
        <v>83</v>
      </c>
      <c r="T15" t="s" s="0">
        <v>83</v>
      </c>
      <c r="U15" t="s" s="0">
        <v>83</v>
      </c>
      <c r="V15" t="s" s="0">
        <v>564</v>
      </c>
      <c r="W15" t="s" s="0">
        <v>565</v>
      </c>
      <c r="X15" t="s" s="0">
        <v>83</v>
      </c>
      <c r="Y15" t="s" s="0">
        <v>83</v>
      </c>
      <c r="Z15" t="s" s="0">
        <v>95</v>
      </c>
      <c r="AA15" t="s" s="0">
        <v>566</v>
      </c>
      <c r="AB15" t="s" s="0">
        <v>83</v>
      </c>
      <c r="AC15" t="s" s="0">
        <v>83</v>
      </c>
      <c r="AD15" t="s" s="0">
        <v>83</v>
      </c>
      <c r="AE15" t="s" s="0">
        <v>83</v>
      </c>
      <c r="AF15" t="s" s="0">
        <v>83</v>
      </c>
      <c r="AG15" t="s" s="0">
        <v>567</v>
      </c>
      <c r="AH15" t="s" s="0">
        <v>568</v>
      </c>
      <c r="AI15" t="s" s="0">
        <v>569</v>
      </c>
      <c r="AJ15" t="s" s="0">
        <v>570</v>
      </c>
      <c r="AK15" t="s" s="0">
        <v>83</v>
      </c>
      <c r="AL15" t="s" s="0">
        <v>571</v>
      </c>
      <c r="AM15" t="s" s="0">
        <v>78</v>
      </c>
      <c r="AN15" t="s" s="0">
        <v>78</v>
      </c>
      <c r="AO15" t="s" s="0">
        <v>115</v>
      </c>
      <c r="AP15" t="s" s="0">
        <v>115</v>
      </c>
      <c r="AQ15" t="s" s="0">
        <v>572</v>
      </c>
      <c r="AR15" t="s" s="0">
        <v>106</v>
      </c>
      <c r="AS15" t="s" s="0">
        <v>573</v>
      </c>
      <c r="AT15" t="s" s="0">
        <v>574</v>
      </c>
      <c r="AU15" t="s" s="0">
        <v>575</v>
      </c>
      <c r="AV15" t="s" s="0">
        <v>83</v>
      </c>
      <c r="AW15" t="s" s="0">
        <v>576</v>
      </c>
      <c r="AX15" t="s" s="0">
        <v>577</v>
      </c>
      <c r="AY15" t="s" s="0">
        <v>83</v>
      </c>
      <c r="AZ15" t="s" s="0">
        <v>511</v>
      </c>
      <c r="BA15" t="s" s="0">
        <v>83</v>
      </c>
      <c r="BB15" t="s" s="0">
        <v>83</v>
      </c>
      <c r="BC15" t="s" s="0">
        <v>83</v>
      </c>
      <c r="BD15" t="s" s="0">
        <v>83</v>
      </c>
      <c r="BE15" t="s" s="0">
        <v>83</v>
      </c>
      <c r="BF15" t="s" s="0">
        <v>83</v>
      </c>
      <c r="BG15" t="s" s="0">
        <v>83</v>
      </c>
      <c r="BH15" t="s" s="0">
        <v>83</v>
      </c>
      <c r="BI15" t="s" s="0">
        <v>83</v>
      </c>
      <c r="BJ15" t="s" s="0">
        <v>578</v>
      </c>
      <c r="BK15" t="s" s="27">
        <f>HYPERLINK("http://dx.doi.org/10.1007/s00198-026-08059-6","http://dx.doi.org/10.1007/s00198-026-08059-6")</f>
        <v>579</v>
      </c>
      <c r="BL15" t="s" s="0">
        <v>83</v>
      </c>
      <c r="BM15" t="s" s="0">
        <v>580</v>
      </c>
      <c r="BN15" t="s" s="0">
        <v>120</v>
      </c>
      <c r="BO15" t="s" s="0">
        <v>206</v>
      </c>
      <c r="BP15" t="s" s="0">
        <v>206</v>
      </c>
      <c r="BQ15" t="s" s="0">
        <v>581</v>
      </c>
      <c r="BR15" t="s" s="0">
        <v>582</v>
      </c>
      <c r="BS15" t="s" s="0">
        <v>583</v>
      </c>
      <c r="BT15" t="s" s="28">
        <f>HYPERLINK("https://www.webofscience.com/wos/woscc/full-record/WOS:001751842500001","View Record in Web of Science")</f>
        <v>126</v>
      </c>
      <c r="BU15" t="s" s="0">
        <v>584</v>
      </c>
      <c r="BV15" t="s" s="0">
        <v>83</v>
      </c>
      <c r="BW15" t="s" s="0">
        <v>83</v>
      </c>
      <c r="BX15" t="s" s="0">
        <v>130</v>
      </c>
    </row>
    <row r="16">
      <c r="A16" t="s" s="0">
        <v>78</v>
      </c>
      <c r="B16" t="s" s="0">
        <v>78</v>
      </c>
      <c r="C16" t="s" s="0">
        <v>78</v>
      </c>
      <c r="D16" t="s" s="0">
        <v>78</v>
      </c>
      <c r="E16" t="s" s="0">
        <v>585</v>
      </c>
      <c r="F16" t="s" s="0">
        <v>586</v>
      </c>
      <c r="G16" t="s" s="0">
        <v>587</v>
      </c>
      <c r="H16" t="s" s="0">
        <v>83</v>
      </c>
      <c r="I16" t="s" s="0">
        <v>84</v>
      </c>
      <c r="J16" t="s" s="0">
        <v>588</v>
      </c>
      <c r="K16" t="s" s="0">
        <v>589</v>
      </c>
      <c r="L16" t="s" s="0">
        <v>590</v>
      </c>
      <c r="M16" t="s" s="0">
        <v>591</v>
      </c>
      <c r="N16" t="s" s="0">
        <v>592</v>
      </c>
      <c r="O16" t="s" s="0">
        <v>593</v>
      </c>
      <c r="P16" t="s" s="0">
        <v>594</v>
      </c>
      <c r="Q16" t="s" s="0">
        <v>92</v>
      </c>
      <c r="R16" t="s" s="0">
        <v>83</v>
      </c>
      <c r="S16" t="s" s="0">
        <v>83</v>
      </c>
      <c r="T16" t="s" s="0">
        <v>83</v>
      </c>
      <c r="U16" t="s" s="0">
        <v>83</v>
      </c>
      <c r="V16" t="s" s="0">
        <v>595</v>
      </c>
      <c r="W16" t="s" s="0">
        <v>596</v>
      </c>
      <c r="X16" t="s" s="0">
        <v>83</v>
      </c>
      <c r="Y16" t="s" s="0">
        <v>83</v>
      </c>
      <c r="Z16" t="s" s="0">
        <v>95</v>
      </c>
      <c r="AA16" t="s" s="0">
        <v>96</v>
      </c>
      <c r="AB16" t="s" s="0">
        <v>83</v>
      </c>
      <c r="AC16" t="s" s="0">
        <v>83</v>
      </c>
      <c r="AD16" t="s" s="0">
        <v>83</v>
      </c>
      <c r="AE16" t="s" s="0">
        <v>83</v>
      </c>
      <c r="AF16" t="s" s="0">
        <v>83</v>
      </c>
      <c r="AG16" t="s" s="0">
        <v>597</v>
      </c>
      <c r="AH16" t="s" s="0">
        <v>598</v>
      </c>
      <c r="AI16" t="s" s="0">
        <v>599</v>
      </c>
      <c r="AJ16" t="s" s="0">
        <v>600</v>
      </c>
      <c r="AK16" t="s" s="0">
        <v>83</v>
      </c>
      <c r="AL16" t="s" s="0">
        <v>407</v>
      </c>
      <c r="AM16" t="s" s="0">
        <v>150</v>
      </c>
      <c r="AN16" t="s" s="0">
        <v>545</v>
      </c>
      <c r="AO16" t="s" s="0">
        <v>78</v>
      </c>
      <c r="AP16" t="s" s="0">
        <v>231</v>
      </c>
      <c r="AQ16" t="s" s="0">
        <v>233</v>
      </c>
      <c r="AR16" t="s" s="0">
        <v>234</v>
      </c>
      <c r="AS16" t="s" s="0">
        <v>311</v>
      </c>
      <c r="AT16" t="s" s="0">
        <v>601</v>
      </c>
      <c r="AU16" t="s" s="0">
        <v>602</v>
      </c>
      <c r="AV16" t="s" s="0">
        <v>83</v>
      </c>
      <c r="AW16" t="s" s="0">
        <v>603</v>
      </c>
      <c r="AX16" t="s" s="0">
        <v>604</v>
      </c>
      <c r="AY16" t="s" s="0">
        <v>605</v>
      </c>
      <c r="AZ16" t="s" s="0">
        <v>412</v>
      </c>
      <c r="BA16" t="s" s="0">
        <v>413</v>
      </c>
      <c r="BB16" t="s" s="0">
        <v>281</v>
      </c>
      <c r="BC16" t="s" s="0">
        <v>83</v>
      </c>
      <c r="BD16" t="s" s="0">
        <v>83</v>
      </c>
      <c r="BE16" t="s" s="0">
        <v>83</v>
      </c>
      <c r="BF16" t="s" s="0">
        <v>83</v>
      </c>
      <c r="BG16" t="s" s="0">
        <v>606</v>
      </c>
      <c r="BH16" t="s" s="0">
        <v>607</v>
      </c>
      <c r="BI16" t="s" s="0">
        <v>83</v>
      </c>
      <c r="BJ16" t="s" s="0">
        <v>608</v>
      </c>
      <c r="BK16" t="s" s="29">
        <f>HYPERLINK("http://dx.doi.org/10.1016/j.acap.2024.03.016","http://dx.doi.org/10.1016/j.acap.2024.03.016")</f>
        <v>609</v>
      </c>
      <c r="BL16" t="s" s="0">
        <v>83</v>
      </c>
      <c r="BM16" t="s" s="0">
        <v>610</v>
      </c>
      <c r="BN16" t="s" s="0">
        <v>120</v>
      </c>
      <c r="BO16" t="s" s="0">
        <v>611</v>
      </c>
      <c r="BP16" t="s" s="0">
        <v>611</v>
      </c>
      <c r="BQ16" t="s" s="0">
        <v>612</v>
      </c>
      <c r="BR16" t="s" s="0">
        <v>613</v>
      </c>
      <c r="BS16" t="s" s="0">
        <v>614</v>
      </c>
      <c r="BT16" t="s" s="30">
        <f>HYPERLINK("https://www.webofscience.com/wos/woscc/full-record/WOS:001296016600001","View Record in Web of Science")</f>
        <v>126</v>
      </c>
      <c r="BU16" t="s" s="0">
        <v>83</v>
      </c>
      <c r="BV16" t="s" s="0">
        <v>83</v>
      </c>
      <c r="BW16" t="s" s="0">
        <v>83</v>
      </c>
      <c r="BX16" t="s" s="0">
        <v>130</v>
      </c>
    </row>
    <row r="17">
      <c r="A17" t="s" s="0">
        <v>78</v>
      </c>
      <c r="B17" t="s" s="0">
        <v>78</v>
      </c>
      <c r="C17" t="s" s="0">
        <v>77</v>
      </c>
      <c r="D17" t="s" s="0">
        <v>78</v>
      </c>
      <c r="E17" t="s" s="0">
        <v>615</v>
      </c>
      <c r="F17" t="s" s="0">
        <v>616</v>
      </c>
      <c r="G17" t="s" s="0">
        <v>617</v>
      </c>
      <c r="H17" t="s" s="0">
        <v>83</v>
      </c>
      <c r="I17" t="s" s="0">
        <v>257</v>
      </c>
      <c r="J17" t="s" s="0">
        <v>618</v>
      </c>
      <c r="K17" t="s" s="0">
        <v>619</v>
      </c>
      <c r="L17" t="s" s="0">
        <v>620</v>
      </c>
      <c r="M17" t="s" s="0">
        <v>621</v>
      </c>
      <c r="N17" t="s" s="0">
        <v>622</v>
      </c>
      <c r="O17" t="s" s="0">
        <v>623</v>
      </c>
      <c r="P17" t="s" s="0">
        <v>624</v>
      </c>
      <c r="Q17" t="s" s="0">
        <v>92</v>
      </c>
      <c r="R17" t="s" s="0">
        <v>83</v>
      </c>
      <c r="S17" t="s" s="0">
        <v>83</v>
      </c>
      <c r="T17" t="s" s="0">
        <v>83</v>
      </c>
      <c r="U17" t="s" s="0">
        <v>83</v>
      </c>
      <c r="V17" t="s" s="0">
        <v>625</v>
      </c>
      <c r="W17" t="s" s="0">
        <v>626</v>
      </c>
      <c r="X17" t="s" s="0">
        <v>83</v>
      </c>
      <c r="Y17" t="s" s="0">
        <v>83</v>
      </c>
      <c r="Z17" t="s" s="0">
        <v>95</v>
      </c>
      <c r="AA17" t="s" s="0">
        <v>96</v>
      </c>
      <c r="AB17" t="s" s="0">
        <v>83</v>
      </c>
      <c r="AC17" t="s" s="0">
        <v>83</v>
      </c>
      <c r="AD17" t="s" s="0">
        <v>83</v>
      </c>
      <c r="AE17" t="s" s="0">
        <v>83</v>
      </c>
      <c r="AF17" t="s" s="0">
        <v>83</v>
      </c>
      <c r="AG17" t="s" s="0">
        <v>627</v>
      </c>
      <c r="AH17" t="s" s="0">
        <v>628</v>
      </c>
      <c r="AI17" t="s" s="0">
        <v>629</v>
      </c>
      <c r="AJ17" t="s" s="0">
        <v>630</v>
      </c>
      <c r="AK17" t="s" s="0">
        <v>83</v>
      </c>
      <c r="AL17" t="s" s="0">
        <v>631</v>
      </c>
      <c r="AM17" t="s" s="0">
        <v>269</v>
      </c>
      <c r="AN17" t="s" s="0">
        <v>269</v>
      </c>
      <c r="AO17" t="s" s="0">
        <v>78</v>
      </c>
      <c r="AP17" t="s" s="0">
        <v>150</v>
      </c>
      <c r="AQ17" t="s" s="0">
        <v>632</v>
      </c>
      <c r="AR17" t="s" s="0">
        <v>106</v>
      </c>
      <c r="AS17" t="s" s="0">
        <v>633</v>
      </c>
      <c r="AT17" t="s" s="0">
        <v>634</v>
      </c>
      <c r="AU17" t="s" s="0">
        <v>83</v>
      </c>
      <c r="AV17" t="s" s="0">
        <v>83</v>
      </c>
      <c r="AW17" t="s" s="0">
        <v>635</v>
      </c>
      <c r="AX17" t="s" s="0">
        <v>636</v>
      </c>
      <c r="AY17" t="s" s="0">
        <v>637</v>
      </c>
      <c r="AZ17" t="s" s="0">
        <v>637</v>
      </c>
      <c r="BA17" t="s" s="0">
        <v>231</v>
      </c>
      <c r="BB17" t="s" s="0">
        <v>115</v>
      </c>
      <c r="BC17" t="s" s="0">
        <v>83</v>
      </c>
      <c r="BD17" t="s" s="0">
        <v>83</v>
      </c>
      <c r="BE17" t="s" s="0">
        <v>83</v>
      </c>
      <c r="BF17" t="s" s="0">
        <v>83</v>
      </c>
      <c r="BG17" t="s" s="0">
        <v>83</v>
      </c>
      <c r="BH17" t="s" s="0">
        <v>83</v>
      </c>
      <c r="BI17" t="s" s="0">
        <v>638</v>
      </c>
      <c r="BJ17" t="s" s="0">
        <v>639</v>
      </c>
      <c r="BK17" t="s" s="31">
        <f>HYPERLINK("http://dx.doi.org/10.1136/bmjgh-2020-003451","http://dx.doi.org/10.1136/bmjgh-2020-003451")</f>
        <v>640</v>
      </c>
      <c r="BL17" t="s" s="0">
        <v>83</v>
      </c>
      <c r="BM17" t="s" s="0">
        <v>83</v>
      </c>
      <c r="BN17" t="s" s="0">
        <v>310</v>
      </c>
      <c r="BO17" t="s" s="0">
        <v>641</v>
      </c>
      <c r="BP17" t="s" s="0">
        <v>641</v>
      </c>
      <c r="BQ17" t="s" s="0">
        <v>642</v>
      </c>
      <c r="BR17" t="s" s="0">
        <v>643</v>
      </c>
      <c r="BS17" t="s" s="0">
        <v>644</v>
      </c>
      <c r="BT17" t="s" s="32">
        <f>HYPERLINK("https://www.webofscience.com/wos/woscc/full-record/WOS:000612942900003","View Record in Web of Science")</f>
        <v>126</v>
      </c>
      <c r="BU17" t="s" s="0">
        <v>645</v>
      </c>
      <c r="BV17" t="s" s="0">
        <v>83</v>
      </c>
      <c r="BW17" t="s" s="0">
        <v>83</v>
      </c>
      <c r="BX17" t="s" s="0">
        <v>130</v>
      </c>
    </row>
    <row r="18">
      <c r="A18" t="s" s="0">
        <v>78</v>
      </c>
      <c r="B18" t="s" s="0">
        <v>78</v>
      </c>
      <c r="C18" t="s" s="0">
        <v>78</v>
      </c>
      <c r="D18" t="s" s="0">
        <v>78</v>
      </c>
      <c r="E18" t="s" s="0">
        <v>646</v>
      </c>
      <c r="F18" t="s" s="0">
        <v>647</v>
      </c>
      <c r="G18" t="s" s="0">
        <v>648</v>
      </c>
      <c r="H18" t="s" s="0">
        <v>83</v>
      </c>
      <c r="I18" t="s" s="0">
        <v>174</v>
      </c>
      <c r="J18" t="s" s="0">
        <v>649</v>
      </c>
      <c r="K18" t="s" s="0">
        <v>650</v>
      </c>
      <c r="L18" t="s" s="0">
        <v>651</v>
      </c>
      <c r="M18" t="s" s="0">
        <v>652</v>
      </c>
      <c r="N18" t="s" s="0">
        <v>653</v>
      </c>
      <c r="O18" t="s" s="0">
        <v>654</v>
      </c>
      <c r="P18" t="s" s="0">
        <v>655</v>
      </c>
      <c r="Q18" t="s" s="0">
        <v>92</v>
      </c>
      <c r="R18" t="s" s="0">
        <v>83</v>
      </c>
      <c r="S18" t="s" s="0">
        <v>83</v>
      </c>
      <c r="T18" t="s" s="0">
        <v>83</v>
      </c>
      <c r="U18" t="s" s="0">
        <v>83</v>
      </c>
      <c r="V18" t="s" s="0">
        <v>656</v>
      </c>
      <c r="W18" t="s" s="0">
        <v>657</v>
      </c>
      <c r="X18" t="s" s="0">
        <v>83</v>
      </c>
      <c r="Y18" t="s" s="0">
        <v>83</v>
      </c>
      <c r="Z18" t="s" s="0">
        <v>95</v>
      </c>
      <c r="AA18" t="s" s="0">
        <v>96</v>
      </c>
      <c r="AB18" t="s" s="0">
        <v>83</v>
      </c>
      <c r="AC18" t="s" s="0">
        <v>83</v>
      </c>
      <c r="AD18" t="s" s="0">
        <v>83</v>
      </c>
      <c r="AE18" t="s" s="0">
        <v>83</v>
      </c>
      <c r="AF18" t="s" s="0">
        <v>83</v>
      </c>
      <c r="AG18" t="s" s="0">
        <v>658</v>
      </c>
      <c r="AH18" t="s" s="0">
        <v>83</v>
      </c>
      <c r="AI18" t="s" s="0">
        <v>659</v>
      </c>
      <c r="AJ18" t="s" s="0">
        <v>660</v>
      </c>
      <c r="AK18" t="s" s="0">
        <v>83</v>
      </c>
      <c r="AL18" t="s" s="0">
        <v>374</v>
      </c>
      <c r="AM18" t="s" s="0">
        <v>78</v>
      </c>
      <c r="AN18" t="s" s="0">
        <v>78</v>
      </c>
      <c r="AO18" t="s" s="0">
        <v>78</v>
      </c>
      <c r="AP18" t="s" s="0">
        <v>78</v>
      </c>
      <c r="AQ18" t="s" s="0">
        <v>661</v>
      </c>
      <c r="AR18" t="s" s="0">
        <v>106</v>
      </c>
      <c r="AS18" t="s" s="0">
        <v>662</v>
      </c>
      <c r="AT18" t="s" s="0">
        <v>83</v>
      </c>
      <c r="AU18" t="s" s="0">
        <v>663</v>
      </c>
      <c r="AV18" t="s" s="0">
        <v>83</v>
      </c>
      <c r="AW18" t="s" s="0">
        <v>664</v>
      </c>
      <c r="AX18" t="s" s="0">
        <v>665</v>
      </c>
      <c r="AY18" t="s" s="0">
        <v>666</v>
      </c>
      <c r="AZ18" t="s" s="0">
        <v>511</v>
      </c>
      <c r="BA18" t="s" s="0">
        <v>211</v>
      </c>
      <c r="BB18" t="s" s="0">
        <v>115</v>
      </c>
      <c r="BC18" t="s" s="0">
        <v>83</v>
      </c>
      <c r="BD18" t="s" s="0">
        <v>83</v>
      </c>
      <c r="BE18" t="s" s="0">
        <v>83</v>
      </c>
      <c r="BF18" t="s" s="0">
        <v>83</v>
      </c>
      <c r="BG18" t="s" s="0">
        <v>83</v>
      </c>
      <c r="BH18" t="s" s="0">
        <v>83</v>
      </c>
      <c r="BI18" t="s" s="0">
        <v>231</v>
      </c>
      <c r="BJ18" t="s" s="0">
        <v>667</v>
      </c>
      <c r="BK18" t="s" s="33">
        <f>HYPERLINK("http://dx.doi.org/10.1186/s41512-026-00221-2","http://dx.doi.org/10.1186/s41512-026-00221-2")</f>
        <v>668</v>
      </c>
      <c r="BL18" t="s" s="0">
        <v>83</v>
      </c>
      <c r="BM18" t="s" s="0">
        <v>83</v>
      </c>
      <c r="BN18" t="s" s="0">
        <v>281</v>
      </c>
      <c r="BO18" t="s" s="0">
        <v>669</v>
      </c>
      <c r="BP18" t="s" s="0">
        <v>670</v>
      </c>
      <c r="BQ18" t="s" s="0">
        <v>671</v>
      </c>
      <c r="BR18" t="s" s="0">
        <v>672</v>
      </c>
      <c r="BS18" t="s" s="0">
        <v>673</v>
      </c>
      <c r="BT18" t="s" s="34">
        <f>HYPERLINK("https://www.webofscience.com/wos/woscc/full-record/WOS:001682897800001","View Record in Web of Science")</f>
        <v>126</v>
      </c>
      <c r="BU18" t="s" s="0">
        <v>391</v>
      </c>
      <c r="BV18" t="s" s="0">
        <v>83</v>
      </c>
      <c r="BW18" t="s" s="0">
        <v>83</v>
      </c>
      <c r="BX18" t="s" s="0">
        <v>130</v>
      </c>
    </row>
    <row r="19">
      <c r="A19" t="s" s="0">
        <v>115</v>
      </c>
      <c r="B19" t="s" s="0">
        <v>78</v>
      </c>
      <c r="C19" t="s" s="0">
        <v>150</v>
      </c>
      <c r="D19" t="s" s="0">
        <v>78</v>
      </c>
      <c r="E19" t="s" s="0">
        <v>674</v>
      </c>
      <c r="F19" t="s" s="0">
        <v>675</v>
      </c>
      <c r="G19" t="s" s="0">
        <v>676</v>
      </c>
      <c r="H19" t="s" s="0">
        <v>83</v>
      </c>
      <c r="I19" t="s" s="0">
        <v>84</v>
      </c>
      <c r="J19" t="s" s="0">
        <v>677</v>
      </c>
      <c r="K19" t="s" s="0">
        <v>678</v>
      </c>
      <c r="L19" t="s" s="0">
        <v>679</v>
      </c>
      <c r="M19" t="s" s="0">
        <v>680</v>
      </c>
      <c r="N19" t="s" s="0">
        <v>681</v>
      </c>
      <c r="O19" t="s" s="0">
        <v>682</v>
      </c>
      <c r="P19" t="s" s="0">
        <v>683</v>
      </c>
      <c r="Q19" t="s" s="0">
        <v>92</v>
      </c>
      <c r="R19" t="s" s="0">
        <v>83</v>
      </c>
      <c r="S19" t="s" s="0">
        <v>83</v>
      </c>
      <c r="T19" t="s" s="0">
        <v>83</v>
      </c>
      <c r="U19" t="s" s="0">
        <v>83</v>
      </c>
      <c r="V19" t="s" s="0">
        <v>684</v>
      </c>
      <c r="W19" t="s" s="0">
        <v>685</v>
      </c>
      <c r="X19" t="s" s="0">
        <v>83</v>
      </c>
      <c r="Y19" t="s" s="0">
        <v>83</v>
      </c>
      <c r="Z19" t="s" s="0">
        <v>95</v>
      </c>
      <c r="AA19" t="s" s="0">
        <v>96</v>
      </c>
      <c r="AB19" t="s" s="0">
        <v>83</v>
      </c>
      <c r="AC19" t="s" s="0">
        <v>83</v>
      </c>
      <c r="AD19" t="s" s="0">
        <v>83</v>
      </c>
      <c r="AE19" t="s" s="0">
        <v>83</v>
      </c>
      <c r="AF19" t="s" s="0">
        <v>83</v>
      </c>
      <c r="AG19" t="s" s="0">
        <v>686</v>
      </c>
      <c r="AH19" t="s" s="0">
        <v>687</v>
      </c>
      <c r="AI19" t="s" s="0">
        <v>688</v>
      </c>
      <c r="AJ19" t="s" s="0">
        <v>689</v>
      </c>
      <c r="AK19" t="s" s="0">
        <v>83</v>
      </c>
      <c r="AL19" t="s" s="0">
        <v>690</v>
      </c>
      <c r="AM19" t="s" s="0">
        <v>310</v>
      </c>
      <c r="AN19" t="s" s="0">
        <v>269</v>
      </c>
      <c r="AO19" t="s" s="0">
        <v>149</v>
      </c>
      <c r="AP19" t="s" s="0">
        <v>417</v>
      </c>
      <c r="AQ19" t="s" s="0">
        <v>339</v>
      </c>
      <c r="AR19" t="s" s="0">
        <v>340</v>
      </c>
      <c r="AS19" t="s" s="0">
        <v>341</v>
      </c>
      <c r="AT19" t="s" s="0">
        <v>691</v>
      </c>
      <c r="AU19" t="s" s="0">
        <v>692</v>
      </c>
      <c r="AV19" t="s" s="0">
        <v>83</v>
      </c>
      <c r="AW19" t="s" s="0">
        <v>693</v>
      </c>
      <c r="AX19" t="s" s="0">
        <v>694</v>
      </c>
      <c r="AY19" t="s" s="0">
        <v>164</v>
      </c>
      <c r="AZ19" t="s" s="0">
        <v>159</v>
      </c>
      <c r="BA19" t="s" s="0">
        <v>695</v>
      </c>
      <c r="BB19" t="s" s="0">
        <v>281</v>
      </c>
      <c r="BC19" t="s" s="0">
        <v>83</v>
      </c>
      <c r="BD19" t="s" s="0">
        <v>83</v>
      </c>
      <c r="BE19" t="s" s="0">
        <v>83</v>
      </c>
      <c r="BF19" t="s" s="0">
        <v>83</v>
      </c>
      <c r="BG19" t="s" s="0">
        <v>83</v>
      </c>
      <c r="BH19" t="s" s="0">
        <v>83</v>
      </c>
      <c r="BI19" t="s" s="0">
        <v>696</v>
      </c>
      <c r="BJ19" t="s" s="0">
        <v>697</v>
      </c>
      <c r="BK19" t="s" s="35">
        <f>HYPERLINK("http://dx.doi.org/10.1093/ejcts/ezaf142","http://dx.doi.org/10.1093/ejcts/ezaf142")</f>
        <v>698</v>
      </c>
      <c r="BL19" t="s" s="0">
        <v>83</v>
      </c>
      <c r="BM19" t="s" s="0">
        <v>83</v>
      </c>
      <c r="BN19" t="s" s="0">
        <v>148</v>
      </c>
      <c r="BO19" t="s" s="0">
        <v>699</v>
      </c>
      <c r="BP19" t="s" s="0">
        <v>700</v>
      </c>
      <c r="BQ19" t="s" s="0">
        <v>701</v>
      </c>
      <c r="BR19" t="s" s="0">
        <v>702</v>
      </c>
      <c r="BS19" t="s" s="0">
        <v>703</v>
      </c>
      <c r="BT19" t="s" s="36">
        <f>HYPERLINK("https://www.webofscience.com/wos/woscc/full-record/WOS:001495450500001","View Record in Web of Science")</f>
        <v>126</v>
      </c>
      <c r="BU19" t="s" s="0">
        <v>253</v>
      </c>
      <c r="BV19" t="s" s="0">
        <v>83</v>
      </c>
      <c r="BW19" t="s" s="0">
        <v>83</v>
      </c>
      <c r="BX19" t="s" s="0">
        <v>130</v>
      </c>
    </row>
    <row r="20">
      <c r="A20" t="s" s="0">
        <v>78</v>
      </c>
      <c r="B20" t="s" s="0">
        <v>78</v>
      </c>
      <c r="C20" t="s" s="0">
        <v>78</v>
      </c>
      <c r="D20" t="s" s="0">
        <v>78</v>
      </c>
      <c r="E20" t="s" s="0">
        <v>704</v>
      </c>
      <c r="F20" t="s" s="0">
        <v>705</v>
      </c>
      <c r="G20" t="s" s="0">
        <v>706</v>
      </c>
      <c r="H20" t="s" s="0">
        <v>83</v>
      </c>
      <c r="I20" t="s" s="0">
        <v>257</v>
      </c>
      <c r="J20" t="s" s="0">
        <v>707</v>
      </c>
      <c r="K20" t="s" s="0">
        <v>708</v>
      </c>
      <c r="L20" t="s" s="0">
        <v>709</v>
      </c>
      <c r="M20" t="s" s="0">
        <v>710</v>
      </c>
      <c r="N20" t="s" s="0">
        <v>711</v>
      </c>
      <c r="O20" t="s" s="0">
        <v>712</v>
      </c>
      <c r="P20" t="s" s="0">
        <v>713</v>
      </c>
      <c r="Q20" t="s" s="0">
        <v>92</v>
      </c>
      <c r="R20" t="s" s="0">
        <v>83</v>
      </c>
      <c r="S20" t="s" s="0">
        <v>83</v>
      </c>
      <c r="T20" t="s" s="0">
        <v>83</v>
      </c>
      <c r="U20" t="s" s="0">
        <v>83</v>
      </c>
      <c r="V20" t="s" s="0">
        <v>714</v>
      </c>
      <c r="W20" t="s" s="0">
        <v>715</v>
      </c>
      <c r="X20" t="s" s="0">
        <v>83</v>
      </c>
      <c r="Y20" t="s" s="0">
        <v>83</v>
      </c>
      <c r="Z20" t="s" s="0">
        <v>95</v>
      </c>
      <c r="AA20" t="s" s="0">
        <v>96</v>
      </c>
      <c r="AB20" t="s" s="0">
        <v>83</v>
      </c>
      <c r="AC20" t="s" s="0">
        <v>83</v>
      </c>
      <c r="AD20" t="s" s="0">
        <v>83</v>
      </c>
      <c r="AE20" t="s" s="0">
        <v>83</v>
      </c>
      <c r="AF20" t="s" s="0">
        <v>83</v>
      </c>
      <c r="AG20" t="s" s="0">
        <v>716</v>
      </c>
      <c r="AH20" t="s" s="0">
        <v>717</v>
      </c>
      <c r="AI20" t="s" s="0">
        <v>718</v>
      </c>
      <c r="AJ20" t="s" s="0">
        <v>83</v>
      </c>
      <c r="AK20" t="s" s="0">
        <v>83</v>
      </c>
      <c r="AL20" t="s" s="0">
        <v>719</v>
      </c>
      <c r="AM20" t="s" s="0">
        <v>78</v>
      </c>
      <c r="AN20" t="s" s="0">
        <v>78</v>
      </c>
      <c r="AO20" t="s" s="0">
        <v>115</v>
      </c>
      <c r="AP20" t="s" s="0">
        <v>115</v>
      </c>
      <c r="AQ20" t="s" s="0">
        <v>720</v>
      </c>
      <c r="AR20" t="s" s="0">
        <v>721</v>
      </c>
      <c r="AS20" t="s" s="0">
        <v>722</v>
      </c>
      <c r="AT20" t="s" s="0">
        <v>723</v>
      </c>
      <c r="AU20" t="s" s="0">
        <v>724</v>
      </c>
      <c r="AV20" t="s" s="0">
        <v>83</v>
      </c>
      <c r="AW20" t="s" s="0">
        <v>725</v>
      </c>
      <c r="AX20" t="s" s="0">
        <v>726</v>
      </c>
      <c r="AY20" t="s" s="0">
        <v>727</v>
      </c>
      <c r="AZ20" t="s" s="0">
        <v>511</v>
      </c>
      <c r="BA20" t="s" s="0">
        <v>230</v>
      </c>
      <c r="BB20" t="s" s="0">
        <v>83</v>
      </c>
      <c r="BC20" t="s" s="0">
        <v>83</v>
      </c>
      <c r="BD20" t="s" s="0">
        <v>83</v>
      </c>
      <c r="BE20" t="s" s="0">
        <v>83</v>
      </c>
      <c r="BF20" t="s" s="0">
        <v>83</v>
      </c>
      <c r="BG20" t="s" s="0">
        <v>83</v>
      </c>
      <c r="BH20" t="s" s="0">
        <v>83</v>
      </c>
      <c r="BI20" t="s" s="0">
        <v>728</v>
      </c>
      <c r="BJ20" t="s" s="0">
        <v>729</v>
      </c>
      <c r="BK20" t="s" s="37">
        <f>HYPERLINK("http://dx.doi.org/10.1017/S003329172610378X","http://dx.doi.org/10.1017/S003329172610378X")</f>
        <v>730</v>
      </c>
      <c r="BL20" t="s" s="0">
        <v>83</v>
      </c>
      <c r="BM20" t="s" s="0">
        <v>731</v>
      </c>
      <c r="BN20" t="s" s="0">
        <v>269</v>
      </c>
      <c r="BO20" t="s" s="0">
        <v>732</v>
      </c>
      <c r="BP20" t="s" s="0">
        <v>733</v>
      </c>
      <c r="BQ20" t="s" s="0">
        <v>734</v>
      </c>
      <c r="BR20" t="s" s="0">
        <v>735</v>
      </c>
      <c r="BS20" t="s" s="0">
        <v>736</v>
      </c>
      <c r="BT20" t="s" s="38">
        <f>HYPERLINK("https://www.webofscience.com/wos/woscc/full-record/WOS:001787215500001","View Record in Web of Science")</f>
        <v>126</v>
      </c>
      <c r="BU20" t="s" s="0">
        <v>253</v>
      </c>
      <c r="BV20" t="s" s="0">
        <v>83</v>
      </c>
      <c r="BW20" t="s" s="0">
        <v>83</v>
      </c>
      <c r="BX20" t="s" s="0">
        <v>130</v>
      </c>
    </row>
    <row r="21">
      <c r="A21" t="s" s="0">
        <v>150</v>
      </c>
      <c r="B21" t="s" s="0">
        <v>78</v>
      </c>
      <c r="C21" t="s" s="0">
        <v>115</v>
      </c>
      <c r="D21" t="s" s="0">
        <v>78</v>
      </c>
      <c r="E21" t="s" s="0">
        <v>737</v>
      </c>
      <c r="F21" t="s" s="0">
        <v>738</v>
      </c>
      <c r="G21" t="s" s="0">
        <v>739</v>
      </c>
      <c r="H21" t="s" s="0">
        <v>83</v>
      </c>
      <c r="I21" t="s" s="0">
        <v>84</v>
      </c>
      <c r="J21" t="s" s="0">
        <v>740</v>
      </c>
      <c r="K21" t="s" s="0">
        <v>741</v>
      </c>
      <c r="L21" t="s" s="0">
        <v>742</v>
      </c>
      <c r="M21" t="s" s="0">
        <v>743</v>
      </c>
      <c r="N21" t="s" s="0">
        <v>744</v>
      </c>
      <c r="O21" t="s" s="0">
        <v>745</v>
      </c>
      <c r="P21" t="s" s="0">
        <v>746</v>
      </c>
      <c r="Q21" t="s" s="0">
        <v>92</v>
      </c>
      <c r="R21" t="s" s="0">
        <v>83</v>
      </c>
      <c r="S21" t="s" s="0">
        <v>83</v>
      </c>
      <c r="T21" t="s" s="0">
        <v>83</v>
      </c>
      <c r="U21" t="s" s="0">
        <v>83</v>
      </c>
      <c r="V21" t="s" s="0">
        <v>747</v>
      </c>
      <c r="W21" t="s" s="0">
        <v>748</v>
      </c>
      <c r="X21" t="s" s="0">
        <v>83</v>
      </c>
      <c r="Y21" t="s" s="0">
        <v>83</v>
      </c>
      <c r="Z21" t="s" s="0">
        <v>95</v>
      </c>
      <c r="AA21" t="s" s="0">
        <v>96</v>
      </c>
      <c r="AB21" t="s" s="0">
        <v>83</v>
      </c>
      <c r="AC21" t="s" s="0">
        <v>83</v>
      </c>
      <c r="AD21" t="s" s="0">
        <v>83</v>
      </c>
      <c r="AE21" t="s" s="0">
        <v>83</v>
      </c>
      <c r="AF21" t="s" s="0">
        <v>83</v>
      </c>
      <c r="AG21" t="s" s="0">
        <v>749</v>
      </c>
      <c r="AH21" t="s" s="0">
        <v>750</v>
      </c>
      <c r="AI21" t="s" s="0">
        <v>751</v>
      </c>
      <c r="AJ21" t="s" s="0">
        <v>752</v>
      </c>
      <c r="AK21" t="s" s="0">
        <v>83</v>
      </c>
      <c r="AL21" t="s" s="0">
        <v>102</v>
      </c>
      <c r="AM21" t="s" s="0">
        <v>150</v>
      </c>
      <c r="AN21" t="s" s="0">
        <v>77</v>
      </c>
      <c r="AO21" t="s" s="0">
        <v>115</v>
      </c>
      <c r="AP21" t="s" s="0">
        <v>437</v>
      </c>
      <c r="AQ21" t="s" s="0">
        <v>378</v>
      </c>
      <c r="AR21" t="s" s="0">
        <v>106</v>
      </c>
      <c r="AS21" t="s" s="0">
        <v>379</v>
      </c>
      <c r="AT21" t="s" s="0">
        <v>83</v>
      </c>
      <c r="AU21" t="s" s="0">
        <v>753</v>
      </c>
      <c r="AV21" t="s" s="0">
        <v>83</v>
      </c>
      <c r="AW21" t="s" s="0">
        <v>754</v>
      </c>
      <c r="AX21" t="s" s="0">
        <v>755</v>
      </c>
      <c r="AY21" t="s" s="0">
        <v>756</v>
      </c>
      <c r="AZ21" t="s" s="0">
        <v>241</v>
      </c>
      <c r="BA21" t="s" s="0">
        <v>310</v>
      </c>
      <c r="BB21" t="s" s="0">
        <v>115</v>
      </c>
      <c r="BC21" t="s" s="0">
        <v>83</v>
      </c>
      <c r="BD21" t="s" s="0">
        <v>83</v>
      </c>
      <c r="BE21" t="s" s="0">
        <v>83</v>
      </c>
      <c r="BF21" t="s" s="0">
        <v>83</v>
      </c>
      <c r="BG21" t="s" s="0">
        <v>83</v>
      </c>
      <c r="BH21" t="s" s="0">
        <v>83</v>
      </c>
      <c r="BI21" t="s" s="0">
        <v>757</v>
      </c>
      <c r="BJ21" t="s" s="0">
        <v>758</v>
      </c>
      <c r="BK21" t="s" s="39">
        <f>HYPERLINK("http://dx.doi.org/10.1186/s13048-023-01310-2","http://dx.doi.org/10.1186/s13048-023-01310-2")</f>
        <v>759</v>
      </c>
      <c r="BL21" t="s" s="0">
        <v>83</v>
      </c>
      <c r="BM21" t="s" s="0">
        <v>83</v>
      </c>
      <c r="BN21" t="s" s="0">
        <v>165</v>
      </c>
      <c r="BO21" t="s" s="0">
        <v>760</v>
      </c>
      <c r="BP21" t="s" s="0">
        <v>760</v>
      </c>
      <c r="BQ21" t="s" s="0">
        <v>761</v>
      </c>
      <c r="BR21" t="s" s="0">
        <v>762</v>
      </c>
      <c r="BS21" t="s" s="0">
        <v>763</v>
      </c>
      <c r="BT21" t="s" s="40">
        <f>HYPERLINK("https://www.webofscience.com/wos/woscc/full-record/WOS:001109369300001","View Record in Web of Science")</f>
        <v>126</v>
      </c>
      <c r="BU21" t="s" s="0">
        <v>210</v>
      </c>
      <c r="BV21" t="s" s="0">
        <v>83</v>
      </c>
      <c r="BW21" t="s" s="0">
        <v>83</v>
      </c>
      <c r="BX21" t="s" s="0">
        <v>130</v>
      </c>
    </row>
    <row r="22">
      <c r="A22" t="s" s="0">
        <v>384</v>
      </c>
      <c r="B22" t="s" s="0">
        <v>78</v>
      </c>
      <c r="C22" t="s" s="0">
        <v>764</v>
      </c>
      <c r="D22" t="s" s="0">
        <v>281</v>
      </c>
      <c r="E22" t="s" s="0">
        <v>765</v>
      </c>
      <c r="F22" t="s" s="0">
        <v>766</v>
      </c>
      <c r="G22" t="s" s="0">
        <v>767</v>
      </c>
      <c r="H22" t="s" s="0">
        <v>83</v>
      </c>
      <c r="I22" t="s" s="0">
        <v>257</v>
      </c>
      <c r="J22" t="s" s="0">
        <v>768</v>
      </c>
      <c r="K22" t="s" s="0">
        <v>769</v>
      </c>
      <c r="L22" t="s" s="0">
        <v>770</v>
      </c>
      <c r="M22" t="s" s="0">
        <v>771</v>
      </c>
      <c r="N22" t="s" s="0">
        <v>772</v>
      </c>
      <c r="O22" t="s" s="0">
        <v>773</v>
      </c>
      <c r="P22" t="s" s="0">
        <v>774</v>
      </c>
      <c r="Q22" t="s" s="0">
        <v>92</v>
      </c>
      <c r="R22" t="s" s="0">
        <v>83</v>
      </c>
      <c r="S22" t="s" s="0">
        <v>83</v>
      </c>
      <c r="T22" t="s" s="0">
        <v>83</v>
      </c>
      <c r="U22" t="s" s="0">
        <v>83</v>
      </c>
      <c r="V22" t="s" s="0">
        <v>775</v>
      </c>
      <c r="W22" t="s" s="0">
        <v>223</v>
      </c>
      <c r="X22" t="s" s="0">
        <v>83</v>
      </c>
      <c r="Y22" t="s" s="0">
        <v>83</v>
      </c>
      <c r="Z22" t="s" s="0">
        <v>95</v>
      </c>
      <c r="AA22" t="s" s="0">
        <v>96</v>
      </c>
      <c r="AB22" t="s" s="0">
        <v>83</v>
      </c>
      <c r="AC22" t="s" s="0">
        <v>83</v>
      </c>
      <c r="AD22" t="s" s="0">
        <v>83</v>
      </c>
      <c r="AE22" t="s" s="0">
        <v>83</v>
      </c>
      <c r="AF22" t="s" s="0">
        <v>83</v>
      </c>
      <c r="AG22" t="s" s="0">
        <v>776</v>
      </c>
      <c r="AH22" t="s" s="0">
        <v>777</v>
      </c>
      <c r="AI22" t="s" s="0">
        <v>778</v>
      </c>
      <c r="AJ22" t="s" s="0">
        <v>779</v>
      </c>
      <c r="AK22" t="s" s="0">
        <v>83</v>
      </c>
      <c r="AL22" t="s" s="0">
        <v>780</v>
      </c>
      <c r="AM22" t="s" s="0">
        <v>781</v>
      </c>
      <c r="AN22" t="s" s="0">
        <v>782</v>
      </c>
      <c r="AO22" t="s" s="0">
        <v>269</v>
      </c>
      <c r="AP22" t="s" s="0">
        <v>783</v>
      </c>
      <c r="AQ22" t="s" s="0">
        <v>233</v>
      </c>
      <c r="AR22" t="s" s="0">
        <v>234</v>
      </c>
      <c r="AS22" t="s" s="0">
        <v>311</v>
      </c>
      <c r="AT22" t="s" s="0">
        <v>236</v>
      </c>
      <c r="AU22" t="s" s="0">
        <v>237</v>
      </c>
      <c r="AV22" t="s" s="0">
        <v>83</v>
      </c>
      <c r="AW22" t="s" s="0">
        <v>238</v>
      </c>
      <c r="AX22" t="s" s="0">
        <v>239</v>
      </c>
      <c r="AY22" t="s" s="0">
        <v>784</v>
      </c>
      <c r="AZ22" t="s" s="0">
        <v>785</v>
      </c>
      <c r="BA22" t="s" s="0">
        <v>786</v>
      </c>
      <c r="BB22" t="s" s="0">
        <v>83</v>
      </c>
      <c r="BC22" t="s" s="0">
        <v>83</v>
      </c>
      <c r="BD22" t="s" s="0">
        <v>83</v>
      </c>
      <c r="BE22" t="s" s="0">
        <v>83</v>
      </c>
      <c r="BF22" t="s" s="0">
        <v>83</v>
      </c>
      <c r="BG22" t="s" s="0">
        <v>248</v>
      </c>
      <c r="BH22" t="s" s="0">
        <v>437</v>
      </c>
      <c r="BI22" t="s" s="0">
        <v>83</v>
      </c>
      <c r="BJ22" t="s" s="0">
        <v>787</v>
      </c>
      <c r="BK22" t="s" s="41">
        <f>HYPERLINK("http://dx.doi.org/10.1016/j.jclinepi.2019.02.004","http://dx.doi.org/10.1016/j.jclinepi.2019.02.004")</f>
        <v>788</v>
      </c>
      <c r="BL22" t="s" s="0">
        <v>83</v>
      </c>
      <c r="BM22" t="s" s="0">
        <v>83</v>
      </c>
      <c r="BN22" t="s" s="0">
        <v>232</v>
      </c>
      <c r="BO22" t="s" s="0">
        <v>249</v>
      </c>
      <c r="BP22" t="s" s="0">
        <v>249</v>
      </c>
      <c r="BQ22" t="s" s="0">
        <v>789</v>
      </c>
      <c r="BR22" t="s" s="0">
        <v>790</v>
      </c>
      <c r="BS22" t="s" s="0">
        <v>791</v>
      </c>
      <c r="BT22" t="s" s="42">
        <f>HYPERLINK("https://www.webofscience.com/wos/woscc/full-record/WOS:000487194400003","View Record in Web of Science")</f>
        <v>126</v>
      </c>
      <c r="BU22" t="s" s="0">
        <v>792</v>
      </c>
      <c r="BV22" t="s" s="0">
        <v>128</v>
      </c>
      <c r="BW22" t="s" s="0">
        <v>129</v>
      </c>
      <c r="BX22" t="s" s="0">
        <v>130</v>
      </c>
    </row>
    <row r="23">
      <c r="A23" t="s" s="0">
        <v>78</v>
      </c>
      <c r="B23" t="s" s="0">
        <v>78</v>
      </c>
      <c r="C23" t="s" s="0">
        <v>78</v>
      </c>
      <c r="D23" t="s" s="0">
        <v>78</v>
      </c>
      <c r="E23" t="s" s="0">
        <v>793</v>
      </c>
      <c r="F23" t="s" s="0">
        <v>794</v>
      </c>
      <c r="G23" t="s" s="0">
        <v>795</v>
      </c>
      <c r="H23" t="s" s="0">
        <v>83</v>
      </c>
      <c r="I23" t="s" s="0">
        <v>174</v>
      </c>
      <c r="J23" t="s" s="0">
        <v>796</v>
      </c>
      <c r="K23" t="s" s="0">
        <v>797</v>
      </c>
      <c r="L23" t="s" s="0">
        <v>83</v>
      </c>
      <c r="M23" t="s" s="0">
        <v>83</v>
      </c>
      <c r="N23" t="s" s="0">
        <v>83</v>
      </c>
      <c r="O23" t="s" s="0">
        <v>798</v>
      </c>
      <c r="P23" t="s" s="0">
        <v>799</v>
      </c>
      <c r="Q23" t="s" s="0">
        <v>92</v>
      </c>
      <c r="R23" t="s" s="0">
        <v>83</v>
      </c>
      <c r="S23" t="s" s="0">
        <v>83</v>
      </c>
      <c r="T23" t="s" s="0">
        <v>83</v>
      </c>
      <c r="U23" t="s" s="0">
        <v>83</v>
      </c>
      <c r="V23" t="s" s="0">
        <v>800</v>
      </c>
      <c r="W23" t="s" s="0">
        <v>801</v>
      </c>
      <c r="X23" t="s" s="0">
        <v>83</v>
      </c>
      <c r="Y23" t="s" s="0">
        <v>83</v>
      </c>
      <c r="Z23" t="s" s="0">
        <v>95</v>
      </c>
      <c r="AA23" t="s" s="0">
        <v>96</v>
      </c>
      <c r="AB23" t="s" s="0">
        <v>83</v>
      </c>
      <c r="AC23" t="s" s="0">
        <v>83</v>
      </c>
      <c r="AD23" t="s" s="0">
        <v>83</v>
      </c>
      <c r="AE23" t="s" s="0">
        <v>83</v>
      </c>
      <c r="AF23" t="s" s="0">
        <v>83</v>
      </c>
      <c r="AG23" t="s" s="0">
        <v>802</v>
      </c>
      <c r="AH23" t="s" s="0">
        <v>803</v>
      </c>
      <c r="AI23" t="s" s="0">
        <v>804</v>
      </c>
      <c r="AJ23" t="s" s="0">
        <v>83</v>
      </c>
      <c r="AK23" t="s" s="0">
        <v>83</v>
      </c>
      <c r="AL23" t="s" s="0">
        <v>79</v>
      </c>
      <c r="AM23" t="s" s="0">
        <v>78</v>
      </c>
      <c r="AN23" t="s" s="0">
        <v>78</v>
      </c>
      <c r="AO23" t="s" s="0">
        <v>115</v>
      </c>
      <c r="AP23" t="s" s="0">
        <v>115</v>
      </c>
      <c r="AQ23" t="s" s="0">
        <v>805</v>
      </c>
      <c r="AR23" t="s" s="0">
        <v>806</v>
      </c>
      <c r="AS23" t="s" s="0">
        <v>807</v>
      </c>
      <c r="AT23" t="s" s="0">
        <v>83</v>
      </c>
      <c r="AU23" t="s" s="0">
        <v>808</v>
      </c>
      <c r="AV23" t="s" s="0">
        <v>83</v>
      </c>
      <c r="AW23" t="s" s="0">
        <v>809</v>
      </c>
      <c r="AX23" t="s" s="0">
        <v>810</v>
      </c>
      <c r="AY23" t="s" s="0">
        <v>811</v>
      </c>
      <c r="AZ23" t="s" s="0">
        <v>511</v>
      </c>
      <c r="BA23" t="s" s="0">
        <v>231</v>
      </c>
      <c r="BB23" t="s" s="0">
        <v>115</v>
      </c>
      <c r="BC23" t="s" s="0">
        <v>83</v>
      </c>
      <c r="BD23" t="s" s="0">
        <v>83</v>
      </c>
      <c r="BE23" t="s" s="0">
        <v>83</v>
      </c>
      <c r="BF23" t="s" s="0">
        <v>83</v>
      </c>
      <c r="BG23" t="s" s="0">
        <v>83</v>
      </c>
      <c r="BH23" t="s" s="0">
        <v>83</v>
      </c>
      <c r="BI23" t="s" s="0">
        <v>161</v>
      </c>
      <c r="BJ23" t="s" s="0">
        <v>812</v>
      </c>
      <c r="BK23" t="s" s="43">
        <f>HYPERLINK("http://dx.doi.org/10.3390/immuno6010019","http://dx.doi.org/10.3390/immuno6010019")</f>
        <v>813</v>
      </c>
      <c r="BL23" t="s" s="0">
        <v>83</v>
      </c>
      <c r="BM23" t="s" s="0">
        <v>83</v>
      </c>
      <c r="BN23" t="s" s="0">
        <v>417</v>
      </c>
      <c r="BO23" t="s" s="0">
        <v>814</v>
      </c>
      <c r="BP23" t="s" s="0">
        <v>814</v>
      </c>
      <c r="BQ23" t="s" s="0">
        <v>815</v>
      </c>
      <c r="BR23" t="s" s="0">
        <v>83</v>
      </c>
      <c r="BS23" t="s" s="0">
        <v>816</v>
      </c>
      <c r="BT23" t="s" s="44">
        <f>HYPERLINK("https://www.webofscience.com/wos/woscc/full-record/WOS:001725547700001","View Record in Web of Science")</f>
        <v>126</v>
      </c>
      <c r="BU23" t="s" s="0">
        <v>210</v>
      </c>
      <c r="BV23" t="s" s="0">
        <v>83</v>
      </c>
      <c r="BW23" t="s" s="0">
        <v>83</v>
      </c>
      <c r="BX23" t="s" s="0">
        <v>130</v>
      </c>
    </row>
    <row r="24">
      <c r="A24" t="s" s="0">
        <v>78</v>
      </c>
      <c r="B24" t="s" s="0">
        <v>78</v>
      </c>
      <c r="C24" t="s" s="0">
        <v>78</v>
      </c>
      <c r="D24" t="s" s="0">
        <v>78</v>
      </c>
      <c r="E24" t="s" s="0">
        <v>817</v>
      </c>
      <c r="F24" t="s" s="0">
        <v>818</v>
      </c>
      <c r="G24" t="s" s="0">
        <v>819</v>
      </c>
      <c r="H24" t="s" s="0">
        <v>83</v>
      </c>
      <c r="I24" t="s" s="0">
        <v>84</v>
      </c>
      <c r="J24" t="s" s="0">
        <v>820</v>
      </c>
      <c r="K24" t="s" s="0">
        <v>821</v>
      </c>
      <c r="L24" t="s" s="0">
        <v>83</v>
      </c>
      <c r="M24" t="s" s="0">
        <v>83</v>
      </c>
      <c r="N24" t="s" s="0">
        <v>822</v>
      </c>
      <c r="O24" t="s" s="0">
        <v>823</v>
      </c>
      <c r="P24" t="s" s="0">
        <v>824</v>
      </c>
      <c r="Q24" t="s" s="0">
        <v>92</v>
      </c>
      <c r="R24" t="s" s="0">
        <v>83</v>
      </c>
      <c r="S24" t="s" s="0">
        <v>83</v>
      </c>
      <c r="T24" t="s" s="0">
        <v>83</v>
      </c>
      <c r="U24" t="s" s="0">
        <v>83</v>
      </c>
      <c r="V24" t="s" s="0">
        <v>825</v>
      </c>
      <c r="W24" t="s" s="0">
        <v>826</v>
      </c>
      <c r="X24" t="s" s="0">
        <v>83</v>
      </c>
      <c r="Y24" t="s" s="0">
        <v>83</v>
      </c>
      <c r="Z24" t="s" s="0">
        <v>95</v>
      </c>
      <c r="AA24" t="s" s="0">
        <v>96</v>
      </c>
      <c r="AB24" t="s" s="0">
        <v>83</v>
      </c>
      <c r="AC24" t="s" s="0">
        <v>83</v>
      </c>
      <c r="AD24" t="s" s="0">
        <v>83</v>
      </c>
      <c r="AE24" t="s" s="0">
        <v>83</v>
      </c>
      <c r="AF24" t="s" s="0">
        <v>83</v>
      </c>
      <c r="AG24" t="s" s="0">
        <v>827</v>
      </c>
      <c r="AH24" t="s" s="0">
        <v>828</v>
      </c>
      <c r="AI24" t="s" s="0">
        <v>829</v>
      </c>
      <c r="AJ24" t="s" s="0">
        <v>83</v>
      </c>
      <c r="AK24" t="s" s="0">
        <v>83</v>
      </c>
      <c r="AL24" t="s" s="0">
        <v>631</v>
      </c>
      <c r="AM24" t="s" s="0">
        <v>78</v>
      </c>
      <c r="AN24" t="s" s="0">
        <v>78</v>
      </c>
      <c r="AO24" t="s" s="0">
        <v>545</v>
      </c>
      <c r="AP24" t="s" s="0">
        <v>545</v>
      </c>
      <c r="AQ24" t="s" s="0">
        <v>830</v>
      </c>
      <c r="AR24" t="s" s="0">
        <v>831</v>
      </c>
      <c r="AS24" t="s" s="0">
        <v>832</v>
      </c>
      <c r="AT24" t="s" s="0">
        <v>833</v>
      </c>
      <c r="AU24" t="s" s="0">
        <v>83</v>
      </c>
      <c r="AV24" t="s" s="0">
        <v>83</v>
      </c>
      <c r="AW24" t="s" s="0">
        <v>834</v>
      </c>
      <c r="AX24" t="s" s="0">
        <v>835</v>
      </c>
      <c r="AY24" t="s" s="0">
        <v>836</v>
      </c>
      <c r="AZ24" t="s" s="0">
        <v>511</v>
      </c>
      <c r="BA24" t="s" s="0">
        <v>310</v>
      </c>
      <c r="BB24" t="s" s="0">
        <v>83</v>
      </c>
      <c r="BC24" t="s" s="0">
        <v>83</v>
      </c>
      <c r="BD24" t="s" s="0">
        <v>83</v>
      </c>
      <c r="BE24" t="s" s="0">
        <v>83</v>
      </c>
      <c r="BF24" t="s" s="0">
        <v>83</v>
      </c>
      <c r="BG24" t="s" s="0">
        <v>83</v>
      </c>
      <c r="BH24" t="s" s="0">
        <v>83</v>
      </c>
      <c r="BI24" t="s" s="0">
        <v>837</v>
      </c>
      <c r="BJ24" t="s" s="0">
        <v>838</v>
      </c>
      <c r="BK24" t="s" s="45">
        <f>HYPERLINK("http://dx.doi.org/10.3389/fonc.2026.1786176","http://dx.doi.org/10.3389/fonc.2026.1786176")</f>
        <v>839</v>
      </c>
      <c r="BL24" t="s" s="0">
        <v>83</v>
      </c>
      <c r="BM24" t="s" s="0">
        <v>580</v>
      </c>
      <c r="BN24" t="s" s="0">
        <v>310</v>
      </c>
      <c r="BO24" t="s" s="0">
        <v>840</v>
      </c>
      <c r="BP24" t="s" s="0">
        <v>840</v>
      </c>
      <c r="BQ24" t="s" s="0">
        <v>841</v>
      </c>
      <c r="BR24" t="s" s="0">
        <v>842</v>
      </c>
      <c r="BS24" t="s" s="0">
        <v>843</v>
      </c>
      <c r="BT24" t="s" s="46">
        <f>HYPERLINK("https://www.webofscience.com/wos/woscc/full-record/WOS:001740298500001","View Record in Web of Science")</f>
        <v>126</v>
      </c>
      <c r="BU24" t="s" s="0">
        <v>210</v>
      </c>
      <c r="BV24" t="s" s="0">
        <v>83</v>
      </c>
      <c r="BW24" t="s" s="0">
        <v>83</v>
      </c>
      <c r="BX24" t="s" s="0">
        <v>130</v>
      </c>
    </row>
    <row r="25">
      <c r="A25" t="s" s="0">
        <v>78</v>
      </c>
      <c r="B25" t="s" s="0">
        <v>78</v>
      </c>
      <c r="C25" t="s" s="0">
        <v>115</v>
      </c>
      <c r="D25" t="s" s="0">
        <v>78</v>
      </c>
      <c r="E25" t="s" s="0">
        <v>844</v>
      </c>
      <c r="F25" t="s" s="0">
        <v>845</v>
      </c>
      <c r="G25" t="s" s="0">
        <v>846</v>
      </c>
      <c r="H25" t="s" s="0">
        <v>83</v>
      </c>
      <c r="I25" t="s" s="0">
        <v>257</v>
      </c>
      <c r="J25" t="s" s="0">
        <v>847</v>
      </c>
      <c r="K25" t="s" s="0">
        <v>848</v>
      </c>
      <c r="L25" t="s" s="0">
        <v>83</v>
      </c>
      <c r="M25" t="s" s="0">
        <v>83</v>
      </c>
      <c r="N25" t="s" s="0">
        <v>83</v>
      </c>
      <c r="O25" t="s" s="0">
        <v>849</v>
      </c>
      <c r="P25" t="s" s="0">
        <v>850</v>
      </c>
      <c r="Q25" t="s" s="0">
        <v>92</v>
      </c>
      <c r="R25" t="s" s="0">
        <v>83</v>
      </c>
      <c r="S25" t="s" s="0">
        <v>83</v>
      </c>
      <c r="T25" t="s" s="0">
        <v>83</v>
      </c>
      <c r="U25" t="s" s="0">
        <v>83</v>
      </c>
      <c r="V25" t="s" s="0">
        <v>851</v>
      </c>
      <c r="W25" t="s" s="0">
        <v>852</v>
      </c>
      <c r="X25" t="s" s="0">
        <v>83</v>
      </c>
      <c r="Y25" t="s" s="0">
        <v>83</v>
      </c>
      <c r="Z25" t="s" s="0">
        <v>95</v>
      </c>
      <c r="AA25" t="s" s="0">
        <v>96</v>
      </c>
      <c r="AB25" t="s" s="0">
        <v>83</v>
      </c>
      <c r="AC25" t="s" s="0">
        <v>83</v>
      </c>
      <c r="AD25" t="s" s="0">
        <v>83</v>
      </c>
      <c r="AE25" t="s" s="0">
        <v>83</v>
      </c>
      <c r="AF25" t="s" s="0">
        <v>83</v>
      </c>
      <c r="AG25" t="s" s="0">
        <v>853</v>
      </c>
      <c r="AH25" t="s" s="0">
        <v>854</v>
      </c>
      <c r="AI25" t="s" s="0">
        <v>855</v>
      </c>
      <c r="AJ25" t="s" s="0">
        <v>856</v>
      </c>
      <c r="AK25" t="s" s="0">
        <v>83</v>
      </c>
      <c r="AL25" t="s" s="0">
        <v>857</v>
      </c>
      <c r="AM25" t="s" s="0">
        <v>545</v>
      </c>
      <c r="AN25" t="s" s="0">
        <v>545</v>
      </c>
      <c r="AO25" t="s" s="0">
        <v>115</v>
      </c>
      <c r="AP25" t="s" s="0">
        <v>231</v>
      </c>
      <c r="AQ25" t="s" s="0">
        <v>720</v>
      </c>
      <c r="AR25" t="s" s="0">
        <v>721</v>
      </c>
      <c r="AS25" t="s" s="0">
        <v>722</v>
      </c>
      <c r="AT25" t="s" s="0">
        <v>858</v>
      </c>
      <c r="AU25" t="s" s="0">
        <v>83</v>
      </c>
      <c r="AV25" t="s" s="0">
        <v>83</v>
      </c>
      <c r="AW25" t="s" s="0">
        <v>852</v>
      </c>
      <c r="AX25" t="s" s="0">
        <v>859</v>
      </c>
      <c r="AY25" t="s" s="0">
        <v>860</v>
      </c>
      <c r="AZ25" t="s" s="0">
        <v>412</v>
      </c>
      <c r="BA25" t="s" s="0">
        <v>211</v>
      </c>
      <c r="BB25" t="s" s="0">
        <v>231</v>
      </c>
      <c r="BC25" t="s" s="0">
        <v>83</v>
      </c>
      <c r="BD25" t="s" s="0">
        <v>83</v>
      </c>
      <c r="BE25" t="s" s="0">
        <v>83</v>
      </c>
      <c r="BF25" t="s" s="0">
        <v>83</v>
      </c>
      <c r="BG25" t="s" s="0">
        <v>83</v>
      </c>
      <c r="BH25" t="s" s="0">
        <v>83</v>
      </c>
      <c r="BI25" t="s" s="0">
        <v>861</v>
      </c>
      <c r="BJ25" t="s" s="0">
        <v>862</v>
      </c>
      <c r="BK25" t="s" s="47">
        <f>HYPERLINK("http://dx.doi.org/10.1192/bjo.2024.789","http://dx.doi.org/10.1192/bjo.2024.789")</f>
        <v>863</v>
      </c>
      <c r="BL25" t="s" s="0">
        <v>83</v>
      </c>
      <c r="BM25" t="s" s="0">
        <v>83</v>
      </c>
      <c r="BN25" t="s" s="0">
        <v>120</v>
      </c>
      <c r="BO25" t="s" s="0">
        <v>864</v>
      </c>
      <c r="BP25" t="s" s="0">
        <v>864</v>
      </c>
      <c r="BQ25" t="s" s="0">
        <v>865</v>
      </c>
      <c r="BR25" t="s" s="0">
        <v>866</v>
      </c>
      <c r="BS25" t="s" s="0">
        <v>867</v>
      </c>
      <c r="BT25" t="s" s="48">
        <f>HYPERLINK("https://www.webofscience.com/wos/woscc/full-record/WOS:001370413500001","View Record in Web of Science")</f>
        <v>126</v>
      </c>
      <c r="BU25" t="s" s="0">
        <v>868</v>
      </c>
      <c r="BV25" t="s" s="0">
        <v>83</v>
      </c>
      <c r="BW25" t="s" s="0">
        <v>83</v>
      </c>
      <c r="BX25" t="s" s="0">
        <v>130</v>
      </c>
    </row>
    <row r="26">
      <c r="A26" t="s" s="0">
        <v>78</v>
      </c>
      <c r="B26" t="s" s="0">
        <v>78</v>
      </c>
      <c r="C26" t="s" s="0">
        <v>248</v>
      </c>
      <c r="D26" t="s" s="0">
        <v>78</v>
      </c>
      <c r="E26" t="s" s="0">
        <v>869</v>
      </c>
      <c r="F26" t="s" s="0">
        <v>870</v>
      </c>
      <c r="G26" t="s" s="0">
        <v>871</v>
      </c>
      <c r="H26" t="s" s="0">
        <v>83</v>
      </c>
      <c r="I26" t="s" s="0">
        <v>84</v>
      </c>
      <c r="J26" t="s" s="0">
        <v>872</v>
      </c>
      <c r="K26" t="s" s="0">
        <v>873</v>
      </c>
      <c r="L26" t="s" s="0">
        <v>83</v>
      </c>
      <c r="M26" t="s" s="0">
        <v>83</v>
      </c>
      <c r="N26" t="s" s="0">
        <v>83</v>
      </c>
      <c r="O26" t="s" s="0">
        <v>874</v>
      </c>
      <c r="P26" t="s" s="0">
        <v>875</v>
      </c>
      <c r="Q26" t="s" s="0">
        <v>92</v>
      </c>
      <c r="R26" t="s" s="0">
        <v>83</v>
      </c>
      <c r="S26" t="s" s="0">
        <v>83</v>
      </c>
      <c r="T26" t="s" s="0">
        <v>83</v>
      </c>
      <c r="U26" t="s" s="0">
        <v>83</v>
      </c>
      <c r="V26" t="s" s="0">
        <v>876</v>
      </c>
      <c r="W26" t="s" s="0">
        <v>877</v>
      </c>
      <c r="X26" t="s" s="0">
        <v>83</v>
      </c>
      <c r="Y26" t="s" s="0">
        <v>83</v>
      </c>
      <c r="Z26" t="s" s="0">
        <v>95</v>
      </c>
      <c r="AA26" t="s" s="0">
        <v>96</v>
      </c>
      <c r="AB26" t="s" s="0">
        <v>83</v>
      </c>
      <c r="AC26" t="s" s="0">
        <v>83</v>
      </c>
      <c r="AD26" t="s" s="0">
        <v>83</v>
      </c>
      <c r="AE26" t="s" s="0">
        <v>83</v>
      </c>
      <c r="AF26" t="s" s="0">
        <v>83</v>
      </c>
      <c r="AG26" t="s" s="0">
        <v>878</v>
      </c>
      <c r="AH26" t="s" s="0">
        <v>879</v>
      </c>
      <c r="AI26" t="s" s="0">
        <v>880</v>
      </c>
      <c r="AJ26" t="s" s="0">
        <v>881</v>
      </c>
      <c r="AK26" t="s" s="0">
        <v>83</v>
      </c>
      <c r="AL26" t="s" s="0">
        <v>882</v>
      </c>
      <c r="AM26" t="s" s="0">
        <v>883</v>
      </c>
      <c r="AN26" t="s" s="0">
        <v>884</v>
      </c>
      <c r="AO26" t="s" s="0">
        <v>78</v>
      </c>
      <c r="AP26" t="s" s="0">
        <v>231</v>
      </c>
      <c r="AQ26" t="s" s="0">
        <v>233</v>
      </c>
      <c r="AR26" t="s" s="0">
        <v>234</v>
      </c>
      <c r="AS26" t="s" s="0">
        <v>311</v>
      </c>
      <c r="AT26" t="s" s="0">
        <v>885</v>
      </c>
      <c r="AU26" t="s" s="0">
        <v>886</v>
      </c>
      <c r="AV26" t="s" s="0">
        <v>83</v>
      </c>
      <c r="AW26" t="s" s="0">
        <v>887</v>
      </c>
      <c r="AX26" t="s" s="0">
        <v>888</v>
      </c>
      <c r="AY26" t="s" s="0">
        <v>889</v>
      </c>
      <c r="AZ26" t="s" s="0">
        <v>637</v>
      </c>
      <c r="BA26" t="s" s="0">
        <v>890</v>
      </c>
      <c r="BB26" t="s" s="0">
        <v>211</v>
      </c>
      <c r="BC26" t="s" s="0">
        <v>83</v>
      </c>
      <c r="BD26" t="s" s="0">
        <v>83</v>
      </c>
      <c r="BE26" t="s" s="0">
        <v>83</v>
      </c>
      <c r="BF26" t="s" s="0">
        <v>83</v>
      </c>
      <c r="BG26" t="s" s="0">
        <v>891</v>
      </c>
      <c r="BH26" t="s" s="0">
        <v>892</v>
      </c>
      <c r="BI26" t="s" s="0">
        <v>83</v>
      </c>
      <c r="BJ26" t="s" s="0">
        <v>893</v>
      </c>
      <c r="BK26" t="s" s="49">
        <f>HYPERLINK("http://dx.doi.org/10.1016/j.spinee.2020.10.006","http://dx.doi.org/10.1016/j.spinee.2020.10.006")</f>
        <v>894</v>
      </c>
      <c r="BL26" t="s" s="0">
        <v>83</v>
      </c>
      <c r="BM26" t="s" s="0">
        <v>889</v>
      </c>
      <c r="BN26" t="s" s="0">
        <v>148</v>
      </c>
      <c r="BO26" t="s" s="0">
        <v>895</v>
      </c>
      <c r="BP26" t="s" s="0">
        <v>896</v>
      </c>
      <c r="BQ26" t="s" s="0">
        <v>897</v>
      </c>
      <c r="BR26" t="s" s="0">
        <v>898</v>
      </c>
      <c r="BS26" t="s" s="0">
        <v>899</v>
      </c>
      <c r="BT26" t="s" s="50">
        <f>HYPERLINK("https://www.webofscience.com/wos/woscc/full-record/WOS:000704865800004","View Record in Web of Science")</f>
        <v>126</v>
      </c>
      <c r="BU26" t="s" s="0">
        <v>83</v>
      </c>
      <c r="BV26" t="s" s="0">
        <v>83</v>
      </c>
      <c r="BW26" t="s" s="0">
        <v>83</v>
      </c>
      <c r="BX26" t="s" s="0">
        <v>130</v>
      </c>
    </row>
    <row r="27">
      <c r="A27" t="s" s="0">
        <v>78</v>
      </c>
      <c r="B27" t="s" s="0">
        <v>78</v>
      </c>
      <c r="C27" t="s" s="0">
        <v>78</v>
      </c>
      <c r="D27" t="s" s="0">
        <v>78</v>
      </c>
      <c r="E27" t="s" s="0">
        <v>900</v>
      </c>
      <c r="F27" t="s" s="0">
        <v>901</v>
      </c>
      <c r="G27" t="s" s="0">
        <v>902</v>
      </c>
      <c r="H27" t="s" s="0">
        <v>83</v>
      </c>
      <c r="I27" t="s" s="0">
        <v>84</v>
      </c>
      <c r="J27" t="s" s="0">
        <v>903</v>
      </c>
      <c r="K27" t="s" s="0">
        <v>904</v>
      </c>
      <c r="L27" t="s" s="0">
        <v>905</v>
      </c>
      <c r="M27" t="s" s="0">
        <v>906</v>
      </c>
      <c r="N27" t="s" s="0">
        <v>907</v>
      </c>
      <c r="O27" t="s" s="0">
        <v>908</v>
      </c>
      <c r="P27" t="s" s="0">
        <v>909</v>
      </c>
      <c r="Q27" t="s" s="0">
        <v>92</v>
      </c>
      <c r="R27" t="s" s="0">
        <v>83</v>
      </c>
      <c r="S27" t="s" s="0">
        <v>83</v>
      </c>
      <c r="T27" t="s" s="0">
        <v>83</v>
      </c>
      <c r="U27" t="s" s="0">
        <v>83</v>
      </c>
      <c r="V27" t="s" s="0">
        <v>910</v>
      </c>
      <c r="W27" t="s" s="0">
        <v>911</v>
      </c>
      <c r="X27" t="s" s="0">
        <v>83</v>
      </c>
      <c r="Y27" t="s" s="0">
        <v>83</v>
      </c>
      <c r="Z27" t="s" s="0">
        <v>95</v>
      </c>
      <c r="AA27" t="s" s="0">
        <v>96</v>
      </c>
      <c r="AB27" t="s" s="0">
        <v>83</v>
      </c>
      <c r="AC27" t="s" s="0">
        <v>83</v>
      </c>
      <c r="AD27" t="s" s="0">
        <v>83</v>
      </c>
      <c r="AE27" t="s" s="0">
        <v>83</v>
      </c>
      <c r="AF27" t="s" s="0">
        <v>83</v>
      </c>
      <c r="AG27" t="s" s="0">
        <v>912</v>
      </c>
      <c r="AH27" t="s" s="0">
        <v>913</v>
      </c>
      <c r="AI27" t="s" s="0">
        <v>914</v>
      </c>
      <c r="AJ27" t="s" s="0">
        <v>83</v>
      </c>
      <c r="AK27" t="s" s="0">
        <v>83</v>
      </c>
      <c r="AL27" t="s" s="0">
        <v>104</v>
      </c>
      <c r="AM27" t="s" s="0">
        <v>150</v>
      </c>
      <c r="AN27" t="s" s="0">
        <v>150</v>
      </c>
      <c r="AO27" t="s" s="0">
        <v>281</v>
      </c>
      <c r="AP27" t="s" s="0">
        <v>231</v>
      </c>
      <c r="AQ27" t="s" s="0">
        <v>915</v>
      </c>
      <c r="AR27" t="s" s="0">
        <v>916</v>
      </c>
      <c r="AS27" t="s" s="0">
        <v>917</v>
      </c>
      <c r="AT27" t="s" s="0">
        <v>918</v>
      </c>
      <c r="AU27" t="s" s="0">
        <v>919</v>
      </c>
      <c r="AV27" t="s" s="0">
        <v>83</v>
      </c>
      <c r="AW27" t="s" s="0">
        <v>920</v>
      </c>
      <c r="AX27" t="s" s="0">
        <v>921</v>
      </c>
      <c r="AY27" t="s" s="0">
        <v>922</v>
      </c>
      <c r="AZ27" t="s" s="0">
        <v>159</v>
      </c>
      <c r="BA27" t="s" s="0">
        <v>201</v>
      </c>
      <c r="BB27" t="s" s="0">
        <v>147</v>
      </c>
      <c r="BC27" t="s" s="0">
        <v>83</v>
      </c>
      <c r="BD27" t="s" s="0">
        <v>83</v>
      </c>
      <c r="BE27" t="s" s="0">
        <v>83</v>
      </c>
      <c r="BF27" t="s" s="0">
        <v>83</v>
      </c>
      <c r="BG27" t="s" s="0">
        <v>83</v>
      </c>
      <c r="BH27" t="s" s="0">
        <v>83</v>
      </c>
      <c r="BI27" t="s" s="0">
        <v>923</v>
      </c>
      <c r="BJ27" t="s" s="0">
        <v>924</v>
      </c>
      <c r="BK27" t="s" s="51">
        <f>HYPERLINK("http://dx.doi.org/10.3748/wjg.v31.i46.111176","http://dx.doi.org/10.3748/wjg.v31.i46.111176")</f>
        <v>925</v>
      </c>
      <c r="BL27" t="s" s="0">
        <v>83</v>
      </c>
      <c r="BM27" t="s" s="0">
        <v>83</v>
      </c>
      <c r="BN27" t="s" s="0">
        <v>417</v>
      </c>
      <c r="BO27" t="s" s="0">
        <v>926</v>
      </c>
      <c r="BP27" t="s" s="0">
        <v>926</v>
      </c>
      <c r="BQ27" t="s" s="0">
        <v>927</v>
      </c>
      <c r="BR27" t="s" s="0">
        <v>928</v>
      </c>
      <c r="BS27" t="s" s="0">
        <v>929</v>
      </c>
      <c r="BT27" t="s" s="52">
        <f>HYPERLINK("https://www.webofscience.com/wos/woscc/full-record/WOS:001651460600004","View Record in Web of Science")</f>
        <v>126</v>
      </c>
      <c r="BU27" t="s" s="0">
        <v>930</v>
      </c>
      <c r="BV27" t="s" s="0">
        <v>83</v>
      </c>
      <c r="BW27" t="s" s="0">
        <v>83</v>
      </c>
      <c r="BX27" t="s" s="0">
        <v>130</v>
      </c>
    </row>
    <row r="28">
      <c r="A28" t="s" s="0">
        <v>78</v>
      </c>
      <c r="B28" t="s" s="0">
        <v>78</v>
      </c>
      <c r="C28" t="s" s="0">
        <v>150</v>
      </c>
      <c r="D28" t="s" s="0">
        <v>78</v>
      </c>
      <c r="E28" t="s" s="0">
        <v>931</v>
      </c>
      <c r="F28" t="s" s="0">
        <v>932</v>
      </c>
      <c r="G28" t="s" s="0">
        <v>933</v>
      </c>
      <c r="H28" t="s" s="0">
        <v>83</v>
      </c>
      <c r="I28" t="s" s="0">
        <v>84</v>
      </c>
      <c r="J28" t="s" s="0">
        <v>934</v>
      </c>
      <c r="K28" t="s" s="0">
        <v>935</v>
      </c>
      <c r="L28" t="s" s="0">
        <v>936</v>
      </c>
      <c r="M28" t="s" s="0">
        <v>937</v>
      </c>
      <c r="N28" t="s" s="0">
        <v>938</v>
      </c>
      <c r="O28" t="s" s="0">
        <v>939</v>
      </c>
      <c r="P28" t="s" s="0">
        <v>940</v>
      </c>
      <c r="Q28" t="s" s="0">
        <v>92</v>
      </c>
      <c r="R28" t="s" s="0">
        <v>83</v>
      </c>
      <c r="S28" t="s" s="0">
        <v>83</v>
      </c>
      <c r="T28" t="s" s="0">
        <v>83</v>
      </c>
      <c r="U28" t="s" s="0">
        <v>83</v>
      </c>
      <c r="V28" t="s" s="0">
        <v>941</v>
      </c>
      <c r="W28" t="s" s="0">
        <v>942</v>
      </c>
      <c r="X28" t="s" s="0">
        <v>83</v>
      </c>
      <c r="Y28" t="s" s="0">
        <v>83</v>
      </c>
      <c r="Z28" t="s" s="0">
        <v>95</v>
      </c>
      <c r="AA28" t="s" s="0">
        <v>96</v>
      </c>
      <c r="AB28" t="s" s="0">
        <v>83</v>
      </c>
      <c r="AC28" t="s" s="0">
        <v>83</v>
      </c>
      <c r="AD28" t="s" s="0">
        <v>83</v>
      </c>
      <c r="AE28" t="s" s="0">
        <v>83</v>
      </c>
      <c r="AF28" t="s" s="0">
        <v>83</v>
      </c>
      <c r="AG28" t="s" s="0">
        <v>943</v>
      </c>
      <c r="AH28" t="s" s="0">
        <v>944</v>
      </c>
      <c r="AI28" t="s" s="0">
        <v>945</v>
      </c>
      <c r="AJ28" t="s" s="0">
        <v>946</v>
      </c>
      <c r="AK28" t="s" s="0">
        <v>83</v>
      </c>
      <c r="AL28" t="s" s="0">
        <v>270</v>
      </c>
      <c r="AM28" t="s" s="0">
        <v>248</v>
      </c>
      <c r="AN28" t="s" s="0">
        <v>417</v>
      </c>
      <c r="AO28" t="s" s="0">
        <v>150</v>
      </c>
      <c r="AP28" t="s" s="0">
        <v>165</v>
      </c>
      <c r="AQ28" t="s" s="0">
        <v>378</v>
      </c>
      <c r="AR28" t="s" s="0">
        <v>106</v>
      </c>
      <c r="AS28" t="s" s="0">
        <v>379</v>
      </c>
      <c r="AT28" t="s" s="0">
        <v>83</v>
      </c>
      <c r="AU28" t="s" s="0">
        <v>947</v>
      </c>
      <c r="AV28" t="s" s="0">
        <v>83</v>
      </c>
      <c r="AW28" t="s" s="0">
        <v>948</v>
      </c>
      <c r="AX28" t="s" s="0">
        <v>949</v>
      </c>
      <c r="AY28" t="s" s="0">
        <v>950</v>
      </c>
      <c r="AZ28" t="s" s="0">
        <v>412</v>
      </c>
      <c r="BA28" t="s" s="0">
        <v>120</v>
      </c>
      <c r="BB28" t="s" s="0">
        <v>115</v>
      </c>
      <c r="BC28" t="s" s="0">
        <v>83</v>
      </c>
      <c r="BD28" t="s" s="0">
        <v>83</v>
      </c>
      <c r="BE28" t="s" s="0">
        <v>83</v>
      </c>
      <c r="BF28" t="s" s="0">
        <v>83</v>
      </c>
      <c r="BG28" t="s" s="0">
        <v>83</v>
      </c>
      <c r="BH28" t="s" s="0">
        <v>83</v>
      </c>
      <c r="BI28" t="s" s="0">
        <v>202</v>
      </c>
      <c r="BJ28" t="s" s="0">
        <v>951</v>
      </c>
      <c r="BK28" t="s" s="53">
        <f>HYPERLINK("http://dx.doi.org/10.1186/s13643-024-02449-9","http://dx.doi.org/10.1186/s13643-024-02449-9")</f>
        <v>952</v>
      </c>
      <c r="BL28" t="s" s="0">
        <v>83</v>
      </c>
      <c r="BM28" t="s" s="0">
        <v>83</v>
      </c>
      <c r="BN28" t="s" s="0">
        <v>417</v>
      </c>
      <c r="BO28" t="s" s="0">
        <v>669</v>
      </c>
      <c r="BP28" t="s" s="0">
        <v>670</v>
      </c>
      <c r="BQ28" t="s" s="0">
        <v>953</v>
      </c>
      <c r="BR28" t="s" s="0">
        <v>954</v>
      </c>
      <c r="BS28" t="s" s="0">
        <v>955</v>
      </c>
      <c r="BT28" t="s" s="54">
        <f>HYPERLINK("https://www.webofscience.com/wos/woscc/full-record/WOS:001148296800001","View Record in Web of Science")</f>
        <v>126</v>
      </c>
      <c r="BU28" t="s" s="0">
        <v>210</v>
      </c>
      <c r="BV28" t="s" s="0">
        <v>83</v>
      </c>
      <c r="BW28" t="s" s="0">
        <v>83</v>
      </c>
      <c r="BX28" t="s" s="0">
        <v>130</v>
      </c>
    </row>
    <row r="29">
      <c r="A29" t="s" s="0">
        <v>78</v>
      </c>
      <c r="B29" t="s" s="0">
        <v>78</v>
      </c>
      <c r="C29" t="s" s="0">
        <v>150</v>
      </c>
      <c r="D29" t="s" s="0">
        <v>78</v>
      </c>
      <c r="E29" t="s" s="0">
        <v>956</v>
      </c>
      <c r="F29" t="s" s="0">
        <v>957</v>
      </c>
      <c r="G29" t="s" s="0">
        <v>958</v>
      </c>
      <c r="H29" t="s" s="0">
        <v>83</v>
      </c>
      <c r="I29" t="s" s="0">
        <v>84</v>
      </c>
      <c r="J29" t="s" s="0">
        <v>959</v>
      </c>
      <c r="K29" t="s" s="0">
        <v>960</v>
      </c>
      <c r="L29" t="s" s="0">
        <v>83</v>
      </c>
      <c r="M29" t="s" s="0">
        <v>83</v>
      </c>
      <c r="N29" t="s" s="0">
        <v>83</v>
      </c>
      <c r="O29" t="s" s="0">
        <v>961</v>
      </c>
      <c r="P29" t="s" s="0">
        <v>962</v>
      </c>
      <c r="Q29" t="s" s="0">
        <v>92</v>
      </c>
      <c r="R29" t="s" s="0">
        <v>83</v>
      </c>
      <c r="S29" t="s" s="0">
        <v>83</v>
      </c>
      <c r="T29" t="s" s="0">
        <v>83</v>
      </c>
      <c r="U29" t="s" s="0">
        <v>83</v>
      </c>
      <c r="V29" t="s" s="0">
        <v>963</v>
      </c>
      <c r="W29" t="s" s="0">
        <v>964</v>
      </c>
      <c r="X29" t="s" s="0">
        <v>83</v>
      </c>
      <c r="Y29" t="s" s="0">
        <v>83</v>
      </c>
      <c r="Z29" t="s" s="0">
        <v>95</v>
      </c>
      <c r="AA29" t="s" s="0">
        <v>96</v>
      </c>
      <c r="AB29" t="s" s="0">
        <v>83</v>
      </c>
      <c r="AC29" t="s" s="0">
        <v>83</v>
      </c>
      <c r="AD29" t="s" s="0">
        <v>83</v>
      </c>
      <c r="AE29" t="s" s="0">
        <v>83</v>
      </c>
      <c r="AF29" t="s" s="0">
        <v>83</v>
      </c>
      <c r="AG29" t="s" s="0">
        <v>965</v>
      </c>
      <c r="AH29" t="s" s="0">
        <v>966</v>
      </c>
      <c r="AI29" t="s" s="0">
        <v>967</v>
      </c>
      <c r="AJ29" t="s" s="0">
        <v>968</v>
      </c>
      <c r="AK29" t="s" s="0">
        <v>83</v>
      </c>
      <c r="AL29" t="s" s="0">
        <v>969</v>
      </c>
      <c r="AM29" t="s" s="0">
        <v>211</v>
      </c>
      <c r="AN29" t="s" s="0">
        <v>211</v>
      </c>
      <c r="AO29" t="s" s="0">
        <v>78</v>
      </c>
      <c r="AP29" t="s" s="0">
        <v>281</v>
      </c>
      <c r="AQ29" t="s" s="0">
        <v>970</v>
      </c>
      <c r="AR29" t="s" s="0">
        <v>971</v>
      </c>
      <c r="AS29" t="s" s="0">
        <v>972</v>
      </c>
      <c r="AT29" t="s" s="0">
        <v>973</v>
      </c>
      <c r="AU29" t="s" s="0">
        <v>974</v>
      </c>
      <c r="AV29" t="s" s="0">
        <v>83</v>
      </c>
      <c r="AW29" t="s" s="0">
        <v>975</v>
      </c>
      <c r="AX29" t="s" s="0">
        <v>976</v>
      </c>
      <c r="AY29" t="s" s="0">
        <v>977</v>
      </c>
      <c r="AZ29" t="s" s="0">
        <v>241</v>
      </c>
      <c r="BA29" t="s" s="0">
        <v>978</v>
      </c>
      <c r="BB29" t="s" s="0">
        <v>115</v>
      </c>
      <c r="BC29" t="s" s="0">
        <v>83</v>
      </c>
      <c r="BD29" t="s" s="0">
        <v>83</v>
      </c>
      <c r="BE29" t="s" s="0">
        <v>83</v>
      </c>
      <c r="BF29" t="s" s="0">
        <v>83</v>
      </c>
      <c r="BG29" t="s" s="0">
        <v>884</v>
      </c>
      <c r="BH29" t="s" s="0">
        <v>690</v>
      </c>
      <c r="BI29" t="s" s="0">
        <v>83</v>
      </c>
      <c r="BJ29" t="s" s="0">
        <v>979</v>
      </c>
      <c r="BK29" t="s" s="55">
        <f>HYPERLINK("http://dx.doi.org/10.1016/j.rce.2022.07.004","http://dx.doi.org/10.1016/j.rce.2022.07.004")</f>
        <v>980</v>
      </c>
      <c r="BL29" t="s" s="0">
        <v>83</v>
      </c>
      <c r="BM29" t="s" s="0">
        <v>977</v>
      </c>
      <c r="BN29" t="s" s="0">
        <v>211</v>
      </c>
      <c r="BO29" t="s" s="0">
        <v>669</v>
      </c>
      <c r="BP29" t="s" s="0">
        <v>670</v>
      </c>
      <c r="BQ29" t="s" s="0">
        <v>981</v>
      </c>
      <c r="BR29" t="s" s="0">
        <v>982</v>
      </c>
      <c r="BS29" t="s" s="0">
        <v>983</v>
      </c>
      <c r="BT29" t="s" s="56">
        <f>HYPERLINK("https://www.webofscience.com/wos/woscc/full-record/WOS:000921012200001","View Record in Web of Science")</f>
        <v>126</v>
      </c>
      <c r="BU29" t="s" s="0">
        <v>127</v>
      </c>
      <c r="BV29" t="s" s="0">
        <v>83</v>
      </c>
      <c r="BW29" t="s" s="0">
        <v>83</v>
      </c>
      <c r="BX29" t="s" s="0">
        <v>130</v>
      </c>
    </row>
    <row r="30">
      <c r="A30" t="s" s="0">
        <v>115</v>
      </c>
      <c r="B30" t="s" s="0">
        <v>78</v>
      </c>
      <c r="C30" t="s" s="0">
        <v>115</v>
      </c>
      <c r="D30" t="s" s="0">
        <v>115</v>
      </c>
      <c r="E30" t="s" s="0">
        <v>984</v>
      </c>
      <c r="F30" t="s" s="0">
        <v>985</v>
      </c>
      <c r="G30" t="s" s="0">
        <v>986</v>
      </c>
      <c r="H30" t="s" s="0">
        <v>83</v>
      </c>
      <c r="I30" t="s" s="0">
        <v>174</v>
      </c>
      <c r="J30" t="s" s="0">
        <v>987</v>
      </c>
      <c r="K30" t="s" s="0">
        <v>988</v>
      </c>
      <c r="L30" t="s" s="0">
        <v>989</v>
      </c>
      <c r="M30" t="s" s="0">
        <v>990</v>
      </c>
      <c r="N30" t="s" s="0">
        <v>991</v>
      </c>
      <c r="O30" t="s" s="0">
        <v>992</v>
      </c>
      <c r="P30" t="s" s="0">
        <v>993</v>
      </c>
      <c r="Q30" t="s" s="0">
        <v>92</v>
      </c>
      <c r="R30" t="s" s="0">
        <v>83</v>
      </c>
      <c r="S30" t="s" s="0">
        <v>83</v>
      </c>
      <c r="T30" t="s" s="0">
        <v>83</v>
      </c>
      <c r="U30" t="s" s="0">
        <v>83</v>
      </c>
      <c r="V30" t="s" s="0">
        <v>994</v>
      </c>
      <c r="W30" t="s" s="0">
        <v>995</v>
      </c>
      <c r="X30" t="s" s="0">
        <v>83</v>
      </c>
      <c r="Y30" t="s" s="0">
        <v>83</v>
      </c>
      <c r="Z30" t="s" s="0">
        <v>95</v>
      </c>
      <c r="AA30" t="s" s="0">
        <v>96</v>
      </c>
      <c r="AB30" t="s" s="0">
        <v>83</v>
      </c>
      <c r="AC30" t="s" s="0">
        <v>83</v>
      </c>
      <c r="AD30" t="s" s="0">
        <v>83</v>
      </c>
      <c r="AE30" t="s" s="0">
        <v>83</v>
      </c>
      <c r="AF30" t="s" s="0">
        <v>83</v>
      </c>
      <c r="AG30" t="s" s="0">
        <v>996</v>
      </c>
      <c r="AH30" t="s" s="0">
        <v>997</v>
      </c>
      <c r="AI30" t="s" s="0">
        <v>998</v>
      </c>
      <c r="AJ30" t="s" s="0">
        <v>999</v>
      </c>
      <c r="AK30" t="s" s="0">
        <v>83</v>
      </c>
      <c r="AL30" t="s" s="0">
        <v>1000</v>
      </c>
      <c r="AM30" t="s" s="0">
        <v>231</v>
      </c>
      <c r="AN30" t="s" s="0">
        <v>149</v>
      </c>
      <c r="AO30" t="s" s="0">
        <v>78</v>
      </c>
      <c r="AP30" t="s" s="0">
        <v>231</v>
      </c>
      <c r="AQ30" t="s" s="0">
        <v>1001</v>
      </c>
      <c r="AR30" t="s" s="0">
        <v>1002</v>
      </c>
      <c r="AS30" t="s" s="0">
        <v>1003</v>
      </c>
      <c r="AT30" t="s" s="0">
        <v>1004</v>
      </c>
      <c r="AU30" t="s" s="0">
        <v>83</v>
      </c>
      <c r="AV30" t="s" s="0">
        <v>83</v>
      </c>
      <c r="AW30" t="s" s="0">
        <v>1005</v>
      </c>
      <c r="AX30" t="s" s="0">
        <v>1006</v>
      </c>
      <c r="AY30" t="s" s="0">
        <v>1007</v>
      </c>
      <c r="AZ30" t="s" s="0">
        <v>279</v>
      </c>
      <c r="BA30" t="s" s="0">
        <v>232</v>
      </c>
      <c r="BB30" t="s" s="0">
        <v>545</v>
      </c>
      <c r="BC30" t="s" s="0">
        <v>83</v>
      </c>
      <c r="BD30" t="s" s="0">
        <v>83</v>
      </c>
      <c r="BE30" t="s" s="0">
        <v>83</v>
      </c>
      <c r="BF30" t="s" s="0">
        <v>83</v>
      </c>
      <c r="BG30" t="s" s="0">
        <v>83</v>
      </c>
      <c r="BH30" t="s" s="0">
        <v>83</v>
      </c>
      <c r="BI30" t="s" s="0">
        <v>1008</v>
      </c>
      <c r="BJ30" t="s" s="0">
        <v>1009</v>
      </c>
      <c r="BK30" t="s" s="57">
        <f>HYPERLINK("http://dx.doi.org/10.2196/30956","http://dx.doi.org/10.2196/30956")</f>
        <v>1010</v>
      </c>
      <c r="BL30" t="s" s="0">
        <v>83</v>
      </c>
      <c r="BM30" t="s" s="0">
        <v>83</v>
      </c>
      <c r="BN30" t="s" s="0">
        <v>248</v>
      </c>
      <c r="BO30" t="s" s="0">
        <v>249</v>
      </c>
      <c r="BP30" t="s" s="0">
        <v>249</v>
      </c>
      <c r="BQ30" t="s" s="0">
        <v>1011</v>
      </c>
      <c r="BR30" t="s" s="0">
        <v>1012</v>
      </c>
      <c r="BS30" t="s" s="0">
        <v>1013</v>
      </c>
      <c r="BT30" t="s" s="58">
        <f>HYPERLINK("https://www.webofscience.com/wos/woscc/full-record/WOS:000779979500007","View Record in Web of Science")</f>
        <v>126</v>
      </c>
      <c r="BU30" t="s" s="0">
        <v>1014</v>
      </c>
      <c r="BV30" t="s" s="0">
        <v>83</v>
      </c>
      <c r="BW30" t="s" s="0">
        <v>83</v>
      </c>
      <c r="BX30" t="s" s="0">
        <v>130</v>
      </c>
    </row>
    <row r="31">
      <c r="A31" t="s" s="0">
        <v>78</v>
      </c>
      <c r="B31" t="s" s="0">
        <v>78</v>
      </c>
      <c r="C31" t="s" s="0">
        <v>77</v>
      </c>
      <c r="D31" t="s" s="0">
        <v>78</v>
      </c>
      <c r="E31" t="s" s="0">
        <v>1015</v>
      </c>
      <c r="F31" t="s" s="0">
        <v>1016</v>
      </c>
      <c r="G31" t="s" s="0">
        <v>1017</v>
      </c>
      <c r="H31" t="s" s="0">
        <v>83</v>
      </c>
      <c r="I31" t="s" s="0">
        <v>174</v>
      </c>
      <c r="J31" t="s" s="0">
        <v>1018</v>
      </c>
      <c r="K31" t="s" s="0">
        <v>1019</v>
      </c>
      <c r="L31" t="s" s="0">
        <v>1020</v>
      </c>
      <c r="M31" t="s" s="0">
        <v>1021</v>
      </c>
      <c r="N31" t="s" s="0">
        <v>1022</v>
      </c>
      <c r="O31" t="s" s="0">
        <v>1023</v>
      </c>
      <c r="P31" t="s" s="0">
        <v>1024</v>
      </c>
      <c r="Q31" t="s" s="0">
        <v>92</v>
      </c>
      <c r="R31" t="s" s="0">
        <v>83</v>
      </c>
      <c r="S31" t="s" s="0">
        <v>83</v>
      </c>
      <c r="T31" t="s" s="0">
        <v>83</v>
      </c>
      <c r="U31" t="s" s="0">
        <v>83</v>
      </c>
      <c r="V31" t="s" s="0">
        <v>1025</v>
      </c>
      <c r="W31" t="s" s="0">
        <v>1026</v>
      </c>
      <c r="X31" t="s" s="0">
        <v>83</v>
      </c>
      <c r="Y31" t="s" s="0">
        <v>83</v>
      </c>
      <c r="Z31" t="s" s="0">
        <v>95</v>
      </c>
      <c r="AA31" t="s" s="0">
        <v>96</v>
      </c>
      <c r="AB31" t="s" s="0">
        <v>83</v>
      </c>
      <c r="AC31" t="s" s="0">
        <v>83</v>
      </c>
      <c r="AD31" t="s" s="0">
        <v>83</v>
      </c>
      <c r="AE31" t="s" s="0">
        <v>83</v>
      </c>
      <c r="AF31" t="s" s="0">
        <v>83</v>
      </c>
      <c r="AG31" t="s" s="0">
        <v>83</v>
      </c>
      <c r="AH31" t="s" s="0">
        <v>1027</v>
      </c>
      <c r="AI31" t="s" s="0">
        <v>1028</v>
      </c>
      <c r="AJ31" t="s" s="0">
        <v>1029</v>
      </c>
      <c r="AK31" t="s" s="0">
        <v>83</v>
      </c>
      <c r="AL31" t="s" s="0">
        <v>1030</v>
      </c>
      <c r="AM31" t="s" s="0">
        <v>232</v>
      </c>
      <c r="AN31" t="s" s="0">
        <v>309</v>
      </c>
      <c r="AO31" t="s" s="0">
        <v>78</v>
      </c>
      <c r="AP31" t="s" s="0">
        <v>150</v>
      </c>
      <c r="AQ31" t="s" s="0">
        <v>1031</v>
      </c>
      <c r="AR31" t="s" s="0">
        <v>1032</v>
      </c>
      <c r="AS31" t="s" s="0">
        <v>1033</v>
      </c>
      <c r="AT31" t="s" s="0">
        <v>83</v>
      </c>
      <c r="AU31" t="s" s="0">
        <v>1034</v>
      </c>
      <c r="AV31" t="s" s="0">
        <v>83</v>
      </c>
      <c r="AW31" t="s" s="0">
        <v>1035</v>
      </c>
      <c r="AX31" t="s" s="0">
        <v>1036</v>
      </c>
      <c r="AY31" t="s" s="0">
        <v>1037</v>
      </c>
      <c r="AZ31" t="s" s="0">
        <v>637</v>
      </c>
      <c r="BA31" t="s" s="0">
        <v>231</v>
      </c>
      <c r="BB31" t="s" s="0">
        <v>148</v>
      </c>
      <c r="BC31" t="s" s="0">
        <v>83</v>
      </c>
      <c r="BD31" t="s" s="0">
        <v>83</v>
      </c>
      <c r="BE31" t="s" s="0">
        <v>83</v>
      </c>
      <c r="BF31" t="s" s="0">
        <v>83</v>
      </c>
      <c r="BG31" t="s" s="0">
        <v>1038</v>
      </c>
      <c r="BH31" t="s" s="0">
        <v>1039</v>
      </c>
      <c r="BI31" t="s" s="0">
        <v>83</v>
      </c>
      <c r="BJ31" t="s" s="0">
        <v>1040</v>
      </c>
      <c r="BK31" t="s" s="59">
        <f>HYPERLINK("http://dx.doi.org/10.5194/jbji-6-257-2021","http://dx.doi.org/10.5194/jbji-6-257-2021")</f>
        <v>1041</v>
      </c>
      <c r="BL31" t="s" s="0">
        <v>83</v>
      </c>
      <c r="BM31" t="s" s="0">
        <v>83</v>
      </c>
      <c r="BN31" t="s" s="0">
        <v>309</v>
      </c>
      <c r="BO31" t="s" s="0">
        <v>1042</v>
      </c>
      <c r="BP31" t="s" s="0">
        <v>1042</v>
      </c>
      <c r="BQ31" t="s" s="0">
        <v>1043</v>
      </c>
      <c r="BR31" t="s" s="0">
        <v>1044</v>
      </c>
      <c r="BS31" t="s" s="0">
        <v>1045</v>
      </c>
      <c r="BT31" t="s" s="60">
        <f>HYPERLINK("https://www.webofscience.com/wos/woscc/full-record/WOS:000989006600001","View Record in Web of Science")</f>
        <v>126</v>
      </c>
      <c r="BU31" t="s" s="0">
        <v>868</v>
      </c>
      <c r="BV31" t="s" s="0">
        <v>83</v>
      </c>
      <c r="BW31" t="s" s="0">
        <v>83</v>
      </c>
      <c r="BX31" t="s" s="0">
        <v>130</v>
      </c>
    </row>
    <row r="32">
      <c r="A32" t="s" s="0">
        <v>78</v>
      </c>
      <c r="B32" t="s" s="0">
        <v>78</v>
      </c>
      <c r="C32" t="s" s="0">
        <v>150</v>
      </c>
      <c r="D32" t="s" s="0">
        <v>78</v>
      </c>
      <c r="E32" t="s" s="0">
        <v>1046</v>
      </c>
      <c r="F32" t="s" s="0">
        <v>1047</v>
      </c>
      <c r="G32" t="s" s="0">
        <v>1048</v>
      </c>
      <c r="H32" t="s" s="0">
        <v>83</v>
      </c>
      <c r="I32" t="s" s="0">
        <v>84</v>
      </c>
      <c r="J32" t="s" s="0">
        <v>1049</v>
      </c>
      <c r="K32" t="s" s="0">
        <v>1050</v>
      </c>
      <c r="L32" t="s" s="0">
        <v>1051</v>
      </c>
      <c r="M32" t="s" s="0">
        <v>1052</v>
      </c>
      <c r="N32" t="s" s="0">
        <v>1053</v>
      </c>
      <c r="O32" t="s" s="0">
        <v>1054</v>
      </c>
      <c r="P32" t="s" s="0">
        <v>1055</v>
      </c>
      <c r="Q32" t="s" s="0">
        <v>92</v>
      </c>
      <c r="R32" t="s" s="0">
        <v>83</v>
      </c>
      <c r="S32" t="s" s="0">
        <v>83</v>
      </c>
      <c r="T32" t="s" s="0">
        <v>83</v>
      </c>
      <c r="U32" t="s" s="0">
        <v>83</v>
      </c>
      <c r="V32" t="s" s="0">
        <v>1056</v>
      </c>
      <c r="W32" t="s" s="0">
        <v>1057</v>
      </c>
      <c r="X32" t="s" s="0">
        <v>83</v>
      </c>
      <c r="Y32" t="s" s="0">
        <v>83</v>
      </c>
      <c r="Z32" t="s" s="0">
        <v>95</v>
      </c>
      <c r="AA32" t="s" s="0">
        <v>96</v>
      </c>
      <c r="AB32" t="s" s="0">
        <v>83</v>
      </c>
      <c r="AC32" t="s" s="0">
        <v>83</v>
      </c>
      <c r="AD32" t="s" s="0">
        <v>83</v>
      </c>
      <c r="AE32" t="s" s="0">
        <v>83</v>
      </c>
      <c r="AF32" t="s" s="0">
        <v>83</v>
      </c>
      <c r="AG32" t="s" s="0">
        <v>1058</v>
      </c>
      <c r="AH32" t="s" s="0">
        <v>1059</v>
      </c>
      <c r="AI32" t="s" s="0">
        <v>1060</v>
      </c>
      <c r="AJ32" t="s" s="0">
        <v>1061</v>
      </c>
      <c r="AK32" t="s" s="0">
        <v>83</v>
      </c>
      <c r="AL32" t="s" s="0">
        <v>229</v>
      </c>
      <c r="AM32" t="s" s="0">
        <v>310</v>
      </c>
      <c r="AN32" t="s" s="0">
        <v>374</v>
      </c>
      <c r="AO32" t="s" s="0">
        <v>78</v>
      </c>
      <c r="AP32" t="s" s="0">
        <v>231</v>
      </c>
      <c r="AQ32" t="s" s="0">
        <v>830</v>
      </c>
      <c r="AR32" t="s" s="0">
        <v>831</v>
      </c>
      <c r="AS32" t="s" s="0">
        <v>832</v>
      </c>
      <c r="AT32" t="s" s="0">
        <v>1062</v>
      </c>
      <c r="AU32" t="s" s="0">
        <v>1063</v>
      </c>
      <c r="AV32" t="s" s="0">
        <v>83</v>
      </c>
      <c r="AW32" t="s" s="0">
        <v>1064</v>
      </c>
      <c r="AX32" t="s" s="0">
        <v>1065</v>
      </c>
      <c r="AY32" t="s" s="0">
        <v>1066</v>
      </c>
      <c r="AZ32" t="s" s="0">
        <v>279</v>
      </c>
      <c r="BA32" t="s" s="0">
        <v>188</v>
      </c>
      <c r="BB32" t="s" s="0">
        <v>83</v>
      </c>
      <c r="BC32" t="s" s="0">
        <v>83</v>
      </c>
      <c r="BD32" t="s" s="0">
        <v>83</v>
      </c>
      <c r="BE32" t="s" s="0">
        <v>83</v>
      </c>
      <c r="BF32" t="s" s="0">
        <v>83</v>
      </c>
      <c r="BG32" t="s" s="0">
        <v>83</v>
      </c>
      <c r="BH32" t="s" s="0">
        <v>83</v>
      </c>
      <c r="BI32" t="s" s="0">
        <v>1067</v>
      </c>
      <c r="BJ32" t="s" s="0">
        <v>1068</v>
      </c>
      <c r="BK32" t="s" s="61">
        <f>HYPERLINK("http://dx.doi.org/10.3389/ti.2022.10397","http://dx.doi.org/10.3389/ti.2022.10397")</f>
        <v>1069</v>
      </c>
      <c r="BL32" t="s" s="0">
        <v>83</v>
      </c>
      <c r="BM32" t="s" s="0">
        <v>83</v>
      </c>
      <c r="BN32" t="s" s="0">
        <v>120</v>
      </c>
      <c r="BO32" t="s" s="0">
        <v>1070</v>
      </c>
      <c r="BP32" t="s" s="0">
        <v>1070</v>
      </c>
      <c r="BQ32" t="s" s="0">
        <v>1071</v>
      </c>
      <c r="BR32" t="s" s="0">
        <v>1072</v>
      </c>
      <c r="BS32" t="s" s="0">
        <v>1073</v>
      </c>
      <c r="BT32" t="s" s="62">
        <f>HYPERLINK("https://www.webofscience.com/wos/woscc/full-record/WOS:000886070100001","View Record in Web of Science")</f>
        <v>126</v>
      </c>
      <c r="BU32" t="s" s="0">
        <v>868</v>
      </c>
      <c r="BV32" t="s" s="0">
        <v>83</v>
      </c>
      <c r="BW32" t="s" s="0">
        <v>83</v>
      </c>
      <c r="BX32" t="s" s="0">
        <v>130</v>
      </c>
    </row>
    <row r="33">
      <c r="A33" t="s" s="0">
        <v>78</v>
      </c>
      <c r="B33" t="s" s="0">
        <v>78</v>
      </c>
      <c r="C33" t="s" s="0">
        <v>78</v>
      </c>
      <c r="D33" t="s" s="0">
        <v>78</v>
      </c>
      <c r="E33" t="s" s="0">
        <v>1074</v>
      </c>
      <c r="F33" t="s" s="0">
        <v>1075</v>
      </c>
      <c r="G33" t="s" s="0">
        <v>1076</v>
      </c>
      <c r="H33" t="s" s="0">
        <v>83</v>
      </c>
      <c r="I33" t="s" s="0">
        <v>84</v>
      </c>
      <c r="J33" t="s" s="0">
        <v>1077</v>
      </c>
      <c r="K33" t="s" s="0">
        <v>1078</v>
      </c>
      <c r="L33" t="s" s="0">
        <v>1079</v>
      </c>
      <c r="M33" t="s" s="0">
        <v>1080</v>
      </c>
      <c r="N33" t="s" s="0">
        <v>1081</v>
      </c>
      <c r="O33" t="s" s="0">
        <v>1082</v>
      </c>
      <c r="P33" t="s" s="0">
        <v>1083</v>
      </c>
      <c r="Q33" t="s" s="0">
        <v>92</v>
      </c>
      <c r="R33" t="s" s="0">
        <v>83</v>
      </c>
      <c r="S33" t="s" s="0">
        <v>83</v>
      </c>
      <c r="T33" t="s" s="0">
        <v>83</v>
      </c>
      <c r="U33" t="s" s="0">
        <v>83</v>
      </c>
      <c r="V33" t="s" s="0">
        <v>1084</v>
      </c>
      <c r="W33" t="s" s="0">
        <v>1085</v>
      </c>
      <c r="X33" t="s" s="0">
        <v>83</v>
      </c>
      <c r="Y33" t="s" s="0">
        <v>83</v>
      </c>
      <c r="Z33" t="s" s="0">
        <v>95</v>
      </c>
      <c r="AA33" t="s" s="0">
        <v>96</v>
      </c>
      <c r="AB33" t="s" s="0">
        <v>83</v>
      </c>
      <c r="AC33" t="s" s="0">
        <v>83</v>
      </c>
      <c r="AD33" t="s" s="0">
        <v>83</v>
      </c>
      <c r="AE33" t="s" s="0">
        <v>83</v>
      </c>
      <c r="AF33" t="s" s="0">
        <v>83</v>
      </c>
      <c r="AG33" t="s" s="0">
        <v>1086</v>
      </c>
      <c r="AH33" t="s" s="0">
        <v>1087</v>
      </c>
      <c r="AI33" t="s" s="0">
        <v>1088</v>
      </c>
      <c r="AJ33" t="s" s="0">
        <v>1089</v>
      </c>
      <c r="AK33" t="s" s="0">
        <v>83</v>
      </c>
      <c r="AL33" t="s" s="0">
        <v>270</v>
      </c>
      <c r="AM33" t="s" s="0">
        <v>150</v>
      </c>
      <c r="AN33" t="s" s="0">
        <v>150</v>
      </c>
      <c r="AO33" t="s" s="0">
        <v>78</v>
      </c>
      <c r="AP33" t="s" s="0">
        <v>281</v>
      </c>
      <c r="AQ33" t="s" s="0">
        <v>1090</v>
      </c>
      <c r="AR33" t="s" s="0">
        <v>1091</v>
      </c>
      <c r="AS33" t="s" s="0">
        <v>1092</v>
      </c>
      <c r="AT33" t="s" s="0">
        <v>1093</v>
      </c>
      <c r="AU33" t="s" s="0">
        <v>1094</v>
      </c>
      <c r="AV33" t="s" s="0">
        <v>83</v>
      </c>
      <c r="AW33" t="s" s="0">
        <v>1095</v>
      </c>
      <c r="AX33" t="s" s="0">
        <v>1096</v>
      </c>
      <c r="AY33" t="s" s="0">
        <v>1097</v>
      </c>
      <c r="AZ33" t="s" s="0">
        <v>159</v>
      </c>
      <c r="BA33" t="s" s="0">
        <v>1098</v>
      </c>
      <c r="BB33" t="s" s="0">
        <v>83</v>
      </c>
      <c r="BC33" t="s" s="0">
        <v>83</v>
      </c>
      <c r="BD33" t="s" s="0">
        <v>83</v>
      </c>
      <c r="BE33" t="s" s="0">
        <v>83</v>
      </c>
      <c r="BF33" t="s" s="0">
        <v>83</v>
      </c>
      <c r="BG33" t="s" s="0">
        <v>83</v>
      </c>
      <c r="BH33" t="s" s="0">
        <v>83</v>
      </c>
      <c r="BI33" t="s" s="0">
        <v>1099</v>
      </c>
      <c r="BJ33" t="s" s="0">
        <v>1100</v>
      </c>
      <c r="BK33" t="s" s="63">
        <f>HYPERLINK("http://dx.doi.org/10.1016/j.semarthrit.2025.152728","http://dx.doi.org/10.1016/j.semarthrit.2025.152728")</f>
        <v>1101</v>
      </c>
      <c r="BL33" t="s" s="0">
        <v>83</v>
      </c>
      <c r="BM33" t="s" s="0">
        <v>1102</v>
      </c>
      <c r="BN33" t="s" s="0">
        <v>248</v>
      </c>
      <c r="BO33" t="s" s="0">
        <v>1103</v>
      </c>
      <c r="BP33" t="s" s="0">
        <v>1103</v>
      </c>
      <c r="BQ33" t="s" s="0">
        <v>1104</v>
      </c>
      <c r="BR33" t="s" s="0">
        <v>1105</v>
      </c>
      <c r="BS33" t="s" s="0">
        <v>1106</v>
      </c>
      <c r="BT33" t="s" s="64">
        <f>HYPERLINK("https://www.webofscience.com/wos/woscc/full-record/WOS:001477223500001","View Record in Web of Science")</f>
        <v>126</v>
      </c>
      <c r="BU33" t="s" s="0">
        <v>83</v>
      </c>
      <c r="BV33" t="s" s="0">
        <v>83</v>
      </c>
      <c r="BW33" t="s" s="0">
        <v>83</v>
      </c>
      <c r="BX33" t="s" s="0">
        <v>130</v>
      </c>
    </row>
    <row r="34">
      <c r="A34" t="s" s="0">
        <v>115</v>
      </c>
      <c r="B34" t="s" s="0">
        <v>78</v>
      </c>
      <c r="C34" t="s" s="0">
        <v>78</v>
      </c>
      <c r="D34" t="s" s="0">
        <v>78</v>
      </c>
      <c r="E34" t="s" s="0">
        <v>1107</v>
      </c>
      <c r="F34" t="s" s="0">
        <v>1108</v>
      </c>
      <c r="G34" t="s" s="0">
        <v>1109</v>
      </c>
      <c r="H34" t="s" s="0">
        <v>83</v>
      </c>
      <c r="I34" t="s" s="0">
        <v>84</v>
      </c>
      <c r="J34" t="s" s="0">
        <v>1110</v>
      </c>
      <c r="K34" t="s" s="0">
        <v>1111</v>
      </c>
      <c r="L34" t="s" s="0">
        <v>1112</v>
      </c>
      <c r="M34" t="s" s="0">
        <v>1113</v>
      </c>
      <c r="N34" t="s" s="0">
        <v>1114</v>
      </c>
      <c r="O34" t="s" s="0">
        <v>1115</v>
      </c>
      <c r="P34" t="s" s="0">
        <v>1116</v>
      </c>
      <c r="Q34" t="s" s="0">
        <v>92</v>
      </c>
      <c r="R34" t="s" s="0">
        <v>83</v>
      </c>
      <c r="S34" t="s" s="0">
        <v>83</v>
      </c>
      <c r="T34" t="s" s="0">
        <v>83</v>
      </c>
      <c r="U34" t="s" s="0">
        <v>83</v>
      </c>
      <c r="V34" t="s" s="0">
        <v>1117</v>
      </c>
      <c r="W34" t="s" s="0">
        <v>1118</v>
      </c>
      <c r="X34" t="s" s="0">
        <v>83</v>
      </c>
      <c r="Y34" t="s" s="0">
        <v>83</v>
      </c>
      <c r="Z34" t="s" s="0">
        <v>95</v>
      </c>
      <c r="AA34" t="s" s="0">
        <v>96</v>
      </c>
      <c r="AB34" t="s" s="0">
        <v>83</v>
      </c>
      <c r="AC34" t="s" s="0">
        <v>83</v>
      </c>
      <c r="AD34" t="s" s="0">
        <v>83</v>
      </c>
      <c r="AE34" t="s" s="0">
        <v>83</v>
      </c>
      <c r="AF34" t="s" s="0">
        <v>83</v>
      </c>
      <c r="AG34" t="s" s="0">
        <v>1119</v>
      </c>
      <c r="AH34" t="s" s="0">
        <v>1120</v>
      </c>
      <c r="AI34" t="s" s="0">
        <v>1121</v>
      </c>
      <c r="AJ34" t="s" s="0">
        <v>1122</v>
      </c>
      <c r="AK34" t="s" s="0">
        <v>83</v>
      </c>
      <c r="AL34" t="s" s="0">
        <v>719</v>
      </c>
      <c r="AM34" t="s" s="0">
        <v>417</v>
      </c>
      <c r="AN34" t="s" s="0">
        <v>310</v>
      </c>
      <c r="AO34" t="s" s="0">
        <v>78</v>
      </c>
      <c r="AP34" t="s" s="0">
        <v>201</v>
      </c>
      <c r="AQ34" t="s" s="0">
        <v>1123</v>
      </c>
      <c r="AR34" t="s" s="0">
        <v>1124</v>
      </c>
      <c r="AS34" t="s" s="0">
        <v>1125</v>
      </c>
      <c r="AT34" t="s" s="0">
        <v>83</v>
      </c>
      <c r="AU34" t="s" s="0">
        <v>1126</v>
      </c>
      <c r="AV34" t="s" s="0">
        <v>83</v>
      </c>
      <c r="AW34" t="s" s="0">
        <v>1127</v>
      </c>
      <c r="AX34" t="s" s="0">
        <v>1128</v>
      </c>
      <c r="AY34" t="s" s="0">
        <v>1129</v>
      </c>
      <c r="AZ34" t="s" s="0">
        <v>785</v>
      </c>
      <c r="BA34" t="s" s="0">
        <v>149</v>
      </c>
      <c r="BB34" t="s" s="0">
        <v>377</v>
      </c>
      <c r="BC34" t="s" s="0">
        <v>83</v>
      </c>
      <c r="BD34" t="s" s="0">
        <v>83</v>
      </c>
      <c r="BE34" t="s" s="0">
        <v>83</v>
      </c>
      <c r="BF34" t="s" s="0">
        <v>83</v>
      </c>
      <c r="BG34" t="s" s="0">
        <v>83</v>
      </c>
      <c r="BH34" t="s" s="0">
        <v>83</v>
      </c>
      <c r="BI34" t="s" s="0">
        <v>1130</v>
      </c>
      <c r="BJ34" t="s" s="0">
        <v>1131</v>
      </c>
      <c r="BK34" t="s" s="65">
        <f>HYPERLINK("http://dx.doi.org/10.1161/JAHA.119.011972","http://dx.doi.org/10.1161/JAHA.119.011972")</f>
        <v>1132</v>
      </c>
      <c r="BL34" t="s" s="0">
        <v>83</v>
      </c>
      <c r="BM34" t="s" s="0">
        <v>83</v>
      </c>
      <c r="BN34" t="s" s="0">
        <v>170</v>
      </c>
      <c r="BO34" t="s" s="0">
        <v>1133</v>
      </c>
      <c r="BP34" t="s" s="0">
        <v>1134</v>
      </c>
      <c r="BQ34" t="s" s="0">
        <v>1135</v>
      </c>
      <c r="BR34" t="s" s="0">
        <v>1136</v>
      </c>
      <c r="BS34" t="s" s="0">
        <v>1137</v>
      </c>
      <c r="BT34" t="s" s="66">
        <f>HYPERLINK("https://www.webofscience.com/wos/woscc/full-record/WOS:000493837200026","View Record in Web of Science")</f>
        <v>126</v>
      </c>
      <c r="BU34" t="s" s="0">
        <v>210</v>
      </c>
      <c r="BV34" t="s" s="0">
        <v>83</v>
      </c>
      <c r="BW34" t="s" s="0">
        <v>83</v>
      </c>
      <c r="BX34" t="s" s="0">
        <v>130</v>
      </c>
    </row>
    <row r="35">
      <c r="A35" t="s" s="0">
        <v>78</v>
      </c>
      <c r="B35" t="s" s="0">
        <v>78</v>
      </c>
      <c r="C35" t="s" s="0">
        <v>150</v>
      </c>
      <c r="D35" t="s" s="0">
        <v>78</v>
      </c>
      <c r="E35" t="s" s="0">
        <v>1138</v>
      </c>
      <c r="F35" t="s" s="0">
        <v>1139</v>
      </c>
      <c r="G35" t="s" s="0">
        <v>1140</v>
      </c>
      <c r="H35" t="s" s="0">
        <v>83</v>
      </c>
      <c r="I35" t="s" s="0">
        <v>84</v>
      </c>
      <c r="J35" t="s" s="0">
        <v>1141</v>
      </c>
      <c r="K35" t="s" s="0">
        <v>1142</v>
      </c>
      <c r="L35" t="s" s="0">
        <v>83</v>
      </c>
      <c r="M35" t="s" s="0">
        <v>83</v>
      </c>
      <c r="N35" t="s" s="0">
        <v>83</v>
      </c>
      <c r="O35" t="s" s="0">
        <v>1143</v>
      </c>
      <c r="P35" t="s" s="0">
        <v>1144</v>
      </c>
      <c r="Q35" t="s" s="0">
        <v>92</v>
      </c>
      <c r="R35" t="s" s="0">
        <v>83</v>
      </c>
      <c r="S35" t="s" s="0">
        <v>83</v>
      </c>
      <c r="T35" t="s" s="0">
        <v>83</v>
      </c>
      <c r="U35" t="s" s="0">
        <v>83</v>
      </c>
      <c r="V35" t="s" s="0">
        <v>1145</v>
      </c>
      <c r="W35" t="s" s="0">
        <v>1146</v>
      </c>
      <c r="X35" t="s" s="0">
        <v>83</v>
      </c>
      <c r="Y35" t="s" s="0">
        <v>83</v>
      </c>
      <c r="Z35" t="s" s="0">
        <v>95</v>
      </c>
      <c r="AA35" t="s" s="0">
        <v>96</v>
      </c>
      <c r="AB35" t="s" s="0">
        <v>83</v>
      </c>
      <c r="AC35" t="s" s="0">
        <v>83</v>
      </c>
      <c r="AD35" t="s" s="0">
        <v>83</v>
      </c>
      <c r="AE35" t="s" s="0">
        <v>83</v>
      </c>
      <c r="AF35" t="s" s="0">
        <v>83</v>
      </c>
      <c r="AG35" t="s" s="0">
        <v>1147</v>
      </c>
      <c r="AH35" t="s" s="0">
        <v>1148</v>
      </c>
      <c r="AI35" t="s" s="0">
        <v>1149</v>
      </c>
      <c r="AJ35" t="s" s="0">
        <v>1150</v>
      </c>
      <c r="AK35" t="s" s="0">
        <v>83</v>
      </c>
      <c r="AL35" t="s" s="0">
        <v>516</v>
      </c>
      <c r="AM35" t="s" s="0">
        <v>77</v>
      </c>
      <c r="AN35" t="s" s="0">
        <v>77</v>
      </c>
      <c r="AO35" t="s" s="0">
        <v>78</v>
      </c>
      <c r="AP35" t="s" s="0">
        <v>281</v>
      </c>
      <c r="AQ35" t="s" s="0">
        <v>1151</v>
      </c>
      <c r="AR35" t="s" s="0">
        <v>1152</v>
      </c>
      <c r="AS35" t="s" s="0">
        <v>1153</v>
      </c>
      <c r="AT35" t="s" s="0">
        <v>1154</v>
      </c>
      <c r="AU35" t="s" s="0">
        <v>1155</v>
      </c>
      <c r="AV35" t="s" s="0">
        <v>83</v>
      </c>
      <c r="AW35" t="s" s="0">
        <v>1156</v>
      </c>
      <c r="AX35" t="s" s="0">
        <v>1157</v>
      </c>
      <c r="AY35" t="s" s="0">
        <v>1158</v>
      </c>
      <c r="AZ35" t="s" s="0">
        <v>241</v>
      </c>
      <c r="BA35" t="s" s="0">
        <v>1159</v>
      </c>
      <c r="BB35" t="s" s="0">
        <v>83</v>
      </c>
      <c r="BC35" t="s" s="0">
        <v>83</v>
      </c>
      <c r="BD35" t="s" s="0">
        <v>83</v>
      </c>
      <c r="BE35" t="s" s="0">
        <v>83</v>
      </c>
      <c r="BF35" t="s" s="0">
        <v>83</v>
      </c>
      <c r="BG35" t="s" s="0">
        <v>1160</v>
      </c>
      <c r="BH35" t="s" s="0">
        <v>117</v>
      </c>
      <c r="BI35" t="s" s="0">
        <v>83</v>
      </c>
      <c r="BJ35" t="s" s="0">
        <v>1161</v>
      </c>
      <c r="BK35" t="s" s="67">
        <f>HYPERLINK("http://dx.doi.org/10.1016/j.ejogrb.2023.04.031","http://dx.doi.org/10.1016/j.ejogrb.2023.04.031")</f>
        <v>1162</v>
      </c>
      <c r="BL35" t="s" s="0">
        <v>83</v>
      </c>
      <c r="BM35" t="s" s="0">
        <v>1163</v>
      </c>
      <c r="BN35" t="s" s="0">
        <v>281</v>
      </c>
      <c r="BO35" t="s" s="0">
        <v>1164</v>
      </c>
      <c r="BP35" t="s" s="0">
        <v>1164</v>
      </c>
      <c r="BQ35" t="s" s="0">
        <v>1165</v>
      </c>
      <c r="BR35" t="s" s="0">
        <v>1166</v>
      </c>
      <c r="BS35" t="s" s="0">
        <v>1167</v>
      </c>
      <c r="BT35" t="s" s="68">
        <f>HYPERLINK("https://www.webofscience.com/wos/woscc/full-record/WOS:001005961600001","View Record in Web of Science")</f>
        <v>126</v>
      </c>
      <c r="BU35" t="s" s="0">
        <v>83</v>
      </c>
      <c r="BV35" t="s" s="0">
        <v>83</v>
      </c>
      <c r="BW35" t="s" s="0">
        <v>83</v>
      </c>
      <c r="BX35" t="s" s="0">
        <v>130</v>
      </c>
    </row>
    <row r="36">
      <c r="A36" t="s" s="0">
        <v>78</v>
      </c>
      <c r="B36" t="s" s="0">
        <v>78</v>
      </c>
      <c r="C36" t="s" s="0">
        <v>115</v>
      </c>
      <c r="D36" t="s" s="0">
        <v>78</v>
      </c>
      <c r="E36" t="s" s="0">
        <v>1168</v>
      </c>
      <c r="F36" t="s" s="0">
        <v>1169</v>
      </c>
      <c r="G36" t="s" s="0">
        <v>1170</v>
      </c>
      <c r="H36" t="s" s="0">
        <v>83</v>
      </c>
      <c r="I36" t="s" s="0">
        <v>84</v>
      </c>
      <c r="J36" t="s" s="0">
        <v>1171</v>
      </c>
      <c r="K36" t="s" s="0">
        <v>1172</v>
      </c>
      <c r="L36" t="s" s="0">
        <v>1173</v>
      </c>
      <c r="M36" t="s" s="0">
        <v>1174</v>
      </c>
      <c r="N36" t="s" s="0">
        <v>1175</v>
      </c>
      <c r="O36" t="s" s="0">
        <v>1176</v>
      </c>
      <c r="P36" t="s" s="0">
        <v>1177</v>
      </c>
      <c r="Q36" t="s" s="0">
        <v>92</v>
      </c>
      <c r="R36" t="s" s="0">
        <v>83</v>
      </c>
      <c r="S36" t="s" s="0">
        <v>83</v>
      </c>
      <c r="T36" t="s" s="0">
        <v>83</v>
      </c>
      <c r="U36" t="s" s="0">
        <v>83</v>
      </c>
      <c r="V36" t="s" s="0">
        <v>1178</v>
      </c>
      <c r="W36" t="s" s="0">
        <v>1179</v>
      </c>
      <c r="X36" t="s" s="0">
        <v>83</v>
      </c>
      <c r="Y36" t="s" s="0">
        <v>83</v>
      </c>
      <c r="Z36" t="s" s="0">
        <v>95</v>
      </c>
      <c r="AA36" t="s" s="0">
        <v>96</v>
      </c>
      <c r="AB36" t="s" s="0">
        <v>83</v>
      </c>
      <c r="AC36" t="s" s="0">
        <v>83</v>
      </c>
      <c r="AD36" t="s" s="0">
        <v>83</v>
      </c>
      <c r="AE36" t="s" s="0">
        <v>83</v>
      </c>
      <c r="AF36" t="s" s="0">
        <v>83</v>
      </c>
      <c r="AG36" t="s" s="0">
        <v>1180</v>
      </c>
      <c r="AH36" t="s" s="0">
        <v>1181</v>
      </c>
      <c r="AI36" t="s" s="0">
        <v>1182</v>
      </c>
      <c r="AJ36" t="s" s="0">
        <v>1183</v>
      </c>
      <c r="AK36" t="s" s="0">
        <v>83</v>
      </c>
      <c r="AL36" t="s" s="0">
        <v>280</v>
      </c>
      <c r="AM36" t="s" s="0">
        <v>148</v>
      </c>
      <c r="AN36" t="s" s="0">
        <v>211</v>
      </c>
      <c r="AO36" t="s" s="0">
        <v>78</v>
      </c>
      <c r="AP36" t="s" s="0">
        <v>77</v>
      </c>
      <c r="AQ36" t="s" s="0">
        <v>1184</v>
      </c>
      <c r="AR36" t="s" s="0">
        <v>806</v>
      </c>
      <c r="AS36" t="s" s="0">
        <v>1185</v>
      </c>
      <c r="AT36" t="s" s="0">
        <v>1186</v>
      </c>
      <c r="AU36" t="s" s="0">
        <v>1187</v>
      </c>
      <c r="AV36" t="s" s="0">
        <v>83</v>
      </c>
      <c r="AW36" t="s" s="0">
        <v>1179</v>
      </c>
      <c r="AX36" t="s" s="0">
        <v>1188</v>
      </c>
      <c r="AY36" t="s" s="0">
        <v>1189</v>
      </c>
      <c r="AZ36" t="s" s="0">
        <v>241</v>
      </c>
      <c r="BA36" t="s" s="0">
        <v>1190</v>
      </c>
      <c r="BB36" t="s" s="0">
        <v>231</v>
      </c>
      <c r="BC36" t="s" s="0">
        <v>83</v>
      </c>
      <c r="BD36" t="s" s="0">
        <v>83</v>
      </c>
      <c r="BE36" t="s" s="0">
        <v>83</v>
      </c>
      <c r="BF36" t="s" s="0">
        <v>83</v>
      </c>
      <c r="BG36" t="s" s="0">
        <v>1191</v>
      </c>
      <c r="BH36" t="s" s="0">
        <v>1192</v>
      </c>
      <c r="BI36" t="s" s="0">
        <v>83</v>
      </c>
      <c r="BJ36" t="s" s="0">
        <v>1193</v>
      </c>
      <c r="BK36" t="s" s="69">
        <f>HYPERLINK("http://dx.doi.org/10.1159/000530411","http://dx.doi.org/10.1159/000530411")</f>
        <v>1194</v>
      </c>
      <c r="BL36" t="s" s="0">
        <v>83</v>
      </c>
      <c r="BM36" t="s" s="0">
        <v>247</v>
      </c>
      <c r="BN36" t="s" s="0">
        <v>120</v>
      </c>
      <c r="BO36" t="s" s="0">
        <v>611</v>
      </c>
      <c r="BP36" t="s" s="0">
        <v>611</v>
      </c>
      <c r="BQ36" t="s" s="0">
        <v>1195</v>
      </c>
      <c r="BR36" t="s" s="0">
        <v>1196</v>
      </c>
      <c r="BS36" t="s" s="0">
        <v>1197</v>
      </c>
      <c r="BT36" t="s" s="70">
        <f>HYPERLINK("https://www.webofscience.com/wos/woscc/full-record/WOS:001045827500001","View Record in Web of Science")</f>
        <v>126</v>
      </c>
      <c r="BU36" t="s" s="0">
        <v>253</v>
      </c>
      <c r="BV36" t="s" s="0">
        <v>83</v>
      </c>
      <c r="BW36" t="s" s="0">
        <v>83</v>
      </c>
      <c r="BX36" t="s" s="0">
        <v>130</v>
      </c>
    </row>
    <row r="37">
      <c r="A37" t="s" s="0">
        <v>78</v>
      </c>
      <c r="B37" t="s" s="0">
        <v>78</v>
      </c>
      <c r="C37" t="s" s="0">
        <v>148</v>
      </c>
      <c r="D37" t="s" s="0">
        <v>78</v>
      </c>
      <c r="E37" t="s" s="0">
        <v>1198</v>
      </c>
      <c r="F37" t="s" s="0">
        <v>1199</v>
      </c>
      <c r="G37" t="s" s="0">
        <v>1200</v>
      </c>
      <c r="H37" t="s" s="0">
        <v>83</v>
      </c>
      <c r="I37" t="s" s="0">
        <v>84</v>
      </c>
      <c r="J37" t="s" s="0">
        <v>1201</v>
      </c>
      <c r="K37" t="s" s="0">
        <v>1202</v>
      </c>
      <c r="L37" t="s" s="0">
        <v>1203</v>
      </c>
      <c r="M37" t="s" s="0">
        <v>1204</v>
      </c>
      <c r="N37" t="s" s="0">
        <v>1205</v>
      </c>
      <c r="O37" t="s" s="0">
        <v>1206</v>
      </c>
      <c r="P37" t="s" s="0">
        <v>1207</v>
      </c>
      <c r="Q37" t="s" s="0">
        <v>92</v>
      </c>
      <c r="R37" t="s" s="0">
        <v>83</v>
      </c>
      <c r="S37" t="s" s="0">
        <v>83</v>
      </c>
      <c r="T37" t="s" s="0">
        <v>83</v>
      </c>
      <c r="U37" t="s" s="0">
        <v>83</v>
      </c>
      <c r="V37" t="s" s="0">
        <v>1208</v>
      </c>
      <c r="W37" t="s" s="0">
        <v>1209</v>
      </c>
      <c r="X37" t="s" s="0">
        <v>83</v>
      </c>
      <c r="Y37" t="s" s="0">
        <v>83</v>
      </c>
      <c r="Z37" t="s" s="0">
        <v>95</v>
      </c>
      <c r="AA37" t="s" s="0">
        <v>96</v>
      </c>
      <c r="AB37" t="s" s="0">
        <v>83</v>
      </c>
      <c r="AC37" t="s" s="0">
        <v>83</v>
      </c>
      <c r="AD37" t="s" s="0">
        <v>83</v>
      </c>
      <c r="AE37" t="s" s="0">
        <v>83</v>
      </c>
      <c r="AF37" t="s" s="0">
        <v>83</v>
      </c>
      <c r="AG37" t="s" s="0">
        <v>83</v>
      </c>
      <c r="AH37" t="s" s="0">
        <v>1210</v>
      </c>
      <c r="AI37" t="s" s="0">
        <v>1211</v>
      </c>
      <c r="AJ37" t="s" s="0">
        <v>1212</v>
      </c>
      <c r="AK37" t="s" s="0">
        <v>83</v>
      </c>
      <c r="AL37" t="s" s="0">
        <v>147</v>
      </c>
      <c r="AM37" t="s" s="0">
        <v>384</v>
      </c>
      <c r="AN37" t="s" s="0">
        <v>470</v>
      </c>
      <c r="AO37" t="s" s="0">
        <v>150</v>
      </c>
      <c r="AP37" t="s" s="0">
        <v>374</v>
      </c>
      <c r="AQ37" t="s" s="0">
        <v>1213</v>
      </c>
      <c r="AR37" t="s" s="0">
        <v>1214</v>
      </c>
      <c r="AS37" t="s" s="0">
        <v>1215</v>
      </c>
      <c r="AT37" t="s" s="0">
        <v>83</v>
      </c>
      <c r="AU37" t="s" s="0">
        <v>1216</v>
      </c>
      <c r="AV37" t="s" s="0">
        <v>83</v>
      </c>
      <c r="AW37" t="s" s="0">
        <v>1217</v>
      </c>
      <c r="AX37" t="s" s="0">
        <v>1218</v>
      </c>
      <c r="AY37" t="s" s="0">
        <v>1219</v>
      </c>
      <c r="AZ37" t="s" s="0">
        <v>785</v>
      </c>
      <c r="BA37" t="s" s="0">
        <v>280</v>
      </c>
      <c r="BB37" t="s" s="0">
        <v>83</v>
      </c>
      <c r="BC37" t="s" s="0">
        <v>83</v>
      </c>
      <c r="BD37" t="s" s="0">
        <v>83</v>
      </c>
      <c r="BE37" t="s" s="0">
        <v>83</v>
      </c>
      <c r="BF37" t="s" s="0">
        <v>83</v>
      </c>
      <c r="BG37" t="s" s="0">
        <v>83</v>
      </c>
      <c r="BH37" t="s" s="0">
        <v>83</v>
      </c>
      <c r="BI37" t="s" s="0">
        <v>161</v>
      </c>
      <c r="BJ37" t="s" s="0">
        <v>1220</v>
      </c>
      <c r="BK37" t="s" s="71">
        <f>HYPERLINK("http://dx.doi.org/10.1038/s41533-019-0132-z","http://dx.doi.org/10.1038/s41533-019-0132-z")</f>
        <v>1221</v>
      </c>
      <c r="BL37" t="s" s="0">
        <v>83</v>
      </c>
      <c r="BM37" t="s" s="0">
        <v>83</v>
      </c>
      <c r="BN37" t="s" s="0">
        <v>165</v>
      </c>
      <c r="BO37" t="s" s="0">
        <v>1222</v>
      </c>
      <c r="BP37" t="s" s="0">
        <v>1223</v>
      </c>
      <c r="BQ37" t="s" s="0">
        <v>1224</v>
      </c>
      <c r="BR37" t="s" s="0">
        <v>1225</v>
      </c>
      <c r="BS37" t="s" s="0">
        <v>1226</v>
      </c>
      <c r="BT37" t="s" s="72">
        <f>HYPERLINK("https://www.webofscience.com/wos/woscc/full-record/WOS:000469396000001","View Record in Web of Science")</f>
        <v>126</v>
      </c>
      <c r="BU37" t="s" s="0">
        <v>210</v>
      </c>
      <c r="BV37" t="s" s="0">
        <v>83</v>
      </c>
      <c r="BW37" t="s" s="0">
        <v>83</v>
      </c>
      <c r="BX37" t="s" s="0">
        <v>130</v>
      </c>
    </row>
    <row r="38">
      <c r="A38" t="s" s="0">
        <v>115</v>
      </c>
      <c r="B38" t="s" s="0">
        <v>78</v>
      </c>
      <c r="C38" t="s" s="0">
        <v>78</v>
      </c>
      <c r="D38" t="s" s="0">
        <v>78</v>
      </c>
      <c r="E38" t="s" s="0">
        <v>1227</v>
      </c>
      <c r="F38" t="s" s="0">
        <v>1228</v>
      </c>
      <c r="G38" t="s" s="0">
        <v>1229</v>
      </c>
      <c r="H38" t="s" s="0">
        <v>83</v>
      </c>
      <c r="I38" t="s" s="0">
        <v>84</v>
      </c>
      <c r="J38" t="s" s="0">
        <v>1230</v>
      </c>
      <c r="K38" t="s" s="0">
        <v>1231</v>
      </c>
      <c r="L38" t="s" s="0">
        <v>83</v>
      </c>
      <c r="M38" t="s" s="0">
        <v>83</v>
      </c>
      <c r="N38" t="s" s="0">
        <v>83</v>
      </c>
      <c r="O38" t="s" s="0">
        <v>1232</v>
      </c>
      <c r="P38" t="s" s="0">
        <v>1233</v>
      </c>
      <c r="Q38" t="s" s="0">
        <v>92</v>
      </c>
      <c r="R38" t="s" s="0">
        <v>83</v>
      </c>
      <c r="S38" t="s" s="0">
        <v>83</v>
      </c>
      <c r="T38" t="s" s="0">
        <v>83</v>
      </c>
      <c r="U38" t="s" s="0">
        <v>83</v>
      </c>
      <c r="V38" t="s" s="0">
        <v>1234</v>
      </c>
      <c r="W38" t="s" s="0">
        <v>1235</v>
      </c>
      <c r="X38" t="s" s="0">
        <v>83</v>
      </c>
      <c r="Y38" t="s" s="0">
        <v>83</v>
      </c>
      <c r="Z38" t="s" s="0">
        <v>95</v>
      </c>
      <c r="AA38" t="s" s="0">
        <v>96</v>
      </c>
      <c r="AB38" t="s" s="0">
        <v>83</v>
      </c>
      <c r="AC38" t="s" s="0">
        <v>83</v>
      </c>
      <c r="AD38" t="s" s="0">
        <v>83</v>
      </c>
      <c r="AE38" t="s" s="0">
        <v>83</v>
      </c>
      <c r="AF38" t="s" s="0">
        <v>83</v>
      </c>
      <c r="AG38" t="s" s="0">
        <v>1236</v>
      </c>
      <c r="AH38" t="s" s="0">
        <v>1237</v>
      </c>
      <c r="AI38" t="s" s="0">
        <v>1238</v>
      </c>
      <c r="AJ38" t="s" s="0">
        <v>83</v>
      </c>
      <c r="AK38" t="s" s="0">
        <v>83</v>
      </c>
      <c r="AL38" t="s" s="0">
        <v>1239</v>
      </c>
      <c r="AM38" t="s" s="0">
        <v>281</v>
      </c>
      <c r="AN38" t="s" s="0">
        <v>231</v>
      </c>
      <c r="AO38" t="s" s="0">
        <v>150</v>
      </c>
      <c r="AP38" t="s" s="0">
        <v>120</v>
      </c>
      <c r="AQ38" t="s" s="0">
        <v>830</v>
      </c>
      <c r="AR38" t="s" s="0">
        <v>831</v>
      </c>
      <c r="AS38" t="s" s="0">
        <v>832</v>
      </c>
      <c r="AT38" t="s" s="0">
        <v>83</v>
      </c>
      <c r="AU38" t="s" s="0">
        <v>1240</v>
      </c>
      <c r="AV38" t="s" s="0">
        <v>83</v>
      </c>
      <c r="AW38" t="s" s="0">
        <v>1241</v>
      </c>
      <c r="AX38" t="s" s="0">
        <v>1242</v>
      </c>
      <c r="AY38" t="s" s="0">
        <v>1243</v>
      </c>
      <c r="AZ38" t="s" s="0">
        <v>159</v>
      </c>
      <c r="BA38" t="s" s="0">
        <v>248</v>
      </c>
      <c r="BB38" t="s" s="0">
        <v>83</v>
      </c>
      <c r="BC38" t="s" s="0">
        <v>83</v>
      </c>
      <c r="BD38" t="s" s="0">
        <v>83</v>
      </c>
      <c r="BE38" t="s" s="0">
        <v>83</v>
      </c>
      <c r="BF38" t="s" s="0">
        <v>83</v>
      </c>
      <c r="BG38" t="s" s="0">
        <v>83</v>
      </c>
      <c r="BH38" t="s" s="0">
        <v>83</v>
      </c>
      <c r="BI38" t="s" s="0">
        <v>1244</v>
      </c>
      <c r="BJ38" t="s" s="0">
        <v>1245</v>
      </c>
      <c r="BK38" t="s" s="73">
        <f>HYPERLINK("http://dx.doi.org/10.3389/fmed.2025.1510742","http://dx.doi.org/10.3389/fmed.2025.1510742")</f>
        <v>1246</v>
      </c>
      <c r="BL38" t="s" s="0">
        <v>83</v>
      </c>
      <c r="BM38" t="s" s="0">
        <v>83</v>
      </c>
      <c r="BN38" t="s" s="0">
        <v>161</v>
      </c>
      <c r="BO38" t="s" s="0">
        <v>669</v>
      </c>
      <c r="BP38" t="s" s="0">
        <v>670</v>
      </c>
      <c r="BQ38" t="s" s="0">
        <v>1247</v>
      </c>
      <c r="BR38" t="s" s="0">
        <v>1248</v>
      </c>
      <c r="BS38" t="s" s="0">
        <v>1249</v>
      </c>
      <c r="BT38" t="s" s="74">
        <f>HYPERLINK("https://www.webofscience.com/wos/woscc/full-record/WOS:001417989700001","View Record in Web of Science")</f>
        <v>126</v>
      </c>
      <c r="BU38" t="s" s="0">
        <v>210</v>
      </c>
      <c r="BV38" t="s" s="0">
        <v>83</v>
      </c>
      <c r="BW38" t="s" s="0">
        <v>83</v>
      </c>
      <c r="BX38" t="s" s="0">
        <v>130</v>
      </c>
    </row>
    <row r="39">
      <c r="A39" t="s" s="0">
        <v>78</v>
      </c>
      <c r="B39" t="s" s="0">
        <v>78</v>
      </c>
      <c r="C39" t="s" s="0">
        <v>150</v>
      </c>
      <c r="D39" t="s" s="0">
        <v>78</v>
      </c>
      <c r="E39" t="s" s="0">
        <v>1250</v>
      </c>
      <c r="F39" t="s" s="0">
        <v>1251</v>
      </c>
      <c r="G39" t="s" s="0">
        <v>1252</v>
      </c>
      <c r="H39" t="s" s="0">
        <v>83</v>
      </c>
      <c r="I39" t="s" s="0">
        <v>84</v>
      </c>
      <c r="J39" t="s" s="0">
        <v>1253</v>
      </c>
      <c r="K39" t="s" s="0">
        <v>1254</v>
      </c>
      <c r="L39" t="s" s="0">
        <v>1255</v>
      </c>
      <c r="M39" t="s" s="0">
        <v>1256</v>
      </c>
      <c r="N39" t="s" s="0">
        <v>1257</v>
      </c>
      <c r="O39" t="s" s="0">
        <v>1258</v>
      </c>
      <c r="P39" t="s" s="0">
        <v>1259</v>
      </c>
      <c r="Q39" t="s" s="0">
        <v>92</v>
      </c>
      <c r="R39" t="s" s="0">
        <v>83</v>
      </c>
      <c r="S39" t="s" s="0">
        <v>83</v>
      </c>
      <c r="T39" t="s" s="0">
        <v>83</v>
      </c>
      <c r="U39" t="s" s="0">
        <v>83</v>
      </c>
      <c r="V39" t="s" s="0">
        <v>1260</v>
      </c>
      <c r="W39" t="s" s="0">
        <v>1261</v>
      </c>
      <c r="X39" t="s" s="0">
        <v>83</v>
      </c>
      <c r="Y39" t="s" s="0">
        <v>83</v>
      </c>
      <c r="Z39" t="s" s="0">
        <v>95</v>
      </c>
      <c r="AA39" t="s" s="0">
        <v>96</v>
      </c>
      <c r="AB39" t="s" s="0">
        <v>83</v>
      </c>
      <c r="AC39" t="s" s="0">
        <v>83</v>
      </c>
      <c r="AD39" t="s" s="0">
        <v>83</v>
      </c>
      <c r="AE39" t="s" s="0">
        <v>83</v>
      </c>
      <c r="AF39" t="s" s="0">
        <v>83</v>
      </c>
      <c r="AG39" t="s" s="0">
        <v>1262</v>
      </c>
      <c r="AH39" t="s" s="0">
        <v>1263</v>
      </c>
      <c r="AI39" t="s" s="0">
        <v>1264</v>
      </c>
      <c r="AJ39" t="s" s="0">
        <v>1265</v>
      </c>
      <c r="AK39" t="s" s="0">
        <v>83</v>
      </c>
      <c r="AL39" t="s" s="0">
        <v>1266</v>
      </c>
      <c r="AM39" t="s" s="0">
        <v>248</v>
      </c>
      <c r="AN39" t="s" s="0">
        <v>120</v>
      </c>
      <c r="AO39" t="s" s="0">
        <v>78</v>
      </c>
      <c r="AP39" t="s" s="0">
        <v>281</v>
      </c>
      <c r="AQ39" t="s" s="0">
        <v>1267</v>
      </c>
      <c r="AR39" t="s" s="0">
        <v>234</v>
      </c>
      <c r="AS39" t="s" s="0">
        <v>1268</v>
      </c>
      <c r="AT39" t="s" s="0">
        <v>1269</v>
      </c>
      <c r="AU39" t="s" s="0">
        <v>1270</v>
      </c>
      <c r="AV39" t="s" s="0">
        <v>83</v>
      </c>
      <c r="AW39" t="s" s="0">
        <v>1271</v>
      </c>
      <c r="AX39" t="s" s="0">
        <v>1272</v>
      </c>
      <c r="AY39" t="s" s="0">
        <v>1273</v>
      </c>
      <c r="AZ39" t="s" s="0">
        <v>159</v>
      </c>
      <c r="BA39" t="s" s="0">
        <v>969</v>
      </c>
      <c r="BB39" t="s" s="0">
        <v>115</v>
      </c>
      <c r="BC39" t="s" s="0">
        <v>83</v>
      </c>
      <c r="BD39" t="s" s="0">
        <v>83</v>
      </c>
      <c r="BE39" t="s" s="0">
        <v>83</v>
      </c>
      <c r="BF39" t="s" s="0">
        <v>83</v>
      </c>
      <c r="BG39" t="s" s="0">
        <v>83</v>
      </c>
      <c r="BH39" t="s" s="0">
        <v>83</v>
      </c>
      <c r="BI39" t="s" s="0">
        <v>1274</v>
      </c>
      <c r="BJ39" t="s" s="0">
        <v>1275</v>
      </c>
      <c r="BK39" t="s" s="75">
        <f>HYPERLINK("http://dx.doi.org/10.1007/s40520-025-03112-6","http://dx.doi.org/10.1007/s40520-025-03112-6")</f>
        <v>1276</v>
      </c>
      <c r="BL39" t="s" s="0">
        <v>83</v>
      </c>
      <c r="BM39" t="s" s="0">
        <v>83</v>
      </c>
      <c r="BN39" t="s" s="0">
        <v>417</v>
      </c>
      <c r="BO39" t="s" s="0">
        <v>353</v>
      </c>
      <c r="BP39" t="s" s="0">
        <v>353</v>
      </c>
      <c r="BQ39" t="s" s="0">
        <v>1277</v>
      </c>
      <c r="BR39" t="s" s="0">
        <v>1278</v>
      </c>
      <c r="BS39" t="s" s="0">
        <v>1279</v>
      </c>
      <c r="BT39" t="s" s="76">
        <f>HYPERLINK("https://www.webofscience.com/wos/woscc/full-record/WOS:001536516000003","View Record in Web of Science")</f>
        <v>126</v>
      </c>
      <c r="BU39" t="s" s="0">
        <v>253</v>
      </c>
      <c r="BV39" t="s" s="0">
        <v>83</v>
      </c>
      <c r="BW39" t="s" s="0">
        <v>83</v>
      </c>
      <c r="BX39" t="s" s="0">
        <v>130</v>
      </c>
    </row>
    <row r="40">
      <c r="A40" t="s" s="0">
        <v>150</v>
      </c>
      <c r="B40" t="s" s="0">
        <v>78</v>
      </c>
      <c r="C40" t="s" s="0">
        <v>77</v>
      </c>
      <c r="D40" t="s" s="0">
        <v>78</v>
      </c>
      <c r="E40" t="s" s="0">
        <v>1280</v>
      </c>
      <c r="F40" t="s" s="0">
        <v>1281</v>
      </c>
      <c r="G40" t="s" s="0">
        <v>1282</v>
      </c>
      <c r="H40" t="s" s="0">
        <v>83</v>
      </c>
      <c r="I40" t="s" s="0">
        <v>84</v>
      </c>
      <c r="J40" t="s" s="0">
        <v>1283</v>
      </c>
      <c r="K40" t="s" s="0">
        <v>83</v>
      </c>
      <c r="L40" t="s" s="0">
        <v>1284</v>
      </c>
      <c r="M40" t="s" s="0">
        <v>1285</v>
      </c>
      <c r="N40" t="s" s="0">
        <v>1286</v>
      </c>
      <c r="O40" t="s" s="0">
        <v>1287</v>
      </c>
      <c r="P40" t="s" s="0">
        <v>1288</v>
      </c>
      <c r="Q40" t="s" s="0">
        <v>92</v>
      </c>
      <c r="R40" t="s" s="0">
        <v>83</v>
      </c>
      <c r="S40" t="s" s="0">
        <v>83</v>
      </c>
      <c r="T40" t="s" s="0">
        <v>83</v>
      </c>
      <c r="U40" t="s" s="0">
        <v>83</v>
      </c>
      <c r="V40" t="s" s="0">
        <v>1289</v>
      </c>
      <c r="W40" t="s" s="0">
        <v>1290</v>
      </c>
      <c r="X40" t="s" s="0">
        <v>83</v>
      </c>
      <c r="Y40" t="s" s="0">
        <v>83</v>
      </c>
      <c r="Z40" t="s" s="0">
        <v>95</v>
      </c>
      <c r="AA40" t="s" s="0">
        <v>96</v>
      </c>
      <c r="AB40" t="s" s="0">
        <v>83</v>
      </c>
      <c r="AC40" t="s" s="0">
        <v>83</v>
      </c>
      <c r="AD40" t="s" s="0">
        <v>83</v>
      </c>
      <c r="AE40" t="s" s="0">
        <v>83</v>
      </c>
      <c r="AF40" t="s" s="0">
        <v>83</v>
      </c>
      <c r="AG40" t="s" s="0">
        <v>83</v>
      </c>
      <c r="AH40" t="s" s="0">
        <v>1291</v>
      </c>
      <c r="AI40" t="s" s="0">
        <v>1292</v>
      </c>
      <c r="AJ40" t="s" s="0">
        <v>1293</v>
      </c>
      <c r="AK40" t="s" s="0">
        <v>83</v>
      </c>
      <c r="AL40" t="s" s="0">
        <v>1294</v>
      </c>
      <c r="AM40" t="s" s="0">
        <v>377</v>
      </c>
      <c r="AN40" t="s" s="0">
        <v>358</v>
      </c>
      <c r="AO40" t="s" s="0">
        <v>78</v>
      </c>
      <c r="AP40" t="s" s="0">
        <v>309</v>
      </c>
      <c r="AQ40" t="s" s="0">
        <v>1295</v>
      </c>
      <c r="AR40" t="s" s="0">
        <v>1296</v>
      </c>
      <c r="AS40" t="s" s="0">
        <v>1297</v>
      </c>
      <c r="AT40" t="s" s="0">
        <v>1298</v>
      </c>
      <c r="AU40" t="s" s="0">
        <v>1299</v>
      </c>
      <c r="AV40" t="s" s="0">
        <v>83</v>
      </c>
      <c r="AW40" t="s" s="0">
        <v>1300</v>
      </c>
      <c r="AX40" t="s" s="0">
        <v>1301</v>
      </c>
      <c r="AY40" t="s" s="0">
        <v>1302</v>
      </c>
      <c r="AZ40" t="s" s="0">
        <v>113</v>
      </c>
      <c r="BA40" t="s" s="0">
        <v>437</v>
      </c>
      <c r="BB40" t="s" s="0">
        <v>1303</v>
      </c>
      <c r="BC40" t="s" s="0">
        <v>83</v>
      </c>
      <c r="BD40" t="s" s="0">
        <v>83</v>
      </c>
      <c r="BE40" t="s" s="0">
        <v>83</v>
      </c>
      <c r="BF40" t="s" s="0">
        <v>83</v>
      </c>
      <c r="BG40" t="s" s="0">
        <v>115</v>
      </c>
      <c r="BH40" t="s" s="0">
        <v>1304</v>
      </c>
      <c r="BI40" t="s" s="0">
        <v>83</v>
      </c>
      <c r="BJ40" t="s" s="0">
        <v>1305</v>
      </c>
      <c r="BK40" t="s" s="77">
        <f>HYPERLINK("http://dx.doi.org/10.3310/hta22660","http://dx.doi.org/10.3310/hta22660")</f>
        <v>1306</v>
      </c>
      <c r="BL40" t="s" s="0">
        <v>83</v>
      </c>
      <c r="BM40" t="s" s="0">
        <v>83</v>
      </c>
      <c r="BN40" t="s" s="0">
        <v>1307</v>
      </c>
      <c r="BO40" t="s" s="0">
        <v>387</v>
      </c>
      <c r="BP40" t="s" s="0">
        <v>387</v>
      </c>
      <c r="BQ40" t="s" s="0">
        <v>1308</v>
      </c>
      <c r="BR40" t="s" s="0">
        <v>1309</v>
      </c>
      <c r="BS40" t="s" s="0">
        <v>1310</v>
      </c>
      <c r="BT40" t="s" s="78">
        <f>HYPERLINK("https://www.webofscience.com/wos/woscc/full-record/WOS:000452132100001","View Record in Web of Science")</f>
        <v>126</v>
      </c>
      <c r="BU40" t="s" s="0">
        <v>210</v>
      </c>
      <c r="BV40" t="s" s="0">
        <v>83</v>
      </c>
      <c r="BW40" t="s" s="0">
        <v>83</v>
      </c>
      <c r="BX40" t="s" s="0">
        <v>130</v>
      </c>
    </row>
    <row r="41">
      <c r="A41" t="s" s="0">
        <v>78</v>
      </c>
      <c r="B41" t="s" s="0">
        <v>78</v>
      </c>
      <c r="C41" t="s" s="0">
        <v>150</v>
      </c>
      <c r="D41" t="s" s="0">
        <v>78</v>
      </c>
      <c r="E41" t="s" s="0">
        <v>1311</v>
      </c>
      <c r="F41" t="s" s="0">
        <v>1312</v>
      </c>
      <c r="G41" t="s" s="0">
        <v>1313</v>
      </c>
      <c r="H41" t="s" s="0">
        <v>83</v>
      </c>
      <c r="I41" t="s" s="0">
        <v>84</v>
      </c>
      <c r="J41" t="s" s="0">
        <v>1314</v>
      </c>
      <c r="K41" t="s" s="0">
        <v>1315</v>
      </c>
      <c r="L41" t="s" s="0">
        <v>83</v>
      </c>
      <c r="M41" t="s" s="0">
        <v>83</v>
      </c>
      <c r="N41" t="s" s="0">
        <v>83</v>
      </c>
      <c r="O41" t="s" s="0">
        <v>1316</v>
      </c>
      <c r="P41" t="s" s="0">
        <v>1317</v>
      </c>
      <c r="Q41" t="s" s="0">
        <v>92</v>
      </c>
      <c r="R41" t="s" s="0">
        <v>83</v>
      </c>
      <c r="S41" t="s" s="0">
        <v>83</v>
      </c>
      <c r="T41" t="s" s="0">
        <v>83</v>
      </c>
      <c r="U41" t="s" s="0">
        <v>83</v>
      </c>
      <c r="V41" t="s" s="0">
        <v>1318</v>
      </c>
      <c r="W41" t="s" s="0">
        <v>1319</v>
      </c>
      <c r="X41" t="s" s="0">
        <v>83</v>
      </c>
      <c r="Y41" t="s" s="0">
        <v>83</v>
      </c>
      <c r="Z41" t="s" s="0">
        <v>95</v>
      </c>
      <c r="AA41" t="s" s="0">
        <v>96</v>
      </c>
      <c r="AB41" t="s" s="0">
        <v>83</v>
      </c>
      <c r="AC41" t="s" s="0">
        <v>83</v>
      </c>
      <c r="AD41" t="s" s="0">
        <v>83</v>
      </c>
      <c r="AE41" t="s" s="0">
        <v>83</v>
      </c>
      <c r="AF41" t="s" s="0">
        <v>83</v>
      </c>
      <c r="AG41" t="s" s="0">
        <v>1320</v>
      </c>
      <c r="AH41" t="s" s="0">
        <v>1321</v>
      </c>
      <c r="AI41" t="s" s="0">
        <v>1322</v>
      </c>
      <c r="AJ41" t="s" s="0">
        <v>1323</v>
      </c>
      <c r="AK41" t="s" s="0">
        <v>83</v>
      </c>
      <c r="AL41" t="s" s="0">
        <v>375</v>
      </c>
      <c r="AM41" t="s" s="0">
        <v>269</v>
      </c>
      <c r="AN41" t="s" s="0">
        <v>374</v>
      </c>
      <c r="AO41" t="s" s="0">
        <v>150</v>
      </c>
      <c r="AP41" t="s" s="0">
        <v>149</v>
      </c>
      <c r="AQ41" t="s" s="0">
        <v>805</v>
      </c>
      <c r="AR41" t="s" s="0">
        <v>806</v>
      </c>
      <c r="AS41" t="s" s="0">
        <v>807</v>
      </c>
      <c r="AT41" t="s" s="0">
        <v>83</v>
      </c>
      <c r="AU41" t="s" s="0">
        <v>1324</v>
      </c>
      <c r="AV41" t="s" s="0">
        <v>83</v>
      </c>
      <c r="AW41" t="s" s="0">
        <v>1319</v>
      </c>
      <c r="AX41" t="s" s="0">
        <v>1325</v>
      </c>
      <c r="AY41" t="s" s="0">
        <v>1326</v>
      </c>
      <c r="AZ41" t="s" s="0">
        <v>412</v>
      </c>
      <c r="BA41" t="s" s="0">
        <v>310</v>
      </c>
      <c r="BB41" t="s" s="0">
        <v>165</v>
      </c>
      <c r="BC41" t="s" s="0">
        <v>83</v>
      </c>
      <c r="BD41" t="s" s="0">
        <v>83</v>
      </c>
      <c r="BE41" t="s" s="0">
        <v>83</v>
      </c>
      <c r="BF41" t="s" s="0">
        <v>83</v>
      </c>
      <c r="BG41" t="s" s="0">
        <v>83</v>
      </c>
      <c r="BH41" t="s" s="0">
        <v>83</v>
      </c>
      <c r="BI41" t="s" s="0">
        <v>1327</v>
      </c>
      <c r="BJ41" t="s" s="0">
        <v>1328</v>
      </c>
      <c r="BK41" t="s" s="79">
        <f>HYPERLINK("http://dx.doi.org/10.3390/cancers16091645","http://dx.doi.org/10.3390/cancers16091645")</f>
        <v>1329</v>
      </c>
      <c r="BL41" t="s" s="0">
        <v>83</v>
      </c>
      <c r="BM41" t="s" s="0">
        <v>83</v>
      </c>
      <c r="BN41" t="s" s="0">
        <v>114</v>
      </c>
      <c r="BO41" t="s" s="0">
        <v>840</v>
      </c>
      <c r="BP41" t="s" s="0">
        <v>840</v>
      </c>
      <c r="BQ41" t="s" s="0">
        <v>1330</v>
      </c>
      <c r="BR41" t="s" s="0">
        <v>1331</v>
      </c>
      <c r="BS41" t="s" s="0">
        <v>1332</v>
      </c>
      <c r="BT41" t="s" s="80">
        <f>HYPERLINK("https://www.webofscience.com/wos/woscc/full-record/WOS:001219964500001","View Record in Web of Science")</f>
        <v>126</v>
      </c>
      <c r="BU41" t="s" s="0">
        <v>210</v>
      </c>
      <c r="BV41" t="s" s="0">
        <v>83</v>
      </c>
      <c r="BW41" t="s" s="0">
        <v>83</v>
      </c>
      <c r="BX41" t="s" s="0">
        <v>130</v>
      </c>
    </row>
    <row r="42">
      <c r="A42" t="s" s="0">
        <v>77</v>
      </c>
      <c r="B42" t="s" s="0">
        <v>78</v>
      </c>
      <c r="C42" t="s" s="0">
        <v>147</v>
      </c>
      <c r="D42" t="s" s="0">
        <v>78</v>
      </c>
      <c r="E42" t="s" s="0">
        <v>1333</v>
      </c>
      <c r="F42" t="s" s="0">
        <v>1334</v>
      </c>
      <c r="G42" t="s" s="0">
        <v>1335</v>
      </c>
      <c r="H42" t="s" s="0">
        <v>83</v>
      </c>
      <c r="I42" t="s" s="0">
        <v>84</v>
      </c>
      <c r="J42" t="s" s="0">
        <v>1336</v>
      </c>
      <c r="K42" t="s" s="0">
        <v>1337</v>
      </c>
      <c r="L42" t="s" s="0">
        <v>1338</v>
      </c>
      <c r="M42" t="s" s="0">
        <v>1338</v>
      </c>
      <c r="N42" t="s" s="0">
        <v>1339</v>
      </c>
      <c r="O42" t="s" s="0">
        <v>1340</v>
      </c>
      <c r="P42" t="s" s="0">
        <v>1341</v>
      </c>
      <c r="Q42" t="s" s="0">
        <v>92</v>
      </c>
      <c r="R42" t="s" s="0">
        <v>83</v>
      </c>
      <c r="S42" t="s" s="0">
        <v>83</v>
      </c>
      <c r="T42" t="s" s="0">
        <v>83</v>
      </c>
      <c r="U42" t="s" s="0">
        <v>83</v>
      </c>
      <c r="V42" t="s" s="0">
        <v>1342</v>
      </c>
      <c r="W42" t="s" s="0">
        <v>369</v>
      </c>
      <c r="X42" t="s" s="0">
        <v>83</v>
      </c>
      <c r="Y42" t="s" s="0">
        <v>83</v>
      </c>
      <c r="Z42" t="s" s="0">
        <v>95</v>
      </c>
      <c r="AA42" t="s" s="0">
        <v>96</v>
      </c>
      <c r="AB42" t="s" s="0">
        <v>83</v>
      </c>
      <c r="AC42" t="s" s="0">
        <v>83</v>
      </c>
      <c r="AD42" t="s" s="0">
        <v>83</v>
      </c>
      <c r="AE42" t="s" s="0">
        <v>83</v>
      </c>
      <c r="AF42" t="s" s="0">
        <v>83</v>
      </c>
      <c r="AG42" t="s" s="0">
        <v>1343</v>
      </c>
      <c r="AH42" t="s" s="0">
        <v>1344</v>
      </c>
      <c r="AI42" t="s" s="0">
        <v>1345</v>
      </c>
      <c r="AJ42" t="s" s="0">
        <v>1346</v>
      </c>
      <c r="AK42" t="s" s="0">
        <v>83</v>
      </c>
      <c r="AL42" t="s" s="0">
        <v>1347</v>
      </c>
      <c r="AM42" t="s" s="0">
        <v>1348</v>
      </c>
      <c r="AN42" t="s" s="0">
        <v>1349</v>
      </c>
      <c r="AO42" t="s" s="0">
        <v>545</v>
      </c>
      <c r="AP42" t="s" s="0">
        <v>437</v>
      </c>
      <c r="AQ42" t="s" s="0">
        <v>378</v>
      </c>
      <c r="AR42" t="s" s="0">
        <v>106</v>
      </c>
      <c r="AS42" t="s" s="0">
        <v>379</v>
      </c>
      <c r="AT42" t="s" s="0">
        <v>83</v>
      </c>
      <c r="AU42" t="s" s="0">
        <v>380</v>
      </c>
      <c r="AV42" t="s" s="0">
        <v>83</v>
      </c>
      <c r="AW42" t="s" s="0">
        <v>381</v>
      </c>
      <c r="AX42" t="s" s="0">
        <v>382</v>
      </c>
      <c r="AY42" t="s" s="0">
        <v>1350</v>
      </c>
      <c r="AZ42" t="s" s="0">
        <v>279</v>
      </c>
      <c r="BA42" t="s" s="0">
        <v>437</v>
      </c>
      <c r="BB42" t="s" s="0">
        <v>115</v>
      </c>
      <c r="BC42" t="s" s="0">
        <v>83</v>
      </c>
      <c r="BD42" t="s" s="0">
        <v>83</v>
      </c>
      <c r="BE42" t="s" s="0">
        <v>83</v>
      </c>
      <c r="BF42" t="s" s="0">
        <v>83</v>
      </c>
      <c r="BG42" t="s" s="0">
        <v>83</v>
      </c>
      <c r="BH42" t="s" s="0">
        <v>83</v>
      </c>
      <c r="BI42" t="s" s="0">
        <v>1351</v>
      </c>
      <c r="BJ42" t="s" s="0">
        <v>1352</v>
      </c>
      <c r="BK42" t="s" s="81">
        <f>HYPERLINK("http://dx.doi.org/10.1186/s12874-022-01801-8","http://dx.doi.org/10.1186/s12874-022-01801-8")</f>
        <v>1353</v>
      </c>
      <c r="BL42" t="s" s="0">
        <v>83</v>
      </c>
      <c r="BM42" t="s" s="0">
        <v>83</v>
      </c>
      <c r="BN42" t="s" s="0">
        <v>417</v>
      </c>
      <c r="BO42" t="s" s="0">
        <v>387</v>
      </c>
      <c r="BP42" t="s" s="0">
        <v>387</v>
      </c>
      <c r="BQ42" t="s" s="0">
        <v>1354</v>
      </c>
      <c r="BR42" t="s" s="0">
        <v>1355</v>
      </c>
      <c r="BS42" t="s" s="0">
        <v>1356</v>
      </c>
      <c r="BT42" t="s" s="82">
        <f>HYPERLINK("https://www.webofscience.com/wos/woscc/full-record/WOS:000898499700001","View Record in Web of Science")</f>
        <v>126</v>
      </c>
      <c r="BU42" t="s" s="0">
        <v>210</v>
      </c>
      <c r="BV42" t="s" s="0">
        <v>128</v>
      </c>
      <c r="BW42" t="s" s="0">
        <v>129</v>
      </c>
      <c r="BX42" t="s" s="0">
        <v>130</v>
      </c>
    </row>
    <row r="43">
      <c r="A43" t="s" s="0">
        <v>78</v>
      </c>
      <c r="B43" t="s" s="0">
        <v>78</v>
      </c>
      <c r="C43" t="s" s="0">
        <v>545</v>
      </c>
      <c r="D43" t="s" s="0">
        <v>78</v>
      </c>
      <c r="E43" t="s" s="0">
        <v>1357</v>
      </c>
      <c r="F43" t="s" s="0">
        <v>1358</v>
      </c>
      <c r="G43" t="s" s="0">
        <v>1359</v>
      </c>
      <c r="H43" t="s" s="0">
        <v>83</v>
      </c>
      <c r="I43" t="s" s="0">
        <v>84</v>
      </c>
      <c r="J43" t="s" s="0">
        <v>1360</v>
      </c>
      <c r="K43" t="s" s="0">
        <v>1361</v>
      </c>
      <c r="L43" t="s" s="0">
        <v>1362</v>
      </c>
      <c r="M43" t="s" s="0">
        <v>1363</v>
      </c>
      <c r="N43" t="s" s="0">
        <v>1364</v>
      </c>
      <c r="O43" t="s" s="0">
        <v>1365</v>
      </c>
      <c r="P43" t="s" s="0">
        <v>1366</v>
      </c>
      <c r="Q43" t="s" s="0">
        <v>92</v>
      </c>
      <c r="R43" t="s" s="0">
        <v>83</v>
      </c>
      <c r="S43" t="s" s="0">
        <v>83</v>
      </c>
      <c r="T43" t="s" s="0">
        <v>83</v>
      </c>
      <c r="U43" t="s" s="0">
        <v>83</v>
      </c>
      <c r="V43" t="s" s="0">
        <v>1367</v>
      </c>
      <c r="W43" t="s" s="0">
        <v>1368</v>
      </c>
      <c r="X43" t="s" s="0">
        <v>83</v>
      </c>
      <c r="Y43" t="s" s="0">
        <v>83</v>
      </c>
      <c r="Z43" t="s" s="0">
        <v>95</v>
      </c>
      <c r="AA43" t="s" s="0">
        <v>96</v>
      </c>
      <c r="AB43" t="s" s="0">
        <v>83</v>
      </c>
      <c r="AC43" t="s" s="0">
        <v>83</v>
      </c>
      <c r="AD43" t="s" s="0">
        <v>83</v>
      </c>
      <c r="AE43" t="s" s="0">
        <v>83</v>
      </c>
      <c r="AF43" t="s" s="0">
        <v>83</v>
      </c>
      <c r="AG43" t="s" s="0">
        <v>1369</v>
      </c>
      <c r="AH43" t="s" s="0">
        <v>1370</v>
      </c>
      <c r="AI43" t="s" s="0">
        <v>1371</v>
      </c>
      <c r="AJ43" t="s" s="0">
        <v>1372</v>
      </c>
      <c r="AK43" t="s" s="0">
        <v>83</v>
      </c>
      <c r="AL43" t="s" s="0">
        <v>413</v>
      </c>
      <c r="AM43" t="s" s="0">
        <v>309</v>
      </c>
      <c r="AN43" t="s" s="0">
        <v>309</v>
      </c>
      <c r="AO43" t="s" s="0">
        <v>78</v>
      </c>
      <c r="AP43" t="s" s="0">
        <v>231</v>
      </c>
      <c r="AQ43" t="s" s="0">
        <v>632</v>
      </c>
      <c r="AR43" t="s" s="0">
        <v>106</v>
      </c>
      <c r="AS43" t="s" s="0">
        <v>633</v>
      </c>
      <c r="AT43" t="s" s="0">
        <v>1373</v>
      </c>
      <c r="AU43" t="s" s="0">
        <v>83</v>
      </c>
      <c r="AV43" t="s" s="0">
        <v>83</v>
      </c>
      <c r="AW43" t="s" s="0">
        <v>1368</v>
      </c>
      <c r="AX43" t="s" s="0">
        <v>1374</v>
      </c>
      <c r="AY43" t="s" s="0">
        <v>317</v>
      </c>
      <c r="AZ43" t="s" s="0">
        <v>317</v>
      </c>
      <c r="BA43" t="s" s="0">
        <v>211</v>
      </c>
      <c r="BB43" t="s" s="0">
        <v>149</v>
      </c>
      <c r="BC43" t="s" s="0">
        <v>83</v>
      </c>
      <c r="BD43" t="s" s="0">
        <v>83</v>
      </c>
      <c r="BE43" t="s" s="0">
        <v>83</v>
      </c>
      <c r="BF43" t="s" s="0">
        <v>83</v>
      </c>
      <c r="BG43" t="s" s="0">
        <v>83</v>
      </c>
      <c r="BH43" t="s" s="0">
        <v>83</v>
      </c>
      <c r="BI43" t="s" s="0">
        <v>1375</v>
      </c>
      <c r="BJ43" t="s" s="0">
        <v>1376</v>
      </c>
      <c r="BK43" t="s" s="83">
        <f>HYPERLINK("http://dx.doi.org/10.1136/bmjopen-2020-039712","http://dx.doi.org/10.1136/bmjopen-2020-039712")</f>
        <v>1377</v>
      </c>
      <c r="BL43" t="s" s="0">
        <v>83</v>
      </c>
      <c r="BM43" t="s" s="0">
        <v>83</v>
      </c>
      <c r="BN43" t="s" s="0">
        <v>281</v>
      </c>
      <c r="BO43" t="s" s="0">
        <v>669</v>
      </c>
      <c r="BP43" t="s" s="0">
        <v>670</v>
      </c>
      <c r="BQ43" t="s" s="0">
        <v>1378</v>
      </c>
      <c r="BR43" t="s" s="0">
        <v>1379</v>
      </c>
      <c r="BS43" t="s" s="0">
        <v>1380</v>
      </c>
      <c r="BT43" t="s" s="84">
        <f>HYPERLINK("https://www.webofscience.com/wos/woscc/full-record/WOS:000564351500005","View Record in Web of Science")</f>
        <v>126</v>
      </c>
      <c r="BU43" t="s" s="0">
        <v>391</v>
      </c>
      <c r="BV43" t="s" s="0">
        <v>83</v>
      </c>
      <c r="BW43" t="s" s="0">
        <v>83</v>
      </c>
      <c r="BX43" t="s" s="0">
        <v>130</v>
      </c>
    </row>
    <row r="44">
      <c r="A44" t="s" s="0">
        <v>78</v>
      </c>
      <c r="B44" t="s" s="0">
        <v>78</v>
      </c>
      <c r="C44" t="s" s="0">
        <v>161</v>
      </c>
      <c r="D44" t="s" s="0">
        <v>115</v>
      </c>
      <c r="E44" t="s" s="0">
        <v>1381</v>
      </c>
      <c r="F44" t="s" s="0">
        <v>1382</v>
      </c>
      <c r="G44" t="s" s="0">
        <v>1383</v>
      </c>
      <c r="H44" t="s" s="0">
        <v>83</v>
      </c>
      <c r="I44" t="s" s="0">
        <v>84</v>
      </c>
      <c r="J44" t="s" s="0">
        <v>1384</v>
      </c>
      <c r="K44" t="s" s="0">
        <v>1385</v>
      </c>
      <c r="L44" t="s" s="0">
        <v>1386</v>
      </c>
      <c r="M44" t="s" s="0">
        <v>1387</v>
      </c>
      <c r="N44" t="s" s="0">
        <v>1388</v>
      </c>
      <c r="O44" t="s" s="0">
        <v>1389</v>
      </c>
      <c r="P44" t="s" s="0">
        <v>1390</v>
      </c>
      <c r="Q44" t="s" s="0">
        <v>92</v>
      </c>
      <c r="R44" t="s" s="0">
        <v>83</v>
      </c>
      <c r="S44" t="s" s="0">
        <v>83</v>
      </c>
      <c r="T44" t="s" s="0">
        <v>83</v>
      </c>
      <c r="U44" t="s" s="0">
        <v>83</v>
      </c>
      <c r="V44" t="s" s="0">
        <v>1391</v>
      </c>
      <c r="W44" t="s" s="0">
        <v>1392</v>
      </c>
      <c r="X44" t="s" s="0">
        <v>83</v>
      </c>
      <c r="Y44" t="s" s="0">
        <v>83</v>
      </c>
      <c r="Z44" t="s" s="0">
        <v>95</v>
      </c>
      <c r="AA44" t="s" s="0">
        <v>96</v>
      </c>
      <c r="AB44" t="s" s="0">
        <v>83</v>
      </c>
      <c r="AC44" t="s" s="0">
        <v>83</v>
      </c>
      <c r="AD44" t="s" s="0">
        <v>83</v>
      </c>
      <c r="AE44" t="s" s="0">
        <v>83</v>
      </c>
      <c r="AF44" t="s" s="0">
        <v>83</v>
      </c>
      <c r="AG44" t="s" s="0">
        <v>1393</v>
      </c>
      <c r="AH44" t="s" s="0">
        <v>1394</v>
      </c>
      <c r="AI44" t="s" s="0">
        <v>83</v>
      </c>
      <c r="AJ44" t="s" s="0">
        <v>83</v>
      </c>
      <c r="AK44" t="s" s="0">
        <v>83</v>
      </c>
      <c r="AL44" t="s" s="0">
        <v>522</v>
      </c>
      <c r="AM44" t="s" s="0">
        <v>522</v>
      </c>
      <c r="AN44" t="s" s="0">
        <v>1395</v>
      </c>
      <c r="AO44" t="s" s="0">
        <v>78</v>
      </c>
      <c r="AP44" t="s" s="0">
        <v>149</v>
      </c>
      <c r="AQ44" t="s" s="0">
        <v>1396</v>
      </c>
      <c r="AR44" t="s" s="0">
        <v>1091</v>
      </c>
      <c r="AS44" t="s" s="0">
        <v>1397</v>
      </c>
      <c r="AT44" t="s" s="0">
        <v>1398</v>
      </c>
      <c r="AU44" t="s" s="0">
        <v>1399</v>
      </c>
      <c r="AV44" t="s" s="0">
        <v>83</v>
      </c>
      <c r="AW44" t="s" s="0">
        <v>1400</v>
      </c>
      <c r="AX44" t="s" s="0">
        <v>1401</v>
      </c>
      <c r="AY44" t="s" s="0">
        <v>1402</v>
      </c>
      <c r="AZ44" t="s" s="0">
        <v>1403</v>
      </c>
      <c r="BA44" t="s" s="0">
        <v>1404</v>
      </c>
      <c r="BB44" t="s" s="0">
        <v>232</v>
      </c>
      <c r="BC44" t="s" s="0">
        <v>83</v>
      </c>
      <c r="BD44" t="s" s="0">
        <v>83</v>
      </c>
      <c r="BE44" t="s" s="0">
        <v>83</v>
      </c>
      <c r="BF44" t="s" s="0">
        <v>83</v>
      </c>
      <c r="BG44" t="s" s="0">
        <v>1405</v>
      </c>
      <c r="BH44" t="s" s="0">
        <v>1406</v>
      </c>
      <c r="BI44" t="s" s="0">
        <v>83</v>
      </c>
      <c r="BJ44" t="s" s="0">
        <v>1407</v>
      </c>
      <c r="BK44" t="s" s="85">
        <f>HYPERLINK("http://dx.doi.org/10.1097/PEC.0000000000001303","http://dx.doi.org/10.1097/PEC.0000000000001303")</f>
        <v>1408</v>
      </c>
      <c r="BL44" t="s" s="0">
        <v>83</v>
      </c>
      <c r="BM44" t="s" s="0">
        <v>83</v>
      </c>
      <c r="BN44" t="s" s="0">
        <v>231</v>
      </c>
      <c r="BO44" t="s" s="0">
        <v>1409</v>
      </c>
      <c r="BP44" t="s" s="0">
        <v>1409</v>
      </c>
      <c r="BQ44" t="s" s="0">
        <v>1410</v>
      </c>
      <c r="BR44" t="s" s="0">
        <v>1411</v>
      </c>
      <c r="BS44" t="s" s="0">
        <v>1412</v>
      </c>
      <c r="BT44" t="s" s="86">
        <f>HYPERLINK("https://www.webofscience.com/wos/woscc/full-record/WOS:000415128500019","View Record in Web of Science")</f>
        <v>126</v>
      </c>
      <c r="BU44" t="s" s="0">
        <v>127</v>
      </c>
      <c r="BV44" t="s" s="0">
        <v>83</v>
      </c>
      <c r="BW44" t="s" s="0">
        <v>83</v>
      </c>
      <c r="BX44" t="s" s="0">
        <v>130</v>
      </c>
    </row>
    <row r="45">
      <c r="A45" t="s" s="0">
        <v>115</v>
      </c>
      <c r="B45" t="s" s="0">
        <v>78</v>
      </c>
      <c r="C45" t="s" s="0">
        <v>77</v>
      </c>
      <c r="D45" t="s" s="0">
        <v>78</v>
      </c>
      <c r="E45" t="s" s="0">
        <v>1413</v>
      </c>
      <c r="F45" t="s" s="0">
        <v>1414</v>
      </c>
      <c r="G45" t="s" s="0">
        <v>1415</v>
      </c>
      <c r="H45" t="s" s="0">
        <v>83</v>
      </c>
      <c r="I45" t="s" s="0">
        <v>174</v>
      </c>
      <c r="J45" t="s" s="0">
        <v>1416</v>
      </c>
      <c r="K45" t="s" s="0">
        <v>1417</v>
      </c>
      <c r="L45" t="s" s="0">
        <v>1418</v>
      </c>
      <c r="M45" t="s" s="0">
        <v>1419</v>
      </c>
      <c r="N45" t="s" s="0">
        <v>1420</v>
      </c>
      <c r="O45" t="s" s="0">
        <v>1421</v>
      </c>
      <c r="P45" t="s" s="0">
        <v>1422</v>
      </c>
      <c r="Q45" t="s" s="0">
        <v>92</v>
      </c>
      <c r="R45" t="s" s="0">
        <v>83</v>
      </c>
      <c r="S45" t="s" s="0">
        <v>83</v>
      </c>
      <c r="T45" t="s" s="0">
        <v>83</v>
      </c>
      <c r="U45" t="s" s="0">
        <v>83</v>
      </c>
      <c r="V45" t="s" s="0">
        <v>1423</v>
      </c>
      <c r="W45" t="s" s="0">
        <v>1424</v>
      </c>
      <c r="X45" t="s" s="0">
        <v>83</v>
      </c>
      <c r="Y45" t="s" s="0">
        <v>83</v>
      </c>
      <c r="Z45" t="s" s="0">
        <v>95</v>
      </c>
      <c r="AA45" t="s" s="0">
        <v>96</v>
      </c>
      <c r="AB45" t="s" s="0">
        <v>83</v>
      </c>
      <c r="AC45" t="s" s="0">
        <v>83</v>
      </c>
      <c r="AD45" t="s" s="0">
        <v>83</v>
      </c>
      <c r="AE45" t="s" s="0">
        <v>83</v>
      </c>
      <c r="AF45" t="s" s="0">
        <v>83</v>
      </c>
      <c r="AG45" t="s" s="0">
        <v>1425</v>
      </c>
      <c r="AH45" t="s" s="0">
        <v>1426</v>
      </c>
      <c r="AI45" t="s" s="0">
        <v>1427</v>
      </c>
      <c r="AJ45" t="s" s="0">
        <v>1428</v>
      </c>
      <c r="AK45" t="s" s="0">
        <v>83</v>
      </c>
      <c r="AL45" t="s" s="0">
        <v>1429</v>
      </c>
      <c r="AM45" t="s" s="0">
        <v>377</v>
      </c>
      <c r="AN45" t="s" s="0">
        <v>384</v>
      </c>
      <c r="AO45" t="s" s="0">
        <v>77</v>
      </c>
      <c r="AP45" t="s" s="0">
        <v>281</v>
      </c>
      <c r="AQ45" t="s" s="0">
        <v>632</v>
      </c>
      <c r="AR45" t="s" s="0">
        <v>106</v>
      </c>
      <c r="AS45" t="s" s="0">
        <v>633</v>
      </c>
      <c r="AT45" t="s" s="0">
        <v>83</v>
      </c>
      <c r="AU45" t="s" s="0">
        <v>1430</v>
      </c>
      <c r="AV45" t="s" s="0">
        <v>83</v>
      </c>
      <c r="AW45" t="s" s="0">
        <v>1431</v>
      </c>
      <c r="AX45" t="s" s="0">
        <v>1432</v>
      </c>
      <c r="AY45" t="s" s="0">
        <v>1433</v>
      </c>
      <c r="AZ45" t="s" s="0">
        <v>159</v>
      </c>
      <c r="BA45" t="s" s="0">
        <v>77</v>
      </c>
      <c r="BB45" t="s" s="0">
        <v>115</v>
      </c>
      <c r="BC45" t="s" s="0">
        <v>83</v>
      </c>
      <c r="BD45" t="s" s="0">
        <v>83</v>
      </c>
      <c r="BE45" t="s" s="0">
        <v>83</v>
      </c>
      <c r="BF45" t="s" s="0">
        <v>83</v>
      </c>
      <c r="BG45" t="s" s="0">
        <v>83</v>
      </c>
      <c r="BH45" t="s" s="0">
        <v>83</v>
      </c>
      <c r="BI45" t="s" s="0">
        <v>1434</v>
      </c>
      <c r="BJ45" t="s" s="0">
        <v>1435</v>
      </c>
      <c r="BK45" t="s" s="87">
        <f>HYPERLINK("http://dx.doi.org/10.1136/bmjonc-2025-000914","http://dx.doi.org/10.1136/bmjonc-2025-000914")</f>
        <v>1436</v>
      </c>
      <c r="BL45" t="s" s="0">
        <v>83</v>
      </c>
      <c r="BM45" t="s" s="0">
        <v>83</v>
      </c>
      <c r="BN45" t="s" s="0">
        <v>165</v>
      </c>
      <c r="BO45" t="s" s="0">
        <v>840</v>
      </c>
      <c r="BP45" t="s" s="0">
        <v>840</v>
      </c>
      <c r="BQ45" t="s" s="0">
        <v>1437</v>
      </c>
      <c r="BR45" t="s" s="0">
        <v>1438</v>
      </c>
      <c r="BS45" t="s" s="0">
        <v>1439</v>
      </c>
      <c r="BT45" t="s" s="88">
        <f>HYPERLINK("https://www.webofscience.com/wos/woscc/full-record/WOS:001732886400001","View Record in Web of Science")</f>
        <v>126</v>
      </c>
      <c r="BU45" t="s" s="0">
        <v>210</v>
      </c>
      <c r="BV45" t="s" s="0">
        <v>83</v>
      </c>
      <c r="BW45" t="s" s="0">
        <v>83</v>
      </c>
      <c r="BX45" t="s" s="0">
        <v>130</v>
      </c>
    </row>
    <row r="46">
      <c r="A46" t="s" s="0">
        <v>78</v>
      </c>
      <c r="B46" t="s" s="0">
        <v>78</v>
      </c>
      <c r="C46" t="s" s="0">
        <v>78</v>
      </c>
      <c r="D46" t="s" s="0">
        <v>78</v>
      </c>
      <c r="E46" t="s" s="0">
        <v>1440</v>
      </c>
      <c r="F46" t="s" s="0">
        <v>1441</v>
      </c>
      <c r="G46" t="s" s="0">
        <v>1442</v>
      </c>
      <c r="H46" t="s" s="0">
        <v>83</v>
      </c>
      <c r="I46" t="s" s="0">
        <v>84</v>
      </c>
      <c r="J46" t="s" s="0">
        <v>1443</v>
      </c>
      <c r="K46" t="s" s="0">
        <v>1444</v>
      </c>
      <c r="L46" t="s" s="0">
        <v>83</v>
      </c>
      <c r="M46" t="s" s="0">
        <v>83</v>
      </c>
      <c r="N46" t="s" s="0">
        <v>1445</v>
      </c>
      <c r="O46" t="s" s="0">
        <v>1446</v>
      </c>
      <c r="P46" t="s" s="0">
        <v>1447</v>
      </c>
      <c r="Q46" t="s" s="0">
        <v>92</v>
      </c>
      <c r="R46" t="s" s="0">
        <v>83</v>
      </c>
      <c r="S46" t="s" s="0">
        <v>83</v>
      </c>
      <c r="T46" t="s" s="0">
        <v>83</v>
      </c>
      <c r="U46" t="s" s="0">
        <v>83</v>
      </c>
      <c r="V46" t="s" s="0">
        <v>1448</v>
      </c>
      <c r="W46" t="s" s="0">
        <v>1449</v>
      </c>
      <c r="X46" t="s" s="0">
        <v>83</v>
      </c>
      <c r="Y46" t="s" s="0">
        <v>83</v>
      </c>
      <c r="Z46" t="s" s="0">
        <v>95</v>
      </c>
      <c r="AA46" t="s" s="0">
        <v>96</v>
      </c>
      <c r="AB46" t="s" s="0">
        <v>83</v>
      </c>
      <c r="AC46" t="s" s="0">
        <v>83</v>
      </c>
      <c r="AD46" t="s" s="0">
        <v>83</v>
      </c>
      <c r="AE46" t="s" s="0">
        <v>83</v>
      </c>
      <c r="AF46" t="s" s="0">
        <v>83</v>
      </c>
      <c r="AG46" t="s" s="0">
        <v>1450</v>
      </c>
      <c r="AH46" t="s" s="0">
        <v>1451</v>
      </c>
      <c r="AI46" t="s" s="0">
        <v>83</v>
      </c>
      <c r="AJ46" t="s" s="0">
        <v>83</v>
      </c>
      <c r="AK46" t="s" s="0">
        <v>83</v>
      </c>
      <c r="AL46" t="s" s="0">
        <v>270</v>
      </c>
      <c r="AM46" t="s" s="0">
        <v>78</v>
      </c>
      <c r="AN46" t="s" s="0">
        <v>78</v>
      </c>
      <c r="AO46" t="s" s="0">
        <v>78</v>
      </c>
      <c r="AP46" t="s" s="0">
        <v>78</v>
      </c>
      <c r="AQ46" t="s" s="0">
        <v>805</v>
      </c>
      <c r="AR46" t="s" s="0">
        <v>806</v>
      </c>
      <c r="AS46" t="s" s="0">
        <v>807</v>
      </c>
      <c r="AT46" t="s" s="0">
        <v>83</v>
      </c>
      <c r="AU46" t="s" s="0">
        <v>1452</v>
      </c>
      <c r="AV46" t="s" s="0">
        <v>83</v>
      </c>
      <c r="AW46" t="s" s="0">
        <v>1453</v>
      </c>
      <c r="AX46" t="s" s="0">
        <v>1454</v>
      </c>
      <c r="AY46" t="s" s="0">
        <v>1455</v>
      </c>
      <c r="AZ46" t="s" s="0">
        <v>511</v>
      </c>
      <c r="BA46" t="s" s="0">
        <v>310</v>
      </c>
      <c r="BB46" t="s" s="0">
        <v>417</v>
      </c>
      <c r="BC46" t="s" s="0">
        <v>83</v>
      </c>
      <c r="BD46" t="s" s="0">
        <v>83</v>
      </c>
      <c r="BE46" t="s" s="0">
        <v>83</v>
      </c>
      <c r="BF46" t="s" s="0">
        <v>83</v>
      </c>
      <c r="BG46" t="s" s="0">
        <v>83</v>
      </c>
      <c r="BH46" t="s" s="0">
        <v>83</v>
      </c>
      <c r="BI46" t="s" s="0">
        <v>1456</v>
      </c>
      <c r="BJ46" t="s" s="0">
        <v>1457</v>
      </c>
      <c r="BK46" t="s" s="89">
        <f>HYPERLINK("http://dx.doi.org/10.3390/app16147171","http://dx.doi.org/10.3390/app16147171")</f>
        <v>1458</v>
      </c>
      <c r="BL46" t="s" s="0">
        <v>83</v>
      </c>
      <c r="BM46" t="s" s="0">
        <v>83</v>
      </c>
      <c r="BN46" t="s" s="0">
        <v>114</v>
      </c>
      <c r="BO46" t="s" s="0">
        <v>1459</v>
      </c>
      <c r="BP46" t="s" s="0">
        <v>1460</v>
      </c>
      <c r="BQ46" t="s" s="0">
        <v>1461</v>
      </c>
      <c r="BR46" t="s" s="0">
        <v>83</v>
      </c>
      <c r="BS46" t="s" s="0">
        <v>1462</v>
      </c>
      <c r="BT46" t="s" s="90">
        <f>HYPERLINK("https://www.webofscience.com/wos/woscc/full-record/WOS:001831483000001","View Record in Web of Science")</f>
        <v>126</v>
      </c>
      <c r="BU46" t="s" s="0">
        <v>1463</v>
      </c>
      <c r="BV46" t="s" s="0">
        <v>83</v>
      </c>
      <c r="BW46" t="s" s="0">
        <v>83</v>
      </c>
      <c r="BX46" t="s" s="0">
        <v>130</v>
      </c>
    </row>
    <row r="47">
      <c r="A47" t="s" s="0">
        <v>78</v>
      </c>
      <c r="B47" t="s" s="0">
        <v>78</v>
      </c>
      <c r="C47" t="s" s="0">
        <v>78</v>
      </c>
      <c r="D47" t="s" s="0">
        <v>78</v>
      </c>
      <c r="E47" t="s" s="0">
        <v>1464</v>
      </c>
      <c r="F47" t="s" s="0">
        <v>1465</v>
      </c>
      <c r="G47" t="s" s="0">
        <v>1466</v>
      </c>
      <c r="H47" t="s" s="0">
        <v>83</v>
      </c>
      <c r="I47" t="s" s="0">
        <v>84</v>
      </c>
      <c r="J47" t="s" s="0">
        <v>1467</v>
      </c>
      <c r="K47" t="s" s="0">
        <v>1468</v>
      </c>
      <c r="L47" t="s" s="0">
        <v>1469</v>
      </c>
      <c r="M47" t="s" s="0">
        <v>1470</v>
      </c>
      <c r="N47" t="s" s="0">
        <v>1471</v>
      </c>
      <c r="O47" t="s" s="0">
        <v>1472</v>
      </c>
      <c r="P47" t="s" s="0">
        <v>1473</v>
      </c>
      <c r="Q47" t="s" s="0">
        <v>92</v>
      </c>
      <c r="R47" t="s" s="0">
        <v>83</v>
      </c>
      <c r="S47" t="s" s="0">
        <v>83</v>
      </c>
      <c r="T47" t="s" s="0">
        <v>83</v>
      </c>
      <c r="U47" t="s" s="0">
        <v>83</v>
      </c>
      <c r="V47" t="s" s="0">
        <v>1474</v>
      </c>
      <c r="W47" t="s" s="0">
        <v>223</v>
      </c>
      <c r="X47" t="s" s="0">
        <v>83</v>
      </c>
      <c r="Y47" t="s" s="0">
        <v>83</v>
      </c>
      <c r="Z47" t="s" s="0">
        <v>95</v>
      </c>
      <c r="AA47" t="s" s="0">
        <v>96</v>
      </c>
      <c r="AB47" t="s" s="0">
        <v>83</v>
      </c>
      <c r="AC47" t="s" s="0">
        <v>83</v>
      </c>
      <c r="AD47" t="s" s="0">
        <v>83</v>
      </c>
      <c r="AE47" t="s" s="0">
        <v>83</v>
      </c>
      <c r="AF47" t="s" s="0">
        <v>83</v>
      </c>
      <c r="AG47" t="s" s="0">
        <v>1475</v>
      </c>
      <c r="AH47" t="s" s="0">
        <v>1476</v>
      </c>
      <c r="AI47" t="s" s="0">
        <v>1477</v>
      </c>
      <c r="AJ47" t="s" s="0">
        <v>1478</v>
      </c>
      <c r="AK47" t="s" s="0">
        <v>83</v>
      </c>
      <c r="AL47" t="s" s="0">
        <v>471</v>
      </c>
      <c r="AM47" t="s" s="0">
        <v>78</v>
      </c>
      <c r="AN47" t="s" s="0">
        <v>78</v>
      </c>
      <c r="AO47" t="s" s="0">
        <v>78</v>
      </c>
      <c r="AP47" t="s" s="0">
        <v>78</v>
      </c>
      <c r="AQ47" t="s" s="0">
        <v>233</v>
      </c>
      <c r="AR47" t="s" s="0">
        <v>234</v>
      </c>
      <c r="AS47" t="s" s="0">
        <v>235</v>
      </c>
      <c r="AT47" t="s" s="0">
        <v>236</v>
      </c>
      <c r="AU47" t="s" s="0">
        <v>237</v>
      </c>
      <c r="AV47" t="s" s="0">
        <v>83</v>
      </c>
      <c r="AW47" t="s" s="0">
        <v>238</v>
      </c>
      <c r="AX47" t="s" s="0">
        <v>239</v>
      </c>
      <c r="AY47" t="s" s="0">
        <v>1479</v>
      </c>
      <c r="AZ47" t="s" s="0">
        <v>511</v>
      </c>
      <c r="BA47" t="s" s="0">
        <v>117</v>
      </c>
      <c r="BB47" t="s" s="0">
        <v>83</v>
      </c>
      <c r="BC47" t="s" s="0">
        <v>83</v>
      </c>
      <c r="BD47" t="s" s="0">
        <v>83</v>
      </c>
      <c r="BE47" t="s" s="0">
        <v>83</v>
      </c>
      <c r="BF47" t="s" s="0">
        <v>83</v>
      </c>
      <c r="BG47" t="s" s="0">
        <v>83</v>
      </c>
      <c r="BH47" t="s" s="0">
        <v>83</v>
      </c>
      <c r="BI47" t="s" s="0">
        <v>1480</v>
      </c>
      <c r="BJ47" t="s" s="0">
        <v>1481</v>
      </c>
      <c r="BK47" t="s" s="91">
        <f>HYPERLINK("http://dx.doi.org/10.1016/j.jclinepi.2026.112371","http://dx.doi.org/10.1016/j.jclinepi.2026.112371")</f>
        <v>1482</v>
      </c>
      <c r="BL47" t="s" s="0">
        <v>83</v>
      </c>
      <c r="BM47" t="s" s="0">
        <v>1483</v>
      </c>
      <c r="BN47" t="s" s="0">
        <v>211</v>
      </c>
      <c r="BO47" t="s" s="0">
        <v>249</v>
      </c>
      <c r="BP47" t="s" s="0">
        <v>249</v>
      </c>
      <c r="BQ47" t="s" s="0">
        <v>1484</v>
      </c>
      <c r="BR47" t="s" s="0">
        <v>1485</v>
      </c>
      <c r="BS47" t="s" s="0">
        <v>1486</v>
      </c>
      <c r="BT47" t="s" s="92">
        <f>HYPERLINK("https://www.webofscience.com/wos/woscc/full-record/WOS:001821453800001","View Record in Web of Science")</f>
        <v>126</v>
      </c>
      <c r="BU47" t="s" s="0">
        <v>930</v>
      </c>
      <c r="BV47" t="s" s="0">
        <v>83</v>
      </c>
      <c r="BW47" t="s" s="0">
        <v>83</v>
      </c>
      <c r="BX47" t="s" s="0">
        <v>130</v>
      </c>
    </row>
    <row r="48">
      <c r="A48" t="s" s="0">
        <v>78</v>
      </c>
      <c r="B48" t="s" s="0">
        <v>78</v>
      </c>
      <c r="C48" t="s" s="0">
        <v>165</v>
      </c>
      <c r="D48" t="s" s="0">
        <v>78</v>
      </c>
      <c r="E48" t="s" s="0">
        <v>1487</v>
      </c>
      <c r="F48" t="s" s="0">
        <v>1488</v>
      </c>
      <c r="G48" t="s" s="0">
        <v>1489</v>
      </c>
      <c r="H48" t="s" s="0">
        <v>83</v>
      </c>
      <c r="I48" t="s" s="0">
        <v>84</v>
      </c>
      <c r="J48" t="s" s="0">
        <v>1490</v>
      </c>
      <c r="K48" t="s" s="0">
        <v>1491</v>
      </c>
      <c r="L48" t="s" s="0">
        <v>1492</v>
      </c>
      <c r="M48" t="s" s="0">
        <v>1493</v>
      </c>
      <c r="N48" t="s" s="0">
        <v>83</v>
      </c>
      <c r="O48" t="s" s="0">
        <v>1494</v>
      </c>
      <c r="P48" t="s" s="0">
        <v>1495</v>
      </c>
      <c r="Q48" t="s" s="0">
        <v>92</v>
      </c>
      <c r="R48" t="s" s="0">
        <v>83</v>
      </c>
      <c r="S48" t="s" s="0">
        <v>83</v>
      </c>
      <c r="T48" t="s" s="0">
        <v>83</v>
      </c>
      <c r="U48" t="s" s="0">
        <v>83</v>
      </c>
      <c r="V48" t="s" s="0">
        <v>1496</v>
      </c>
      <c r="W48" t="s" s="0">
        <v>1118</v>
      </c>
      <c r="X48" t="s" s="0">
        <v>83</v>
      </c>
      <c r="Y48" t="s" s="0">
        <v>83</v>
      </c>
      <c r="Z48" t="s" s="0">
        <v>95</v>
      </c>
      <c r="AA48" t="s" s="0">
        <v>96</v>
      </c>
      <c r="AB48" t="s" s="0">
        <v>83</v>
      </c>
      <c r="AC48" t="s" s="0">
        <v>83</v>
      </c>
      <c r="AD48" t="s" s="0">
        <v>83</v>
      </c>
      <c r="AE48" t="s" s="0">
        <v>83</v>
      </c>
      <c r="AF48" t="s" s="0">
        <v>83</v>
      </c>
      <c r="AG48" t="s" s="0">
        <v>1497</v>
      </c>
      <c r="AH48" t="s" s="0">
        <v>1498</v>
      </c>
      <c r="AI48" t="s" s="0">
        <v>1499</v>
      </c>
      <c r="AJ48" t="s" s="0">
        <v>1500</v>
      </c>
      <c r="AK48" t="s" s="0">
        <v>83</v>
      </c>
      <c r="AL48" t="s" s="0">
        <v>407</v>
      </c>
      <c r="AM48" t="s" s="0">
        <v>413</v>
      </c>
      <c r="AN48" t="s" s="0">
        <v>358</v>
      </c>
      <c r="AO48" t="s" s="0">
        <v>78</v>
      </c>
      <c r="AP48" t="s" s="0">
        <v>413</v>
      </c>
      <c r="AQ48" t="s" s="0">
        <v>1123</v>
      </c>
      <c r="AR48" t="s" s="0">
        <v>1124</v>
      </c>
      <c r="AS48" t="s" s="0">
        <v>1125</v>
      </c>
      <c r="AT48" t="s" s="0">
        <v>83</v>
      </c>
      <c r="AU48" t="s" s="0">
        <v>1126</v>
      </c>
      <c r="AV48" t="s" s="0">
        <v>83</v>
      </c>
      <c r="AW48" t="s" s="0">
        <v>1127</v>
      </c>
      <c r="AX48" t="s" s="0">
        <v>1128</v>
      </c>
      <c r="AY48" t="s" s="0">
        <v>1501</v>
      </c>
      <c r="AZ48" t="s" s="0">
        <v>279</v>
      </c>
      <c r="BA48" t="s" s="0">
        <v>232</v>
      </c>
      <c r="BB48" t="s" s="0">
        <v>211</v>
      </c>
      <c r="BC48" t="s" s="0">
        <v>83</v>
      </c>
      <c r="BD48" t="s" s="0">
        <v>83</v>
      </c>
      <c r="BE48" t="s" s="0">
        <v>83</v>
      </c>
      <c r="BF48" t="s" s="0">
        <v>83</v>
      </c>
      <c r="BG48" t="s" s="0">
        <v>83</v>
      </c>
      <c r="BH48" t="s" s="0">
        <v>83</v>
      </c>
      <c r="BI48" t="s" s="0">
        <v>1502</v>
      </c>
      <c r="BJ48" t="s" s="0">
        <v>1503</v>
      </c>
      <c r="BK48" t="s" s="93">
        <f>HYPERLINK("http://dx.doi.org/10.1161/JAHA.121.024833","http://dx.doi.org/10.1161/JAHA.121.024833")</f>
        <v>1504</v>
      </c>
      <c r="BL48" t="s" s="0">
        <v>83</v>
      </c>
      <c r="BM48" t="s" s="0">
        <v>83</v>
      </c>
      <c r="BN48" t="s" s="0">
        <v>201</v>
      </c>
      <c r="BO48" t="s" s="0">
        <v>1133</v>
      </c>
      <c r="BP48" t="s" s="0">
        <v>1134</v>
      </c>
      <c r="BQ48" t="s" s="0">
        <v>1505</v>
      </c>
      <c r="BR48" t="s" s="0">
        <v>1506</v>
      </c>
      <c r="BS48" t="s" s="0">
        <v>1507</v>
      </c>
      <c r="BT48" t="s" s="94">
        <f>HYPERLINK("https://www.webofscience.com/wos/woscc/full-record/WOS:000796637400014","View Record in Web of Science")</f>
        <v>126</v>
      </c>
      <c r="BU48" t="s" s="0">
        <v>210</v>
      </c>
      <c r="BV48" t="s" s="0">
        <v>83</v>
      </c>
      <c r="BW48" t="s" s="0">
        <v>83</v>
      </c>
      <c r="BX48" t="s" s="0">
        <v>130</v>
      </c>
    </row>
    <row r="49">
      <c r="A49" t="s" s="0">
        <v>78</v>
      </c>
      <c r="B49" t="s" s="0">
        <v>78</v>
      </c>
      <c r="C49" t="s" s="0">
        <v>78</v>
      </c>
      <c r="D49" t="s" s="0">
        <v>78</v>
      </c>
      <c r="E49" t="s" s="0">
        <v>1508</v>
      </c>
      <c r="F49" t="s" s="0">
        <v>1509</v>
      </c>
      <c r="G49" t="s" s="0">
        <v>1510</v>
      </c>
      <c r="H49" t="s" s="0">
        <v>83</v>
      </c>
      <c r="I49" t="s" s="0">
        <v>84</v>
      </c>
      <c r="J49" t="s" s="0">
        <v>1511</v>
      </c>
      <c r="K49" t="s" s="0">
        <v>1512</v>
      </c>
      <c r="L49" t="s" s="0">
        <v>83</v>
      </c>
      <c r="M49" t="s" s="0">
        <v>83</v>
      </c>
      <c r="N49" t="s" s="0">
        <v>83</v>
      </c>
      <c r="O49" t="s" s="0">
        <v>1513</v>
      </c>
      <c r="P49" t="s" s="0">
        <v>1514</v>
      </c>
      <c r="Q49" t="s" s="0">
        <v>92</v>
      </c>
      <c r="R49" t="s" s="0">
        <v>83</v>
      </c>
      <c r="S49" t="s" s="0">
        <v>83</v>
      </c>
      <c r="T49" t="s" s="0">
        <v>83</v>
      </c>
      <c r="U49" t="s" s="0">
        <v>83</v>
      </c>
      <c r="V49" t="s" s="0">
        <v>1515</v>
      </c>
      <c r="W49" t="s" s="0">
        <v>1516</v>
      </c>
      <c r="X49" t="s" s="0">
        <v>83</v>
      </c>
      <c r="Y49" t="s" s="0">
        <v>83</v>
      </c>
      <c r="Z49" t="s" s="0">
        <v>95</v>
      </c>
      <c r="AA49" t="s" s="0">
        <v>96</v>
      </c>
      <c r="AB49" t="s" s="0">
        <v>83</v>
      </c>
      <c r="AC49" t="s" s="0">
        <v>83</v>
      </c>
      <c r="AD49" t="s" s="0">
        <v>83</v>
      </c>
      <c r="AE49" t="s" s="0">
        <v>83</v>
      </c>
      <c r="AF49" t="s" s="0">
        <v>83</v>
      </c>
      <c r="AG49" t="s" s="0">
        <v>1517</v>
      </c>
      <c r="AH49" t="s" s="0">
        <v>1518</v>
      </c>
      <c r="AI49" t="s" s="0">
        <v>83</v>
      </c>
      <c r="AJ49" t="s" s="0">
        <v>83</v>
      </c>
      <c r="AK49" t="s" s="0">
        <v>83</v>
      </c>
      <c r="AL49" t="s" s="0">
        <v>471</v>
      </c>
      <c r="AM49" t="s" s="0">
        <v>78</v>
      </c>
      <c r="AN49" t="s" s="0">
        <v>78</v>
      </c>
      <c r="AO49" t="s" s="0">
        <v>78</v>
      </c>
      <c r="AP49" t="s" s="0">
        <v>78</v>
      </c>
      <c r="AQ49" t="s" s="0">
        <v>1123</v>
      </c>
      <c r="AR49" t="s" s="0">
        <v>1124</v>
      </c>
      <c r="AS49" t="s" s="0">
        <v>1125</v>
      </c>
      <c r="AT49" t="s" s="0">
        <v>1519</v>
      </c>
      <c r="AU49" t="s" s="0">
        <v>1520</v>
      </c>
      <c r="AV49" t="s" s="0">
        <v>83</v>
      </c>
      <c r="AW49" t="s" s="0">
        <v>1521</v>
      </c>
      <c r="AX49" t="s" s="0">
        <v>1522</v>
      </c>
      <c r="AY49" t="s" s="0">
        <v>1523</v>
      </c>
      <c r="AZ49" t="s" s="0">
        <v>511</v>
      </c>
      <c r="BA49" t="s" s="0">
        <v>470</v>
      </c>
      <c r="BB49" t="s" s="0">
        <v>545</v>
      </c>
      <c r="BC49" t="s" s="0">
        <v>83</v>
      </c>
      <c r="BD49" t="s" s="0">
        <v>83</v>
      </c>
      <c r="BE49" t="s" s="0">
        <v>83</v>
      </c>
      <c r="BF49" t="s" s="0">
        <v>83</v>
      </c>
      <c r="BG49" t="s" s="0">
        <v>83</v>
      </c>
      <c r="BH49" t="s" s="0">
        <v>83</v>
      </c>
      <c r="BI49" t="s" s="0">
        <v>1524</v>
      </c>
      <c r="BJ49" t="s" s="0">
        <v>1525</v>
      </c>
      <c r="BK49" t="s" s="95">
        <f>HYPERLINK("http://dx.doi.org/10.1111/papr.70129","http://dx.doi.org/10.1111/papr.70129")</f>
        <v>1526</v>
      </c>
      <c r="BL49" t="s" s="0">
        <v>83</v>
      </c>
      <c r="BM49" t="s" s="0">
        <v>83</v>
      </c>
      <c r="BN49" t="s" s="0">
        <v>149</v>
      </c>
      <c r="BO49" t="s" s="0">
        <v>1527</v>
      </c>
      <c r="BP49" t="s" s="0">
        <v>1528</v>
      </c>
      <c r="BQ49" t="s" s="0">
        <v>1529</v>
      </c>
      <c r="BR49" t="s" s="0">
        <v>1530</v>
      </c>
      <c r="BS49" t="s" s="0">
        <v>1531</v>
      </c>
      <c r="BT49" t="s" s="96">
        <f>HYPERLINK("https://www.webofscience.com/wos/woscc/full-record/WOS:001714039900014","View Record in Web of Science")</f>
        <v>126</v>
      </c>
      <c r="BU49" t="s" s="0">
        <v>83</v>
      </c>
      <c r="BV49" t="s" s="0">
        <v>83</v>
      </c>
      <c r="BW49" t="s" s="0">
        <v>83</v>
      </c>
      <c r="BX49" t="s" s="0">
        <v>130</v>
      </c>
    </row>
    <row r="50">
      <c r="A50" t="s" s="0">
        <v>78</v>
      </c>
      <c r="B50" t="s" s="0">
        <v>78</v>
      </c>
      <c r="C50" t="s" s="0">
        <v>77</v>
      </c>
      <c r="D50" t="s" s="0">
        <v>78</v>
      </c>
      <c r="E50" t="s" s="0">
        <v>1532</v>
      </c>
      <c r="F50" t="s" s="0">
        <v>1533</v>
      </c>
      <c r="G50" t="s" s="0">
        <v>1534</v>
      </c>
      <c r="H50" t="s" s="0">
        <v>83</v>
      </c>
      <c r="I50" t="s" s="0">
        <v>84</v>
      </c>
      <c r="J50" t="s" s="0">
        <v>1535</v>
      </c>
      <c r="K50" t="s" s="0">
        <v>1536</v>
      </c>
      <c r="L50" t="s" s="0">
        <v>1537</v>
      </c>
      <c r="M50" t="s" s="0">
        <v>1538</v>
      </c>
      <c r="N50" t="s" s="0">
        <v>1539</v>
      </c>
      <c r="O50" t="s" s="0">
        <v>1540</v>
      </c>
      <c r="P50" t="s" s="0">
        <v>1541</v>
      </c>
      <c r="Q50" t="s" s="0">
        <v>92</v>
      </c>
      <c r="R50" t="s" s="0">
        <v>83</v>
      </c>
      <c r="S50" t="s" s="0">
        <v>83</v>
      </c>
      <c r="T50" t="s" s="0">
        <v>83</v>
      </c>
      <c r="U50" t="s" s="0">
        <v>83</v>
      </c>
      <c r="V50" t="s" s="0">
        <v>1542</v>
      </c>
      <c r="W50" t="s" s="0">
        <v>1085</v>
      </c>
      <c r="X50" t="s" s="0">
        <v>83</v>
      </c>
      <c r="Y50" t="s" s="0">
        <v>83</v>
      </c>
      <c r="Z50" t="s" s="0">
        <v>95</v>
      </c>
      <c r="AA50" t="s" s="0">
        <v>96</v>
      </c>
      <c r="AB50" t="s" s="0">
        <v>83</v>
      </c>
      <c r="AC50" t="s" s="0">
        <v>83</v>
      </c>
      <c r="AD50" t="s" s="0">
        <v>83</v>
      </c>
      <c r="AE50" t="s" s="0">
        <v>83</v>
      </c>
      <c r="AF50" t="s" s="0">
        <v>83</v>
      </c>
      <c r="AG50" t="s" s="0">
        <v>1543</v>
      </c>
      <c r="AH50" t="s" s="0">
        <v>1544</v>
      </c>
      <c r="AI50" t="s" s="0">
        <v>1545</v>
      </c>
      <c r="AJ50" t="s" s="0">
        <v>1546</v>
      </c>
      <c r="AK50" t="s" s="0">
        <v>83</v>
      </c>
      <c r="AL50" t="s" s="0">
        <v>270</v>
      </c>
      <c r="AM50" t="s" s="0">
        <v>211</v>
      </c>
      <c r="AN50" t="s" s="0">
        <v>120</v>
      </c>
      <c r="AO50" t="s" s="0">
        <v>78</v>
      </c>
      <c r="AP50" t="s" s="0">
        <v>231</v>
      </c>
      <c r="AQ50" t="s" s="0">
        <v>1090</v>
      </c>
      <c r="AR50" t="s" s="0">
        <v>1091</v>
      </c>
      <c r="AS50" t="s" s="0">
        <v>1092</v>
      </c>
      <c r="AT50" t="s" s="0">
        <v>1093</v>
      </c>
      <c r="AU50" t="s" s="0">
        <v>1094</v>
      </c>
      <c r="AV50" t="s" s="0">
        <v>83</v>
      </c>
      <c r="AW50" t="s" s="0">
        <v>1095</v>
      </c>
      <c r="AX50" t="s" s="0">
        <v>1096</v>
      </c>
      <c r="AY50" t="s" s="0">
        <v>1547</v>
      </c>
      <c r="AZ50" t="s" s="0">
        <v>279</v>
      </c>
      <c r="BA50" t="s" s="0">
        <v>230</v>
      </c>
      <c r="BB50" t="s" s="0">
        <v>83</v>
      </c>
      <c r="BC50" t="s" s="0">
        <v>83</v>
      </c>
      <c r="BD50" t="s" s="0">
        <v>83</v>
      </c>
      <c r="BE50" t="s" s="0">
        <v>83</v>
      </c>
      <c r="BF50" t="s" s="0">
        <v>83</v>
      </c>
      <c r="BG50" t="s" s="0">
        <v>83</v>
      </c>
      <c r="BH50" t="s" s="0">
        <v>83</v>
      </c>
      <c r="BI50" t="s" s="0">
        <v>1548</v>
      </c>
      <c r="BJ50" t="s" s="0">
        <v>1549</v>
      </c>
      <c r="BK50" t="s" s="97">
        <f>HYPERLINK("http://dx.doi.org/10.1016/j.semarthrit.2022.152076","http://dx.doi.org/10.1016/j.semarthrit.2022.152076")</f>
        <v>1550</v>
      </c>
      <c r="BL50" t="s" s="0">
        <v>83</v>
      </c>
      <c r="BM50" t="s" s="0">
        <v>1551</v>
      </c>
      <c r="BN50" t="s" s="0">
        <v>165</v>
      </c>
      <c r="BO50" t="s" s="0">
        <v>1103</v>
      </c>
      <c r="BP50" t="s" s="0">
        <v>1103</v>
      </c>
      <c r="BQ50" t="s" s="0">
        <v>1552</v>
      </c>
      <c r="BR50" t="s" s="0">
        <v>1553</v>
      </c>
      <c r="BS50" t="s" s="0">
        <v>1554</v>
      </c>
      <c r="BT50" t="s" s="98">
        <f>HYPERLINK("https://www.webofscience.com/wos/woscc/full-record/WOS:000849117700009","View Record in Web of Science")</f>
        <v>126</v>
      </c>
      <c r="BU50" t="s" s="0">
        <v>584</v>
      </c>
      <c r="BV50" t="s" s="0">
        <v>83</v>
      </c>
      <c r="BW50" t="s" s="0">
        <v>83</v>
      </c>
      <c r="BX50" t="s" s="0">
        <v>130</v>
      </c>
    </row>
    <row r="51">
      <c r="A51" t="s" s="0">
        <v>78</v>
      </c>
      <c r="B51" t="s" s="0">
        <v>78</v>
      </c>
      <c r="C51" t="s" s="0">
        <v>78</v>
      </c>
      <c r="D51" t="s" s="0">
        <v>78</v>
      </c>
      <c r="E51" t="s" s="0">
        <v>1555</v>
      </c>
      <c r="F51" t="s" s="0">
        <v>1556</v>
      </c>
      <c r="G51" t="s" s="0">
        <v>1557</v>
      </c>
      <c r="H51" t="s" s="0">
        <v>83</v>
      </c>
      <c r="I51" t="s" s="0">
        <v>84</v>
      </c>
      <c r="J51" t="s" s="0">
        <v>1558</v>
      </c>
      <c r="K51" t="s" s="0">
        <v>1559</v>
      </c>
      <c r="L51" t="s" s="0">
        <v>83</v>
      </c>
      <c r="M51" t="s" s="0">
        <v>83</v>
      </c>
      <c r="N51" t="s" s="0">
        <v>83</v>
      </c>
      <c r="O51" t="s" s="0">
        <v>1560</v>
      </c>
      <c r="P51" t="s" s="0">
        <v>1561</v>
      </c>
      <c r="Q51" t="s" s="0">
        <v>92</v>
      </c>
      <c r="R51" t="s" s="0">
        <v>83</v>
      </c>
      <c r="S51" t="s" s="0">
        <v>83</v>
      </c>
      <c r="T51" t="s" s="0">
        <v>83</v>
      </c>
      <c r="U51" t="s" s="0">
        <v>83</v>
      </c>
      <c r="V51" t="s" s="0">
        <v>1562</v>
      </c>
      <c r="W51" t="s" s="0">
        <v>1563</v>
      </c>
      <c r="X51" t="s" s="0">
        <v>83</v>
      </c>
      <c r="Y51" t="s" s="0">
        <v>83</v>
      </c>
      <c r="Z51" t="s" s="0">
        <v>95</v>
      </c>
      <c r="AA51" t="s" s="0">
        <v>96</v>
      </c>
      <c r="AB51" t="s" s="0">
        <v>83</v>
      </c>
      <c r="AC51" t="s" s="0">
        <v>83</v>
      </c>
      <c r="AD51" t="s" s="0">
        <v>83</v>
      </c>
      <c r="AE51" t="s" s="0">
        <v>83</v>
      </c>
      <c r="AF51" t="s" s="0">
        <v>83</v>
      </c>
      <c r="AG51" t="s" s="0">
        <v>1564</v>
      </c>
      <c r="AH51" t="s" s="0">
        <v>1565</v>
      </c>
      <c r="AI51" t="s" s="0">
        <v>1566</v>
      </c>
      <c r="AJ51" t="s" s="0">
        <v>83</v>
      </c>
      <c r="AK51" t="s" s="0">
        <v>83</v>
      </c>
      <c r="AL51" t="s" s="0">
        <v>1567</v>
      </c>
      <c r="AM51" t="s" s="0">
        <v>150</v>
      </c>
      <c r="AN51" t="s" s="0">
        <v>150</v>
      </c>
      <c r="AO51" t="s" s="0">
        <v>150</v>
      </c>
      <c r="AP51" t="s" s="0">
        <v>77</v>
      </c>
      <c r="AQ51" t="s" s="0">
        <v>378</v>
      </c>
      <c r="AR51" t="s" s="0">
        <v>106</v>
      </c>
      <c r="AS51" t="s" s="0">
        <v>379</v>
      </c>
      <c r="AT51" t="s" s="0">
        <v>83</v>
      </c>
      <c r="AU51" t="s" s="0">
        <v>1568</v>
      </c>
      <c r="AV51" t="s" s="0">
        <v>83</v>
      </c>
      <c r="AW51" t="s" s="0">
        <v>1569</v>
      </c>
      <c r="AX51" t="s" s="0">
        <v>1570</v>
      </c>
      <c r="AY51" t="s" s="0">
        <v>1571</v>
      </c>
      <c r="AZ51" t="s" s="0">
        <v>159</v>
      </c>
      <c r="BA51" t="s" s="0">
        <v>470</v>
      </c>
      <c r="BB51" t="s" s="0">
        <v>115</v>
      </c>
      <c r="BC51" t="s" s="0">
        <v>83</v>
      </c>
      <c r="BD51" t="s" s="0">
        <v>83</v>
      </c>
      <c r="BE51" t="s" s="0">
        <v>83</v>
      </c>
      <c r="BF51" t="s" s="0">
        <v>83</v>
      </c>
      <c r="BG51" t="s" s="0">
        <v>83</v>
      </c>
      <c r="BH51" t="s" s="0">
        <v>83</v>
      </c>
      <c r="BI51" t="s" s="0">
        <v>1572</v>
      </c>
      <c r="BJ51" t="s" s="0">
        <v>1573</v>
      </c>
      <c r="BK51" t="s" s="99">
        <f>HYPERLINK("http://dx.doi.org/10.1186/s12891-025-09164-z","http://dx.doi.org/10.1186/s12891-025-09164-z")</f>
        <v>1574</v>
      </c>
      <c r="BL51" t="s" s="0">
        <v>83</v>
      </c>
      <c r="BM51" t="s" s="0">
        <v>83</v>
      </c>
      <c r="BN51" t="s" s="0">
        <v>269</v>
      </c>
      <c r="BO51" t="s" s="0">
        <v>1575</v>
      </c>
      <c r="BP51" t="s" s="0">
        <v>1575</v>
      </c>
      <c r="BQ51" t="s" s="0">
        <v>1576</v>
      </c>
      <c r="BR51" t="s" s="0">
        <v>1577</v>
      </c>
      <c r="BS51" t="s" s="0">
        <v>1578</v>
      </c>
      <c r="BT51" t="s" s="100">
        <f>HYPERLINK("https://www.webofscience.com/wos/woscc/full-record/WOS:001586608500006","View Record in Web of Science")</f>
        <v>126</v>
      </c>
      <c r="BU51" t="s" s="0">
        <v>210</v>
      </c>
      <c r="BV51" t="s" s="0">
        <v>83</v>
      </c>
      <c r="BW51" t="s" s="0">
        <v>83</v>
      </c>
      <c r="BX51" t="s" s="0">
        <v>130</v>
      </c>
    </row>
    <row r="52">
      <c r="A52" t="s" s="0">
        <v>78</v>
      </c>
      <c r="B52" t="s" s="0">
        <v>78</v>
      </c>
      <c r="C52" t="s" s="0">
        <v>115</v>
      </c>
      <c r="D52" t="s" s="0">
        <v>78</v>
      </c>
      <c r="E52" t="s" s="0">
        <v>1579</v>
      </c>
      <c r="F52" t="s" s="0">
        <v>1580</v>
      </c>
      <c r="G52" t="s" s="0">
        <v>1581</v>
      </c>
      <c r="H52" t="s" s="0">
        <v>83</v>
      </c>
      <c r="I52" t="s" s="0">
        <v>84</v>
      </c>
      <c r="J52" t="s" s="0">
        <v>1582</v>
      </c>
      <c r="K52" t="s" s="0">
        <v>1583</v>
      </c>
      <c r="L52" t="s" s="0">
        <v>83</v>
      </c>
      <c r="M52" t="s" s="0">
        <v>83</v>
      </c>
      <c r="N52" t="s" s="0">
        <v>83</v>
      </c>
      <c r="O52" t="s" s="0">
        <v>1584</v>
      </c>
      <c r="P52" t="s" s="0">
        <v>1585</v>
      </c>
      <c r="Q52" t="s" s="0">
        <v>92</v>
      </c>
      <c r="R52" t="s" s="0">
        <v>83</v>
      </c>
      <c r="S52" t="s" s="0">
        <v>83</v>
      </c>
      <c r="T52" t="s" s="0">
        <v>83</v>
      </c>
      <c r="U52" t="s" s="0">
        <v>83</v>
      </c>
      <c r="V52" t="s" s="0">
        <v>1586</v>
      </c>
      <c r="W52" t="s" s="0">
        <v>1587</v>
      </c>
      <c r="X52" t="s" s="0">
        <v>83</v>
      </c>
      <c r="Y52" t="s" s="0">
        <v>83</v>
      </c>
      <c r="Z52" t="s" s="0">
        <v>95</v>
      </c>
      <c r="AA52" t="s" s="0">
        <v>96</v>
      </c>
      <c r="AB52" t="s" s="0">
        <v>83</v>
      </c>
      <c r="AC52" t="s" s="0">
        <v>83</v>
      </c>
      <c r="AD52" t="s" s="0">
        <v>83</v>
      </c>
      <c r="AE52" t="s" s="0">
        <v>83</v>
      </c>
      <c r="AF52" t="s" s="0">
        <v>83</v>
      </c>
      <c r="AG52" t="s" s="0">
        <v>1588</v>
      </c>
      <c r="AH52" t="s" s="0">
        <v>1589</v>
      </c>
      <c r="AI52" t="s" s="0">
        <v>1590</v>
      </c>
      <c r="AJ52" t="s" s="0">
        <v>83</v>
      </c>
      <c r="AK52" t="s" s="0">
        <v>83</v>
      </c>
      <c r="AL52" t="s" s="0">
        <v>1591</v>
      </c>
      <c r="AM52" t="s" s="0">
        <v>77</v>
      </c>
      <c r="AN52" t="s" s="0">
        <v>231</v>
      </c>
      <c r="AO52" t="s" s="0">
        <v>78</v>
      </c>
      <c r="AP52" t="s" s="0">
        <v>150</v>
      </c>
      <c r="AQ52" t="s" s="0">
        <v>233</v>
      </c>
      <c r="AR52" t="s" s="0">
        <v>234</v>
      </c>
      <c r="AS52" t="s" s="0">
        <v>311</v>
      </c>
      <c r="AT52" t="s" s="0">
        <v>1592</v>
      </c>
      <c r="AU52" t="s" s="0">
        <v>1593</v>
      </c>
      <c r="AV52" t="s" s="0">
        <v>83</v>
      </c>
      <c r="AW52" t="s" s="0">
        <v>1594</v>
      </c>
      <c r="AX52" t="s" s="0">
        <v>1595</v>
      </c>
      <c r="AY52" t="s" s="0">
        <v>1189</v>
      </c>
      <c r="AZ52" t="s" s="0">
        <v>241</v>
      </c>
      <c r="BA52" t="s" s="0">
        <v>890</v>
      </c>
      <c r="BB52" t="s" s="0">
        <v>248</v>
      </c>
      <c r="BC52" t="s" s="0">
        <v>83</v>
      </c>
      <c r="BD52" t="s" s="0">
        <v>83</v>
      </c>
      <c r="BE52" t="s" s="0">
        <v>83</v>
      </c>
      <c r="BF52" t="s" s="0">
        <v>83</v>
      </c>
      <c r="BG52" t="s" s="0">
        <v>1596</v>
      </c>
      <c r="BH52" t="s" s="0">
        <v>1597</v>
      </c>
      <c r="BI52" t="s" s="0">
        <v>83</v>
      </c>
      <c r="BJ52" t="s" s="0">
        <v>1598</v>
      </c>
      <c r="BK52" t="s" s="101">
        <f>HYPERLINK("http://dx.doi.org/10.1016/j.jtha.2023.09.006","http://dx.doi.org/10.1016/j.jtha.2023.09.006")</f>
        <v>1599</v>
      </c>
      <c r="BL52" t="s" s="0">
        <v>83</v>
      </c>
      <c r="BM52" t="s" s="0">
        <v>1600</v>
      </c>
      <c r="BN52" t="s" s="0">
        <v>248</v>
      </c>
      <c r="BO52" t="s" s="0">
        <v>1601</v>
      </c>
      <c r="BP52" t="s" s="0">
        <v>1602</v>
      </c>
      <c r="BQ52" t="s" s="0">
        <v>1603</v>
      </c>
      <c r="BR52" t="s" s="0">
        <v>1604</v>
      </c>
      <c r="BS52" t="s" s="0">
        <v>1605</v>
      </c>
      <c r="BT52" t="s" s="102">
        <f>HYPERLINK("https://www.webofscience.com/wos/woscc/full-record/WOS:001124205800001","View Record in Web of Science")</f>
        <v>126</v>
      </c>
      <c r="BU52" t="s" s="0">
        <v>357</v>
      </c>
      <c r="BV52" t="s" s="0">
        <v>83</v>
      </c>
      <c r="BW52" t="s" s="0">
        <v>83</v>
      </c>
      <c r="BX52" t="s" s="0">
        <v>130</v>
      </c>
    </row>
    <row r="53">
      <c r="A53" t="s" s="0">
        <v>115</v>
      </c>
      <c r="B53" t="s" s="0">
        <v>78</v>
      </c>
      <c r="C53" t="s" s="0">
        <v>115</v>
      </c>
      <c r="D53" t="s" s="0">
        <v>78</v>
      </c>
      <c r="E53" t="s" s="0">
        <v>1606</v>
      </c>
      <c r="F53" t="s" s="0">
        <v>1607</v>
      </c>
      <c r="G53" t="s" s="0">
        <v>1608</v>
      </c>
      <c r="H53" t="s" s="0">
        <v>83</v>
      </c>
      <c r="I53" t="s" s="0">
        <v>84</v>
      </c>
      <c r="J53" t="s" s="0">
        <v>1609</v>
      </c>
      <c r="K53" t="s" s="0">
        <v>1610</v>
      </c>
      <c r="L53" t="s" s="0">
        <v>83</v>
      </c>
      <c r="M53" t="s" s="0">
        <v>83</v>
      </c>
      <c r="N53" t="s" s="0">
        <v>83</v>
      </c>
      <c r="O53" t="s" s="0">
        <v>1611</v>
      </c>
      <c r="P53" t="s" s="0">
        <v>1612</v>
      </c>
      <c r="Q53" t="s" s="0">
        <v>92</v>
      </c>
      <c r="R53" t="s" s="0">
        <v>83</v>
      </c>
      <c r="S53" t="s" s="0">
        <v>83</v>
      </c>
      <c r="T53" t="s" s="0">
        <v>83</v>
      </c>
      <c r="U53" t="s" s="0">
        <v>83</v>
      </c>
      <c r="V53" t="s" s="0">
        <v>1613</v>
      </c>
      <c r="W53" t="s" s="0">
        <v>1614</v>
      </c>
      <c r="X53" t="s" s="0">
        <v>83</v>
      </c>
      <c r="Y53" t="s" s="0">
        <v>83</v>
      </c>
      <c r="Z53" t="s" s="0">
        <v>95</v>
      </c>
      <c r="AA53" t="s" s="0">
        <v>96</v>
      </c>
      <c r="AB53" t="s" s="0">
        <v>83</v>
      </c>
      <c r="AC53" t="s" s="0">
        <v>83</v>
      </c>
      <c r="AD53" t="s" s="0">
        <v>83</v>
      </c>
      <c r="AE53" t="s" s="0">
        <v>83</v>
      </c>
      <c r="AF53" t="s" s="0">
        <v>83</v>
      </c>
      <c r="AG53" t="s" s="0">
        <v>1615</v>
      </c>
      <c r="AH53" t="s" s="0">
        <v>1616</v>
      </c>
      <c r="AI53" t="s" s="0">
        <v>83</v>
      </c>
      <c r="AJ53" t="s" s="0">
        <v>1617</v>
      </c>
      <c r="AK53" t="s" s="0">
        <v>83</v>
      </c>
      <c r="AL53" t="s" s="0">
        <v>1266</v>
      </c>
      <c r="AM53" t="s" s="0">
        <v>232</v>
      </c>
      <c r="AN53" t="s" s="0">
        <v>120</v>
      </c>
      <c r="AO53" t="s" s="0">
        <v>78</v>
      </c>
      <c r="AP53" t="s" s="0">
        <v>437</v>
      </c>
      <c r="AQ53" t="s" s="0">
        <v>271</v>
      </c>
      <c r="AR53" t="s" s="0">
        <v>272</v>
      </c>
      <c r="AS53" t="s" s="0">
        <v>273</v>
      </c>
      <c r="AT53" t="s" s="0">
        <v>1618</v>
      </c>
      <c r="AU53" t="s" s="0">
        <v>1619</v>
      </c>
      <c r="AV53" t="s" s="0">
        <v>83</v>
      </c>
      <c r="AW53" t="s" s="0">
        <v>1620</v>
      </c>
      <c r="AX53" t="s" s="0">
        <v>1621</v>
      </c>
      <c r="AY53" t="s" s="0">
        <v>1551</v>
      </c>
      <c r="AZ53" t="s" s="0">
        <v>279</v>
      </c>
      <c r="BA53" t="s" s="0">
        <v>1622</v>
      </c>
      <c r="BB53" t="s" s="0">
        <v>1623</v>
      </c>
      <c r="BC53" t="s" s="0">
        <v>83</v>
      </c>
      <c r="BD53" t="s" s="0">
        <v>83</v>
      </c>
      <c r="BE53" t="s" s="0">
        <v>83</v>
      </c>
      <c r="BF53" t="s" s="0">
        <v>83</v>
      </c>
      <c r="BG53" t="s" s="0">
        <v>1624</v>
      </c>
      <c r="BH53" t="s" s="0">
        <v>1625</v>
      </c>
      <c r="BI53" t="s" s="0">
        <v>83</v>
      </c>
      <c r="BJ53" t="s" s="0">
        <v>1626</v>
      </c>
      <c r="BK53" t="s" s="103">
        <f>HYPERLINK("http://dx.doi.org/10.1136/postgradmedj-2020-139352","http://dx.doi.org/10.1136/postgradmedj-2020-139352")</f>
        <v>1627</v>
      </c>
      <c r="BL53" t="s" s="0">
        <v>83</v>
      </c>
      <c r="BM53" t="s" s="0">
        <v>1628</v>
      </c>
      <c r="BN53" t="s" s="0">
        <v>149</v>
      </c>
      <c r="BO53" t="s" s="0">
        <v>669</v>
      </c>
      <c r="BP53" t="s" s="0">
        <v>670</v>
      </c>
      <c r="BQ53" t="s" s="0">
        <v>1629</v>
      </c>
      <c r="BR53" t="s" s="0">
        <v>1630</v>
      </c>
      <c r="BS53" t="s" s="0">
        <v>1631</v>
      </c>
      <c r="BT53" t="s" s="104">
        <f>HYPERLINK("https://www.webofscience.com/wos/woscc/full-record/WOS:000727496900001","View Record in Web of Science")</f>
        <v>126</v>
      </c>
      <c r="BU53" t="s" s="0">
        <v>83</v>
      </c>
      <c r="BV53" t="s" s="0">
        <v>83</v>
      </c>
      <c r="BW53" t="s" s="0">
        <v>83</v>
      </c>
      <c r="BX53" t="s" s="0">
        <v>130</v>
      </c>
    </row>
    <row r="54">
      <c r="A54" t="s" s="0">
        <v>78</v>
      </c>
      <c r="B54" t="s" s="0">
        <v>78</v>
      </c>
      <c r="C54" t="s" s="0">
        <v>78</v>
      </c>
      <c r="D54" t="s" s="0">
        <v>78</v>
      </c>
      <c r="E54" t="s" s="0">
        <v>1632</v>
      </c>
      <c r="F54" t="s" s="0">
        <v>1633</v>
      </c>
      <c r="G54" t="s" s="0">
        <v>1634</v>
      </c>
      <c r="H54" t="s" s="0">
        <v>83</v>
      </c>
      <c r="I54" t="s" s="0">
        <v>84</v>
      </c>
      <c r="J54" t="s" s="0">
        <v>1635</v>
      </c>
      <c r="K54" t="s" s="0">
        <v>1636</v>
      </c>
      <c r="L54" t="s" s="0">
        <v>1637</v>
      </c>
      <c r="M54" t="s" s="0">
        <v>1638</v>
      </c>
      <c r="N54" t="s" s="0">
        <v>1639</v>
      </c>
      <c r="O54" t="s" s="0">
        <v>1640</v>
      </c>
      <c r="P54" t="s" s="0">
        <v>1641</v>
      </c>
      <c r="Q54" t="s" s="0">
        <v>92</v>
      </c>
      <c r="R54" t="s" s="0">
        <v>83</v>
      </c>
      <c r="S54" t="s" s="0">
        <v>83</v>
      </c>
      <c r="T54" t="s" s="0">
        <v>83</v>
      </c>
      <c r="U54" t="s" s="0">
        <v>83</v>
      </c>
      <c r="V54" t="s" s="0">
        <v>1642</v>
      </c>
      <c r="W54" t="s" s="0">
        <v>1643</v>
      </c>
      <c r="X54" t="s" s="0">
        <v>83</v>
      </c>
      <c r="Y54" t="s" s="0">
        <v>83</v>
      </c>
      <c r="Z54" t="s" s="0">
        <v>95</v>
      </c>
      <c r="AA54" t="s" s="0">
        <v>96</v>
      </c>
      <c r="AB54" t="s" s="0">
        <v>83</v>
      </c>
      <c r="AC54" t="s" s="0">
        <v>83</v>
      </c>
      <c r="AD54" t="s" s="0">
        <v>83</v>
      </c>
      <c r="AE54" t="s" s="0">
        <v>83</v>
      </c>
      <c r="AF54" t="s" s="0">
        <v>83</v>
      </c>
      <c r="AG54" t="s" s="0">
        <v>1644</v>
      </c>
      <c r="AH54" t="s" s="0">
        <v>83</v>
      </c>
      <c r="AI54" t="s" s="0">
        <v>1645</v>
      </c>
      <c r="AJ54" t="s" s="0">
        <v>1646</v>
      </c>
      <c r="AK54" t="s" s="0">
        <v>83</v>
      </c>
      <c r="AL54" t="s" s="0">
        <v>170</v>
      </c>
      <c r="AM54" t="s" s="0">
        <v>78</v>
      </c>
      <c r="AN54" t="s" s="0">
        <v>78</v>
      </c>
      <c r="AO54" t="s" s="0">
        <v>115</v>
      </c>
      <c r="AP54" t="s" s="0">
        <v>115</v>
      </c>
      <c r="AQ54" t="s" s="0">
        <v>1123</v>
      </c>
      <c r="AR54" t="s" s="0">
        <v>1124</v>
      </c>
      <c r="AS54" t="s" s="0">
        <v>1125</v>
      </c>
      <c r="AT54" t="s" s="0">
        <v>1647</v>
      </c>
      <c r="AU54" t="s" s="0">
        <v>1648</v>
      </c>
      <c r="AV54" t="s" s="0">
        <v>83</v>
      </c>
      <c r="AW54" t="s" s="0">
        <v>1649</v>
      </c>
      <c r="AX54" t="s" s="0">
        <v>1650</v>
      </c>
      <c r="AY54" t="s" s="0">
        <v>1483</v>
      </c>
      <c r="AZ54" t="s" s="0">
        <v>511</v>
      </c>
      <c r="BA54" t="s" s="0">
        <v>1651</v>
      </c>
      <c r="BB54" t="s" s="0">
        <v>115</v>
      </c>
      <c r="BC54" t="s" s="0">
        <v>83</v>
      </c>
      <c r="BD54" t="s" s="0">
        <v>83</v>
      </c>
      <c r="BE54" t="s" s="0">
        <v>83</v>
      </c>
      <c r="BF54" t="s" s="0">
        <v>83</v>
      </c>
      <c r="BG54" t="s" s="0">
        <v>1652</v>
      </c>
      <c r="BH54" t="s" s="0">
        <v>1653</v>
      </c>
      <c r="BI54" t="s" s="0">
        <v>83</v>
      </c>
      <c r="BJ54" t="s" s="0">
        <v>1654</v>
      </c>
      <c r="BK54" t="s" s="105">
        <f>HYPERLINK("http://dx.doi.org/10.1111/ejh.70177","http://dx.doi.org/10.1111/ejh.70177")</f>
        <v>1655</v>
      </c>
      <c r="BL54" t="s" s="0">
        <v>83</v>
      </c>
      <c r="BM54" t="s" s="0">
        <v>1523</v>
      </c>
      <c r="BN54" t="s" s="0">
        <v>269</v>
      </c>
      <c r="BO54" t="s" s="0">
        <v>1656</v>
      </c>
      <c r="BP54" t="s" s="0">
        <v>1656</v>
      </c>
      <c r="BQ54" t="s" s="0">
        <v>1657</v>
      </c>
      <c r="BR54" t="s" s="0">
        <v>1658</v>
      </c>
      <c r="BS54" t="s" s="0">
        <v>1659</v>
      </c>
      <c r="BT54" t="s" s="106">
        <f>HYPERLINK("https://www.webofscience.com/wos/woscc/full-record/WOS:001727852400001","View Record in Web of Science")</f>
        <v>126</v>
      </c>
      <c r="BU54" t="s" s="0">
        <v>83</v>
      </c>
      <c r="BV54" t="s" s="0">
        <v>83</v>
      </c>
      <c r="BW54" t="s" s="0">
        <v>83</v>
      </c>
      <c r="BX54" t="s" s="0">
        <v>130</v>
      </c>
    </row>
    <row r="55">
      <c r="A55" t="s" s="0">
        <v>115</v>
      </c>
      <c r="B55" t="s" s="0">
        <v>78</v>
      </c>
      <c r="C55" t="s" s="0">
        <v>229</v>
      </c>
      <c r="D55" t="s" s="0">
        <v>115</v>
      </c>
      <c r="E55" t="s" s="0">
        <v>1660</v>
      </c>
      <c r="F55" t="s" s="0">
        <v>1661</v>
      </c>
      <c r="G55" t="s" s="0">
        <v>1662</v>
      </c>
      <c r="H55" t="s" s="0">
        <v>83</v>
      </c>
      <c r="I55" t="s" s="0">
        <v>84</v>
      </c>
      <c r="J55" t="s" s="0">
        <v>1663</v>
      </c>
      <c r="K55" t="s" s="0">
        <v>1664</v>
      </c>
      <c r="L55" t="s" s="0">
        <v>1665</v>
      </c>
      <c r="M55" t="s" s="0">
        <v>1666</v>
      </c>
      <c r="N55" t="s" s="0">
        <v>83</v>
      </c>
      <c r="O55" t="s" s="0">
        <v>1667</v>
      </c>
      <c r="P55" t="s" s="0">
        <v>1668</v>
      </c>
      <c r="Q55" t="s" s="0">
        <v>92</v>
      </c>
      <c r="R55" t="s" s="0">
        <v>83</v>
      </c>
      <c r="S55" t="s" s="0">
        <v>83</v>
      </c>
      <c r="T55" t="s" s="0">
        <v>83</v>
      </c>
      <c r="U55" t="s" s="0">
        <v>83</v>
      </c>
      <c r="V55" t="s" s="0">
        <v>1669</v>
      </c>
      <c r="W55" t="s" s="0">
        <v>1670</v>
      </c>
      <c r="X55" t="s" s="0">
        <v>83</v>
      </c>
      <c r="Y55" t="s" s="0">
        <v>83</v>
      </c>
      <c r="Z55" t="s" s="0">
        <v>95</v>
      </c>
      <c r="AA55" t="s" s="0">
        <v>96</v>
      </c>
      <c r="AB55" t="s" s="0">
        <v>83</v>
      </c>
      <c r="AC55" t="s" s="0">
        <v>83</v>
      </c>
      <c r="AD55" t="s" s="0">
        <v>83</v>
      </c>
      <c r="AE55" t="s" s="0">
        <v>83</v>
      </c>
      <c r="AF55" t="s" s="0">
        <v>83</v>
      </c>
      <c r="AG55" t="s" s="0">
        <v>1671</v>
      </c>
      <c r="AH55" t="s" s="0">
        <v>83</v>
      </c>
      <c r="AI55" t="s" s="0">
        <v>1672</v>
      </c>
      <c r="AJ55" t="s" s="0">
        <v>1673</v>
      </c>
      <c r="AK55" t="s" s="0">
        <v>83</v>
      </c>
      <c r="AL55" t="s" s="0">
        <v>115</v>
      </c>
      <c r="AM55" t="s" s="0">
        <v>1674</v>
      </c>
      <c r="AN55" t="s" s="0">
        <v>243</v>
      </c>
      <c r="AO55" t="s" s="0">
        <v>115</v>
      </c>
      <c r="AP55" t="s" s="0">
        <v>1404</v>
      </c>
      <c r="AQ55" t="s" s="0">
        <v>1396</v>
      </c>
      <c r="AR55" t="s" s="0">
        <v>1091</v>
      </c>
      <c r="AS55" t="s" s="0">
        <v>1397</v>
      </c>
      <c r="AT55" t="s" s="0">
        <v>1675</v>
      </c>
      <c r="AU55" t="s" s="0">
        <v>1676</v>
      </c>
      <c r="AV55" t="s" s="0">
        <v>83</v>
      </c>
      <c r="AW55" t="s" s="0">
        <v>1677</v>
      </c>
      <c r="AX55" t="s" s="0">
        <v>1678</v>
      </c>
      <c r="AY55" t="s" s="0">
        <v>1679</v>
      </c>
      <c r="AZ55" t="s" s="0">
        <v>1680</v>
      </c>
      <c r="BA55" t="s" s="0">
        <v>437</v>
      </c>
      <c r="BB55" t="s" s="0">
        <v>281</v>
      </c>
      <c r="BC55" t="s" s="0">
        <v>83</v>
      </c>
      <c r="BD55" t="s" s="0">
        <v>83</v>
      </c>
      <c r="BE55" t="s" s="0">
        <v>83</v>
      </c>
      <c r="BF55" t="s" s="0">
        <v>83</v>
      </c>
      <c r="BG55" t="s" s="0">
        <v>1681</v>
      </c>
      <c r="BH55" t="s" s="0">
        <v>1682</v>
      </c>
      <c r="BI55" t="s" s="0">
        <v>83</v>
      </c>
      <c r="BJ55" t="s" s="0">
        <v>1683</v>
      </c>
      <c r="BK55" t="s" s="107">
        <f>HYPERLINK("http://dx.doi.org/10.1097/PAP.0000000000000072","http://dx.doi.org/10.1097/PAP.0000000000000072")</f>
        <v>1684</v>
      </c>
      <c r="BL55" t="s" s="0">
        <v>83</v>
      </c>
      <c r="BM55" t="s" s="0">
        <v>83</v>
      </c>
      <c r="BN55" t="s" s="0">
        <v>545</v>
      </c>
      <c r="BO55" t="s" s="0">
        <v>1685</v>
      </c>
      <c r="BP55" t="s" s="0">
        <v>1685</v>
      </c>
      <c r="BQ55" t="s" s="0">
        <v>1686</v>
      </c>
      <c r="BR55" t="s" s="0">
        <v>1687</v>
      </c>
      <c r="BS55" t="s" s="0">
        <v>1688</v>
      </c>
      <c r="BT55" t="s" s="108">
        <f>HYPERLINK("https://www.webofscience.com/wos/woscc/full-record/WOS:000360589100003","View Record in Web of Science")</f>
        <v>126</v>
      </c>
      <c r="BU55" t="s" s="0">
        <v>127</v>
      </c>
      <c r="BV55" t="s" s="0">
        <v>83</v>
      </c>
      <c r="BW55" t="s" s="0">
        <v>83</v>
      </c>
      <c r="BX55" t="s" s="0">
        <v>130</v>
      </c>
    </row>
    <row r="56">
      <c r="A56" t="s" s="0">
        <v>78</v>
      </c>
      <c r="B56" t="s" s="0">
        <v>78</v>
      </c>
      <c r="C56" t="s" s="0">
        <v>77</v>
      </c>
      <c r="D56" t="s" s="0">
        <v>78</v>
      </c>
      <c r="E56" t="s" s="0">
        <v>1689</v>
      </c>
      <c r="F56" t="s" s="0">
        <v>1690</v>
      </c>
      <c r="G56" t="s" s="0">
        <v>1691</v>
      </c>
      <c r="H56" t="s" s="0">
        <v>83</v>
      </c>
      <c r="I56" t="s" s="0">
        <v>257</v>
      </c>
      <c r="J56" t="s" s="0">
        <v>1692</v>
      </c>
      <c r="K56" t="s" s="0">
        <v>1693</v>
      </c>
      <c r="L56" t="s" s="0">
        <v>1694</v>
      </c>
      <c r="M56" t="s" s="0">
        <v>1695</v>
      </c>
      <c r="N56" t="s" s="0">
        <v>1696</v>
      </c>
      <c r="O56" t="s" s="0">
        <v>1697</v>
      </c>
      <c r="P56" t="s" s="0">
        <v>1698</v>
      </c>
      <c r="Q56" t="s" s="0">
        <v>92</v>
      </c>
      <c r="R56" t="s" s="0">
        <v>83</v>
      </c>
      <c r="S56" t="s" s="0">
        <v>83</v>
      </c>
      <c r="T56" t="s" s="0">
        <v>83</v>
      </c>
      <c r="U56" t="s" s="0">
        <v>83</v>
      </c>
      <c r="V56" t="s" s="0">
        <v>1699</v>
      </c>
      <c r="W56" t="s" s="0">
        <v>223</v>
      </c>
      <c r="X56" t="s" s="0">
        <v>83</v>
      </c>
      <c r="Y56" t="s" s="0">
        <v>83</v>
      </c>
      <c r="Z56" t="s" s="0">
        <v>95</v>
      </c>
      <c r="AA56" t="s" s="0">
        <v>96</v>
      </c>
      <c r="AB56" t="s" s="0">
        <v>83</v>
      </c>
      <c r="AC56" t="s" s="0">
        <v>83</v>
      </c>
      <c r="AD56" t="s" s="0">
        <v>83</v>
      </c>
      <c r="AE56" t="s" s="0">
        <v>83</v>
      </c>
      <c r="AF56" t="s" s="0">
        <v>83</v>
      </c>
      <c r="AG56" t="s" s="0">
        <v>1700</v>
      </c>
      <c r="AH56" t="s" s="0">
        <v>1701</v>
      </c>
      <c r="AI56" t="s" s="0">
        <v>1702</v>
      </c>
      <c r="AJ56" t="s" s="0">
        <v>1703</v>
      </c>
      <c r="AK56" t="s" s="0">
        <v>83</v>
      </c>
      <c r="AL56" t="s" s="0">
        <v>571</v>
      </c>
      <c r="AM56" t="s" s="0">
        <v>161</v>
      </c>
      <c r="AN56" t="s" s="0">
        <v>358</v>
      </c>
      <c r="AO56" t="s" s="0">
        <v>78</v>
      </c>
      <c r="AP56" t="s" s="0">
        <v>149</v>
      </c>
      <c r="AQ56" t="s" s="0">
        <v>233</v>
      </c>
      <c r="AR56" t="s" s="0">
        <v>234</v>
      </c>
      <c r="AS56" t="s" s="0">
        <v>311</v>
      </c>
      <c r="AT56" t="s" s="0">
        <v>236</v>
      </c>
      <c r="AU56" t="s" s="0">
        <v>237</v>
      </c>
      <c r="AV56" t="s" s="0">
        <v>83</v>
      </c>
      <c r="AW56" t="s" s="0">
        <v>238</v>
      </c>
      <c r="AX56" t="s" s="0">
        <v>239</v>
      </c>
      <c r="AY56" t="s" s="0">
        <v>1704</v>
      </c>
      <c r="AZ56" t="s" s="0">
        <v>113</v>
      </c>
      <c r="BA56" t="s" s="0">
        <v>1705</v>
      </c>
      <c r="BB56" t="s" s="0">
        <v>83</v>
      </c>
      <c r="BC56" t="s" s="0">
        <v>83</v>
      </c>
      <c r="BD56" t="s" s="0">
        <v>83</v>
      </c>
      <c r="BE56" t="s" s="0">
        <v>83</v>
      </c>
      <c r="BF56" t="s" s="0">
        <v>83</v>
      </c>
      <c r="BG56" t="s" s="0">
        <v>202</v>
      </c>
      <c r="BH56" t="s" s="0">
        <v>690</v>
      </c>
      <c r="BI56" t="s" s="0">
        <v>83</v>
      </c>
      <c r="BJ56" t="s" s="0">
        <v>1706</v>
      </c>
      <c r="BK56" t="s" s="109">
        <f>HYPERLINK("http://dx.doi.org/10.1016/j.jclinepi.2018.05.008","http://dx.doi.org/10.1016/j.jclinepi.2018.05.008")</f>
        <v>1707</v>
      </c>
      <c r="BL56" t="s" s="0">
        <v>83</v>
      </c>
      <c r="BM56" t="s" s="0">
        <v>83</v>
      </c>
      <c r="BN56" t="s" s="0">
        <v>248</v>
      </c>
      <c r="BO56" t="s" s="0">
        <v>249</v>
      </c>
      <c r="BP56" t="s" s="0">
        <v>249</v>
      </c>
      <c r="BQ56" t="s" s="0">
        <v>1708</v>
      </c>
      <c r="BR56" t="s" s="0">
        <v>1709</v>
      </c>
      <c r="BS56" t="s" s="0">
        <v>1710</v>
      </c>
      <c r="BT56" t="s" s="110">
        <f>HYPERLINK("https://www.webofscience.com/wos/woscc/full-record/WOS:000444662400005","View Record in Web of Science")</f>
        <v>126</v>
      </c>
      <c r="BU56" t="s" s="0">
        <v>127</v>
      </c>
      <c r="BV56" t="s" s="0">
        <v>83</v>
      </c>
      <c r="BW56" t="s" s="0">
        <v>83</v>
      </c>
      <c r="BX56" t="s" s="0">
        <v>130</v>
      </c>
    </row>
    <row r="57">
      <c r="A57" t="s" s="0">
        <v>78</v>
      </c>
      <c r="B57" t="s" s="0">
        <v>78</v>
      </c>
      <c r="C57" t="s" s="0">
        <v>78</v>
      </c>
      <c r="D57" t="s" s="0">
        <v>78</v>
      </c>
      <c r="E57" t="s" s="0">
        <v>1711</v>
      </c>
      <c r="F57" t="s" s="0">
        <v>1712</v>
      </c>
      <c r="G57" t="s" s="0">
        <v>1713</v>
      </c>
      <c r="H57" t="s" s="0">
        <v>83</v>
      </c>
      <c r="I57" t="s" s="0">
        <v>84</v>
      </c>
      <c r="J57" t="s" s="0">
        <v>1714</v>
      </c>
      <c r="K57" t="s" s="0">
        <v>1715</v>
      </c>
      <c r="L57" t="s" s="0">
        <v>1716</v>
      </c>
      <c r="M57" t="s" s="0">
        <v>1256</v>
      </c>
      <c r="N57" t="s" s="0">
        <v>1717</v>
      </c>
      <c r="O57" t="s" s="0">
        <v>1718</v>
      </c>
      <c r="P57" t="s" s="0">
        <v>1719</v>
      </c>
      <c r="Q57" t="s" s="0">
        <v>92</v>
      </c>
      <c r="R57" t="s" s="0">
        <v>83</v>
      </c>
      <c r="S57" t="s" s="0">
        <v>83</v>
      </c>
      <c r="T57" t="s" s="0">
        <v>83</v>
      </c>
      <c r="U57" t="s" s="0">
        <v>83</v>
      </c>
      <c r="V57" t="s" s="0">
        <v>1720</v>
      </c>
      <c r="W57" t="s" s="0">
        <v>1721</v>
      </c>
      <c r="X57" t="s" s="0">
        <v>83</v>
      </c>
      <c r="Y57" t="s" s="0">
        <v>83</v>
      </c>
      <c r="Z57" t="s" s="0">
        <v>95</v>
      </c>
      <c r="AA57" t="s" s="0">
        <v>96</v>
      </c>
      <c r="AB57" t="s" s="0">
        <v>83</v>
      </c>
      <c r="AC57" t="s" s="0">
        <v>83</v>
      </c>
      <c r="AD57" t="s" s="0">
        <v>83</v>
      </c>
      <c r="AE57" t="s" s="0">
        <v>83</v>
      </c>
      <c r="AF57" t="s" s="0">
        <v>83</v>
      </c>
      <c r="AG57" t="s" s="0">
        <v>1722</v>
      </c>
      <c r="AH57" t="s" s="0">
        <v>1723</v>
      </c>
      <c r="AI57" t="s" s="0">
        <v>1724</v>
      </c>
      <c r="AJ57" t="s" s="0">
        <v>1725</v>
      </c>
      <c r="AK57" t="s" s="0">
        <v>83</v>
      </c>
      <c r="AL57" t="s" s="0">
        <v>535</v>
      </c>
      <c r="AM57" t="s" s="0">
        <v>78</v>
      </c>
      <c r="AN57" t="s" s="0">
        <v>78</v>
      </c>
      <c r="AO57" t="s" s="0">
        <v>78</v>
      </c>
      <c r="AP57" t="s" s="0">
        <v>115</v>
      </c>
      <c r="AQ57" t="s" s="0">
        <v>1123</v>
      </c>
      <c r="AR57" t="s" s="0">
        <v>1124</v>
      </c>
      <c r="AS57" t="s" s="0">
        <v>1125</v>
      </c>
      <c r="AT57" t="s" s="0">
        <v>1726</v>
      </c>
      <c r="AU57" t="s" s="0">
        <v>83</v>
      </c>
      <c r="AV57" t="s" s="0">
        <v>83</v>
      </c>
      <c r="AW57" t="s" s="0">
        <v>1727</v>
      </c>
      <c r="AX57" t="s" s="0">
        <v>1728</v>
      </c>
      <c r="AY57" t="s" s="0">
        <v>1729</v>
      </c>
      <c r="AZ57" t="s" s="0">
        <v>159</v>
      </c>
      <c r="BA57" t="s" s="0">
        <v>417</v>
      </c>
      <c r="BB57" t="s" s="0">
        <v>148</v>
      </c>
      <c r="BC57" t="s" s="0">
        <v>83</v>
      </c>
      <c r="BD57" t="s" s="0">
        <v>83</v>
      </c>
      <c r="BE57" t="s" s="0">
        <v>83</v>
      </c>
      <c r="BF57" t="s" s="0">
        <v>83</v>
      </c>
      <c r="BG57" t="s" s="0">
        <v>83</v>
      </c>
      <c r="BH57" t="s" s="0">
        <v>83</v>
      </c>
      <c r="BI57" t="s" s="0">
        <v>1730</v>
      </c>
      <c r="BJ57" t="s" s="0">
        <v>1731</v>
      </c>
      <c r="BK57" t="s" s="111">
        <f>HYPERLINK("http://dx.doi.org/10.1002/cam4.70697","http://dx.doi.org/10.1002/cam4.70697")</f>
        <v>1732</v>
      </c>
      <c r="BL57" t="s" s="0">
        <v>83</v>
      </c>
      <c r="BM57" t="s" s="0">
        <v>83</v>
      </c>
      <c r="BN57" t="s" s="0">
        <v>309</v>
      </c>
      <c r="BO57" t="s" s="0">
        <v>840</v>
      </c>
      <c r="BP57" t="s" s="0">
        <v>840</v>
      </c>
      <c r="BQ57" t="s" s="0">
        <v>1733</v>
      </c>
      <c r="BR57" t="s" s="0">
        <v>1734</v>
      </c>
      <c r="BS57" t="s" s="0">
        <v>1735</v>
      </c>
      <c r="BT57" t="s" s="112">
        <f>HYPERLINK("https://www.webofscience.com/wos/woscc/full-record/WOS:001458446100001","View Record in Web of Science")</f>
        <v>126</v>
      </c>
      <c r="BU57" t="s" s="0">
        <v>210</v>
      </c>
      <c r="BV57" t="s" s="0">
        <v>83</v>
      </c>
      <c r="BW57" t="s" s="0">
        <v>83</v>
      </c>
      <c r="BX57" t="s" s="0">
        <v>130</v>
      </c>
    </row>
    <row r="58">
      <c r="A58" t="s" s="0">
        <v>78</v>
      </c>
      <c r="B58" t="s" s="0">
        <v>78</v>
      </c>
      <c r="C58" t="s" s="0">
        <v>78</v>
      </c>
      <c r="D58" t="s" s="0">
        <v>115</v>
      </c>
      <c r="E58" t="s" s="0">
        <v>1736</v>
      </c>
      <c r="F58" t="s" s="0">
        <v>1737</v>
      </c>
      <c r="G58" t="s" s="0">
        <v>1738</v>
      </c>
      <c r="H58" t="s" s="0">
        <v>83</v>
      </c>
      <c r="I58" t="s" s="0">
        <v>84</v>
      </c>
      <c r="J58" t="s" s="0">
        <v>1739</v>
      </c>
      <c r="K58" t="s" s="0">
        <v>1740</v>
      </c>
      <c r="L58" t="s" s="0">
        <v>397</v>
      </c>
      <c r="M58" t="s" s="0">
        <v>398</v>
      </c>
      <c r="N58" t="s" s="0">
        <v>83</v>
      </c>
      <c r="O58" t="s" s="0">
        <v>1741</v>
      </c>
      <c r="P58" t="s" s="0">
        <v>1742</v>
      </c>
      <c r="Q58" t="s" s="0">
        <v>92</v>
      </c>
      <c r="R58" t="s" s="0">
        <v>83</v>
      </c>
      <c r="S58" t="s" s="0">
        <v>83</v>
      </c>
      <c r="T58" t="s" s="0">
        <v>83</v>
      </c>
      <c r="U58" t="s" s="0">
        <v>83</v>
      </c>
      <c r="V58" t="s" s="0">
        <v>1743</v>
      </c>
      <c r="W58" t="s" s="0">
        <v>1744</v>
      </c>
      <c r="X58" t="s" s="0">
        <v>83</v>
      </c>
      <c r="Y58" t="s" s="0">
        <v>83</v>
      </c>
      <c r="Z58" t="s" s="0">
        <v>95</v>
      </c>
      <c r="AA58" t="s" s="0">
        <v>96</v>
      </c>
      <c r="AB58" t="s" s="0">
        <v>83</v>
      </c>
      <c r="AC58" t="s" s="0">
        <v>83</v>
      </c>
      <c r="AD58" t="s" s="0">
        <v>83</v>
      </c>
      <c r="AE58" t="s" s="0">
        <v>83</v>
      </c>
      <c r="AF58" t="s" s="0">
        <v>83</v>
      </c>
      <c r="AG58" t="s" s="0">
        <v>1745</v>
      </c>
      <c r="AH58" t="s" s="0">
        <v>83</v>
      </c>
      <c r="AI58" t="s" s="0">
        <v>405</v>
      </c>
      <c r="AJ58" t="s" s="0">
        <v>1746</v>
      </c>
      <c r="AK58" t="s" s="0">
        <v>83</v>
      </c>
      <c r="AL58" t="s" s="0">
        <v>1747</v>
      </c>
      <c r="AM58" t="s" s="0">
        <v>232</v>
      </c>
      <c r="AN58" t="s" s="0">
        <v>120</v>
      </c>
      <c r="AO58" t="s" s="0">
        <v>78</v>
      </c>
      <c r="AP58" t="s" s="0">
        <v>150</v>
      </c>
      <c r="AQ58" t="s" s="0">
        <v>151</v>
      </c>
      <c r="AR58" t="s" s="0">
        <v>152</v>
      </c>
      <c r="AS58" t="s" s="0">
        <v>153</v>
      </c>
      <c r="AT58" t="s" s="0">
        <v>1748</v>
      </c>
      <c r="AU58" t="s" s="0">
        <v>1749</v>
      </c>
      <c r="AV58" t="s" s="0">
        <v>83</v>
      </c>
      <c r="AW58" t="s" s="0">
        <v>1750</v>
      </c>
      <c r="AX58" t="s" s="0">
        <v>1751</v>
      </c>
      <c r="AY58" t="s" s="0">
        <v>1752</v>
      </c>
      <c r="AZ58" t="s" s="0">
        <v>241</v>
      </c>
      <c r="BA58" t="s" s="0">
        <v>160</v>
      </c>
      <c r="BB58" t="s" s="0">
        <v>148</v>
      </c>
      <c r="BC58" t="s" s="0">
        <v>83</v>
      </c>
      <c r="BD58" t="s" s="0">
        <v>83</v>
      </c>
      <c r="BE58" t="s" s="0">
        <v>83</v>
      </c>
      <c r="BF58" t="s" s="0">
        <v>83</v>
      </c>
      <c r="BG58" t="s" s="0">
        <v>83</v>
      </c>
      <c r="BH58" t="s" s="0">
        <v>83</v>
      </c>
      <c r="BI58" t="s" s="0">
        <v>1753</v>
      </c>
      <c r="BJ58" t="s" s="0">
        <v>1754</v>
      </c>
      <c r="BK58" t="s" s="113">
        <f>HYPERLINK("http://dx.doi.org/10.1016/j.injury.2023.05.027","http://dx.doi.org/10.1016/j.injury.2023.05.027")</f>
        <v>1755</v>
      </c>
      <c r="BL58" t="s" s="0">
        <v>83</v>
      </c>
      <c r="BM58" t="s" s="0">
        <v>1158</v>
      </c>
      <c r="BN58" t="s" s="0">
        <v>148</v>
      </c>
      <c r="BO58" t="s" s="0">
        <v>1756</v>
      </c>
      <c r="BP58" t="s" s="0">
        <v>1757</v>
      </c>
      <c r="BQ58" t="s" s="0">
        <v>1758</v>
      </c>
      <c r="BR58" t="s" s="0">
        <v>1759</v>
      </c>
      <c r="BS58" t="s" s="0">
        <v>1760</v>
      </c>
      <c r="BT58" t="s" s="114">
        <f>HYPERLINK("https://www.webofscience.com/wos/woscc/full-record/WOS:001016622800001","View Record in Web of Science")</f>
        <v>126</v>
      </c>
      <c r="BU58" t="s" s="0">
        <v>83</v>
      </c>
      <c r="BV58" t="s" s="0">
        <v>83</v>
      </c>
      <c r="BW58" t="s" s="0">
        <v>83</v>
      </c>
      <c r="BX58" t="s" s="0">
        <v>130</v>
      </c>
    </row>
    <row r="59">
      <c r="A59" t="s" s="0">
        <v>115</v>
      </c>
      <c r="B59" t="s" s="0">
        <v>78</v>
      </c>
      <c r="C59" t="s" s="0">
        <v>545</v>
      </c>
      <c r="D59" t="s" s="0">
        <v>78</v>
      </c>
      <c r="E59" t="s" s="0">
        <v>1761</v>
      </c>
      <c r="F59" t="s" s="0">
        <v>1762</v>
      </c>
      <c r="G59" t="s" s="0">
        <v>1763</v>
      </c>
      <c r="H59" t="s" s="0">
        <v>83</v>
      </c>
      <c r="I59" t="s" s="0">
        <v>84</v>
      </c>
      <c r="J59" t="s" s="0">
        <v>1764</v>
      </c>
      <c r="K59" t="s" s="0">
        <v>1765</v>
      </c>
      <c r="L59" t="s" s="0">
        <v>83</v>
      </c>
      <c r="M59" t="s" s="0">
        <v>83</v>
      </c>
      <c r="N59" t="s" s="0">
        <v>83</v>
      </c>
      <c r="O59" t="s" s="0">
        <v>1766</v>
      </c>
      <c r="P59" t="s" s="0">
        <v>1767</v>
      </c>
      <c r="Q59" t="s" s="0">
        <v>92</v>
      </c>
      <c r="R59" t="s" s="0">
        <v>83</v>
      </c>
      <c r="S59" t="s" s="0">
        <v>83</v>
      </c>
      <c r="T59" t="s" s="0">
        <v>83</v>
      </c>
      <c r="U59" t="s" s="0">
        <v>83</v>
      </c>
      <c r="V59" t="s" s="0">
        <v>1768</v>
      </c>
      <c r="W59" t="s" s="0">
        <v>1769</v>
      </c>
      <c r="X59" t="s" s="0">
        <v>83</v>
      </c>
      <c r="Y59" t="s" s="0">
        <v>83</v>
      </c>
      <c r="Z59" t="s" s="0">
        <v>95</v>
      </c>
      <c r="AA59" t="s" s="0">
        <v>96</v>
      </c>
      <c r="AB59" t="s" s="0">
        <v>83</v>
      </c>
      <c r="AC59" t="s" s="0">
        <v>83</v>
      </c>
      <c r="AD59" t="s" s="0">
        <v>83</v>
      </c>
      <c r="AE59" t="s" s="0">
        <v>83</v>
      </c>
      <c r="AF59" t="s" s="0">
        <v>83</v>
      </c>
      <c r="AG59" t="s" s="0">
        <v>1770</v>
      </c>
      <c r="AH59" t="s" s="0">
        <v>1771</v>
      </c>
      <c r="AI59" t="s" s="0">
        <v>1772</v>
      </c>
      <c r="AJ59" t="s" s="0">
        <v>1773</v>
      </c>
      <c r="AK59" t="s" s="0">
        <v>83</v>
      </c>
      <c r="AL59" t="s" s="0">
        <v>160</v>
      </c>
      <c r="AM59" t="s" s="0">
        <v>231</v>
      </c>
      <c r="AN59" t="s" s="0">
        <v>149</v>
      </c>
      <c r="AO59" t="s" s="0">
        <v>115</v>
      </c>
      <c r="AP59" t="s" s="0">
        <v>150</v>
      </c>
      <c r="AQ59" t="s" s="0">
        <v>1151</v>
      </c>
      <c r="AR59" t="s" s="0">
        <v>1152</v>
      </c>
      <c r="AS59" t="s" s="0">
        <v>1153</v>
      </c>
      <c r="AT59" t="s" s="0">
        <v>83</v>
      </c>
      <c r="AU59" t="s" s="0">
        <v>1774</v>
      </c>
      <c r="AV59" t="s" s="0">
        <v>83</v>
      </c>
      <c r="AW59" t="s" s="0">
        <v>1769</v>
      </c>
      <c r="AX59" t="s" s="0">
        <v>1775</v>
      </c>
      <c r="AY59" t="s" s="0">
        <v>1776</v>
      </c>
      <c r="AZ59" t="s" s="0">
        <v>159</v>
      </c>
      <c r="BA59" t="s" s="0">
        <v>211</v>
      </c>
      <c r="BB59" t="s" s="0">
        <v>165</v>
      </c>
      <c r="BC59" t="s" s="0">
        <v>83</v>
      </c>
      <c r="BD59" t="s" s="0">
        <v>83</v>
      </c>
      <c r="BE59" t="s" s="0">
        <v>83</v>
      </c>
      <c r="BF59" t="s" s="0">
        <v>83</v>
      </c>
      <c r="BG59" t="s" s="0">
        <v>83</v>
      </c>
      <c r="BH59" t="s" s="0">
        <v>83</v>
      </c>
      <c r="BI59" t="s" s="0">
        <v>1777</v>
      </c>
      <c r="BJ59" t="s" s="0">
        <v>1778</v>
      </c>
      <c r="BK59" t="s" s="115">
        <f>HYPERLINK("http://dx.doi.org/10.1016/j.esmoop.2025.105557","http://dx.doi.org/10.1016/j.esmoop.2025.105557")</f>
        <v>1779</v>
      </c>
      <c r="BL59" t="s" s="0">
        <v>83</v>
      </c>
      <c r="BM59" t="s" s="0">
        <v>1102</v>
      </c>
      <c r="BN59" t="s" s="0">
        <v>161</v>
      </c>
      <c r="BO59" t="s" s="0">
        <v>840</v>
      </c>
      <c r="BP59" t="s" s="0">
        <v>840</v>
      </c>
      <c r="BQ59" t="s" s="0">
        <v>1780</v>
      </c>
      <c r="BR59" t="s" s="0">
        <v>1781</v>
      </c>
      <c r="BS59" t="s" s="0">
        <v>1782</v>
      </c>
      <c r="BT59" t="s" s="116">
        <f>HYPERLINK("https://www.webofscience.com/wos/woscc/full-record/WOS:001586862100001","View Record in Web of Science")</f>
        <v>126</v>
      </c>
      <c r="BU59" t="s" s="0">
        <v>210</v>
      </c>
      <c r="BV59" t="s" s="0">
        <v>83</v>
      </c>
      <c r="BW59" t="s" s="0">
        <v>83</v>
      </c>
      <c r="BX59" t="s" s="0">
        <v>130</v>
      </c>
    </row>
    <row r="60">
      <c r="A60" t="s" s="0">
        <v>78</v>
      </c>
      <c r="B60" t="s" s="0">
        <v>78</v>
      </c>
      <c r="C60" t="s" s="0">
        <v>211</v>
      </c>
      <c r="D60" t="s" s="0">
        <v>115</v>
      </c>
      <c r="E60" t="s" s="0">
        <v>1783</v>
      </c>
      <c r="F60" t="s" s="0">
        <v>1784</v>
      </c>
      <c r="G60" t="s" s="0">
        <v>1785</v>
      </c>
      <c r="H60" t="s" s="0">
        <v>83</v>
      </c>
      <c r="I60" t="s" s="0">
        <v>84</v>
      </c>
      <c r="J60" t="s" s="0">
        <v>1786</v>
      </c>
      <c r="K60" t="s" s="0">
        <v>1787</v>
      </c>
      <c r="L60" t="s" s="0">
        <v>83</v>
      </c>
      <c r="M60" t="s" s="0">
        <v>83</v>
      </c>
      <c r="N60" t="s" s="0">
        <v>83</v>
      </c>
      <c r="O60" t="s" s="0">
        <v>1788</v>
      </c>
      <c r="P60" t="s" s="0">
        <v>1789</v>
      </c>
      <c r="Q60" t="s" s="0">
        <v>92</v>
      </c>
      <c r="R60" t="s" s="0">
        <v>83</v>
      </c>
      <c r="S60" t="s" s="0">
        <v>83</v>
      </c>
      <c r="T60" t="s" s="0">
        <v>83</v>
      </c>
      <c r="U60" t="s" s="0">
        <v>83</v>
      </c>
      <c r="V60" t="s" s="0">
        <v>1790</v>
      </c>
      <c r="W60" t="s" s="0">
        <v>1791</v>
      </c>
      <c r="X60" t="s" s="0">
        <v>83</v>
      </c>
      <c r="Y60" t="s" s="0">
        <v>83</v>
      </c>
      <c r="Z60" t="s" s="0">
        <v>95</v>
      </c>
      <c r="AA60" t="s" s="0">
        <v>96</v>
      </c>
      <c r="AB60" t="s" s="0">
        <v>83</v>
      </c>
      <c r="AC60" t="s" s="0">
        <v>83</v>
      </c>
      <c r="AD60" t="s" s="0">
        <v>83</v>
      </c>
      <c r="AE60" t="s" s="0">
        <v>83</v>
      </c>
      <c r="AF60" t="s" s="0">
        <v>83</v>
      </c>
      <c r="AG60" t="s" s="0">
        <v>1792</v>
      </c>
      <c r="AH60" t="s" s="0">
        <v>1793</v>
      </c>
      <c r="AI60" t="s" s="0">
        <v>1794</v>
      </c>
      <c r="AJ60" t="s" s="0">
        <v>1795</v>
      </c>
      <c r="AK60" t="s" s="0">
        <v>83</v>
      </c>
      <c r="AL60" t="s" s="0">
        <v>358</v>
      </c>
      <c r="AM60" t="s" s="0">
        <v>377</v>
      </c>
      <c r="AN60" t="s" s="0">
        <v>890</v>
      </c>
      <c r="AO60" t="s" s="0">
        <v>78</v>
      </c>
      <c r="AP60" t="s" s="0">
        <v>148</v>
      </c>
      <c r="AQ60" t="s" s="0">
        <v>1796</v>
      </c>
      <c r="AR60" t="s" s="0">
        <v>106</v>
      </c>
      <c r="AS60" t="s" s="0">
        <v>1797</v>
      </c>
      <c r="AT60" t="s" s="0">
        <v>1798</v>
      </c>
      <c r="AU60" t="s" s="0">
        <v>1799</v>
      </c>
      <c r="AV60" t="s" s="0">
        <v>83</v>
      </c>
      <c r="AW60" t="s" s="0">
        <v>1800</v>
      </c>
      <c r="AX60" t="s" s="0">
        <v>1801</v>
      </c>
      <c r="AY60" t="s" s="0">
        <v>1802</v>
      </c>
      <c r="AZ60" t="s" s="0">
        <v>785</v>
      </c>
      <c r="BA60" t="s" s="0">
        <v>1705</v>
      </c>
      <c r="BB60" t="s" s="0">
        <v>115</v>
      </c>
      <c r="BC60" t="s" s="0">
        <v>83</v>
      </c>
      <c r="BD60" t="s" s="0">
        <v>83</v>
      </c>
      <c r="BE60" t="s" s="0">
        <v>83</v>
      </c>
      <c r="BF60" t="s" s="0">
        <v>83</v>
      </c>
      <c r="BG60" t="s" s="0">
        <v>149</v>
      </c>
      <c r="BH60" t="s" s="0">
        <v>310</v>
      </c>
      <c r="BI60" t="s" s="0">
        <v>83</v>
      </c>
      <c r="BJ60" t="s" s="0">
        <v>1803</v>
      </c>
      <c r="BK60" t="s" s="117">
        <f>HYPERLINK("http://dx.doi.org/10.1016/j.jhin.2019.01.012","http://dx.doi.org/10.1016/j.jhin.2019.01.012")</f>
        <v>1804</v>
      </c>
      <c r="BL60" t="s" s="0">
        <v>83</v>
      </c>
      <c r="BM60" t="s" s="0">
        <v>83</v>
      </c>
      <c r="BN60" t="s" s="0">
        <v>165</v>
      </c>
      <c r="BO60" t="s" s="0">
        <v>1805</v>
      </c>
      <c r="BP60" t="s" s="0">
        <v>1805</v>
      </c>
      <c r="BQ60" t="s" s="0">
        <v>1806</v>
      </c>
      <c r="BR60" t="s" s="0">
        <v>1807</v>
      </c>
      <c r="BS60" t="s" s="0">
        <v>1808</v>
      </c>
      <c r="BT60" t="s" s="118">
        <f>HYPERLINK("https://www.webofscience.com/wos/woscc/full-record/WOS:000465285500002","View Record in Web of Science")</f>
        <v>126</v>
      </c>
      <c r="BU60" t="s" s="0">
        <v>83</v>
      </c>
      <c r="BV60" t="s" s="0">
        <v>83</v>
      </c>
      <c r="BW60" t="s" s="0">
        <v>83</v>
      </c>
      <c r="BX60" t="s" s="0">
        <v>130</v>
      </c>
    </row>
    <row r="61">
      <c r="A61" t="s" s="0">
        <v>78</v>
      </c>
      <c r="B61" t="s" s="0">
        <v>78</v>
      </c>
      <c r="C61" t="s" s="0">
        <v>150</v>
      </c>
      <c r="D61" t="s" s="0">
        <v>78</v>
      </c>
      <c r="E61" t="s" s="0">
        <v>1809</v>
      </c>
      <c r="F61" t="s" s="0">
        <v>1810</v>
      </c>
      <c r="G61" t="s" s="0">
        <v>1811</v>
      </c>
      <c r="H61" t="s" s="0">
        <v>83</v>
      </c>
      <c r="I61" t="s" s="0">
        <v>84</v>
      </c>
      <c r="J61" t="s" s="0">
        <v>1812</v>
      </c>
      <c r="K61" t="s" s="0">
        <v>1813</v>
      </c>
      <c r="L61" t="s" s="0">
        <v>83</v>
      </c>
      <c r="M61" t="s" s="0">
        <v>83</v>
      </c>
      <c r="N61" t="s" s="0">
        <v>83</v>
      </c>
      <c r="O61" t="s" s="0">
        <v>1814</v>
      </c>
      <c r="P61" t="s" s="0">
        <v>1815</v>
      </c>
      <c r="Q61" t="s" s="0">
        <v>92</v>
      </c>
      <c r="R61" t="s" s="0">
        <v>83</v>
      </c>
      <c r="S61" t="s" s="0">
        <v>83</v>
      </c>
      <c r="T61" t="s" s="0">
        <v>83</v>
      </c>
      <c r="U61" t="s" s="0">
        <v>83</v>
      </c>
      <c r="V61" t="s" s="0">
        <v>1816</v>
      </c>
      <c r="W61" t="s" s="0">
        <v>1817</v>
      </c>
      <c r="X61" t="s" s="0">
        <v>83</v>
      </c>
      <c r="Y61" t="s" s="0">
        <v>83</v>
      </c>
      <c r="Z61" t="s" s="0">
        <v>95</v>
      </c>
      <c r="AA61" t="s" s="0">
        <v>96</v>
      </c>
      <c r="AB61" t="s" s="0">
        <v>83</v>
      </c>
      <c r="AC61" t="s" s="0">
        <v>83</v>
      </c>
      <c r="AD61" t="s" s="0">
        <v>83</v>
      </c>
      <c r="AE61" t="s" s="0">
        <v>83</v>
      </c>
      <c r="AF61" t="s" s="0">
        <v>83</v>
      </c>
      <c r="AG61" t="s" s="0">
        <v>1818</v>
      </c>
      <c r="AH61" t="s" s="0">
        <v>1819</v>
      </c>
      <c r="AI61" t="s" s="0">
        <v>1820</v>
      </c>
      <c r="AJ61" t="s" s="0">
        <v>1821</v>
      </c>
      <c r="AK61" t="s" s="0">
        <v>83</v>
      </c>
      <c r="AL61" t="s" s="0">
        <v>1000</v>
      </c>
      <c r="AM61" t="s" s="0">
        <v>148</v>
      </c>
      <c r="AN61" t="s" s="0">
        <v>148</v>
      </c>
      <c r="AO61" t="s" s="0">
        <v>545</v>
      </c>
      <c r="AP61" t="s" s="0">
        <v>211</v>
      </c>
      <c r="AQ61" t="s" s="0">
        <v>1123</v>
      </c>
      <c r="AR61" t="s" s="0">
        <v>1124</v>
      </c>
      <c r="AS61" t="s" s="0">
        <v>1125</v>
      </c>
      <c r="AT61" t="s" s="0">
        <v>1822</v>
      </c>
      <c r="AU61" t="s" s="0">
        <v>1823</v>
      </c>
      <c r="AV61" t="s" s="0">
        <v>83</v>
      </c>
      <c r="AW61" t="s" s="0">
        <v>1824</v>
      </c>
      <c r="AX61" t="s" s="0">
        <v>1825</v>
      </c>
      <c r="AY61" t="s" s="0">
        <v>1826</v>
      </c>
      <c r="AZ61" t="s" s="0">
        <v>159</v>
      </c>
      <c r="BA61" t="s" s="0">
        <v>1827</v>
      </c>
      <c r="BB61" t="s" s="0">
        <v>281</v>
      </c>
      <c r="BC61" t="s" s="0">
        <v>83</v>
      </c>
      <c r="BD61" t="s" s="0">
        <v>83</v>
      </c>
      <c r="BE61" t="s" s="0">
        <v>83</v>
      </c>
      <c r="BF61" t="s" s="0">
        <v>83</v>
      </c>
      <c r="BG61" t="s" s="0">
        <v>1828</v>
      </c>
      <c r="BH61" t="s" s="0">
        <v>1829</v>
      </c>
      <c r="BI61" t="s" s="0">
        <v>83</v>
      </c>
      <c r="BJ61" t="s" s="0">
        <v>1830</v>
      </c>
      <c r="BK61" t="s" s="119">
        <f>HYPERLINK("http://dx.doi.org/10.1111/bjh.70115","http://dx.doi.org/10.1111/bjh.70115")</f>
        <v>1831</v>
      </c>
      <c r="BL61" t="s" s="0">
        <v>83</v>
      </c>
      <c r="BM61" t="s" s="0">
        <v>1097</v>
      </c>
      <c r="BN61" t="s" s="0">
        <v>232</v>
      </c>
      <c r="BO61" t="s" s="0">
        <v>1656</v>
      </c>
      <c r="BP61" t="s" s="0">
        <v>1656</v>
      </c>
      <c r="BQ61" t="s" s="0">
        <v>1832</v>
      </c>
      <c r="BR61" t="s" s="0">
        <v>1833</v>
      </c>
      <c r="BS61" t="s" s="0">
        <v>1834</v>
      </c>
      <c r="BT61" t="s" s="120">
        <f>HYPERLINK("https://www.webofscience.com/wos/woscc/full-record/WOS:001554843900001","View Record in Web of Science")</f>
        <v>126</v>
      </c>
      <c r="BU61" t="s" s="0">
        <v>253</v>
      </c>
      <c r="BV61" t="s" s="0">
        <v>83</v>
      </c>
      <c r="BW61" t="s" s="0">
        <v>83</v>
      </c>
      <c r="BX61" t="s" s="0">
        <v>130</v>
      </c>
    </row>
    <row r="62">
      <c r="A62" t="s" s="0">
        <v>78</v>
      </c>
      <c r="B62" t="s" s="0">
        <v>78</v>
      </c>
      <c r="C62" t="s" s="0">
        <v>545</v>
      </c>
      <c r="D62" t="s" s="0">
        <v>78</v>
      </c>
      <c r="E62" t="s" s="0">
        <v>1835</v>
      </c>
      <c r="F62" t="s" s="0">
        <v>1836</v>
      </c>
      <c r="G62" t="s" s="0">
        <v>1837</v>
      </c>
      <c r="H62" t="s" s="0">
        <v>83</v>
      </c>
      <c r="I62" t="s" s="0">
        <v>84</v>
      </c>
      <c r="J62" t="s" s="0">
        <v>1838</v>
      </c>
      <c r="K62" t="s" s="0">
        <v>1839</v>
      </c>
      <c r="L62" t="s" s="0">
        <v>1840</v>
      </c>
      <c r="M62" t="s" s="0">
        <v>1840</v>
      </c>
      <c r="N62" t="s" s="0">
        <v>1841</v>
      </c>
      <c r="O62" t="s" s="0">
        <v>1842</v>
      </c>
      <c r="P62" t="s" s="0">
        <v>1843</v>
      </c>
      <c r="Q62" t="s" s="0">
        <v>92</v>
      </c>
      <c r="R62" t="s" s="0">
        <v>83</v>
      </c>
      <c r="S62" t="s" s="0">
        <v>83</v>
      </c>
      <c r="T62" t="s" s="0">
        <v>83</v>
      </c>
      <c r="U62" t="s" s="0">
        <v>83</v>
      </c>
      <c r="V62" t="s" s="0">
        <v>1844</v>
      </c>
      <c r="W62" t="s" s="0">
        <v>223</v>
      </c>
      <c r="X62" t="s" s="0">
        <v>83</v>
      </c>
      <c r="Y62" t="s" s="0">
        <v>83</v>
      </c>
      <c r="Z62" t="s" s="0">
        <v>95</v>
      </c>
      <c r="AA62" t="s" s="0">
        <v>96</v>
      </c>
      <c r="AB62" t="s" s="0">
        <v>83</v>
      </c>
      <c r="AC62" t="s" s="0">
        <v>83</v>
      </c>
      <c r="AD62" t="s" s="0">
        <v>83</v>
      </c>
      <c r="AE62" t="s" s="0">
        <v>83</v>
      </c>
      <c r="AF62" t="s" s="0">
        <v>83</v>
      </c>
      <c r="AG62" t="s" s="0">
        <v>1845</v>
      </c>
      <c r="AH62" t="s" s="0">
        <v>1846</v>
      </c>
      <c r="AI62" t="s" s="0">
        <v>1847</v>
      </c>
      <c r="AJ62" t="s" s="0">
        <v>1848</v>
      </c>
      <c r="AK62" t="s" s="0">
        <v>83</v>
      </c>
      <c r="AL62" t="s" s="0">
        <v>535</v>
      </c>
      <c r="AM62" t="s" s="0">
        <v>232</v>
      </c>
      <c r="AN62" t="s" s="0">
        <v>248</v>
      </c>
      <c r="AO62" t="s" s="0">
        <v>78</v>
      </c>
      <c r="AP62" t="s" s="0">
        <v>545</v>
      </c>
      <c r="AQ62" t="s" s="0">
        <v>233</v>
      </c>
      <c r="AR62" t="s" s="0">
        <v>234</v>
      </c>
      <c r="AS62" t="s" s="0">
        <v>311</v>
      </c>
      <c r="AT62" t="s" s="0">
        <v>236</v>
      </c>
      <c r="AU62" t="s" s="0">
        <v>237</v>
      </c>
      <c r="AV62" t="s" s="0">
        <v>83</v>
      </c>
      <c r="AW62" t="s" s="0">
        <v>238</v>
      </c>
      <c r="AX62" t="s" s="0">
        <v>239</v>
      </c>
      <c r="AY62" t="s" s="0">
        <v>1849</v>
      </c>
      <c r="AZ62" t="s" s="0">
        <v>412</v>
      </c>
      <c r="BA62" t="s" s="0">
        <v>1850</v>
      </c>
      <c r="BB62" t="s" s="0">
        <v>83</v>
      </c>
      <c r="BC62" t="s" s="0">
        <v>83</v>
      </c>
      <c r="BD62" t="s" s="0">
        <v>83</v>
      </c>
      <c r="BE62" t="s" s="0">
        <v>83</v>
      </c>
      <c r="BF62" t="s" s="0">
        <v>83</v>
      </c>
      <c r="BG62" t="s" s="0">
        <v>83</v>
      </c>
      <c r="BH62" t="s" s="0">
        <v>83</v>
      </c>
      <c r="BI62" t="s" s="0">
        <v>1851</v>
      </c>
      <c r="BJ62" t="s" s="0">
        <v>1852</v>
      </c>
      <c r="BK62" t="s" s="121">
        <f>HYPERLINK("http://dx.doi.org/10.1016/j.jclinepi.2023.10.016","http://dx.doi.org/10.1016/j.jclinepi.2023.10.016")</f>
        <v>1853</v>
      </c>
      <c r="BL62" t="s" s="0">
        <v>83</v>
      </c>
      <c r="BM62" t="s" s="0">
        <v>977</v>
      </c>
      <c r="BN62" t="s" s="0">
        <v>309</v>
      </c>
      <c r="BO62" t="s" s="0">
        <v>249</v>
      </c>
      <c r="BP62" t="s" s="0">
        <v>249</v>
      </c>
      <c r="BQ62" t="s" s="0">
        <v>1854</v>
      </c>
      <c r="BR62" t="s" s="0">
        <v>1855</v>
      </c>
      <c r="BS62" t="s" s="0">
        <v>1856</v>
      </c>
      <c r="BT62" t="s" s="122">
        <f>HYPERLINK("https://www.webofscience.com/wos/woscc/full-record/WOS:001129852100001","View Record in Web of Science")</f>
        <v>126</v>
      </c>
      <c r="BU62" t="s" s="0">
        <v>83</v>
      </c>
      <c r="BV62" t="s" s="0">
        <v>83</v>
      </c>
      <c r="BW62" t="s" s="0">
        <v>83</v>
      </c>
      <c r="BX62" t="s" s="0">
        <v>130</v>
      </c>
    </row>
    <row r="63">
      <c r="A63" t="s" s="0">
        <v>115</v>
      </c>
      <c r="B63" t="s" s="0">
        <v>78</v>
      </c>
      <c r="C63" t="s" s="0">
        <v>165</v>
      </c>
      <c r="D63" t="s" s="0">
        <v>78</v>
      </c>
      <c r="E63" t="s" s="0">
        <v>1857</v>
      </c>
      <c r="F63" t="s" s="0">
        <v>1858</v>
      </c>
      <c r="G63" t="s" s="0">
        <v>1859</v>
      </c>
      <c r="H63" t="s" s="0">
        <v>83</v>
      </c>
      <c r="I63" t="s" s="0">
        <v>84</v>
      </c>
      <c r="J63" t="s" s="0">
        <v>1860</v>
      </c>
      <c r="K63" t="s" s="0">
        <v>1861</v>
      </c>
      <c r="L63" t="s" s="0">
        <v>1862</v>
      </c>
      <c r="M63" t="s" s="0">
        <v>1863</v>
      </c>
      <c r="N63" t="s" s="0">
        <v>1864</v>
      </c>
      <c r="O63" t="s" s="0">
        <v>1865</v>
      </c>
      <c r="P63" t="s" s="0">
        <v>1866</v>
      </c>
      <c r="Q63" t="s" s="0">
        <v>92</v>
      </c>
      <c r="R63" t="s" s="0">
        <v>83</v>
      </c>
      <c r="S63" t="s" s="0">
        <v>83</v>
      </c>
      <c r="T63" t="s" s="0">
        <v>83</v>
      </c>
      <c r="U63" t="s" s="0">
        <v>83</v>
      </c>
      <c r="V63" t="s" s="0">
        <v>1867</v>
      </c>
      <c r="W63" t="s" s="0">
        <v>1868</v>
      </c>
      <c r="X63" t="s" s="0">
        <v>83</v>
      </c>
      <c r="Y63" t="s" s="0">
        <v>83</v>
      </c>
      <c r="Z63" t="s" s="0">
        <v>95</v>
      </c>
      <c r="AA63" t="s" s="0">
        <v>96</v>
      </c>
      <c r="AB63" t="s" s="0">
        <v>83</v>
      </c>
      <c r="AC63" t="s" s="0">
        <v>83</v>
      </c>
      <c r="AD63" t="s" s="0">
        <v>83</v>
      </c>
      <c r="AE63" t="s" s="0">
        <v>83</v>
      </c>
      <c r="AF63" t="s" s="0">
        <v>83</v>
      </c>
      <c r="AG63" t="s" s="0">
        <v>1869</v>
      </c>
      <c r="AH63" t="s" s="0">
        <v>1870</v>
      </c>
      <c r="AI63" t="s" s="0">
        <v>1871</v>
      </c>
      <c r="AJ63" t="s" s="0">
        <v>1872</v>
      </c>
      <c r="AK63" t="s" s="0">
        <v>83</v>
      </c>
      <c r="AL63" t="s" s="0">
        <v>115</v>
      </c>
      <c r="AM63" t="s" s="0">
        <v>114</v>
      </c>
      <c r="AN63" t="s" s="0">
        <v>1873</v>
      </c>
      <c r="AO63" t="s" s="0">
        <v>115</v>
      </c>
      <c r="AP63" t="s" s="0">
        <v>120</v>
      </c>
      <c r="AQ63" t="s" s="0">
        <v>1151</v>
      </c>
      <c r="AR63" t="s" s="0">
        <v>1152</v>
      </c>
      <c r="AS63" t="s" s="0">
        <v>1153</v>
      </c>
      <c r="AT63" t="s" s="0">
        <v>1874</v>
      </c>
      <c r="AU63" t="s" s="0">
        <v>1875</v>
      </c>
      <c r="AV63" t="s" s="0">
        <v>83</v>
      </c>
      <c r="AW63" t="s" s="0">
        <v>1876</v>
      </c>
      <c r="AX63" t="s" s="0">
        <v>1877</v>
      </c>
      <c r="AY63" t="s" s="0">
        <v>605</v>
      </c>
      <c r="AZ63" t="s" s="0">
        <v>412</v>
      </c>
      <c r="BA63" t="s" s="0">
        <v>571</v>
      </c>
      <c r="BB63" t="s" s="0">
        <v>115</v>
      </c>
      <c r="BC63" t="s" s="0">
        <v>83</v>
      </c>
      <c r="BD63" t="s" s="0">
        <v>83</v>
      </c>
      <c r="BE63" t="s" s="0">
        <v>83</v>
      </c>
      <c r="BF63" t="s" s="0">
        <v>83</v>
      </c>
      <c r="BG63" t="s" s="0">
        <v>1878</v>
      </c>
      <c r="BH63" t="s" s="0">
        <v>1879</v>
      </c>
      <c r="BI63" t="s" s="0">
        <v>83</v>
      </c>
      <c r="BJ63" t="s" s="0">
        <v>1880</v>
      </c>
      <c r="BK63" t="s" s="123">
        <f>HYPERLINK("http://dx.doi.org/10.1016/j.jhep.2024.03.030","http://dx.doi.org/10.1016/j.jhep.2024.03.030")</f>
        <v>1881</v>
      </c>
      <c r="BL63" t="s" s="0">
        <v>83</v>
      </c>
      <c r="BM63" t="s" s="0">
        <v>610</v>
      </c>
      <c r="BN63" t="s" s="0">
        <v>417</v>
      </c>
      <c r="BO63" t="s" s="0">
        <v>926</v>
      </c>
      <c r="BP63" t="s" s="0">
        <v>926</v>
      </c>
      <c r="BQ63" t="s" s="0">
        <v>1882</v>
      </c>
      <c r="BR63" t="s" s="0">
        <v>1883</v>
      </c>
      <c r="BS63" t="s" s="0">
        <v>1884</v>
      </c>
      <c r="BT63" t="s" s="124">
        <f>HYPERLINK("https://www.webofscience.com/wos/woscc/full-record/WOS:001293745500001","View Record in Web of Science")</f>
        <v>126</v>
      </c>
      <c r="BU63" t="s" s="0">
        <v>584</v>
      </c>
      <c r="BV63" t="s" s="0">
        <v>83</v>
      </c>
      <c r="BW63" t="s" s="0">
        <v>83</v>
      </c>
      <c r="BX63" t="s" s="0">
        <v>130</v>
      </c>
    </row>
    <row r="64">
      <c r="A64" t="s" s="0">
        <v>545</v>
      </c>
      <c r="B64" t="s" s="0">
        <v>78</v>
      </c>
      <c r="C64" t="s" s="0">
        <v>470</v>
      </c>
      <c r="D64" t="s" s="0">
        <v>78</v>
      </c>
      <c r="E64" t="s" s="0">
        <v>1885</v>
      </c>
      <c r="F64" t="s" s="0">
        <v>1886</v>
      </c>
      <c r="G64" t="s" s="0">
        <v>1887</v>
      </c>
      <c r="H64" t="s" s="0">
        <v>83</v>
      </c>
      <c r="I64" t="s" s="0">
        <v>84</v>
      </c>
      <c r="J64" t="s" s="0">
        <v>1888</v>
      </c>
      <c r="K64" t="s" s="0">
        <v>1889</v>
      </c>
      <c r="L64" t="s" s="0">
        <v>1890</v>
      </c>
      <c r="M64" t="s" s="0">
        <v>1890</v>
      </c>
      <c r="N64" t="s" s="0">
        <v>1891</v>
      </c>
      <c r="O64" t="s" s="0">
        <v>1892</v>
      </c>
      <c r="P64" t="s" s="0">
        <v>1893</v>
      </c>
      <c r="Q64" t="s" s="0">
        <v>92</v>
      </c>
      <c r="R64" t="s" s="0">
        <v>83</v>
      </c>
      <c r="S64" t="s" s="0">
        <v>83</v>
      </c>
      <c r="T64" t="s" s="0">
        <v>83</v>
      </c>
      <c r="U64" t="s" s="0">
        <v>83</v>
      </c>
      <c r="V64" t="s" s="0">
        <v>1894</v>
      </c>
      <c r="W64" t="s" s="0">
        <v>1895</v>
      </c>
      <c r="X64" t="s" s="0">
        <v>83</v>
      </c>
      <c r="Y64" t="s" s="0">
        <v>83</v>
      </c>
      <c r="Z64" t="s" s="0">
        <v>95</v>
      </c>
      <c r="AA64" t="s" s="0">
        <v>96</v>
      </c>
      <c r="AB64" t="s" s="0">
        <v>83</v>
      </c>
      <c r="AC64" t="s" s="0">
        <v>83</v>
      </c>
      <c r="AD64" t="s" s="0">
        <v>83</v>
      </c>
      <c r="AE64" t="s" s="0">
        <v>83</v>
      </c>
      <c r="AF64" t="s" s="0">
        <v>83</v>
      </c>
      <c r="AG64" t="s" s="0">
        <v>1896</v>
      </c>
      <c r="AH64" t="s" s="0">
        <v>1897</v>
      </c>
      <c r="AI64" t="s" s="0">
        <v>1898</v>
      </c>
      <c r="AJ64" t="s" s="0">
        <v>1899</v>
      </c>
      <c r="AK64" t="s" s="0">
        <v>83</v>
      </c>
      <c r="AL64" t="s" s="0">
        <v>1900</v>
      </c>
      <c r="AM64" t="s" s="0">
        <v>1901</v>
      </c>
      <c r="AN64" t="s" s="0">
        <v>1902</v>
      </c>
      <c r="AO64" t="s" s="0">
        <v>545</v>
      </c>
      <c r="AP64" t="s" s="0">
        <v>147</v>
      </c>
      <c r="AQ64" t="s" s="0">
        <v>1396</v>
      </c>
      <c r="AR64" t="s" s="0">
        <v>1091</v>
      </c>
      <c r="AS64" t="s" s="0">
        <v>1397</v>
      </c>
      <c r="AT64" t="s" s="0">
        <v>1903</v>
      </c>
      <c r="AU64" t="s" s="0">
        <v>1904</v>
      </c>
      <c r="AV64" t="s" s="0">
        <v>83</v>
      </c>
      <c r="AW64" t="s" s="0">
        <v>1895</v>
      </c>
      <c r="AX64" t="s" s="0">
        <v>1905</v>
      </c>
      <c r="AY64" t="s" s="0">
        <v>1906</v>
      </c>
      <c r="AZ64" t="s" s="0">
        <v>637</v>
      </c>
      <c r="BA64" t="s" s="0">
        <v>1879</v>
      </c>
      <c r="BB64" t="s" s="0">
        <v>232</v>
      </c>
      <c r="BC64" t="s" s="0">
        <v>83</v>
      </c>
      <c r="BD64" t="s" s="0">
        <v>83</v>
      </c>
      <c r="BE64" t="s" s="0">
        <v>83</v>
      </c>
      <c r="BF64" t="s" s="0">
        <v>83</v>
      </c>
      <c r="BG64" t="s" s="0">
        <v>1907</v>
      </c>
      <c r="BH64" t="s" s="0">
        <v>1908</v>
      </c>
      <c r="BI64" t="s" s="0">
        <v>83</v>
      </c>
      <c r="BJ64" t="s" s="0">
        <v>1909</v>
      </c>
      <c r="BK64" t="s" s="125">
        <f>HYPERLINK("http://dx.doi.org/10.1097/j.pain.0000000000002261","http://dx.doi.org/10.1097/j.pain.0000000000002261")</f>
        <v>1910</v>
      </c>
      <c r="BL64" t="s" s="0">
        <v>83</v>
      </c>
      <c r="BM64" t="s" s="0">
        <v>83</v>
      </c>
      <c r="BN64" t="s" s="0">
        <v>417</v>
      </c>
      <c r="BO64" t="s" s="0">
        <v>1911</v>
      </c>
      <c r="BP64" t="s" s="0">
        <v>1528</v>
      </c>
      <c r="BQ64" t="s" s="0">
        <v>1912</v>
      </c>
      <c r="BR64" t="s" s="0">
        <v>1913</v>
      </c>
      <c r="BS64" t="s" s="0">
        <v>1914</v>
      </c>
      <c r="BT64" t="s" s="126">
        <f>HYPERLINK("https://www.webofscience.com/wos/woscc/full-record/WOS:000707417300006","View Record in Web of Science")</f>
        <v>126</v>
      </c>
      <c r="BU64" t="s" s="0">
        <v>83</v>
      </c>
      <c r="BV64" t="s" s="0">
        <v>83</v>
      </c>
      <c r="BW64" t="s" s="0">
        <v>83</v>
      </c>
      <c r="BX64" t="s" s="0">
        <v>130</v>
      </c>
    </row>
    <row r="65">
      <c r="A65" t="s" s="0">
        <v>115</v>
      </c>
      <c r="B65" t="s" s="0">
        <v>78</v>
      </c>
      <c r="C65" t="s" s="0">
        <v>165</v>
      </c>
      <c r="D65" t="s" s="0">
        <v>78</v>
      </c>
      <c r="E65" t="s" s="0">
        <v>1915</v>
      </c>
      <c r="F65" t="s" s="0">
        <v>1916</v>
      </c>
      <c r="G65" t="s" s="0">
        <v>1917</v>
      </c>
      <c r="H65" t="s" s="0">
        <v>83</v>
      </c>
      <c r="I65" t="s" s="0">
        <v>84</v>
      </c>
      <c r="J65" t="s" s="0">
        <v>1918</v>
      </c>
      <c r="K65" t="s" s="0">
        <v>1919</v>
      </c>
      <c r="L65" t="s" s="0">
        <v>1920</v>
      </c>
      <c r="M65" t="s" s="0">
        <v>1920</v>
      </c>
      <c r="N65" t="s" s="0">
        <v>1920</v>
      </c>
      <c r="O65" t="s" s="0">
        <v>1921</v>
      </c>
      <c r="P65" t="s" s="0">
        <v>563</v>
      </c>
      <c r="Q65" t="s" s="0">
        <v>92</v>
      </c>
      <c r="R65" t="s" s="0">
        <v>83</v>
      </c>
      <c r="S65" t="s" s="0">
        <v>83</v>
      </c>
      <c r="T65" t="s" s="0">
        <v>83</v>
      </c>
      <c r="U65" t="s" s="0">
        <v>83</v>
      </c>
      <c r="V65" t="s" s="0">
        <v>1922</v>
      </c>
      <c r="W65" t="s" s="0">
        <v>1923</v>
      </c>
      <c r="X65" t="s" s="0">
        <v>83</v>
      </c>
      <c r="Y65" t="s" s="0">
        <v>83</v>
      </c>
      <c r="Z65" t="s" s="0">
        <v>95</v>
      </c>
      <c r="AA65" t="s" s="0">
        <v>96</v>
      </c>
      <c r="AB65" t="s" s="0">
        <v>83</v>
      </c>
      <c r="AC65" t="s" s="0">
        <v>83</v>
      </c>
      <c r="AD65" t="s" s="0">
        <v>83</v>
      </c>
      <c r="AE65" t="s" s="0">
        <v>83</v>
      </c>
      <c r="AF65" t="s" s="0">
        <v>83</v>
      </c>
      <c r="AG65" t="s" s="0">
        <v>1924</v>
      </c>
      <c r="AH65" t="s" s="0">
        <v>1925</v>
      </c>
      <c r="AI65" t="s" s="0">
        <v>1926</v>
      </c>
      <c r="AJ65" t="s" s="0">
        <v>570</v>
      </c>
      <c r="AK65" t="s" s="0">
        <v>83</v>
      </c>
      <c r="AL65" t="s" s="0">
        <v>1927</v>
      </c>
      <c r="AM65" t="s" s="0">
        <v>377</v>
      </c>
      <c r="AN65" t="s" s="0">
        <v>890</v>
      </c>
      <c r="AO65" t="s" s="0">
        <v>281</v>
      </c>
      <c r="AP65" t="s" s="0">
        <v>384</v>
      </c>
      <c r="AQ65" t="s" s="0">
        <v>378</v>
      </c>
      <c r="AR65" t="s" s="0">
        <v>106</v>
      </c>
      <c r="AS65" t="s" s="0">
        <v>379</v>
      </c>
      <c r="AT65" t="s" s="0">
        <v>1928</v>
      </c>
      <c r="AU65" t="s" s="0">
        <v>1929</v>
      </c>
      <c r="AV65" t="s" s="0">
        <v>83</v>
      </c>
      <c r="AW65" t="s" s="0">
        <v>1930</v>
      </c>
      <c r="AX65" t="s" s="0">
        <v>1931</v>
      </c>
      <c r="AY65" t="s" s="0">
        <v>1932</v>
      </c>
      <c r="AZ65" t="s" s="0">
        <v>241</v>
      </c>
      <c r="BA65" t="s" s="0">
        <v>358</v>
      </c>
      <c r="BB65" t="s" s="0">
        <v>115</v>
      </c>
      <c r="BC65" t="s" s="0">
        <v>83</v>
      </c>
      <c r="BD65" t="s" s="0">
        <v>83</v>
      </c>
      <c r="BE65" t="s" s="0">
        <v>83</v>
      </c>
      <c r="BF65" t="s" s="0">
        <v>83</v>
      </c>
      <c r="BG65" t="s" s="0">
        <v>83</v>
      </c>
      <c r="BH65" t="s" s="0">
        <v>83</v>
      </c>
      <c r="BI65" t="s" s="0">
        <v>1933</v>
      </c>
      <c r="BJ65" t="s" s="0">
        <v>1934</v>
      </c>
      <c r="BK65" t="s" s="127">
        <f>HYPERLINK("http://dx.doi.org/10.1186/s13075-023-03140-5","http://dx.doi.org/10.1186/s13075-023-03140-5")</f>
        <v>1935</v>
      </c>
      <c r="BL65" t="s" s="0">
        <v>83</v>
      </c>
      <c r="BM65" t="s" s="0">
        <v>83</v>
      </c>
      <c r="BN65" t="s" s="0">
        <v>417</v>
      </c>
      <c r="BO65" t="s" s="0">
        <v>1103</v>
      </c>
      <c r="BP65" t="s" s="0">
        <v>1103</v>
      </c>
      <c r="BQ65" t="s" s="0">
        <v>1936</v>
      </c>
      <c r="BR65" t="s" s="0">
        <v>1937</v>
      </c>
      <c r="BS65" t="s" s="0">
        <v>1938</v>
      </c>
      <c r="BT65" t="s" s="128">
        <f>HYPERLINK("https://www.webofscience.com/wos/woscc/full-record/WOS:001056344000001","View Record in Web of Science")</f>
        <v>126</v>
      </c>
      <c r="BU65" t="s" s="0">
        <v>210</v>
      </c>
      <c r="BV65" t="s" s="0">
        <v>83</v>
      </c>
      <c r="BW65" t="s" s="0">
        <v>83</v>
      </c>
      <c r="BX65" t="s" s="0">
        <v>130</v>
      </c>
    </row>
    <row r="66">
      <c r="A66" t="s" s="0">
        <v>78</v>
      </c>
      <c r="B66" t="s" s="0">
        <v>78</v>
      </c>
      <c r="C66" t="s" s="0">
        <v>79</v>
      </c>
      <c r="D66" t="s" s="0">
        <v>78</v>
      </c>
      <c r="E66" t="s" s="0">
        <v>1939</v>
      </c>
      <c r="F66" t="s" s="0">
        <v>1940</v>
      </c>
      <c r="G66" t="s" s="0">
        <v>1941</v>
      </c>
      <c r="H66" t="s" s="0">
        <v>83</v>
      </c>
      <c r="I66" t="s" s="0">
        <v>257</v>
      </c>
      <c r="J66" t="s" s="0">
        <v>1942</v>
      </c>
      <c r="K66" t="s" s="0">
        <v>1943</v>
      </c>
      <c r="L66" t="s" s="0">
        <v>1944</v>
      </c>
      <c r="M66" t="s" s="0">
        <v>1945</v>
      </c>
      <c r="N66" t="s" s="0">
        <v>1946</v>
      </c>
      <c r="O66" t="s" s="0">
        <v>1947</v>
      </c>
      <c r="P66" t="s" s="0">
        <v>1948</v>
      </c>
      <c r="Q66" t="s" s="0">
        <v>92</v>
      </c>
      <c r="R66" t="s" s="0">
        <v>83</v>
      </c>
      <c r="S66" t="s" s="0">
        <v>83</v>
      </c>
      <c r="T66" t="s" s="0">
        <v>83</v>
      </c>
      <c r="U66" t="s" s="0">
        <v>83</v>
      </c>
      <c r="V66" t="s" s="0">
        <v>1949</v>
      </c>
      <c r="W66" t="s" s="0">
        <v>715</v>
      </c>
      <c r="X66" t="s" s="0">
        <v>83</v>
      </c>
      <c r="Y66" t="s" s="0">
        <v>83</v>
      </c>
      <c r="Z66" t="s" s="0">
        <v>95</v>
      </c>
      <c r="AA66" t="s" s="0">
        <v>96</v>
      </c>
      <c r="AB66" t="s" s="0">
        <v>83</v>
      </c>
      <c r="AC66" t="s" s="0">
        <v>83</v>
      </c>
      <c r="AD66" t="s" s="0">
        <v>83</v>
      </c>
      <c r="AE66" t="s" s="0">
        <v>83</v>
      </c>
      <c r="AF66" t="s" s="0">
        <v>83</v>
      </c>
      <c r="AG66" t="s" s="0">
        <v>1950</v>
      </c>
      <c r="AH66" t="s" s="0">
        <v>1951</v>
      </c>
      <c r="AI66" t="s" s="0">
        <v>1952</v>
      </c>
      <c r="AJ66" t="s" s="0">
        <v>1953</v>
      </c>
      <c r="AK66" t="s" s="0">
        <v>83</v>
      </c>
      <c r="AL66" t="s" s="0">
        <v>1652</v>
      </c>
      <c r="AM66" t="s" s="0">
        <v>1954</v>
      </c>
      <c r="AN66" t="s" s="0">
        <v>1955</v>
      </c>
      <c r="AO66" t="s" s="0">
        <v>78</v>
      </c>
      <c r="AP66" t="s" s="0">
        <v>437</v>
      </c>
      <c r="AQ66" t="s" s="0">
        <v>720</v>
      </c>
      <c r="AR66" t="s" s="0">
        <v>721</v>
      </c>
      <c r="AS66" t="s" s="0">
        <v>722</v>
      </c>
      <c r="AT66" t="s" s="0">
        <v>723</v>
      </c>
      <c r="AU66" t="s" s="0">
        <v>724</v>
      </c>
      <c r="AV66" t="s" s="0">
        <v>83</v>
      </c>
      <c r="AW66" t="s" s="0">
        <v>725</v>
      </c>
      <c r="AX66" t="s" s="0">
        <v>726</v>
      </c>
      <c r="AY66" t="s" s="0">
        <v>1956</v>
      </c>
      <c r="AZ66" t="s" s="0">
        <v>1403</v>
      </c>
      <c r="BA66" t="s" s="0">
        <v>1266</v>
      </c>
      <c r="BB66" t="s" s="0">
        <v>148</v>
      </c>
      <c r="BC66" t="s" s="0">
        <v>83</v>
      </c>
      <c r="BD66" t="s" s="0">
        <v>83</v>
      </c>
      <c r="BE66" t="s" s="0">
        <v>83</v>
      </c>
      <c r="BF66" t="s" s="0">
        <v>83</v>
      </c>
      <c r="BG66" t="s" s="0">
        <v>1957</v>
      </c>
      <c r="BH66" t="s" s="0">
        <v>1958</v>
      </c>
      <c r="BI66" t="s" s="0">
        <v>83</v>
      </c>
      <c r="BJ66" t="s" s="0">
        <v>1959</v>
      </c>
      <c r="BK66" t="s" s="129">
        <f>HYPERLINK("http://dx.doi.org/10.1017/S0033291716003494","http://dx.doi.org/10.1017/S0033291716003494")</f>
        <v>1960</v>
      </c>
      <c r="BL66" t="s" s="0">
        <v>83</v>
      </c>
      <c r="BM66" t="s" s="0">
        <v>83</v>
      </c>
      <c r="BN66" t="s" s="0">
        <v>310</v>
      </c>
      <c r="BO66" t="s" s="0">
        <v>732</v>
      </c>
      <c r="BP66" t="s" s="0">
        <v>733</v>
      </c>
      <c r="BQ66" t="s" s="0">
        <v>1961</v>
      </c>
      <c r="BR66" t="s" s="0">
        <v>1962</v>
      </c>
      <c r="BS66" t="s" s="0">
        <v>1963</v>
      </c>
      <c r="BT66" t="s" s="130">
        <f>HYPERLINK("https://www.webofscience.com/wos/woscc/full-record/WOS:000398797100001","View Record in Web of Science")</f>
        <v>126</v>
      </c>
      <c r="BU66" t="s" s="0">
        <v>792</v>
      </c>
      <c r="BV66" t="s" s="0">
        <v>83</v>
      </c>
      <c r="BW66" t="s" s="0">
        <v>83</v>
      </c>
      <c r="BX66" t="s" s="0">
        <v>130</v>
      </c>
    </row>
    <row r="67">
      <c r="A67" t="s" s="0">
        <v>115</v>
      </c>
      <c r="B67" t="s" s="0">
        <v>78</v>
      </c>
      <c r="C67" t="s" s="0">
        <v>310</v>
      </c>
      <c r="D67" t="s" s="0">
        <v>78</v>
      </c>
      <c r="E67" t="s" s="0">
        <v>1964</v>
      </c>
      <c r="F67" t="s" s="0">
        <v>1965</v>
      </c>
      <c r="G67" t="s" s="0">
        <v>1966</v>
      </c>
      <c r="H67" t="s" s="0">
        <v>83</v>
      </c>
      <c r="I67" t="s" s="0">
        <v>84</v>
      </c>
      <c r="J67" t="s" s="0">
        <v>1967</v>
      </c>
      <c r="K67" t="s" s="0">
        <v>1968</v>
      </c>
      <c r="L67" t="s" s="0">
        <v>1969</v>
      </c>
      <c r="M67" t="s" s="0">
        <v>1970</v>
      </c>
      <c r="N67" t="s" s="0">
        <v>1971</v>
      </c>
      <c r="O67" t="s" s="0">
        <v>1972</v>
      </c>
      <c r="P67" t="s" s="0">
        <v>1973</v>
      </c>
      <c r="Q67" t="s" s="0">
        <v>92</v>
      </c>
      <c r="R67" t="s" s="0">
        <v>83</v>
      </c>
      <c r="S67" t="s" s="0">
        <v>83</v>
      </c>
      <c r="T67" t="s" s="0">
        <v>83</v>
      </c>
      <c r="U67" t="s" s="0">
        <v>83</v>
      </c>
      <c r="V67" t="s" s="0">
        <v>1974</v>
      </c>
      <c r="W67" t="s" s="0">
        <v>1975</v>
      </c>
      <c r="X67" t="s" s="0">
        <v>83</v>
      </c>
      <c r="Y67" t="s" s="0">
        <v>83</v>
      </c>
      <c r="Z67" t="s" s="0">
        <v>95</v>
      </c>
      <c r="AA67" t="s" s="0">
        <v>96</v>
      </c>
      <c r="AB67" t="s" s="0">
        <v>83</v>
      </c>
      <c r="AC67" t="s" s="0">
        <v>83</v>
      </c>
      <c r="AD67" t="s" s="0">
        <v>83</v>
      </c>
      <c r="AE67" t="s" s="0">
        <v>83</v>
      </c>
      <c r="AF67" t="s" s="0">
        <v>83</v>
      </c>
      <c r="AG67" t="s" s="0">
        <v>83</v>
      </c>
      <c r="AH67" t="s" s="0">
        <v>1976</v>
      </c>
      <c r="AI67" t="s" s="0">
        <v>1977</v>
      </c>
      <c r="AJ67" t="s" s="0">
        <v>1978</v>
      </c>
      <c r="AK67" t="s" s="0">
        <v>83</v>
      </c>
      <c r="AL67" t="s" s="0">
        <v>202</v>
      </c>
      <c r="AM67" t="s" s="0">
        <v>1979</v>
      </c>
      <c r="AN67" t="s" s="0">
        <v>1980</v>
      </c>
      <c r="AO67" t="s" s="0">
        <v>78</v>
      </c>
      <c r="AP67" t="s" s="0">
        <v>248</v>
      </c>
      <c r="AQ67" t="s" s="0">
        <v>1981</v>
      </c>
      <c r="AR67" t="s" s="0">
        <v>1982</v>
      </c>
      <c r="AS67" t="s" s="0">
        <v>1983</v>
      </c>
      <c r="AT67" t="s" s="0">
        <v>83</v>
      </c>
      <c r="AU67" t="s" s="0">
        <v>1984</v>
      </c>
      <c r="AV67" t="s" s="0">
        <v>83</v>
      </c>
      <c r="AW67" t="s" s="0">
        <v>1975</v>
      </c>
      <c r="AX67" t="s" s="0">
        <v>1985</v>
      </c>
      <c r="AY67" t="s" s="0">
        <v>1986</v>
      </c>
      <c r="AZ67" t="s" s="0">
        <v>113</v>
      </c>
      <c r="BA67" t="s" s="0">
        <v>120</v>
      </c>
      <c r="BB67" t="s" s="0">
        <v>115</v>
      </c>
      <c r="BC67" t="s" s="0">
        <v>83</v>
      </c>
      <c r="BD67" t="s" s="0">
        <v>83</v>
      </c>
      <c r="BE67" t="s" s="0">
        <v>83</v>
      </c>
      <c r="BF67" t="s" s="0">
        <v>83</v>
      </c>
      <c r="BG67" t="s" s="0">
        <v>83</v>
      </c>
      <c r="BH67" t="s" s="0">
        <v>83</v>
      </c>
      <c r="BI67" t="s" s="0">
        <v>1987</v>
      </c>
      <c r="BJ67" t="s" s="0">
        <v>1988</v>
      </c>
      <c r="BK67" t="s" s="131">
        <f>HYPERLINK("http://dx.doi.org/10.1371/journal.pone.0185402","http://dx.doi.org/10.1371/journal.pone.0185402")</f>
        <v>1989</v>
      </c>
      <c r="BL67" t="s" s="0">
        <v>83</v>
      </c>
      <c r="BM67" t="s" s="0">
        <v>83</v>
      </c>
      <c r="BN67" t="s" s="0">
        <v>120</v>
      </c>
      <c r="BO67" t="s" s="0">
        <v>1990</v>
      </c>
      <c r="BP67" t="s" s="0">
        <v>1991</v>
      </c>
      <c r="BQ67" t="s" s="0">
        <v>1992</v>
      </c>
      <c r="BR67" t="s" s="0">
        <v>1993</v>
      </c>
      <c r="BS67" t="s" s="0">
        <v>1994</v>
      </c>
      <c r="BT67" t="s" s="132">
        <f>HYPERLINK("https://www.webofscience.com/wos/woscc/full-record/WOS:000423514700001","View Record in Web of Science")</f>
        <v>126</v>
      </c>
      <c r="BU67" t="s" s="0">
        <v>210</v>
      </c>
      <c r="BV67" t="s" s="0">
        <v>83</v>
      </c>
      <c r="BW67" t="s" s="0">
        <v>83</v>
      </c>
      <c r="BX67" t="s" s="0">
        <v>130</v>
      </c>
    </row>
    <row r="68">
      <c r="A68" t="s" s="0">
        <v>78</v>
      </c>
      <c r="B68" t="s" s="0">
        <v>78</v>
      </c>
      <c r="C68" t="s" s="0">
        <v>78</v>
      </c>
      <c r="D68" t="s" s="0">
        <v>78</v>
      </c>
      <c r="E68" t="s" s="0">
        <v>1995</v>
      </c>
      <c r="F68" t="s" s="0">
        <v>1996</v>
      </c>
      <c r="G68" t="s" s="0">
        <v>1997</v>
      </c>
      <c r="H68" t="s" s="0">
        <v>83</v>
      </c>
      <c r="I68" t="s" s="0">
        <v>84</v>
      </c>
      <c r="J68" t="s" s="0">
        <v>1998</v>
      </c>
      <c r="K68" t="s" s="0">
        <v>1999</v>
      </c>
      <c r="L68" t="s" s="0">
        <v>2000</v>
      </c>
      <c r="M68" t="s" s="0">
        <v>2001</v>
      </c>
      <c r="N68" t="s" s="0">
        <v>2002</v>
      </c>
      <c r="O68" t="s" s="0">
        <v>2003</v>
      </c>
      <c r="P68" t="s" s="0">
        <v>2004</v>
      </c>
      <c r="Q68" t="s" s="0">
        <v>92</v>
      </c>
      <c r="R68" t="s" s="0">
        <v>83</v>
      </c>
      <c r="S68" t="s" s="0">
        <v>83</v>
      </c>
      <c r="T68" t="s" s="0">
        <v>83</v>
      </c>
      <c r="U68" t="s" s="0">
        <v>83</v>
      </c>
      <c r="V68" t="s" s="0">
        <v>2005</v>
      </c>
      <c r="W68" t="s" s="0">
        <v>1235</v>
      </c>
      <c r="X68" t="s" s="0">
        <v>83</v>
      </c>
      <c r="Y68" t="s" s="0">
        <v>83</v>
      </c>
      <c r="Z68" t="s" s="0">
        <v>95</v>
      </c>
      <c r="AA68" t="s" s="0">
        <v>96</v>
      </c>
      <c r="AB68" t="s" s="0">
        <v>83</v>
      </c>
      <c r="AC68" t="s" s="0">
        <v>83</v>
      </c>
      <c r="AD68" t="s" s="0">
        <v>83</v>
      </c>
      <c r="AE68" t="s" s="0">
        <v>83</v>
      </c>
      <c r="AF68" t="s" s="0">
        <v>83</v>
      </c>
      <c r="AG68" t="s" s="0">
        <v>2006</v>
      </c>
      <c r="AH68" t="s" s="0">
        <v>2007</v>
      </c>
      <c r="AI68" t="s" s="0">
        <v>83</v>
      </c>
      <c r="AJ68" t="s" s="0">
        <v>83</v>
      </c>
      <c r="AK68" t="s" s="0">
        <v>83</v>
      </c>
      <c r="AL68" t="s" s="0">
        <v>1266</v>
      </c>
      <c r="AM68" t="s" s="0">
        <v>150</v>
      </c>
      <c r="AN68" t="s" s="0">
        <v>150</v>
      </c>
      <c r="AO68" t="s" s="0">
        <v>150</v>
      </c>
      <c r="AP68" t="s" s="0">
        <v>77</v>
      </c>
      <c r="AQ68" t="s" s="0">
        <v>830</v>
      </c>
      <c r="AR68" t="s" s="0">
        <v>831</v>
      </c>
      <c r="AS68" t="s" s="0">
        <v>832</v>
      </c>
      <c r="AT68" t="s" s="0">
        <v>83</v>
      </c>
      <c r="AU68" t="s" s="0">
        <v>1240</v>
      </c>
      <c r="AV68" t="s" s="0">
        <v>83</v>
      </c>
      <c r="AW68" t="s" s="0">
        <v>1241</v>
      </c>
      <c r="AX68" t="s" s="0">
        <v>1242</v>
      </c>
      <c r="AY68" t="s" s="0">
        <v>2008</v>
      </c>
      <c r="AZ68" t="s" s="0">
        <v>159</v>
      </c>
      <c r="BA68" t="s" s="0">
        <v>248</v>
      </c>
      <c r="BB68" t="s" s="0">
        <v>83</v>
      </c>
      <c r="BC68" t="s" s="0">
        <v>83</v>
      </c>
      <c r="BD68" t="s" s="0">
        <v>83</v>
      </c>
      <c r="BE68" t="s" s="0">
        <v>83</v>
      </c>
      <c r="BF68" t="s" s="0">
        <v>83</v>
      </c>
      <c r="BG68" t="s" s="0">
        <v>83</v>
      </c>
      <c r="BH68" t="s" s="0">
        <v>83</v>
      </c>
      <c r="BI68" t="s" s="0">
        <v>2009</v>
      </c>
      <c r="BJ68" t="s" s="0">
        <v>2010</v>
      </c>
      <c r="BK68" t="s" s="133">
        <f>HYPERLINK("http://dx.doi.org/10.3389/fmed.2025.1529201","http://dx.doi.org/10.3389/fmed.2025.1529201")</f>
        <v>2011</v>
      </c>
      <c r="BL68" t="s" s="0">
        <v>83</v>
      </c>
      <c r="BM68" t="s" s="0">
        <v>83</v>
      </c>
      <c r="BN68" t="s" s="0">
        <v>417</v>
      </c>
      <c r="BO68" t="s" s="0">
        <v>669</v>
      </c>
      <c r="BP68" t="s" s="0">
        <v>670</v>
      </c>
      <c r="BQ68" t="s" s="0">
        <v>2012</v>
      </c>
      <c r="BR68" t="s" s="0">
        <v>2013</v>
      </c>
      <c r="BS68" t="s" s="0">
        <v>2014</v>
      </c>
      <c r="BT68" t="s" s="134">
        <f>HYPERLINK("https://www.webofscience.com/wos/woscc/full-record/WOS:001438815100001","View Record in Web of Science")</f>
        <v>126</v>
      </c>
      <c r="BU68" t="s" s="0">
        <v>210</v>
      </c>
      <c r="BV68" t="s" s="0">
        <v>83</v>
      </c>
      <c r="BW68" t="s" s="0">
        <v>83</v>
      </c>
      <c r="BX68" t="s" s="0">
        <v>130</v>
      </c>
    </row>
    <row r="69">
      <c r="A69" t="s" s="0">
        <v>78</v>
      </c>
      <c r="B69" t="s" s="0">
        <v>78</v>
      </c>
      <c r="C69" t="s" s="0">
        <v>150</v>
      </c>
      <c r="D69" t="s" s="0">
        <v>78</v>
      </c>
      <c r="E69" t="s" s="0">
        <v>1198</v>
      </c>
      <c r="F69" t="s" s="0">
        <v>2015</v>
      </c>
      <c r="G69" t="s" s="0">
        <v>2016</v>
      </c>
      <c r="H69" t="s" s="0">
        <v>83</v>
      </c>
      <c r="I69" t="s" s="0">
        <v>84</v>
      </c>
      <c r="J69" t="s" s="0">
        <v>1201</v>
      </c>
      <c r="K69" t="s" s="0">
        <v>1202</v>
      </c>
      <c r="L69" t="s" s="0">
        <v>2017</v>
      </c>
      <c r="M69" t="s" s="0">
        <v>2018</v>
      </c>
      <c r="N69" t="s" s="0">
        <v>2019</v>
      </c>
      <c r="O69" t="s" s="0">
        <v>2020</v>
      </c>
      <c r="P69" t="s" s="0">
        <v>1207</v>
      </c>
      <c r="Q69" t="s" s="0">
        <v>92</v>
      </c>
      <c r="R69" t="s" s="0">
        <v>83</v>
      </c>
      <c r="S69" t="s" s="0">
        <v>83</v>
      </c>
      <c r="T69" t="s" s="0">
        <v>83</v>
      </c>
      <c r="U69" t="s" s="0">
        <v>83</v>
      </c>
      <c r="V69" t="s" s="0">
        <v>2021</v>
      </c>
      <c r="W69" t="s" s="0">
        <v>1209</v>
      </c>
      <c r="X69" t="s" s="0">
        <v>83</v>
      </c>
      <c r="Y69" t="s" s="0">
        <v>83</v>
      </c>
      <c r="Z69" t="s" s="0">
        <v>95</v>
      </c>
      <c r="AA69" t="s" s="0">
        <v>96</v>
      </c>
      <c r="AB69" t="s" s="0">
        <v>83</v>
      </c>
      <c r="AC69" t="s" s="0">
        <v>83</v>
      </c>
      <c r="AD69" t="s" s="0">
        <v>83</v>
      </c>
      <c r="AE69" t="s" s="0">
        <v>83</v>
      </c>
      <c r="AF69" t="s" s="0">
        <v>83</v>
      </c>
      <c r="AG69" t="s" s="0">
        <v>83</v>
      </c>
      <c r="AH69" t="s" s="0">
        <v>2022</v>
      </c>
      <c r="AI69" t="s" s="0">
        <v>1211</v>
      </c>
      <c r="AJ69" t="s" s="0">
        <v>2023</v>
      </c>
      <c r="AK69" t="s" s="0">
        <v>83</v>
      </c>
      <c r="AL69" t="s" s="0">
        <v>201</v>
      </c>
      <c r="AM69" t="s" s="0">
        <v>148</v>
      </c>
      <c r="AN69" t="s" s="0">
        <v>148</v>
      </c>
      <c r="AO69" t="s" s="0">
        <v>78</v>
      </c>
      <c r="AP69" t="s" s="0">
        <v>149</v>
      </c>
      <c r="AQ69" t="s" s="0">
        <v>1213</v>
      </c>
      <c r="AR69" t="s" s="0">
        <v>1214</v>
      </c>
      <c r="AS69" t="s" s="0">
        <v>1215</v>
      </c>
      <c r="AT69" t="s" s="0">
        <v>83</v>
      </c>
      <c r="AU69" t="s" s="0">
        <v>1216</v>
      </c>
      <c r="AV69" t="s" s="0">
        <v>83</v>
      </c>
      <c r="AW69" t="s" s="0">
        <v>1217</v>
      </c>
      <c r="AX69" t="s" s="0">
        <v>1218</v>
      </c>
      <c r="AY69" t="s" s="0">
        <v>2024</v>
      </c>
      <c r="AZ69" t="s" s="0">
        <v>113</v>
      </c>
      <c r="BA69" t="s" s="0">
        <v>516</v>
      </c>
      <c r="BB69" t="s" s="0">
        <v>83</v>
      </c>
      <c r="BC69" t="s" s="0">
        <v>83</v>
      </c>
      <c r="BD69" t="s" s="0">
        <v>83</v>
      </c>
      <c r="BE69" t="s" s="0">
        <v>83</v>
      </c>
      <c r="BF69" t="s" s="0">
        <v>83</v>
      </c>
      <c r="BG69" t="s" s="0">
        <v>83</v>
      </c>
      <c r="BH69" t="s" s="0">
        <v>83</v>
      </c>
      <c r="BI69" t="s" s="0">
        <v>309</v>
      </c>
      <c r="BJ69" t="s" s="0">
        <v>2025</v>
      </c>
      <c r="BK69" t="s" s="135">
        <f>HYPERLINK("http://dx.doi.org/10.1038/s41533-018-0086-6","http://dx.doi.org/10.1038/s41533-018-0086-6")</f>
        <v>2026</v>
      </c>
      <c r="BL69" t="s" s="0">
        <v>83</v>
      </c>
      <c r="BM69" t="s" s="0">
        <v>83</v>
      </c>
      <c r="BN69" t="s" s="0">
        <v>77</v>
      </c>
      <c r="BO69" t="s" s="0">
        <v>1222</v>
      </c>
      <c r="BP69" t="s" s="0">
        <v>1223</v>
      </c>
      <c r="BQ69" t="s" s="0">
        <v>2027</v>
      </c>
      <c r="BR69" t="s" s="0">
        <v>2028</v>
      </c>
      <c r="BS69" t="s" s="0">
        <v>2029</v>
      </c>
      <c r="BT69" t="s" s="136">
        <f>HYPERLINK("https://www.webofscience.com/wos/woscc/full-record/WOS:000432755800001","View Record in Web of Science")</f>
        <v>126</v>
      </c>
      <c r="BU69" t="s" s="0">
        <v>868</v>
      </c>
      <c r="BV69" t="s" s="0">
        <v>83</v>
      </c>
      <c r="BW69" t="s" s="0">
        <v>83</v>
      </c>
      <c r="BX69" t="s" s="0">
        <v>130</v>
      </c>
    </row>
    <row r="70">
      <c r="A70" t="s" s="0">
        <v>281</v>
      </c>
      <c r="B70" t="s" s="0">
        <v>78</v>
      </c>
      <c r="C70" t="s" s="0">
        <v>1747</v>
      </c>
      <c r="D70" t="s" s="0">
        <v>78</v>
      </c>
      <c r="E70" t="s" s="0">
        <v>2030</v>
      </c>
      <c r="F70" t="s" s="0">
        <v>2031</v>
      </c>
      <c r="G70" t="s" s="0">
        <v>2032</v>
      </c>
      <c r="H70" t="s" s="0">
        <v>83</v>
      </c>
      <c r="I70" t="s" s="0">
        <v>257</v>
      </c>
      <c r="J70" t="s" s="0">
        <v>2033</v>
      </c>
      <c r="K70" t="s" s="0">
        <v>2034</v>
      </c>
      <c r="L70" t="s" s="0">
        <v>83</v>
      </c>
      <c r="M70" t="s" s="0">
        <v>83</v>
      </c>
      <c r="N70" t="s" s="0">
        <v>83</v>
      </c>
      <c r="O70" t="s" s="0">
        <v>2035</v>
      </c>
      <c r="P70" t="s" s="0">
        <v>2036</v>
      </c>
      <c r="Q70" t="s" s="0">
        <v>92</v>
      </c>
      <c r="R70" t="s" s="0">
        <v>83</v>
      </c>
      <c r="S70" t="s" s="0">
        <v>83</v>
      </c>
      <c r="T70" t="s" s="0">
        <v>83</v>
      </c>
      <c r="U70" t="s" s="0">
        <v>83</v>
      </c>
      <c r="V70" t="s" s="0">
        <v>2037</v>
      </c>
      <c r="W70" t="s" s="0">
        <v>2038</v>
      </c>
      <c r="X70" t="s" s="0">
        <v>83</v>
      </c>
      <c r="Y70" t="s" s="0">
        <v>83</v>
      </c>
      <c r="Z70" t="s" s="0">
        <v>95</v>
      </c>
      <c r="AA70" t="s" s="0">
        <v>96</v>
      </c>
      <c r="AB70" t="s" s="0">
        <v>83</v>
      </c>
      <c r="AC70" t="s" s="0">
        <v>83</v>
      </c>
      <c r="AD70" t="s" s="0">
        <v>83</v>
      </c>
      <c r="AE70" t="s" s="0">
        <v>83</v>
      </c>
      <c r="AF70" t="s" s="0">
        <v>83</v>
      </c>
      <c r="AG70" t="s" s="0">
        <v>2039</v>
      </c>
      <c r="AH70" t="s" s="0">
        <v>2040</v>
      </c>
      <c r="AI70" t="s" s="0">
        <v>2041</v>
      </c>
      <c r="AJ70" t="s" s="0">
        <v>2042</v>
      </c>
      <c r="AK70" t="s" s="0">
        <v>83</v>
      </c>
      <c r="AL70" t="s" s="0">
        <v>2043</v>
      </c>
      <c r="AM70" t="s" s="0">
        <v>1190</v>
      </c>
      <c r="AN70" t="s" s="0">
        <v>243</v>
      </c>
      <c r="AO70" t="s" s="0">
        <v>150</v>
      </c>
      <c r="AP70" t="s" s="0">
        <v>2044</v>
      </c>
      <c r="AQ70" t="s" s="0">
        <v>2045</v>
      </c>
      <c r="AR70" t="s" s="0">
        <v>2046</v>
      </c>
      <c r="AS70" t="s" s="0">
        <v>2047</v>
      </c>
      <c r="AT70" t="s" s="0">
        <v>2048</v>
      </c>
      <c r="AU70" t="s" s="0">
        <v>2049</v>
      </c>
      <c r="AV70" t="s" s="0">
        <v>83</v>
      </c>
      <c r="AW70" t="s" s="0">
        <v>2050</v>
      </c>
      <c r="AX70" t="s" s="0">
        <v>2051</v>
      </c>
      <c r="AY70" t="s" s="0">
        <v>2052</v>
      </c>
      <c r="AZ70" t="s" s="0">
        <v>279</v>
      </c>
      <c r="BA70" t="s" s="0">
        <v>2053</v>
      </c>
      <c r="BB70" t="s" s="0">
        <v>83</v>
      </c>
      <c r="BC70" t="s" s="0">
        <v>83</v>
      </c>
      <c r="BD70" t="s" s="0">
        <v>83</v>
      </c>
      <c r="BE70" t="s" s="0">
        <v>83</v>
      </c>
      <c r="BF70" t="s" s="0">
        <v>83</v>
      </c>
      <c r="BG70" t="s" s="0">
        <v>83</v>
      </c>
      <c r="BH70" t="s" s="0">
        <v>83</v>
      </c>
      <c r="BI70" t="s" s="0">
        <v>2054</v>
      </c>
      <c r="BJ70" t="s" s="0">
        <v>2055</v>
      </c>
      <c r="BK70" t="s" s="137">
        <f>HYPERLINK("http://dx.doi.org/10.1016/j.jbi.2021.103980","http://dx.doi.org/10.1016/j.jbi.2021.103980")</f>
        <v>2056</v>
      </c>
      <c r="BL70" t="s" s="0">
        <v>83</v>
      </c>
      <c r="BM70" t="s" s="0">
        <v>286</v>
      </c>
      <c r="BN70" t="s" s="0">
        <v>417</v>
      </c>
      <c r="BO70" t="s" s="0">
        <v>2057</v>
      </c>
      <c r="BP70" t="s" s="0">
        <v>2058</v>
      </c>
      <c r="BQ70" t="s" s="0">
        <v>2059</v>
      </c>
      <c r="BR70" t="s" s="0">
        <v>2060</v>
      </c>
      <c r="BS70" t="s" s="0">
        <v>2061</v>
      </c>
      <c r="BT70" t="s" s="138">
        <f>HYPERLINK("https://www.webofscience.com/wos/woscc/full-record/WOS:000767887400004","View Record in Web of Science")</f>
        <v>126</v>
      </c>
      <c r="BU70" t="s" s="0">
        <v>127</v>
      </c>
      <c r="BV70" t="s" s="0">
        <v>83</v>
      </c>
      <c r="BW70" t="s" s="0">
        <v>83</v>
      </c>
      <c r="BX70" t="s" s="0">
        <v>130</v>
      </c>
    </row>
    <row r="71">
      <c r="A71" t="s" s="0">
        <v>78</v>
      </c>
      <c r="B71" t="s" s="0">
        <v>78</v>
      </c>
      <c r="C71" t="s" s="0">
        <v>78</v>
      </c>
      <c r="D71" t="s" s="0">
        <v>115</v>
      </c>
      <c r="E71" t="s" s="0">
        <v>2062</v>
      </c>
      <c r="F71" t="s" s="0">
        <v>2063</v>
      </c>
      <c r="G71" t="s" s="0">
        <v>2064</v>
      </c>
      <c r="H71" t="s" s="0">
        <v>83</v>
      </c>
      <c r="I71" t="s" s="0">
        <v>84</v>
      </c>
      <c r="J71" t="s" s="0">
        <v>2065</v>
      </c>
      <c r="K71" t="s" s="0">
        <v>2066</v>
      </c>
      <c r="L71" t="s" s="0">
        <v>2067</v>
      </c>
      <c r="M71" t="s" s="0">
        <v>2068</v>
      </c>
      <c r="N71" t="s" s="0">
        <v>2069</v>
      </c>
      <c r="O71" t="s" s="0">
        <v>2070</v>
      </c>
      <c r="P71" t="s" s="0">
        <v>2071</v>
      </c>
      <c r="Q71" t="s" s="0">
        <v>92</v>
      </c>
      <c r="R71" t="s" s="0">
        <v>83</v>
      </c>
      <c r="S71" t="s" s="0">
        <v>83</v>
      </c>
      <c r="T71" t="s" s="0">
        <v>83</v>
      </c>
      <c r="U71" t="s" s="0">
        <v>83</v>
      </c>
      <c r="V71" t="s" s="0">
        <v>2072</v>
      </c>
      <c r="W71" t="s" s="0">
        <v>2073</v>
      </c>
      <c r="X71" t="s" s="0">
        <v>83</v>
      </c>
      <c r="Y71" t="s" s="0">
        <v>83</v>
      </c>
      <c r="Z71" t="s" s="0">
        <v>95</v>
      </c>
      <c r="AA71" t="s" s="0">
        <v>96</v>
      </c>
      <c r="AB71" t="s" s="0">
        <v>83</v>
      </c>
      <c r="AC71" t="s" s="0">
        <v>83</v>
      </c>
      <c r="AD71" t="s" s="0">
        <v>83</v>
      </c>
      <c r="AE71" t="s" s="0">
        <v>83</v>
      </c>
      <c r="AF71" t="s" s="0">
        <v>83</v>
      </c>
      <c r="AG71" t="s" s="0">
        <v>2074</v>
      </c>
      <c r="AH71" t="s" s="0">
        <v>2075</v>
      </c>
      <c r="AI71" t="s" s="0">
        <v>2076</v>
      </c>
      <c r="AJ71" t="s" s="0">
        <v>2077</v>
      </c>
      <c r="AK71" t="s" s="0">
        <v>83</v>
      </c>
      <c r="AL71" t="s" s="0">
        <v>2078</v>
      </c>
      <c r="AM71" t="s" s="0">
        <v>545</v>
      </c>
      <c r="AN71" t="s" s="0">
        <v>545</v>
      </c>
      <c r="AO71" t="s" s="0">
        <v>78</v>
      </c>
      <c r="AP71" t="s" s="0">
        <v>545</v>
      </c>
      <c r="AQ71" t="s" s="0">
        <v>1151</v>
      </c>
      <c r="AR71" t="s" s="0">
        <v>1152</v>
      </c>
      <c r="AS71" t="s" s="0">
        <v>1153</v>
      </c>
      <c r="AT71" t="s" s="0">
        <v>83</v>
      </c>
      <c r="AU71" t="s" s="0">
        <v>2079</v>
      </c>
      <c r="AV71" t="s" s="0">
        <v>83</v>
      </c>
      <c r="AW71" t="s" s="0">
        <v>2080</v>
      </c>
      <c r="AX71" t="s" s="0">
        <v>2081</v>
      </c>
      <c r="AY71" t="s" s="0">
        <v>2052</v>
      </c>
      <c r="AZ71" t="s" s="0">
        <v>279</v>
      </c>
      <c r="BA71" t="s" s="0">
        <v>358</v>
      </c>
      <c r="BB71" t="s" s="0">
        <v>83</v>
      </c>
      <c r="BC71" t="s" s="0">
        <v>83</v>
      </c>
      <c r="BD71" t="s" s="0">
        <v>83</v>
      </c>
      <c r="BE71" t="s" s="0">
        <v>83</v>
      </c>
      <c r="BF71" t="s" s="0">
        <v>83</v>
      </c>
      <c r="BG71" t="s" s="0">
        <v>83</v>
      </c>
      <c r="BH71" t="s" s="0">
        <v>83</v>
      </c>
      <c r="BI71" t="s" s="0">
        <v>2082</v>
      </c>
      <c r="BJ71" t="s" s="0">
        <v>2083</v>
      </c>
      <c r="BK71" t="s" s="139">
        <f>HYPERLINK("http://dx.doi.org/10.1016/j.pmedr.2021.101672","http://dx.doi.org/10.1016/j.pmedr.2021.101672")</f>
        <v>2084</v>
      </c>
      <c r="BL71" t="s" s="0">
        <v>83</v>
      </c>
      <c r="BM71" t="s" s="0">
        <v>2085</v>
      </c>
      <c r="BN71" t="s" s="0">
        <v>269</v>
      </c>
      <c r="BO71" t="s" s="0">
        <v>641</v>
      </c>
      <c r="BP71" t="s" s="0">
        <v>641</v>
      </c>
      <c r="BQ71" t="s" s="0">
        <v>2086</v>
      </c>
      <c r="BR71" t="s" s="0">
        <v>2087</v>
      </c>
      <c r="BS71" t="s" s="0">
        <v>2088</v>
      </c>
      <c r="BT71" t="s" s="140">
        <f>HYPERLINK("https://www.webofscience.com/wos/woscc/full-record/WOS:000748438200016","View Record in Web of Science")</f>
        <v>126</v>
      </c>
      <c r="BU71" t="s" s="0">
        <v>2089</v>
      </c>
      <c r="BV71" t="s" s="0">
        <v>83</v>
      </c>
      <c r="BW71" t="s" s="0">
        <v>83</v>
      </c>
      <c r="BX71" t="s" s="0">
        <v>130</v>
      </c>
    </row>
    <row r="72">
      <c r="A72" t="s" s="0">
        <v>78</v>
      </c>
      <c r="B72" t="s" s="0">
        <v>78</v>
      </c>
      <c r="C72" t="s" s="0">
        <v>78</v>
      </c>
      <c r="D72" t="s" s="0">
        <v>78</v>
      </c>
      <c r="E72" t="s" s="0">
        <v>2090</v>
      </c>
      <c r="F72" t="s" s="0">
        <v>2091</v>
      </c>
      <c r="G72" t="s" s="0">
        <v>2092</v>
      </c>
      <c r="H72" t="s" s="0">
        <v>83</v>
      </c>
      <c r="I72" t="s" s="0">
        <v>174</v>
      </c>
      <c r="J72" t="s" s="0">
        <v>2093</v>
      </c>
      <c r="K72" t="s" s="0">
        <v>2094</v>
      </c>
      <c r="L72" t="s" s="0">
        <v>83</v>
      </c>
      <c r="M72" t="s" s="0">
        <v>83</v>
      </c>
      <c r="N72" t="s" s="0">
        <v>83</v>
      </c>
      <c r="O72" t="s" s="0">
        <v>2095</v>
      </c>
      <c r="P72" t="s" s="0">
        <v>2096</v>
      </c>
      <c r="Q72" t="s" s="0">
        <v>92</v>
      </c>
      <c r="R72" t="s" s="0">
        <v>83</v>
      </c>
      <c r="S72" t="s" s="0">
        <v>83</v>
      </c>
      <c r="T72" t="s" s="0">
        <v>83</v>
      </c>
      <c r="U72" t="s" s="0">
        <v>83</v>
      </c>
      <c r="V72" t="s" s="0">
        <v>2097</v>
      </c>
      <c r="W72" t="s" s="0">
        <v>2098</v>
      </c>
      <c r="X72" t="s" s="0">
        <v>83</v>
      </c>
      <c r="Y72" t="s" s="0">
        <v>83</v>
      </c>
      <c r="Z72" t="s" s="0">
        <v>95</v>
      </c>
      <c r="AA72" t="s" s="0">
        <v>96</v>
      </c>
      <c r="AB72" t="s" s="0">
        <v>83</v>
      </c>
      <c r="AC72" t="s" s="0">
        <v>83</v>
      </c>
      <c r="AD72" t="s" s="0">
        <v>83</v>
      </c>
      <c r="AE72" t="s" s="0">
        <v>83</v>
      </c>
      <c r="AF72" t="s" s="0">
        <v>83</v>
      </c>
      <c r="AG72" t="s" s="0">
        <v>2099</v>
      </c>
      <c r="AH72" t="s" s="0">
        <v>2100</v>
      </c>
      <c r="AI72" t="s" s="0">
        <v>2101</v>
      </c>
      <c r="AJ72" t="s" s="0">
        <v>2102</v>
      </c>
      <c r="AK72" t="s" s="0">
        <v>83</v>
      </c>
      <c r="AL72" t="s" s="0">
        <v>407</v>
      </c>
      <c r="AM72" t="s" s="0">
        <v>115</v>
      </c>
      <c r="AN72" t="s" s="0">
        <v>150</v>
      </c>
      <c r="AO72" t="s" s="0">
        <v>78</v>
      </c>
      <c r="AP72" t="s" s="0">
        <v>281</v>
      </c>
      <c r="AQ72" t="s" s="0">
        <v>2103</v>
      </c>
      <c r="AR72" t="s" s="0">
        <v>2104</v>
      </c>
      <c r="AS72" t="s" s="0">
        <v>2105</v>
      </c>
      <c r="AT72" t="s" s="0">
        <v>2106</v>
      </c>
      <c r="AU72" t="s" s="0">
        <v>83</v>
      </c>
      <c r="AV72" t="s" s="0">
        <v>83</v>
      </c>
      <c r="AW72" t="s" s="0">
        <v>2107</v>
      </c>
      <c r="AX72" t="s" s="0">
        <v>2108</v>
      </c>
      <c r="AY72" t="s" s="0">
        <v>1007</v>
      </c>
      <c r="AZ72" t="s" s="0">
        <v>279</v>
      </c>
      <c r="BA72" t="s" s="0">
        <v>148</v>
      </c>
      <c r="BB72" t="s" s="0">
        <v>83</v>
      </c>
      <c r="BC72" t="s" s="0">
        <v>83</v>
      </c>
      <c r="BD72" t="s" s="0">
        <v>83</v>
      </c>
      <c r="BE72" t="s" s="0">
        <v>83</v>
      </c>
      <c r="BF72" t="s" s="0">
        <v>83</v>
      </c>
      <c r="BG72" t="s" s="0">
        <v>83</v>
      </c>
      <c r="BH72" t="s" s="0">
        <v>83</v>
      </c>
      <c r="BI72" t="s" s="0">
        <v>211</v>
      </c>
      <c r="BJ72" t="s" s="0">
        <v>2109</v>
      </c>
      <c r="BK72" t="s" s="141">
        <f>HYPERLINK("http://dx.doi.org/10.21037/vats-21-47","http://dx.doi.org/10.21037/vats-21-47")</f>
        <v>2110</v>
      </c>
      <c r="BL72" t="s" s="0">
        <v>83</v>
      </c>
      <c r="BM72" t="s" s="0">
        <v>2052</v>
      </c>
      <c r="BN72" t="s" s="0">
        <v>211</v>
      </c>
      <c r="BO72" t="s" s="0">
        <v>2111</v>
      </c>
      <c r="BP72" t="s" s="0">
        <v>2111</v>
      </c>
      <c r="BQ72" t="s" s="0">
        <v>2112</v>
      </c>
      <c r="BR72" t="s" s="0">
        <v>83</v>
      </c>
      <c r="BS72" t="s" s="0">
        <v>2113</v>
      </c>
      <c r="BT72" t="s" s="142">
        <f>HYPERLINK("https://www.webofscience.com/wos/woscc/full-record/WOS:000768385300001","View Record in Web of Science")</f>
        <v>126</v>
      </c>
      <c r="BU72" t="s" s="0">
        <v>1463</v>
      </c>
      <c r="BV72" t="s" s="0">
        <v>83</v>
      </c>
      <c r="BW72" t="s" s="0">
        <v>83</v>
      </c>
      <c r="BX72" t="s" s="0">
        <v>130</v>
      </c>
    </row>
    <row r="73">
      <c r="A73" t="s" s="0">
        <v>78</v>
      </c>
      <c r="B73" t="s" s="0">
        <v>78</v>
      </c>
      <c r="C73" t="s" s="0">
        <v>269</v>
      </c>
      <c r="D73" t="s" s="0">
        <v>78</v>
      </c>
      <c r="E73" t="s" s="0">
        <v>2114</v>
      </c>
      <c r="F73" t="s" s="0">
        <v>2115</v>
      </c>
      <c r="G73" t="s" s="0">
        <v>2116</v>
      </c>
      <c r="H73" t="s" s="0">
        <v>83</v>
      </c>
      <c r="I73" t="s" s="0">
        <v>84</v>
      </c>
      <c r="J73" t="s" s="0">
        <v>2117</v>
      </c>
      <c r="K73" t="s" s="0">
        <v>769</v>
      </c>
      <c r="L73" t="s" s="0">
        <v>2118</v>
      </c>
      <c r="M73" t="s" s="0">
        <v>2119</v>
      </c>
      <c r="N73" t="s" s="0">
        <v>2120</v>
      </c>
      <c r="O73" t="s" s="0">
        <v>2121</v>
      </c>
      <c r="P73" t="s" s="0">
        <v>2122</v>
      </c>
      <c r="Q73" t="s" s="0">
        <v>92</v>
      </c>
      <c r="R73" t="s" s="0">
        <v>83</v>
      </c>
      <c r="S73" t="s" s="0">
        <v>83</v>
      </c>
      <c r="T73" t="s" s="0">
        <v>83</v>
      </c>
      <c r="U73" t="s" s="0">
        <v>83</v>
      </c>
      <c r="V73" t="s" s="0">
        <v>2123</v>
      </c>
      <c r="W73" t="s" s="0">
        <v>2124</v>
      </c>
      <c r="X73" t="s" s="0">
        <v>83</v>
      </c>
      <c r="Y73" t="s" s="0">
        <v>83</v>
      </c>
      <c r="Z73" t="s" s="0">
        <v>95</v>
      </c>
      <c r="AA73" t="s" s="0">
        <v>96</v>
      </c>
      <c r="AB73" t="s" s="0">
        <v>83</v>
      </c>
      <c r="AC73" t="s" s="0">
        <v>83</v>
      </c>
      <c r="AD73" t="s" s="0">
        <v>83</v>
      </c>
      <c r="AE73" t="s" s="0">
        <v>83</v>
      </c>
      <c r="AF73" t="s" s="0">
        <v>83</v>
      </c>
      <c r="AG73" t="s" s="0">
        <v>2125</v>
      </c>
      <c r="AH73" t="s" s="0">
        <v>2126</v>
      </c>
      <c r="AI73" t="s" s="0">
        <v>2127</v>
      </c>
      <c r="AJ73" t="s" s="0">
        <v>2128</v>
      </c>
      <c r="AK73" t="s" s="0">
        <v>83</v>
      </c>
      <c r="AL73" t="s" s="0">
        <v>376</v>
      </c>
      <c r="AM73" t="s" s="0">
        <v>1979</v>
      </c>
      <c r="AN73" t="s" s="0">
        <v>2129</v>
      </c>
      <c r="AO73" t="s" s="0">
        <v>78</v>
      </c>
      <c r="AP73" t="s" s="0">
        <v>437</v>
      </c>
      <c r="AQ73" t="s" s="0">
        <v>1123</v>
      </c>
      <c r="AR73" t="s" s="0">
        <v>1124</v>
      </c>
      <c r="AS73" t="s" s="0">
        <v>1125</v>
      </c>
      <c r="AT73" t="s" s="0">
        <v>2130</v>
      </c>
      <c r="AU73" t="s" s="0">
        <v>2131</v>
      </c>
      <c r="AV73" t="s" s="0">
        <v>83</v>
      </c>
      <c r="AW73" t="s" s="0">
        <v>2132</v>
      </c>
      <c r="AX73" t="s" s="0">
        <v>2133</v>
      </c>
      <c r="AY73" t="s" s="0">
        <v>2134</v>
      </c>
      <c r="AZ73" t="s" s="0">
        <v>1403</v>
      </c>
      <c r="BA73" t="s" s="0">
        <v>103</v>
      </c>
      <c r="BB73" t="s" s="0">
        <v>545</v>
      </c>
      <c r="BC73" t="s" s="0">
        <v>83</v>
      </c>
      <c r="BD73" t="s" s="0">
        <v>83</v>
      </c>
      <c r="BE73" t="s" s="0">
        <v>83</v>
      </c>
      <c r="BF73" t="s" s="0">
        <v>83</v>
      </c>
      <c r="BG73" t="s" s="0">
        <v>2135</v>
      </c>
      <c r="BH73" t="s" s="0">
        <v>2136</v>
      </c>
      <c r="BI73" t="s" s="0">
        <v>83</v>
      </c>
      <c r="BJ73" t="s" s="0">
        <v>2137</v>
      </c>
      <c r="BK73" t="s" s="143">
        <f>HYPERLINK("http://dx.doi.org/10.1111/1471-0528.14170","http://dx.doi.org/10.1111/1471-0528.14170")</f>
        <v>2138</v>
      </c>
      <c r="BL73" t="s" s="0">
        <v>83</v>
      </c>
      <c r="BM73" t="s" s="0">
        <v>83</v>
      </c>
      <c r="BN73" t="s" s="0">
        <v>211</v>
      </c>
      <c r="BO73" t="s" s="0">
        <v>2139</v>
      </c>
      <c r="BP73" t="s" s="0">
        <v>2139</v>
      </c>
      <c r="BQ73" t="s" s="0">
        <v>2140</v>
      </c>
      <c r="BR73" t="s" s="0">
        <v>2141</v>
      </c>
      <c r="BS73" t="s" s="0">
        <v>2142</v>
      </c>
      <c r="BT73" t="s" s="144">
        <f>HYPERLINK("https://www.webofscience.com/wos/woscc/full-record/WOS:000397007500013","View Record in Web of Science")</f>
        <v>126</v>
      </c>
      <c r="BU73" t="s" s="0">
        <v>83</v>
      </c>
      <c r="BV73" t="s" s="0">
        <v>83</v>
      </c>
      <c r="BW73" t="s" s="0">
        <v>83</v>
      </c>
      <c r="BX73" t="s" s="0">
        <v>130</v>
      </c>
    </row>
    <row r="74">
      <c r="A74" t="s" s="0">
        <v>150</v>
      </c>
      <c r="B74" t="s" s="0">
        <v>78</v>
      </c>
      <c r="C74" t="s" s="0">
        <v>310</v>
      </c>
      <c r="D74" t="s" s="0">
        <v>78</v>
      </c>
      <c r="E74" t="s" s="0">
        <v>2143</v>
      </c>
      <c r="F74" t="s" s="0">
        <v>2144</v>
      </c>
      <c r="G74" t="s" s="0">
        <v>2145</v>
      </c>
      <c r="H74" t="s" s="0">
        <v>83</v>
      </c>
      <c r="I74" t="s" s="0">
        <v>84</v>
      </c>
      <c r="J74" t="s" s="0">
        <v>2146</v>
      </c>
      <c r="K74" t="s" s="0">
        <v>2147</v>
      </c>
      <c r="L74" t="s" s="0">
        <v>2148</v>
      </c>
      <c r="M74" t="s" s="0">
        <v>2149</v>
      </c>
      <c r="N74" t="s" s="0">
        <v>2150</v>
      </c>
      <c r="O74" t="s" s="0">
        <v>2151</v>
      </c>
      <c r="P74" t="s" s="0">
        <v>2152</v>
      </c>
      <c r="Q74" t="s" s="0">
        <v>92</v>
      </c>
      <c r="R74" t="s" s="0">
        <v>83</v>
      </c>
      <c r="S74" t="s" s="0">
        <v>83</v>
      </c>
      <c r="T74" t="s" s="0">
        <v>83</v>
      </c>
      <c r="U74" t="s" s="0">
        <v>83</v>
      </c>
      <c r="V74" t="s" s="0">
        <v>2153</v>
      </c>
      <c r="W74" t="s" s="0">
        <v>1975</v>
      </c>
      <c r="X74" t="s" s="0">
        <v>83</v>
      </c>
      <c r="Y74" t="s" s="0">
        <v>83</v>
      </c>
      <c r="Z74" t="s" s="0">
        <v>95</v>
      </c>
      <c r="AA74" t="s" s="0">
        <v>96</v>
      </c>
      <c r="AB74" t="s" s="0">
        <v>83</v>
      </c>
      <c r="AC74" t="s" s="0">
        <v>83</v>
      </c>
      <c r="AD74" t="s" s="0">
        <v>83</v>
      </c>
      <c r="AE74" t="s" s="0">
        <v>83</v>
      </c>
      <c r="AF74" t="s" s="0">
        <v>83</v>
      </c>
      <c r="AG74" t="s" s="0">
        <v>83</v>
      </c>
      <c r="AH74" t="s" s="0">
        <v>2154</v>
      </c>
      <c r="AI74" t="s" s="0">
        <v>2155</v>
      </c>
      <c r="AJ74" t="s" s="0">
        <v>2156</v>
      </c>
      <c r="AK74" t="s" s="0">
        <v>83</v>
      </c>
      <c r="AL74" t="s" s="0">
        <v>571</v>
      </c>
      <c r="AM74" t="s" s="0">
        <v>2157</v>
      </c>
      <c r="AN74" t="s" s="0">
        <v>230</v>
      </c>
      <c r="AO74" t="s" s="0">
        <v>78</v>
      </c>
      <c r="AP74" t="s" s="0">
        <v>310</v>
      </c>
      <c r="AQ74" t="s" s="0">
        <v>1981</v>
      </c>
      <c r="AR74" t="s" s="0">
        <v>1982</v>
      </c>
      <c r="AS74" t="s" s="0">
        <v>1983</v>
      </c>
      <c r="AT74" t="s" s="0">
        <v>83</v>
      </c>
      <c r="AU74" t="s" s="0">
        <v>1984</v>
      </c>
      <c r="AV74" t="s" s="0">
        <v>83</v>
      </c>
      <c r="AW74" t="s" s="0">
        <v>1975</v>
      </c>
      <c r="AX74" t="s" s="0">
        <v>1985</v>
      </c>
      <c r="AY74" t="s" s="0">
        <v>2158</v>
      </c>
      <c r="AZ74" t="s" s="0">
        <v>113</v>
      </c>
      <c r="BA74" t="s" s="0">
        <v>120</v>
      </c>
      <c r="BB74" t="s" s="0">
        <v>150</v>
      </c>
      <c r="BC74" t="s" s="0">
        <v>83</v>
      </c>
      <c r="BD74" t="s" s="0">
        <v>83</v>
      </c>
      <c r="BE74" t="s" s="0">
        <v>83</v>
      </c>
      <c r="BF74" t="s" s="0">
        <v>83</v>
      </c>
      <c r="BG74" t="s" s="0">
        <v>83</v>
      </c>
      <c r="BH74" t="s" s="0">
        <v>83</v>
      </c>
      <c r="BI74" t="s" s="0">
        <v>2159</v>
      </c>
      <c r="BJ74" t="s" s="0">
        <v>2160</v>
      </c>
      <c r="BK74" t="s" s="145">
        <f>HYPERLINK("http://dx.doi.org/10.1371/journal.pone.0192310","http://dx.doi.org/10.1371/journal.pone.0192310")</f>
        <v>2161</v>
      </c>
      <c r="BL74" t="s" s="0">
        <v>83</v>
      </c>
      <c r="BM74" t="s" s="0">
        <v>83</v>
      </c>
      <c r="BN74" t="s" s="0">
        <v>377</v>
      </c>
      <c r="BO74" t="s" s="0">
        <v>1990</v>
      </c>
      <c r="BP74" t="s" s="0">
        <v>1991</v>
      </c>
      <c r="BQ74" t="s" s="0">
        <v>2162</v>
      </c>
      <c r="BR74" t="s" s="0">
        <v>2163</v>
      </c>
      <c r="BS74" t="s" s="0">
        <v>2164</v>
      </c>
      <c r="BT74" t="s" s="146">
        <f>HYPERLINK("https://www.webofscience.com/wos/woscc/full-record/WOS:000424517900065","View Record in Web of Science")</f>
        <v>126</v>
      </c>
      <c r="BU74" t="s" s="0">
        <v>868</v>
      </c>
      <c r="BV74" t="s" s="0">
        <v>83</v>
      </c>
      <c r="BW74" t="s" s="0">
        <v>83</v>
      </c>
      <c r="BX74" t="s" s="0">
        <v>130</v>
      </c>
    </row>
    <row r="75">
      <c r="A75" t="s" s="0">
        <v>115</v>
      </c>
      <c r="B75" t="s" s="0">
        <v>78</v>
      </c>
      <c r="C75" t="s" s="0">
        <v>281</v>
      </c>
      <c r="D75" t="s" s="0">
        <v>115</v>
      </c>
      <c r="E75" t="s" s="0">
        <v>2165</v>
      </c>
      <c r="F75" t="s" s="0">
        <v>2166</v>
      </c>
      <c r="G75" t="s" s="0">
        <v>2167</v>
      </c>
      <c r="H75" t="s" s="0">
        <v>83</v>
      </c>
      <c r="I75" t="s" s="0">
        <v>84</v>
      </c>
      <c r="J75" t="s" s="0">
        <v>2168</v>
      </c>
      <c r="K75" t="s" s="0">
        <v>2169</v>
      </c>
      <c r="L75" t="s" s="0">
        <v>2170</v>
      </c>
      <c r="M75" t="s" s="0">
        <v>2171</v>
      </c>
      <c r="N75" t="s" s="0">
        <v>2172</v>
      </c>
      <c r="O75" t="s" s="0">
        <v>2173</v>
      </c>
      <c r="P75" t="s" s="0">
        <v>2174</v>
      </c>
      <c r="Q75" t="s" s="0">
        <v>92</v>
      </c>
      <c r="R75" t="s" s="0">
        <v>83</v>
      </c>
      <c r="S75" t="s" s="0">
        <v>83</v>
      </c>
      <c r="T75" t="s" s="0">
        <v>83</v>
      </c>
      <c r="U75" t="s" s="0">
        <v>83</v>
      </c>
      <c r="V75" t="s" s="0">
        <v>2175</v>
      </c>
      <c r="W75" t="s" s="0">
        <v>2176</v>
      </c>
      <c r="X75" t="s" s="0">
        <v>83</v>
      </c>
      <c r="Y75" t="s" s="0">
        <v>83</v>
      </c>
      <c r="Z75" t="s" s="0">
        <v>95</v>
      </c>
      <c r="AA75" t="s" s="0">
        <v>96</v>
      </c>
      <c r="AB75" t="s" s="0">
        <v>83</v>
      </c>
      <c r="AC75" t="s" s="0">
        <v>83</v>
      </c>
      <c r="AD75" t="s" s="0">
        <v>83</v>
      </c>
      <c r="AE75" t="s" s="0">
        <v>83</v>
      </c>
      <c r="AF75" t="s" s="0">
        <v>83</v>
      </c>
      <c r="AG75" t="s" s="0">
        <v>2177</v>
      </c>
      <c r="AH75" t="s" s="0">
        <v>2178</v>
      </c>
      <c r="AI75" t="s" s="0">
        <v>2179</v>
      </c>
      <c r="AJ75" t="s" s="0">
        <v>2180</v>
      </c>
      <c r="AK75" t="s" s="0">
        <v>83</v>
      </c>
      <c r="AL75" t="s" s="0">
        <v>1030</v>
      </c>
      <c r="AM75" t="s" s="0">
        <v>161</v>
      </c>
      <c r="AN75" t="s" s="0">
        <v>437</v>
      </c>
      <c r="AO75" t="s" s="0">
        <v>78</v>
      </c>
      <c r="AP75" t="s" s="0">
        <v>165</v>
      </c>
      <c r="AQ75" t="s" s="0">
        <v>1123</v>
      </c>
      <c r="AR75" t="s" s="0">
        <v>1124</v>
      </c>
      <c r="AS75" t="s" s="0">
        <v>1125</v>
      </c>
      <c r="AT75" t="s" s="0">
        <v>2181</v>
      </c>
      <c r="AU75" t="s" s="0">
        <v>2182</v>
      </c>
      <c r="AV75" t="s" s="0">
        <v>83</v>
      </c>
      <c r="AW75" t="s" s="0">
        <v>2183</v>
      </c>
      <c r="AX75" t="s" s="0">
        <v>2184</v>
      </c>
      <c r="AY75" t="s" s="0">
        <v>2052</v>
      </c>
      <c r="AZ75" t="s" s="0">
        <v>279</v>
      </c>
      <c r="BA75" t="s" s="0">
        <v>1902</v>
      </c>
      <c r="BB75" t="s" s="0">
        <v>77</v>
      </c>
      <c r="BC75" t="s" s="0">
        <v>83</v>
      </c>
      <c r="BD75" t="s" s="0">
        <v>83</v>
      </c>
      <c r="BE75" t="s" s="0">
        <v>83</v>
      </c>
      <c r="BF75" t="s" s="0">
        <v>83</v>
      </c>
      <c r="BG75" t="s" s="0">
        <v>2185</v>
      </c>
      <c r="BH75" t="s" s="0">
        <v>2186</v>
      </c>
      <c r="BI75" t="s" s="0">
        <v>83</v>
      </c>
      <c r="BJ75" t="s" s="0">
        <v>2187</v>
      </c>
      <c r="BK75" t="s" s="147">
        <f>HYPERLINK("http://dx.doi.org/10.1111/bcp.15104","http://dx.doi.org/10.1111/bcp.15104")</f>
        <v>2188</v>
      </c>
      <c r="BL75" t="s" s="0">
        <v>83</v>
      </c>
      <c r="BM75" t="s" s="0">
        <v>889</v>
      </c>
      <c r="BN75" t="s" s="0">
        <v>269</v>
      </c>
      <c r="BO75" t="s" s="0">
        <v>483</v>
      </c>
      <c r="BP75" t="s" s="0">
        <v>483</v>
      </c>
      <c r="BQ75" t="s" s="0">
        <v>2189</v>
      </c>
      <c r="BR75" t="s" s="0">
        <v>2190</v>
      </c>
      <c r="BS75" t="s" s="0">
        <v>2191</v>
      </c>
      <c r="BT75" t="s" s="148">
        <f>HYPERLINK("https://www.webofscience.com/wos/woscc/full-record/WOS:000712887300001","View Record in Web of Science")</f>
        <v>126</v>
      </c>
      <c r="BU75" t="s" s="0">
        <v>357</v>
      </c>
      <c r="BV75" t="s" s="0">
        <v>83</v>
      </c>
      <c r="BW75" t="s" s="0">
        <v>83</v>
      </c>
      <c r="BX75" t="s" s="0">
        <v>130</v>
      </c>
    </row>
    <row r="76">
      <c r="A76" t="s" s="0">
        <v>78</v>
      </c>
      <c r="B76" t="s" s="0">
        <v>78</v>
      </c>
      <c r="C76" t="s" s="0">
        <v>150</v>
      </c>
      <c r="D76" t="s" s="0">
        <v>78</v>
      </c>
      <c r="E76" t="s" s="0">
        <v>2192</v>
      </c>
      <c r="F76" t="s" s="0">
        <v>2193</v>
      </c>
      <c r="G76" t="s" s="0">
        <v>2194</v>
      </c>
      <c r="H76" t="s" s="0">
        <v>83</v>
      </c>
      <c r="I76" t="s" s="0">
        <v>84</v>
      </c>
      <c r="J76" t="s" s="0">
        <v>2195</v>
      </c>
      <c r="K76" t="s" s="0">
        <v>2196</v>
      </c>
      <c r="L76" t="s" s="0">
        <v>2197</v>
      </c>
      <c r="M76" t="s" s="0">
        <v>2198</v>
      </c>
      <c r="N76" t="s" s="0">
        <v>2199</v>
      </c>
      <c r="O76" t="s" s="0">
        <v>2200</v>
      </c>
      <c r="P76" t="s" s="0">
        <v>2201</v>
      </c>
      <c r="Q76" t="s" s="0">
        <v>92</v>
      </c>
      <c r="R76" t="s" s="0">
        <v>83</v>
      </c>
      <c r="S76" t="s" s="0">
        <v>83</v>
      </c>
      <c r="T76" t="s" s="0">
        <v>83</v>
      </c>
      <c r="U76" t="s" s="0">
        <v>83</v>
      </c>
      <c r="V76" t="s" s="0">
        <v>2202</v>
      </c>
      <c r="W76" t="s" s="0">
        <v>2203</v>
      </c>
      <c r="X76" t="s" s="0">
        <v>83</v>
      </c>
      <c r="Y76" t="s" s="0">
        <v>83</v>
      </c>
      <c r="Z76" t="s" s="0">
        <v>95</v>
      </c>
      <c r="AA76" t="s" s="0">
        <v>96</v>
      </c>
      <c r="AB76" t="s" s="0">
        <v>83</v>
      </c>
      <c r="AC76" t="s" s="0">
        <v>83</v>
      </c>
      <c r="AD76" t="s" s="0">
        <v>83</v>
      </c>
      <c r="AE76" t="s" s="0">
        <v>83</v>
      </c>
      <c r="AF76" t="s" s="0">
        <v>83</v>
      </c>
      <c r="AG76" t="s" s="0">
        <v>2204</v>
      </c>
      <c r="AH76" t="s" s="0">
        <v>2205</v>
      </c>
      <c r="AI76" t="s" s="0">
        <v>2206</v>
      </c>
      <c r="AJ76" t="s" s="0">
        <v>2207</v>
      </c>
      <c r="AK76" t="s" s="0">
        <v>83</v>
      </c>
      <c r="AL76" t="s" s="0">
        <v>147</v>
      </c>
      <c r="AM76" t="s" s="0">
        <v>377</v>
      </c>
      <c r="AN76" t="s" s="0">
        <v>377</v>
      </c>
      <c r="AO76" t="s" s="0">
        <v>78</v>
      </c>
      <c r="AP76" t="s" s="0">
        <v>545</v>
      </c>
      <c r="AQ76" t="s" s="0">
        <v>2208</v>
      </c>
      <c r="AR76" t="s" s="0">
        <v>2209</v>
      </c>
      <c r="AS76" t="s" s="0">
        <v>2210</v>
      </c>
      <c r="AT76" t="s" s="0">
        <v>2211</v>
      </c>
      <c r="AU76" t="s" s="0">
        <v>2212</v>
      </c>
      <c r="AV76" t="s" s="0">
        <v>83</v>
      </c>
      <c r="AW76" t="s" s="0">
        <v>2213</v>
      </c>
      <c r="AX76" t="s" s="0">
        <v>2214</v>
      </c>
      <c r="AY76" t="s" s="0">
        <v>2215</v>
      </c>
      <c r="AZ76" t="s" s="0">
        <v>279</v>
      </c>
      <c r="BA76" t="s" s="0">
        <v>1030</v>
      </c>
      <c r="BB76" t="s" s="0">
        <v>150</v>
      </c>
      <c r="BC76" t="s" s="0">
        <v>83</v>
      </c>
      <c r="BD76" t="s" s="0">
        <v>83</v>
      </c>
      <c r="BE76" t="s" s="0">
        <v>83</v>
      </c>
      <c r="BF76" t="s" s="0">
        <v>83</v>
      </c>
      <c r="BG76" t="s" s="0">
        <v>2216</v>
      </c>
      <c r="BH76" t="s" s="0">
        <v>1900</v>
      </c>
      <c r="BI76" t="s" s="0">
        <v>83</v>
      </c>
      <c r="BJ76" t="s" s="0">
        <v>2217</v>
      </c>
      <c r="BK76" t="s" s="149">
        <f>HYPERLINK("http://dx.doi.org/10.1016/j.jphys.2022.03.009","http://dx.doi.org/10.1016/j.jphys.2022.03.009")</f>
        <v>2218</v>
      </c>
      <c r="BL76" t="s" s="0">
        <v>83</v>
      </c>
      <c r="BM76" t="s" s="0">
        <v>2215</v>
      </c>
      <c r="BN76" t="s" s="0">
        <v>232</v>
      </c>
      <c r="BO76" t="s" s="0">
        <v>2219</v>
      </c>
      <c r="BP76" t="s" s="0">
        <v>2219</v>
      </c>
      <c r="BQ76" t="s" s="0">
        <v>2220</v>
      </c>
      <c r="BR76" t="s" s="0">
        <v>2221</v>
      </c>
      <c r="BS76" t="s" s="0">
        <v>2222</v>
      </c>
      <c r="BT76" t="s" s="150">
        <f>HYPERLINK("https://www.webofscience.com/wos/woscc/full-record/WOS:000803702600007","View Record in Web of Science")</f>
        <v>126</v>
      </c>
      <c r="BU76" t="s" s="0">
        <v>210</v>
      </c>
      <c r="BV76" t="s" s="0">
        <v>83</v>
      </c>
      <c r="BW76" t="s" s="0">
        <v>83</v>
      </c>
      <c r="BX76" t="s" s="0">
        <v>130</v>
      </c>
    </row>
    <row r="77">
      <c r="A77" t="s" s="0">
        <v>78</v>
      </c>
      <c r="B77" t="s" s="0">
        <v>78</v>
      </c>
      <c r="C77" t="s" s="0">
        <v>150</v>
      </c>
      <c r="D77" t="s" s="0">
        <v>78</v>
      </c>
      <c r="E77" t="s" s="0">
        <v>2223</v>
      </c>
      <c r="F77" t="s" s="0">
        <v>2224</v>
      </c>
      <c r="G77" t="s" s="0">
        <v>2225</v>
      </c>
      <c r="H77" t="s" s="0">
        <v>83</v>
      </c>
      <c r="I77" t="s" s="0">
        <v>84</v>
      </c>
      <c r="J77" t="s" s="0">
        <v>2226</v>
      </c>
      <c r="K77" t="s" s="0">
        <v>2227</v>
      </c>
      <c r="L77" t="s" s="0">
        <v>2228</v>
      </c>
      <c r="M77" t="s" s="0">
        <v>2229</v>
      </c>
      <c r="N77" t="s" s="0">
        <v>2230</v>
      </c>
      <c r="O77" t="s" s="0">
        <v>2231</v>
      </c>
      <c r="P77" t="s" s="0">
        <v>2232</v>
      </c>
      <c r="Q77" t="s" s="0">
        <v>92</v>
      </c>
      <c r="R77" t="s" s="0">
        <v>83</v>
      </c>
      <c r="S77" t="s" s="0">
        <v>83</v>
      </c>
      <c r="T77" t="s" s="0">
        <v>83</v>
      </c>
      <c r="U77" t="s" s="0">
        <v>83</v>
      </c>
      <c r="V77" t="s" s="0">
        <v>2233</v>
      </c>
      <c r="W77" t="s" s="0">
        <v>2234</v>
      </c>
      <c r="X77" t="s" s="0">
        <v>83</v>
      </c>
      <c r="Y77" t="s" s="0">
        <v>83</v>
      </c>
      <c r="Z77" t="s" s="0">
        <v>95</v>
      </c>
      <c r="AA77" t="s" s="0">
        <v>96</v>
      </c>
      <c r="AB77" t="s" s="0">
        <v>83</v>
      </c>
      <c r="AC77" t="s" s="0">
        <v>83</v>
      </c>
      <c r="AD77" t="s" s="0">
        <v>83</v>
      </c>
      <c r="AE77" t="s" s="0">
        <v>83</v>
      </c>
      <c r="AF77" t="s" s="0">
        <v>83</v>
      </c>
      <c r="AG77" t="s" s="0">
        <v>2235</v>
      </c>
      <c r="AH77" t="s" s="0">
        <v>2236</v>
      </c>
      <c r="AI77" t="s" s="0">
        <v>2237</v>
      </c>
      <c r="AJ77" t="s" s="0">
        <v>2238</v>
      </c>
      <c r="AK77" t="s" s="0">
        <v>83</v>
      </c>
      <c r="AL77" t="s" s="0">
        <v>229</v>
      </c>
      <c r="AM77" t="s" s="0">
        <v>231</v>
      </c>
      <c r="AN77" t="s" s="0">
        <v>148</v>
      </c>
      <c r="AO77" t="s" s="0">
        <v>78</v>
      </c>
      <c r="AP77" t="s" s="0">
        <v>545</v>
      </c>
      <c r="AQ77" t="s" s="0">
        <v>2103</v>
      </c>
      <c r="AR77" t="s" s="0">
        <v>2104</v>
      </c>
      <c r="AS77" t="s" s="0">
        <v>2105</v>
      </c>
      <c r="AT77" t="s" s="0">
        <v>2239</v>
      </c>
      <c r="AU77" t="s" s="0">
        <v>2240</v>
      </c>
      <c r="AV77" t="s" s="0">
        <v>83</v>
      </c>
      <c r="AW77" t="s" s="0">
        <v>2241</v>
      </c>
      <c r="AX77" t="s" s="0">
        <v>2242</v>
      </c>
      <c r="AY77" t="s" s="0">
        <v>1302</v>
      </c>
      <c r="AZ77" t="s" s="0">
        <v>113</v>
      </c>
      <c r="BA77" t="s" s="0">
        <v>211</v>
      </c>
      <c r="BB77" t="s" s="0">
        <v>83</v>
      </c>
      <c r="BC77" t="s" s="0">
        <v>2243</v>
      </c>
      <c r="BD77" t="s" s="0">
        <v>83</v>
      </c>
      <c r="BE77" t="s" s="0">
        <v>79</v>
      </c>
      <c r="BF77" t="s" s="0">
        <v>83</v>
      </c>
      <c r="BG77" t="s" s="0">
        <v>2244</v>
      </c>
      <c r="BH77" t="s" s="0">
        <v>2245</v>
      </c>
      <c r="BI77" t="s" s="0">
        <v>83</v>
      </c>
      <c r="BJ77" t="s" s="0">
        <v>2246</v>
      </c>
      <c r="BK77" t="s" s="151">
        <f>HYPERLINK("http://dx.doi.org/10.21037/jtd.2018.05.67","http://dx.doi.org/10.21037/jtd.2018.05.67")</f>
        <v>2247</v>
      </c>
      <c r="BL77" t="s" s="0">
        <v>83</v>
      </c>
      <c r="BM77" t="s" s="0">
        <v>83</v>
      </c>
      <c r="BN77" t="s" s="0">
        <v>149</v>
      </c>
      <c r="BO77" t="s" s="0">
        <v>2248</v>
      </c>
      <c r="BP77" t="s" s="0">
        <v>2248</v>
      </c>
      <c r="BQ77" t="s" s="0">
        <v>2249</v>
      </c>
      <c r="BR77" t="s" s="0">
        <v>2250</v>
      </c>
      <c r="BS77" t="s" s="0">
        <v>2251</v>
      </c>
      <c r="BT77" t="s" s="152">
        <f>HYPERLINK("https://www.webofscience.com/wos/woscc/full-record/WOS:000449336700002","View Record in Web of Science")</f>
        <v>126</v>
      </c>
      <c r="BU77" t="s" s="0">
        <v>868</v>
      </c>
      <c r="BV77" t="s" s="0">
        <v>83</v>
      </c>
      <c r="BW77" t="s" s="0">
        <v>83</v>
      </c>
      <c r="BX77" t="s" s="0">
        <v>130</v>
      </c>
    </row>
    <row r="78">
      <c r="A78" t="s" s="0">
        <v>115</v>
      </c>
      <c r="B78" t="s" s="0">
        <v>78</v>
      </c>
      <c r="C78" t="s" s="0">
        <v>545</v>
      </c>
      <c r="D78" t="s" s="0">
        <v>78</v>
      </c>
      <c r="E78" t="s" s="0">
        <v>2252</v>
      </c>
      <c r="F78" t="s" s="0">
        <v>2253</v>
      </c>
      <c r="G78" t="s" s="0">
        <v>2254</v>
      </c>
      <c r="H78" t="s" s="0">
        <v>83</v>
      </c>
      <c r="I78" t="s" s="0">
        <v>84</v>
      </c>
      <c r="J78" t="s" s="0">
        <v>2255</v>
      </c>
      <c r="K78" t="s" s="0">
        <v>2256</v>
      </c>
      <c r="L78" t="s" s="0">
        <v>2257</v>
      </c>
      <c r="M78" t="s" s="0">
        <v>2258</v>
      </c>
      <c r="N78" t="s" s="0">
        <v>2259</v>
      </c>
      <c r="O78" t="s" s="0">
        <v>2260</v>
      </c>
      <c r="P78" t="s" s="0">
        <v>2261</v>
      </c>
      <c r="Q78" t="s" s="0">
        <v>92</v>
      </c>
      <c r="R78" t="s" s="0">
        <v>83</v>
      </c>
      <c r="S78" t="s" s="0">
        <v>83</v>
      </c>
      <c r="T78" t="s" s="0">
        <v>83</v>
      </c>
      <c r="U78" t="s" s="0">
        <v>83</v>
      </c>
      <c r="V78" t="s" s="0">
        <v>2262</v>
      </c>
      <c r="W78" t="s" s="0">
        <v>2263</v>
      </c>
      <c r="X78" t="s" s="0">
        <v>83</v>
      </c>
      <c r="Y78" t="s" s="0">
        <v>83</v>
      </c>
      <c r="Z78" t="s" s="0">
        <v>95</v>
      </c>
      <c r="AA78" t="s" s="0">
        <v>96</v>
      </c>
      <c r="AB78" t="s" s="0">
        <v>83</v>
      </c>
      <c r="AC78" t="s" s="0">
        <v>83</v>
      </c>
      <c r="AD78" t="s" s="0">
        <v>83</v>
      </c>
      <c r="AE78" t="s" s="0">
        <v>83</v>
      </c>
      <c r="AF78" t="s" s="0">
        <v>83</v>
      </c>
      <c r="AG78" t="s" s="0">
        <v>2264</v>
      </c>
      <c r="AH78" t="s" s="0">
        <v>2265</v>
      </c>
      <c r="AI78" t="s" s="0">
        <v>2266</v>
      </c>
      <c r="AJ78" t="s" s="0">
        <v>2267</v>
      </c>
      <c r="AK78" t="s" s="0">
        <v>83</v>
      </c>
      <c r="AL78" t="s" s="0">
        <v>2268</v>
      </c>
      <c r="AM78" t="s" s="0">
        <v>417</v>
      </c>
      <c r="AN78" t="s" s="0">
        <v>269</v>
      </c>
      <c r="AO78" t="s" s="0">
        <v>150</v>
      </c>
      <c r="AP78" t="s" s="0">
        <v>232</v>
      </c>
      <c r="AQ78" t="s" s="0">
        <v>378</v>
      </c>
      <c r="AR78" t="s" s="0">
        <v>106</v>
      </c>
      <c r="AS78" t="s" s="0">
        <v>379</v>
      </c>
      <c r="AT78" t="s" s="0">
        <v>83</v>
      </c>
      <c r="AU78" t="s" s="0">
        <v>2269</v>
      </c>
      <c r="AV78" t="s" s="0">
        <v>83</v>
      </c>
      <c r="AW78" t="s" s="0">
        <v>2270</v>
      </c>
      <c r="AX78" t="s" s="0">
        <v>2271</v>
      </c>
      <c r="AY78" t="s" s="0">
        <v>2272</v>
      </c>
      <c r="AZ78" t="s" s="0">
        <v>159</v>
      </c>
      <c r="BA78" t="s" s="0">
        <v>358</v>
      </c>
      <c r="BB78" t="s" s="0">
        <v>115</v>
      </c>
      <c r="BC78" t="s" s="0">
        <v>83</v>
      </c>
      <c r="BD78" t="s" s="0">
        <v>83</v>
      </c>
      <c r="BE78" t="s" s="0">
        <v>83</v>
      </c>
      <c r="BF78" t="s" s="0">
        <v>83</v>
      </c>
      <c r="BG78" t="s" s="0">
        <v>83</v>
      </c>
      <c r="BH78" t="s" s="0">
        <v>83</v>
      </c>
      <c r="BI78" t="s" s="0">
        <v>571</v>
      </c>
      <c r="BJ78" t="s" s="0">
        <v>2273</v>
      </c>
      <c r="BK78" t="s" s="153">
        <f>HYPERLINK("http://dx.doi.org/10.1186/s12893-025-02802-2","http://dx.doi.org/10.1186/s12893-025-02802-2")</f>
        <v>2274</v>
      </c>
      <c r="BL78" t="s" s="0">
        <v>83</v>
      </c>
      <c r="BM78" t="s" s="0">
        <v>83</v>
      </c>
      <c r="BN78" t="s" s="0">
        <v>417</v>
      </c>
      <c r="BO78" t="s" s="0">
        <v>2111</v>
      </c>
      <c r="BP78" t="s" s="0">
        <v>2111</v>
      </c>
      <c r="BQ78" t="s" s="0">
        <v>2275</v>
      </c>
      <c r="BR78" t="s" s="0">
        <v>2276</v>
      </c>
      <c r="BS78" t="s" s="0">
        <v>2277</v>
      </c>
      <c r="BT78" t="s" s="154">
        <f>HYPERLINK("https://www.webofscience.com/wos/woscc/full-record/WOS:001434956700001","View Record in Web of Science")</f>
        <v>126</v>
      </c>
      <c r="BU78" t="s" s="0">
        <v>210</v>
      </c>
      <c r="BV78" t="s" s="0">
        <v>83</v>
      </c>
      <c r="BW78" t="s" s="0">
        <v>83</v>
      </c>
      <c r="BX78" t="s" s="0">
        <v>130</v>
      </c>
    </row>
    <row r="79">
      <c r="A79" t="s" s="0">
        <v>78</v>
      </c>
      <c r="B79" t="s" s="0">
        <v>78</v>
      </c>
      <c r="C79" t="s" s="0">
        <v>78</v>
      </c>
      <c r="D79" t="s" s="0">
        <v>78</v>
      </c>
      <c r="E79" t="s" s="0">
        <v>2278</v>
      </c>
      <c r="F79" t="s" s="0">
        <v>2279</v>
      </c>
      <c r="G79" t="s" s="0">
        <v>2280</v>
      </c>
      <c r="H79" t="s" s="0">
        <v>83</v>
      </c>
      <c r="I79" t="s" s="0">
        <v>84</v>
      </c>
      <c r="J79" t="s" s="0">
        <v>2281</v>
      </c>
      <c r="K79" t="s" s="0">
        <v>2282</v>
      </c>
      <c r="L79" t="s" s="0">
        <v>83</v>
      </c>
      <c r="M79" t="s" s="0">
        <v>83</v>
      </c>
      <c r="N79" t="s" s="0">
        <v>83</v>
      </c>
      <c r="O79" t="s" s="0">
        <v>2283</v>
      </c>
      <c r="P79" t="s" s="0">
        <v>2284</v>
      </c>
      <c r="Q79" t="s" s="0">
        <v>92</v>
      </c>
      <c r="R79" t="s" s="0">
        <v>83</v>
      </c>
      <c r="S79" t="s" s="0">
        <v>83</v>
      </c>
      <c r="T79" t="s" s="0">
        <v>83</v>
      </c>
      <c r="U79" t="s" s="0">
        <v>83</v>
      </c>
      <c r="V79" t="s" s="0">
        <v>2285</v>
      </c>
      <c r="W79" t="s" s="0">
        <v>2286</v>
      </c>
      <c r="X79" t="s" s="0">
        <v>83</v>
      </c>
      <c r="Y79" t="s" s="0">
        <v>83</v>
      </c>
      <c r="Z79" t="s" s="0">
        <v>95</v>
      </c>
      <c r="AA79" t="s" s="0">
        <v>96</v>
      </c>
      <c r="AB79" t="s" s="0">
        <v>83</v>
      </c>
      <c r="AC79" t="s" s="0">
        <v>83</v>
      </c>
      <c r="AD79" t="s" s="0">
        <v>83</v>
      </c>
      <c r="AE79" t="s" s="0">
        <v>83</v>
      </c>
      <c r="AF79" t="s" s="0">
        <v>83</v>
      </c>
      <c r="AG79" t="s" s="0">
        <v>2287</v>
      </c>
      <c r="AH79" t="s" s="0">
        <v>2288</v>
      </c>
      <c r="AI79" t="s" s="0">
        <v>2289</v>
      </c>
      <c r="AJ79" t="s" s="0">
        <v>2290</v>
      </c>
      <c r="AK79" t="s" s="0">
        <v>83</v>
      </c>
      <c r="AL79" t="s" s="0">
        <v>690</v>
      </c>
      <c r="AM79" t="s" s="0">
        <v>545</v>
      </c>
      <c r="AN79" t="s" s="0">
        <v>545</v>
      </c>
      <c r="AO79" t="s" s="0">
        <v>78</v>
      </c>
      <c r="AP79" t="s" s="0">
        <v>150</v>
      </c>
      <c r="AQ79" t="s" s="0">
        <v>2291</v>
      </c>
      <c r="AR79" t="s" s="0">
        <v>2046</v>
      </c>
      <c r="AS79" t="s" s="0">
        <v>2292</v>
      </c>
      <c r="AT79" t="s" s="0">
        <v>2293</v>
      </c>
      <c r="AU79" t="s" s="0">
        <v>2294</v>
      </c>
      <c r="AV79" t="s" s="0">
        <v>83</v>
      </c>
      <c r="AW79" t="s" s="0">
        <v>2295</v>
      </c>
      <c r="AX79" t="s" s="0">
        <v>2296</v>
      </c>
      <c r="AY79" t="s" s="0">
        <v>2297</v>
      </c>
      <c r="AZ79" t="s" s="0">
        <v>159</v>
      </c>
      <c r="BA79" t="s" s="0">
        <v>358</v>
      </c>
      <c r="BB79" t="s" s="0">
        <v>115</v>
      </c>
      <c r="BC79" t="s" s="0">
        <v>83</v>
      </c>
      <c r="BD79" t="s" s="0">
        <v>83</v>
      </c>
      <c r="BE79" t="s" s="0">
        <v>2298</v>
      </c>
      <c r="BF79" t="s" s="0">
        <v>83</v>
      </c>
      <c r="BG79" t="s" s="0">
        <v>83</v>
      </c>
      <c r="BH79" t="s" s="0">
        <v>83</v>
      </c>
      <c r="BI79" t="s" s="0">
        <v>2299</v>
      </c>
      <c r="BJ79" t="s" s="0">
        <v>2300</v>
      </c>
      <c r="BK79" t="s" s="155">
        <f>HYPERLINK("http://dx.doi.org/10.1016/j.jebdp.2024.102057","http://dx.doi.org/10.1016/j.jebdp.2024.102057")</f>
        <v>2301</v>
      </c>
      <c r="BL79" t="s" s="0">
        <v>83</v>
      </c>
      <c r="BM79" t="s" s="0">
        <v>2297</v>
      </c>
      <c r="BN79" t="s" s="0">
        <v>120</v>
      </c>
      <c r="BO79" t="s" s="0">
        <v>2302</v>
      </c>
      <c r="BP79" t="s" s="0">
        <v>2302</v>
      </c>
      <c r="BQ79" t="s" s="0">
        <v>2303</v>
      </c>
      <c r="BR79" t="s" s="0">
        <v>2304</v>
      </c>
      <c r="BS79" t="s" s="0">
        <v>2305</v>
      </c>
      <c r="BT79" t="s" s="156">
        <f>HYPERLINK("https://www.webofscience.com/wos/woscc/full-record/WOS:001447310300001","View Record in Web of Science")</f>
        <v>126</v>
      </c>
      <c r="BU79" t="s" s="0">
        <v>2306</v>
      </c>
      <c r="BV79" t="s" s="0">
        <v>83</v>
      </c>
      <c r="BW79" t="s" s="0">
        <v>83</v>
      </c>
      <c r="BX79" t="s" s="0">
        <v>130</v>
      </c>
    </row>
    <row r="80">
      <c r="A80" t="s" s="0">
        <v>78</v>
      </c>
      <c r="B80" t="s" s="0">
        <v>78</v>
      </c>
      <c r="C80" t="s" s="0">
        <v>232</v>
      </c>
      <c r="D80" t="s" s="0">
        <v>78</v>
      </c>
      <c r="E80" t="s" s="0">
        <v>2307</v>
      </c>
      <c r="F80" t="s" s="0">
        <v>2308</v>
      </c>
      <c r="G80" t="s" s="0">
        <v>2309</v>
      </c>
      <c r="H80" t="s" s="0">
        <v>83</v>
      </c>
      <c r="I80" t="s" s="0">
        <v>257</v>
      </c>
      <c r="J80" t="s" s="0">
        <v>2310</v>
      </c>
      <c r="K80" t="s" s="0">
        <v>2311</v>
      </c>
      <c r="L80" t="s" s="0">
        <v>260</v>
      </c>
      <c r="M80" t="s" s="0">
        <v>261</v>
      </c>
      <c r="N80" t="s" s="0">
        <v>2312</v>
      </c>
      <c r="O80" t="s" s="0">
        <v>2313</v>
      </c>
      <c r="P80" t="s" s="0">
        <v>264</v>
      </c>
      <c r="Q80" t="s" s="0">
        <v>92</v>
      </c>
      <c r="R80" t="s" s="0">
        <v>83</v>
      </c>
      <c r="S80" t="s" s="0">
        <v>83</v>
      </c>
      <c r="T80" t="s" s="0">
        <v>83</v>
      </c>
      <c r="U80" t="s" s="0">
        <v>83</v>
      </c>
      <c r="V80" t="s" s="0">
        <v>2314</v>
      </c>
      <c r="W80" t="s" s="0">
        <v>266</v>
      </c>
      <c r="X80" t="s" s="0">
        <v>83</v>
      </c>
      <c r="Y80" t="s" s="0">
        <v>83</v>
      </c>
      <c r="Z80" t="s" s="0">
        <v>95</v>
      </c>
      <c r="AA80" t="s" s="0">
        <v>566</v>
      </c>
      <c r="AB80" t="s" s="0">
        <v>83</v>
      </c>
      <c r="AC80" t="s" s="0">
        <v>83</v>
      </c>
      <c r="AD80" t="s" s="0">
        <v>83</v>
      </c>
      <c r="AE80" t="s" s="0">
        <v>83</v>
      </c>
      <c r="AF80" t="s" s="0">
        <v>83</v>
      </c>
      <c r="AG80" t="s" s="0">
        <v>2315</v>
      </c>
      <c r="AH80" t="s" s="0">
        <v>2316</v>
      </c>
      <c r="AI80" t="s" s="0">
        <v>2317</v>
      </c>
      <c r="AJ80" t="s" s="0">
        <v>2318</v>
      </c>
      <c r="AK80" t="s" s="0">
        <v>83</v>
      </c>
      <c r="AL80" t="s" s="0">
        <v>1404</v>
      </c>
      <c r="AM80" t="s" s="0">
        <v>2157</v>
      </c>
      <c r="AN80" t="s" s="0">
        <v>2319</v>
      </c>
      <c r="AO80" t="s" s="0">
        <v>78</v>
      </c>
      <c r="AP80" t="s" s="0">
        <v>310</v>
      </c>
      <c r="AQ80" t="s" s="0">
        <v>271</v>
      </c>
      <c r="AR80" t="s" s="0">
        <v>272</v>
      </c>
      <c r="AS80" t="s" s="0">
        <v>273</v>
      </c>
      <c r="AT80" t="s" s="0">
        <v>274</v>
      </c>
      <c r="AU80" t="s" s="0">
        <v>275</v>
      </c>
      <c r="AV80" t="s" s="0">
        <v>83</v>
      </c>
      <c r="AW80" t="s" s="0">
        <v>276</v>
      </c>
      <c r="AX80" t="s" s="0">
        <v>277</v>
      </c>
      <c r="AY80" t="s" s="0">
        <v>83</v>
      </c>
      <c r="AZ80" t="s" s="0">
        <v>279</v>
      </c>
      <c r="BA80" t="s" s="0">
        <v>83</v>
      </c>
      <c r="BB80" t="s" s="0">
        <v>83</v>
      </c>
      <c r="BC80" t="s" s="0">
        <v>83</v>
      </c>
      <c r="BD80" t="s" s="0">
        <v>83</v>
      </c>
      <c r="BE80" t="s" s="0">
        <v>83</v>
      </c>
      <c r="BF80" t="s" s="0">
        <v>83</v>
      </c>
      <c r="BG80" t="s" s="0">
        <v>83</v>
      </c>
      <c r="BH80" t="s" s="0">
        <v>83</v>
      </c>
      <c r="BI80" t="s" s="0">
        <v>83</v>
      </c>
      <c r="BJ80" t="s" s="0">
        <v>2320</v>
      </c>
      <c r="BK80" t="s" s="157">
        <f>HYPERLINK("http://dx.doi.org/10.1093/jamia/ocac058","http://dx.doi.org/10.1093/jamia/ocac058")</f>
        <v>2321</v>
      </c>
      <c r="BL80" t="s" s="0">
        <v>83</v>
      </c>
      <c r="BM80" t="s" s="0">
        <v>2215</v>
      </c>
      <c r="BN80" t="s" s="0">
        <v>232</v>
      </c>
      <c r="BO80" t="s" s="0">
        <v>287</v>
      </c>
      <c r="BP80" t="s" s="0">
        <v>288</v>
      </c>
      <c r="BQ80" t="s" s="0">
        <v>2322</v>
      </c>
      <c r="BR80" t="s" s="0">
        <v>2323</v>
      </c>
      <c r="BS80" t="s" s="0">
        <v>2324</v>
      </c>
      <c r="BT80" t="s" s="158">
        <f>HYPERLINK("https://www.webofscience.com/wos/woscc/full-record/WOS:000787860800001","View Record in Web of Science")</f>
        <v>126</v>
      </c>
      <c r="BU80" t="s" s="0">
        <v>253</v>
      </c>
      <c r="BV80" t="s" s="0">
        <v>83</v>
      </c>
      <c r="BW80" t="s" s="0">
        <v>83</v>
      </c>
      <c r="BX80" t="s" s="0">
        <v>130</v>
      </c>
    </row>
    <row r="81">
      <c r="A81" t="s" s="0">
        <v>78</v>
      </c>
      <c r="B81" t="s" s="0">
        <v>78</v>
      </c>
      <c r="C81" t="s" s="0">
        <v>78</v>
      </c>
      <c r="D81" t="s" s="0">
        <v>78</v>
      </c>
      <c r="E81" t="s" s="0">
        <v>2325</v>
      </c>
      <c r="F81" t="s" s="0">
        <v>2326</v>
      </c>
      <c r="G81" t="s" s="0">
        <v>2327</v>
      </c>
      <c r="H81" t="s" s="0">
        <v>83</v>
      </c>
      <c r="I81" t="s" s="0">
        <v>84</v>
      </c>
      <c r="J81" t="s" s="0">
        <v>2328</v>
      </c>
      <c r="K81" t="s" s="0">
        <v>2329</v>
      </c>
      <c r="L81" t="s" s="0">
        <v>83</v>
      </c>
      <c r="M81" t="s" s="0">
        <v>83</v>
      </c>
      <c r="N81" t="s" s="0">
        <v>83</v>
      </c>
      <c r="O81" t="s" s="0">
        <v>2330</v>
      </c>
      <c r="P81" t="s" s="0">
        <v>2331</v>
      </c>
      <c r="Q81" t="s" s="0">
        <v>92</v>
      </c>
      <c r="R81" t="s" s="0">
        <v>83</v>
      </c>
      <c r="S81" t="s" s="0">
        <v>83</v>
      </c>
      <c r="T81" t="s" s="0">
        <v>83</v>
      </c>
      <c r="U81" t="s" s="0">
        <v>83</v>
      </c>
      <c r="V81" t="s" s="0">
        <v>2332</v>
      </c>
      <c r="W81" t="s" s="0">
        <v>2333</v>
      </c>
      <c r="X81" t="s" s="0">
        <v>83</v>
      </c>
      <c r="Y81" t="s" s="0">
        <v>83</v>
      </c>
      <c r="Z81" t="s" s="0">
        <v>95</v>
      </c>
      <c r="AA81" t="s" s="0">
        <v>96</v>
      </c>
      <c r="AB81" t="s" s="0">
        <v>83</v>
      </c>
      <c r="AC81" t="s" s="0">
        <v>83</v>
      </c>
      <c r="AD81" t="s" s="0">
        <v>83</v>
      </c>
      <c r="AE81" t="s" s="0">
        <v>83</v>
      </c>
      <c r="AF81" t="s" s="0">
        <v>83</v>
      </c>
      <c r="AG81" t="s" s="0">
        <v>2334</v>
      </c>
      <c r="AH81" t="s" s="0">
        <v>2335</v>
      </c>
      <c r="AI81" t="s" s="0">
        <v>83</v>
      </c>
      <c r="AJ81" t="s" s="0">
        <v>2336</v>
      </c>
      <c r="AK81" t="s" s="0">
        <v>83</v>
      </c>
      <c r="AL81" t="s" s="0">
        <v>969</v>
      </c>
      <c r="AM81" t="s" s="0">
        <v>78</v>
      </c>
      <c r="AN81" t="s" s="0">
        <v>78</v>
      </c>
      <c r="AO81" t="s" s="0">
        <v>115</v>
      </c>
      <c r="AP81" t="s" s="0">
        <v>281</v>
      </c>
      <c r="AQ81" t="s" s="0">
        <v>105</v>
      </c>
      <c r="AR81" t="s" s="0">
        <v>106</v>
      </c>
      <c r="AS81" t="s" s="0">
        <v>107</v>
      </c>
      <c r="AT81" t="s" s="0">
        <v>2337</v>
      </c>
      <c r="AU81" t="s" s="0">
        <v>2338</v>
      </c>
      <c r="AV81" t="s" s="0">
        <v>83</v>
      </c>
      <c r="AW81" t="s" s="0">
        <v>2333</v>
      </c>
      <c r="AX81" t="s" s="0">
        <v>2339</v>
      </c>
      <c r="AY81" t="s" s="0">
        <v>2297</v>
      </c>
      <c r="AZ81" t="s" s="0">
        <v>159</v>
      </c>
      <c r="BA81" t="s" s="0">
        <v>884</v>
      </c>
      <c r="BB81" t="s" s="0">
        <v>150</v>
      </c>
      <c r="BC81" t="s" s="0">
        <v>83</v>
      </c>
      <c r="BD81" t="s" s="0">
        <v>83</v>
      </c>
      <c r="BE81" t="s" s="0">
        <v>83</v>
      </c>
      <c r="BF81" t="s" s="0">
        <v>83</v>
      </c>
      <c r="BG81" t="s" s="0">
        <v>2340</v>
      </c>
      <c r="BH81" t="s" s="0">
        <v>2341</v>
      </c>
      <c r="BI81" t="s" s="0">
        <v>83</v>
      </c>
      <c r="BJ81" t="s" s="0">
        <v>2342</v>
      </c>
      <c r="BK81" t="s" s="159">
        <f>HYPERLINK("http://dx.doi.org/10.1177/02676591241237758","http://dx.doi.org/10.1177/02676591241237758")</f>
        <v>2343</v>
      </c>
      <c r="BL81" t="s" s="0">
        <v>83</v>
      </c>
      <c r="BM81" t="s" s="0">
        <v>2344</v>
      </c>
      <c r="BN81" t="s" s="0">
        <v>309</v>
      </c>
      <c r="BO81" t="s" s="0">
        <v>2345</v>
      </c>
      <c r="BP81" t="s" s="0">
        <v>1134</v>
      </c>
      <c r="BQ81" t="s" s="0">
        <v>2346</v>
      </c>
      <c r="BR81" t="s" s="0">
        <v>2347</v>
      </c>
      <c r="BS81" t="s" s="0">
        <v>2348</v>
      </c>
      <c r="BT81" t="s" s="160">
        <f>HYPERLINK("https://www.webofscience.com/wos/woscc/full-record/WOS:001206505700001","View Record in Web of Science")</f>
        <v>126</v>
      </c>
      <c r="BU81" t="s" s="0">
        <v>253</v>
      </c>
      <c r="BV81" t="s" s="0">
        <v>83</v>
      </c>
      <c r="BW81" t="s" s="0">
        <v>83</v>
      </c>
      <c r="BX81" t="s" s="0">
        <v>130</v>
      </c>
    </row>
    <row r="82">
      <c r="A82" t="s" s="0">
        <v>115</v>
      </c>
      <c r="B82" t="s" s="0">
        <v>78</v>
      </c>
      <c r="C82" t="s" s="0">
        <v>211</v>
      </c>
      <c r="D82" t="s" s="0">
        <v>78</v>
      </c>
      <c r="E82" t="s" s="0">
        <v>2349</v>
      </c>
      <c r="F82" t="s" s="0">
        <v>2350</v>
      </c>
      <c r="G82" t="s" s="0">
        <v>2351</v>
      </c>
      <c r="H82" t="s" s="0">
        <v>83</v>
      </c>
      <c r="I82" t="s" s="0">
        <v>84</v>
      </c>
      <c r="J82" t="s" s="0">
        <v>2352</v>
      </c>
      <c r="K82" t="s" s="0">
        <v>2353</v>
      </c>
      <c r="L82" t="s" s="0">
        <v>83</v>
      </c>
      <c r="M82" t="s" s="0">
        <v>83</v>
      </c>
      <c r="N82" t="s" s="0">
        <v>83</v>
      </c>
      <c r="O82" t="s" s="0">
        <v>2354</v>
      </c>
      <c r="P82" t="s" s="0">
        <v>2355</v>
      </c>
      <c r="Q82" t="s" s="0">
        <v>92</v>
      </c>
      <c r="R82" t="s" s="0">
        <v>83</v>
      </c>
      <c r="S82" t="s" s="0">
        <v>83</v>
      </c>
      <c r="T82" t="s" s="0">
        <v>83</v>
      </c>
      <c r="U82" t="s" s="0">
        <v>83</v>
      </c>
      <c r="V82" t="s" s="0">
        <v>2356</v>
      </c>
      <c r="W82" t="s" s="0">
        <v>2357</v>
      </c>
      <c r="X82" t="s" s="0">
        <v>83</v>
      </c>
      <c r="Y82" t="s" s="0">
        <v>83</v>
      </c>
      <c r="Z82" t="s" s="0">
        <v>95</v>
      </c>
      <c r="AA82" t="s" s="0">
        <v>96</v>
      </c>
      <c r="AB82" t="s" s="0">
        <v>83</v>
      </c>
      <c r="AC82" t="s" s="0">
        <v>83</v>
      </c>
      <c r="AD82" t="s" s="0">
        <v>83</v>
      </c>
      <c r="AE82" t="s" s="0">
        <v>83</v>
      </c>
      <c r="AF82" t="s" s="0">
        <v>83</v>
      </c>
      <c r="AG82" t="s" s="0">
        <v>2358</v>
      </c>
      <c r="AH82" t="s" s="0">
        <v>2359</v>
      </c>
      <c r="AI82" t="s" s="0">
        <v>2360</v>
      </c>
      <c r="AJ82" t="s" s="0">
        <v>2361</v>
      </c>
      <c r="AK82" t="s" s="0">
        <v>83</v>
      </c>
      <c r="AL82" t="s" s="0">
        <v>1927</v>
      </c>
      <c r="AM82" t="s" s="0">
        <v>161</v>
      </c>
      <c r="AN82" t="s" s="0">
        <v>437</v>
      </c>
      <c r="AO82" t="s" s="0">
        <v>78</v>
      </c>
      <c r="AP82" t="s" s="0">
        <v>545</v>
      </c>
      <c r="AQ82" t="s" s="0">
        <v>2362</v>
      </c>
      <c r="AR82" t="s" s="0">
        <v>234</v>
      </c>
      <c r="AS82" t="s" s="0">
        <v>2363</v>
      </c>
      <c r="AT82" t="s" s="0">
        <v>2364</v>
      </c>
      <c r="AU82" t="s" s="0">
        <v>2365</v>
      </c>
      <c r="AV82" t="s" s="0">
        <v>83</v>
      </c>
      <c r="AW82" t="s" s="0">
        <v>2366</v>
      </c>
      <c r="AX82" t="s" s="0">
        <v>2367</v>
      </c>
      <c r="AY82" t="s" s="0">
        <v>316</v>
      </c>
      <c r="AZ82" t="s" s="0">
        <v>317</v>
      </c>
      <c r="BA82" t="s" s="0">
        <v>147</v>
      </c>
      <c r="BB82" t="s" s="0">
        <v>545</v>
      </c>
      <c r="BC82" t="s" s="0">
        <v>83</v>
      </c>
      <c r="BD82" t="s" s="0">
        <v>83</v>
      </c>
      <c r="BE82" t="s" s="0">
        <v>83</v>
      </c>
      <c r="BF82" t="s" s="0">
        <v>83</v>
      </c>
      <c r="BG82" t="s" s="0">
        <v>2368</v>
      </c>
      <c r="BH82" t="s" s="0">
        <v>2369</v>
      </c>
      <c r="BI82" t="s" s="0">
        <v>83</v>
      </c>
      <c r="BJ82" t="s" s="0">
        <v>2370</v>
      </c>
      <c r="BK82" t="s" s="161">
        <f>HYPERLINK("http://dx.doi.org/10.1055/s-0040-1708541","http://dx.doi.org/10.1055/s-0040-1708541")</f>
        <v>2371</v>
      </c>
      <c r="BL82" t="s" s="0">
        <v>83</v>
      </c>
      <c r="BM82" t="s" s="0">
        <v>83</v>
      </c>
      <c r="BN82" t="s" s="0">
        <v>120</v>
      </c>
      <c r="BO82" t="s" s="0">
        <v>1601</v>
      </c>
      <c r="BP82" t="s" s="0">
        <v>1602</v>
      </c>
      <c r="BQ82" t="s" s="0">
        <v>2372</v>
      </c>
      <c r="BR82" t="s" s="0">
        <v>2373</v>
      </c>
      <c r="BS82" t="s" s="0">
        <v>2374</v>
      </c>
      <c r="BT82" t="s" s="162">
        <f>HYPERLINK("https://www.webofscience.com/wos/woscc/full-record/WOS:000529016400007","View Record in Web of Science")</f>
        <v>126</v>
      </c>
      <c r="BU82" t="s" s="0">
        <v>83</v>
      </c>
      <c r="BV82" t="s" s="0">
        <v>83</v>
      </c>
      <c r="BW82" t="s" s="0">
        <v>83</v>
      </c>
      <c r="BX82" t="s" s="0">
        <v>130</v>
      </c>
    </row>
    <row r="83">
      <c r="A83" t="s" s="0">
        <v>115</v>
      </c>
      <c r="B83" t="s" s="0">
        <v>78</v>
      </c>
      <c r="C83" t="s" s="0">
        <v>150</v>
      </c>
      <c r="D83" t="s" s="0">
        <v>78</v>
      </c>
      <c r="E83" t="s" s="0">
        <v>2375</v>
      </c>
      <c r="F83" t="s" s="0">
        <v>2376</v>
      </c>
      <c r="G83" t="s" s="0">
        <v>2377</v>
      </c>
      <c r="H83" t="s" s="0">
        <v>83</v>
      </c>
      <c r="I83" t="s" s="0">
        <v>84</v>
      </c>
      <c r="J83" t="s" s="0">
        <v>2378</v>
      </c>
      <c r="K83" t="s" s="0">
        <v>2379</v>
      </c>
      <c r="L83" t="s" s="0">
        <v>83</v>
      </c>
      <c r="M83" t="s" s="0">
        <v>83</v>
      </c>
      <c r="N83" t="s" s="0">
        <v>83</v>
      </c>
      <c r="O83" t="s" s="0">
        <v>2380</v>
      </c>
      <c r="P83" t="s" s="0">
        <v>2381</v>
      </c>
      <c r="Q83" t="s" s="0">
        <v>92</v>
      </c>
      <c r="R83" t="s" s="0">
        <v>83</v>
      </c>
      <c r="S83" t="s" s="0">
        <v>83</v>
      </c>
      <c r="T83" t="s" s="0">
        <v>83</v>
      </c>
      <c r="U83" t="s" s="0">
        <v>83</v>
      </c>
      <c r="V83" t="s" s="0">
        <v>2382</v>
      </c>
      <c r="W83" t="s" s="0">
        <v>2383</v>
      </c>
      <c r="X83" t="s" s="0">
        <v>83</v>
      </c>
      <c r="Y83" t="s" s="0">
        <v>83</v>
      </c>
      <c r="Z83" t="s" s="0">
        <v>95</v>
      </c>
      <c r="AA83" t="s" s="0">
        <v>96</v>
      </c>
      <c r="AB83" t="s" s="0">
        <v>83</v>
      </c>
      <c r="AC83" t="s" s="0">
        <v>83</v>
      </c>
      <c r="AD83" t="s" s="0">
        <v>83</v>
      </c>
      <c r="AE83" t="s" s="0">
        <v>83</v>
      </c>
      <c r="AF83" t="s" s="0">
        <v>83</v>
      </c>
      <c r="AG83" t="s" s="0">
        <v>2384</v>
      </c>
      <c r="AH83" t="s" s="0">
        <v>2385</v>
      </c>
      <c r="AI83" t="s" s="0">
        <v>83</v>
      </c>
      <c r="AJ83" t="s" s="0">
        <v>83</v>
      </c>
      <c r="AK83" t="s" s="0">
        <v>83</v>
      </c>
      <c r="AL83" t="s" s="0">
        <v>201</v>
      </c>
      <c r="AM83" t="s" s="0">
        <v>231</v>
      </c>
      <c r="AN83" t="s" s="0">
        <v>148</v>
      </c>
      <c r="AO83" t="s" s="0">
        <v>115</v>
      </c>
      <c r="AP83" t="s" s="0">
        <v>281</v>
      </c>
      <c r="AQ83" t="s" s="0">
        <v>661</v>
      </c>
      <c r="AR83" t="s" s="0">
        <v>106</v>
      </c>
      <c r="AS83" t="s" s="0">
        <v>662</v>
      </c>
      <c r="AT83" t="s" s="0">
        <v>2386</v>
      </c>
      <c r="AU83" t="s" s="0">
        <v>2387</v>
      </c>
      <c r="AV83" t="s" s="0">
        <v>83</v>
      </c>
      <c r="AW83" t="s" s="0">
        <v>2388</v>
      </c>
      <c r="AX83" t="s" s="0">
        <v>2389</v>
      </c>
      <c r="AY83" t="s" s="0">
        <v>2390</v>
      </c>
      <c r="AZ83" t="s" s="0">
        <v>412</v>
      </c>
      <c r="BA83" t="s" s="0">
        <v>374</v>
      </c>
      <c r="BB83" t="s" s="0">
        <v>115</v>
      </c>
      <c r="BC83" t="s" s="0">
        <v>83</v>
      </c>
      <c r="BD83" t="s" s="0">
        <v>83</v>
      </c>
      <c r="BE83" t="s" s="0">
        <v>83</v>
      </c>
      <c r="BF83" t="s" s="0">
        <v>83</v>
      </c>
      <c r="BG83" t="s" s="0">
        <v>83</v>
      </c>
      <c r="BH83" t="s" s="0">
        <v>83</v>
      </c>
      <c r="BI83" t="s" s="0">
        <v>2391</v>
      </c>
      <c r="BJ83" t="s" s="0">
        <v>2392</v>
      </c>
      <c r="BK83" t="s" s="163">
        <f>HYPERLINK("http://dx.doi.org/10.1007/s11701-024-02009-2","http://dx.doi.org/10.1007/s11701-024-02009-2")</f>
        <v>2393</v>
      </c>
      <c r="BL83" t="s" s="0">
        <v>83</v>
      </c>
      <c r="BM83" t="s" s="0">
        <v>83</v>
      </c>
      <c r="BN83" t="s" s="0">
        <v>165</v>
      </c>
      <c r="BO83" t="s" s="0">
        <v>2111</v>
      </c>
      <c r="BP83" t="s" s="0">
        <v>2111</v>
      </c>
      <c r="BQ83" t="s" s="0">
        <v>2394</v>
      </c>
      <c r="BR83" t="s" s="0">
        <v>2395</v>
      </c>
      <c r="BS83" t="s" s="0">
        <v>2396</v>
      </c>
      <c r="BT83" t="s" s="164">
        <f>HYPERLINK("https://www.webofscience.com/wos/woscc/full-record/WOS:001249165800001","View Record in Web of Science")</f>
        <v>126</v>
      </c>
      <c r="BU83" t="s" s="0">
        <v>83</v>
      </c>
      <c r="BV83" t="s" s="0">
        <v>83</v>
      </c>
      <c r="BW83" t="s" s="0">
        <v>83</v>
      </c>
      <c r="BX83" t="s" s="0">
        <v>130</v>
      </c>
    </row>
    <row r="84">
      <c r="A84" t="s" s="0">
        <v>545</v>
      </c>
      <c r="B84" t="s" s="0">
        <v>78</v>
      </c>
      <c r="C84" t="s" s="0">
        <v>231</v>
      </c>
      <c r="D84" t="s" s="0">
        <v>150</v>
      </c>
      <c r="E84" t="s" s="0">
        <v>2397</v>
      </c>
      <c r="F84" t="s" s="0">
        <v>2398</v>
      </c>
      <c r="G84" t="s" s="0">
        <v>2399</v>
      </c>
      <c r="H84" t="s" s="0">
        <v>83</v>
      </c>
      <c r="I84" t="s" s="0">
        <v>84</v>
      </c>
      <c r="J84" t="s" s="0">
        <v>2400</v>
      </c>
      <c r="K84" t="s" s="0">
        <v>2401</v>
      </c>
      <c r="L84" t="s" s="0">
        <v>83</v>
      </c>
      <c r="M84" t="s" s="0">
        <v>83</v>
      </c>
      <c r="N84" t="s" s="0">
        <v>83</v>
      </c>
      <c r="O84" t="s" s="0">
        <v>2402</v>
      </c>
      <c r="P84" t="s" s="0">
        <v>2403</v>
      </c>
      <c r="Q84" t="s" s="0">
        <v>92</v>
      </c>
      <c r="R84" t="s" s="0">
        <v>83</v>
      </c>
      <c r="S84" t="s" s="0">
        <v>83</v>
      </c>
      <c r="T84" t="s" s="0">
        <v>83</v>
      </c>
      <c r="U84" t="s" s="0">
        <v>83</v>
      </c>
      <c r="V84" t="s" s="0">
        <v>2404</v>
      </c>
      <c r="W84" t="s" s="0">
        <v>2405</v>
      </c>
      <c r="X84" t="s" s="0">
        <v>83</v>
      </c>
      <c r="Y84" t="s" s="0">
        <v>83</v>
      </c>
      <c r="Z84" t="s" s="0">
        <v>95</v>
      </c>
      <c r="AA84" t="s" s="0">
        <v>96</v>
      </c>
      <c r="AB84" t="s" s="0">
        <v>83</v>
      </c>
      <c r="AC84" t="s" s="0">
        <v>83</v>
      </c>
      <c r="AD84" t="s" s="0">
        <v>83</v>
      </c>
      <c r="AE84" t="s" s="0">
        <v>83</v>
      </c>
      <c r="AF84" t="s" s="0">
        <v>83</v>
      </c>
      <c r="AG84" t="s" s="0">
        <v>2406</v>
      </c>
      <c r="AH84" t="s" s="0">
        <v>2407</v>
      </c>
      <c r="AI84" t="s" s="0">
        <v>2408</v>
      </c>
      <c r="AJ84" t="s" s="0">
        <v>2409</v>
      </c>
      <c r="AK84" t="s" s="0">
        <v>83</v>
      </c>
      <c r="AL84" t="s" s="0">
        <v>2410</v>
      </c>
      <c r="AM84" t="s" s="0">
        <v>470</v>
      </c>
      <c r="AN84" t="s" s="0">
        <v>1404</v>
      </c>
      <c r="AO84" t="s" s="0">
        <v>78</v>
      </c>
      <c r="AP84" t="s" s="0">
        <v>211</v>
      </c>
      <c r="AQ84" t="s" s="0">
        <v>105</v>
      </c>
      <c r="AR84" t="s" s="0">
        <v>106</v>
      </c>
      <c r="AS84" t="s" s="0">
        <v>107</v>
      </c>
      <c r="AT84" t="s" s="0">
        <v>2411</v>
      </c>
      <c r="AU84" t="s" s="0">
        <v>2412</v>
      </c>
      <c r="AV84" t="s" s="0">
        <v>83</v>
      </c>
      <c r="AW84" t="s" s="0">
        <v>2413</v>
      </c>
      <c r="AX84" t="s" s="0">
        <v>2414</v>
      </c>
      <c r="AY84" t="s" s="0">
        <v>2415</v>
      </c>
      <c r="AZ84" t="s" s="0">
        <v>785</v>
      </c>
      <c r="BA84" t="s" s="0">
        <v>413</v>
      </c>
      <c r="BB84" t="s" s="0">
        <v>150</v>
      </c>
      <c r="BC84" t="s" s="0">
        <v>83</v>
      </c>
      <c r="BD84" t="s" s="0">
        <v>83</v>
      </c>
      <c r="BE84" t="s" s="0">
        <v>83</v>
      </c>
      <c r="BF84" t="s" s="0">
        <v>83</v>
      </c>
      <c r="BG84" t="s" s="0">
        <v>2416</v>
      </c>
      <c r="BH84" t="s" s="0">
        <v>2417</v>
      </c>
      <c r="BI84" t="s" s="0">
        <v>83</v>
      </c>
      <c r="BJ84" t="s" s="0">
        <v>2418</v>
      </c>
      <c r="BK84" t="s" s="165">
        <f>HYPERLINK("http://dx.doi.org/10.1177/1358863X18821159","http://dx.doi.org/10.1177/1358863X18821159")</f>
        <v>2419</v>
      </c>
      <c r="BL84" t="s" s="0">
        <v>83</v>
      </c>
      <c r="BM84" t="s" s="0">
        <v>83</v>
      </c>
      <c r="BN84" t="s" s="0">
        <v>211</v>
      </c>
      <c r="BO84" t="s" s="0">
        <v>2420</v>
      </c>
      <c r="BP84" t="s" s="0">
        <v>1134</v>
      </c>
      <c r="BQ84" t="s" s="0">
        <v>2421</v>
      </c>
      <c r="BR84" t="s" s="0">
        <v>2422</v>
      </c>
      <c r="BS84" t="s" s="0">
        <v>2423</v>
      </c>
      <c r="BT84" t="s" s="166">
        <f>HYPERLINK("https://www.webofscience.com/wos/woscc/full-record/WOS:000463633200005","View Record in Web of Science")</f>
        <v>126</v>
      </c>
      <c r="BU84" t="s" s="0">
        <v>357</v>
      </c>
      <c r="BV84" t="s" s="0">
        <v>83</v>
      </c>
      <c r="BW84" t="s" s="0">
        <v>83</v>
      </c>
      <c r="BX84" t="s" s="0">
        <v>130</v>
      </c>
    </row>
    <row r="85">
      <c r="A85" t="s" s="0">
        <v>78</v>
      </c>
      <c r="B85" t="s" s="0">
        <v>78</v>
      </c>
      <c r="C85" t="s" s="0">
        <v>150</v>
      </c>
      <c r="D85" t="s" s="0">
        <v>78</v>
      </c>
      <c r="E85" t="s" s="0">
        <v>2424</v>
      </c>
      <c r="F85" t="s" s="0">
        <v>2425</v>
      </c>
      <c r="G85" t="s" s="0">
        <v>2426</v>
      </c>
      <c r="H85" t="s" s="0">
        <v>83</v>
      </c>
      <c r="I85" t="s" s="0">
        <v>84</v>
      </c>
      <c r="J85" t="s" s="0">
        <v>2427</v>
      </c>
      <c r="K85" t="s" s="0">
        <v>2428</v>
      </c>
      <c r="L85" t="s" s="0">
        <v>2429</v>
      </c>
      <c r="M85" t="s" s="0">
        <v>2430</v>
      </c>
      <c r="N85" t="s" s="0">
        <v>2431</v>
      </c>
      <c r="O85" t="s" s="0">
        <v>2432</v>
      </c>
      <c r="P85" t="s" s="0">
        <v>2433</v>
      </c>
      <c r="Q85" t="s" s="0">
        <v>92</v>
      </c>
      <c r="R85" t="s" s="0">
        <v>83</v>
      </c>
      <c r="S85" t="s" s="0">
        <v>83</v>
      </c>
      <c r="T85" t="s" s="0">
        <v>83</v>
      </c>
      <c r="U85" t="s" s="0">
        <v>83</v>
      </c>
      <c r="V85" t="s" s="0">
        <v>2434</v>
      </c>
      <c r="W85" t="s" s="0">
        <v>223</v>
      </c>
      <c r="X85" t="s" s="0">
        <v>83</v>
      </c>
      <c r="Y85" t="s" s="0">
        <v>83</v>
      </c>
      <c r="Z85" t="s" s="0">
        <v>95</v>
      </c>
      <c r="AA85" t="s" s="0">
        <v>96</v>
      </c>
      <c r="AB85" t="s" s="0">
        <v>83</v>
      </c>
      <c r="AC85" t="s" s="0">
        <v>83</v>
      </c>
      <c r="AD85" t="s" s="0">
        <v>83</v>
      </c>
      <c r="AE85" t="s" s="0">
        <v>83</v>
      </c>
      <c r="AF85" t="s" s="0">
        <v>83</v>
      </c>
      <c r="AG85" t="s" s="0">
        <v>2435</v>
      </c>
      <c r="AH85" t="s" s="0">
        <v>2436</v>
      </c>
      <c r="AI85" t="s" s="0">
        <v>2437</v>
      </c>
      <c r="AJ85" t="s" s="0">
        <v>2438</v>
      </c>
      <c r="AK85" t="s" s="0">
        <v>83</v>
      </c>
      <c r="AL85" t="s" s="0">
        <v>228</v>
      </c>
      <c r="AM85" t="s" s="0">
        <v>516</v>
      </c>
      <c r="AN85" t="s" s="0">
        <v>1873</v>
      </c>
      <c r="AO85" t="s" s="0">
        <v>281</v>
      </c>
      <c r="AP85" t="s" s="0">
        <v>310</v>
      </c>
      <c r="AQ85" t="s" s="0">
        <v>233</v>
      </c>
      <c r="AR85" t="s" s="0">
        <v>234</v>
      </c>
      <c r="AS85" t="s" s="0">
        <v>235</v>
      </c>
      <c r="AT85" t="s" s="0">
        <v>236</v>
      </c>
      <c r="AU85" t="s" s="0">
        <v>237</v>
      </c>
      <c r="AV85" t="s" s="0">
        <v>83</v>
      </c>
      <c r="AW85" t="s" s="0">
        <v>238</v>
      </c>
      <c r="AX85" t="s" s="0">
        <v>239</v>
      </c>
      <c r="AY85" t="s" s="0">
        <v>2439</v>
      </c>
      <c r="AZ85" t="s" s="0">
        <v>159</v>
      </c>
      <c r="BA85" t="s" s="0">
        <v>2440</v>
      </c>
      <c r="BB85" t="s" s="0">
        <v>83</v>
      </c>
      <c r="BC85" t="s" s="0">
        <v>83</v>
      </c>
      <c r="BD85" t="s" s="0">
        <v>83</v>
      </c>
      <c r="BE85" t="s" s="0">
        <v>83</v>
      </c>
      <c r="BF85" t="s" s="0">
        <v>83</v>
      </c>
      <c r="BG85" t="s" s="0">
        <v>83</v>
      </c>
      <c r="BH85" t="s" s="0">
        <v>83</v>
      </c>
      <c r="BI85" t="s" s="0">
        <v>2441</v>
      </c>
      <c r="BJ85" t="s" s="0">
        <v>2442</v>
      </c>
      <c r="BK85" t="s" s="167">
        <f>HYPERLINK("http://dx.doi.org/10.1016/j.jclinepi.2025.111675","http://dx.doi.org/10.1016/j.jclinepi.2025.111675")</f>
        <v>2443</v>
      </c>
      <c r="BL85" t="s" s="0">
        <v>83</v>
      </c>
      <c r="BM85" t="s" s="0">
        <v>1102</v>
      </c>
      <c r="BN85" t="s" s="0">
        <v>417</v>
      </c>
      <c r="BO85" t="s" s="0">
        <v>249</v>
      </c>
      <c r="BP85" t="s" s="0">
        <v>249</v>
      </c>
      <c r="BQ85" t="s" s="0">
        <v>2444</v>
      </c>
      <c r="BR85" t="s" s="0">
        <v>2445</v>
      </c>
      <c r="BS85" t="s" s="0">
        <v>2446</v>
      </c>
      <c r="BT85" t="s" s="168">
        <f>HYPERLINK("https://www.webofscience.com/wos/woscc/full-record/WOS:001419734400001","View Record in Web of Science")</f>
        <v>126</v>
      </c>
      <c r="BU85" t="s" s="0">
        <v>2447</v>
      </c>
      <c r="BV85" t="s" s="0">
        <v>128</v>
      </c>
      <c r="BW85" t="s" s="0">
        <v>129</v>
      </c>
      <c r="BX85" t="s" s="0">
        <v>130</v>
      </c>
    </row>
    <row r="86">
      <c r="A86" t="s" s="0">
        <v>78</v>
      </c>
      <c r="B86" t="s" s="0">
        <v>78</v>
      </c>
      <c r="C86" t="s" s="0">
        <v>78</v>
      </c>
      <c r="D86" t="s" s="0">
        <v>78</v>
      </c>
      <c r="E86" t="s" s="0">
        <v>2448</v>
      </c>
      <c r="F86" t="s" s="0">
        <v>2449</v>
      </c>
      <c r="G86" t="s" s="0">
        <v>2450</v>
      </c>
      <c r="H86" t="s" s="0">
        <v>83</v>
      </c>
      <c r="I86" t="s" s="0">
        <v>84</v>
      </c>
      <c r="J86" t="s" s="0">
        <v>2451</v>
      </c>
      <c r="K86" t="s" s="0">
        <v>2452</v>
      </c>
      <c r="L86" t="s" s="0">
        <v>2453</v>
      </c>
      <c r="M86" t="s" s="0">
        <v>2454</v>
      </c>
      <c r="N86" t="s" s="0">
        <v>2455</v>
      </c>
      <c r="O86" t="s" s="0">
        <v>2456</v>
      </c>
      <c r="P86" t="s" s="0">
        <v>2457</v>
      </c>
      <c r="Q86" t="s" s="0">
        <v>92</v>
      </c>
      <c r="R86" t="s" s="0">
        <v>83</v>
      </c>
      <c r="S86" t="s" s="0">
        <v>83</v>
      </c>
      <c r="T86" t="s" s="0">
        <v>83</v>
      </c>
      <c r="U86" t="s" s="0">
        <v>83</v>
      </c>
      <c r="V86" t="s" s="0">
        <v>2458</v>
      </c>
      <c r="W86" t="s" s="0">
        <v>223</v>
      </c>
      <c r="X86" t="s" s="0">
        <v>83</v>
      </c>
      <c r="Y86" t="s" s="0">
        <v>83</v>
      </c>
      <c r="Z86" t="s" s="0">
        <v>95</v>
      </c>
      <c r="AA86" t="s" s="0">
        <v>96</v>
      </c>
      <c r="AB86" t="s" s="0">
        <v>83</v>
      </c>
      <c r="AC86" t="s" s="0">
        <v>83</v>
      </c>
      <c r="AD86" t="s" s="0">
        <v>83</v>
      </c>
      <c r="AE86" t="s" s="0">
        <v>83</v>
      </c>
      <c r="AF86" t="s" s="0">
        <v>83</v>
      </c>
      <c r="AG86" t="s" s="0">
        <v>2459</v>
      </c>
      <c r="AH86" t="s" s="0">
        <v>2460</v>
      </c>
      <c r="AI86" t="s" s="0">
        <v>83</v>
      </c>
      <c r="AJ86" t="s" s="0">
        <v>83</v>
      </c>
      <c r="AK86" t="s" s="0">
        <v>83</v>
      </c>
      <c r="AL86" t="s" s="0">
        <v>535</v>
      </c>
      <c r="AM86" t="s" s="0">
        <v>78</v>
      </c>
      <c r="AN86" t="s" s="0">
        <v>78</v>
      </c>
      <c r="AO86" t="s" s="0">
        <v>150</v>
      </c>
      <c r="AP86" t="s" s="0">
        <v>77</v>
      </c>
      <c r="AQ86" t="s" s="0">
        <v>233</v>
      </c>
      <c r="AR86" t="s" s="0">
        <v>234</v>
      </c>
      <c r="AS86" t="s" s="0">
        <v>235</v>
      </c>
      <c r="AT86" t="s" s="0">
        <v>236</v>
      </c>
      <c r="AU86" t="s" s="0">
        <v>237</v>
      </c>
      <c r="AV86" t="s" s="0">
        <v>83</v>
      </c>
      <c r="AW86" t="s" s="0">
        <v>238</v>
      </c>
      <c r="AX86" t="s" s="0">
        <v>239</v>
      </c>
      <c r="AY86" t="s" s="0">
        <v>158</v>
      </c>
      <c r="AZ86" t="s" s="0">
        <v>159</v>
      </c>
      <c r="BA86" t="s" s="0">
        <v>2461</v>
      </c>
      <c r="BB86" t="s" s="0">
        <v>83</v>
      </c>
      <c r="BC86" t="s" s="0">
        <v>83</v>
      </c>
      <c r="BD86" t="s" s="0">
        <v>83</v>
      </c>
      <c r="BE86" t="s" s="0">
        <v>83</v>
      </c>
      <c r="BF86" t="s" s="0">
        <v>83</v>
      </c>
      <c r="BG86" t="s" s="0">
        <v>83</v>
      </c>
      <c r="BH86" t="s" s="0">
        <v>83</v>
      </c>
      <c r="BI86" t="s" s="0">
        <v>2462</v>
      </c>
      <c r="BJ86" t="s" s="0">
        <v>2463</v>
      </c>
      <c r="BK86" t="s" s="169">
        <f>HYPERLINK("http://dx.doi.org/10.1016/j.jclinepi.2025.111763","http://dx.doi.org/10.1016/j.jclinepi.2025.111763")</f>
        <v>2464</v>
      </c>
      <c r="BL86" t="s" s="0">
        <v>83</v>
      </c>
      <c r="BM86" t="s" s="0">
        <v>2439</v>
      </c>
      <c r="BN86" t="s" s="0">
        <v>120</v>
      </c>
      <c r="BO86" t="s" s="0">
        <v>249</v>
      </c>
      <c r="BP86" t="s" s="0">
        <v>249</v>
      </c>
      <c r="BQ86" t="s" s="0">
        <v>2465</v>
      </c>
      <c r="BR86" t="s" s="0">
        <v>2466</v>
      </c>
      <c r="BS86" t="s" s="0">
        <v>2467</v>
      </c>
      <c r="BT86" t="s" s="170">
        <f>HYPERLINK("https://www.webofscience.com/wos/woscc/full-record/WOS:001469404200001","View Record in Web of Science")</f>
        <v>126</v>
      </c>
      <c r="BU86" t="s" s="0">
        <v>83</v>
      </c>
      <c r="BV86" t="s" s="0">
        <v>83</v>
      </c>
      <c r="BW86" t="s" s="0">
        <v>83</v>
      </c>
      <c r="BX86" t="s" s="0">
        <v>130</v>
      </c>
    </row>
    <row r="87">
      <c r="A87" t="s" s="0">
        <v>78</v>
      </c>
      <c r="B87" t="s" s="0">
        <v>78</v>
      </c>
      <c r="C87" t="s" s="0">
        <v>150</v>
      </c>
      <c r="D87" t="s" s="0">
        <v>78</v>
      </c>
      <c r="E87" t="s" s="0">
        <v>2468</v>
      </c>
      <c r="F87" t="s" s="0">
        <v>2469</v>
      </c>
      <c r="G87" t="s" s="0">
        <v>2470</v>
      </c>
      <c r="H87" t="s" s="0">
        <v>83</v>
      </c>
      <c r="I87" t="s" s="0">
        <v>84</v>
      </c>
      <c r="J87" t="s" s="0">
        <v>2471</v>
      </c>
      <c r="K87" t="s" s="0">
        <v>2472</v>
      </c>
      <c r="L87" t="s" s="0">
        <v>2473</v>
      </c>
      <c r="M87" t="s" s="0">
        <v>2474</v>
      </c>
      <c r="N87" t="s" s="0">
        <v>2475</v>
      </c>
      <c r="O87" t="s" s="0">
        <v>2476</v>
      </c>
      <c r="P87" t="s" s="0">
        <v>2477</v>
      </c>
      <c r="Q87" t="s" s="0">
        <v>92</v>
      </c>
      <c r="R87" t="s" s="0">
        <v>83</v>
      </c>
      <c r="S87" t="s" s="0">
        <v>83</v>
      </c>
      <c r="T87" t="s" s="0">
        <v>83</v>
      </c>
      <c r="U87" t="s" s="0">
        <v>83</v>
      </c>
      <c r="V87" t="s" s="0">
        <v>2478</v>
      </c>
      <c r="W87" t="s" s="0">
        <v>2479</v>
      </c>
      <c r="X87" t="s" s="0">
        <v>83</v>
      </c>
      <c r="Y87" t="s" s="0">
        <v>83</v>
      </c>
      <c r="Z87" t="s" s="0">
        <v>95</v>
      </c>
      <c r="AA87" t="s" s="0">
        <v>96</v>
      </c>
      <c r="AB87" t="s" s="0">
        <v>83</v>
      </c>
      <c r="AC87" t="s" s="0">
        <v>83</v>
      </c>
      <c r="AD87" t="s" s="0">
        <v>83</v>
      </c>
      <c r="AE87" t="s" s="0">
        <v>83</v>
      </c>
      <c r="AF87" t="s" s="0">
        <v>83</v>
      </c>
      <c r="AG87" t="s" s="0">
        <v>2480</v>
      </c>
      <c r="AH87" t="s" s="0">
        <v>2481</v>
      </c>
      <c r="AI87" t="s" s="0">
        <v>2482</v>
      </c>
      <c r="AJ87" t="s" s="0">
        <v>2483</v>
      </c>
      <c r="AK87" t="s" s="0">
        <v>83</v>
      </c>
      <c r="AL87" t="s" s="0">
        <v>471</v>
      </c>
      <c r="AM87" t="s" s="0">
        <v>148</v>
      </c>
      <c r="AN87" t="s" s="0">
        <v>148</v>
      </c>
      <c r="AO87" t="s" s="0">
        <v>150</v>
      </c>
      <c r="AP87" t="s" s="0">
        <v>231</v>
      </c>
      <c r="AQ87" t="s" s="0">
        <v>2362</v>
      </c>
      <c r="AR87" t="s" s="0">
        <v>234</v>
      </c>
      <c r="AS87" t="s" s="0">
        <v>2363</v>
      </c>
      <c r="AT87" t="s" s="0">
        <v>2484</v>
      </c>
      <c r="AU87" t="s" s="0">
        <v>2485</v>
      </c>
      <c r="AV87" t="s" s="0">
        <v>83</v>
      </c>
      <c r="AW87" t="s" s="0">
        <v>2486</v>
      </c>
      <c r="AX87" t="s" s="0">
        <v>2487</v>
      </c>
      <c r="AY87" t="s" s="0">
        <v>2488</v>
      </c>
      <c r="AZ87" t="s" s="0">
        <v>317</v>
      </c>
      <c r="BA87" t="s" s="0">
        <v>202</v>
      </c>
      <c r="BB87" t="s" s="0">
        <v>2489</v>
      </c>
      <c r="BC87" t="s" s="0">
        <v>83</v>
      </c>
      <c r="BD87" t="s" s="0">
        <v>83</v>
      </c>
      <c r="BE87" t="s" s="0">
        <v>83</v>
      </c>
      <c r="BF87" t="s" s="0">
        <v>83</v>
      </c>
      <c r="BG87" t="s" s="0">
        <v>2490</v>
      </c>
      <c r="BH87" t="s" s="0">
        <v>2491</v>
      </c>
      <c r="BI87" t="s" s="0">
        <v>83</v>
      </c>
      <c r="BJ87" t="s" s="0">
        <v>2492</v>
      </c>
      <c r="BK87" t="s" s="171">
        <f>HYPERLINK("http://dx.doi.org/10.1055/s-0041-1723778","http://dx.doi.org/10.1055/s-0041-1723778")</f>
        <v>2493</v>
      </c>
      <c r="BL87" t="s" s="0">
        <v>83</v>
      </c>
      <c r="BM87" t="s" s="0">
        <v>1628</v>
      </c>
      <c r="BN87" t="s" s="0">
        <v>281</v>
      </c>
      <c r="BO87" t="s" s="0">
        <v>1164</v>
      </c>
      <c r="BP87" t="s" s="0">
        <v>1164</v>
      </c>
      <c r="BQ87" t="s" s="0">
        <v>2494</v>
      </c>
      <c r="BR87" t="s" s="0">
        <v>2495</v>
      </c>
      <c r="BS87" t="s" s="0">
        <v>2496</v>
      </c>
      <c r="BT87" t="s" s="172">
        <f>HYPERLINK("https://www.webofscience.com/wos/woscc/full-record/WOS:000623521400002","View Record in Web of Science")</f>
        <v>126</v>
      </c>
      <c r="BU87" t="s" s="0">
        <v>83</v>
      </c>
      <c r="BV87" t="s" s="0">
        <v>83</v>
      </c>
      <c r="BW87" t="s" s="0">
        <v>83</v>
      </c>
      <c r="BX87" t="s" s="0">
        <v>130</v>
      </c>
    </row>
    <row r="88">
      <c r="A88" t="s" s="0">
        <v>150</v>
      </c>
      <c r="B88" t="s" s="0">
        <v>78</v>
      </c>
      <c r="C88" t="s" s="0">
        <v>281</v>
      </c>
      <c r="D88" t="s" s="0">
        <v>78</v>
      </c>
      <c r="E88" t="s" s="0">
        <v>2497</v>
      </c>
      <c r="F88" t="s" s="0">
        <v>2498</v>
      </c>
      <c r="G88" t="s" s="0">
        <v>2499</v>
      </c>
      <c r="H88" t="s" s="0">
        <v>83</v>
      </c>
      <c r="I88" t="s" s="0">
        <v>84</v>
      </c>
      <c r="J88" t="s" s="0">
        <v>2500</v>
      </c>
      <c r="K88" t="s" s="0">
        <v>2501</v>
      </c>
      <c r="L88" t="s" s="0">
        <v>2502</v>
      </c>
      <c r="M88" t="s" s="0">
        <v>2503</v>
      </c>
      <c r="N88" t="s" s="0">
        <v>2504</v>
      </c>
      <c r="O88" t="s" s="0">
        <v>2505</v>
      </c>
      <c r="P88" t="s" s="0">
        <v>2506</v>
      </c>
      <c r="Q88" t="s" s="0">
        <v>92</v>
      </c>
      <c r="R88" t="s" s="0">
        <v>83</v>
      </c>
      <c r="S88" t="s" s="0">
        <v>83</v>
      </c>
      <c r="T88" t="s" s="0">
        <v>83</v>
      </c>
      <c r="U88" t="s" s="0">
        <v>83</v>
      </c>
      <c r="V88" t="s" s="0">
        <v>2507</v>
      </c>
      <c r="W88" t="s" s="0">
        <v>2508</v>
      </c>
      <c r="X88" t="s" s="0">
        <v>83</v>
      </c>
      <c r="Y88" t="s" s="0">
        <v>83</v>
      </c>
      <c r="Z88" t="s" s="0">
        <v>95</v>
      </c>
      <c r="AA88" t="s" s="0">
        <v>96</v>
      </c>
      <c r="AB88" t="s" s="0">
        <v>83</v>
      </c>
      <c r="AC88" t="s" s="0">
        <v>83</v>
      </c>
      <c r="AD88" t="s" s="0">
        <v>83</v>
      </c>
      <c r="AE88" t="s" s="0">
        <v>83</v>
      </c>
      <c r="AF88" t="s" s="0">
        <v>83</v>
      </c>
      <c r="AG88" t="s" s="0">
        <v>83</v>
      </c>
      <c r="AH88" t="s" s="0">
        <v>2509</v>
      </c>
      <c r="AI88" t="s" s="0">
        <v>2510</v>
      </c>
      <c r="AJ88" t="s" s="0">
        <v>2511</v>
      </c>
      <c r="AK88" t="s" s="0">
        <v>83</v>
      </c>
      <c r="AL88" t="s" s="0">
        <v>202</v>
      </c>
      <c r="AM88" t="s" s="0">
        <v>149</v>
      </c>
      <c r="AN88" t="s" s="0">
        <v>211</v>
      </c>
      <c r="AO88" t="s" s="0">
        <v>115</v>
      </c>
      <c r="AP88" t="s" s="0">
        <v>281</v>
      </c>
      <c r="AQ88" t="s" s="0">
        <v>2512</v>
      </c>
      <c r="AR88" t="s" s="0">
        <v>2513</v>
      </c>
      <c r="AS88" t="s" s="0">
        <v>2514</v>
      </c>
      <c r="AT88" t="s" s="0">
        <v>2515</v>
      </c>
      <c r="AU88" t="s" s="0">
        <v>2516</v>
      </c>
      <c r="AV88" t="s" s="0">
        <v>83</v>
      </c>
      <c r="AW88" t="s" s="0">
        <v>2517</v>
      </c>
      <c r="AX88" t="s" s="0">
        <v>2518</v>
      </c>
      <c r="AY88" t="s" s="0">
        <v>2519</v>
      </c>
      <c r="AZ88" t="s" s="0">
        <v>241</v>
      </c>
      <c r="BA88" t="s" s="0">
        <v>1873</v>
      </c>
      <c r="BB88" t="s" s="0">
        <v>2520</v>
      </c>
      <c r="BC88" t="s" s="0">
        <v>83</v>
      </c>
      <c r="BD88" t="s" s="0">
        <v>83</v>
      </c>
      <c r="BE88" t="s" s="0">
        <v>83</v>
      </c>
      <c r="BF88" t="s" s="0">
        <v>83</v>
      </c>
      <c r="BG88" t="s" s="0">
        <v>83</v>
      </c>
      <c r="BH88" t="s" s="0">
        <v>83</v>
      </c>
      <c r="BI88" t="s" s="0">
        <v>2521</v>
      </c>
      <c r="BJ88" t="s" s="0">
        <v>2522</v>
      </c>
      <c r="BK88" t="s" s="173">
        <f>HYPERLINK("http://dx.doi.org/10.1183/16000617.0021-2023","http://dx.doi.org/10.1183/16000617.0021-2023")</f>
        <v>2523</v>
      </c>
      <c r="BL88" t="s" s="0">
        <v>83</v>
      </c>
      <c r="BM88" t="s" s="0">
        <v>83</v>
      </c>
      <c r="BN88" t="s" s="0">
        <v>248</v>
      </c>
      <c r="BO88" t="s" s="0">
        <v>2248</v>
      </c>
      <c r="BP88" t="s" s="0">
        <v>2248</v>
      </c>
      <c r="BQ88" t="s" s="0">
        <v>2524</v>
      </c>
      <c r="BR88" t="s" s="0">
        <v>2525</v>
      </c>
      <c r="BS88" t="s" s="0">
        <v>2526</v>
      </c>
      <c r="BT88" t="s" s="174">
        <f>HYPERLINK("https://www.webofscience.com/wos/woscc/full-record/WOS:001014958900003","View Record in Web of Science")</f>
        <v>126</v>
      </c>
      <c r="BU88" t="s" s="0">
        <v>210</v>
      </c>
      <c r="BV88" t="s" s="0">
        <v>83</v>
      </c>
      <c r="BW88" t="s" s="0">
        <v>83</v>
      </c>
      <c r="BX88" t="s" s="0">
        <v>130</v>
      </c>
    </row>
    <row r="89">
      <c r="A89" t="s" s="0">
        <v>78</v>
      </c>
      <c r="B89" t="s" s="0">
        <v>78</v>
      </c>
      <c r="C89" t="s" s="0">
        <v>78</v>
      </c>
      <c r="D89" t="s" s="0">
        <v>78</v>
      </c>
      <c r="E89" t="s" s="0">
        <v>2527</v>
      </c>
      <c r="F89" t="s" s="0">
        <v>2528</v>
      </c>
      <c r="G89" t="s" s="0">
        <v>2529</v>
      </c>
      <c r="H89" t="s" s="0">
        <v>83</v>
      </c>
      <c r="I89" t="s" s="0">
        <v>84</v>
      </c>
      <c r="J89" t="s" s="0">
        <v>2530</v>
      </c>
      <c r="K89" t="s" s="0">
        <v>2531</v>
      </c>
      <c r="L89" t="s" s="0">
        <v>83</v>
      </c>
      <c r="M89" t="s" s="0">
        <v>83</v>
      </c>
      <c r="N89" t="s" s="0">
        <v>83</v>
      </c>
      <c r="O89" t="s" s="0">
        <v>2532</v>
      </c>
      <c r="P89" t="s" s="0">
        <v>2533</v>
      </c>
      <c r="Q89" t="s" s="0">
        <v>92</v>
      </c>
      <c r="R89" t="s" s="0">
        <v>83</v>
      </c>
      <c r="S89" t="s" s="0">
        <v>83</v>
      </c>
      <c r="T89" t="s" s="0">
        <v>83</v>
      </c>
      <c r="U89" t="s" s="0">
        <v>83</v>
      </c>
      <c r="V89" t="s" s="0">
        <v>2534</v>
      </c>
      <c r="W89" t="s" s="0">
        <v>2535</v>
      </c>
      <c r="X89" t="s" s="0">
        <v>83</v>
      </c>
      <c r="Y89" t="s" s="0">
        <v>83</v>
      </c>
      <c r="Z89" t="s" s="0">
        <v>95</v>
      </c>
      <c r="AA89" t="s" s="0">
        <v>96</v>
      </c>
      <c r="AB89" t="s" s="0">
        <v>83</v>
      </c>
      <c r="AC89" t="s" s="0">
        <v>83</v>
      </c>
      <c r="AD89" t="s" s="0">
        <v>83</v>
      </c>
      <c r="AE89" t="s" s="0">
        <v>83</v>
      </c>
      <c r="AF89" t="s" s="0">
        <v>83</v>
      </c>
      <c r="AG89" t="s" s="0">
        <v>2536</v>
      </c>
      <c r="AH89" t="s" s="0">
        <v>2537</v>
      </c>
      <c r="AI89" t="s" s="0">
        <v>83</v>
      </c>
      <c r="AJ89" t="s" s="0">
        <v>83</v>
      </c>
      <c r="AK89" t="s" s="0">
        <v>83</v>
      </c>
      <c r="AL89" t="s" s="0">
        <v>1979</v>
      </c>
      <c r="AM89" t="s" s="0">
        <v>78</v>
      </c>
      <c r="AN89" t="s" s="0">
        <v>78</v>
      </c>
      <c r="AO89" t="s" s="0">
        <v>78</v>
      </c>
      <c r="AP89" t="s" s="0">
        <v>78</v>
      </c>
      <c r="AQ89" t="s" s="0">
        <v>1396</v>
      </c>
      <c r="AR89" t="s" s="0">
        <v>1091</v>
      </c>
      <c r="AS89" t="s" s="0">
        <v>1397</v>
      </c>
      <c r="AT89" t="s" s="0">
        <v>2538</v>
      </c>
      <c r="AU89" t="s" s="0">
        <v>2539</v>
      </c>
      <c r="AV89" t="s" s="0">
        <v>83</v>
      </c>
      <c r="AW89" t="s" s="0">
        <v>2540</v>
      </c>
      <c r="AX89" t="s" s="0">
        <v>2541</v>
      </c>
      <c r="AY89" t="s" s="0">
        <v>2542</v>
      </c>
      <c r="AZ89" t="s" s="0">
        <v>511</v>
      </c>
      <c r="BA89" t="s" s="0">
        <v>160</v>
      </c>
      <c r="BB89" t="s" s="0">
        <v>149</v>
      </c>
      <c r="BC89" t="s" s="0">
        <v>83</v>
      </c>
      <c r="BD89" t="s" s="0">
        <v>83</v>
      </c>
      <c r="BE89" t="s" s="0">
        <v>83</v>
      </c>
      <c r="BF89" t="s" s="0">
        <v>83</v>
      </c>
      <c r="BG89" t="s" s="0">
        <v>2543</v>
      </c>
      <c r="BH89" t="s" s="0">
        <v>2544</v>
      </c>
      <c r="BI89" t="s" s="0">
        <v>83</v>
      </c>
      <c r="BJ89" t="s" s="0">
        <v>2545</v>
      </c>
      <c r="BK89" t="s" s="175">
        <f>HYPERLINK("http://dx.doi.org/10.1097/CCM.0000000000007206","http://dx.doi.org/10.1097/CCM.0000000000007206")</f>
        <v>2546</v>
      </c>
      <c r="BL89" t="s" s="0">
        <v>83</v>
      </c>
      <c r="BM89" t="s" s="0">
        <v>83</v>
      </c>
      <c r="BN89" t="s" s="0">
        <v>248</v>
      </c>
      <c r="BO89" t="s" s="0">
        <v>2547</v>
      </c>
      <c r="BP89" t="s" s="0">
        <v>670</v>
      </c>
      <c r="BQ89" t="s" s="0">
        <v>2548</v>
      </c>
      <c r="BR89" t="s" s="0">
        <v>2549</v>
      </c>
      <c r="BS89" t="s" s="0">
        <v>2550</v>
      </c>
      <c r="BT89" t="s" s="176">
        <f>HYPERLINK("https://www.webofscience.com/wos/woscc/full-record/WOS:001842424800014","View Record in Web of Science")</f>
        <v>126</v>
      </c>
      <c r="BU89" t="s" s="0">
        <v>83</v>
      </c>
      <c r="BV89" t="s" s="0">
        <v>83</v>
      </c>
      <c r="BW89" t="s" s="0">
        <v>83</v>
      </c>
      <c r="BX89" t="s" s="0">
        <v>130</v>
      </c>
    </row>
    <row r="90">
      <c r="A90" t="s" s="0">
        <v>78</v>
      </c>
      <c r="B90" t="s" s="0">
        <v>78</v>
      </c>
      <c r="C90" t="s" s="0">
        <v>115</v>
      </c>
      <c r="D90" t="s" s="0">
        <v>78</v>
      </c>
      <c r="E90" t="s" s="0">
        <v>2551</v>
      </c>
      <c r="F90" t="s" s="0">
        <v>2552</v>
      </c>
      <c r="G90" t="s" s="0">
        <v>2553</v>
      </c>
      <c r="H90" t="s" s="0">
        <v>83</v>
      </c>
      <c r="I90" t="s" s="0">
        <v>174</v>
      </c>
      <c r="J90" t="s" s="0">
        <v>2554</v>
      </c>
      <c r="K90" t="s" s="0">
        <v>2555</v>
      </c>
      <c r="L90" t="s" s="0">
        <v>83</v>
      </c>
      <c r="M90" t="s" s="0">
        <v>83</v>
      </c>
      <c r="N90" t="s" s="0">
        <v>83</v>
      </c>
      <c r="O90" t="s" s="0">
        <v>2556</v>
      </c>
      <c r="P90" t="s" s="0">
        <v>2557</v>
      </c>
      <c r="Q90" t="s" s="0">
        <v>92</v>
      </c>
      <c r="R90" t="s" s="0">
        <v>83</v>
      </c>
      <c r="S90" t="s" s="0">
        <v>83</v>
      </c>
      <c r="T90" t="s" s="0">
        <v>83</v>
      </c>
      <c r="U90" t="s" s="0">
        <v>83</v>
      </c>
      <c r="V90" t="s" s="0">
        <v>2558</v>
      </c>
      <c r="W90" t="s" s="0">
        <v>2559</v>
      </c>
      <c r="X90" t="s" s="0">
        <v>83</v>
      </c>
      <c r="Y90" t="s" s="0">
        <v>83</v>
      </c>
      <c r="Z90" t="s" s="0">
        <v>95</v>
      </c>
      <c r="AA90" t="s" s="0">
        <v>96</v>
      </c>
      <c r="AB90" t="s" s="0">
        <v>83</v>
      </c>
      <c r="AC90" t="s" s="0">
        <v>83</v>
      </c>
      <c r="AD90" t="s" s="0">
        <v>83</v>
      </c>
      <c r="AE90" t="s" s="0">
        <v>83</v>
      </c>
      <c r="AF90" t="s" s="0">
        <v>83</v>
      </c>
      <c r="AG90" t="s" s="0">
        <v>2560</v>
      </c>
      <c r="AH90" t="s" s="0">
        <v>2561</v>
      </c>
      <c r="AI90" t="s" s="0">
        <v>83</v>
      </c>
      <c r="AJ90" t="s" s="0">
        <v>83</v>
      </c>
      <c r="AK90" t="s" s="0">
        <v>83</v>
      </c>
      <c r="AL90" t="s" s="0">
        <v>882</v>
      </c>
      <c r="AM90" t="s" s="0">
        <v>281</v>
      </c>
      <c r="AN90" t="s" s="0">
        <v>149</v>
      </c>
      <c r="AO90" t="s" s="0">
        <v>78</v>
      </c>
      <c r="AP90" t="s" s="0">
        <v>150</v>
      </c>
      <c r="AQ90" t="s" s="0">
        <v>2562</v>
      </c>
      <c r="AR90" t="s" s="0">
        <v>2563</v>
      </c>
      <c r="AS90" t="s" s="0">
        <v>2564</v>
      </c>
      <c r="AT90" t="s" s="0">
        <v>2565</v>
      </c>
      <c r="AU90" t="s" s="0">
        <v>2566</v>
      </c>
      <c r="AV90" t="s" s="0">
        <v>83</v>
      </c>
      <c r="AW90" t="s" s="0">
        <v>2567</v>
      </c>
      <c r="AX90" t="s" s="0">
        <v>2568</v>
      </c>
      <c r="AY90" t="s" s="0">
        <v>1849</v>
      </c>
      <c r="AZ90" t="s" s="0">
        <v>412</v>
      </c>
      <c r="BA90" t="s" s="0">
        <v>165</v>
      </c>
      <c r="BB90" t="s" s="0">
        <v>115</v>
      </c>
      <c r="BC90" t="s" s="0">
        <v>83</v>
      </c>
      <c r="BD90" t="s" s="0">
        <v>83</v>
      </c>
      <c r="BE90" t="s" s="0">
        <v>83</v>
      </c>
      <c r="BF90" t="s" s="0">
        <v>83</v>
      </c>
      <c r="BG90" t="s" s="0">
        <v>83</v>
      </c>
      <c r="BH90" t="s" s="0">
        <v>83</v>
      </c>
      <c r="BI90" t="s" s="0">
        <v>2569</v>
      </c>
      <c r="BJ90" t="s" s="0">
        <v>2570</v>
      </c>
      <c r="BK90" t="s" s="177">
        <f>HYPERLINK("http://dx.doi.org/10.15212/CVIA.2023.0083","http://dx.doi.org/10.15212/CVIA.2023.0083")</f>
        <v>2571</v>
      </c>
      <c r="BL90" t="s" s="0">
        <v>83</v>
      </c>
      <c r="BM90" t="s" s="0">
        <v>83</v>
      </c>
      <c r="BN90" t="s" s="0">
        <v>211</v>
      </c>
      <c r="BO90" t="s" s="0">
        <v>1133</v>
      </c>
      <c r="BP90" t="s" s="0">
        <v>1134</v>
      </c>
      <c r="BQ90" t="s" s="0">
        <v>2572</v>
      </c>
      <c r="BR90" t="s" s="0">
        <v>83</v>
      </c>
      <c r="BS90" t="s" s="0">
        <v>2573</v>
      </c>
      <c r="BT90" t="s" s="178">
        <f>HYPERLINK("https://www.webofscience.com/wos/woscc/full-record/WOS:001159327700001","View Record in Web of Science")</f>
        <v>126</v>
      </c>
      <c r="BU90" t="s" s="0">
        <v>210</v>
      </c>
      <c r="BV90" t="s" s="0">
        <v>83</v>
      </c>
      <c r="BW90" t="s" s="0">
        <v>83</v>
      </c>
      <c r="BX90" t="s" s="0">
        <v>130</v>
      </c>
    </row>
    <row r="91">
      <c r="A91" t="s" s="0">
        <v>78</v>
      </c>
      <c r="B91" t="s" s="0">
        <v>78</v>
      </c>
      <c r="C91" t="s" s="0">
        <v>150</v>
      </c>
      <c r="D91" t="s" s="0">
        <v>78</v>
      </c>
      <c r="E91" t="s" s="0">
        <v>2574</v>
      </c>
      <c r="F91" t="s" s="0">
        <v>2575</v>
      </c>
      <c r="G91" t="s" s="0">
        <v>2576</v>
      </c>
      <c r="H91" t="s" s="0">
        <v>83</v>
      </c>
      <c r="I91" t="s" s="0">
        <v>84</v>
      </c>
      <c r="J91" t="s" s="0">
        <v>2577</v>
      </c>
      <c r="K91" t="s" s="0">
        <v>2578</v>
      </c>
      <c r="L91" t="s" s="0">
        <v>2579</v>
      </c>
      <c r="M91" t="s" s="0">
        <v>2579</v>
      </c>
      <c r="N91" t="s" s="0">
        <v>2580</v>
      </c>
      <c r="O91" t="s" s="0">
        <v>2581</v>
      </c>
      <c r="P91" t="s" s="0">
        <v>2582</v>
      </c>
      <c r="Q91" t="s" s="0">
        <v>92</v>
      </c>
      <c r="R91" t="s" s="0">
        <v>83</v>
      </c>
      <c r="S91" t="s" s="0">
        <v>83</v>
      </c>
      <c r="T91" t="s" s="0">
        <v>83</v>
      </c>
      <c r="U91" t="s" s="0">
        <v>83</v>
      </c>
      <c r="V91" t="s" s="0">
        <v>2583</v>
      </c>
      <c r="W91" t="s" s="0">
        <v>2584</v>
      </c>
      <c r="X91" t="s" s="0">
        <v>83</v>
      </c>
      <c r="Y91" t="s" s="0">
        <v>83</v>
      </c>
      <c r="Z91" t="s" s="0">
        <v>95</v>
      </c>
      <c r="AA91" t="s" s="0">
        <v>96</v>
      </c>
      <c r="AB91" t="s" s="0">
        <v>83</v>
      </c>
      <c r="AC91" t="s" s="0">
        <v>83</v>
      </c>
      <c r="AD91" t="s" s="0">
        <v>83</v>
      </c>
      <c r="AE91" t="s" s="0">
        <v>83</v>
      </c>
      <c r="AF91" t="s" s="0">
        <v>83</v>
      </c>
      <c r="AG91" t="s" s="0">
        <v>2585</v>
      </c>
      <c r="AH91" t="s" s="0">
        <v>2586</v>
      </c>
      <c r="AI91" t="s" s="0">
        <v>83</v>
      </c>
      <c r="AJ91" t="s" s="0">
        <v>83</v>
      </c>
      <c r="AK91" t="s" s="0">
        <v>83</v>
      </c>
      <c r="AL91" t="s" s="0">
        <v>79</v>
      </c>
      <c r="AM91" t="s" s="0">
        <v>211</v>
      </c>
      <c r="AN91" t="s" s="0">
        <v>211</v>
      </c>
      <c r="AO91" t="s" s="0">
        <v>150</v>
      </c>
      <c r="AP91" t="s" s="0">
        <v>120</v>
      </c>
      <c r="AQ91" t="s" s="0">
        <v>2587</v>
      </c>
      <c r="AR91" t="s" s="0">
        <v>721</v>
      </c>
      <c r="AS91" t="s" s="0">
        <v>2588</v>
      </c>
      <c r="AT91" t="s" s="0">
        <v>83</v>
      </c>
      <c r="AU91" t="s" s="0">
        <v>2589</v>
      </c>
      <c r="AV91" t="s" s="0">
        <v>83</v>
      </c>
      <c r="AW91" t="s" s="0">
        <v>2584</v>
      </c>
      <c r="AX91" t="s" s="0">
        <v>2590</v>
      </c>
      <c r="AY91" t="s" s="0">
        <v>2591</v>
      </c>
      <c r="AZ91" t="s" s="0">
        <v>241</v>
      </c>
      <c r="BA91" t="s" s="0">
        <v>165</v>
      </c>
      <c r="BB91" t="s" s="0">
        <v>232</v>
      </c>
      <c r="BC91" t="s" s="0">
        <v>83</v>
      </c>
      <c r="BD91" t="s" s="0">
        <v>83</v>
      </c>
      <c r="BE91" t="s" s="0">
        <v>83</v>
      </c>
      <c r="BF91" t="s" s="0">
        <v>83</v>
      </c>
      <c r="BG91" t="s" s="0">
        <v>83</v>
      </c>
      <c r="BH91" t="s" s="0">
        <v>83</v>
      </c>
      <c r="BI91" t="s" s="0">
        <v>2592</v>
      </c>
      <c r="BJ91" t="s" s="0">
        <v>2593</v>
      </c>
      <c r="BK91" t="s" s="179">
        <f>HYPERLINK("http://dx.doi.org/10.1016/j.heliyon.2023.e22226","http://dx.doi.org/10.1016/j.heliyon.2023.e22226")</f>
        <v>2594</v>
      </c>
      <c r="BL91" t="s" s="0">
        <v>83</v>
      </c>
      <c r="BM91" t="s" s="0">
        <v>1600</v>
      </c>
      <c r="BN91" t="s" s="0">
        <v>165</v>
      </c>
      <c r="BO91" t="s" s="0">
        <v>1990</v>
      </c>
      <c r="BP91" t="s" s="0">
        <v>1991</v>
      </c>
      <c r="BQ91" t="s" s="0">
        <v>2595</v>
      </c>
      <c r="BR91" t="s" s="0">
        <v>2596</v>
      </c>
      <c r="BS91" t="s" s="0">
        <v>2597</v>
      </c>
      <c r="BT91" t="s" s="180">
        <f>HYPERLINK("https://www.webofscience.com/wos/woscc/full-record/WOS:001121435300001","View Record in Web of Science")</f>
        <v>126</v>
      </c>
      <c r="BU91" t="s" s="0">
        <v>210</v>
      </c>
      <c r="BV91" t="s" s="0">
        <v>83</v>
      </c>
      <c r="BW91" t="s" s="0">
        <v>83</v>
      </c>
      <c r="BX91" t="s" s="0">
        <v>130</v>
      </c>
    </row>
    <row r="92">
      <c r="A92" t="s" s="0">
        <v>78</v>
      </c>
      <c r="B92" t="s" s="0">
        <v>78</v>
      </c>
      <c r="C92" t="s" s="0">
        <v>77</v>
      </c>
      <c r="D92" t="s" s="0">
        <v>78</v>
      </c>
      <c r="E92" t="s" s="0">
        <v>2598</v>
      </c>
      <c r="F92" t="s" s="0">
        <v>2599</v>
      </c>
      <c r="G92" t="s" s="0">
        <v>2600</v>
      </c>
      <c r="H92" t="s" s="0">
        <v>83</v>
      </c>
      <c r="I92" t="s" s="0">
        <v>84</v>
      </c>
      <c r="J92" t="s" s="0">
        <v>2601</v>
      </c>
      <c r="K92" t="s" s="0">
        <v>2602</v>
      </c>
      <c r="L92" t="s" s="0">
        <v>83</v>
      </c>
      <c r="M92" t="s" s="0">
        <v>83</v>
      </c>
      <c r="N92" t="s" s="0">
        <v>83</v>
      </c>
      <c r="O92" t="s" s="0">
        <v>2603</v>
      </c>
      <c r="P92" t="s" s="0">
        <v>2604</v>
      </c>
      <c r="Q92" t="s" s="0">
        <v>92</v>
      </c>
      <c r="R92" t="s" s="0">
        <v>83</v>
      </c>
      <c r="S92" t="s" s="0">
        <v>83</v>
      </c>
      <c r="T92" t="s" s="0">
        <v>83</v>
      </c>
      <c r="U92" t="s" s="0">
        <v>83</v>
      </c>
      <c r="V92" t="s" s="0">
        <v>2605</v>
      </c>
      <c r="W92" t="s" s="0">
        <v>2606</v>
      </c>
      <c r="X92" t="s" s="0">
        <v>83</v>
      </c>
      <c r="Y92" t="s" s="0">
        <v>83</v>
      </c>
      <c r="Z92" t="s" s="0">
        <v>95</v>
      </c>
      <c r="AA92" t="s" s="0">
        <v>96</v>
      </c>
      <c r="AB92" t="s" s="0">
        <v>83</v>
      </c>
      <c r="AC92" t="s" s="0">
        <v>83</v>
      </c>
      <c r="AD92" t="s" s="0">
        <v>83</v>
      </c>
      <c r="AE92" t="s" s="0">
        <v>83</v>
      </c>
      <c r="AF92" t="s" s="0">
        <v>83</v>
      </c>
      <c r="AG92" t="s" s="0">
        <v>2607</v>
      </c>
      <c r="AH92" t="s" s="0">
        <v>2608</v>
      </c>
      <c r="AI92" t="s" s="0">
        <v>2609</v>
      </c>
      <c r="AJ92" t="s" s="0">
        <v>83</v>
      </c>
      <c r="AK92" t="s" s="0">
        <v>83</v>
      </c>
      <c r="AL92" t="s" s="0">
        <v>857</v>
      </c>
      <c r="AM92" t="s" s="0">
        <v>161</v>
      </c>
      <c r="AN92" t="s" s="0">
        <v>161</v>
      </c>
      <c r="AO92" t="s" s="0">
        <v>78</v>
      </c>
      <c r="AP92" t="s" s="0">
        <v>149</v>
      </c>
      <c r="AQ92" t="s" s="0">
        <v>1151</v>
      </c>
      <c r="AR92" t="s" s="0">
        <v>1152</v>
      </c>
      <c r="AS92" t="s" s="0">
        <v>1153</v>
      </c>
      <c r="AT92" t="s" s="0">
        <v>2610</v>
      </c>
      <c r="AU92" t="s" s="0">
        <v>2611</v>
      </c>
      <c r="AV92" t="s" s="0">
        <v>83</v>
      </c>
      <c r="AW92" t="s" s="0">
        <v>2612</v>
      </c>
      <c r="AX92" t="s" s="0">
        <v>2613</v>
      </c>
      <c r="AY92" t="s" s="0">
        <v>2488</v>
      </c>
      <c r="AZ92" t="s" s="0">
        <v>317</v>
      </c>
      <c r="BA92" t="s" s="0">
        <v>232</v>
      </c>
      <c r="BB92" t="s" s="0">
        <v>149</v>
      </c>
      <c r="BC92" t="s" s="0">
        <v>83</v>
      </c>
      <c r="BD92" t="s" s="0">
        <v>83</v>
      </c>
      <c r="BE92" t="s" s="0">
        <v>83</v>
      </c>
      <c r="BF92" t="s" s="0">
        <v>83</v>
      </c>
      <c r="BG92" t="s" s="0">
        <v>2614</v>
      </c>
      <c r="BH92" t="s" s="0">
        <v>2615</v>
      </c>
      <c r="BI92" t="s" s="0">
        <v>83</v>
      </c>
      <c r="BJ92" t="s" s="0">
        <v>2616</v>
      </c>
      <c r="BK92" t="s" s="181">
        <f>HYPERLINK("http://dx.doi.org/10.1016/j.jgo.2020.04.006","http://dx.doi.org/10.1016/j.jgo.2020.04.006")</f>
        <v>2617</v>
      </c>
      <c r="BL92" t="s" s="0">
        <v>83</v>
      </c>
      <c r="BM92" t="s" s="0">
        <v>83</v>
      </c>
      <c r="BN92" t="s" s="0">
        <v>248</v>
      </c>
      <c r="BO92" t="s" s="0">
        <v>2618</v>
      </c>
      <c r="BP92" t="s" s="0">
        <v>2618</v>
      </c>
      <c r="BQ92" t="s" s="0">
        <v>2619</v>
      </c>
      <c r="BR92" t="s" s="0">
        <v>2620</v>
      </c>
      <c r="BS92" t="s" s="0">
        <v>2621</v>
      </c>
      <c r="BT92" t="s" s="182">
        <f>HYPERLINK("https://www.webofscience.com/wos/woscc/full-record/WOS:000583348000005","View Record in Web of Science")</f>
        <v>126</v>
      </c>
      <c r="BU92" t="s" s="0">
        <v>253</v>
      </c>
      <c r="BV92" t="s" s="0">
        <v>83</v>
      </c>
      <c r="BW92" t="s" s="0">
        <v>83</v>
      </c>
      <c r="BX92" t="s" s="0">
        <v>130</v>
      </c>
    </row>
    <row r="93">
      <c r="A93" t="s" s="0">
        <v>150</v>
      </c>
      <c r="B93" t="s" s="0">
        <v>78</v>
      </c>
      <c r="C93" t="s" s="0">
        <v>1098</v>
      </c>
      <c r="D93" t="s" s="0">
        <v>115</v>
      </c>
      <c r="E93" t="s" s="0">
        <v>2622</v>
      </c>
      <c r="F93" t="s" s="0">
        <v>2623</v>
      </c>
      <c r="G93" t="s" s="0">
        <v>2624</v>
      </c>
      <c r="H93" t="s" s="0">
        <v>83</v>
      </c>
      <c r="I93" t="s" s="0">
        <v>257</v>
      </c>
      <c r="J93" t="s" s="0">
        <v>2625</v>
      </c>
      <c r="K93" t="s" s="0">
        <v>2626</v>
      </c>
      <c r="L93" t="s" s="0">
        <v>2627</v>
      </c>
      <c r="M93" t="s" s="0">
        <v>2628</v>
      </c>
      <c r="N93" t="s" s="0">
        <v>2629</v>
      </c>
      <c r="O93" t="s" s="0">
        <v>2630</v>
      </c>
      <c r="P93" t="s" s="0">
        <v>2631</v>
      </c>
      <c r="Q93" t="s" s="0">
        <v>92</v>
      </c>
      <c r="R93" t="s" s="0">
        <v>83</v>
      </c>
      <c r="S93" t="s" s="0">
        <v>83</v>
      </c>
      <c r="T93" t="s" s="0">
        <v>83</v>
      </c>
      <c r="U93" t="s" s="0">
        <v>83</v>
      </c>
      <c r="V93" t="s" s="0">
        <v>2632</v>
      </c>
      <c r="W93" t="s" s="0">
        <v>2633</v>
      </c>
      <c r="X93" t="s" s="0">
        <v>83</v>
      </c>
      <c r="Y93" t="s" s="0">
        <v>83</v>
      </c>
      <c r="Z93" t="s" s="0">
        <v>95</v>
      </c>
      <c r="AA93" t="s" s="0">
        <v>96</v>
      </c>
      <c r="AB93" t="s" s="0">
        <v>83</v>
      </c>
      <c r="AC93" t="s" s="0">
        <v>83</v>
      </c>
      <c r="AD93" t="s" s="0">
        <v>83</v>
      </c>
      <c r="AE93" t="s" s="0">
        <v>83</v>
      </c>
      <c r="AF93" t="s" s="0">
        <v>83</v>
      </c>
      <c r="AG93" t="s" s="0">
        <v>83</v>
      </c>
      <c r="AH93" t="s" s="0">
        <v>2634</v>
      </c>
      <c r="AI93" t="s" s="0">
        <v>2635</v>
      </c>
      <c r="AJ93" t="s" s="0">
        <v>2636</v>
      </c>
      <c r="AK93" t="s" s="0">
        <v>83</v>
      </c>
      <c r="AL93" t="s" s="0">
        <v>2637</v>
      </c>
      <c r="AM93" t="s" s="0">
        <v>2638</v>
      </c>
      <c r="AN93" t="s" s="0">
        <v>2639</v>
      </c>
      <c r="AO93" t="s" s="0">
        <v>150</v>
      </c>
      <c r="AP93" t="s" s="0">
        <v>229</v>
      </c>
      <c r="AQ93" t="s" s="0">
        <v>2640</v>
      </c>
      <c r="AR93" t="s" s="0">
        <v>2641</v>
      </c>
      <c r="AS93" t="s" s="0">
        <v>2642</v>
      </c>
      <c r="AT93" t="s" s="0">
        <v>2643</v>
      </c>
      <c r="AU93" t="s" s="0">
        <v>2644</v>
      </c>
      <c r="AV93" t="s" s="0">
        <v>83</v>
      </c>
      <c r="AW93" t="s" s="0">
        <v>2645</v>
      </c>
      <c r="AX93" t="s" s="0">
        <v>2646</v>
      </c>
      <c r="AY93" t="s" s="0">
        <v>2647</v>
      </c>
      <c r="AZ93" t="s" s="0">
        <v>113</v>
      </c>
      <c r="BA93" t="s" s="0">
        <v>2648</v>
      </c>
      <c r="BB93" t="s" s="0">
        <v>248</v>
      </c>
      <c r="BC93" t="s" s="0">
        <v>83</v>
      </c>
      <c r="BD93" t="s" s="0">
        <v>83</v>
      </c>
      <c r="BE93" t="s" s="0">
        <v>83</v>
      </c>
      <c r="BF93" t="s" s="0">
        <v>83</v>
      </c>
      <c r="BG93" t="s" s="0">
        <v>2649</v>
      </c>
      <c r="BH93" t="s" s="0">
        <v>2650</v>
      </c>
      <c r="BI93" t="s" s="0">
        <v>83</v>
      </c>
      <c r="BJ93" t="s" s="0">
        <v>2651</v>
      </c>
      <c r="BK93" t="s" s="183">
        <f>HYPERLINK("http://dx.doi.org/10.1001/jamapsychiatry.2018.2530","http://dx.doi.org/10.1001/jamapsychiatry.2018.2530")</f>
        <v>2652</v>
      </c>
      <c r="BL93" t="s" s="0">
        <v>83</v>
      </c>
      <c r="BM93" t="s" s="0">
        <v>83</v>
      </c>
      <c r="BN93" t="s" s="0">
        <v>165</v>
      </c>
      <c r="BO93" t="s" s="0">
        <v>864</v>
      </c>
      <c r="BP93" t="s" s="0">
        <v>864</v>
      </c>
      <c r="BQ93" t="s" s="0">
        <v>2653</v>
      </c>
      <c r="BR93" t="s" s="0">
        <v>2654</v>
      </c>
      <c r="BS93" t="s" s="0">
        <v>2655</v>
      </c>
      <c r="BT93" t="s" s="184">
        <f>HYPERLINK("https://www.webofscience.com/wos/woscc/full-record/WOS:000452682200013","View Record in Web of Science")</f>
        <v>126</v>
      </c>
      <c r="BU93" t="s" s="0">
        <v>83</v>
      </c>
      <c r="BV93" t="s" s="0">
        <v>83</v>
      </c>
      <c r="BW93" t="s" s="0">
        <v>83</v>
      </c>
      <c r="BX93" t="s" s="0">
        <v>130</v>
      </c>
    </row>
    <row r="94">
      <c r="A94" t="s" s="0">
        <v>211</v>
      </c>
      <c r="B94" t="s" s="0">
        <v>78</v>
      </c>
      <c r="C94" t="s" s="0">
        <v>232</v>
      </c>
      <c r="D94" t="s" s="0">
        <v>150</v>
      </c>
      <c r="E94" t="s" s="0">
        <v>2656</v>
      </c>
      <c r="F94" t="s" s="0">
        <v>2657</v>
      </c>
      <c r="G94" t="s" s="0">
        <v>2658</v>
      </c>
      <c r="H94" t="s" s="0">
        <v>83</v>
      </c>
      <c r="I94" t="s" s="0">
        <v>84</v>
      </c>
      <c r="J94" t="s" s="0">
        <v>2659</v>
      </c>
      <c r="K94" t="s" s="0">
        <v>2660</v>
      </c>
      <c r="L94" t="s" s="0">
        <v>83</v>
      </c>
      <c r="M94" t="s" s="0">
        <v>83</v>
      </c>
      <c r="N94" t="s" s="0">
        <v>83</v>
      </c>
      <c r="O94" t="s" s="0">
        <v>2661</v>
      </c>
      <c r="P94" t="s" s="0">
        <v>2662</v>
      </c>
      <c r="Q94" t="s" s="0">
        <v>92</v>
      </c>
      <c r="R94" t="s" s="0">
        <v>83</v>
      </c>
      <c r="S94" t="s" s="0">
        <v>83</v>
      </c>
      <c r="T94" t="s" s="0">
        <v>83</v>
      </c>
      <c r="U94" t="s" s="0">
        <v>83</v>
      </c>
      <c r="V94" t="s" s="0">
        <v>2663</v>
      </c>
      <c r="W94" t="s" s="0">
        <v>2664</v>
      </c>
      <c r="X94" t="s" s="0">
        <v>83</v>
      </c>
      <c r="Y94" t="s" s="0">
        <v>83</v>
      </c>
      <c r="Z94" t="s" s="0">
        <v>95</v>
      </c>
      <c r="AA94" t="s" s="0">
        <v>96</v>
      </c>
      <c r="AB94" t="s" s="0">
        <v>83</v>
      </c>
      <c r="AC94" t="s" s="0">
        <v>83</v>
      </c>
      <c r="AD94" t="s" s="0">
        <v>83</v>
      </c>
      <c r="AE94" t="s" s="0">
        <v>83</v>
      </c>
      <c r="AF94" t="s" s="0">
        <v>83</v>
      </c>
      <c r="AG94" t="s" s="0">
        <v>2665</v>
      </c>
      <c r="AH94" t="s" s="0">
        <v>2666</v>
      </c>
      <c r="AI94" t="s" s="0">
        <v>2667</v>
      </c>
      <c r="AJ94" t="s" s="0">
        <v>2668</v>
      </c>
      <c r="AK94" t="s" s="0">
        <v>83</v>
      </c>
      <c r="AL94" t="s" s="0">
        <v>2669</v>
      </c>
      <c r="AM94" t="s" s="0">
        <v>471</v>
      </c>
      <c r="AN94" t="s" s="0">
        <v>229</v>
      </c>
      <c r="AO94" t="s" s="0">
        <v>78</v>
      </c>
      <c r="AP94" t="s" s="0">
        <v>161</v>
      </c>
      <c r="AQ94" t="s" s="0">
        <v>1184</v>
      </c>
      <c r="AR94" t="s" s="0">
        <v>806</v>
      </c>
      <c r="AS94" t="s" s="0">
        <v>1185</v>
      </c>
      <c r="AT94" t="s" s="0">
        <v>2670</v>
      </c>
      <c r="AU94" t="s" s="0">
        <v>2671</v>
      </c>
      <c r="AV94" t="s" s="0">
        <v>83</v>
      </c>
      <c r="AW94" t="s" s="0">
        <v>2664</v>
      </c>
      <c r="AX94" t="s" s="0">
        <v>2672</v>
      </c>
      <c r="AY94" t="s" s="0">
        <v>1680</v>
      </c>
      <c r="AZ94" t="s" s="0">
        <v>1680</v>
      </c>
      <c r="BA94" t="s" s="0">
        <v>2673</v>
      </c>
      <c r="BB94" t="s" s="0">
        <v>150</v>
      </c>
      <c r="BC94" t="s" s="0">
        <v>83</v>
      </c>
      <c r="BD94" t="s" s="0">
        <v>83</v>
      </c>
      <c r="BE94" t="s" s="0">
        <v>83</v>
      </c>
      <c r="BF94" t="s" s="0">
        <v>83</v>
      </c>
      <c r="BG94" t="s" s="0">
        <v>2674</v>
      </c>
      <c r="BH94" t="s" s="0">
        <v>2675</v>
      </c>
      <c r="BI94" t="s" s="0">
        <v>83</v>
      </c>
      <c r="BJ94" t="s" s="0">
        <v>2676</v>
      </c>
      <c r="BK94" t="s" s="185">
        <f>HYPERLINK("http://dx.doi.org/10.1159/000430996","http://dx.doi.org/10.1159/000430996")</f>
        <v>2677</v>
      </c>
      <c r="BL94" t="s" s="0">
        <v>83</v>
      </c>
      <c r="BM94" t="s" s="0">
        <v>83</v>
      </c>
      <c r="BN94" t="s" s="0">
        <v>120</v>
      </c>
      <c r="BO94" t="s" s="0">
        <v>2248</v>
      </c>
      <c r="BP94" t="s" s="0">
        <v>2248</v>
      </c>
      <c r="BQ94" t="s" s="0">
        <v>2678</v>
      </c>
      <c r="BR94" t="s" s="0">
        <v>2679</v>
      </c>
      <c r="BS94" t="s" s="0">
        <v>2680</v>
      </c>
      <c r="BT94" t="s" s="186">
        <f>HYPERLINK("https://www.webofscience.com/wos/woscc/full-record/WOS:000360632100010","View Record in Web of Science")</f>
        <v>126</v>
      </c>
      <c r="BU94" t="s" s="0">
        <v>357</v>
      </c>
      <c r="BV94" t="s" s="0">
        <v>83</v>
      </c>
      <c r="BW94" t="s" s="0">
        <v>83</v>
      </c>
      <c r="BX94" t="s" s="0">
        <v>130</v>
      </c>
    </row>
    <row r="95">
      <c r="A95" t="s" s="0">
        <v>2681</v>
      </c>
      <c r="B95" t="s" s="0">
        <v>78</v>
      </c>
      <c r="C95" t="s" s="0">
        <v>2682</v>
      </c>
      <c r="D95" t="s" s="0">
        <v>150</v>
      </c>
      <c r="E95" t="s" s="0">
        <v>2683</v>
      </c>
      <c r="F95" t="s" s="0">
        <v>2684</v>
      </c>
      <c r="G95" t="s" s="0">
        <v>2685</v>
      </c>
      <c r="H95" t="s" s="0">
        <v>83</v>
      </c>
      <c r="I95" t="s" s="0">
        <v>84</v>
      </c>
      <c r="J95" t="s" s="0">
        <v>2686</v>
      </c>
      <c r="K95" t="s" s="0">
        <v>2687</v>
      </c>
      <c r="L95" t="s" s="0">
        <v>2688</v>
      </c>
      <c r="M95" t="s" s="0">
        <v>2689</v>
      </c>
      <c r="N95" t="s" s="0">
        <v>2690</v>
      </c>
      <c r="O95" t="s" s="0">
        <v>2691</v>
      </c>
      <c r="P95" t="s" s="0">
        <v>2692</v>
      </c>
      <c r="Q95" t="s" s="0">
        <v>92</v>
      </c>
      <c r="R95" t="s" s="0">
        <v>83</v>
      </c>
      <c r="S95" t="s" s="0">
        <v>83</v>
      </c>
      <c r="T95" t="s" s="0">
        <v>83</v>
      </c>
      <c r="U95" t="s" s="0">
        <v>83</v>
      </c>
      <c r="V95" t="s" s="0">
        <v>2693</v>
      </c>
      <c r="W95" t="s" s="0">
        <v>2694</v>
      </c>
      <c r="X95" t="s" s="0">
        <v>83</v>
      </c>
      <c r="Y95" t="s" s="0">
        <v>83</v>
      </c>
      <c r="Z95" t="s" s="0">
        <v>95</v>
      </c>
      <c r="AA95" t="s" s="0">
        <v>96</v>
      </c>
      <c r="AB95" t="s" s="0">
        <v>83</v>
      </c>
      <c r="AC95" t="s" s="0">
        <v>83</v>
      </c>
      <c r="AD95" t="s" s="0">
        <v>83</v>
      </c>
      <c r="AE95" t="s" s="0">
        <v>83</v>
      </c>
      <c r="AF95" t="s" s="0">
        <v>83</v>
      </c>
      <c r="AG95" t="s" s="0">
        <v>83</v>
      </c>
      <c r="AH95" t="s" s="0">
        <v>2695</v>
      </c>
      <c r="AI95" t="s" s="0">
        <v>2696</v>
      </c>
      <c r="AJ95" t="s" s="0">
        <v>2697</v>
      </c>
      <c r="AK95" t="s" s="0">
        <v>83</v>
      </c>
      <c r="AL95" t="s" s="0">
        <v>883</v>
      </c>
      <c r="AM95" t="s" s="0">
        <v>2698</v>
      </c>
      <c r="AN95" t="s" s="0">
        <v>2699</v>
      </c>
      <c r="AO95" t="s" s="0">
        <v>165</v>
      </c>
      <c r="AP95" t="s" s="0">
        <v>2043</v>
      </c>
      <c r="AQ95" t="s" s="0">
        <v>2640</v>
      </c>
      <c r="AR95" t="s" s="0">
        <v>2641</v>
      </c>
      <c r="AS95" t="s" s="0">
        <v>2642</v>
      </c>
      <c r="AT95" t="s" s="0">
        <v>2700</v>
      </c>
      <c r="AU95" t="s" s="0">
        <v>2701</v>
      </c>
      <c r="AV95" t="s" s="0">
        <v>83</v>
      </c>
      <c r="AW95" t="s" s="0">
        <v>2702</v>
      </c>
      <c r="AX95" t="s" s="0">
        <v>2703</v>
      </c>
      <c r="AY95" t="s" s="0">
        <v>2704</v>
      </c>
      <c r="AZ95" t="s" s="0">
        <v>1403</v>
      </c>
      <c r="BA95" t="s" s="0">
        <v>2705</v>
      </c>
      <c r="BB95" t="s" s="0">
        <v>417</v>
      </c>
      <c r="BC95" t="s" s="0">
        <v>83</v>
      </c>
      <c r="BD95" t="s" s="0">
        <v>83</v>
      </c>
      <c r="BE95" t="s" s="0">
        <v>83</v>
      </c>
      <c r="BF95" t="s" s="0">
        <v>83</v>
      </c>
      <c r="BG95" t="s" s="0">
        <v>2706</v>
      </c>
      <c r="BH95" t="s" s="0">
        <v>2707</v>
      </c>
      <c r="BI95" t="s" s="0">
        <v>83</v>
      </c>
      <c r="BJ95" t="s" s="0">
        <v>2708</v>
      </c>
      <c r="BK95" t="s" s="187">
        <f>HYPERLINK("http://dx.doi.org/10.1001/jama.2017.12126","http://dx.doi.org/10.1001/jama.2017.12126")</f>
        <v>2709</v>
      </c>
      <c r="BL95" t="s" s="0">
        <v>83</v>
      </c>
      <c r="BM95" t="s" s="0">
        <v>83</v>
      </c>
      <c r="BN95" t="s" s="0">
        <v>149</v>
      </c>
      <c r="BO95" t="s" s="0">
        <v>669</v>
      </c>
      <c r="BP95" t="s" s="0">
        <v>670</v>
      </c>
      <c r="BQ95" t="s" s="0">
        <v>2710</v>
      </c>
      <c r="BR95" t="s" s="0">
        <v>2711</v>
      </c>
      <c r="BS95" t="s" s="0">
        <v>2712</v>
      </c>
      <c r="BT95" t="s" s="188">
        <f>HYPERLINK("https://www.webofscience.com/wos/woscc/full-record/WOS:000412838900021","View Record in Web of Science")</f>
        <v>126</v>
      </c>
      <c r="BU95" t="s" s="0">
        <v>83</v>
      </c>
      <c r="BV95" t="s" s="0">
        <v>128</v>
      </c>
      <c r="BW95" t="s" s="0">
        <v>129</v>
      </c>
      <c r="BX95" t="s" s="0">
        <v>130</v>
      </c>
    </row>
    <row r="96">
      <c r="A96" t="s" s="0">
        <v>78</v>
      </c>
      <c r="B96" t="s" s="0">
        <v>78</v>
      </c>
      <c r="C96" t="s" s="0">
        <v>78</v>
      </c>
      <c r="D96" t="s" s="0">
        <v>78</v>
      </c>
      <c r="E96" t="s" s="0">
        <v>2713</v>
      </c>
      <c r="F96" t="s" s="0">
        <v>2714</v>
      </c>
      <c r="G96" t="s" s="0">
        <v>2715</v>
      </c>
      <c r="H96" t="s" s="0">
        <v>83</v>
      </c>
      <c r="I96" t="s" s="0">
        <v>84</v>
      </c>
      <c r="J96" t="s" s="0">
        <v>2716</v>
      </c>
      <c r="K96" t="s" s="0">
        <v>2717</v>
      </c>
      <c r="L96" t="s" s="0">
        <v>2718</v>
      </c>
      <c r="M96" t="s" s="0">
        <v>2718</v>
      </c>
      <c r="N96" t="s" s="0">
        <v>2719</v>
      </c>
      <c r="O96" t="s" s="0">
        <v>2720</v>
      </c>
      <c r="P96" t="s" s="0">
        <v>2721</v>
      </c>
      <c r="Q96" t="s" s="0">
        <v>92</v>
      </c>
      <c r="R96" t="s" s="0">
        <v>83</v>
      </c>
      <c r="S96" t="s" s="0">
        <v>2722</v>
      </c>
      <c r="T96" t="s" s="0">
        <v>83</v>
      </c>
      <c r="U96" t="s" s="0">
        <v>83</v>
      </c>
      <c r="V96" t="s" s="0">
        <v>2723</v>
      </c>
      <c r="W96" t="s" s="0">
        <v>2124</v>
      </c>
      <c r="X96" t="s" s="0">
        <v>83</v>
      </c>
      <c r="Y96" t="s" s="0">
        <v>83</v>
      </c>
      <c r="Z96" t="s" s="0">
        <v>95</v>
      </c>
      <c r="AA96" t="s" s="0">
        <v>96</v>
      </c>
      <c r="AB96" t="s" s="0">
        <v>83</v>
      </c>
      <c r="AC96" t="s" s="0">
        <v>83</v>
      </c>
      <c r="AD96" t="s" s="0">
        <v>83</v>
      </c>
      <c r="AE96" t="s" s="0">
        <v>83</v>
      </c>
      <c r="AF96" t="s" s="0">
        <v>83</v>
      </c>
      <c r="AG96" t="s" s="0">
        <v>2724</v>
      </c>
      <c r="AH96" t="s" s="0">
        <v>2725</v>
      </c>
      <c r="AI96" t="s" s="0">
        <v>2726</v>
      </c>
      <c r="AJ96" t="s" s="0">
        <v>2727</v>
      </c>
      <c r="AK96" t="s" s="0">
        <v>83</v>
      </c>
      <c r="AL96" t="s" s="0">
        <v>1000</v>
      </c>
      <c r="AM96" t="s" s="0">
        <v>77</v>
      </c>
      <c r="AN96" t="s" s="0">
        <v>281</v>
      </c>
      <c r="AO96" t="s" s="0">
        <v>78</v>
      </c>
      <c r="AP96" t="s" s="0">
        <v>78</v>
      </c>
      <c r="AQ96" t="s" s="0">
        <v>1123</v>
      </c>
      <c r="AR96" t="s" s="0">
        <v>1124</v>
      </c>
      <c r="AS96" t="s" s="0">
        <v>1125</v>
      </c>
      <c r="AT96" t="s" s="0">
        <v>2130</v>
      </c>
      <c r="AU96" t="s" s="0">
        <v>2131</v>
      </c>
      <c r="AV96" t="s" s="0">
        <v>83</v>
      </c>
      <c r="AW96" t="s" s="0">
        <v>2132</v>
      </c>
      <c r="AX96" t="s" s="0">
        <v>2133</v>
      </c>
      <c r="AY96" t="s" s="0">
        <v>2728</v>
      </c>
      <c r="AZ96" t="s" s="0">
        <v>159</v>
      </c>
      <c r="BA96" t="s" s="0">
        <v>2729</v>
      </c>
      <c r="BB96" t="s" s="0">
        <v>545</v>
      </c>
      <c r="BC96" t="s" s="0">
        <v>83</v>
      </c>
      <c r="BD96" t="s" s="0">
        <v>83</v>
      </c>
      <c r="BE96" t="s" s="0">
        <v>83</v>
      </c>
      <c r="BF96" t="s" s="0">
        <v>83</v>
      </c>
      <c r="BG96" t="s" s="0">
        <v>2730</v>
      </c>
      <c r="BH96" t="s" s="0">
        <v>2731</v>
      </c>
      <c r="BI96" t="s" s="0">
        <v>83</v>
      </c>
      <c r="BJ96" t="s" s="0">
        <v>2732</v>
      </c>
      <c r="BK96" t="s" s="189">
        <f>HYPERLINK("http://dx.doi.org/10.1111/1471-0528.17948","http://dx.doi.org/10.1111/1471-0528.17948")</f>
        <v>2733</v>
      </c>
      <c r="BL96" t="s" s="0">
        <v>83</v>
      </c>
      <c r="BM96" t="s" s="0">
        <v>448</v>
      </c>
      <c r="BN96" t="s" s="0">
        <v>211</v>
      </c>
      <c r="BO96" t="s" s="0">
        <v>2139</v>
      </c>
      <c r="BP96" t="s" s="0">
        <v>2139</v>
      </c>
      <c r="BQ96" t="s" s="0">
        <v>2734</v>
      </c>
      <c r="BR96" t="s" s="0">
        <v>2735</v>
      </c>
      <c r="BS96" t="s" s="0">
        <v>2736</v>
      </c>
      <c r="BT96" t="s" s="190">
        <f>HYPERLINK("https://www.webofscience.com/wos/woscc/full-record/WOS:001308986500001","View Record in Web of Science")</f>
        <v>126</v>
      </c>
      <c r="BU96" t="s" s="0">
        <v>2737</v>
      </c>
      <c r="BV96" t="s" s="0">
        <v>83</v>
      </c>
      <c r="BW96" t="s" s="0">
        <v>83</v>
      </c>
      <c r="BX96" t="s" s="0">
        <v>130</v>
      </c>
    </row>
    <row r="97">
      <c r="A97" t="s" s="0">
        <v>115</v>
      </c>
      <c r="B97" t="s" s="0">
        <v>78</v>
      </c>
      <c r="C97" t="s" s="0">
        <v>77</v>
      </c>
      <c r="D97" t="s" s="0">
        <v>78</v>
      </c>
      <c r="E97" t="s" s="0">
        <v>2738</v>
      </c>
      <c r="F97" t="s" s="0">
        <v>2739</v>
      </c>
      <c r="G97" t="s" s="0">
        <v>2740</v>
      </c>
      <c r="H97" t="s" s="0">
        <v>83</v>
      </c>
      <c r="I97" t="s" s="0">
        <v>84</v>
      </c>
      <c r="J97" t="s" s="0">
        <v>2741</v>
      </c>
      <c r="K97" t="s" s="0">
        <v>2742</v>
      </c>
      <c r="L97" t="s" s="0">
        <v>2743</v>
      </c>
      <c r="M97" t="s" s="0">
        <v>1945</v>
      </c>
      <c r="N97" t="s" s="0">
        <v>2744</v>
      </c>
      <c r="O97" t="s" s="0">
        <v>2745</v>
      </c>
      <c r="P97" t="s" s="0">
        <v>2746</v>
      </c>
      <c r="Q97" t="s" s="0">
        <v>92</v>
      </c>
      <c r="R97" t="s" s="0">
        <v>83</v>
      </c>
      <c r="S97" t="s" s="0">
        <v>83</v>
      </c>
      <c r="T97" t="s" s="0">
        <v>83</v>
      </c>
      <c r="U97" t="s" s="0">
        <v>83</v>
      </c>
      <c r="V97" t="s" s="0">
        <v>2747</v>
      </c>
      <c r="W97" t="s" s="0">
        <v>1563</v>
      </c>
      <c r="X97" t="s" s="0">
        <v>83</v>
      </c>
      <c r="Y97" t="s" s="0">
        <v>83</v>
      </c>
      <c r="Z97" t="s" s="0">
        <v>95</v>
      </c>
      <c r="AA97" t="s" s="0">
        <v>96</v>
      </c>
      <c r="AB97" t="s" s="0">
        <v>83</v>
      </c>
      <c r="AC97" t="s" s="0">
        <v>83</v>
      </c>
      <c r="AD97" t="s" s="0">
        <v>83</v>
      </c>
      <c r="AE97" t="s" s="0">
        <v>83</v>
      </c>
      <c r="AF97" t="s" s="0">
        <v>83</v>
      </c>
      <c r="AG97" t="s" s="0">
        <v>2748</v>
      </c>
      <c r="AH97" t="s" s="0">
        <v>2749</v>
      </c>
      <c r="AI97" t="s" s="0">
        <v>2750</v>
      </c>
      <c r="AJ97" t="s" s="0">
        <v>2751</v>
      </c>
      <c r="AK97" t="s" s="0">
        <v>83</v>
      </c>
      <c r="AL97" t="s" s="0">
        <v>882</v>
      </c>
      <c r="AM97" t="s" s="0">
        <v>309</v>
      </c>
      <c r="AN97" t="s" s="0">
        <v>161</v>
      </c>
      <c r="AO97" t="s" s="0">
        <v>78</v>
      </c>
      <c r="AP97" t="s" s="0">
        <v>231</v>
      </c>
      <c r="AQ97" t="s" s="0">
        <v>378</v>
      </c>
      <c r="AR97" t="s" s="0">
        <v>106</v>
      </c>
      <c r="AS97" t="s" s="0">
        <v>379</v>
      </c>
      <c r="AT97" t="s" s="0">
        <v>83</v>
      </c>
      <c r="AU97" t="s" s="0">
        <v>1568</v>
      </c>
      <c r="AV97" t="s" s="0">
        <v>83</v>
      </c>
      <c r="AW97" t="s" s="0">
        <v>1569</v>
      </c>
      <c r="AX97" t="s" s="0">
        <v>1570</v>
      </c>
      <c r="AY97" t="s" s="0">
        <v>2752</v>
      </c>
      <c r="AZ97" t="s" s="0">
        <v>279</v>
      </c>
      <c r="BA97" t="s" s="0">
        <v>384</v>
      </c>
      <c r="BB97" t="s" s="0">
        <v>115</v>
      </c>
      <c r="BC97" t="s" s="0">
        <v>83</v>
      </c>
      <c r="BD97" t="s" s="0">
        <v>83</v>
      </c>
      <c r="BE97" t="s" s="0">
        <v>83</v>
      </c>
      <c r="BF97" t="s" s="0">
        <v>83</v>
      </c>
      <c r="BG97" t="s" s="0">
        <v>83</v>
      </c>
      <c r="BH97" t="s" s="0">
        <v>83</v>
      </c>
      <c r="BI97" t="s" s="0">
        <v>2216</v>
      </c>
      <c r="BJ97" t="s" s="0">
        <v>2753</v>
      </c>
      <c r="BK97" t="s" s="191">
        <f>HYPERLINK("http://dx.doi.org/10.1186/s12891-022-05030-4","http://dx.doi.org/10.1186/s12891-022-05030-4")</f>
        <v>2754</v>
      </c>
      <c r="BL97" t="s" s="0">
        <v>83</v>
      </c>
      <c r="BM97" t="s" s="0">
        <v>83</v>
      </c>
      <c r="BN97" t="s" s="0">
        <v>211</v>
      </c>
      <c r="BO97" t="s" s="0">
        <v>1575</v>
      </c>
      <c r="BP97" t="s" s="0">
        <v>1575</v>
      </c>
      <c r="BQ97" t="s" s="0">
        <v>2755</v>
      </c>
      <c r="BR97" t="s" s="0">
        <v>2756</v>
      </c>
      <c r="BS97" t="s" s="0">
        <v>2757</v>
      </c>
      <c r="BT97" t="s" s="192">
        <f>HYPERLINK("https://www.webofscience.com/wos/woscc/full-record/WOS:000749186900003","View Record in Web of Science")</f>
        <v>126</v>
      </c>
      <c r="BU97" t="s" s="0">
        <v>868</v>
      </c>
      <c r="BV97" t="s" s="0">
        <v>83</v>
      </c>
      <c r="BW97" t="s" s="0">
        <v>83</v>
      </c>
      <c r="BX97" t="s" s="0">
        <v>130</v>
      </c>
    </row>
    <row r="98">
      <c r="A98" t="s" s="0">
        <v>78</v>
      </c>
      <c r="B98" t="s" s="0">
        <v>78</v>
      </c>
      <c r="C98" t="s" s="0">
        <v>78</v>
      </c>
      <c r="D98" t="s" s="0">
        <v>78</v>
      </c>
      <c r="E98" t="s" s="0">
        <v>2758</v>
      </c>
      <c r="F98" t="s" s="0">
        <v>2759</v>
      </c>
      <c r="G98" t="s" s="0">
        <v>2760</v>
      </c>
      <c r="H98" t="s" s="0">
        <v>83</v>
      </c>
      <c r="I98" t="s" s="0">
        <v>174</v>
      </c>
      <c r="J98" t="s" s="0">
        <v>2761</v>
      </c>
      <c r="K98" t="s" s="0">
        <v>2762</v>
      </c>
      <c r="L98" t="s" s="0">
        <v>2763</v>
      </c>
      <c r="M98" t="s" s="0">
        <v>2764</v>
      </c>
      <c r="N98" t="s" s="0">
        <v>2765</v>
      </c>
      <c r="O98" t="s" s="0">
        <v>2766</v>
      </c>
      <c r="P98" t="s" s="0">
        <v>2767</v>
      </c>
      <c r="Q98" t="s" s="0">
        <v>92</v>
      </c>
      <c r="R98" t="s" s="0">
        <v>83</v>
      </c>
      <c r="S98" t="s" s="0">
        <v>83</v>
      </c>
      <c r="T98" t="s" s="0">
        <v>83</v>
      </c>
      <c r="U98" t="s" s="0">
        <v>83</v>
      </c>
      <c r="V98" t="s" s="0">
        <v>2768</v>
      </c>
      <c r="W98" t="s" s="0">
        <v>657</v>
      </c>
      <c r="X98" t="s" s="0">
        <v>83</v>
      </c>
      <c r="Y98" t="s" s="0">
        <v>83</v>
      </c>
      <c r="Z98" t="s" s="0">
        <v>95</v>
      </c>
      <c r="AA98" t="s" s="0">
        <v>96</v>
      </c>
      <c r="AB98" t="s" s="0">
        <v>83</v>
      </c>
      <c r="AC98" t="s" s="0">
        <v>83</v>
      </c>
      <c r="AD98" t="s" s="0">
        <v>83</v>
      </c>
      <c r="AE98" t="s" s="0">
        <v>83</v>
      </c>
      <c r="AF98" t="s" s="0">
        <v>83</v>
      </c>
      <c r="AG98" t="s" s="0">
        <v>2769</v>
      </c>
      <c r="AH98" t="s" s="0">
        <v>2770</v>
      </c>
      <c r="AI98" t="s" s="0">
        <v>2771</v>
      </c>
      <c r="AJ98" t="s" s="0">
        <v>2772</v>
      </c>
      <c r="AK98" t="s" s="0">
        <v>83</v>
      </c>
      <c r="AL98" t="s" s="0">
        <v>358</v>
      </c>
      <c r="AM98" t="s" s="0">
        <v>115</v>
      </c>
      <c r="AN98" t="s" s="0">
        <v>115</v>
      </c>
      <c r="AO98" t="s" s="0">
        <v>78</v>
      </c>
      <c r="AP98" t="s" s="0">
        <v>115</v>
      </c>
      <c r="AQ98" t="s" s="0">
        <v>661</v>
      </c>
      <c r="AR98" t="s" s="0">
        <v>106</v>
      </c>
      <c r="AS98" t="s" s="0">
        <v>662</v>
      </c>
      <c r="AT98" t="s" s="0">
        <v>83</v>
      </c>
      <c r="AU98" t="s" s="0">
        <v>663</v>
      </c>
      <c r="AV98" t="s" s="0">
        <v>83</v>
      </c>
      <c r="AW98" t="s" s="0">
        <v>664</v>
      </c>
      <c r="AX98" t="s" s="0">
        <v>665</v>
      </c>
      <c r="AY98" t="s" s="0">
        <v>2773</v>
      </c>
      <c r="AZ98" t="s" s="0">
        <v>159</v>
      </c>
      <c r="BA98" t="s" s="0">
        <v>165</v>
      </c>
      <c r="BB98" t="s" s="0">
        <v>115</v>
      </c>
      <c r="BC98" t="s" s="0">
        <v>83</v>
      </c>
      <c r="BD98" t="s" s="0">
        <v>83</v>
      </c>
      <c r="BE98" t="s" s="0">
        <v>83</v>
      </c>
      <c r="BF98" t="s" s="0">
        <v>83</v>
      </c>
      <c r="BG98" t="s" s="0">
        <v>83</v>
      </c>
      <c r="BH98" t="s" s="0">
        <v>83</v>
      </c>
      <c r="BI98" t="s" s="0">
        <v>161</v>
      </c>
      <c r="BJ98" t="s" s="0">
        <v>2774</v>
      </c>
      <c r="BK98" t="s" s="193">
        <f>HYPERLINK("http://dx.doi.org/10.1186/s41512-025-00205-8","http://dx.doi.org/10.1186/s41512-025-00205-8")</f>
        <v>2775</v>
      </c>
      <c r="BL98" t="s" s="0">
        <v>83</v>
      </c>
      <c r="BM98" t="s" s="0">
        <v>83</v>
      </c>
      <c r="BN98" t="s" s="0">
        <v>231</v>
      </c>
      <c r="BO98" t="s" s="0">
        <v>669</v>
      </c>
      <c r="BP98" t="s" s="0">
        <v>670</v>
      </c>
      <c r="BQ98" t="s" s="0">
        <v>2776</v>
      </c>
      <c r="BR98" t="s" s="0">
        <v>2777</v>
      </c>
      <c r="BS98" t="s" s="0">
        <v>2778</v>
      </c>
      <c r="BT98" t="s" s="194">
        <f>HYPERLINK("https://www.webofscience.com/wos/woscc/full-record/WOS:001565038200001","View Record in Web of Science")</f>
        <v>126</v>
      </c>
      <c r="BU98" t="s" s="0">
        <v>210</v>
      </c>
      <c r="BV98" t="s" s="0">
        <v>83</v>
      </c>
      <c r="BW98" t="s" s="0">
        <v>83</v>
      </c>
      <c r="BX98" t="s" s="0">
        <v>130</v>
      </c>
    </row>
    <row r="99">
      <c r="A99" t="s" s="0">
        <v>78</v>
      </c>
      <c r="B99" t="s" s="0">
        <v>78</v>
      </c>
      <c r="C99" t="s" s="0">
        <v>115</v>
      </c>
      <c r="D99" t="s" s="0">
        <v>78</v>
      </c>
      <c r="E99" t="s" s="0">
        <v>2779</v>
      </c>
      <c r="F99" t="s" s="0">
        <v>2780</v>
      </c>
      <c r="G99" t="s" s="0">
        <v>2781</v>
      </c>
      <c r="H99" t="s" s="0">
        <v>83</v>
      </c>
      <c r="I99" t="s" s="0">
        <v>84</v>
      </c>
      <c r="J99" t="s" s="0">
        <v>2782</v>
      </c>
      <c r="K99" t="s" s="0">
        <v>2783</v>
      </c>
      <c r="L99" t="s" s="0">
        <v>83</v>
      </c>
      <c r="M99" t="s" s="0">
        <v>83</v>
      </c>
      <c r="N99" t="s" s="0">
        <v>83</v>
      </c>
      <c r="O99" t="s" s="0">
        <v>2784</v>
      </c>
      <c r="P99" t="s" s="0">
        <v>2785</v>
      </c>
      <c r="Q99" t="s" s="0">
        <v>92</v>
      </c>
      <c r="R99" t="s" s="0">
        <v>83</v>
      </c>
      <c r="S99" t="s" s="0">
        <v>83</v>
      </c>
      <c r="T99" t="s" s="0">
        <v>83</v>
      </c>
      <c r="U99" t="s" s="0">
        <v>83</v>
      </c>
      <c r="V99" t="s" s="0">
        <v>2786</v>
      </c>
      <c r="W99" t="s" s="0">
        <v>2787</v>
      </c>
      <c r="X99" t="s" s="0">
        <v>83</v>
      </c>
      <c r="Y99" t="s" s="0">
        <v>83</v>
      </c>
      <c r="Z99" t="s" s="0">
        <v>95</v>
      </c>
      <c r="AA99" t="s" s="0">
        <v>96</v>
      </c>
      <c r="AB99" t="s" s="0">
        <v>83</v>
      </c>
      <c r="AC99" t="s" s="0">
        <v>83</v>
      </c>
      <c r="AD99" t="s" s="0">
        <v>83</v>
      </c>
      <c r="AE99" t="s" s="0">
        <v>83</v>
      </c>
      <c r="AF99" t="s" s="0">
        <v>83</v>
      </c>
      <c r="AG99" t="s" s="0">
        <v>2788</v>
      </c>
      <c r="AH99" t="s" s="0">
        <v>2789</v>
      </c>
      <c r="AI99" t="s" s="0">
        <v>2790</v>
      </c>
      <c r="AJ99" t="s" s="0">
        <v>2791</v>
      </c>
      <c r="AK99" t="s" s="0">
        <v>83</v>
      </c>
      <c r="AL99" t="s" s="0">
        <v>1000</v>
      </c>
      <c r="AM99" t="s" s="0">
        <v>150</v>
      </c>
      <c r="AN99" t="s" s="0">
        <v>150</v>
      </c>
      <c r="AO99" t="s" s="0">
        <v>78</v>
      </c>
      <c r="AP99" t="s" s="0">
        <v>150</v>
      </c>
      <c r="AQ99" t="s" s="0">
        <v>2792</v>
      </c>
      <c r="AR99" t="s" s="0">
        <v>2793</v>
      </c>
      <c r="AS99" t="s" s="0">
        <v>2794</v>
      </c>
      <c r="AT99" t="s" s="0">
        <v>2795</v>
      </c>
      <c r="AU99" t="s" s="0">
        <v>2796</v>
      </c>
      <c r="AV99" t="s" s="0">
        <v>83</v>
      </c>
      <c r="AW99" t="s" s="0">
        <v>2797</v>
      </c>
      <c r="AX99" t="s" s="0">
        <v>2798</v>
      </c>
      <c r="AY99" t="s" s="0">
        <v>241</v>
      </c>
      <c r="AZ99" t="s" s="0">
        <v>241</v>
      </c>
      <c r="BA99" t="s" s="0">
        <v>437</v>
      </c>
      <c r="BB99" t="s" s="0">
        <v>83</v>
      </c>
      <c r="BC99" t="s" s="0">
        <v>83</v>
      </c>
      <c r="BD99" t="s" s="0">
        <v>83</v>
      </c>
      <c r="BE99" t="s" s="0">
        <v>83</v>
      </c>
      <c r="BF99" t="s" s="0">
        <v>83</v>
      </c>
      <c r="BG99" t="s" s="0">
        <v>83</v>
      </c>
      <c r="BH99" t="s" s="0">
        <v>83</v>
      </c>
      <c r="BI99" t="s" s="0">
        <v>2799</v>
      </c>
      <c r="BJ99" t="s" s="0">
        <v>2800</v>
      </c>
      <c r="BK99" t="s" s="195">
        <f>HYPERLINK("http://dx.doi.org/10.1177/15330338231173504","http://dx.doi.org/10.1177/15330338231173504")</f>
        <v>2801</v>
      </c>
      <c r="BL99" t="s" s="0">
        <v>83</v>
      </c>
      <c r="BM99" t="s" s="0">
        <v>83</v>
      </c>
      <c r="BN99" t="s" s="0">
        <v>165</v>
      </c>
      <c r="BO99" t="s" s="0">
        <v>840</v>
      </c>
      <c r="BP99" t="s" s="0">
        <v>840</v>
      </c>
      <c r="BQ99" t="s" s="0">
        <v>2802</v>
      </c>
      <c r="BR99" t="s" s="0">
        <v>2803</v>
      </c>
      <c r="BS99" t="s" s="0">
        <v>2804</v>
      </c>
      <c r="BT99" t="s" s="196">
        <f>HYPERLINK("https://www.webofscience.com/wos/woscc/full-record/WOS:000988573800001","View Record in Web of Science")</f>
        <v>126</v>
      </c>
      <c r="BU99" t="s" s="0">
        <v>210</v>
      </c>
      <c r="BV99" t="s" s="0">
        <v>83</v>
      </c>
      <c r="BW99" t="s" s="0">
        <v>83</v>
      </c>
      <c r="BX99" t="s" s="0">
        <v>130</v>
      </c>
    </row>
    <row r="100">
      <c r="A100" t="s" s="0">
        <v>78</v>
      </c>
      <c r="B100" t="s" s="0">
        <v>78</v>
      </c>
      <c r="C100" t="s" s="0">
        <v>78</v>
      </c>
      <c r="D100" t="s" s="0">
        <v>78</v>
      </c>
      <c r="E100" t="s" s="0">
        <v>2805</v>
      </c>
      <c r="F100" t="s" s="0">
        <v>2806</v>
      </c>
      <c r="G100" t="s" s="0">
        <v>2807</v>
      </c>
      <c r="H100" t="s" s="0">
        <v>83</v>
      </c>
      <c r="I100" t="s" s="0">
        <v>174</v>
      </c>
      <c r="J100" t="s" s="0">
        <v>2808</v>
      </c>
      <c r="K100" t="s" s="0">
        <v>2809</v>
      </c>
      <c r="L100" t="s" s="0">
        <v>83</v>
      </c>
      <c r="M100" t="s" s="0">
        <v>83</v>
      </c>
      <c r="N100" t="s" s="0">
        <v>83</v>
      </c>
      <c r="O100" t="s" s="0">
        <v>2810</v>
      </c>
      <c r="P100" t="s" s="0">
        <v>2811</v>
      </c>
      <c r="Q100" t="s" s="0">
        <v>92</v>
      </c>
      <c r="R100" t="s" s="0">
        <v>83</v>
      </c>
      <c r="S100" t="s" s="0">
        <v>83</v>
      </c>
      <c r="T100" t="s" s="0">
        <v>83</v>
      </c>
      <c r="U100" t="s" s="0">
        <v>83</v>
      </c>
      <c r="V100" t="s" s="0">
        <v>2812</v>
      </c>
      <c r="W100" t="s" s="0">
        <v>2813</v>
      </c>
      <c r="X100" t="s" s="0">
        <v>83</v>
      </c>
      <c r="Y100" t="s" s="0">
        <v>83</v>
      </c>
      <c r="Z100" t="s" s="0">
        <v>2814</v>
      </c>
      <c r="AA100" t="s" s="0">
        <v>96</v>
      </c>
      <c r="AB100" t="s" s="0">
        <v>83</v>
      </c>
      <c r="AC100" t="s" s="0">
        <v>83</v>
      </c>
      <c r="AD100" t="s" s="0">
        <v>83</v>
      </c>
      <c r="AE100" t="s" s="0">
        <v>83</v>
      </c>
      <c r="AF100" t="s" s="0">
        <v>83</v>
      </c>
      <c r="AG100" t="s" s="0">
        <v>2815</v>
      </c>
      <c r="AH100" t="s" s="0">
        <v>2816</v>
      </c>
      <c r="AI100" t="s" s="0">
        <v>83</v>
      </c>
      <c r="AJ100" t="s" s="0">
        <v>83</v>
      </c>
      <c r="AK100" t="s" s="0">
        <v>83</v>
      </c>
      <c r="AL100" t="s" s="0">
        <v>417</v>
      </c>
      <c r="AM100" t="s" s="0">
        <v>78</v>
      </c>
      <c r="AN100" t="s" s="0">
        <v>78</v>
      </c>
      <c r="AO100" t="s" s="0">
        <v>78</v>
      </c>
      <c r="AP100" t="s" s="0">
        <v>78</v>
      </c>
      <c r="AQ100" t="s" s="0">
        <v>2817</v>
      </c>
      <c r="AR100" t="s" s="0">
        <v>2818</v>
      </c>
      <c r="AS100" t="s" s="0">
        <v>2819</v>
      </c>
      <c r="AT100" t="s" s="0">
        <v>2820</v>
      </c>
      <c r="AU100" t="s" s="0">
        <v>2821</v>
      </c>
      <c r="AV100" t="s" s="0">
        <v>83</v>
      </c>
      <c r="AW100" t="s" s="0">
        <v>2822</v>
      </c>
      <c r="AX100" t="s" s="0">
        <v>2823</v>
      </c>
      <c r="AY100" t="s" s="0">
        <v>2824</v>
      </c>
      <c r="AZ100" t="s" s="0">
        <v>1680</v>
      </c>
      <c r="BA100" t="s" s="0">
        <v>231</v>
      </c>
      <c r="BB100" t="s" s="0">
        <v>83</v>
      </c>
      <c r="BC100" t="s" s="0">
        <v>83</v>
      </c>
      <c r="BD100" t="s" s="0">
        <v>83</v>
      </c>
      <c r="BE100" t="s" s="0">
        <v>545</v>
      </c>
      <c r="BF100" t="s" s="0">
        <v>83</v>
      </c>
      <c r="BG100" t="s" s="0">
        <v>2825</v>
      </c>
      <c r="BH100" t="s" s="0">
        <v>2826</v>
      </c>
      <c r="BI100" t="s" s="0">
        <v>83</v>
      </c>
      <c r="BJ100" t="s" s="0">
        <v>2827</v>
      </c>
      <c r="BK100" t="s" s="197">
        <f>HYPERLINK("http://dx.doi.org/10.4328/JCAM.2370","http://dx.doi.org/10.4328/JCAM.2370")</f>
        <v>2828</v>
      </c>
      <c r="BL100" t="s" s="0">
        <v>83</v>
      </c>
      <c r="BM100" t="s" s="0">
        <v>83</v>
      </c>
      <c r="BN100" t="s" s="0">
        <v>281</v>
      </c>
      <c r="BO100" t="s" s="0">
        <v>669</v>
      </c>
      <c r="BP100" t="s" s="0">
        <v>670</v>
      </c>
      <c r="BQ100" t="s" s="0">
        <v>2829</v>
      </c>
      <c r="BR100" t="s" s="0">
        <v>83</v>
      </c>
      <c r="BS100" t="s" s="0">
        <v>2830</v>
      </c>
      <c r="BT100" t="s" s="198">
        <f>HYPERLINK("https://www.webofscience.com/wos/woscc/full-record/WOS:000215591800042","View Record in Web of Science")</f>
        <v>126</v>
      </c>
      <c r="BU100" t="s" s="0">
        <v>357</v>
      </c>
      <c r="BV100" t="s" s="0">
        <v>83</v>
      </c>
      <c r="BW100" t="s" s="0">
        <v>83</v>
      </c>
      <c r="BX100" t="s" s="0">
        <v>130</v>
      </c>
    </row>
    <row r="101">
      <c r="A101" t="s" s="0">
        <v>78</v>
      </c>
      <c r="B101" t="s" s="0">
        <v>78</v>
      </c>
      <c r="C101" t="s" s="0">
        <v>77</v>
      </c>
      <c r="D101" t="s" s="0">
        <v>78</v>
      </c>
      <c r="E101" t="s" s="0">
        <v>2831</v>
      </c>
      <c r="F101" t="s" s="0">
        <v>2832</v>
      </c>
      <c r="G101" t="s" s="0">
        <v>2833</v>
      </c>
      <c r="H101" t="s" s="0">
        <v>83</v>
      </c>
      <c r="I101" t="s" s="0">
        <v>84</v>
      </c>
      <c r="J101" t="s" s="0">
        <v>2834</v>
      </c>
      <c r="K101" t="s" s="0">
        <v>2835</v>
      </c>
      <c r="L101" t="s" s="0">
        <v>2836</v>
      </c>
      <c r="M101" t="s" s="0">
        <v>2837</v>
      </c>
      <c r="N101" t="s" s="0">
        <v>83</v>
      </c>
      <c r="O101" t="s" s="0">
        <v>2838</v>
      </c>
      <c r="P101" t="s" s="0">
        <v>2839</v>
      </c>
      <c r="Q101" t="s" s="0">
        <v>92</v>
      </c>
      <c r="R101" t="s" s="0">
        <v>83</v>
      </c>
      <c r="S101" t="s" s="0">
        <v>83</v>
      </c>
      <c r="T101" t="s" s="0">
        <v>83</v>
      </c>
      <c r="U101" t="s" s="0">
        <v>83</v>
      </c>
      <c r="V101" t="s" s="0">
        <v>2840</v>
      </c>
      <c r="W101" t="s" s="0">
        <v>1235</v>
      </c>
      <c r="X101" t="s" s="0">
        <v>83</v>
      </c>
      <c r="Y101" t="s" s="0">
        <v>83</v>
      </c>
      <c r="Z101" t="s" s="0">
        <v>95</v>
      </c>
      <c r="AA101" t="s" s="0">
        <v>96</v>
      </c>
      <c r="AB101" t="s" s="0">
        <v>83</v>
      </c>
      <c r="AC101" t="s" s="0">
        <v>83</v>
      </c>
      <c r="AD101" t="s" s="0">
        <v>83</v>
      </c>
      <c r="AE101" t="s" s="0">
        <v>83</v>
      </c>
      <c r="AF101" t="s" s="0">
        <v>83</v>
      </c>
      <c r="AG101" t="s" s="0">
        <v>2841</v>
      </c>
      <c r="AH101" t="s" s="0">
        <v>2842</v>
      </c>
      <c r="AI101" t="s" s="0">
        <v>2843</v>
      </c>
      <c r="AJ101" t="s" s="0">
        <v>2844</v>
      </c>
      <c r="AK101" t="s" s="0">
        <v>83</v>
      </c>
      <c r="AL101" t="s" s="0">
        <v>1591</v>
      </c>
      <c r="AM101" t="s" s="0">
        <v>248</v>
      </c>
      <c r="AN101" t="s" s="0">
        <v>417</v>
      </c>
      <c r="AO101" t="s" s="0">
        <v>78</v>
      </c>
      <c r="AP101" t="s" s="0">
        <v>115</v>
      </c>
      <c r="AQ101" t="s" s="0">
        <v>830</v>
      </c>
      <c r="AR101" t="s" s="0">
        <v>831</v>
      </c>
      <c r="AS101" t="s" s="0">
        <v>832</v>
      </c>
      <c r="AT101" t="s" s="0">
        <v>83</v>
      </c>
      <c r="AU101" t="s" s="0">
        <v>1240</v>
      </c>
      <c r="AV101" t="s" s="0">
        <v>83</v>
      </c>
      <c r="AW101" t="s" s="0">
        <v>1241</v>
      </c>
      <c r="AX101" t="s" s="0">
        <v>1242</v>
      </c>
      <c r="AY101" t="s" s="0">
        <v>2845</v>
      </c>
      <c r="AZ101" t="s" s="0">
        <v>1403</v>
      </c>
      <c r="BA101" t="s" s="0">
        <v>77</v>
      </c>
      <c r="BB101" t="s" s="0">
        <v>83</v>
      </c>
      <c r="BC101" t="s" s="0">
        <v>83</v>
      </c>
      <c r="BD101" t="s" s="0">
        <v>83</v>
      </c>
      <c r="BE101" t="s" s="0">
        <v>83</v>
      </c>
      <c r="BF101" t="s" s="0">
        <v>83</v>
      </c>
      <c r="BG101" t="s" s="0">
        <v>83</v>
      </c>
      <c r="BH101" t="s" s="0">
        <v>83</v>
      </c>
      <c r="BI101" t="s" s="0">
        <v>1747</v>
      </c>
      <c r="BJ101" t="s" s="0">
        <v>2846</v>
      </c>
      <c r="BK101" t="s" s="199">
        <f>HYPERLINK("http://dx.doi.org/10.3389/fmed.2017.00041","http://dx.doi.org/10.3389/fmed.2017.00041")</f>
        <v>2847</v>
      </c>
      <c r="BL101" t="s" s="0">
        <v>83</v>
      </c>
      <c r="BM101" t="s" s="0">
        <v>83</v>
      </c>
      <c r="BN101" t="s" s="0">
        <v>211</v>
      </c>
      <c r="BO101" t="s" s="0">
        <v>669</v>
      </c>
      <c r="BP101" t="s" s="0">
        <v>670</v>
      </c>
      <c r="BQ101" t="s" s="0">
        <v>2848</v>
      </c>
      <c r="BR101" t="s" s="0">
        <v>2849</v>
      </c>
      <c r="BS101" t="s" s="0">
        <v>2850</v>
      </c>
      <c r="BT101" t="s" s="200">
        <f>HYPERLINK("https://www.webofscience.com/wos/woscc/full-record/WOS:000407110600001","View Record in Web of Science")</f>
        <v>126</v>
      </c>
      <c r="BU101" t="s" s="0">
        <v>210</v>
      </c>
      <c r="BV101" t="s" s="0">
        <v>83</v>
      </c>
      <c r="BW101" t="s" s="0">
        <v>83</v>
      </c>
      <c r="BX101" t="s" s="0">
        <v>130</v>
      </c>
    </row>
    <row r="102">
      <c r="A102" t="s" s="0">
        <v>115</v>
      </c>
      <c r="B102" t="s" s="0">
        <v>78</v>
      </c>
      <c r="C102" t="s" s="0">
        <v>437</v>
      </c>
      <c r="D102" t="s" s="0">
        <v>78</v>
      </c>
      <c r="E102" t="s" s="0">
        <v>2851</v>
      </c>
      <c r="F102" t="s" s="0">
        <v>2852</v>
      </c>
      <c r="G102" t="s" s="0">
        <v>2853</v>
      </c>
      <c r="H102" t="s" s="0">
        <v>83</v>
      </c>
      <c r="I102" t="s" s="0">
        <v>84</v>
      </c>
      <c r="J102" t="s" s="0">
        <v>2854</v>
      </c>
      <c r="K102" t="s" s="0">
        <v>2855</v>
      </c>
      <c r="L102" t="s" s="0">
        <v>2856</v>
      </c>
      <c r="M102" t="s" s="0">
        <v>2857</v>
      </c>
      <c r="N102" t="s" s="0">
        <v>2858</v>
      </c>
      <c r="O102" t="s" s="0">
        <v>2859</v>
      </c>
      <c r="P102" t="s" s="0">
        <v>2860</v>
      </c>
      <c r="Q102" t="s" s="0">
        <v>92</v>
      </c>
      <c r="R102" t="s" s="0">
        <v>83</v>
      </c>
      <c r="S102" t="s" s="0">
        <v>83</v>
      </c>
      <c r="T102" t="s" s="0">
        <v>83</v>
      </c>
      <c r="U102" t="s" s="0">
        <v>83</v>
      </c>
      <c r="V102" t="s" s="0">
        <v>2861</v>
      </c>
      <c r="W102" t="s" s="0">
        <v>2862</v>
      </c>
      <c r="X102" t="s" s="0">
        <v>83</v>
      </c>
      <c r="Y102" t="s" s="0">
        <v>83</v>
      </c>
      <c r="Z102" t="s" s="0">
        <v>95</v>
      </c>
      <c r="AA102" t="s" s="0">
        <v>96</v>
      </c>
      <c r="AB102" t="s" s="0">
        <v>83</v>
      </c>
      <c r="AC102" t="s" s="0">
        <v>83</v>
      </c>
      <c r="AD102" t="s" s="0">
        <v>83</v>
      </c>
      <c r="AE102" t="s" s="0">
        <v>83</v>
      </c>
      <c r="AF102" t="s" s="0">
        <v>83</v>
      </c>
      <c r="AG102" t="s" s="0">
        <v>2863</v>
      </c>
      <c r="AH102" t="s" s="0">
        <v>2864</v>
      </c>
      <c r="AI102" t="s" s="0">
        <v>2865</v>
      </c>
      <c r="AJ102" t="s" s="0">
        <v>2866</v>
      </c>
      <c r="AK102" t="s" s="0">
        <v>83</v>
      </c>
      <c r="AL102" t="s" s="0">
        <v>191</v>
      </c>
      <c r="AM102" t="s" s="0">
        <v>2867</v>
      </c>
      <c r="AN102" t="s" s="0">
        <v>1030</v>
      </c>
      <c r="AO102" t="s" s="0">
        <v>78</v>
      </c>
      <c r="AP102" t="s" s="0">
        <v>77</v>
      </c>
      <c r="AQ102" t="s" s="0">
        <v>1396</v>
      </c>
      <c r="AR102" t="s" s="0">
        <v>1091</v>
      </c>
      <c r="AS102" t="s" s="0">
        <v>1397</v>
      </c>
      <c r="AT102" t="s" s="0">
        <v>2868</v>
      </c>
      <c r="AU102" t="s" s="0">
        <v>2869</v>
      </c>
      <c r="AV102" t="s" s="0">
        <v>83</v>
      </c>
      <c r="AW102" t="s" s="0">
        <v>2870</v>
      </c>
      <c r="AX102" t="s" s="0">
        <v>2871</v>
      </c>
      <c r="AY102" t="s" s="0">
        <v>2872</v>
      </c>
      <c r="AZ102" t="s" s="0">
        <v>637</v>
      </c>
      <c r="BA102" t="s" s="0">
        <v>417</v>
      </c>
      <c r="BB102" t="s" s="0">
        <v>149</v>
      </c>
      <c r="BC102" t="s" s="0">
        <v>83</v>
      </c>
      <c r="BD102" t="s" s="0">
        <v>83</v>
      </c>
      <c r="BE102" t="s" s="0">
        <v>83</v>
      </c>
      <c r="BF102" t="s" s="0">
        <v>83</v>
      </c>
      <c r="BG102" t="s" s="0">
        <v>83</v>
      </c>
      <c r="BH102" t="s" s="0">
        <v>83</v>
      </c>
      <c r="BI102" t="s" s="0">
        <v>2873</v>
      </c>
      <c r="BJ102" t="s" s="0">
        <v>2874</v>
      </c>
      <c r="BK102" t="s" s="201">
        <f>HYPERLINK("http://dx.doi.org/10.1161/CIRCOUTCOMES.121.007858","http://dx.doi.org/10.1161/CIRCOUTCOMES.121.007858")</f>
        <v>2875</v>
      </c>
      <c r="BL102" t="s" s="0">
        <v>83</v>
      </c>
      <c r="BM102" t="s" s="0">
        <v>83</v>
      </c>
      <c r="BN102" t="s" s="0">
        <v>232</v>
      </c>
      <c r="BO102" t="s" s="0">
        <v>1133</v>
      </c>
      <c r="BP102" t="s" s="0">
        <v>1134</v>
      </c>
      <c r="BQ102" t="s" s="0">
        <v>2876</v>
      </c>
      <c r="BR102" t="s" s="0">
        <v>2877</v>
      </c>
      <c r="BS102" t="s" s="0">
        <v>2878</v>
      </c>
      <c r="BT102" t="s" s="202">
        <f>HYPERLINK("https://www.webofscience.com/wos/woscc/full-record/WOS:000685474900006","View Record in Web of Science")</f>
        <v>126</v>
      </c>
      <c r="BU102" t="s" s="0">
        <v>2879</v>
      </c>
      <c r="BV102" t="s" s="0">
        <v>83</v>
      </c>
      <c r="BW102" t="s" s="0">
        <v>83</v>
      </c>
      <c r="BX102" t="s" s="0">
        <v>130</v>
      </c>
    </row>
    <row r="103">
      <c r="A103" t="s" s="0">
        <v>165</v>
      </c>
      <c r="B103" t="s" s="0">
        <v>78</v>
      </c>
      <c r="C103" t="s" s="0">
        <v>1622</v>
      </c>
      <c r="D103" t="s" s="0">
        <v>115</v>
      </c>
      <c r="E103" t="s" s="0">
        <v>2880</v>
      </c>
      <c r="F103" t="s" s="0">
        <v>2881</v>
      </c>
      <c r="G103" t="s" s="0">
        <v>2882</v>
      </c>
      <c r="H103" t="s" s="0">
        <v>83</v>
      </c>
      <c r="I103" t="s" s="0">
        <v>84</v>
      </c>
      <c r="J103" t="s" s="0">
        <v>2883</v>
      </c>
      <c r="K103" t="s" s="0">
        <v>2884</v>
      </c>
      <c r="L103" t="s" s="0">
        <v>2885</v>
      </c>
      <c r="M103" t="s" s="0">
        <v>2886</v>
      </c>
      <c r="N103" t="s" s="0">
        <v>2887</v>
      </c>
      <c r="O103" t="s" s="0">
        <v>2888</v>
      </c>
      <c r="P103" t="s" s="0">
        <v>2889</v>
      </c>
      <c r="Q103" t="s" s="0">
        <v>92</v>
      </c>
      <c r="R103" t="s" s="0">
        <v>83</v>
      </c>
      <c r="S103" t="s" s="0">
        <v>83</v>
      </c>
      <c r="T103" t="s" s="0">
        <v>83</v>
      </c>
      <c r="U103" t="s" s="0">
        <v>83</v>
      </c>
      <c r="V103" t="s" s="0">
        <v>2890</v>
      </c>
      <c r="W103" t="s" s="0">
        <v>2234</v>
      </c>
      <c r="X103" t="s" s="0">
        <v>83</v>
      </c>
      <c r="Y103" t="s" s="0">
        <v>83</v>
      </c>
      <c r="Z103" t="s" s="0">
        <v>95</v>
      </c>
      <c r="AA103" t="s" s="0">
        <v>96</v>
      </c>
      <c r="AB103" t="s" s="0">
        <v>83</v>
      </c>
      <c r="AC103" t="s" s="0">
        <v>83</v>
      </c>
      <c r="AD103" t="s" s="0">
        <v>83</v>
      </c>
      <c r="AE103" t="s" s="0">
        <v>83</v>
      </c>
      <c r="AF103" t="s" s="0">
        <v>83</v>
      </c>
      <c r="AG103" t="s" s="0">
        <v>2891</v>
      </c>
      <c r="AH103" t="s" s="0">
        <v>2892</v>
      </c>
      <c r="AI103" t="s" s="0">
        <v>2893</v>
      </c>
      <c r="AJ103" t="s" s="0">
        <v>83</v>
      </c>
      <c r="AK103" t="s" s="0">
        <v>83</v>
      </c>
      <c r="AL103" t="s" s="0">
        <v>413</v>
      </c>
      <c r="AM103" t="s" s="0">
        <v>2894</v>
      </c>
      <c r="AN103" t="s" s="0">
        <v>2895</v>
      </c>
      <c r="AO103" t="s" s="0">
        <v>281</v>
      </c>
      <c r="AP103" t="s" s="0">
        <v>1653</v>
      </c>
      <c r="AQ103" t="s" s="0">
        <v>2103</v>
      </c>
      <c r="AR103" t="s" s="0">
        <v>2104</v>
      </c>
      <c r="AS103" t="s" s="0">
        <v>2105</v>
      </c>
      <c r="AT103" t="s" s="0">
        <v>2239</v>
      </c>
      <c r="AU103" t="s" s="0">
        <v>2240</v>
      </c>
      <c r="AV103" t="s" s="0">
        <v>83</v>
      </c>
      <c r="AW103" t="s" s="0">
        <v>2241</v>
      </c>
      <c r="AX103" t="s" s="0">
        <v>2242</v>
      </c>
      <c r="AY103" t="s" s="0">
        <v>2896</v>
      </c>
      <c r="AZ103" t="s" s="0">
        <v>785</v>
      </c>
      <c r="BA103" t="s" s="0">
        <v>232</v>
      </c>
      <c r="BB103" t="s" s="0">
        <v>83</v>
      </c>
      <c r="BC103" t="s" s="0">
        <v>2243</v>
      </c>
      <c r="BD103" t="s" s="0">
        <v>83</v>
      </c>
      <c r="BE103" t="s" s="0">
        <v>77</v>
      </c>
      <c r="BF103" t="s" s="0">
        <v>83</v>
      </c>
      <c r="BG103" t="s" s="0">
        <v>2897</v>
      </c>
      <c r="BH103" t="s" s="0">
        <v>2898</v>
      </c>
      <c r="BI103" t="s" s="0">
        <v>83</v>
      </c>
      <c r="BJ103" t="s" s="0">
        <v>2899</v>
      </c>
      <c r="BK103" t="s" s="203">
        <f>HYPERLINK("http://dx.doi.org/10.21037/jtd.2019.01.25","http://dx.doi.org/10.21037/jtd.2019.01.25")</f>
        <v>2900</v>
      </c>
      <c r="BL103" t="s" s="0">
        <v>83</v>
      </c>
      <c r="BM103" t="s" s="0">
        <v>83</v>
      </c>
      <c r="BN103" t="s" s="0">
        <v>232</v>
      </c>
      <c r="BO103" t="s" s="0">
        <v>2248</v>
      </c>
      <c r="BP103" t="s" s="0">
        <v>2248</v>
      </c>
      <c r="BQ103" t="s" s="0">
        <v>2901</v>
      </c>
      <c r="BR103" t="s" s="0">
        <v>2902</v>
      </c>
      <c r="BS103" t="s" s="0">
        <v>2903</v>
      </c>
      <c r="BT103" t="s" s="204">
        <f>HYPERLINK("https://www.webofscience.com/wos/woscc/full-record/WOS:000462698500011","View Record in Web of Science")</f>
        <v>126</v>
      </c>
      <c r="BU103" t="s" s="0">
        <v>1463</v>
      </c>
      <c r="BV103" t="s" s="0">
        <v>128</v>
      </c>
      <c r="BW103" t="s" s="0">
        <v>129</v>
      </c>
      <c r="BX103" t="s" s="0">
        <v>130</v>
      </c>
    </row>
    <row r="104">
      <c r="A104" t="s" s="0">
        <v>78</v>
      </c>
      <c r="B104" t="s" s="0">
        <v>78</v>
      </c>
      <c r="C104" t="s" s="0">
        <v>78</v>
      </c>
      <c r="D104" t="s" s="0">
        <v>78</v>
      </c>
      <c r="E104" t="s" s="0">
        <v>2904</v>
      </c>
      <c r="F104" t="s" s="0">
        <v>2905</v>
      </c>
      <c r="G104" t="s" s="0">
        <v>2906</v>
      </c>
      <c r="H104" t="s" s="0">
        <v>83</v>
      </c>
      <c r="I104" t="s" s="0">
        <v>84</v>
      </c>
      <c r="J104" t="s" s="0">
        <v>2907</v>
      </c>
      <c r="K104" t="s" s="0">
        <v>2908</v>
      </c>
      <c r="L104" t="s" s="0">
        <v>2909</v>
      </c>
      <c r="M104" t="s" s="0">
        <v>2909</v>
      </c>
      <c r="N104" t="s" s="0">
        <v>2910</v>
      </c>
      <c r="O104" t="s" s="0">
        <v>2911</v>
      </c>
      <c r="P104" t="s" s="0">
        <v>2912</v>
      </c>
      <c r="Q104" t="s" s="0">
        <v>92</v>
      </c>
      <c r="R104" t="s" s="0">
        <v>83</v>
      </c>
      <c r="S104" t="s" s="0">
        <v>83</v>
      </c>
      <c r="T104" t="s" s="0">
        <v>83</v>
      </c>
      <c r="U104" t="s" s="0">
        <v>83</v>
      </c>
      <c r="V104" t="s" s="0">
        <v>2913</v>
      </c>
      <c r="W104" t="s" s="0">
        <v>2914</v>
      </c>
      <c r="X104" t="s" s="0">
        <v>83</v>
      </c>
      <c r="Y104" t="s" s="0">
        <v>83</v>
      </c>
      <c r="Z104" t="s" s="0">
        <v>95</v>
      </c>
      <c r="AA104" t="s" s="0">
        <v>96</v>
      </c>
      <c r="AB104" t="s" s="0">
        <v>83</v>
      </c>
      <c r="AC104" t="s" s="0">
        <v>83</v>
      </c>
      <c r="AD104" t="s" s="0">
        <v>83</v>
      </c>
      <c r="AE104" t="s" s="0">
        <v>83</v>
      </c>
      <c r="AF104" t="s" s="0">
        <v>83</v>
      </c>
      <c r="AG104" t="s" s="0">
        <v>2915</v>
      </c>
      <c r="AH104" t="s" s="0">
        <v>2916</v>
      </c>
      <c r="AI104" t="s" s="0">
        <v>2917</v>
      </c>
      <c r="AJ104" t="s" s="0">
        <v>83</v>
      </c>
      <c r="AK104" t="s" s="0">
        <v>83</v>
      </c>
      <c r="AL104" t="s" s="0">
        <v>1979</v>
      </c>
      <c r="AM104" t="s" s="0">
        <v>78</v>
      </c>
      <c r="AN104" t="s" s="0">
        <v>78</v>
      </c>
      <c r="AO104" t="s" s="0">
        <v>77</v>
      </c>
      <c r="AP104" t="s" s="0">
        <v>77</v>
      </c>
      <c r="AQ104" t="s" s="0">
        <v>1267</v>
      </c>
      <c r="AR104" t="s" s="0">
        <v>234</v>
      </c>
      <c r="AS104" t="s" s="0">
        <v>1268</v>
      </c>
      <c r="AT104" t="s" s="0">
        <v>2918</v>
      </c>
      <c r="AU104" t="s" s="0">
        <v>2919</v>
      </c>
      <c r="AV104" t="s" s="0">
        <v>83</v>
      </c>
      <c r="AW104" t="s" s="0">
        <v>2920</v>
      </c>
      <c r="AX104" t="s" s="0">
        <v>2921</v>
      </c>
      <c r="AY104" t="s" s="0">
        <v>731</v>
      </c>
      <c r="AZ104" t="s" s="0">
        <v>511</v>
      </c>
      <c r="BA104" t="s" s="0">
        <v>147</v>
      </c>
      <c r="BB104" t="s" s="0">
        <v>545</v>
      </c>
      <c r="BC104" t="s" s="0">
        <v>83</v>
      </c>
      <c r="BD104" t="s" s="0">
        <v>83</v>
      </c>
      <c r="BE104" t="s" s="0">
        <v>83</v>
      </c>
      <c r="BF104" t="s" s="0">
        <v>83</v>
      </c>
      <c r="BG104" t="s" s="0">
        <v>2922</v>
      </c>
      <c r="BH104" t="s" s="0">
        <v>2923</v>
      </c>
      <c r="BI104" t="s" s="0">
        <v>83</v>
      </c>
      <c r="BJ104" t="s" s="0">
        <v>2924</v>
      </c>
      <c r="BK104" t="s" s="205">
        <f>HYPERLINK("http://dx.doi.org/10.1007/s11596-026-00200-0","http://dx.doi.org/10.1007/s11596-026-00200-0")</f>
        <v>2925</v>
      </c>
      <c r="BL104" t="s" s="0">
        <v>83</v>
      </c>
      <c r="BM104" t="s" s="0">
        <v>580</v>
      </c>
      <c r="BN104" t="s" s="0">
        <v>248</v>
      </c>
      <c r="BO104" t="s" s="0">
        <v>2926</v>
      </c>
      <c r="BP104" t="s" s="0">
        <v>2927</v>
      </c>
      <c r="BQ104" t="s" s="0">
        <v>2928</v>
      </c>
      <c r="BR104" t="s" s="0">
        <v>2929</v>
      </c>
      <c r="BS104" t="s" s="0">
        <v>2930</v>
      </c>
      <c r="BT104" t="s" s="206">
        <f>HYPERLINK("https://www.webofscience.com/wos/woscc/full-record/WOS:001751957100001","View Record in Web of Science")</f>
        <v>126</v>
      </c>
      <c r="BU104" t="s" s="0">
        <v>253</v>
      </c>
      <c r="BV104" t="s" s="0">
        <v>83</v>
      </c>
      <c r="BW104" t="s" s="0">
        <v>83</v>
      </c>
      <c r="BX104" t="s" s="0">
        <v>130</v>
      </c>
    </row>
    <row r="105">
      <c r="A105" t="s" s="0">
        <v>78</v>
      </c>
      <c r="B105" t="s" s="0">
        <v>78</v>
      </c>
      <c r="C105" t="s" s="0">
        <v>165</v>
      </c>
      <c r="D105" t="s" s="0">
        <v>78</v>
      </c>
      <c r="E105" t="s" s="0">
        <v>2931</v>
      </c>
      <c r="F105" t="s" s="0">
        <v>2932</v>
      </c>
      <c r="G105" t="s" s="0">
        <v>2933</v>
      </c>
      <c r="H105" t="s" s="0">
        <v>83</v>
      </c>
      <c r="I105" t="s" s="0">
        <v>257</v>
      </c>
      <c r="J105" t="s" s="0">
        <v>2934</v>
      </c>
      <c r="K105" t="s" s="0">
        <v>2935</v>
      </c>
      <c r="L105" t="s" s="0">
        <v>2936</v>
      </c>
      <c r="M105" t="s" s="0">
        <v>2937</v>
      </c>
      <c r="N105" t="s" s="0">
        <v>2938</v>
      </c>
      <c r="O105" t="s" s="0">
        <v>2939</v>
      </c>
      <c r="P105" t="s" s="0">
        <v>2940</v>
      </c>
      <c r="Q105" t="s" s="0">
        <v>92</v>
      </c>
      <c r="R105" t="s" s="0">
        <v>83</v>
      </c>
      <c r="S105" t="s" s="0">
        <v>83</v>
      </c>
      <c r="T105" t="s" s="0">
        <v>83</v>
      </c>
      <c r="U105" t="s" s="0">
        <v>83</v>
      </c>
      <c r="V105" t="s" s="0">
        <v>2941</v>
      </c>
      <c r="W105" t="s" s="0">
        <v>2942</v>
      </c>
      <c r="X105" t="s" s="0">
        <v>83</v>
      </c>
      <c r="Y105" t="s" s="0">
        <v>83</v>
      </c>
      <c r="Z105" t="s" s="0">
        <v>95</v>
      </c>
      <c r="AA105" t="s" s="0">
        <v>96</v>
      </c>
      <c r="AB105" t="s" s="0">
        <v>83</v>
      </c>
      <c r="AC105" t="s" s="0">
        <v>83</v>
      </c>
      <c r="AD105" t="s" s="0">
        <v>83</v>
      </c>
      <c r="AE105" t="s" s="0">
        <v>83</v>
      </c>
      <c r="AF105" t="s" s="0">
        <v>83</v>
      </c>
      <c r="AG105" t="s" s="0">
        <v>83</v>
      </c>
      <c r="AH105" t="s" s="0">
        <v>2943</v>
      </c>
      <c r="AI105" t="s" s="0">
        <v>83</v>
      </c>
      <c r="AJ105" t="s" s="0">
        <v>2944</v>
      </c>
      <c r="AK105" t="s" s="0">
        <v>83</v>
      </c>
      <c r="AL105" t="s" s="0">
        <v>2945</v>
      </c>
      <c r="AM105" t="s" s="0">
        <v>201</v>
      </c>
      <c r="AN105" t="s" s="0">
        <v>969</v>
      </c>
      <c r="AO105" t="s" s="0">
        <v>78</v>
      </c>
      <c r="AP105" t="s" s="0">
        <v>149</v>
      </c>
      <c r="AQ105" t="s" s="0">
        <v>233</v>
      </c>
      <c r="AR105" t="s" s="0">
        <v>234</v>
      </c>
      <c r="AS105" t="s" s="0">
        <v>311</v>
      </c>
      <c r="AT105" t="s" s="0">
        <v>2946</v>
      </c>
      <c r="AU105" t="s" s="0">
        <v>2947</v>
      </c>
      <c r="AV105" t="s" s="0">
        <v>83</v>
      </c>
      <c r="AW105" t="s" s="0">
        <v>2948</v>
      </c>
      <c r="AX105" t="s" s="0">
        <v>2949</v>
      </c>
      <c r="AY105" t="s" s="0">
        <v>2872</v>
      </c>
      <c r="AZ105" t="s" s="0">
        <v>637</v>
      </c>
      <c r="BA105" t="s" s="0">
        <v>2950</v>
      </c>
      <c r="BB105" t="s" s="0">
        <v>83</v>
      </c>
      <c r="BC105" t="s" s="0">
        <v>83</v>
      </c>
      <c r="BD105" t="s" s="0">
        <v>83</v>
      </c>
      <c r="BE105" t="s" s="0">
        <v>83</v>
      </c>
      <c r="BF105" t="s" s="0">
        <v>83</v>
      </c>
      <c r="BG105" t="s" s="0">
        <v>1901</v>
      </c>
      <c r="BH105" t="s" s="0">
        <v>2044</v>
      </c>
      <c r="BI105" t="s" s="0">
        <v>83</v>
      </c>
      <c r="BJ105" t="s" s="0">
        <v>2951</v>
      </c>
      <c r="BK105" t="s" s="207">
        <f>HYPERLINK("http://dx.doi.org/10.1016/j.trsl.2021.03.012","http://dx.doi.org/10.1016/j.trsl.2021.03.012")</f>
        <v>2952</v>
      </c>
      <c r="BL105" t="s" s="0">
        <v>83</v>
      </c>
      <c r="BM105" t="s" s="0">
        <v>2953</v>
      </c>
      <c r="BN105" t="s" s="0">
        <v>417</v>
      </c>
      <c r="BO105" t="s" s="0">
        <v>2954</v>
      </c>
      <c r="BP105" t="s" s="0">
        <v>2955</v>
      </c>
      <c r="BQ105" t="s" s="0">
        <v>2956</v>
      </c>
      <c r="BR105" t="s" s="0">
        <v>2957</v>
      </c>
      <c r="BS105" t="s" s="0">
        <v>2958</v>
      </c>
      <c r="BT105" t="s" s="208">
        <f>HYPERLINK("https://www.webofscience.com/wos/woscc/full-record/WOS:000661683600006","View Record in Web of Science")</f>
        <v>126</v>
      </c>
      <c r="BU105" t="s" s="0">
        <v>127</v>
      </c>
      <c r="BV105" t="s" s="0">
        <v>83</v>
      </c>
      <c r="BW105" t="s" s="0">
        <v>83</v>
      </c>
      <c r="BX105" t="s" s="0">
        <v>130</v>
      </c>
    </row>
    <row r="106">
      <c r="A106" t="s" s="0">
        <v>78</v>
      </c>
      <c r="B106" t="s" s="0">
        <v>78</v>
      </c>
      <c r="C106" t="s" s="0">
        <v>148</v>
      </c>
      <c r="D106" t="s" s="0">
        <v>78</v>
      </c>
      <c r="E106" t="s" s="0">
        <v>2959</v>
      </c>
      <c r="F106" t="s" s="0">
        <v>2960</v>
      </c>
      <c r="G106" t="s" s="0">
        <v>2961</v>
      </c>
      <c r="H106" t="s" s="0">
        <v>83</v>
      </c>
      <c r="I106" t="s" s="0">
        <v>84</v>
      </c>
      <c r="J106" t="s" s="0">
        <v>2962</v>
      </c>
      <c r="K106" t="s" s="0">
        <v>2963</v>
      </c>
      <c r="L106" t="s" s="0">
        <v>83</v>
      </c>
      <c r="M106" t="s" s="0">
        <v>83</v>
      </c>
      <c r="N106" t="s" s="0">
        <v>83</v>
      </c>
      <c r="O106" t="s" s="0">
        <v>2964</v>
      </c>
      <c r="P106" t="s" s="0">
        <v>2965</v>
      </c>
      <c r="Q106" t="s" s="0">
        <v>92</v>
      </c>
      <c r="R106" t="s" s="0">
        <v>83</v>
      </c>
      <c r="S106" t="s" s="0">
        <v>83</v>
      </c>
      <c r="T106" t="s" s="0">
        <v>83</v>
      </c>
      <c r="U106" t="s" s="0">
        <v>83</v>
      </c>
      <c r="V106" t="s" s="0">
        <v>2966</v>
      </c>
      <c r="W106" t="s" s="0">
        <v>2967</v>
      </c>
      <c r="X106" t="s" s="0">
        <v>83</v>
      </c>
      <c r="Y106" t="s" s="0">
        <v>83</v>
      </c>
      <c r="Z106" t="s" s="0">
        <v>95</v>
      </c>
      <c r="AA106" t="s" s="0">
        <v>96</v>
      </c>
      <c r="AB106" t="s" s="0">
        <v>83</v>
      </c>
      <c r="AC106" t="s" s="0">
        <v>83</v>
      </c>
      <c r="AD106" t="s" s="0">
        <v>83</v>
      </c>
      <c r="AE106" t="s" s="0">
        <v>83</v>
      </c>
      <c r="AF106" t="s" s="0">
        <v>83</v>
      </c>
      <c r="AG106" t="s" s="0">
        <v>2968</v>
      </c>
      <c r="AH106" t="s" s="0">
        <v>2969</v>
      </c>
      <c r="AI106" t="s" s="0">
        <v>2970</v>
      </c>
      <c r="AJ106" t="s" s="0">
        <v>2971</v>
      </c>
      <c r="AK106" t="s" s="0">
        <v>83</v>
      </c>
      <c r="AL106" t="s" s="0">
        <v>160</v>
      </c>
      <c r="AM106" t="s" s="0">
        <v>120</v>
      </c>
      <c r="AN106" t="s" s="0">
        <v>417</v>
      </c>
      <c r="AO106" t="s" s="0">
        <v>115</v>
      </c>
      <c r="AP106" t="s" s="0">
        <v>248</v>
      </c>
      <c r="AQ106" t="s" s="0">
        <v>2972</v>
      </c>
      <c r="AR106" t="s" s="0">
        <v>1214</v>
      </c>
      <c r="AS106" t="s" s="0">
        <v>2973</v>
      </c>
      <c r="AT106" t="s" s="0">
        <v>2974</v>
      </c>
      <c r="AU106" t="s" s="0">
        <v>2975</v>
      </c>
      <c r="AV106" t="s" s="0">
        <v>83</v>
      </c>
      <c r="AW106" t="s" s="0">
        <v>2976</v>
      </c>
      <c r="AX106" t="s" s="0">
        <v>2977</v>
      </c>
      <c r="AY106" t="s" s="0">
        <v>2978</v>
      </c>
      <c r="AZ106" t="s" s="0">
        <v>113</v>
      </c>
      <c r="BA106" t="s" s="0">
        <v>201</v>
      </c>
      <c r="BB106" t="s" s="0">
        <v>281</v>
      </c>
      <c r="BC106" t="s" s="0">
        <v>83</v>
      </c>
      <c r="BD106" t="s" s="0">
        <v>83</v>
      </c>
      <c r="BE106" t="s" s="0">
        <v>83</v>
      </c>
      <c r="BF106" t="s" s="0">
        <v>83</v>
      </c>
      <c r="BG106" t="s" s="0">
        <v>2979</v>
      </c>
      <c r="BH106" t="s" s="0">
        <v>2980</v>
      </c>
      <c r="BI106" t="s" s="0">
        <v>83</v>
      </c>
      <c r="BJ106" t="s" s="0">
        <v>2981</v>
      </c>
      <c r="BK106" t="s" s="209">
        <f>HYPERLINK("http://dx.doi.org/10.1515/jpem-2018-0110","http://dx.doi.org/10.1515/jpem-2018-0110")</f>
        <v>2982</v>
      </c>
      <c r="BL106" t="s" s="0">
        <v>83</v>
      </c>
      <c r="BM106" t="s" s="0">
        <v>83</v>
      </c>
      <c r="BN106" t="s" s="0">
        <v>281</v>
      </c>
      <c r="BO106" t="s" s="0">
        <v>2983</v>
      </c>
      <c r="BP106" t="s" s="0">
        <v>2983</v>
      </c>
      <c r="BQ106" t="s" s="0">
        <v>2984</v>
      </c>
      <c r="BR106" t="s" s="0">
        <v>2985</v>
      </c>
      <c r="BS106" t="s" s="0">
        <v>2986</v>
      </c>
      <c r="BT106" t="s" s="210">
        <f>HYPERLINK("https://www.webofscience.com/wos/woscc/full-record/WOS:000431124900002","View Record in Web of Science")</f>
        <v>126</v>
      </c>
      <c r="BU106" t="s" s="0">
        <v>83</v>
      </c>
      <c r="BV106" t="s" s="0">
        <v>83</v>
      </c>
      <c r="BW106" t="s" s="0">
        <v>83</v>
      </c>
      <c r="BX106" t="s" s="0">
        <v>130</v>
      </c>
    </row>
    <row r="107">
      <c r="A107" t="s" s="0">
        <v>150</v>
      </c>
      <c r="B107" t="s" s="0">
        <v>78</v>
      </c>
      <c r="C107" t="s" s="0">
        <v>690</v>
      </c>
      <c r="D107" t="s" s="0">
        <v>115</v>
      </c>
      <c r="E107" t="s" s="0">
        <v>2987</v>
      </c>
      <c r="F107" t="s" s="0">
        <v>2988</v>
      </c>
      <c r="G107" t="s" s="0">
        <v>2989</v>
      </c>
      <c r="H107" t="s" s="0">
        <v>83</v>
      </c>
      <c r="I107" t="s" s="0">
        <v>84</v>
      </c>
      <c r="J107" t="s" s="0">
        <v>2990</v>
      </c>
      <c r="K107" t="s" s="0">
        <v>2991</v>
      </c>
      <c r="L107" t="s" s="0">
        <v>2992</v>
      </c>
      <c r="M107" t="s" s="0">
        <v>2993</v>
      </c>
      <c r="N107" t="s" s="0">
        <v>2994</v>
      </c>
      <c r="O107" t="s" s="0">
        <v>2995</v>
      </c>
      <c r="P107" t="s" s="0">
        <v>2996</v>
      </c>
      <c r="Q107" t="s" s="0">
        <v>92</v>
      </c>
      <c r="R107" t="s" s="0">
        <v>83</v>
      </c>
      <c r="S107" t="s" s="0">
        <v>83</v>
      </c>
      <c r="T107" t="s" s="0">
        <v>83</v>
      </c>
      <c r="U107" t="s" s="0">
        <v>83</v>
      </c>
      <c r="V107" t="s" s="0">
        <v>2997</v>
      </c>
      <c r="W107" t="s" s="0">
        <v>2998</v>
      </c>
      <c r="X107" t="s" s="0">
        <v>83</v>
      </c>
      <c r="Y107" t="s" s="0">
        <v>83</v>
      </c>
      <c r="Z107" t="s" s="0">
        <v>95</v>
      </c>
      <c r="AA107" t="s" s="0">
        <v>96</v>
      </c>
      <c r="AB107" t="s" s="0">
        <v>83</v>
      </c>
      <c r="AC107" t="s" s="0">
        <v>83</v>
      </c>
      <c r="AD107" t="s" s="0">
        <v>83</v>
      </c>
      <c r="AE107" t="s" s="0">
        <v>83</v>
      </c>
      <c r="AF107" t="s" s="0">
        <v>83</v>
      </c>
      <c r="AG107" t="s" s="0">
        <v>83</v>
      </c>
      <c r="AH107" t="s" s="0">
        <v>2999</v>
      </c>
      <c r="AI107" t="s" s="0">
        <v>3000</v>
      </c>
      <c r="AJ107" t="s" s="0">
        <v>3001</v>
      </c>
      <c r="AK107" t="s" s="0">
        <v>83</v>
      </c>
      <c r="AL107" t="s" s="0">
        <v>522</v>
      </c>
      <c r="AM107" t="s" s="0">
        <v>3002</v>
      </c>
      <c r="AN107" t="s" s="0">
        <v>1879</v>
      </c>
      <c r="AO107" t="s" s="0">
        <v>115</v>
      </c>
      <c r="AP107" t="s" s="0">
        <v>470</v>
      </c>
      <c r="AQ107" t="s" s="0">
        <v>661</v>
      </c>
      <c r="AR107" t="s" s="0">
        <v>106</v>
      </c>
      <c r="AS107" t="s" s="0">
        <v>662</v>
      </c>
      <c r="AT107" t="s" s="0">
        <v>3003</v>
      </c>
      <c r="AU107" t="s" s="0">
        <v>3004</v>
      </c>
      <c r="AV107" t="s" s="0">
        <v>83</v>
      </c>
      <c r="AW107" t="s" s="0">
        <v>3005</v>
      </c>
      <c r="AX107" t="s" s="0">
        <v>3006</v>
      </c>
      <c r="AY107" t="s" s="0">
        <v>3007</v>
      </c>
      <c r="AZ107" t="s" s="0">
        <v>279</v>
      </c>
      <c r="BA107" t="s" s="0">
        <v>114</v>
      </c>
      <c r="BB107" t="s" s="0">
        <v>231</v>
      </c>
      <c r="BC107" t="s" s="0">
        <v>83</v>
      </c>
      <c r="BD107" t="s" s="0">
        <v>83</v>
      </c>
      <c r="BE107" t="s" s="0">
        <v>83</v>
      </c>
      <c r="BF107" t="s" s="0">
        <v>83</v>
      </c>
      <c r="BG107" t="s" s="0">
        <v>3008</v>
      </c>
      <c r="BH107" t="s" s="0">
        <v>3009</v>
      </c>
      <c r="BI107" t="s" s="0">
        <v>83</v>
      </c>
      <c r="BJ107" t="s" s="0">
        <v>3010</v>
      </c>
      <c r="BK107" t="s" s="211">
        <f>HYPERLINK("http://dx.doi.org/10.1038/s41380-022-01528-4","http://dx.doi.org/10.1038/s41380-022-01528-4")</f>
        <v>3011</v>
      </c>
      <c r="BL107" t="s" s="0">
        <v>83</v>
      </c>
      <c r="BM107" t="s" s="0">
        <v>2215</v>
      </c>
      <c r="BN107" t="s" s="0">
        <v>165</v>
      </c>
      <c r="BO107" t="s" s="0">
        <v>3012</v>
      </c>
      <c r="BP107" t="s" s="0">
        <v>3013</v>
      </c>
      <c r="BQ107" t="s" s="0">
        <v>3014</v>
      </c>
      <c r="BR107" t="s" s="0">
        <v>3015</v>
      </c>
      <c r="BS107" t="s" s="0">
        <v>3016</v>
      </c>
      <c r="BT107" t="s" s="212">
        <f>HYPERLINK("https://www.webofscience.com/wos/woscc/full-record/WOS:000777289500002","View Record in Web of Science")</f>
        <v>126</v>
      </c>
      <c r="BU107" t="s" s="0">
        <v>292</v>
      </c>
      <c r="BV107" t="s" s="0">
        <v>128</v>
      </c>
      <c r="BW107" t="s" s="0">
        <v>129</v>
      </c>
      <c r="BX107" t="s" s="0">
        <v>130</v>
      </c>
    </row>
    <row r="108">
      <c r="A108" t="s" s="0">
        <v>78</v>
      </c>
      <c r="B108" t="s" s="0">
        <v>78</v>
      </c>
      <c r="C108" t="s" s="0">
        <v>115</v>
      </c>
      <c r="D108" t="s" s="0">
        <v>115</v>
      </c>
      <c r="E108" t="s" s="0">
        <v>3017</v>
      </c>
      <c r="F108" t="s" s="0">
        <v>3018</v>
      </c>
      <c r="G108" t="s" s="0">
        <v>3019</v>
      </c>
      <c r="H108" t="s" s="0">
        <v>83</v>
      </c>
      <c r="I108" t="s" s="0">
        <v>84</v>
      </c>
      <c r="J108" t="s" s="0">
        <v>3020</v>
      </c>
      <c r="K108" t="s" s="0">
        <v>3021</v>
      </c>
      <c r="L108" t="s" s="0">
        <v>3022</v>
      </c>
      <c r="M108" t="s" s="0">
        <v>3023</v>
      </c>
      <c r="N108" t="s" s="0">
        <v>3024</v>
      </c>
      <c r="O108" t="s" s="0">
        <v>3025</v>
      </c>
      <c r="P108" t="s" s="0">
        <v>3026</v>
      </c>
      <c r="Q108" t="s" s="0">
        <v>92</v>
      </c>
      <c r="R108" t="s" s="0">
        <v>83</v>
      </c>
      <c r="S108" t="s" s="0">
        <v>83</v>
      </c>
      <c r="T108" t="s" s="0">
        <v>83</v>
      </c>
      <c r="U108" t="s" s="0">
        <v>83</v>
      </c>
      <c r="V108" t="s" s="0">
        <v>3027</v>
      </c>
      <c r="W108" t="s" s="0">
        <v>369</v>
      </c>
      <c r="X108" t="s" s="0">
        <v>83</v>
      </c>
      <c r="Y108" t="s" s="0">
        <v>83</v>
      </c>
      <c r="Z108" t="s" s="0">
        <v>95</v>
      </c>
      <c r="AA108" t="s" s="0">
        <v>96</v>
      </c>
      <c r="AB108" t="s" s="0">
        <v>83</v>
      </c>
      <c r="AC108" t="s" s="0">
        <v>83</v>
      </c>
      <c r="AD108" t="s" s="0">
        <v>83</v>
      </c>
      <c r="AE108" t="s" s="0">
        <v>83</v>
      </c>
      <c r="AF108" t="s" s="0">
        <v>83</v>
      </c>
      <c r="AG108" t="s" s="0">
        <v>3028</v>
      </c>
      <c r="AH108" t="s" s="0">
        <v>3029</v>
      </c>
      <c r="AI108" t="s" s="0">
        <v>3030</v>
      </c>
      <c r="AJ108" t="s" s="0">
        <v>3031</v>
      </c>
      <c r="AK108" t="s" s="0">
        <v>83</v>
      </c>
      <c r="AL108" t="s" s="0">
        <v>522</v>
      </c>
      <c r="AM108" t="s" s="0">
        <v>384</v>
      </c>
      <c r="AN108" t="s" s="0">
        <v>358</v>
      </c>
      <c r="AO108" t="s" s="0">
        <v>78</v>
      </c>
      <c r="AP108" t="s" s="0">
        <v>149</v>
      </c>
      <c r="AQ108" t="s" s="0">
        <v>378</v>
      </c>
      <c r="AR108" t="s" s="0">
        <v>106</v>
      </c>
      <c r="AS108" t="s" s="0">
        <v>379</v>
      </c>
      <c r="AT108" t="s" s="0">
        <v>83</v>
      </c>
      <c r="AU108" t="s" s="0">
        <v>380</v>
      </c>
      <c r="AV108" t="s" s="0">
        <v>83</v>
      </c>
      <c r="AW108" t="s" s="0">
        <v>381</v>
      </c>
      <c r="AX108" t="s" s="0">
        <v>382</v>
      </c>
      <c r="AY108" t="s" s="0">
        <v>3032</v>
      </c>
      <c r="AZ108" t="s" s="0">
        <v>317</v>
      </c>
      <c r="BA108" t="s" s="0">
        <v>377</v>
      </c>
      <c r="BB108" t="s" s="0">
        <v>115</v>
      </c>
      <c r="BC108" t="s" s="0">
        <v>83</v>
      </c>
      <c r="BD108" t="s" s="0">
        <v>83</v>
      </c>
      <c r="BE108" t="s" s="0">
        <v>83</v>
      </c>
      <c r="BF108" t="s" s="0">
        <v>83</v>
      </c>
      <c r="BG108" t="s" s="0">
        <v>83</v>
      </c>
      <c r="BH108" t="s" s="0">
        <v>83</v>
      </c>
      <c r="BI108" t="s" s="0">
        <v>437</v>
      </c>
      <c r="BJ108" t="s" s="0">
        <v>3033</v>
      </c>
      <c r="BK108" t="s" s="213">
        <f>HYPERLINK("http://dx.doi.org/10.1186/s12874-020-0913-7","http://dx.doi.org/10.1186/s12874-020-0913-7")</f>
        <v>3034</v>
      </c>
      <c r="BL108" t="s" s="0">
        <v>83</v>
      </c>
      <c r="BM108" t="s" s="0">
        <v>83</v>
      </c>
      <c r="BN108" t="s" s="0">
        <v>248</v>
      </c>
      <c r="BO108" t="s" s="0">
        <v>387</v>
      </c>
      <c r="BP108" t="s" s="0">
        <v>387</v>
      </c>
      <c r="BQ108" t="s" s="0">
        <v>3035</v>
      </c>
      <c r="BR108" t="s" s="0">
        <v>3036</v>
      </c>
      <c r="BS108" t="s" s="0">
        <v>3037</v>
      </c>
      <c r="BT108" t="s" s="214">
        <f>HYPERLINK("https://www.webofscience.com/wos/woscc/full-record/WOS:000513699400003","View Record in Web of Science")</f>
        <v>126</v>
      </c>
      <c r="BU108" t="s" s="0">
        <v>3038</v>
      </c>
      <c r="BV108" t="s" s="0">
        <v>83</v>
      </c>
      <c r="BW108" t="s" s="0">
        <v>83</v>
      </c>
      <c r="BX108" t="s" s="0">
        <v>130</v>
      </c>
    </row>
    <row r="109">
      <c r="A109" t="s" s="0">
        <v>150</v>
      </c>
      <c r="B109" t="s" s="0">
        <v>78</v>
      </c>
      <c r="C109" t="s" s="0">
        <v>413</v>
      </c>
      <c r="D109" t="s" s="0">
        <v>78</v>
      </c>
      <c r="E109" t="s" s="0">
        <v>3039</v>
      </c>
      <c r="F109" t="s" s="0">
        <v>3040</v>
      </c>
      <c r="G109" t="s" s="0">
        <v>3041</v>
      </c>
      <c r="H109" t="s" s="0">
        <v>83</v>
      </c>
      <c r="I109" t="s" s="0">
        <v>84</v>
      </c>
      <c r="J109" t="s" s="0">
        <v>3042</v>
      </c>
      <c r="K109" t="s" s="0">
        <v>3043</v>
      </c>
      <c r="L109" t="s" s="0">
        <v>3044</v>
      </c>
      <c r="M109" t="s" s="0">
        <v>3045</v>
      </c>
      <c r="N109" t="s" s="0">
        <v>3046</v>
      </c>
      <c r="O109" t="s" s="0">
        <v>3047</v>
      </c>
      <c r="P109" t="s" s="0">
        <v>3048</v>
      </c>
      <c r="Q109" t="s" s="0">
        <v>92</v>
      </c>
      <c r="R109" t="s" s="0">
        <v>83</v>
      </c>
      <c r="S109" t="s" s="0">
        <v>83</v>
      </c>
      <c r="T109" t="s" s="0">
        <v>83</v>
      </c>
      <c r="U109" t="s" s="0">
        <v>83</v>
      </c>
      <c r="V109" t="s" s="0">
        <v>3049</v>
      </c>
      <c r="W109" t="s" s="0">
        <v>369</v>
      </c>
      <c r="X109" t="s" s="0">
        <v>83</v>
      </c>
      <c r="Y109" t="s" s="0">
        <v>83</v>
      </c>
      <c r="Z109" t="s" s="0">
        <v>95</v>
      </c>
      <c r="AA109" t="s" s="0">
        <v>96</v>
      </c>
      <c r="AB109" t="s" s="0">
        <v>83</v>
      </c>
      <c r="AC109" t="s" s="0">
        <v>83</v>
      </c>
      <c r="AD109" t="s" s="0">
        <v>83</v>
      </c>
      <c r="AE109" t="s" s="0">
        <v>83</v>
      </c>
      <c r="AF109" t="s" s="0">
        <v>83</v>
      </c>
      <c r="AG109" t="s" s="0">
        <v>3050</v>
      </c>
      <c r="AH109" t="s" s="0">
        <v>3051</v>
      </c>
      <c r="AI109" t="s" s="0">
        <v>3052</v>
      </c>
      <c r="AJ109" t="s" s="0">
        <v>3053</v>
      </c>
      <c r="AK109" t="s" s="0">
        <v>83</v>
      </c>
      <c r="AL109" t="s" s="0">
        <v>3054</v>
      </c>
      <c r="AM109" t="s" s="0">
        <v>786</v>
      </c>
      <c r="AN109" t="s" s="0">
        <v>1347</v>
      </c>
      <c r="AO109" t="s" s="0">
        <v>281</v>
      </c>
      <c r="AP109" t="s" s="0">
        <v>79</v>
      </c>
      <c r="AQ109" t="s" s="0">
        <v>378</v>
      </c>
      <c r="AR109" t="s" s="0">
        <v>106</v>
      </c>
      <c r="AS109" t="s" s="0">
        <v>379</v>
      </c>
      <c r="AT109" t="s" s="0">
        <v>83</v>
      </c>
      <c r="AU109" t="s" s="0">
        <v>380</v>
      </c>
      <c r="AV109" t="s" s="0">
        <v>83</v>
      </c>
      <c r="AW109" t="s" s="0">
        <v>381</v>
      </c>
      <c r="AX109" t="s" s="0">
        <v>382</v>
      </c>
      <c r="AY109" t="s" s="0">
        <v>3055</v>
      </c>
      <c r="AZ109" t="s" s="0">
        <v>279</v>
      </c>
      <c r="BA109" t="s" s="0">
        <v>437</v>
      </c>
      <c r="BB109" t="s" s="0">
        <v>115</v>
      </c>
      <c r="BC109" t="s" s="0">
        <v>83</v>
      </c>
      <c r="BD109" t="s" s="0">
        <v>83</v>
      </c>
      <c r="BE109" t="s" s="0">
        <v>83</v>
      </c>
      <c r="BF109" t="s" s="0">
        <v>83</v>
      </c>
      <c r="BG109" t="s" s="0">
        <v>83</v>
      </c>
      <c r="BH109" t="s" s="0">
        <v>83</v>
      </c>
      <c r="BI109" t="s" s="0">
        <v>375</v>
      </c>
      <c r="BJ109" t="s" s="0">
        <v>3056</v>
      </c>
      <c r="BK109" t="s" s="215">
        <f>HYPERLINK("http://dx.doi.org/10.1186/s12874-022-01577-x","http://dx.doi.org/10.1186/s12874-022-01577-x")</f>
        <v>3057</v>
      </c>
      <c r="BL109" t="s" s="0">
        <v>83</v>
      </c>
      <c r="BM109" t="s" s="0">
        <v>83</v>
      </c>
      <c r="BN109" t="s" s="0">
        <v>310</v>
      </c>
      <c r="BO109" t="s" s="0">
        <v>387</v>
      </c>
      <c r="BP109" t="s" s="0">
        <v>387</v>
      </c>
      <c r="BQ109" t="s" s="0">
        <v>3058</v>
      </c>
      <c r="BR109" t="s" s="0">
        <v>3059</v>
      </c>
      <c r="BS109" t="s" s="0">
        <v>3060</v>
      </c>
      <c r="BT109" t="s" s="216">
        <f>HYPERLINK("https://www.webofscience.com/wos/woscc/full-record/WOS:000781341800002","View Record in Web of Science")</f>
        <v>126</v>
      </c>
      <c r="BU109" t="s" s="0">
        <v>391</v>
      </c>
      <c r="BV109" t="s" s="0">
        <v>83</v>
      </c>
      <c r="BW109" t="s" s="0">
        <v>83</v>
      </c>
      <c r="BX109" t="s" s="0">
        <v>130</v>
      </c>
    </row>
    <row r="110">
      <c r="A110" t="s" s="0">
        <v>78</v>
      </c>
      <c r="B110" t="s" s="0">
        <v>78</v>
      </c>
      <c r="C110" t="s" s="0">
        <v>150</v>
      </c>
      <c r="D110" t="s" s="0">
        <v>78</v>
      </c>
      <c r="E110" t="s" s="0">
        <v>3061</v>
      </c>
      <c r="F110" t="s" s="0">
        <v>3062</v>
      </c>
      <c r="G110" t="s" s="0">
        <v>3063</v>
      </c>
      <c r="H110" t="s" s="0">
        <v>83</v>
      </c>
      <c r="I110" t="s" s="0">
        <v>84</v>
      </c>
      <c r="J110" t="s" s="0">
        <v>3064</v>
      </c>
      <c r="K110" t="s" s="0">
        <v>3065</v>
      </c>
      <c r="L110" t="s" s="0">
        <v>3066</v>
      </c>
      <c r="M110" t="s" s="0">
        <v>3066</v>
      </c>
      <c r="N110" t="s" s="0">
        <v>3067</v>
      </c>
      <c r="O110" t="s" s="0">
        <v>3068</v>
      </c>
      <c r="P110" t="s" s="0">
        <v>3069</v>
      </c>
      <c r="Q110" t="s" s="0">
        <v>92</v>
      </c>
      <c r="R110" t="s" s="0">
        <v>83</v>
      </c>
      <c r="S110" t="s" s="0">
        <v>83</v>
      </c>
      <c r="T110" t="s" s="0">
        <v>83</v>
      </c>
      <c r="U110" t="s" s="0">
        <v>83</v>
      </c>
      <c r="V110" t="s" s="0">
        <v>3070</v>
      </c>
      <c r="W110" t="s" s="0">
        <v>3071</v>
      </c>
      <c r="X110" t="s" s="0">
        <v>83</v>
      </c>
      <c r="Y110" t="s" s="0">
        <v>83</v>
      </c>
      <c r="Z110" t="s" s="0">
        <v>95</v>
      </c>
      <c r="AA110" t="s" s="0">
        <v>96</v>
      </c>
      <c r="AB110" t="s" s="0">
        <v>83</v>
      </c>
      <c r="AC110" t="s" s="0">
        <v>83</v>
      </c>
      <c r="AD110" t="s" s="0">
        <v>83</v>
      </c>
      <c r="AE110" t="s" s="0">
        <v>83</v>
      </c>
      <c r="AF110" t="s" s="0">
        <v>83</v>
      </c>
      <c r="AG110" t="s" s="0">
        <v>3072</v>
      </c>
      <c r="AH110" t="s" s="0">
        <v>3073</v>
      </c>
      <c r="AI110" t="s" s="0">
        <v>3074</v>
      </c>
      <c r="AJ110" t="s" s="0">
        <v>3075</v>
      </c>
      <c r="AK110" t="s" s="0">
        <v>83</v>
      </c>
      <c r="AL110" t="s" s="0">
        <v>1900</v>
      </c>
      <c r="AM110" t="s" s="0">
        <v>149</v>
      </c>
      <c r="AN110" t="s" s="0">
        <v>149</v>
      </c>
      <c r="AO110" t="s" s="0">
        <v>545</v>
      </c>
      <c r="AP110" t="s" s="0">
        <v>377</v>
      </c>
      <c r="AQ110" t="s" s="0">
        <v>1267</v>
      </c>
      <c r="AR110" t="s" s="0">
        <v>234</v>
      </c>
      <c r="AS110" t="s" s="0">
        <v>1268</v>
      </c>
      <c r="AT110" t="s" s="0">
        <v>3076</v>
      </c>
      <c r="AU110" t="s" s="0">
        <v>3077</v>
      </c>
      <c r="AV110" t="s" s="0">
        <v>83</v>
      </c>
      <c r="AW110" t="s" s="0">
        <v>3078</v>
      </c>
      <c r="AX110" t="s" s="0">
        <v>3079</v>
      </c>
      <c r="AY110" t="s" s="0">
        <v>3080</v>
      </c>
      <c r="AZ110" t="s" s="0">
        <v>159</v>
      </c>
      <c r="BA110" t="s" s="0">
        <v>1404</v>
      </c>
      <c r="BB110" t="s" s="0">
        <v>148</v>
      </c>
      <c r="BC110" t="s" s="0">
        <v>83</v>
      </c>
      <c r="BD110" t="s" s="0">
        <v>83</v>
      </c>
      <c r="BE110" t="s" s="0">
        <v>83</v>
      </c>
      <c r="BF110" t="s" s="0">
        <v>83</v>
      </c>
      <c r="BG110" t="s" s="0">
        <v>83</v>
      </c>
      <c r="BH110" t="s" s="0">
        <v>83</v>
      </c>
      <c r="BI110" t="s" s="0">
        <v>3081</v>
      </c>
      <c r="BJ110" t="s" s="0">
        <v>3082</v>
      </c>
      <c r="BK110" t="s" s="217">
        <f>HYPERLINK("http://dx.doi.org/10.1007/s00520-025-09562-y","http://dx.doi.org/10.1007/s00520-025-09562-y")</f>
        <v>3083</v>
      </c>
      <c r="BL110" t="s" s="0">
        <v>83</v>
      </c>
      <c r="BM110" t="s" s="0">
        <v>83</v>
      </c>
      <c r="BN110" t="s" s="0">
        <v>358</v>
      </c>
      <c r="BO110" t="s" s="0">
        <v>3084</v>
      </c>
      <c r="BP110" t="s" s="0">
        <v>3084</v>
      </c>
      <c r="BQ110" t="s" s="0">
        <v>3085</v>
      </c>
      <c r="BR110" t="s" s="0">
        <v>3086</v>
      </c>
      <c r="BS110" t="s" s="0">
        <v>3087</v>
      </c>
      <c r="BT110" t="s" s="218">
        <f>HYPERLINK("https://www.webofscience.com/wos/woscc/full-record/WOS:001502753300001","View Record in Web of Science")</f>
        <v>126</v>
      </c>
      <c r="BU110" t="s" s="0">
        <v>253</v>
      </c>
      <c r="BV110" t="s" s="0">
        <v>83</v>
      </c>
      <c r="BW110" t="s" s="0">
        <v>83</v>
      </c>
      <c r="BX110" t="s" s="0">
        <v>130</v>
      </c>
    </row>
    <row r="111">
      <c r="A111" t="s" s="0">
        <v>78</v>
      </c>
      <c r="B111" t="s" s="0">
        <v>78</v>
      </c>
      <c r="C111" t="s" s="0">
        <v>78</v>
      </c>
      <c r="D111" t="s" s="0">
        <v>78</v>
      </c>
      <c r="E111" t="s" s="0">
        <v>3088</v>
      </c>
      <c r="F111" t="s" s="0">
        <v>3089</v>
      </c>
      <c r="G111" t="s" s="0">
        <v>3090</v>
      </c>
      <c r="H111" t="s" s="0">
        <v>83</v>
      </c>
      <c r="I111" t="s" s="0">
        <v>84</v>
      </c>
      <c r="J111" t="s" s="0">
        <v>3091</v>
      </c>
      <c r="K111" t="s" s="0">
        <v>3092</v>
      </c>
      <c r="L111" t="s" s="0">
        <v>3093</v>
      </c>
      <c r="M111" t="s" s="0">
        <v>3093</v>
      </c>
      <c r="N111" t="s" s="0">
        <v>3094</v>
      </c>
      <c r="O111" t="s" s="0">
        <v>3095</v>
      </c>
      <c r="P111" t="s" s="0">
        <v>3096</v>
      </c>
      <c r="Q111" t="s" s="0">
        <v>92</v>
      </c>
      <c r="R111" t="s" s="0">
        <v>83</v>
      </c>
      <c r="S111" t="s" s="0">
        <v>83</v>
      </c>
      <c r="T111" t="s" s="0">
        <v>83</v>
      </c>
      <c r="U111" t="s" s="0">
        <v>83</v>
      </c>
      <c r="V111" t="s" s="0">
        <v>3097</v>
      </c>
      <c r="W111" t="s" s="0">
        <v>1791</v>
      </c>
      <c r="X111" t="s" s="0">
        <v>83</v>
      </c>
      <c r="Y111" t="s" s="0">
        <v>83</v>
      </c>
      <c r="Z111" t="s" s="0">
        <v>95</v>
      </c>
      <c r="AA111" t="s" s="0">
        <v>96</v>
      </c>
      <c r="AB111" t="s" s="0">
        <v>83</v>
      </c>
      <c r="AC111" t="s" s="0">
        <v>83</v>
      </c>
      <c r="AD111" t="s" s="0">
        <v>83</v>
      </c>
      <c r="AE111" t="s" s="0">
        <v>83</v>
      </c>
      <c r="AF111" t="s" s="0">
        <v>83</v>
      </c>
      <c r="AG111" t="s" s="0">
        <v>3098</v>
      </c>
      <c r="AH111" t="s" s="0">
        <v>3099</v>
      </c>
      <c r="AI111" t="s" s="0">
        <v>3100</v>
      </c>
      <c r="AJ111" t="s" s="0">
        <v>3101</v>
      </c>
      <c r="AK111" t="s" s="0">
        <v>83</v>
      </c>
      <c r="AL111" t="s" s="0">
        <v>471</v>
      </c>
      <c r="AM111" t="s" s="0">
        <v>115</v>
      </c>
      <c r="AN111" t="s" s="0">
        <v>150</v>
      </c>
      <c r="AO111" t="s" s="0">
        <v>78</v>
      </c>
      <c r="AP111" t="s" s="0">
        <v>115</v>
      </c>
      <c r="AQ111" t="s" s="0">
        <v>1796</v>
      </c>
      <c r="AR111" t="s" s="0">
        <v>106</v>
      </c>
      <c r="AS111" t="s" s="0">
        <v>1797</v>
      </c>
      <c r="AT111" t="s" s="0">
        <v>1798</v>
      </c>
      <c r="AU111" t="s" s="0">
        <v>1799</v>
      </c>
      <c r="AV111" t="s" s="0">
        <v>83</v>
      </c>
      <c r="AW111" t="s" s="0">
        <v>1800</v>
      </c>
      <c r="AX111" t="s" s="0">
        <v>1801</v>
      </c>
      <c r="AY111" t="s" s="0">
        <v>1097</v>
      </c>
      <c r="AZ111" t="s" s="0">
        <v>159</v>
      </c>
      <c r="BA111" t="s" s="0">
        <v>1879</v>
      </c>
      <c r="BB111" t="s" s="0">
        <v>83</v>
      </c>
      <c r="BC111" t="s" s="0">
        <v>83</v>
      </c>
      <c r="BD111" t="s" s="0">
        <v>83</v>
      </c>
      <c r="BE111" t="s" s="0">
        <v>83</v>
      </c>
      <c r="BF111" t="s" s="0">
        <v>83</v>
      </c>
      <c r="BG111" t="s" s="0">
        <v>101</v>
      </c>
      <c r="BH111" t="s" s="0">
        <v>407</v>
      </c>
      <c r="BI111" t="s" s="0">
        <v>83</v>
      </c>
      <c r="BJ111" t="s" s="0">
        <v>3102</v>
      </c>
      <c r="BK111" t="s" s="219">
        <f>HYPERLINK("http://dx.doi.org/10.1016/j.jhin.2025.04.035","http://dx.doi.org/10.1016/j.jhin.2025.04.035")</f>
        <v>3103</v>
      </c>
      <c r="BL111" t="s" s="0">
        <v>83</v>
      </c>
      <c r="BM111" t="s" s="0">
        <v>158</v>
      </c>
      <c r="BN111" t="s" s="0">
        <v>165</v>
      </c>
      <c r="BO111" t="s" s="0">
        <v>1805</v>
      </c>
      <c r="BP111" t="s" s="0">
        <v>1805</v>
      </c>
      <c r="BQ111" t="s" s="0">
        <v>3104</v>
      </c>
      <c r="BR111" t="s" s="0">
        <v>3105</v>
      </c>
      <c r="BS111" t="s" s="0">
        <v>3106</v>
      </c>
      <c r="BT111" t="s" s="220">
        <f>HYPERLINK("https://www.webofscience.com/wos/woscc/full-record/WOS:001568392100002","View Record in Web of Science")</f>
        <v>126</v>
      </c>
      <c r="BU111" t="s" s="0">
        <v>2737</v>
      </c>
      <c r="BV111" t="s" s="0">
        <v>83</v>
      </c>
      <c r="BW111" t="s" s="0">
        <v>83</v>
      </c>
      <c r="BX111" t="s" s="0">
        <v>130</v>
      </c>
    </row>
    <row r="112">
      <c r="A112" t="s" s="0">
        <v>78</v>
      </c>
      <c r="B112" t="s" s="0">
        <v>78</v>
      </c>
      <c r="C112" t="s" s="0">
        <v>147</v>
      </c>
      <c r="D112" t="s" s="0">
        <v>115</v>
      </c>
      <c r="E112" t="s" s="0">
        <v>3107</v>
      </c>
      <c r="F112" t="s" s="0">
        <v>3108</v>
      </c>
      <c r="G112" t="s" s="0">
        <v>3109</v>
      </c>
      <c r="H112" t="s" s="0">
        <v>83</v>
      </c>
      <c r="I112" t="s" s="0">
        <v>84</v>
      </c>
      <c r="J112" t="s" s="0">
        <v>3110</v>
      </c>
      <c r="K112" t="s" s="0">
        <v>2626</v>
      </c>
      <c r="L112" t="s" s="0">
        <v>3111</v>
      </c>
      <c r="M112" t="s" s="0">
        <v>3112</v>
      </c>
      <c r="N112" t="s" s="0">
        <v>3113</v>
      </c>
      <c r="O112" t="s" s="0">
        <v>3114</v>
      </c>
      <c r="P112" t="s" s="0">
        <v>3115</v>
      </c>
      <c r="Q112" t="s" s="0">
        <v>92</v>
      </c>
      <c r="R112" t="s" s="0">
        <v>83</v>
      </c>
      <c r="S112" t="s" s="0">
        <v>3116</v>
      </c>
      <c r="T112" t="s" s="0">
        <v>83</v>
      </c>
      <c r="U112" t="s" s="0">
        <v>83</v>
      </c>
      <c r="V112" t="s" s="0">
        <v>3117</v>
      </c>
      <c r="W112" t="s" s="0">
        <v>3118</v>
      </c>
      <c r="X112" t="s" s="0">
        <v>83</v>
      </c>
      <c r="Y112" t="s" s="0">
        <v>83</v>
      </c>
      <c r="Z112" t="s" s="0">
        <v>95</v>
      </c>
      <c r="AA112" t="s" s="0">
        <v>96</v>
      </c>
      <c r="AB112" t="s" s="0">
        <v>83</v>
      </c>
      <c r="AC112" t="s" s="0">
        <v>83</v>
      </c>
      <c r="AD112" t="s" s="0">
        <v>83</v>
      </c>
      <c r="AE112" t="s" s="0">
        <v>83</v>
      </c>
      <c r="AF112" t="s" s="0">
        <v>83</v>
      </c>
      <c r="AG112" t="s" s="0">
        <v>3119</v>
      </c>
      <c r="AH112" t="s" s="0">
        <v>3120</v>
      </c>
      <c r="AI112" t="s" s="0">
        <v>3121</v>
      </c>
      <c r="AJ112" t="s" s="0">
        <v>3122</v>
      </c>
      <c r="AK112" t="s" s="0">
        <v>83</v>
      </c>
      <c r="AL112" t="s" s="0">
        <v>3123</v>
      </c>
      <c r="AM112" t="s" s="0">
        <v>3124</v>
      </c>
      <c r="AN112" t="s" s="0">
        <v>1705</v>
      </c>
      <c r="AO112" t="s" s="0">
        <v>78</v>
      </c>
      <c r="AP112" t="s" s="0">
        <v>377</v>
      </c>
      <c r="AQ112" t="s" s="0">
        <v>1151</v>
      </c>
      <c r="AR112" t="s" s="0">
        <v>1152</v>
      </c>
      <c r="AS112" t="s" s="0">
        <v>1153</v>
      </c>
      <c r="AT112" t="s" s="0">
        <v>3125</v>
      </c>
      <c r="AU112" t="s" s="0">
        <v>3126</v>
      </c>
      <c r="AV112" t="s" s="0">
        <v>83</v>
      </c>
      <c r="AW112" t="s" s="0">
        <v>3127</v>
      </c>
      <c r="AX112" t="s" s="0">
        <v>3128</v>
      </c>
      <c r="AY112" t="s" s="0">
        <v>1547</v>
      </c>
      <c r="AZ112" t="s" s="0">
        <v>279</v>
      </c>
      <c r="BA112" t="s" s="0">
        <v>3129</v>
      </c>
      <c r="BB112" t="s" s="0">
        <v>83</v>
      </c>
      <c r="BC112" t="s" s="0">
        <v>83</v>
      </c>
      <c r="BD112" t="s" s="0">
        <v>83</v>
      </c>
      <c r="BE112" t="s" s="0">
        <v>83</v>
      </c>
      <c r="BF112" t="s" s="0">
        <v>83</v>
      </c>
      <c r="BG112" t="s" s="0">
        <v>83</v>
      </c>
      <c r="BH112" t="s" s="0">
        <v>83</v>
      </c>
      <c r="BI112" t="s" s="0">
        <v>83</v>
      </c>
      <c r="BJ112" t="s" s="0">
        <v>3130</v>
      </c>
      <c r="BK112" t="s" s="221">
        <f>HYPERLINK("http://dx.doi.org/10.1016/j.euroneuro.2022.08.001","http://dx.doi.org/10.1016/j.euroneuro.2022.08.001")</f>
        <v>3131</v>
      </c>
      <c r="BL112" t="s" s="0">
        <v>83</v>
      </c>
      <c r="BM112" t="s" s="0">
        <v>3132</v>
      </c>
      <c r="BN112" t="s" s="0">
        <v>374</v>
      </c>
      <c r="BO112" t="s" s="0">
        <v>3133</v>
      </c>
      <c r="BP112" t="s" s="0">
        <v>3134</v>
      </c>
      <c r="BQ112" t="s" s="0">
        <v>3135</v>
      </c>
      <c r="BR112" t="s" s="0">
        <v>3136</v>
      </c>
      <c r="BS112" t="s" s="0">
        <v>3137</v>
      </c>
      <c r="BT112" t="s" s="222">
        <f>HYPERLINK("https://www.webofscience.com/wos/woscc/full-record/WOS:000877581400002","View Record in Web of Science")</f>
        <v>126</v>
      </c>
      <c r="BU112" t="s" s="0">
        <v>3138</v>
      </c>
      <c r="BV112" t="s" s="0">
        <v>83</v>
      </c>
      <c r="BW112" t="s" s="0">
        <v>83</v>
      </c>
      <c r="BX112" t="s" s="0">
        <v>130</v>
      </c>
    </row>
    <row r="113">
      <c r="A113" t="s" s="0">
        <v>78</v>
      </c>
      <c r="B113" t="s" s="0">
        <v>78</v>
      </c>
      <c r="C113" t="s" s="0">
        <v>115</v>
      </c>
      <c r="D113" t="s" s="0">
        <v>78</v>
      </c>
      <c r="E113" t="s" s="0">
        <v>3139</v>
      </c>
      <c r="F113" t="s" s="0">
        <v>3140</v>
      </c>
      <c r="G113" t="s" s="0">
        <v>3141</v>
      </c>
      <c r="H113" t="s" s="0">
        <v>83</v>
      </c>
      <c r="I113" t="s" s="0">
        <v>84</v>
      </c>
      <c r="J113" t="s" s="0">
        <v>3142</v>
      </c>
      <c r="K113" t="s" s="0">
        <v>3143</v>
      </c>
      <c r="L113" t="s" s="0">
        <v>3144</v>
      </c>
      <c r="M113" t="s" s="0">
        <v>3145</v>
      </c>
      <c r="N113" t="s" s="0">
        <v>3146</v>
      </c>
      <c r="O113" t="s" s="0">
        <v>3147</v>
      </c>
      <c r="P113" t="s" s="0">
        <v>3148</v>
      </c>
      <c r="Q113" t="s" s="0">
        <v>92</v>
      </c>
      <c r="R113" t="s" s="0">
        <v>83</v>
      </c>
      <c r="S113" t="s" s="0">
        <v>83</v>
      </c>
      <c r="T113" t="s" s="0">
        <v>83</v>
      </c>
      <c r="U113" t="s" s="0">
        <v>83</v>
      </c>
      <c r="V113" t="s" s="0">
        <v>3149</v>
      </c>
      <c r="W113" t="s" s="0">
        <v>3150</v>
      </c>
      <c r="X113" t="s" s="0">
        <v>83</v>
      </c>
      <c r="Y113" t="s" s="0">
        <v>83</v>
      </c>
      <c r="Z113" t="s" s="0">
        <v>95</v>
      </c>
      <c r="AA113" t="s" s="0">
        <v>96</v>
      </c>
      <c r="AB113" t="s" s="0">
        <v>83</v>
      </c>
      <c r="AC113" t="s" s="0">
        <v>83</v>
      </c>
      <c r="AD113" t="s" s="0">
        <v>83</v>
      </c>
      <c r="AE113" t="s" s="0">
        <v>83</v>
      </c>
      <c r="AF113" t="s" s="0">
        <v>83</v>
      </c>
      <c r="AG113" t="s" s="0">
        <v>3151</v>
      </c>
      <c r="AH113" t="s" s="0">
        <v>3152</v>
      </c>
      <c r="AI113" t="s" s="0">
        <v>3153</v>
      </c>
      <c r="AJ113" t="s" s="0">
        <v>83</v>
      </c>
      <c r="AK113" t="s" s="0">
        <v>83</v>
      </c>
      <c r="AL113" t="s" s="0">
        <v>2681</v>
      </c>
      <c r="AM113" t="s" s="0">
        <v>545</v>
      </c>
      <c r="AN113" t="s" s="0">
        <v>77</v>
      </c>
      <c r="AO113" t="s" s="0">
        <v>78</v>
      </c>
      <c r="AP113" t="s" s="0">
        <v>115</v>
      </c>
      <c r="AQ113" t="s" s="0">
        <v>830</v>
      </c>
      <c r="AR113" t="s" s="0">
        <v>831</v>
      </c>
      <c r="AS113" t="s" s="0">
        <v>832</v>
      </c>
      <c r="AT113" t="s" s="0">
        <v>3154</v>
      </c>
      <c r="AU113" t="s" s="0">
        <v>83</v>
      </c>
      <c r="AV113" t="s" s="0">
        <v>83</v>
      </c>
      <c r="AW113" t="s" s="0">
        <v>3155</v>
      </c>
      <c r="AX113" t="s" s="0">
        <v>3156</v>
      </c>
      <c r="AY113" t="s" s="0">
        <v>3157</v>
      </c>
      <c r="AZ113" t="s" s="0">
        <v>412</v>
      </c>
      <c r="BA113" t="s" s="0">
        <v>232</v>
      </c>
      <c r="BB113" t="s" s="0">
        <v>83</v>
      </c>
      <c r="BC113" t="s" s="0">
        <v>83</v>
      </c>
      <c r="BD113" t="s" s="0">
        <v>83</v>
      </c>
      <c r="BE113" t="s" s="0">
        <v>83</v>
      </c>
      <c r="BF113" t="s" s="0">
        <v>83</v>
      </c>
      <c r="BG113" t="s" s="0">
        <v>83</v>
      </c>
      <c r="BH113" t="s" s="0">
        <v>83</v>
      </c>
      <c r="BI113" t="s" s="0">
        <v>3158</v>
      </c>
      <c r="BJ113" t="s" s="0">
        <v>3159</v>
      </c>
      <c r="BK113" t="s" s="223">
        <f>HYPERLINK("http://dx.doi.org/10.3389/fcvm.2024.1449058","http://dx.doi.org/10.3389/fcvm.2024.1449058")</f>
        <v>3160</v>
      </c>
      <c r="BL113" t="s" s="0">
        <v>83</v>
      </c>
      <c r="BM113" t="s" s="0">
        <v>83</v>
      </c>
      <c r="BN113" t="s" s="0">
        <v>248</v>
      </c>
      <c r="BO113" t="s" s="0">
        <v>1133</v>
      </c>
      <c r="BP113" t="s" s="0">
        <v>1134</v>
      </c>
      <c r="BQ113" t="s" s="0">
        <v>3161</v>
      </c>
      <c r="BR113" t="s" s="0">
        <v>3162</v>
      </c>
      <c r="BS113" t="s" s="0">
        <v>3163</v>
      </c>
      <c r="BT113" t="s" s="224">
        <f>HYPERLINK("https://www.webofscience.com/wos/woscc/full-record/WOS:001345900900001","View Record in Web of Science")</f>
        <v>126</v>
      </c>
      <c r="BU113" t="s" s="0">
        <v>210</v>
      </c>
      <c r="BV113" t="s" s="0">
        <v>83</v>
      </c>
      <c r="BW113" t="s" s="0">
        <v>83</v>
      </c>
      <c r="BX113" t="s" s="0">
        <v>130</v>
      </c>
    </row>
    <row r="114">
      <c r="A114" t="s" s="0">
        <v>78</v>
      </c>
      <c r="B114" t="s" s="0">
        <v>78</v>
      </c>
      <c r="C114" t="s" s="0">
        <v>150</v>
      </c>
      <c r="D114" t="s" s="0">
        <v>78</v>
      </c>
      <c r="E114" t="s" s="0">
        <v>3164</v>
      </c>
      <c r="F114" t="s" s="0">
        <v>3165</v>
      </c>
      <c r="G114" t="s" s="0">
        <v>3166</v>
      </c>
      <c r="H114" t="s" s="0">
        <v>83</v>
      </c>
      <c r="I114" t="s" s="0">
        <v>84</v>
      </c>
      <c r="J114" t="s" s="0">
        <v>3167</v>
      </c>
      <c r="K114" t="s" s="0">
        <v>3168</v>
      </c>
      <c r="L114" t="s" s="0">
        <v>83</v>
      </c>
      <c r="M114" t="s" s="0">
        <v>83</v>
      </c>
      <c r="N114" t="s" s="0">
        <v>83</v>
      </c>
      <c r="O114" t="s" s="0">
        <v>3169</v>
      </c>
      <c r="P114" t="s" s="0">
        <v>3170</v>
      </c>
      <c r="Q114" t="s" s="0">
        <v>92</v>
      </c>
      <c r="R114" t="s" s="0">
        <v>83</v>
      </c>
      <c r="S114" t="s" s="0">
        <v>83</v>
      </c>
      <c r="T114" t="s" s="0">
        <v>83</v>
      </c>
      <c r="U114" t="s" s="0">
        <v>83</v>
      </c>
      <c r="V114" t="s" s="0">
        <v>3171</v>
      </c>
      <c r="W114" t="s" s="0">
        <v>3172</v>
      </c>
      <c r="X114" t="s" s="0">
        <v>83</v>
      </c>
      <c r="Y114" t="s" s="0">
        <v>83</v>
      </c>
      <c r="Z114" t="s" s="0">
        <v>95</v>
      </c>
      <c r="AA114" t="s" s="0">
        <v>96</v>
      </c>
      <c r="AB114" t="s" s="0">
        <v>83</v>
      </c>
      <c r="AC114" t="s" s="0">
        <v>83</v>
      </c>
      <c r="AD114" t="s" s="0">
        <v>83</v>
      </c>
      <c r="AE114" t="s" s="0">
        <v>83</v>
      </c>
      <c r="AF114" t="s" s="0">
        <v>83</v>
      </c>
      <c r="AG114" t="s" s="0">
        <v>3173</v>
      </c>
      <c r="AH114" t="s" s="0">
        <v>3174</v>
      </c>
      <c r="AI114" t="s" s="0">
        <v>3175</v>
      </c>
      <c r="AJ114" t="s" s="0">
        <v>3176</v>
      </c>
      <c r="AK114" t="s" s="0">
        <v>83</v>
      </c>
      <c r="AL114" t="s" s="0">
        <v>358</v>
      </c>
      <c r="AM114" t="s" s="0">
        <v>165</v>
      </c>
      <c r="AN114" t="s" s="0">
        <v>211</v>
      </c>
      <c r="AO114" t="s" s="0">
        <v>115</v>
      </c>
      <c r="AP114" t="s" s="0">
        <v>77</v>
      </c>
      <c r="AQ114" t="s" s="0">
        <v>1001</v>
      </c>
      <c r="AR114" t="s" s="0">
        <v>1002</v>
      </c>
      <c r="AS114" t="s" s="0">
        <v>1003</v>
      </c>
      <c r="AT114" t="s" s="0">
        <v>83</v>
      </c>
      <c r="AU114" t="s" s="0">
        <v>3177</v>
      </c>
      <c r="AV114" t="s" s="0">
        <v>83</v>
      </c>
      <c r="AW114" t="s" s="0">
        <v>3178</v>
      </c>
      <c r="AX114" t="s" s="0">
        <v>3179</v>
      </c>
      <c r="AY114" t="s" s="0">
        <v>159</v>
      </c>
      <c r="AZ114" t="s" s="0">
        <v>159</v>
      </c>
      <c r="BA114" t="s" s="0">
        <v>120</v>
      </c>
      <c r="BB114" t="s" s="0">
        <v>83</v>
      </c>
      <c r="BC114" t="s" s="0">
        <v>83</v>
      </c>
      <c r="BD114" t="s" s="0">
        <v>83</v>
      </c>
      <c r="BE114" t="s" s="0">
        <v>83</v>
      </c>
      <c r="BF114" t="s" s="0">
        <v>83</v>
      </c>
      <c r="BG114" t="s" s="0">
        <v>83</v>
      </c>
      <c r="BH114" t="s" s="0">
        <v>83</v>
      </c>
      <c r="BI114" t="s" s="0">
        <v>3180</v>
      </c>
      <c r="BJ114" t="s" s="0">
        <v>3181</v>
      </c>
      <c r="BK114" t="s" s="225">
        <f>HYPERLINK("http://dx.doi.org/10.2196/62710","http://dx.doi.org/10.2196/62710")</f>
        <v>3182</v>
      </c>
      <c r="BL114" t="s" s="0">
        <v>83</v>
      </c>
      <c r="BM114" t="s" s="0">
        <v>83</v>
      </c>
      <c r="BN114" t="s" s="0">
        <v>149</v>
      </c>
      <c r="BO114" t="s" s="0">
        <v>3183</v>
      </c>
      <c r="BP114" t="s" s="0">
        <v>3183</v>
      </c>
      <c r="BQ114" t="s" s="0">
        <v>3184</v>
      </c>
      <c r="BR114" t="s" s="0">
        <v>3185</v>
      </c>
      <c r="BS114" t="s" s="0">
        <v>3186</v>
      </c>
      <c r="BT114" t="s" s="226">
        <f>HYPERLINK("https://www.webofscience.com/wos/woscc/full-record/WOS:001529728100001","View Record in Web of Science")</f>
        <v>126</v>
      </c>
      <c r="BU114" t="s" s="0">
        <v>868</v>
      </c>
      <c r="BV114" t="s" s="0">
        <v>83</v>
      </c>
      <c r="BW114" t="s" s="0">
        <v>83</v>
      </c>
      <c r="BX114" t="s" s="0">
        <v>130</v>
      </c>
    </row>
    <row r="115">
      <c r="A115" t="s" s="0">
        <v>78</v>
      </c>
      <c r="B115" t="s" s="0">
        <v>78</v>
      </c>
      <c r="C115" t="s" s="0">
        <v>115</v>
      </c>
      <c r="D115" t="s" s="0">
        <v>78</v>
      </c>
      <c r="E115" t="s" s="0">
        <v>3187</v>
      </c>
      <c r="F115" t="s" s="0">
        <v>3188</v>
      </c>
      <c r="G115" t="s" s="0">
        <v>3189</v>
      </c>
      <c r="H115" t="s" s="0">
        <v>83</v>
      </c>
      <c r="I115" t="s" s="0">
        <v>84</v>
      </c>
      <c r="J115" t="s" s="0">
        <v>3190</v>
      </c>
      <c r="K115" t="s" s="0">
        <v>3191</v>
      </c>
      <c r="L115" t="s" s="0">
        <v>3192</v>
      </c>
      <c r="M115" t="s" s="0">
        <v>3193</v>
      </c>
      <c r="N115" t="s" s="0">
        <v>3194</v>
      </c>
      <c r="O115" t="s" s="0">
        <v>3195</v>
      </c>
      <c r="P115" t="s" s="0">
        <v>3196</v>
      </c>
      <c r="Q115" t="s" s="0">
        <v>92</v>
      </c>
      <c r="R115" t="s" s="0">
        <v>83</v>
      </c>
      <c r="S115" t="s" s="0">
        <v>83</v>
      </c>
      <c r="T115" t="s" s="0">
        <v>83</v>
      </c>
      <c r="U115" t="s" s="0">
        <v>83</v>
      </c>
      <c r="V115" t="s" s="0">
        <v>3197</v>
      </c>
      <c r="W115" t="s" s="0">
        <v>3198</v>
      </c>
      <c r="X115" t="s" s="0">
        <v>83</v>
      </c>
      <c r="Y115" t="s" s="0">
        <v>83</v>
      </c>
      <c r="Z115" t="s" s="0">
        <v>95</v>
      </c>
      <c r="AA115" t="s" s="0">
        <v>96</v>
      </c>
      <c r="AB115" t="s" s="0">
        <v>83</v>
      </c>
      <c r="AC115" t="s" s="0">
        <v>83</v>
      </c>
      <c r="AD115" t="s" s="0">
        <v>83</v>
      </c>
      <c r="AE115" t="s" s="0">
        <v>83</v>
      </c>
      <c r="AF115" t="s" s="0">
        <v>83</v>
      </c>
      <c r="AG115" t="s" s="0">
        <v>3199</v>
      </c>
      <c r="AH115" t="s" s="0">
        <v>3200</v>
      </c>
      <c r="AI115" t="s" s="0">
        <v>3201</v>
      </c>
      <c r="AJ115" t="s" s="0">
        <v>3202</v>
      </c>
      <c r="AK115" t="s" s="0">
        <v>83</v>
      </c>
      <c r="AL115" t="s" s="0">
        <v>3203</v>
      </c>
      <c r="AM115" t="s" s="0">
        <v>148</v>
      </c>
      <c r="AN115" t="s" s="0">
        <v>149</v>
      </c>
      <c r="AO115" t="s" s="0">
        <v>150</v>
      </c>
      <c r="AP115" t="s" s="0">
        <v>248</v>
      </c>
      <c r="AQ115" t="s" s="0">
        <v>1267</v>
      </c>
      <c r="AR115" t="s" s="0">
        <v>234</v>
      </c>
      <c r="AS115" t="s" s="0">
        <v>1268</v>
      </c>
      <c r="AT115" t="s" s="0">
        <v>3204</v>
      </c>
      <c r="AU115" t="s" s="0">
        <v>3205</v>
      </c>
      <c r="AV115" t="s" s="0">
        <v>83</v>
      </c>
      <c r="AW115" t="s" s="0">
        <v>3206</v>
      </c>
      <c r="AX115" t="s" s="0">
        <v>3207</v>
      </c>
      <c r="AY115" t="s" s="0">
        <v>158</v>
      </c>
      <c r="AZ115" t="s" s="0">
        <v>159</v>
      </c>
      <c r="BA115" t="s" s="0">
        <v>310</v>
      </c>
      <c r="BB115" t="s" s="0">
        <v>545</v>
      </c>
      <c r="BC115" t="s" s="0">
        <v>83</v>
      </c>
      <c r="BD115" t="s" s="0">
        <v>83</v>
      </c>
      <c r="BE115" t="s" s="0">
        <v>83</v>
      </c>
      <c r="BF115" t="s" s="0">
        <v>83</v>
      </c>
      <c r="BG115" t="s" s="0">
        <v>3208</v>
      </c>
      <c r="BH115" t="s" s="0">
        <v>3209</v>
      </c>
      <c r="BI115" t="s" s="0">
        <v>83</v>
      </c>
      <c r="BJ115" t="s" s="0">
        <v>3210</v>
      </c>
      <c r="BK115" t="s" s="227">
        <f>HYPERLINK("http://dx.doi.org/10.1007/s12975-024-01261-w","http://dx.doi.org/10.1007/s12975-024-01261-w")</f>
        <v>3211</v>
      </c>
      <c r="BL115" t="s" s="0">
        <v>83</v>
      </c>
      <c r="BM115" t="s" s="0">
        <v>610</v>
      </c>
      <c r="BN115" t="s" s="0">
        <v>248</v>
      </c>
      <c r="BO115" t="s" s="0">
        <v>3212</v>
      </c>
      <c r="BP115" t="s" s="0">
        <v>3213</v>
      </c>
      <c r="BQ115" t="s" s="0">
        <v>3214</v>
      </c>
      <c r="BR115" t="s" s="0">
        <v>3215</v>
      </c>
      <c r="BS115" t="s" s="0">
        <v>3216</v>
      </c>
      <c r="BT115" t="s" s="228">
        <f>HYPERLINK("https://www.webofscience.com/wos/woscc/full-record/WOS:001242784100001","View Record in Web of Science")</f>
        <v>126</v>
      </c>
      <c r="BU115" t="s" s="0">
        <v>83</v>
      </c>
      <c r="BV115" t="s" s="0">
        <v>83</v>
      </c>
      <c r="BW115" t="s" s="0">
        <v>83</v>
      </c>
      <c r="BX115" t="s" s="0">
        <v>130</v>
      </c>
    </row>
    <row r="116">
      <c r="A116" t="s" s="0">
        <v>78</v>
      </c>
      <c r="B116" t="s" s="0">
        <v>78</v>
      </c>
      <c r="C116" t="s" s="0">
        <v>78</v>
      </c>
      <c r="D116" t="s" s="0">
        <v>78</v>
      </c>
      <c r="E116" t="s" s="0">
        <v>3217</v>
      </c>
      <c r="F116" t="s" s="0">
        <v>3218</v>
      </c>
      <c r="G116" t="s" s="0">
        <v>3219</v>
      </c>
      <c r="H116" t="s" s="0">
        <v>83</v>
      </c>
      <c r="I116" t="s" s="0">
        <v>257</v>
      </c>
      <c r="J116" t="s" s="0">
        <v>3220</v>
      </c>
      <c r="K116" t="s" s="0">
        <v>3221</v>
      </c>
      <c r="L116" t="s" s="0">
        <v>83</v>
      </c>
      <c r="M116" t="s" s="0">
        <v>83</v>
      </c>
      <c r="N116" t="s" s="0">
        <v>83</v>
      </c>
      <c r="O116" t="s" s="0">
        <v>3222</v>
      </c>
      <c r="P116" t="s" s="0">
        <v>3223</v>
      </c>
      <c r="Q116" t="s" s="0">
        <v>92</v>
      </c>
      <c r="R116" t="s" s="0">
        <v>83</v>
      </c>
      <c r="S116" t="s" s="0">
        <v>83</v>
      </c>
      <c r="T116" t="s" s="0">
        <v>83</v>
      </c>
      <c r="U116" t="s" s="0">
        <v>83</v>
      </c>
      <c r="V116" t="s" s="0">
        <v>3224</v>
      </c>
      <c r="W116" t="s" s="0">
        <v>3225</v>
      </c>
      <c r="X116" t="s" s="0">
        <v>83</v>
      </c>
      <c r="Y116" t="s" s="0">
        <v>83</v>
      </c>
      <c r="Z116" t="s" s="0">
        <v>95</v>
      </c>
      <c r="AA116" t="s" s="0">
        <v>96</v>
      </c>
      <c r="AB116" t="s" s="0">
        <v>83</v>
      </c>
      <c r="AC116" t="s" s="0">
        <v>83</v>
      </c>
      <c r="AD116" t="s" s="0">
        <v>83</v>
      </c>
      <c r="AE116" t="s" s="0">
        <v>83</v>
      </c>
      <c r="AF116" t="s" s="0">
        <v>83</v>
      </c>
      <c r="AG116" t="s" s="0">
        <v>3226</v>
      </c>
      <c r="AH116" t="s" s="0">
        <v>3227</v>
      </c>
      <c r="AI116" t="s" s="0">
        <v>83</v>
      </c>
      <c r="AJ116" t="s" s="0">
        <v>83</v>
      </c>
      <c r="AK116" t="s" s="0">
        <v>83</v>
      </c>
      <c r="AL116" t="s" s="0">
        <v>471</v>
      </c>
      <c r="AM116" t="s" s="0">
        <v>115</v>
      </c>
      <c r="AN116" t="s" s="0">
        <v>115</v>
      </c>
      <c r="AO116" t="s" s="0">
        <v>281</v>
      </c>
      <c r="AP116" t="s" s="0">
        <v>148</v>
      </c>
      <c r="AQ116" t="s" s="0">
        <v>830</v>
      </c>
      <c r="AR116" t="s" s="0">
        <v>831</v>
      </c>
      <c r="AS116" t="s" s="0">
        <v>832</v>
      </c>
      <c r="AT116" t="s" s="0">
        <v>3228</v>
      </c>
      <c r="AU116" t="s" s="0">
        <v>83</v>
      </c>
      <c r="AV116" t="s" s="0">
        <v>83</v>
      </c>
      <c r="AW116" t="s" s="0">
        <v>3229</v>
      </c>
      <c r="AX116" t="s" s="0">
        <v>3230</v>
      </c>
      <c r="AY116" t="s" s="0">
        <v>3231</v>
      </c>
      <c r="AZ116" t="s" s="0">
        <v>159</v>
      </c>
      <c r="BA116" t="s" s="0">
        <v>310</v>
      </c>
      <c r="BB116" t="s" s="0">
        <v>83</v>
      </c>
      <c r="BC116" t="s" s="0">
        <v>83</v>
      </c>
      <c r="BD116" t="s" s="0">
        <v>83</v>
      </c>
      <c r="BE116" t="s" s="0">
        <v>83</v>
      </c>
      <c r="BF116" t="s" s="0">
        <v>83</v>
      </c>
      <c r="BG116" t="s" s="0">
        <v>83</v>
      </c>
      <c r="BH116" t="s" s="0">
        <v>83</v>
      </c>
      <c r="BI116" t="s" s="0">
        <v>3232</v>
      </c>
      <c r="BJ116" t="s" s="0">
        <v>3233</v>
      </c>
      <c r="BK116" t="s" s="229">
        <f>HYPERLINK("http://dx.doi.org/10.3389/fpsyt.2025.1629023","http://dx.doi.org/10.3389/fpsyt.2025.1629023")</f>
        <v>3234</v>
      </c>
      <c r="BL116" t="s" s="0">
        <v>83</v>
      </c>
      <c r="BM116" t="s" s="0">
        <v>83</v>
      </c>
      <c r="BN116" t="s" s="0">
        <v>417</v>
      </c>
      <c r="BO116" t="s" s="0">
        <v>864</v>
      </c>
      <c r="BP116" t="s" s="0">
        <v>864</v>
      </c>
      <c r="BQ116" t="s" s="0">
        <v>3235</v>
      </c>
      <c r="BR116" t="s" s="0">
        <v>3236</v>
      </c>
      <c r="BS116" t="s" s="0">
        <v>3237</v>
      </c>
      <c r="BT116" t="s" s="230">
        <f>HYPERLINK("https://www.webofscience.com/wos/woscc/full-record/WOS:001651596700001","View Record in Web of Science")</f>
        <v>126</v>
      </c>
      <c r="BU116" t="s" s="0">
        <v>210</v>
      </c>
      <c r="BV116" t="s" s="0">
        <v>83</v>
      </c>
      <c r="BW116" t="s" s="0">
        <v>83</v>
      </c>
      <c r="BX116" t="s" s="0">
        <v>130</v>
      </c>
    </row>
    <row r="117">
      <c r="A117" t="s" s="0">
        <v>78</v>
      </c>
      <c r="B117" t="s" s="0">
        <v>78</v>
      </c>
      <c r="C117" t="s" s="0">
        <v>78</v>
      </c>
      <c r="D117" t="s" s="0">
        <v>78</v>
      </c>
      <c r="E117" t="s" s="0">
        <v>3238</v>
      </c>
      <c r="F117" t="s" s="0">
        <v>3239</v>
      </c>
      <c r="G117" t="s" s="0">
        <v>3240</v>
      </c>
      <c r="H117" t="s" s="0">
        <v>83</v>
      </c>
      <c r="I117" t="s" s="0">
        <v>174</v>
      </c>
      <c r="J117" t="s" s="0">
        <v>3241</v>
      </c>
      <c r="K117" t="s" s="0">
        <v>3242</v>
      </c>
      <c r="L117" t="s" s="0">
        <v>83</v>
      </c>
      <c r="M117" t="s" s="0">
        <v>83</v>
      </c>
      <c r="N117" t="s" s="0">
        <v>83</v>
      </c>
      <c r="O117" t="s" s="0">
        <v>3243</v>
      </c>
      <c r="P117" t="s" s="0">
        <v>3244</v>
      </c>
      <c r="Q117" t="s" s="0">
        <v>92</v>
      </c>
      <c r="R117" t="s" s="0">
        <v>83</v>
      </c>
      <c r="S117" t="s" s="0">
        <v>83</v>
      </c>
      <c r="T117" t="s" s="0">
        <v>83</v>
      </c>
      <c r="U117" t="s" s="0">
        <v>83</v>
      </c>
      <c r="V117" t="s" s="0">
        <v>3245</v>
      </c>
      <c r="W117" t="s" s="0">
        <v>3246</v>
      </c>
      <c r="X117" t="s" s="0">
        <v>83</v>
      </c>
      <c r="Y117" t="s" s="0">
        <v>83</v>
      </c>
      <c r="Z117" t="s" s="0">
        <v>95</v>
      </c>
      <c r="AA117" t="s" s="0">
        <v>96</v>
      </c>
      <c r="AB117" t="s" s="0">
        <v>83</v>
      </c>
      <c r="AC117" t="s" s="0">
        <v>83</v>
      </c>
      <c r="AD117" t="s" s="0">
        <v>83</v>
      </c>
      <c r="AE117" t="s" s="0">
        <v>83</v>
      </c>
      <c r="AF117" t="s" s="0">
        <v>83</v>
      </c>
      <c r="AG117" t="s" s="0">
        <v>3247</v>
      </c>
      <c r="AH117" t="s" s="0">
        <v>3248</v>
      </c>
      <c r="AI117" t="s" s="0">
        <v>3249</v>
      </c>
      <c r="AJ117" t="s" s="0">
        <v>83</v>
      </c>
      <c r="AK117" t="s" s="0">
        <v>83</v>
      </c>
      <c r="AL117" t="s" s="0">
        <v>228</v>
      </c>
      <c r="AM117" t="s" s="0">
        <v>78</v>
      </c>
      <c r="AN117" t="s" s="0">
        <v>78</v>
      </c>
      <c r="AO117" t="s" s="0">
        <v>115</v>
      </c>
      <c r="AP117" t="s" s="0">
        <v>115</v>
      </c>
      <c r="AQ117" t="s" s="0">
        <v>805</v>
      </c>
      <c r="AR117" t="s" s="0">
        <v>806</v>
      </c>
      <c r="AS117" t="s" s="0">
        <v>807</v>
      </c>
      <c r="AT117" t="s" s="0">
        <v>83</v>
      </c>
      <c r="AU117" t="s" s="0">
        <v>3250</v>
      </c>
      <c r="AV117" t="s" s="0">
        <v>83</v>
      </c>
      <c r="AW117" t="s" s="0">
        <v>3246</v>
      </c>
      <c r="AX117" t="s" s="0">
        <v>3251</v>
      </c>
      <c r="AY117" t="s" s="0">
        <v>3252</v>
      </c>
      <c r="AZ117" t="s" s="0">
        <v>511</v>
      </c>
      <c r="BA117" t="s" s="0">
        <v>417</v>
      </c>
      <c r="BB117" t="s" s="0">
        <v>545</v>
      </c>
      <c r="BC117" t="s" s="0">
        <v>83</v>
      </c>
      <c r="BD117" t="s" s="0">
        <v>83</v>
      </c>
      <c r="BE117" t="s" s="0">
        <v>83</v>
      </c>
      <c r="BF117" t="s" s="0">
        <v>83</v>
      </c>
      <c r="BG117" t="s" s="0">
        <v>83</v>
      </c>
      <c r="BH117" t="s" s="0">
        <v>83</v>
      </c>
      <c r="BI117" t="s" s="0">
        <v>3253</v>
      </c>
      <c r="BJ117" t="s" s="0">
        <v>3254</v>
      </c>
      <c r="BK117" t="s" s="231">
        <f>HYPERLINK("http://dx.doi.org/10.3390/technologies14030184","http://dx.doi.org/10.3390/technologies14030184")</f>
        <v>3255</v>
      </c>
      <c r="BL117" t="s" s="0">
        <v>83</v>
      </c>
      <c r="BM117" t="s" s="0">
        <v>83</v>
      </c>
      <c r="BN117" t="s" s="0">
        <v>437</v>
      </c>
      <c r="BO117" t="s" s="0">
        <v>3256</v>
      </c>
      <c r="BP117" t="s" s="0">
        <v>3257</v>
      </c>
      <c r="BQ117" t="s" s="0">
        <v>3258</v>
      </c>
      <c r="BR117" t="s" s="0">
        <v>83</v>
      </c>
      <c r="BS117" t="s" s="0">
        <v>3259</v>
      </c>
      <c r="BT117" t="s" s="232">
        <f>HYPERLINK("https://www.webofscience.com/wos/woscc/full-record/WOS:001725224400001","View Record in Web of Science")</f>
        <v>126</v>
      </c>
      <c r="BU117" t="s" s="0">
        <v>210</v>
      </c>
      <c r="BV117" t="s" s="0">
        <v>83</v>
      </c>
      <c r="BW117" t="s" s="0">
        <v>83</v>
      </c>
      <c r="BX117" t="s" s="0">
        <v>130</v>
      </c>
    </row>
    <row r="118">
      <c r="A118" t="s" s="0">
        <v>115</v>
      </c>
      <c r="B118" t="s" s="0">
        <v>78</v>
      </c>
      <c r="C118" t="s" s="0">
        <v>149</v>
      </c>
      <c r="D118" t="s" s="0">
        <v>78</v>
      </c>
      <c r="E118" t="s" s="0">
        <v>3260</v>
      </c>
      <c r="F118" t="s" s="0">
        <v>3261</v>
      </c>
      <c r="G118" t="s" s="0">
        <v>3262</v>
      </c>
      <c r="H118" t="s" s="0">
        <v>83</v>
      </c>
      <c r="I118" t="s" s="0">
        <v>84</v>
      </c>
      <c r="J118" t="s" s="0">
        <v>3263</v>
      </c>
      <c r="K118" t="s" s="0">
        <v>3264</v>
      </c>
      <c r="L118" t="s" s="0">
        <v>83</v>
      </c>
      <c r="M118" t="s" s="0">
        <v>83</v>
      </c>
      <c r="N118" t="s" s="0">
        <v>83</v>
      </c>
      <c r="O118" t="s" s="0">
        <v>3265</v>
      </c>
      <c r="P118" t="s" s="0">
        <v>3266</v>
      </c>
      <c r="Q118" t="s" s="0">
        <v>92</v>
      </c>
      <c r="R118" t="s" s="0">
        <v>83</v>
      </c>
      <c r="S118" t="s" s="0">
        <v>83</v>
      </c>
      <c r="T118" t="s" s="0">
        <v>83</v>
      </c>
      <c r="U118" t="s" s="0">
        <v>83</v>
      </c>
      <c r="V118" t="s" s="0">
        <v>3267</v>
      </c>
      <c r="W118" t="s" s="0">
        <v>3268</v>
      </c>
      <c r="X118" t="s" s="0">
        <v>83</v>
      </c>
      <c r="Y118" t="s" s="0">
        <v>83</v>
      </c>
      <c r="Z118" t="s" s="0">
        <v>95</v>
      </c>
      <c r="AA118" t="s" s="0">
        <v>96</v>
      </c>
      <c r="AB118" t="s" s="0">
        <v>83</v>
      </c>
      <c r="AC118" t="s" s="0">
        <v>83</v>
      </c>
      <c r="AD118" t="s" s="0">
        <v>83</v>
      </c>
      <c r="AE118" t="s" s="0">
        <v>83</v>
      </c>
      <c r="AF118" t="s" s="0">
        <v>83</v>
      </c>
      <c r="AG118" t="s" s="0">
        <v>3269</v>
      </c>
      <c r="AH118" t="s" s="0">
        <v>3270</v>
      </c>
      <c r="AI118" t="s" s="0">
        <v>83</v>
      </c>
      <c r="AJ118" t="s" s="0">
        <v>3271</v>
      </c>
      <c r="AK118" t="s" s="0">
        <v>83</v>
      </c>
      <c r="AL118" t="s" s="0">
        <v>2044</v>
      </c>
      <c r="AM118" t="s" s="0">
        <v>114</v>
      </c>
      <c r="AN118" t="s" s="0">
        <v>471</v>
      </c>
      <c r="AO118" t="s" s="0">
        <v>150</v>
      </c>
      <c r="AP118" t="s" s="0">
        <v>248</v>
      </c>
      <c r="AQ118" t="s" s="0">
        <v>805</v>
      </c>
      <c r="AR118" t="s" s="0">
        <v>806</v>
      </c>
      <c r="AS118" t="s" s="0">
        <v>807</v>
      </c>
      <c r="AT118" t="s" s="0">
        <v>83</v>
      </c>
      <c r="AU118" t="s" s="0">
        <v>3272</v>
      </c>
      <c r="AV118" t="s" s="0">
        <v>83</v>
      </c>
      <c r="AW118" t="s" s="0">
        <v>3268</v>
      </c>
      <c r="AX118" t="s" s="0">
        <v>3273</v>
      </c>
      <c r="AY118" t="s" s="0">
        <v>1189</v>
      </c>
      <c r="AZ118" t="s" s="0">
        <v>241</v>
      </c>
      <c r="BA118" t="s" s="0">
        <v>120</v>
      </c>
      <c r="BB118" t="s" s="0">
        <v>413</v>
      </c>
      <c r="BC118" t="s" s="0">
        <v>83</v>
      </c>
      <c r="BD118" t="s" s="0">
        <v>83</v>
      </c>
      <c r="BE118" t="s" s="0">
        <v>83</v>
      </c>
      <c r="BF118" t="s" s="0">
        <v>83</v>
      </c>
      <c r="BG118" t="s" s="0">
        <v>83</v>
      </c>
      <c r="BH118" t="s" s="0">
        <v>83</v>
      </c>
      <c r="BI118" t="s" s="0">
        <v>3274</v>
      </c>
      <c r="BJ118" t="s" s="0">
        <v>3275</v>
      </c>
      <c r="BK118" t="s" s="233">
        <f>HYPERLINK("http://dx.doi.org/10.3390/diagnostics13243689","http://dx.doi.org/10.3390/diagnostics13243689")</f>
        <v>3276</v>
      </c>
      <c r="BL118" t="s" s="0">
        <v>83</v>
      </c>
      <c r="BM118" t="s" s="0">
        <v>83</v>
      </c>
      <c r="BN118" t="s" s="0">
        <v>248</v>
      </c>
      <c r="BO118" t="s" s="0">
        <v>669</v>
      </c>
      <c r="BP118" t="s" s="0">
        <v>670</v>
      </c>
      <c r="BQ118" t="s" s="0">
        <v>3277</v>
      </c>
      <c r="BR118" t="s" s="0">
        <v>3278</v>
      </c>
      <c r="BS118" t="s" s="0">
        <v>3279</v>
      </c>
      <c r="BT118" t="s" s="234">
        <f>HYPERLINK("https://www.webofscience.com/wos/woscc/full-record/WOS:001130676500001","View Record in Web of Science")</f>
        <v>126</v>
      </c>
      <c r="BU118" t="s" s="0">
        <v>210</v>
      </c>
      <c r="BV118" t="s" s="0">
        <v>83</v>
      </c>
      <c r="BW118" t="s" s="0">
        <v>83</v>
      </c>
      <c r="BX118" t="s" s="0">
        <v>130</v>
      </c>
    </row>
    <row r="119">
      <c r="A119" t="s" s="0">
        <v>78</v>
      </c>
      <c r="B119" t="s" s="0">
        <v>78</v>
      </c>
      <c r="C119" t="s" s="0">
        <v>78</v>
      </c>
      <c r="D119" t="s" s="0">
        <v>78</v>
      </c>
      <c r="E119" t="s" s="0">
        <v>3280</v>
      </c>
      <c r="F119" t="s" s="0">
        <v>3281</v>
      </c>
      <c r="G119" t="s" s="0">
        <v>3282</v>
      </c>
      <c r="H119" t="s" s="0">
        <v>83</v>
      </c>
      <c r="I119" t="s" s="0">
        <v>174</v>
      </c>
      <c r="J119" t="s" s="0">
        <v>3283</v>
      </c>
      <c r="K119" t="s" s="0">
        <v>3284</v>
      </c>
      <c r="L119" t="s" s="0">
        <v>3285</v>
      </c>
      <c r="M119" t="s" s="0">
        <v>3285</v>
      </c>
      <c r="N119" t="s" s="0">
        <v>3286</v>
      </c>
      <c r="O119" t="s" s="0">
        <v>3287</v>
      </c>
      <c r="P119" t="s" s="0">
        <v>3288</v>
      </c>
      <c r="Q119" t="s" s="0">
        <v>92</v>
      </c>
      <c r="R119" t="s" s="0">
        <v>83</v>
      </c>
      <c r="S119" t="s" s="0">
        <v>83</v>
      </c>
      <c r="T119" t="s" s="0">
        <v>83</v>
      </c>
      <c r="U119" t="s" s="0">
        <v>83</v>
      </c>
      <c r="V119" t="s" s="0">
        <v>3289</v>
      </c>
      <c r="W119" t="s" s="0">
        <v>3290</v>
      </c>
      <c r="X119" t="s" s="0">
        <v>83</v>
      </c>
      <c r="Y119" t="s" s="0">
        <v>83</v>
      </c>
      <c r="Z119" t="s" s="0">
        <v>3291</v>
      </c>
      <c r="AA119" t="s" s="0">
        <v>96</v>
      </c>
      <c r="AB119" t="s" s="0">
        <v>83</v>
      </c>
      <c r="AC119" t="s" s="0">
        <v>83</v>
      </c>
      <c r="AD119" t="s" s="0">
        <v>83</v>
      </c>
      <c r="AE119" t="s" s="0">
        <v>83</v>
      </c>
      <c r="AF119" t="s" s="0">
        <v>83</v>
      </c>
      <c r="AG119" t="s" s="0">
        <v>3292</v>
      </c>
      <c r="AH119" t="s" s="0">
        <v>3293</v>
      </c>
      <c r="AI119" t="s" s="0">
        <v>3294</v>
      </c>
      <c r="AJ119" t="s" s="0">
        <v>83</v>
      </c>
      <c r="AK119" t="s" s="0">
        <v>83</v>
      </c>
      <c r="AL119" t="s" s="0">
        <v>104</v>
      </c>
      <c r="AM119" t="s" s="0">
        <v>115</v>
      </c>
      <c r="AN119" t="s" s="0">
        <v>115</v>
      </c>
      <c r="AO119" t="s" s="0">
        <v>78</v>
      </c>
      <c r="AP119" t="s" s="0">
        <v>269</v>
      </c>
      <c r="AQ119" t="s" s="0">
        <v>3295</v>
      </c>
      <c r="AR119" t="s" s="0">
        <v>3296</v>
      </c>
      <c r="AS119" t="s" s="0">
        <v>3297</v>
      </c>
      <c r="AT119" t="s" s="0">
        <v>3298</v>
      </c>
      <c r="AU119" t="s" s="0">
        <v>3299</v>
      </c>
      <c r="AV119" t="s" s="0">
        <v>83</v>
      </c>
      <c r="AW119" t="s" s="0">
        <v>3290</v>
      </c>
      <c r="AX119" t="s" s="0">
        <v>3300</v>
      </c>
      <c r="AY119" t="s" s="0">
        <v>2728</v>
      </c>
      <c r="AZ119" t="s" s="0">
        <v>159</v>
      </c>
      <c r="BA119" t="s" s="0">
        <v>374</v>
      </c>
      <c r="BB119" t="s" s="0">
        <v>115</v>
      </c>
      <c r="BC119" t="s" s="0">
        <v>2243</v>
      </c>
      <c r="BD119" t="s" s="0">
        <v>83</v>
      </c>
      <c r="BE119" t="s" s="0">
        <v>83</v>
      </c>
      <c r="BF119" t="s" s="0">
        <v>83</v>
      </c>
      <c r="BG119" t="s" s="0">
        <v>232</v>
      </c>
      <c r="BH119" t="s" s="0">
        <v>413</v>
      </c>
      <c r="BI119" t="s" s="0">
        <v>83</v>
      </c>
      <c r="BJ119" t="s" s="0">
        <v>3301</v>
      </c>
      <c r="BK119" t="s" s="235">
        <f>HYPERLINK("http://dx.doi.org/10.1007/s12285-024-00516-7","http://dx.doi.org/10.1007/s12285-024-00516-7")</f>
        <v>3302</v>
      </c>
      <c r="BL119" t="s" s="0">
        <v>83</v>
      </c>
      <c r="BM119" t="s" s="0">
        <v>2728</v>
      </c>
      <c r="BN119" t="s" s="0">
        <v>417</v>
      </c>
      <c r="BO119" t="s" s="0">
        <v>2302</v>
      </c>
      <c r="BP119" t="s" s="0">
        <v>2302</v>
      </c>
      <c r="BQ119" t="s" s="0">
        <v>3303</v>
      </c>
      <c r="BR119" t="s" s="0">
        <v>83</v>
      </c>
      <c r="BS119" t="s" s="0">
        <v>3304</v>
      </c>
      <c r="BT119" t="s" s="236">
        <f>HYPERLINK("https://www.webofscience.com/wos/woscc/full-record/WOS:001415971000001","View Record in Web of Science")</f>
        <v>126</v>
      </c>
      <c r="BU119" t="s" s="0">
        <v>253</v>
      </c>
      <c r="BV119" t="s" s="0">
        <v>83</v>
      </c>
      <c r="BW119" t="s" s="0">
        <v>83</v>
      </c>
      <c r="BX119" t="s" s="0">
        <v>130</v>
      </c>
    </row>
    <row r="120">
      <c r="A120" t="s" s="0">
        <v>78</v>
      </c>
      <c r="B120" t="s" s="0">
        <v>78</v>
      </c>
      <c r="C120" t="s" s="0">
        <v>78</v>
      </c>
      <c r="D120" t="s" s="0">
        <v>78</v>
      </c>
      <c r="E120" t="s" s="0">
        <v>3305</v>
      </c>
      <c r="F120" t="s" s="0">
        <v>3306</v>
      </c>
      <c r="G120" t="s" s="0">
        <v>3307</v>
      </c>
      <c r="H120" t="s" s="0">
        <v>83</v>
      </c>
      <c r="I120" t="s" s="0">
        <v>174</v>
      </c>
      <c r="J120" t="s" s="0">
        <v>3308</v>
      </c>
      <c r="K120" t="s" s="0">
        <v>3309</v>
      </c>
      <c r="L120" t="s" s="0">
        <v>3310</v>
      </c>
      <c r="M120" t="s" s="0">
        <v>3311</v>
      </c>
      <c r="N120" t="s" s="0">
        <v>3312</v>
      </c>
      <c r="O120" t="s" s="0">
        <v>3313</v>
      </c>
      <c r="P120" t="s" s="0">
        <v>3314</v>
      </c>
      <c r="Q120" t="s" s="0">
        <v>92</v>
      </c>
      <c r="R120" t="s" s="0">
        <v>83</v>
      </c>
      <c r="S120" t="s" s="0">
        <v>83</v>
      </c>
      <c r="T120" t="s" s="0">
        <v>83</v>
      </c>
      <c r="U120" t="s" s="0">
        <v>83</v>
      </c>
      <c r="V120" t="s" s="0">
        <v>3315</v>
      </c>
      <c r="W120" t="s" s="0">
        <v>995</v>
      </c>
      <c r="X120" t="s" s="0">
        <v>83</v>
      </c>
      <c r="Y120" t="s" s="0">
        <v>83</v>
      </c>
      <c r="Z120" t="s" s="0">
        <v>95</v>
      </c>
      <c r="AA120" t="s" s="0">
        <v>96</v>
      </c>
      <c r="AB120" t="s" s="0">
        <v>83</v>
      </c>
      <c r="AC120" t="s" s="0">
        <v>83</v>
      </c>
      <c r="AD120" t="s" s="0">
        <v>83</v>
      </c>
      <c r="AE120" t="s" s="0">
        <v>83</v>
      </c>
      <c r="AF120" t="s" s="0">
        <v>83</v>
      </c>
      <c r="AG120" t="s" s="0">
        <v>3316</v>
      </c>
      <c r="AH120" t="s" s="0">
        <v>83</v>
      </c>
      <c r="AI120" t="s" s="0">
        <v>3317</v>
      </c>
      <c r="AJ120" t="s" s="0">
        <v>3318</v>
      </c>
      <c r="AK120" t="s" s="0">
        <v>83</v>
      </c>
      <c r="AL120" t="s" s="0">
        <v>188</v>
      </c>
      <c r="AM120" t="s" s="0">
        <v>78</v>
      </c>
      <c r="AN120" t="s" s="0">
        <v>78</v>
      </c>
      <c r="AO120" t="s" s="0">
        <v>150</v>
      </c>
      <c r="AP120" t="s" s="0">
        <v>150</v>
      </c>
      <c r="AQ120" t="s" s="0">
        <v>1001</v>
      </c>
      <c r="AR120" t="s" s="0">
        <v>1002</v>
      </c>
      <c r="AS120" t="s" s="0">
        <v>1003</v>
      </c>
      <c r="AT120" t="s" s="0">
        <v>1004</v>
      </c>
      <c r="AU120" t="s" s="0">
        <v>83</v>
      </c>
      <c r="AV120" t="s" s="0">
        <v>83</v>
      </c>
      <c r="AW120" t="s" s="0">
        <v>1005</v>
      </c>
      <c r="AX120" t="s" s="0">
        <v>1006</v>
      </c>
      <c r="AY120" t="s" s="0">
        <v>511</v>
      </c>
      <c r="AZ120" t="s" s="0">
        <v>511</v>
      </c>
      <c r="BA120" t="s" s="0">
        <v>309</v>
      </c>
      <c r="BB120" t="s" s="0">
        <v>83</v>
      </c>
      <c r="BC120" t="s" s="0">
        <v>83</v>
      </c>
      <c r="BD120" t="s" s="0">
        <v>83</v>
      </c>
      <c r="BE120" t="s" s="0">
        <v>83</v>
      </c>
      <c r="BF120" t="s" s="0">
        <v>83</v>
      </c>
      <c r="BG120" t="s" s="0">
        <v>83</v>
      </c>
      <c r="BH120" t="s" s="0">
        <v>83</v>
      </c>
      <c r="BI120" t="s" s="0">
        <v>3319</v>
      </c>
      <c r="BJ120" t="s" s="0">
        <v>3320</v>
      </c>
      <c r="BK120" t="s" s="237">
        <f>HYPERLINK("http://dx.doi.org/10.2196/80325","http://dx.doi.org/10.2196/80325")</f>
        <v>3321</v>
      </c>
      <c r="BL120" t="s" s="0">
        <v>83</v>
      </c>
      <c r="BM120" t="s" s="0">
        <v>83</v>
      </c>
      <c r="BN120" t="s" s="0">
        <v>149</v>
      </c>
      <c r="BO120" t="s" s="0">
        <v>249</v>
      </c>
      <c r="BP120" t="s" s="0">
        <v>249</v>
      </c>
      <c r="BQ120" t="s" s="0">
        <v>3322</v>
      </c>
      <c r="BR120" t="s" s="0">
        <v>3323</v>
      </c>
      <c r="BS120" t="s" s="0">
        <v>3324</v>
      </c>
      <c r="BT120" t="s" s="238">
        <f>HYPERLINK("https://www.webofscience.com/wos/woscc/full-record/WOS:001709736300002","View Record in Web of Science")</f>
        <v>126</v>
      </c>
      <c r="BU120" t="s" s="0">
        <v>210</v>
      </c>
      <c r="BV120" t="s" s="0">
        <v>83</v>
      </c>
      <c r="BW120" t="s" s="0">
        <v>83</v>
      </c>
      <c r="BX120" t="s" s="0">
        <v>130</v>
      </c>
    </row>
    <row r="121">
      <c r="A121" t="s" s="0">
        <v>78</v>
      </c>
      <c r="B121" t="s" s="0">
        <v>78</v>
      </c>
      <c r="C121" t="s" s="0">
        <v>78</v>
      </c>
      <c r="D121" t="s" s="0">
        <v>78</v>
      </c>
      <c r="E121" t="s" s="0">
        <v>3325</v>
      </c>
      <c r="F121" t="s" s="0">
        <v>3326</v>
      </c>
      <c r="G121" t="s" s="0">
        <v>3327</v>
      </c>
      <c r="H121" t="s" s="0">
        <v>83</v>
      </c>
      <c r="I121" t="s" s="0">
        <v>174</v>
      </c>
      <c r="J121" t="s" s="0">
        <v>3328</v>
      </c>
      <c r="K121" t="s" s="0">
        <v>3329</v>
      </c>
      <c r="L121" t="s" s="0">
        <v>83</v>
      </c>
      <c r="M121" t="s" s="0">
        <v>83</v>
      </c>
      <c r="N121" t="s" s="0">
        <v>83</v>
      </c>
      <c r="O121" t="s" s="0">
        <v>3330</v>
      </c>
      <c r="P121" t="s" s="0">
        <v>3331</v>
      </c>
      <c r="Q121" t="s" s="0">
        <v>92</v>
      </c>
      <c r="R121" t="s" s="0">
        <v>83</v>
      </c>
      <c r="S121" t="s" s="0">
        <v>83</v>
      </c>
      <c r="T121" t="s" s="0">
        <v>83</v>
      </c>
      <c r="U121" t="s" s="0">
        <v>83</v>
      </c>
      <c r="V121" t="s" s="0">
        <v>3332</v>
      </c>
      <c r="W121" t="s" s="0">
        <v>3333</v>
      </c>
      <c r="X121" t="s" s="0">
        <v>83</v>
      </c>
      <c r="Y121" t="s" s="0">
        <v>83</v>
      </c>
      <c r="Z121" t="s" s="0">
        <v>95</v>
      </c>
      <c r="AA121" t="s" s="0">
        <v>96</v>
      </c>
      <c r="AB121" t="s" s="0">
        <v>83</v>
      </c>
      <c r="AC121" t="s" s="0">
        <v>83</v>
      </c>
      <c r="AD121" t="s" s="0">
        <v>83</v>
      </c>
      <c r="AE121" t="s" s="0">
        <v>83</v>
      </c>
      <c r="AF121" t="s" s="0">
        <v>83</v>
      </c>
      <c r="AG121" t="s" s="0">
        <v>3334</v>
      </c>
      <c r="AH121" t="s" s="0">
        <v>3335</v>
      </c>
      <c r="AI121" t="s" s="0">
        <v>3336</v>
      </c>
      <c r="AJ121" t="s" s="0">
        <v>83</v>
      </c>
      <c r="AK121" t="s" s="0">
        <v>83</v>
      </c>
      <c r="AL121" t="s" s="0">
        <v>2648</v>
      </c>
      <c r="AM121" t="s" s="0">
        <v>78</v>
      </c>
      <c r="AN121" t="s" s="0">
        <v>78</v>
      </c>
      <c r="AO121" t="s" s="0">
        <v>78</v>
      </c>
      <c r="AP121" t="s" s="0">
        <v>78</v>
      </c>
      <c r="AQ121" t="s" s="0">
        <v>1151</v>
      </c>
      <c r="AR121" t="s" s="0">
        <v>1152</v>
      </c>
      <c r="AS121" t="s" s="0">
        <v>1153</v>
      </c>
      <c r="AT121" t="s" s="0">
        <v>3337</v>
      </c>
      <c r="AU121" t="s" s="0">
        <v>3338</v>
      </c>
      <c r="AV121" t="s" s="0">
        <v>83</v>
      </c>
      <c r="AW121" t="s" s="0">
        <v>3339</v>
      </c>
      <c r="AX121" t="s" s="0">
        <v>3340</v>
      </c>
      <c r="AY121" t="s" s="0">
        <v>580</v>
      </c>
      <c r="AZ121" t="s" s="0">
        <v>511</v>
      </c>
      <c r="BA121" t="s" s="0">
        <v>269</v>
      </c>
      <c r="BB121" t="s" s="0">
        <v>83</v>
      </c>
      <c r="BC121" t="s" s="0">
        <v>83</v>
      </c>
      <c r="BD121" t="s" s="0">
        <v>83</v>
      </c>
      <c r="BE121" t="s" s="0">
        <v>83</v>
      </c>
      <c r="BF121" t="s" s="0">
        <v>83</v>
      </c>
      <c r="BG121" t="s" s="0">
        <v>83</v>
      </c>
      <c r="BH121" t="s" s="0">
        <v>83</v>
      </c>
      <c r="BI121" t="s" s="0">
        <v>3341</v>
      </c>
      <c r="BJ121" t="s" s="0">
        <v>3342</v>
      </c>
      <c r="BK121" t="s" s="239">
        <f>HYPERLINK("http://dx.doi.org/10.1016/j.jisako.2026.101088","http://dx.doi.org/10.1016/j.jisako.2026.101088")</f>
        <v>3343</v>
      </c>
      <c r="BL121" t="s" s="0">
        <v>83</v>
      </c>
      <c r="BM121" t="s" s="0">
        <v>83</v>
      </c>
      <c r="BN121" t="s" s="0">
        <v>232</v>
      </c>
      <c r="BO121" t="s" s="0">
        <v>3344</v>
      </c>
      <c r="BP121" t="s" s="0">
        <v>3344</v>
      </c>
      <c r="BQ121" t="s" s="0">
        <v>3345</v>
      </c>
      <c r="BR121" t="s" s="0">
        <v>3346</v>
      </c>
      <c r="BS121" t="s" s="0">
        <v>3347</v>
      </c>
      <c r="BT121" t="s" s="240">
        <f>HYPERLINK("https://www.webofscience.com/wos/woscc/full-record/WOS:001717830900001","View Record in Web of Science")</f>
        <v>126</v>
      </c>
      <c r="BU121" t="s" s="0">
        <v>1463</v>
      </c>
      <c r="BV121" t="s" s="0">
        <v>83</v>
      </c>
      <c r="BW121" t="s" s="0">
        <v>83</v>
      </c>
      <c r="BX121" t="s" s="0">
        <v>130</v>
      </c>
    </row>
    <row r="122">
      <c r="A122" t="s" s="0">
        <v>78</v>
      </c>
      <c r="B122" t="s" s="0">
        <v>78</v>
      </c>
      <c r="C122" t="s" s="0">
        <v>78</v>
      </c>
      <c r="D122" t="s" s="0">
        <v>78</v>
      </c>
      <c r="E122" t="s" s="0">
        <v>3348</v>
      </c>
      <c r="F122" t="s" s="0">
        <v>3349</v>
      </c>
      <c r="G122" t="s" s="0">
        <v>3350</v>
      </c>
      <c r="H122" t="s" s="0">
        <v>83</v>
      </c>
      <c r="I122" t="s" s="0">
        <v>174</v>
      </c>
      <c r="J122" t="s" s="0">
        <v>3351</v>
      </c>
      <c r="K122" t="s" s="0">
        <v>3352</v>
      </c>
      <c r="L122" t="s" s="0">
        <v>3353</v>
      </c>
      <c r="M122" t="s" s="0">
        <v>3353</v>
      </c>
      <c r="N122" t="s" s="0">
        <v>3354</v>
      </c>
      <c r="O122" t="s" s="0">
        <v>3355</v>
      </c>
      <c r="P122" t="s" s="0">
        <v>3356</v>
      </c>
      <c r="Q122" t="s" s="0">
        <v>92</v>
      </c>
      <c r="R122" t="s" s="0">
        <v>83</v>
      </c>
      <c r="S122" t="s" s="0">
        <v>83</v>
      </c>
      <c r="T122" t="s" s="0">
        <v>83</v>
      </c>
      <c r="U122" t="s" s="0">
        <v>83</v>
      </c>
      <c r="V122" t="s" s="0">
        <v>3357</v>
      </c>
      <c r="W122" t="s" s="0">
        <v>3358</v>
      </c>
      <c r="X122" t="s" s="0">
        <v>83</v>
      </c>
      <c r="Y122" t="s" s="0">
        <v>83</v>
      </c>
      <c r="Z122" t="s" s="0">
        <v>95</v>
      </c>
      <c r="AA122" t="s" s="0">
        <v>566</v>
      </c>
      <c r="AB122" t="s" s="0">
        <v>83</v>
      </c>
      <c r="AC122" t="s" s="0">
        <v>83</v>
      </c>
      <c r="AD122" t="s" s="0">
        <v>83</v>
      </c>
      <c r="AE122" t="s" s="0">
        <v>83</v>
      </c>
      <c r="AF122" t="s" s="0">
        <v>83</v>
      </c>
      <c r="AG122" t="s" s="0">
        <v>3359</v>
      </c>
      <c r="AH122" t="s" s="0">
        <v>3360</v>
      </c>
      <c r="AI122" t="s" s="0">
        <v>83</v>
      </c>
      <c r="AJ122" t="s" s="0">
        <v>83</v>
      </c>
      <c r="AK122" t="s" s="0">
        <v>83</v>
      </c>
      <c r="AL122" t="s" s="0">
        <v>3361</v>
      </c>
      <c r="AM122" t="s" s="0">
        <v>78</v>
      </c>
      <c r="AN122" t="s" s="0">
        <v>78</v>
      </c>
      <c r="AO122" t="s" s="0">
        <v>78</v>
      </c>
      <c r="AP122" t="s" s="0">
        <v>78</v>
      </c>
      <c r="AQ122" t="s" s="0">
        <v>1123</v>
      </c>
      <c r="AR122" t="s" s="0">
        <v>1124</v>
      </c>
      <c r="AS122" t="s" s="0">
        <v>1125</v>
      </c>
      <c r="AT122" t="s" s="0">
        <v>3362</v>
      </c>
      <c r="AU122" t="s" s="0">
        <v>3363</v>
      </c>
      <c r="AV122" t="s" s="0">
        <v>83</v>
      </c>
      <c r="AW122" t="s" s="0">
        <v>3364</v>
      </c>
      <c r="AX122" t="s" s="0">
        <v>3365</v>
      </c>
      <c r="AY122" t="s" s="0">
        <v>83</v>
      </c>
      <c r="AZ122" t="s" s="0">
        <v>511</v>
      </c>
      <c r="BA122" t="s" s="0">
        <v>83</v>
      </c>
      <c r="BB122" t="s" s="0">
        <v>83</v>
      </c>
      <c r="BC122" t="s" s="0">
        <v>83</v>
      </c>
      <c r="BD122" t="s" s="0">
        <v>83</v>
      </c>
      <c r="BE122" t="s" s="0">
        <v>83</v>
      </c>
      <c r="BF122" t="s" s="0">
        <v>83</v>
      </c>
      <c r="BG122" t="s" s="0">
        <v>83</v>
      </c>
      <c r="BH122" t="s" s="0">
        <v>83</v>
      </c>
      <c r="BI122" t="s" s="0">
        <v>83</v>
      </c>
      <c r="BJ122" t="s" s="0">
        <v>3366</v>
      </c>
      <c r="BK122" t="s" s="241">
        <f>HYPERLINK("http://dx.doi.org/10.1002/VIW.20260011","http://dx.doi.org/10.1002/VIW.20260011")</f>
        <v>3367</v>
      </c>
      <c r="BL122" t="s" s="0">
        <v>83</v>
      </c>
      <c r="BM122" t="s" s="0">
        <v>580</v>
      </c>
      <c r="BN122" t="s" s="0">
        <v>358</v>
      </c>
      <c r="BO122" t="s" s="0">
        <v>3368</v>
      </c>
      <c r="BP122" t="s" s="0">
        <v>3369</v>
      </c>
      <c r="BQ122" t="s" s="0">
        <v>3370</v>
      </c>
      <c r="BR122" t="s" s="0">
        <v>83</v>
      </c>
      <c r="BS122" t="s" s="0">
        <v>3371</v>
      </c>
      <c r="BT122" t="s" s="242">
        <f>HYPERLINK("https://www.webofscience.com/wos/woscc/full-record/WOS:001751020500001","View Record in Web of Science")</f>
        <v>126</v>
      </c>
      <c r="BU122" t="s" s="0">
        <v>1463</v>
      </c>
      <c r="BV122" t="s" s="0">
        <v>83</v>
      </c>
      <c r="BW122" t="s" s="0">
        <v>83</v>
      </c>
      <c r="BX122" t="s" s="0">
        <v>130</v>
      </c>
    </row>
    <row r="123">
      <c r="A123" t="s" s="0">
        <v>417</v>
      </c>
      <c r="B123" t="s" s="0">
        <v>78</v>
      </c>
      <c r="C123" t="s" s="0">
        <v>2637</v>
      </c>
      <c r="D123" t="s" s="0">
        <v>115</v>
      </c>
      <c r="E123" t="s" s="0">
        <v>3372</v>
      </c>
      <c r="F123" t="s" s="0">
        <v>3373</v>
      </c>
      <c r="G123" t="s" s="0">
        <v>3374</v>
      </c>
      <c r="H123" t="s" s="0">
        <v>83</v>
      </c>
      <c r="I123" t="s" s="0">
        <v>84</v>
      </c>
      <c r="J123" t="s" s="0">
        <v>3375</v>
      </c>
      <c r="K123" t="s" s="0">
        <v>3376</v>
      </c>
      <c r="L123" t="s" s="0">
        <v>3377</v>
      </c>
      <c r="M123" t="s" s="0">
        <v>3377</v>
      </c>
      <c r="N123" t="s" s="0">
        <v>3378</v>
      </c>
      <c r="O123" t="s" s="0">
        <v>3379</v>
      </c>
      <c r="P123" t="s" s="0">
        <v>3380</v>
      </c>
      <c r="Q123" t="s" s="0">
        <v>92</v>
      </c>
      <c r="R123" t="s" s="0">
        <v>83</v>
      </c>
      <c r="S123" t="s" s="0">
        <v>83</v>
      </c>
      <c r="T123" t="s" s="0">
        <v>83</v>
      </c>
      <c r="U123" t="s" s="0">
        <v>83</v>
      </c>
      <c r="V123" t="s" s="0">
        <v>3381</v>
      </c>
      <c r="W123" t="s" s="0">
        <v>3382</v>
      </c>
      <c r="X123" t="s" s="0">
        <v>83</v>
      </c>
      <c r="Y123" t="s" s="0">
        <v>83</v>
      </c>
      <c r="Z123" t="s" s="0">
        <v>95</v>
      </c>
      <c r="AA123" t="s" s="0">
        <v>96</v>
      </c>
      <c r="AB123" t="s" s="0">
        <v>83</v>
      </c>
      <c r="AC123" t="s" s="0">
        <v>83</v>
      </c>
      <c r="AD123" t="s" s="0">
        <v>83</v>
      </c>
      <c r="AE123" t="s" s="0">
        <v>83</v>
      </c>
      <c r="AF123" t="s" s="0">
        <v>83</v>
      </c>
      <c r="AG123" t="s" s="0">
        <v>3383</v>
      </c>
      <c r="AH123" t="s" s="0">
        <v>3384</v>
      </c>
      <c r="AI123" t="s" s="0">
        <v>83</v>
      </c>
      <c r="AJ123" t="s" s="0">
        <v>3385</v>
      </c>
      <c r="AK123" t="s" s="0">
        <v>83</v>
      </c>
      <c r="AL123" t="s" s="0">
        <v>884</v>
      </c>
      <c r="AM123" t="s" s="0">
        <v>2674</v>
      </c>
      <c r="AN123" t="s" s="0">
        <v>3386</v>
      </c>
      <c r="AO123" t="s" s="0">
        <v>78</v>
      </c>
      <c r="AP123" t="s" s="0">
        <v>690</v>
      </c>
      <c r="AQ123" t="s" s="0">
        <v>1396</v>
      </c>
      <c r="AR123" t="s" s="0">
        <v>1091</v>
      </c>
      <c r="AS123" t="s" s="0">
        <v>1397</v>
      </c>
      <c r="AT123" t="s" s="0">
        <v>3387</v>
      </c>
      <c r="AU123" t="s" s="0">
        <v>3388</v>
      </c>
      <c r="AV123" t="s" s="0">
        <v>83</v>
      </c>
      <c r="AW123" t="s" s="0">
        <v>3389</v>
      </c>
      <c r="AX123" t="s" s="0">
        <v>3390</v>
      </c>
      <c r="AY123" t="s" s="0">
        <v>3391</v>
      </c>
      <c r="AZ123" t="s" s="0">
        <v>1680</v>
      </c>
      <c r="BA123" t="s" s="0">
        <v>516</v>
      </c>
      <c r="BB123" t="s" s="0">
        <v>231</v>
      </c>
      <c r="BC123" t="s" s="0">
        <v>83</v>
      </c>
      <c r="BD123" t="s" s="0">
        <v>83</v>
      </c>
      <c r="BE123" t="s" s="0">
        <v>83</v>
      </c>
      <c r="BF123" t="s" s="0">
        <v>83</v>
      </c>
      <c r="BG123" t="s" s="0">
        <v>3392</v>
      </c>
      <c r="BH123" t="s" s="0">
        <v>3393</v>
      </c>
      <c r="BI123" t="s" s="0">
        <v>83</v>
      </c>
      <c r="BJ123" t="s" s="0">
        <v>3394</v>
      </c>
      <c r="BK123" t="s" s="243">
        <f>HYPERLINK("http://dx.doi.org/10.1097/BSD.0000000000000287","http://dx.doi.org/10.1097/BSD.0000000000000287")</f>
        <v>3395</v>
      </c>
      <c r="BL123" t="s" s="0">
        <v>83</v>
      </c>
      <c r="BM123" t="s" s="0">
        <v>83</v>
      </c>
      <c r="BN123" t="s" s="0">
        <v>165</v>
      </c>
      <c r="BO123" t="s" s="0">
        <v>895</v>
      </c>
      <c r="BP123" t="s" s="0">
        <v>896</v>
      </c>
      <c r="BQ123" t="s" s="0">
        <v>3396</v>
      </c>
      <c r="BR123" t="s" s="0">
        <v>3397</v>
      </c>
      <c r="BS123" t="s" s="0">
        <v>3398</v>
      </c>
      <c r="BT123" t="s" s="244">
        <f>HYPERLINK("https://www.webofscience.com/wos/woscc/full-record/WOS:000357318900002","View Record in Web of Science")</f>
        <v>126</v>
      </c>
      <c r="BU123" t="s" s="0">
        <v>83</v>
      </c>
      <c r="BV123" t="s" s="0">
        <v>83</v>
      </c>
      <c r="BW123" t="s" s="0">
        <v>83</v>
      </c>
      <c r="BX123" t="s" s="0">
        <v>130</v>
      </c>
    </row>
    <row r="124">
      <c r="A124" t="s" s="0">
        <v>78</v>
      </c>
      <c r="B124" t="s" s="0">
        <v>78</v>
      </c>
      <c r="C124" t="s" s="0">
        <v>150</v>
      </c>
      <c r="D124" t="s" s="0">
        <v>78</v>
      </c>
      <c r="E124" t="s" s="0">
        <v>3399</v>
      </c>
      <c r="F124" t="s" s="0">
        <v>3400</v>
      </c>
      <c r="G124" t="s" s="0">
        <v>3401</v>
      </c>
      <c r="H124" t="s" s="0">
        <v>83</v>
      </c>
      <c r="I124" t="s" s="0">
        <v>257</v>
      </c>
      <c r="J124" t="s" s="0">
        <v>3402</v>
      </c>
      <c r="K124" t="s" s="0">
        <v>3403</v>
      </c>
      <c r="L124" t="s" s="0">
        <v>3404</v>
      </c>
      <c r="M124" t="s" s="0">
        <v>3405</v>
      </c>
      <c r="N124" t="s" s="0">
        <v>3406</v>
      </c>
      <c r="O124" t="s" s="0">
        <v>3407</v>
      </c>
      <c r="P124" t="s" s="0">
        <v>3408</v>
      </c>
      <c r="Q124" t="s" s="0">
        <v>92</v>
      </c>
      <c r="R124" t="s" s="0">
        <v>83</v>
      </c>
      <c r="S124" t="s" s="0">
        <v>83</v>
      </c>
      <c r="T124" t="s" s="0">
        <v>83</v>
      </c>
      <c r="U124" t="s" s="0">
        <v>83</v>
      </c>
      <c r="V124" t="s" s="0">
        <v>3409</v>
      </c>
      <c r="W124" t="s" s="0">
        <v>877</v>
      </c>
      <c r="X124" t="s" s="0">
        <v>83</v>
      </c>
      <c r="Y124" t="s" s="0">
        <v>83</v>
      </c>
      <c r="Z124" t="s" s="0">
        <v>95</v>
      </c>
      <c r="AA124" t="s" s="0">
        <v>96</v>
      </c>
      <c r="AB124" t="s" s="0">
        <v>83</v>
      </c>
      <c r="AC124" t="s" s="0">
        <v>83</v>
      </c>
      <c r="AD124" t="s" s="0">
        <v>83</v>
      </c>
      <c r="AE124" t="s" s="0">
        <v>83</v>
      </c>
      <c r="AF124" t="s" s="0">
        <v>83</v>
      </c>
      <c r="AG124" t="s" s="0">
        <v>3410</v>
      </c>
      <c r="AH124" t="s" s="0">
        <v>3411</v>
      </c>
      <c r="AI124" t="s" s="0">
        <v>83</v>
      </c>
      <c r="AJ124" t="s" s="0">
        <v>3412</v>
      </c>
      <c r="AK124" t="s" s="0">
        <v>83</v>
      </c>
      <c r="AL124" t="s" s="0">
        <v>884</v>
      </c>
      <c r="AM124" t="s" s="0">
        <v>120</v>
      </c>
      <c r="AN124" t="s" s="0">
        <v>310</v>
      </c>
      <c r="AO124" t="s" s="0">
        <v>78</v>
      </c>
      <c r="AP124" t="s" s="0">
        <v>417</v>
      </c>
      <c r="AQ124" t="s" s="0">
        <v>233</v>
      </c>
      <c r="AR124" t="s" s="0">
        <v>234</v>
      </c>
      <c r="AS124" t="s" s="0">
        <v>311</v>
      </c>
      <c r="AT124" t="s" s="0">
        <v>885</v>
      </c>
      <c r="AU124" t="s" s="0">
        <v>886</v>
      </c>
      <c r="AV124" t="s" s="0">
        <v>83</v>
      </c>
      <c r="AW124" t="s" s="0">
        <v>887</v>
      </c>
      <c r="AX124" t="s" s="0">
        <v>888</v>
      </c>
      <c r="AY124" t="s" s="0">
        <v>889</v>
      </c>
      <c r="AZ124" t="s" s="0">
        <v>637</v>
      </c>
      <c r="BA124" t="s" s="0">
        <v>890</v>
      </c>
      <c r="BB124" t="s" s="0">
        <v>211</v>
      </c>
      <c r="BC124" t="s" s="0">
        <v>83</v>
      </c>
      <c r="BD124" t="s" s="0">
        <v>83</v>
      </c>
      <c r="BE124" t="s" s="0">
        <v>83</v>
      </c>
      <c r="BF124" t="s" s="0">
        <v>83</v>
      </c>
      <c r="BG124" t="s" s="0">
        <v>3413</v>
      </c>
      <c r="BH124" t="s" s="0">
        <v>3414</v>
      </c>
      <c r="BI124" t="s" s="0">
        <v>83</v>
      </c>
      <c r="BJ124" t="s" s="0">
        <v>3415</v>
      </c>
      <c r="BK124" t="s" s="245">
        <f>HYPERLINK("http://dx.doi.org/10.1016/j.spinee.2020.06.014","http://dx.doi.org/10.1016/j.spinee.2020.06.014")</f>
        <v>3416</v>
      </c>
      <c r="BL124" t="s" s="0">
        <v>83</v>
      </c>
      <c r="BM124" t="s" s="0">
        <v>889</v>
      </c>
      <c r="BN124" t="s" s="0">
        <v>545</v>
      </c>
      <c r="BO124" t="s" s="0">
        <v>895</v>
      </c>
      <c r="BP124" t="s" s="0">
        <v>896</v>
      </c>
      <c r="BQ124" t="s" s="0">
        <v>897</v>
      </c>
      <c r="BR124" t="s" s="0">
        <v>3417</v>
      </c>
      <c r="BS124" t="s" s="0">
        <v>3418</v>
      </c>
      <c r="BT124" t="s" s="246">
        <f>HYPERLINK("https://www.webofscience.com/wos/woscc/full-record/WOS:000704865800009","View Record in Web of Science")</f>
        <v>126</v>
      </c>
      <c r="BU124" t="s" s="0">
        <v>127</v>
      </c>
      <c r="BV124" t="s" s="0">
        <v>83</v>
      </c>
      <c r="BW124" t="s" s="0">
        <v>83</v>
      </c>
      <c r="BX124" t="s" s="0">
        <v>130</v>
      </c>
    </row>
    <row r="125">
      <c r="A125" t="s" s="0">
        <v>115</v>
      </c>
      <c r="B125" t="s" s="0">
        <v>78</v>
      </c>
      <c r="C125" t="s" s="0">
        <v>149</v>
      </c>
      <c r="D125" t="s" s="0">
        <v>78</v>
      </c>
      <c r="E125" t="s" s="0">
        <v>3419</v>
      </c>
      <c r="F125" t="s" s="0">
        <v>3420</v>
      </c>
      <c r="G125" t="s" s="0">
        <v>3421</v>
      </c>
      <c r="H125" t="s" s="0">
        <v>83</v>
      </c>
      <c r="I125" t="s" s="0">
        <v>84</v>
      </c>
      <c r="J125" t="s" s="0">
        <v>3422</v>
      </c>
      <c r="K125" t="s" s="0">
        <v>3423</v>
      </c>
      <c r="L125" t="s" s="0">
        <v>3424</v>
      </c>
      <c r="M125" t="s" s="0">
        <v>3424</v>
      </c>
      <c r="N125" t="s" s="0">
        <v>3425</v>
      </c>
      <c r="O125" t="s" s="0">
        <v>3426</v>
      </c>
      <c r="P125" t="s" s="0">
        <v>3427</v>
      </c>
      <c r="Q125" t="s" s="0">
        <v>92</v>
      </c>
      <c r="R125" t="s" s="0">
        <v>83</v>
      </c>
      <c r="S125" t="s" s="0">
        <v>83</v>
      </c>
      <c r="T125" t="s" s="0">
        <v>83</v>
      </c>
      <c r="U125" t="s" s="0">
        <v>83</v>
      </c>
      <c r="V125" t="s" s="0">
        <v>3428</v>
      </c>
      <c r="W125" t="s" s="0">
        <v>3429</v>
      </c>
      <c r="X125" t="s" s="0">
        <v>83</v>
      </c>
      <c r="Y125" t="s" s="0">
        <v>83</v>
      </c>
      <c r="Z125" t="s" s="0">
        <v>95</v>
      </c>
      <c r="AA125" t="s" s="0">
        <v>96</v>
      </c>
      <c r="AB125" t="s" s="0">
        <v>83</v>
      </c>
      <c r="AC125" t="s" s="0">
        <v>83</v>
      </c>
      <c r="AD125" t="s" s="0">
        <v>83</v>
      </c>
      <c r="AE125" t="s" s="0">
        <v>83</v>
      </c>
      <c r="AF125" t="s" s="0">
        <v>83</v>
      </c>
      <c r="AG125" t="s" s="0">
        <v>3430</v>
      </c>
      <c r="AH125" t="s" s="0">
        <v>3431</v>
      </c>
      <c r="AI125" t="s" s="0">
        <v>83</v>
      </c>
      <c r="AJ125" t="s" s="0">
        <v>83</v>
      </c>
      <c r="AK125" t="s" s="0">
        <v>83</v>
      </c>
      <c r="AL125" t="s" s="0">
        <v>228</v>
      </c>
      <c r="AM125" t="s" s="0">
        <v>280</v>
      </c>
      <c r="AN125" t="s" s="0">
        <v>471</v>
      </c>
      <c r="AO125" t="s" s="0">
        <v>78</v>
      </c>
      <c r="AP125" t="s" s="0">
        <v>115</v>
      </c>
      <c r="AQ125" t="s" s="0">
        <v>1090</v>
      </c>
      <c r="AR125" t="s" s="0">
        <v>1091</v>
      </c>
      <c r="AS125" t="s" s="0">
        <v>1092</v>
      </c>
      <c r="AT125" t="s" s="0">
        <v>3432</v>
      </c>
      <c r="AU125" t="s" s="0">
        <v>3433</v>
      </c>
      <c r="AV125" t="s" s="0">
        <v>83</v>
      </c>
      <c r="AW125" t="s" s="0">
        <v>3434</v>
      </c>
      <c r="AX125" t="s" s="0">
        <v>3435</v>
      </c>
      <c r="AY125" t="s" s="0">
        <v>3436</v>
      </c>
      <c r="AZ125" t="s" s="0">
        <v>785</v>
      </c>
      <c r="BA125" t="s" s="0">
        <v>170</v>
      </c>
      <c r="BB125" t="s" s="0">
        <v>231</v>
      </c>
      <c r="BC125" t="s" s="0">
        <v>83</v>
      </c>
      <c r="BD125" t="s" s="0">
        <v>83</v>
      </c>
      <c r="BE125" t="s" s="0">
        <v>83</v>
      </c>
      <c r="BF125" t="s" s="0">
        <v>83</v>
      </c>
      <c r="BG125" t="s" s="0">
        <v>3437</v>
      </c>
      <c r="BH125" t="s" s="0">
        <v>3438</v>
      </c>
      <c r="BI125" t="s" s="0">
        <v>83</v>
      </c>
      <c r="BJ125" t="s" s="0">
        <v>3439</v>
      </c>
      <c r="BK125" t="s" s="247">
        <f>HYPERLINK("http://dx.doi.org/10.1053/j.semperi.2019.05.008","http://dx.doi.org/10.1053/j.semperi.2019.05.008")</f>
        <v>3440</v>
      </c>
      <c r="BL125" t="s" s="0">
        <v>83</v>
      </c>
      <c r="BM125" t="s" s="0">
        <v>83</v>
      </c>
      <c r="BN125" t="s" s="0">
        <v>149</v>
      </c>
      <c r="BO125" t="s" s="0">
        <v>3441</v>
      </c>
      <c r="BP125" t="s" s="0">
        <v>3441</v>
      </c>
      <c r="BQ125" t="s" s="0">
        <v>3442</v>
      </c>
      <c r="BR125" t="s" s="0">
        <v>3443</v>
      </c>
      <c r="BS125" t="s" s="0">
        <v>3444</v>
      </c>
      <c r="BT125" t="s" s="248">
        <f>HYPERLINK("https://www.webofscience.com/wos/woscc/full-record/WOS:000485207200008","View Record in Web of Science")</f>
        <v>126</v>
      </c>
      <c r="BU125" t="s" s="0">
        <v>83</v>
      </c>
      <c r="BV125" t="s" s="0">
        <v>83</v>
      </c>
      <c r="BW125" t="s" s="0">
        <v>83</v>
      </c>
      <c r="BX125" t="s" s="0">
        <v>130</v>
      </c>
    </row>
    <row r="126">
      <c r="A126" t="s" s="0">
        <v>78</v>
      </c>
      <c r="B126" t="s" s="0">
        <v>78</v>
      </c>
      <c r="C126" t="s" s="0">
        <v>78</v>
      </c>
      <c r="D126" t="s" s="0">
        <v>78</v>
      </c>
      <c r="E126" t="s" s="0">
        <v>3445</v>
      </c>
      <c r="F126" t="s" s="0">
        <v>3446</v>
      </c>
      <c r="G126" t="s" s="0">
        <v>3447</v>
      </c>
      <c r="H126" t="s" s="0">
        <v>83</v>
      </c>
      <c r="I126" t="s" s="0">
        <v>84</v>
      </c>
      <c r="J126" t="s" s="0">
        <v>3448</v>
      </c>
      <c r="K126" t="s" s="0">
        <v>3449</v>
      </c>
      <c r="L126" t="s" s="0">
        <v>3450</v>
      </c>
      <c r="M126" t="s" s="0">
        <v>3451</v>
      </c>
      <c r="N126" t="s" s="0">
        <v>3452</v>
      </c>
      <c r="O126" t="s" s="0">
        <v>3453</v>
      </c>
      <c r="P126" t="s" s="0">
        <v>3454</v>
      </c>
      <c r="Q126" t="s" s="0">
        <v>92</v>
      </c>
      <c r="R126" t="s" s="0">
        <v>83</v>
      </c>
      <c r="S126" t="s" s="0">
        <v>83</v>
      </c>
      <c r="T126" t="s" s="0">
        <v>83</v>
      </c>
      <c r="U126" t="s" s="0">
        <v>83</v>
      </c>
      <c r="V126" t="s" s="0">
        <v>3455</v>
      </c>
      <c r="W126" t="s" s="0">
        <v>3456</v>
      </c>
      <c r="X126" t="s" s="0">
        <v>83</v>
      </c>
      <c r="Y126" t="s" s="0">
        <v>83</v>
      </c>
      <c r="Z126" t="s" s="0">
        <v>95</v>
      </c>
      <c r="AA126" t="s" s="0">
        <v>96</v>
      </c>
      <c r="AB126" t="s" s="0">
        <v>83</v>
      </c>
      <c r="AC126" t="s" s="0">
        <v>83</v>
      </c>
      <c r="AD126" t="s" s="0">
        <v>83</v>
      </c>
      <c r="AE126" t="s" s="0">
        <v>83</v>
      </c>
      <c r="AF126" t="s" s="0">
        <v>83</v>
      </c>
      <c r="AG126" t="s" s="0">
        <v>83</v>
      </c>
      <c r="AH126" t="s" s="0">
        <v>3457</v>
      </c>
      <c r="AI126" t="s" s="0">
        <v>83</v>
      </c>
      <c r="AJ126" t="s" s="0">
        <v>83</v>
      </c>
      <c r="AK126" t="s" s="0">
        <v>83</v>
      </c>
      <c r="AL126" t="s" s="0">
        <v>1674</v>
      </c>
      <c r="AM126" t="s" s="0">
        <v>78</v>
      </c>
      <c r="AN126" t="s" s="0">
        <v>78</v>
      </c>
      <c r="AO126" t="s" s="0">
        <v>78</v>
      </c>
      <c r="AP126" t="s" s="0">
        <v>78</v>
      </c>
      <c r="AQ126" t="s" s="0">
        <v>1151</v>
      </c>
      <c r="AR126" t="s" s="0">
        <v>1152</v>
      </c>
      <c r="AS126" t="s" s="0">
        <v>1153</v>
      </c>
      <c r="AT126" t="s" s="0">
        <v>83</v>
      </c>
      <c r="AU126" t="s" s="0">
        <v>3458</v>
      </c>
      <c r="AV126" t="s" s="0">
        <v>83</v>
      </c>
      <c r="AW126" t="s" s="0">
        <v>3459</v>
      </c>
      <c r="AX126" t="s" s="0">
        <v>3460</v>
      </c>
      <c r="AY126" t="s" s="0">
        <v>1483</v>
      </c>
      <c r="AZ126" t="s" s="0">
        <v>511</v>
      </c>
      <c r="BA126" t="s" s="0">
        <v>149</v>
      </c>
      <c r="BB126" t="s" s="0">
        <v>148</v>
      </c>
      <c r="BC126" t="s" s="0">
        <v>83</v>
      </c>
      <c r="BD126" t="s" s="0">
        <v>83</v>
      </c>
      <c r="BE126" t="s" s="0">
        <v>83</v>
      </c>
      <c r="BF126" t="s" s="0">
        <v>83</v>
      </c>
      <c r="BG126" t="s" s="0">
        <v>83</v>
      </c>
      <c r="BH126" t="s" s="0">
        <v>83</v>
      </c>
      <c r="BI126" t="s" s="0">
        <v>3461</v>
      </c>
      <c r="BJ126" t="s" s="0">
        <v>3462</v>
      </c>
      <c r="BK126" t="s" s="249">
        <f>HYPERLINK("http://dx.doi.org/10.1016/j.landig.2026.101001","http://dx.doi.org/10.1016/j.landig.2026.101001")</f>
        <v>3463</v>
      </c>
      <c r="BL126" t="s" s="0">
        <v>83</v>
      </c>
      <c r="BM126" t="s" s="0">
        <v>83</v>
      </c>
      <c r="BN126" t="s" s="0">
        <v>309</v>
      </c>
      <c r="BO126" t="s" s="0">
        <v>3464</v>
      </c>
      <c r="BP126" t="s" s="0">
        <v>3465</v>
      </c>
      <c r="BQ126" t="s" s="0">
        <v>3466</v>
      </c>
      <c r="BR126" t="s" s="0">
        <v>3467</v>
      </c>
      <c r="BS126" t="s" s="0">
        <v>3468</v>
      </c>
      <c r="BT126" t="s" s="250">
        <f>HYPERLINK("https://www.webofscience.com/wos/woscc/full-record/WOS:001839509400001","View Record in Web of Science")</f>
        <v>126</v>
      </c>
      <c r="BU126" t="s" s="0">
        <v>1014</v>
      </c>
      <c r="BV126" t="s" s="0">
        <v>83</v>
      </c>
      <c r="BW126" t="s" s="0">
        <v>83</v>
      </c>
      <c r="BX126" t="s" s="0">
        <v>130</v>
      </c>
    </row>
    <row r="127">
      <c r="A127" t="s" s="0">
        <v>150</v>
      </c>
      <c r="B127" t="s" s="0">
        <v>78</v>
      </c>
      <c r="C127" t="s" s="0">
        <v>407</v>
      </c>
      <c r="D127" t="s" s="0">
        <v>78</v>
      </c>
      <c r="E127" t="s" s="0">
        <v>3469</v>
      </c>
      <c r="F127" t="s" s="0">
        <v>3470</v>
      </c>
      <c r="G127" t="s" s="0">
        <v>3471</v>
      </c>
      <c r="H127" t="s" s="0">
        <v>83</v>
      </c>
      <c r="I127" t="s" s="0">
        <v>84</v>
      </c>
      <c r="J127" t="s" s="0">
        <v>3472</v>
      </c>
      <c r="K127" t="s" s="0">
        <v>3473</v>
      </c>
      <c r="L127" t="s" s="0">
        <v>3474</v>
      </c>
      <c r="M127" t="s" s="0">
        <v>3475</v>
      </c>
      <c r="N127" t="s" s="0">
        <v>3476</v>
      </c>
      <c r="O127" t="s" s="0">
        <v>3477</v>
      </c>
      <c r="P127" t="s" s="0">
        <v>3478</v>
      </c>
      <c r="Q127" t="s" s="0">
        <v>92</v>
      </c>
      <c r="R127" t="s" s="0">
        <v>83</v>
      </c>
      <c r="S127" t="s" s="0">
        <v>83</v>
      </c>
      <c r="T127" t="s" s="0">
        <v>83</v>
      </c>
      <c r="U127" t="s" s="0">
        <v>83</v>
      </c>
      <c r="V127" t="s" s="0">
        <v>3479</v>
      </c>
      <c r="W127" t="s" s="0">
        <v>3480</v>
      </c>
      <c r="X127" t="s" s="0">
        <v>83</v>
      </c>
      <c r="Y127" t="s" s="0">
        <v>83</v>
      </c>
      <c r="Z127" t="s" s="0">
        <v>95</v>
      </c>
      <c r="AA127" t="s" s="0">
        <v>96</v>
      </c>
      <c r="AB127" t="s" s="0">
        <v>83</v>
      </c>
      <c r="AC127" t="s" s="0">
        <v>83</v>
      </c>
      <c r="AD127" t="s" s="0">
        <v>83</v>
      </c>
      <c r="AE127" t="s" s="0">
        <v>83</v>
      </c>
      <c r="AF127" t="s" s="0">
        <v>83</v>
      </c>
      <c r="AG127" t="s" s="0">
        <v>3481</v>
      </c>
      <c r="AH127" t="s" s="0">
        <v>3482</v>
      </c>
      <c r="AI127" t="s" s="0">
        <v>3483</v>
      </c>
      <c r="AJ127" t="s" s="0">
        <v>3484</v>
      </c>
      <c r="AK127" t="s" s="0">
        <v>83</v>
      </c>
      <c r="AL127" t="s" s="0">
        <v>1160</v>
      </c>
      <c r="AM127" t="s" s="0">
        <v>3485</v>
      </c>
      <c r="AN127" t="s" s="0">
        <v>244</v>
      </c>
      <c r="AO127" t="s" s="0">
        <v>165</v>
      </c>
      <c r="AP127" t="s" s="0">
        <v>3129</v>
      </c>
      <c r="AQ127" t="s" s="0">
        <v>3486</v>
      </c>
      <c r="AR127" t="s" s="0">
        <v>3487</v>
      </c>
      <c r="AS127" t="s" s="0">
        <v>3488</v>
      </c>
      <c r="AT127" t="s" s="0">
        <v>3489</v>
      </c>
      <c r="AU127" t="s" s="0">
        <v>83</v>
      </c>
      <c r="AV127" t="s" s="0">
        <v>83</v>
      </c>
      <c r="AW127" t="s" s="0">
        <v>3490</v>
      </c>
      <c r="AX127" t="s" s="0">
        <v>3491</v>
      </c>
      <c r="AY127" t="s" s="0">
        <v>3492</v>
      </c>
      <c r="AZ127" t="s" s="0">
        <v>412</v>
      </c>
      <c r="BA127" t="s" s="0">
        <v>384</v>
      </c>
      <c r="BB127" t="s" s="0">
        <v>83</v>
      </c>
      <c r="BC127" t="s" s="0">
        <v>83</v>
      </c>
      <c r="BD127" t="s" s="0">
        <v>83</v>
      </c>
      <c r="BE127" t="s" s="0">
        <v>83</v>
      </c>
      <c r="BF127" t="s" s="0">
        <v>83</v>
      </c>
      <c r="BG127" t="s" s="0">
        <v>3493</v>
      </c>
      <c r="BH127" t="s" s="0">
        <v>3494</v>
      </c>
      <c r="BI127" t="s" s="0">
        <v>83</v>
      </c>
      <c r="BJ127" t="s" s="0">
        <v>3495</v>
      </c>
      <c r="BK127" t="s" s="251">
        <f>HYPERLINK("http://dx.doi.org/10.1016/j.csbj.2024.02.018","http://dx.doi.org/10.1016/j.csbj.2024.02.018")</f>
        <v>3496</v>
      </c>
      <c r="BL127" t="s" s="0">
        <v>83</v>
      </c>
      <c r="BM127" t="s" s="0">
        <v>3497</v>
      </c>
      <c r="BN127" t="s" s="0">
        <v>309</v>
      </c>
      <c r="BO127" t="s" s="0">
        <v>3498</v>
      </c>
      <c r="BP127" t="s" s="0">
        <v>3498</v>
      </c>
      <c r="BQ127" t="s" s="0">
        <v>3499</v>
      </c>
      <c r="BR127" t="s" s="0">
        <v>3500</v>
      </c>
      <c r="BS127" t="s" s="0">
        <v>3501</v>
      </c>
      <c r="BT127" t="s" s="252">
        <f>HYPERLINK("https://www.webofscience.com/wos/woscc/full-record/WOS:001204845000001","View Record in Web of Science")</f>
        <v>126</v>
      </c>
      <c r="BU127" t="s" s="0">
        <v>210</v>
      </c>
      <c r="BV127" t="s" s="0">
        <v>128</v>
      </c>
      <c r="BW127" t="s" s="0">
        <v>129</v>
      </c>
      <c r="BX127" t="s" s="0">
        <v>130</v>
      </c>
    </row>
    <row r="128">
      <c r="A128" t="s" s="0">
        <v>78</v>
      </c>
      <c r="B128" t="s" s="0">
        <v>78</v>
      </c>
      <c r="C128" t="s" s="0">
        <v>78</v>
      </c>
      <c r="D128" t="s" s="0">
        <v>78</v>
      </c>
      <c r="E128" t="s" s="0">
        <v>3502</v>
      </c>
      <c r="F128" t="s" s="0">
        <v>3503</v>
      </c>
      <c r="G128" t="s" s="0">
        <v>3504</v>
      </c>
      <c r="H128" t="s" s="0">
        <v>83</v>
      </c>
      <c r="I128" t="s" s="0">
        <v>84</v>
      </c>
      <c r="J128" t="s" s="0">
        <v>3505</v>
      </c>
      <c r="K128" t="s" s="0">
        <v>3506</v>
      </c>
      <c r="L128" t="s" s="0">
        <v>83</v>
      </c>
      <c r="M128" t="s" s="0">
        <v>83</v>
      </c>
      <c r="N128" t="s" s="0">
        <v>83</v>
      </c>
      <c r="O128" t="s" s="0">
        <v>3507</v>
      </c>
      <c r="P128" t="s" s="0">
        <v>3508</v>
      </c>
      <c r="Q128" t="s" s="0">
        <v>92</v>
      </c>
      <c r="R128" t="s" s="0">
        <v>83</v>
      </c>
      <c r="S128" t="s" s="0">
        <v>83</v>
      </c>
      <c r="T128" t="s" s="0">
        <v>83</v>
      </c>
      <c r="U128" t="s" s="0">
        <v>83</v>
      </c>
      <c r="V128" t="s" s="0">
        <v>3509</v>
      </c>
      <c r="W128" t="s" s="0">
        <v>3510</v>
      </c>
      <c r="X128" t="s" s="0">
        <v>83</v>
      </c>
      <c r="Y128" t="s" s="0">
        <v>83</v>
      </c>
      <c r="Z128" t="s" s="0">
        <v>95</v>
      </c>
      <c r="AA128" t="s" s="0">
        <v>96</v>
      </c>
      <c r="AB128" t="s" s="0">
        <v>83</v>
      </c>
      <c r="AC128" t="s" s="0">
        <v>83</v>
      </c>
      <c r="AD128" t="s" s="0">
        <v>83</v>
      </c>
      <c r="AE128" t="s" s="0">
        <v>83</v>
      </c>
      <c r="AF128" t="s" s="0">
        <v>83</v>
      </c>
      <c r="AG128" t="s" s="0">
        <v>3511</v>
      </c>
      <c r="AH128" t="s" s="0">
        <v>3512</v>
      </c>
      <c r="AI128" t="s" s="0">
        <v>3513</v>
      </c>
      <c r="AJ128" t="s" s="0">
        <v>3514</v>
      </c>
      <c r="AK128" t="s" s="0">
        <v>83</v>
      </c>
      <c r="AL128" t="s" s="0">
        <v>230</v>
      </c>
      <c r="AM128" t="s" s="0">
        <v>77</v>
      </c>
      <c r="AN128" t="s" s="0">
        <v>281</v>
      </c>
      <c r="AO128" t="s" s="0">
        <v>78</v>
      </c>
      <c r="AP128" t="s" s="0">
        <v>120</v>
      </c>
      <c r="AQ128" t="s" s="0">
        <v>1123</v>
      </c>
      <c r="AR128" t="s" s="0">
        <v>1124</v>
      </c>
      <c r="AS128" t="s" s="0">
        <v>1125</v>
      </c>
      <c r="AT128" t="s" s="0">
        <v>3515</v>
      </c>
      <c r="AU128" t="s" s="0">
        <v>3516</v>
      </c>
      <c r="AV128" t="s" s="0">
        <v>83</v>
      </c>
      <c r="AW128" t="s" s="0">
        <v>3517</v>
      </c>
      <c r="AX128" t="s" s="0">
        <v>3518</v>
      </c>
      <c r="AY128" t="s" s="0">
        <v>286</v>
      </c>
      <c r="AZ128" t="s" s="0">
        <v>279</v>
      </c>
      <c r="BA128" t="s" s="0">
        <v>471</v>
      </c>
      <c r="BB128" t="s" s="0">
        <v>115</v>
      </c>
      <c r="BC128" t="s" s="0">
        <v>83</v>
      </c>
      <c r="BD128" t="s" s="0">
        <v>83</v>
      </c>
      <c r="BE128" t="s" s="0">
        <v>83</v>
      </c>
      <c r="BF128" t="s" s="0">
        <v>83</v>
      </c>
      <c r="BG128" t="s" s="0">
        <v>77</v>
      </c>
      <c r="BH128" t="s" s="0">
        <v>248</v>
      </c>
      <c r="BI128" t="s" s="0">
        <v>83</v>
      </c>
      <c r="BJ128" t="s" s="0">
        <v>3519</v>
      </c>
      <c r="BK128" t="s" s="253">
        <f>HYPERLINK("http://dx.doi.org/10.1111/den.13974","http://dx.doi.org/10.1111/den.13974")</f>
        <v>3520</v>
      </c>
      <c r="BL128" t="s" s="0">
        <v>83</v>
      </c>
      <c r="BM128" t="s" s="0">
        <v>3521</v>
      </c>
      <c r="BN128" t="s" s="0">
        <v>165</v>
      </c>
      <c r="BO128" t="s" s="0">
        <v>3522</v>
      </c>
      <c r="BP128" t="s" s="0">
        <v>3522</v>
      </c>
      <c r="BQ128" t="s" s="0">
        <v>3523</v>
      </c>
      <c r="BR128" t="s" s="0">
        <v>3524</v>
      </c>
      <c r="BS128" t="s" s="0">
        <v>3525</v>
      </c>
      <c r="BT128" t="s" s="254">
        <f>HYPERLINK("https://www.webofscience.com/wos/woscc/full-record/WOS:000641062300001","View Record in Web of Science")</f>
        <v>126</v>
      </c>
      <c r="BU128" t="s" s="0">
        <v>3526</v>
      </c>
      <c r="BV128" t="s" s="0">
        <v>83</v>
      </c>
      <c r="BW128" t="s" s="0">
        <v>83</v>
      </c>
      <c r="BX128" t="s" s="0">
        <v>130</v>
      </c>
    </row>
    <row r="129">
      <c r="A129" t="s" s="0">
        <v>78</v>
      </c>
      <c r="B129" t="s" s="0">
        <v>78</v>
      </c>
      <c r="C129" t="s" s="0">
        <v>149</v>
      </c>
      <c r="D129" t="s" s="0">
        <v>115</v>
      </c>
      <c r="E129" t="s" s="0">
        <v>3527</v>
      </c>
      <c r="F129" t="s" s="0">
        <v>3528</v>
      </c>
      <c r="G129" t="s" s="0">
        <v>3529</v>
      </c>
      <c r="H129" t="s" s="0">
        <v>83</v>
      </c>
      <c r="I129" t="s" s="0">
        <v>84</v>
      </c>
      <c r="J129" t="s" s="0">
        <v>3530</v>
      </c>
      <c r="K129" t="s" s="0">
        <v>3531</v>
      </c>
      <c r="L129" t="s" s="0">
        <v>83</v>
      </c>
      <c r="M129" t="s" s="0">
        <v>83</v>
      </c>
      <c r="N129" t="s" s="0">
        <v>83</v>
      </c>
      <c r="O129" t="s" s="0">
        <v>3532</v>
      </c>
      <c r="P129" t="s" s="0">
        <v>3533</v>
      </c>
      <c r="Q129" t="s" s="0">
        <v>92</v>
      </c>
      <c r="R129" t="s" s="0">
        <v>83</v>
      </c>
      <c r="S129" t="s" s="0">
        <v>83</v>
      </c>
      <c r="T129" t="s" s="0">
        <v>83</v>
      </c>
      <c r="U129" t="s" s="0">
        <v>83</v>
      </c>
      <c r="V129" t="s" s="0">
        <v>3534</v>
      </c>
      <c r="W129" t="s" s="0">
        <v>3535</v>
      </c>
      <c r="X129" t="s" s="0">
        <v>83</v>
      </c>
      <c r="Y129" t="s" s="0">
        <v>83</v>
      </c>
      <c r="Z129" t="s" s="0">
        <v>95</v>
      </c>
      <c r="AA129" t="s" s="0">
        <v>96</v>
      </c>
      <c r="AB129" t="s" s="0">
        <v>83</v>
      </c>
      <c r="AC129" t="s" s="0">
        <v>83</v>
      </c>
      <c r="AD129" t="s" s="0">
        <v>83</v>
      </c>
      <c r="AE129" t="s" s="0">
        <v>83</v>
      </c>
      <c r="AF129" t="s" s="0">
        <v>83</v>
      </c>
      <c r="AG129" t="s" s="0">
        <v>83</v>
      </c>
      <c r="AH129" t="s" s="0">
        <v>3536</v>
      </c>
      <c r="AI129" t="s" s="0">
        <v>3537</v>
      </c>
      <c r="AJ129" t="s" s="0">
        <v>3538</v>
      </c>
      <c r="AK129" t="s" s="0">
        <v>83</v>
      </c>
      <c r="AL129" t="s" s="0">
        <v>160</v>
      </c>
      <c r="AM129" t="s" s="0">
        <v>516</v>
      </c>
      <c r="AN129" t="s" s="0">
        <v>1404</v>
      </c>
      <c r="AO129" t="s" s="0">
        <v>115</v>
      </c>
      <c r="AP129" t="s" s="0">
        <v>384</v>
      </c>
      <c r="AQ129" t="s" s="0">
        <v>2640</v>
      </c>
      <c r="AR129" t="s" s="0">
        <v>2641</v>
      </c>
      <c r="AS129" t="s" s="0">
        <v>2642</v>
      </c>
      <c r="AT129" t="s" s="0">
        <v>3539</v>
      </c>
      <c r="AU129" t="s" s="0">
        <v>3540</v>
      </c>
      <c r="AV129" t="s" s="0">
        <v>83</v>
      </c>
      <c r="AW129" t="s" s="0">
        <v>3541</v>
      </c>
      <c r="AX129" t="s" s="0">
        <v>3542</v>
      </c>
      <c r="AY129" t="s" s="0">
        <v>3543</v>
      </c>
      <c r="AZ129" t="s" s="0">
        <v>637</v>
      </c>
      <c r="BA129" t="s" s="0">
        <v>189</v>
      </c>
      <c r="BB129" t="s" s="0">
        <v>165</v>
      </c>
      <c r="BC129" t="s" s="0">
        <v>83</v>
      </c>
      <c r="BD129" t="s" s="0">
        <v>83</v>
      </c>
      <c r="BE129" t="s" s="0">
        <v>83</v>
      </c>
      <c r="BF129" t="s" s="0">
        <v>83</v>
      </c>
      <c r="BG129" t="s" s="0">
        <v>3544</v>
      </c>
      <c r="BH129" t="s" s="0">
        <v>3545</v>
      </c>
      <c r="BI129" t="s" s="0">
        <v>83</v>
      </c>
      <c r="BJ129" t="s" s="0">
        <v>3546</v>
      </c>
      <c r="BK129" t="s" s="255">
        <f>HYPERLINK("http://dx.doi.org/10.1001/jamaoto.2021.1548","http://dx.doi.org/10.1001/jamaoto.2021.1548")</f>
        <v>3547</v>
      </c>
      <c r="BL129" t="s" s="0">
        <v>83</v>
      </c>
      <c r="BM129" t="s" s="0">
        <v>3548</v>
      </c>
      <c r="BN129" t="s" s="0">
        <v>211</v>
      </c>
      <c r="BO129" t="s" s="0">
        <v>3549</v>
      </c>
      <c r="BP129" t="s" s="0">
        <v>3549</v>
      </c>
      <c r="BQ129" t="s" s="0">
        <v>3550</v>
      </c>
      <c r="BR129" t="s" s="0">
        <v>3551</v>
      </c>
      <c r="BS129" t="s" s="0">
        <v>3552</v>
      </c>
      <c r="BT129" t="s" s="256">
        <f>HYPERLINK("https://www.webofscience.com/wos/woscc/full-record/WOS:000673054000002","View Record in Web of Science")</f>
        <v>126</v>
      </c>
      <c r="BU129" t="s" s="0">
        <v>3526</v>
      </c>
      <c r="BV129" t="s" s="0">
        <v>83</v>
      </c>
      <c r="BW129" t="s" s="0">
        <v>83</v>
      </c>
      <c r="BX129" t="s" s="0">
        <v>130</v>
      </c>
    </row>
    <row r="130">
      <c r="A130" t="s" s="0">
        <v>148</v>
      </c>
      <c r="B130" t="s" s="0">
        <v>78</v>
      </c>
      <c r="C130" t="s" s="0">
        <v>102</v>
      </c>
      <c r="D130" t="s" s="0">
        <v>78</v>
      </c>
      <c r="E130" t="s" s="0">
        <v>3553</v>
      </c>
      <c r="F130" t="s" s="0">
        <v>3554</v>
      </c>
      <c r="G130" t="s" s="0">
        <v>3555</v>
      </c>
      <c r="H130" t="s" s="0">
        <v>83</v>
      </c>
      <c r="I130" t="s" s="0">
        <v>257</v>
      </c>
      <c r="J130" t="s" s="0">
        <v>3556</v>
      </c>
      <c r="K130" t="s" s="0">
        <v>3557</v>
      </c>
      <c r="L130" t="s" s="0">
        <v>3558</v>
      </c>
      <c r="M130" t="s" s="0">
        <v>3559</v>
      </c>
      <c r="N130" t="s" s="0">
        <v>3560</v>
      </c>
      <c r="O130" t="s" s="0">
        <v>3561</v>
      </c>
      <c r="P130" t="s" s="0">
        <v>3562</v>
      </c>
      <c r="Q130" t="s" s="0">
        <v>92</v>
      </c>
      <c r="R130" t="s" s="0">
        <v>83</v>
      </c>
      <c r="S130" t="s" s="0">
        <v>83</v>
      </c>
      <c r="T130" t="s" s="0">
        <v>83</v>
      </c>
      <c r="U130" t="s" s="0">
        <v>83</v>
      </c>
      <c r="V130" t="s" s="0">
        <v>3563</v>
      </c>
      <c r="W130" t="s" s="0">
        <v>266</v>
      </c>
      <c r="X130" t="s" s="0">
        <v>83</v>
      </c>
      <c r="Y130" t="s" s="0">
        <v>83</v>
      </c>
      <c r="Z130" t="s" s="0">
        <v>95</v>
      </c>
      <c r="AA130" t="s" s="0">
        <v>96</v>
      </c>
      <c r="AB130" t="s" s="0">
        <v>83</v>
      </c>
      <c r="AC130" t="s" s="0">
        <v>83</v>
      </c>
      <c r="AD130" t="s" s="0">
        <v>83</v>
      </c>
      <c r="AE130" t="s" s="0">
        <v>83</v>
      </c>
      <c r="AF130" t="s" s="0">
        <v>83</v>
      </c>
      <c r="AG130" t="s" s="0">
        <v>3564</v>
      </c>
      <c r="AH130" t="s" s="0">
        <v>3565</v>
      </c>
      <c r="AI130" t="s" s="0">
        <v>3566</v>
      </c>
      <c r="AJ130" t="s" s="0">
        <v>3567</v>
      </c>
      <c r="AK130" t="s" s="0">
        <v>83</v>
      </c>
      <c r="AL130" t="s" s="0">
        <v>535</v>
      </c>
      <c r="AM130" t="s" s="0">
        <v>3568</v>
      </c>
      <c r="AN130" t="s" s="0">
        <v>2826</v>
      </c>
      <c r="AO130" t="s" s="0">
        <v>545</v>
      </c>
      <c r="AP130" t="s" s="0">
        <v>1395</v>
      </c>
      <c r="AQ130" t="s" s="0">
        <v>271</v>
      </c>
      <c r="AR130" t="s" s="0">
        <v>272</v>
      </c>
      <c r="AS130" t="s" s="0">
        <v>273</v>
      </c>
      <c r="AT130" t="s" s="0">
        <v>274</v>
      </c>
      <c r="AU130" t="s" s="0">
        <v>275</v>
      </c>
      <c r="AV130" t="s" s="0">
        <v>83</v>
      </c>
      <c r="AW130" t="s" s="0">
        <v>276</v>
      </c>
      <c r="AX130" t="s" s="0">
        <v>277</v>
      </c>
      <c r="AY130" t="s" s="0">
        <v>316</v>
      </c>
      <c r="AZ130" t="s" s="0">
        <v>317</v>
      </c>
      <c r="BA130" t="s" s="0">
        <v>114</v>
      </c>
      <c r="BB130" t="s" s="0">
        <v>77</v>
      </c>
      <c r="BC130" t="s" s="0">
        <v>83</v>
      </c>
      <c r="BD130" t="s" s="0">
        <v>83</v>
      </c>
      <c r="BE130" t="s" s="0">
        <v>83</v>
      </c>
      <c r="BF130" t="s" s="0">
        <v>83</v>
      </c>
      <c r="BG130" t="s" s="0">
        <v>3569</v>
      </c>
      <c r="BH130" t="s" s="0">
        <v>3570</v>
      </c>
      <c r="BI130" t="s" s="0">
        <v>83</v>
      </c>
      <c r="BJ130" t="s" s="0">
        <v>3571</v>
      </c>
      <c r="BK130" t="s" s="257">
        <f>HYPERLINK("http://dx.doi.org/10.1093/jamia/ocz228","http://dx.doi.org/10.1093/jamia/ocz228")</f>
        <v>3572</v>
      </c>
      <c r="BL130" t="s" s="0">
        <v>83</v>
      </c>
      <c r="BM130" t="s" s="0">
        <v>83</v>
      </c>
      <c r="BN130" t="s" s="0">
        <v>120</v>
      </c>
      <c r="BO130" t="s" s="0">
        <v>287</v>
      </c>
      <c r="BP130" t="s" s="0">
        <v>288</v>
      </c>
      <c r="BQ130" t="s" s="0">
        <v>3573</v>
      </c>
      <c r="BR130" t="s" s="0">
        <v>3574</v>
      </c>
      <c r="BS130" t="s" s="0">
        <v>3575</v>
      </c>
      <c r="BT130" t="s" s="258">
        <f>HYPERLINK("https://www.webofscience.com/wos/woscc/full-record/WOS:000548306200016","View Record in Web of Science")</f>
        <v>126</v>
      </c>
      <c r="BU130" t="s" s="0">
        <v>584</v>
      </c>
      <c r="BV130" t="s" s="0">
        <v>128</v>
      </c>
      <c r="BW130" t="s" s="0">
        <v>129</v>
      </c>
      <c r="BX130" t="s" s="0">
        <v>130</v>
      </c>
    </row>
    <row r="131">
      <c r="A131" t="s" s="0">
        <v>78</v>
      </c>
      <c r="B131" t="s" s="0">
        <v>78</v>
      </c>
      <c r="C131" t="s" s="0">
        <v>148</v>
      </c>
      <c r="D131" t="s" s="0">
        <v>78</v>
      </c>
      <c r="E131" t="s" s="0">
        <v>3576</v>
      </c>
      <c r="F131" t="s" s="0">
        <v>3577</v>
      </c>
      <c r="G131" t="s" s="0">
        <v>3578</v>
      </c>
      <c r="H131" t="s" s="0">
        <v>83</v>
      </c>
      <c r="I131" t="s" s="0">
        <v>84</v>
      </c>
      <c r="J131" t="s" s="0">
        <v>3579</v>
      </c>
      <c r="K131" t="s" s="0">
        <v>3580</v>
      </c>
      <c r="L131" t="s" s="0">
        <v>3581</v>
      </c>
      <c r="M131" t="s" s="0">
        <v>3581</v>
      </c>
      <c r="N131" t="s" s="0">
        <v>1920</v>
      </c>
      <c r="O131" t="s" s="0">
        <v>3582</v>
      </c>
      <c r="P131" t="s" s="0">
        <v>3583</v>
      </c>
      <c r="Q131" t="s" s="0">
        <v>92</v>
      </c>
      <c r="R131" t="s" s="0">
        <v>83</v>
      </c>
      <c r="S131" t="s" s="0">
        <v>83</v>
      </c>
      <c r="T131" t="s" s="0">
        <v>83</v>
      </c>
      <c r="U131" t="s" s="0">
        <v>83</v>
      </c>
      <c r="V131" t="s" s="0">
        <v>3584</v>
      </c>
      <c r="W131" t="s" s="0">
        <v>3585</v>
      </c>
      <c r="X131" t="s" s="0">
        <v>83</v>
      </c>
      <c r="Y131" t="s" s="0">
        <v>83</v>
      </c>
      <c r="Z131" t="s" s="0">
        <v>95</v>
      </c>
      <c r="AA131" t="s" s="0">
        <v>96</v>
      </c>
      <c r="AB131" t="s" s="0">
        <v>83</v>
      </c>
      <c r="AC131" t="s" s="0">
        <v>83</v>
      </c>
      <c r="AD131" t="s" s="0">
        <v>83</v>
      </c>
      <c r="AE131" t="s" s="0">
        <v>83</v>
      </c>
      <c r="AF131" t="s" s="0">
        <v>83</v>
      </c>
      <c r="AG131" t="s" s="0">
        <v>3586</v>
      </c>
      <c r="AH131" t="s" s="0">
        <v>3587</v>
      </c>
      <c r="AI131" t="s" s="0">
        <v>3588</v>
      </c>
      <c r="AJ131" t="s" s="0">
        <v>83</v>
      </c>
      <c r="AK131" t="s" s="0">
        <v>83</v>
      </c>
      <c r="AL131" t="s" s="0">
        <v>1395</v>
      </c>
      <c r="AM131" t="s" s="0">
        <v>309</v>
      </c>
      <c r="AN131" t="s" s="0">
        <v>310</v>
      </c>
      <c r="AO131" t="s" s="0">
        <v>148</v>
      </c>
      <c r="AP131" t="s" s="0">
        <v>269</v>
      </c>
      <c r="AQ131" t="s" s="0">
        <v>378</v>
      </c>
      <c r="AR131" t="s" s="0">
        <v>106</v>
      </c>
      <c r="AS131" t="s" s="0">
        <v>379</v>
      </c>
      <c r="AT131" t="s" s="0">
        <v>83</v>
      </c>
      <c r="AU131" t="s" s="0">
        <v>3589</v>
      </c>
      <c r="AV131" t="s" s="0">
        <v>83</v>
      </c>
      <c r="AW131" t="s" s="0">
        <v>3590</v>
      </c>
      <c r="AX131" t="s" s="0">
        <v>3591</v>
      </c>
      <c r="AY131" t="s" s="0">
        <v>3592</v>
      </c>
      <c r="AZ131" t="s" s="0">
        <v>159</v>
      </c>
      <c r="BA131" t="s" s="0">
        <v>358</v>
      </c>
      <c r="BB131" t="s" s="0">
        <v>115</v>
      </c>
      <c r="BC131" t="s" s="0">
        <v>83</v>
      </c>
      <c r="BD131" t="s" s="0">
        <v>83</v>
      </c>
      <c r="BE131" t="s" s="0">
        <v>83</v>
      </c>
      <c r="BF131" t="s" s="0">
        <v>83</v>
      </c>
      <c r="BG131" t="s" s="0">
        <v>83</v>
      </c>
      <c r="BH131" t="s" s="0">
        <v>83</v>
      </c>
      <c r="BI131" t="s" s="0">
        <v>374</v>
      </c>
      <c r="BJ131" t="s" s="0">
        <v>3593</v>
      </c>
      <c r="BK131" t="s" s="259">
        <f>HYPERLINK("http://dx.doi.org/10.1186/s12911-024-02848-x","http://dx.doi.org/10.1186/s12911-024-02848-x")</f>
        <v>3594</v>
      </c>
      <c r="BL131" t="s" s="0">
        <v>83</v>
      </c>
      <c r="BM131" t="s" s="0">
        <v>83</v>
      </c>
      <c r="BN131" t="s" s="0">
        <v>211</v>
      </c>
      <c r="BO131" t="s" s="0">
        <v>3183</v>
      </c>
      <c r="BP131" t="s" s="0">
        <v>3183</v>
      </c>
      <c r="BQ131" t="s" s="0">
        <v>3595</v>
      </c>
      <c r="BR131" t="s" s="0">
        <v>3596</v>
      </c>
      <c r="BS131" t="s" s="0">
        <v>3597</v>
      </c>
      <c r="BT131" t="s" s="260">
        <f>HYPERLINK("https://www.webofscience.com/wos/woscc/full-record/WOS:001397203200003","View Record in Web of Science")</f>
        <v>126</v>
      </c>
      <c r="BU131" t="s" s="0">
        <v>210</v>
      </c>
      <c r="BV131" t="s" s="0">
        <v>83</v>
      </c>
      <c r="BW131" t="s" s="0">
        <v>83</v>
      </c>
      <c r="BX131" t="s" s="0">
        <v>130</v>
      </c>
    </row>
    <row r="132">
      <c r="A132" t="s" s="0">
        <v>148</v>
      </c>
      <c r="B132" t="s" s="0">
        <v>78</v>
      </c>
      <c r="C132" t="s" s="0">
        <v>969</v>
      </c>
      <c r="D132" t="s" s="0">
        <v>78</v>
      </c>
      <c r="E132" t="s" s="0">
        <v>3598</v>
      </c>
      <c r="F132" t="s" s="0">
        <v>3599</v>
      </c>
      <c r="G132" t="s" s="0">
        <v>3600</v>
      </c>
      <c r="H132" t="s" s="0">
        <v>83</v>
      </c>
      <c r="I132" t="s" s="0">
        <v>84</v>
      </c>
      <c r="J132" t="s" s="0">
        <v>3601</v>
      </c>
      <c r="K132" t="s" s="0">
        <v>3602</v>
      </c>
      <c r="L132" t="s" s="0">
        <v>83</v>
      </c>
      <c r="M132" t="s" s="0">
        <v>83</v>
      </c>
      <c r="N132" t="s" s="0">
        <v>83</v>
      </c>
      <c r="O132" t="s" s="0">
        <v>3603</v>
      </c>
      <c r="P132" t="s" s="0">
        <v>3604</v>
      </c>
      <c r="Q132" t="s" s="0">
        <v>92</v>
      </c>
      <c r="R132" t="s" s="0">
        <v>83</v>
      </c>
      <c r="S132" t="s" s="0">
        <v>83</v>
      </c>
      <c r="T132" t="s" s="0">
        <v>83</v>
      </c>
      <c r="U132" t="s" s="0">
        <v>83</v>
      </c>
      <c r="V132" t="s" s="0">
        <v>3605</v>
      </c>
      <c r="W132" t="s" s="0">
        <v>223</v>
      </c>
      <c r="X132" t="s" s="0">
        <v>83</v>
      </c>
      <c r="Y132" t="s" s="0">
        <v>83</v>
      </c>
      <c r="Z132" t="s" s="0">
        <v>95</v>
      </c>
      <c r="AA132" t="s" s="0">
        <v>96</v>
      </c>
      <c r="AB132" t="s" s="0">
        <v>83</v>
      </c>
      <c r="AC132" t="s" s="0">
        <v>83</v>
      </c>
      <c r="AD132" t="s" s="0">
        <v>83</v>
      </c>
      <c r="AE132" t="s" s="0">
        <v>83</v>
      </c>
      <c r="AF132" t="s" s="0">
        <v>83</v>
      </c>
      <c r="AG132" t="s" s="0">
        <v>3606</v>
      </c>
      <c r="AH132" t="s" s="0">
        <v>3607</v>
      </c>
      <c r="AI132" t="s" s="0">
        <v>3608</v>
      </c>
      <c r="AJ132" t="s" s="0">
        <v>3609</v>
      </c>
      <c r="AK132" t="s" s="0">
        <v>83</v>
      </c>
      <c r="AL132" t="s" s="0">
        <v>1747</v>
      </c>
      <c r="AM132" t="s" s="0">
        <v>3610</v>
      </c>
      <c r="AN132" t="s" s="0">
        <v>3611</v>
      </c>
      <c r="AO132" t="s" s="0">
        <v>281</v>
      </c>
      <c r="AP132" t="s" s="0">
        <v>1955</v>
      </c>
      <c r="AQ132" t="s" s="0">
        <v>233</v>
      </c>
      <c r="AR132" t="s" s="0">
        <v>234</v>
      </c>
      <c r="AS132" t="s" s="0">
        <v>235</v>
      </c>
      <c r="AT132" t="s" s="0">
        <v>236</v>
      </c>
      <c r="AU132" t="s" s="0">
        <v>237</v>
      </c>
      <c r="AV132" t="s" s="0">
        <v>83</v>
      </c>
      <c r="AW132" t="s" s="0">
        <v>238</v>
      </c>
      <c r="AX132" t="s" s="0">
        <v>239</v>
      </c>
      <c r="AY132" t="s" s="0">
        <v>2052</v>
      </c>
      <c r="AZ132" t="s" s="0">
        <v>279</v>
      </c>
      <c r="BA132" t="s" s="0">
        <v>3612</v>
      </c>
      <c r="BB132" t="s" s="0">
        <v>83</v>
      </c>
      <c r="BC132" t="s" s="0">
        <v>83</v>
      </c>
      <c r="BD132" t="s" s="0">
        <v>83</v>
      </c>
      <c r="BE132" t="s" s="0">
        <v>83</v>
      </c>
      <c r="BF132" t="s" s="0">
        <v>83</v>
      </c>
      <c r="BG132" t="s" s="0">
        <v>3613</v>
      </c>
      <c r="BH132" t="s" s="0">
        <v>3614</v>
      </c>
      <c r="BI132" t="s" s="0">
        <v>83</v>
      </c>
      <c r="BJ132" t="s" s="0">
        <v>3615</v>
      </c>
      <c r="BK132" t="s" s="261">
        <f>HYPERLINK("http://dx.doi.org/10.1016/j.jclinepi.2021.11.023","http://dx.doi.org/10.1016/j.jclinepi.2021.11.023")</f>
        <v>3616</v>
      </c>
      <c r="BL132" t="s" s="0">
        <v>83</v>
      </c>
      <c r="BM132" t="s" s="0">
        <v>3617</v>
      </c>
      <c r="BN132" t="s" s="0">
        <v>248</v>
      </c>
      <c r="BO132" t="s" s="0">
        <v>249</v>
      </c>
      <c r="BP132" t="s" s="0">
        <v>249</v>
      </c>
      <c r="BQ132" t="s" s="0">
        <v>3618</v>
      </c>
      <c r="BR132" t="s" s="0">
        <v>3619</v>
      </c>
      <c r="BS132" t="s" s="0">
        <v>3620</v>
      </c>
      <c r="BT132" t="s" s="262">
        <f>HYPERLINK("https://www.webofscience.com/wos/woscc/full-record/WOS:000740342300014","View Record in Web of Science")</f>
        <v>126</v>
      </c>
      <c r="BU132" t="s" s="0">
        <v>253</v>
      </c>
      <c r="BV132" t="s" s="0">
        <v>128</v>
      </c>
      <c r="BW132" t="s" s="0">
        <v>129</v>
      </c>
      <c r="BX132" t="s" s="0">
        <v>130</v>
      </c>
    </row>
    <row r="133">
      <c r="A133" t="s" s="0">
        <v>115</v>
      </c>
      <c r="B133" t="s" s="0">
        <v>78</v>
      </c>
      <c r="C133" t="s" s="0">
        <v>148</v>
      </c>
      <c r="D133" t="s" s="0">
        <v>78</v>
      </c>
      <c r="E133" t="s" s="0">
        <v>3621</v>
      </c>
      <c r="F133" t="s" s="0">
        <v>3622</v>
      </c>
      <c r="G133" t="s" s="0">
        <v>3623</v>
      </c>
      <c r="H133" t="s" s="0">
        <v>83</v>
      </c>
      <c r="I133" t="s" s="0">
        <v>84</v>
      </c>
      <c r="J133" t="s" s="0">
        <v>3624</v>
      </c>
      <c r="K133" t="s" s="0">
        <v>3625</v>
      </c>
      <c r="L133" t="s" s="0">
        <v>3626</v>
      </c>
      <c r="M133" t="s" s="0">
        <v>3627</v>
      </c>
      <c r="N133" t="s" s="0">
        <v>3628</v>
      </c>
      <c r="O133" t="s" s="0">
        <v>3629</v>
      </c>
      <c r="P133" t="s" s="0">
        <v>3630</v>
      </c>
      <c r="Q133" t="s" s="0">
        <v>92</v>
      </c>
      <c r="R133" t="s" s="0">
        <v>83</v>
      </c>
      <c r="S133" t="s" s="0">
        <v>83</v>
      </c>
      <c r="T133" t="s" s="0">
        <v>83</v>
      </c>
      <c r="U133" t="s" s="0">
        <v>83</v>
      </c>
      <c r="V133" t="s" s="0">
        <v>3631</v>
      </c>
      <c r="W133" t="s" s="0">
        <v>3632</v>
      </c>
      <c r="X133" t="s" s="0">
        <v>83</v>
      </c>
      <c r="Y133" t="s" s="0">
        <v>83</v>
      </c>
      <c r="Z133" t="s" s="0">
        <v>95</v>
      </c>
      <c r="AA133" t="s" s="0">
        <v>96</v>
      </c>
      <c r="AB133" t="s" s="0">
        <v>83</v>
      </c>
      <c r="AC133" t="s" s="0">
        <v>83</v>
      </c>
      <c r="AD133" t="s" s="0">
        <v>83</v>
      </c>
      <c r="AE133" t="s" s="0">
        <v>83</v>
      </c>
      <c r="AF133" t="s" s="0">
        <v>83</v>
      </c>
      <c r="AG133" t="s" s="0">
        <v>3633</v>
      </c>
      <c r="AH133" t="s" s="0">
        <v>3634</v>
      </c>
      <c r="AI133" t="s" s="0">
        <v>3635</v>
      </c>
      <c r="AJ133" t="s" s="0">
        <v>3636</v>
      </c>
      <c r="AK133" t="s" s="0">
        <v>83</v>
      </c>
      <c r="AL133" t="s" s="0">
        <v>2675</v>
      </c>
      <c r="AM133" t="s" s="0">
        <v>269</v>
      </c>
      <c r="AN133" t="s" s="0">
        <v>161</v>
      </c>
      <c r="AO133" t="s" s="0">
        <v>78</v>
      </c>
      <c r="AP133" t="s" s="0">
        <v>231</v>
      </c>
      <c r="AQ133" t="s" s="0">
        <v>805</v>
      </c>
      <c r="AR133" t="s" s="0">
        <v>806</v>
      </c>
      <c r="AS133" t="s" s="0">
        <v>807</v>
      </c>
      <c r="AT133" t="s" s="0">
        <v>83</v>
      </c>
      <c r="AU133" t="s" s="0">
        <v>3637</v>
      </c>
      <c r="AV133" t="s" s="0">
        <v>83</v>
      </c>
      <c r="AW133" t="s" s="0">
        <v>3638</v>
      </c>
      <c r="AX133" t="s" s="0">
        <v>3639</v>
      </c>
      <c r="AY133" t="s" s="0">
        <v>3640</v>
      </c>
      <c r="AZ133" t="s" s="0">
        <v>317</v>
      </c>
      <c r="BA133" t="s" s="0">
        <v>165</v>
      </c>
      <c r="BB133" t="s" s="0">
        <v>281</v>
      </c>
      <c r="BC133" t="s" s="0">
        <v>83</v>
      </c>
      <c r="BD133" t="s" s="0">
        <v>83</v>
      </c>
      <c r="BE133" t="s" s="0">
        <v>83</v>
      </c>
      <c r="BF133" t="s" s="0">
        <v>83</v>
      </c>
      <c r="BG133" t="s" s="0">
        <v>83</v>
      </c>
      <c r="BH133" t="s" s="0">
        <v>83</v>
      </c>
      <c r="BI133" t="s" s="0">
        <v>3641</v>
      </c>
      <c r="BJ133" t="s" s="0">
        <v>3642</v>
      </c>
      <c r="BK133" t="s" s="263">
        <f>HYPERLINK("http://dx.doi.org/10.3390/jcm9051582","http://dx.doi.org/10.3390/jcm9051582")</f>
        <v>3643</v>
      </c>
      <c r="BL133" t="s" s="0">
        <v>83</v>
      </c>
      <c r="BM133" t="s" s="0">
        <v>83</v>
      </c>
      <c r="BN133" t="s" s="0">
        <v>890</v>
      </c>
      <c r="BO133" t="s" s="0">
        <v>669</v>
      </c>
      <c r="BP133" t="s" s="0">
        <v>670</v>
      </c>
      <c r="BQ133" t="s" s="0">
        <v>3644</v>
      </c>
      <c r="BR133" t="s" s="0">
        <v>3645</v>
      </c>
      <c r="BS133" t="s" s="0">
        <v>3646</v>
      </c>
      <c r="BT133" t="s" s="264">
        <f>HYPERLINK("https://www.webofscience.com/wos/woscc/full-record/WOS:000540223800339","View Record in Web of Science")</f>
        <v>126</v>
      </c>
      <c r="BU133" t="s" s="0">
        <v>210</v>
      </c>
      <c r="BV133" t="s" s="0">
        <v>83</v>
      </c>
      <c r="BW133" t="s" s="0">
        <v>83</v>
      </c>
      <c r="BX133" t="s" s="0">
        <v>130</v>
      </c>
    </row>
    <row r="134">
      <c r="A134" t="s" s="0">
        <v>78</v>
      </c>
      <c r="B134" t="s" s="0">
        <v>78</v>
      </c>
      <c r="C134" t="s" s="0">
        <v>165</v>
      </c>
      <c r="D134" t="s" s="0">
        <v>78</v>
      </c>
      <c r="E134" t="s" s="0">
        <v>3647</v>
      </c>
      <c r="F134" t="s" s="0">
        <v>3648</v>
      </c>
      <c r="G134" t="s" s="0">
        <v>3649</v>
      </c>
      <c r="H134" t="s" s="0">
        <v>83</v>
      </c>
      <c r="I134" t="s" s="0">
        <v>84</v>
      </c>
      <c r="J134" t="s" s="0">
        <v>3650</v>
      </c>
      <c r="K134" t="s" s="0">
        <v>3651</v>
      </c>
      <c r="L134" t="s" s="0">
        <v>3652</v>
      </c>
      <c r="M134" t="s" s="0">
        <v>3652</v>
      </c>
      <c r="N134" t="s" s="0">
        <v>3653</v>
      </c>
      <c r="O134" t="s" s="0">
        <v>3654</v>
      </c>
      <c r="P134" t="s" s="0">
        <v>3655</v>
      </c>
      <c r="Q134" t="s" s="0">
        <v>92</v>
      </c>
      <c r="R134" t="s" s="0">
        <v>83</v>
      </c>
      <c r="S134" t="s" s="0">
        <v>83</v>
      </c>
      <c r="T134" t="s" s="0">
        <v>83</v>
      </c>
      <c r="U134" t="s" s="0">
        <v>83</v>
      </c>
      <c r="V134" t="s" s="0">
        <v>3656</v>
      </c>
      <c r="W134" t="s" s="0">
        <v>3657</v>
      </c>
      <c r="X134" t="s" s="0">
        <v>83</v>
      </c>
      <c r="Y134" t="s" s="0">
        <v>83</v>
      </c>
      <c r="Z134" t="s" s="0">
        <v>95</v>
      </c>
      <c r="AA134" t="s" s="0">
        <v>96</v>
      </c>
      <c r="AB134" t="s" s="0">
        <v>83</v>
      </c>
      <c r="AC134" t="s" s="0">
        <v>83</v>
      </c>
      <c r="AD134" t="s" s="0">
        <v>83</v>
      </c>
      <c r="AE134" t="s" s="0">
        <v>83</v>
      </c>
      <c r="AF134" t="s" s="0">
        <v>83</v>
      </c>
      <c r="AG134" t="s" s="0">
        <v>83</v>
      </c>
      <c r="AH134" t="s" s="0">
        <v>3658</v>
      </c>
      <c r="AI134" t="s" s="0">
        <v>83</v>
      </c>
      <c r="AJ134" t="s" s="0">
        <v>3659</v>
      </c>
      <c r="AK134" t="s" s="0">
        <v>83</v>
      </c>
      <c r="AL134" t="s" s="0">
        <v>1955</v>
      </c>
      <c r="AM134" t="s" s="0">
        <v>170</v>
      </c>
      <c r="AN134" t="s" s="0">
        <v>522</v>
      </c>
      <c r="AO134" t="s" s="0">
        <v>78</v>
      </c>
      <c r="AP134" t="s" s="0">
        <v>281</v>
      </c>
      <c r="AQ134" t="s" s="0">
        <v>2640</v>
      </c>
      <c r="AR134" t="s" s="0">
        <v>2641</v>
      </c>
      <c r="AS134" t="s" s="0">
        <v>2642</v>
      </c>
      <c r="AT134" t="s" s="0">
        <v>3660</v>
      </c>
      <c r="AU134" t="s" s="0">
        <v>83</v>
      </c>
      <c r="AV134" t="s" s="0">
        <v>83</v>
      </c>
      <c r="AW134" t="s" s="0">
        <v>3661</v>
      </c>
      <c r="AX134" t="s" s="0">
        <v>3662</v>
      </c>
      <c r="AY134" t="s" s="0">
        <v>3663</v>
      </c>
      <c r="AZ134" t="s" s="0">
        <v>279</v>
      </c>
      <c r="BA134" t="s" s="0">
        <v>281</v>
      </c>
      <c r="BB134" t="s" s="0">
        <v>149</v>
      </c>
      <c r="BC134" t="s" s="0">
        <v>83</v>
      </c>
      <c r="BD134" t="s" s="0">
        <v>83</v>
      </c>
      <c r="BE134" t="s" s="0">
        <v>83</v>
      </c>
      <c r="BF134" t="s" s="0">
        <v>83</v>
      </c>
      <c r="BG134" t="s" s="0">
        <v>83</v>
      </c>
      <c r="BH134" t="s" s="0">
        <v>83</v>
      </c>
      <c r="BI134" t="s" s="0">
        <v>3664</v>
      </c>
      <c r="BJ134" t="s" s="0">
        <v>3665</v>
      </c>
      <c r="BK134" t="s" s="265">
        <f>HYPERLINK("http://dx.doi.org/10.1001/jamanetworkopen.2022.27779","http://dx.doi.org/10.1001/jamanetworkopen.2022.27779")</f>
        <v>3666</v>
      </c>
      <c r="BL134" t="s" s="0">
        <v>83</v>
      </c>
      <c r="BM134" t="s" s="0">
        <v>83</v>
      </c>
      <c r="BN134" t="s" s="0">
        <v>310</v>
      </c>
      <c r="BO134" t="s" s="0">
        <v>669</v>
      </c>
      <c r="BP134" t="s" s="0">
        <v>670</v>
      </c>
      <c r="BQ134" t="s" s="0">
        <v>3667</v>
      </c>
      <c r="BR134" t="s" s="0">
        <v>3668</v>
      </c>
      <c r="BS134" t="s" s="0">
        <v>3669</v>
      </c>
      <c r="BT134" t="s" s="266">
        <f>HYPERLINK("https://www.webofscience.com/wos/woscc/full-record/WOS:000841917800010","View Record in Web of Science")</f>
        <v>126</v>
      </c>
      <c r="BU134" t="s" s="0">
        <v>210</v>
      </c>
      <c r="BV134" t="s" s="0">
        <v>83</v>
      </c>
      <c r="BW134" t="s" s="0">
        <v>83</v>
      </c>
      <c r="BX134" t="s" s="0">
        <v>130</v>
      </c>
    </row>
    <row r="135">
      <c r="A135" t="s" s="0">
        <v>78</v>
      </c>
      <c r="B135" t="s" s="0">
        <v>78</v>
      </c>
      <c r="C135" t="s" s="0">
        <v>148</v>
      </c>
      <c r="D135" t="s" s="0">
        <v>78</v>
      </c>
      <c r="E135" t="s" s="0">
        <v>3670</v>
      </c>
      <c r="F135" t="s" s="0">
        <v>3671</v>
      </c>
      <c r="G135" t="s" s="0">
        <v>3672</v>
      </c>
      <c r="H135" t="s" s="0">
        <v>83</v>
      </c>
      <c r="I135" t="s" s="0">
        <v>84</v>
      </c>
      <c r="J135" t="s" s="0">
        <v>3673</v>
      </c>
      <c r="K135" t="s" s="0">
        <v>3674</v>
      </c>
      <c r="L135" t="s" s="0">
        <v>83</v>
      </c>
      <c r="M135" t="s" s="0">
        <v>83</v>
      </c>
      <c r="N135" t="s" s="0">
        <v>83</v>
      </c>
      <c r="O135" t="s" s="0">
        <v>3675</v>
      </c>
      <c r="P135" t="s" s="0">
        <v>3676</v>
      </c>
      <c r="Q135" t="s" s="0">
        <v>92</v>
      </c>
      <c r="R135" t="s" s="0">
        <v>83</v>
      </c>
      <c r="S135" t="s" s="0">
        <v>83</v>
      </c>
      <c r="T135" t="s" s="0">
        <v>83</v>
      </c>
      <c r="U135" t="s" s="0">
        <v>83</v>
      </c>
      <c r="V135" t="s" s="0">
        <v>3677</v>
      </c>
      <c r="W135" t="s" s="0">
        <v>3678</v>
      </c>
      <c r="X135" t="s" s="0">
        <v>83</v>
      </c>
      <c r="Y135" t="s" s="0">
        <v>83</v>
      </c>
      <c r="Z135" t="s" s="0">
        <v>95</v>
      </c>
      <c r="AA135" t="s" s="0">
        <v>96</v>
      </c>
      <c r="AB135" t="s" s="0">
        <v>83</v>
      </c>
      <c r="AC135" t="s" s="0">
        <v>83</v>
      </c>
      <c r="AD135" t="s" s="0">
        <v>83</v>
      </c>
      <c r="AE135" t="s" s="0">
        <v>83</v>
      </c>
      <c r="AF135" t="s" s="0">
        <v>83</v>
      </c>
      <c r="AG135" t="s" s="0">
        <v>3679</v>
      </c>
      <c r="AH135" t="s" s="0">
        <v>3680</v>
      </c>
      <c r="AI135" t="s" s="0">
        <v>3681</v>
      </c>
      <c r="AJ135" t="s" s="0">
        <v>83</v>
      </c>
      <c r="AK135" t="s" s="0">
        <v>83</v>
      </c>
      <c r="AL135" t="s" s="0">
        <v>883</v>
      </c>
      <c r="AM135" t="s" s="0">
        <v>232</v>
      </c>
      <c r="AN135" t="s" s="0">
        <v>248</v>
      </c>
      <c r="AO135" t="s" s="0">
        <v>78</v>
      </c>
      <c r="AP135" t="s" s="0">
        <v>545</v>
      </c>
      <c r="AQ135" t="s" s="0">
        <v>3682</v>
      </c>
      <c r="AR135" t="s" s="0">
        <v>3683</v>
      </c>
      <c r="AS135" t="s" s="0">
        <v>3684</v>
      </c>
      <c r="AT135" t="s" s="0">
        <v>3685</v>
      </c>
      <c r="AU135" t="s" s="0">
        <v>3686</v>
      </c>
      <c r="AV135" t="s" s="0">
        <v>83</v>
      </c>
      <c r="AW135" t="s" s="0">
        <v>3687</v>
      </c>
      <c r="AX135" t="s" s="0">
        <v>3688</v>
      </c>
      <c r="AY135" t="s" s="0">
        <v>3689</v>
      </c>
      <c r="AZ135" t="s" s="0">
        <v>785</v>
      </c>
      <c r="BA135" t="s" s="0">
        <v>161</v>
      </c>
      <c r="BB135" t="s" s="0">
        <v>77</v>
      </c>
      <c r="BC135" t="s" s="0">
        <v>83</v>
      </c>
      <c r="BD135" t="s" s="0">
        <v>83</v>
      </c>
      <c r="BE135" t="s" s="0">
        <v>83</v>
      </c>
      <c r="BF135" t="s" s="0">
        <v>83</v>
      </c>
      <c r="BG135" t="s" s="0">
        <v>3690</v>
      </c>
      <c r="BH135" t="s" s="0">
        <v>3691</v>
      </c>
      <c r="BI135" t="s" s="0">
        <v>83</v>
      </c>
      <c r="BJ135" t="s" s="0">
        <v>3692</v>
      </c>
      <c r="BK135" t="s" s="267">
        <f>HYPERLINK("http://dx.doi.org/10.1080/14712598.2019.1576631","http://dx.doi.org/10.1080/14712598.2019.1576631")</f>
        <v>3693</v>
      </c>
      <c r="BL135" t="s" s="0">
        <v>83</v>
      </c>
      <c r="BM135" t="s" s="0">
        <v>83</v>
      </c>
      <c r="BN135" t="s" s="0">
        <v>231</v>
      </c>
      <c r="BO135" t="s" s="0">
        <v>3694</v>
      </c>
      <c r="BP135" t="s" s="0">
        <v>3695</v>
      </c>
      <c r="BQ135" t="s" s="0">
        <v>3696</v>
      </c>
      <c r="BR135" t="s" s="0">
        <v>3697</v>
      </c>
      <c r="BS135" t="s" s="0">
        <v>3698</v>
      </c>
      <c r="BT135" t="s" s="268">
        <f>HYPERLINK("https://www.webofscience.com/wos/woscc/full-record/WOS:000466573300008","View Record in Web of Science")</f>
        <v>126</v>
      </c>
      <c r="BU135" t="s" s="0">
        <v>127</v>
      </c>
      <c r="BV135" t="s" s="0">
        <v>83</v>
      </c>
      <c r="BW135" t="s" s="0">
        <v>83</v>
      </c>
      <c r="BX135" t="s" s="0">
        <v>130</v>
      </c>
    </row>
    <row r="136">
      <c r="A136" t="s" s="0">
        <v>78</v>
      </c>
      <c r="B136" t="s" s="0">
        <v>78</v>
      </c>
      <c r="C136" t="s" s="0">
        <v>77</v>
      </c>
      <c r="D136" t="s" s="0">
        <v>78</v>
      </c>
      <c r="E136" t="s" s="0">
        <v>3699</v>
      </c>
      <c r="F136" t="s" s="0">
        <v>3700</v>
      </c>
      <c r="G136" t="s" s="0">
        <v>3701</v>
      </c>
      <c r="H136" t="s" s="0">
        <v>83</v>
      </c>
      <c r="I136" t="s" s="0">
        <v>84</v>
      </c>
      <c r="J136" t="s" s="0">
        <v>3702</v>
      </c>
      <c r="K136" t="s" s="0">
        <v>3703</v>
      </c>
      <c r="L136" t="s" s="0">
        <v>83</v>
      </c>
      <c r="M136" t="s" s="0">
        <v>83</v>
      </c>
      <c r="N136" t="s" s="0">
        <v>83</v>
      </c>
      <c r="O136" t="s" s="0">
        <v>3704</v>
      </c>
      <c r="P136" t="s" s="0">
        <v>3705</v>
      </c>
      <c r="Q136" t="s" s="0">
        <v>92</v>
      </c>
      <c r="R136" t="s" s="0">
        <v>83</v>
      </c>
      <c r="S136" t="s" s="0">
        <v>83</v>
      </c>
      <c r="T136" t="s" s="0">
        <v>83</v>
      </c>
      <c r="U136" t="s" s="0">
        <v>83</v>
      </c>
      <c r="V136" t="s" s="0">
        <v>3706</v>
      </c>
      <c r="W136" t="s" s="0">
        <v>3707</v>
      </c>
      <c r="X136" t="s" s="0">
        <v>83</v>
      </c>
      <c r="Y136" t="s" s="0">
        <v>83</v>
      </c>
      <c r="Z136" t="s" s="0">
        <v>95</v>
      </c>
      <c r="AA136" t="s" s="0">
        <v>96</v>
      </c>
      <c r="AB136" t="s" s="0">
        <v>83</v>
      </c>
      <c r="AC136" t="s" s="0">
        <v>83</v>
      </c>
      <c r="AD136" t="s" s="0">
        <v>83</v>
      </c>
      <c r="AE136" t="s" s="0">
        <v>83</v>
      </c>
      <c r="AF136" t="s" s="0">
        <v>83</v>
      </c>
      <c r="AG136" t="s" s="0">
        <v>3708</v>
      </c>
      <c r="AH136" t="s" s="0">
        <v>3709</v>
      </c>
      <c r="AI136" t="s" s="0">
        <v>83</v>
      </c>
      <c r="AJ136" t="s" s="0">
        <v>3710</v>
      </c>
      <c r="AK136" t="s" s="0">
        <v>83</v>
      </c>
      <c r="AL136" t="s" s="0">
        <v>690</v>
      </c>
      <c r="AM136" t="s" s="0">
        <v>281</v>
      </c>
      <c r="AN136" t="s" s="0">
        <v>281</v>
      </c>
      <c r="AO136" t="s" s="0">
        <v>78</v>
      </c>
      <c r="AP136" t="s" s="0">
        <v>248</v>
      </c>
      <c r="AQ136" t="s" s="0">
        <v>1396</v>
      </c>
      <c r="AR136" t="s" s="0">
        <v>1091</v>
      </c>
      <c r="AS136" t="s" s="0">
        <v>1397</v>
      </c>
      <c r="AT136" t="s" s="0">
        <v>3711</v>
      </c>
      <c r="AU136" t="s" s="0">
        <v>3712</v>
      </c>
      <c r="AV136" t="s" s="0">
        <v>83</v>
      </c>
      <c r="AW136" t="s" s="0">
        <v>3713</v>
      </c>
      <c r="AX136" t="s" s="0">
        <v>3714</v>
      </c>
      <c r="AY136" t="s" s="0">
        <v>3715</v>
      </c>
      <c r="AZ136" t="s" s="0">
        <v>200</v>
      </c>
      <c r="BA136" t="s" s="0">
        <v>358</v>
      </c>
      <c r="BB136" t="s" s="0">
        <v>545</v>
      </c>
      <c r="BC136" t="s" s="0">
        <v>83</v>
      </c>
      <c r="BD136" t="s" s="0">
        <v>83</v>
      </c>
      <c r="BE136" t="s" s="0">
        <v>83</v>
      </c>
      <c r="BF136" t="s" s="0">
        <v>83</v>
      </c>
      <c r="BG136" t="s" s="0">
        <v>3716</v>
      </c>
      <c r="BH136" t="s" s="0">
        <v>2730</v>
      </c>
      <c r="BI136" t="s" s="0">
        <v>83</v>
      </c>
      <c r="BJ136" t="s" s="0">
        <v>3717</v>
      </c>
      <c r="BK136" t="s" s="269">
        <f>HYPERLINK("http://dx.doi.org/10.1097/MNH.0000000000000223","http://dx.doi.org/10.1097/MNH.0000000000000223")</f>
        <v>3718</v>
      </c>
      <c r="BL136" t="s" s="0">
        <v>83</v>
      </c>
      <c r="BM136" t="s" s="0">
        <v>83</v>
      </c>
      <c r="BN136" t="s" s="0">
        <v>231</v>
      </c>
      <c r="BO136" t="s" s="0">
        <v>3719</v>
      </c>
      <c r="BP136" t="s" s="0">
        <v>3720</v>
      </c>
      <c r="BQ136" t="s" s="0">
        <v>3721</v>
      </c>
      <c r="BR136" t="s" s="0">
        <v>3722</v>
      </c>
      <c r="BS136" t="s" s="0">
        <v>3723</v>
      </c>
      <c r="BT136" t="s" s="270">
        <f>HYPERLINK("https://www.webofscience.com/wos/woscc/full-record/WOS:000374739900011","View Record in Web of Science")</f>
        <v>126</v>
      </c>
      <c r="BU136" t="s" s="0">
        <v>83</v>
      </c>
      <c r="BV136" t="s" s="0">
        <v>83</v>
      </c>
      <c r="BW136" t="s" s="0">
        <v>83</v>
      </c>
      <c r="BX136" t="s" s="0">
        <v>130</v>
      </c>
    </row>
    <row r="137">
      <c r="A137" t="s" s="0">
        <v>150</v>
      </c>
      <c r="B137" t="s" s="0">
        <v>78</v>
      </c>
      <c r="C137" t="s" s="0">
        <v>211</v>
      </c>
      <c r="D137" t="s" s="0">
        <v>78</v>
      </c>
      <c r="E137" t="s" s="0">
        <v>3724</v>
      </c>
      <c r="F137" t="s" s="0">
        <v>3725</v>
      </c>
      <c r="G137" t="s" s="0">
        <v>3726</v>
      </c>
      <c r="H137" t="s" s="0">
        <v>83</v>
      </c>
      <c r="I137" t="s" s="0">
        <v>257</v>
      </c>
      <c r="J137" t="s" s="0">
        <v>3727</v>
      </c>
      <c r="K137" t="s" s="0">
        <v>3728</v>
      </c>
      <c r="L137" t="s" s="0">
        <v>3729</v>
      </c>
      <c r="M137" t="s" s="0">
        <v>3730</v>
      </c>
      <c r="N137" t="s" s="0">
        <v>3731</v>
      </c>
      <c r="O137" t="s" s="0">
        <v>3732</v>
      </c>
      <c r="P137" t="s" s="0">
        <v>3733</v>
      </c>
      <c r="Q137" t="s" s="0">
        <v>92</v>
      </c>
      <c r="R137" t="s" s="0">
        <v>83</v>
      </c>
      <c r="S137" t="s" s="0">
        <v>83</v>
      </c>
      <c r="T137" t="s" s="0">
        <v>83</v>
      </c>
      <c r="U137" t="s" s="0">
        <v>83</v>
      </c>
      <c r="V137" t="s" s="0">
        <v>3734</v>
      </c>
      <c r="W137" t="s" s="0">
        <v>266</v>
      </c>
      <c r="X137" t="s" s="0">
        <v>83</v>
      </c>
      <c r="Y137" t="s" s="0">
        <v>83</v>
      </c>
      <c r="Z137" t="s" s="0">
        <v>95</v>
      </c>
      <c r="AA137" t="s" s="0">
        <v>96</v>
      </c>
      <c r="AB137" t="s" s="0">
        <v>83</v>
      </c>
      <c r="AC137" t="s" s="0">
        <v>83</v>
      </c>
      <c r="AD137" t="s" s="0">
        <v>83</v>
      </c>
      <c r="AE137" t="s" s="0">
        <v>83</v>
      </c>
      <c r="AF137" t="s" s="0">
        <v>83</v>
      </c>
      <c r="AG137" t="s" s="0">
        <v>3735</v>
      </c>
      <c r="AH137" t="s" s="0">
        <v>3736</v>
      </c>
      <c r="AI137" t="s" s="0">
        <v>3737</v>
      </c>
      <c r="AJ137" t="s" s="0">
        <v>3738</v>
      </c>
      <c r="AK137" t="s" s="0">
        <v>83</v>
      </c>
      <c r="AL137" t="s" s="0">
        <v>2410</v>
      </c>
      <c r="AM137" t="s" s="0">
        <v>516</v>
      </c>
      <c r="AN137" t="s" s="0">
        <v>1000</v>
      </c>
      <c r="AO137" t="s" s="0">
        <v>78</v>
      </c>
      <c r="AP137" t="s" s="0">
        <v>374</v>
      </c>
      <c r="AQ137" t="s" s="0">
        <v>271</v>
      </c>
      <c r="AR137" t="s" s="0">
        <v>272</v>
      </c>
      <c r="AS137" t="s" s="0">
        <v>273</v>
      </c>
      <c r="AT137" t="s" s="0">
        <v>274</v>
      </c>
      <c r="AU137" t="s" s="0">
        <v>275</v>
      </c>
      <c r="AV137" t="s" s="0">
        <v>83</v>
      </c>
      <c r="AW137" t="s" s="0">
        <v>276</v>
      </c>
      <c r="AX137" t="s" s="0">
        <v>277</v>
      </c>
      <c r="AY137" t="s" s="0">
        <v>3617</v>
      </c>
      <c r="AZ137" t="s" s="0">
        <v>637</v>
      </c>
      <c r="BA137" t="s" s="0">
        <v>516</v>
      </c>
      <c r="BB137" t="s" s="0">
        <v>115</v>
      </c>
      <c r="BC137" t="s" s="0">
        <v>83</v>
      </c>
      <c r="BD137" t="s" s="0">
        <v>83</v>
      </c>
      <c r="BE137" t="s" s="0">
        <v>83</v>
      </c>
      <c r="BF137" t="s" s="0">
        <v>83</v>
      </c>
      <c r="BG137" t="s" s="0">
        <v>3739</v>
      </c>
      <c r="BH137" t="s" s="0">
        <v>2043</v>
      </c>
      <c r="BI137" t="s" s="0">
        <v>83</v>
      </c>
      <c r="BJ137" t="s" s="0">
        <v>3740</v>
      </c>
      <c r="BK137" t="s" s="271">
        <f>HYPERLINK("http://dx.doi.org/10.1093/jamia/ocaa242","http://dx.doi.org/10.1093/jamia/ocaa242")</f>
        <v>3741</v>
      </c>
      <c r="BL137" t="s" s="0">
        <v>83</v>
      </c>
      <c r="BM137" t="s" s="0">
        <v>83</v>
      </c>
      <c r="BN137" t="s" s="0">
        <v>248</v>
      </c>
      <c r="BO137" t="s" s="0">
        <v>287</v>
      </c>
      <c r="BP137" t="s" s="0">
        <v>288</v>
      </c>
      <c r="BQ137" t="s" s="0">
        <v>3742</v>
      </c>
      <c r="BR137" t="s" s="0">
        <v>3743</v>
      </c>
      <c r="BS137" t="s" s="0">
        <v>3744</v>
      </c>
      <c r="BT137" t="s" s="272">
        <f>HYPERLINK("https://www.webofscience.com/wos/woscc/full-record/WOS:000648972200020","View Record in Web of Science")</f>
        <v>126</v>
      </c>
      <c r="BU137" t="s" s="0">
        <v>2737</v>
      </c>
      <c r="BV137" t="s" s="0">
        <v>83</v>
      </c>
      <c r="BW137" t="s" s="0">
        <v>83</v>
      </c>
      <c r="BX137" t="s" s="0">
        <v>130</v>
      </c>
    </row>
    <row r="138">
      <c r="A138" t="s" s="0">
        <v>115</v>
      </c>
      <c r="B138" t="s" s="0">
        <v>78</v>
      </c>
      <c r="C138" t="s" s="0">
        <v>545</v>
      </c>
      <c r="D138" t="s" s="0">
        <v>115</v>
      </c>
      <c r="E138" t="s" s="0">
        <v>3745</v>
      </c>
      <c r="F138" t="s" s="0">
        <v>3746</v>
      </c>
      <c r="G138" t="s" s="0">
        <v>3747</v>
      </c>
      <c r="H138" t="s" s="0">
        <v>83</v>
      </c>
      <c r="I138" t="s" s="0">
        <v>84</v>
      </c>
      <c r="J138" t="s" s="0">
        <v>3748</v>
      </c>
      <c r="K138" t="s" s="0">
        <v>3749</v>
      </c>
      <c r="L138" t="s" s="0">
        <v>3750</v>
      </c>
      <c r="M138" t="s" s="0">
        <v>3750</v>
      </c>
      <c r="N138" t="s" s="0">
        <v>3751</v>
      </c>
      <c r="O138" t="s" s="0">
        <v>3752</v>
      </c>
      <c r="P138" t="s" s="0">
        <v>3753</v>
      </c>
      <c r="Q138" t="s" s="0">
        <v>92</v>
      </c>
      <c r="R138" t="s" s="0">
        <v>83</v>
      </c>
      <c r="S138" t="s" s="0">
        <v>83</v>
      </c>
      <c r="T138" t="s" s="0">
        <v>83</v>
      </c>
      <c r="U138" t="s" s="0">
        <v>83</v>
      </c>
      <c r="V138" t="s" s="0">
        <v>3754</v>
      </c>
      <c r="W138" t="s" s="0">
        <v>3755</v>
      </c>
      <c r="X138" t="s" s="0">
        <v>83</v>
      </c>
      <c r="Y138" t="s" s="0">
        <v>83</v>
      </c>
      <c r="Z138" t="s" s="0">
        <v>95</v>
      </c>
      <c r="AA138" t="s" s="0">
        <v>96</v>
      </c>
      <c r="AB138" t="s" s="0">
        <v>83</v>
      </c>
      <c r="AC138" t="s" s="0">
        <v>83</v>
      </c>
      <c r="AD138" t="s" s="0">
        <v>83</v>
      </c>
      <c r="AE138" t="s" s="0">
        <v>83</v>
      </c>
      <c r="AF138" t="s" s="0">
        <v>83</v>
      </c>
      <c r="AG138" t="s" s="0">
        <v>3756</v>
      </c>
      <c r="AH138" t="s" s="0">
        <v>3757</v>
      </c>
      <c r="AI138" t="s" s="0">
        <v>3758</v>
      </c>
      <c r="AJ138" t="s" s="0">
        <v>3759</v>
      </c>
      <c r="AK138" t="s" s="0">
        <v>83</v>
      </c>
      <c r="AL138" t="s" s="0">
        <v>228</v>
      </c>
      <c r="AM138" t="s" s="0">
        <v>437</v>
      </c>
      <c r="AN138" t="s" s="0">
        <v>516</v>
      </c>
      <c r="AO138" t="s" s="0">
        <v>78</v>
      </c>
      <c r="AP138" t="s" s="0">
        <v>148</v>
      </c>
      <c r="AQ138" t="s" s="0">
        <v>105</v>
      </c>
      <c r="AR138" t="s" s="0">
        <v>106</v>
      </c>
      <c r="AS138" t="s" s="0">
        <v>107</v>
      </c>
      <c r="AT138" t="s" s="0">
        <v>3760</v>
      </c>
      <c r="AU138" t="s" s="0">
        <v>3761</v>
      </c>
      <c r="AV138" t="s" s="0">
        <v>83</v>
      </c>
      <c r="AW138" t="s" s="0">
        <v>3762</v>
      </c>
      <c r="AX138" t="s" s="0">
        <v>3763</v>
      </c>
      <c r="AY138" t="s" s="0">
        <v>1158</v>
      </c>
      <c r="AZ138" t="s" s="0">
        <v>241</v>
      </c>
      <c r="BA138" t="s" s="0">
        <v>3764</v>
      </c>
      <c r="BB138" t="s" s="0">
        <v>150</v>
      </c>
      <c r="BC138" t="s" s="0">
        <v>83</v>
      </c>
      <c r="BD138" t="s" s="0">
        <v>83</v>
      </c>
      <c r="BE138" t="s" s="0">
        <v>83</v>
      </c>
      <c r="BF138" t="s" s="0">
        <v>83</v>
      </c>
      <c r="BG138" t="s" s="0">
        <v>2053</v>
      </c>
      <c r="BH138" t="s" s="0">
        <v>2268</v>
      </c>
      <c r="BI138" t="s" s="0">
        <v>83</v>
      </c>
      <c r="BJ138" t="s" s="0">
        <v>3765</v>
      </c>
      <c r="BK138" t="s" s="273">
        <f>HYPERLINK("http://dx.doi.org/10.1177/14574969231167781","http://dx.doi.org/10.1177/14574969231167781")</f>
        <v>3766</v>
      </c>
      <c r="BL138" t="s" s="0">
        <v>83</v>
      </c>
      <c r="BM138" t="s" s="0">
        <v>3767</v>
      </c>
      <c r="BN138" t="s" s="0">
        <v>165</v>
      </c>
      <c r="BO138" t="s" s="0">
        <v>2111</v>
      </c>
      <c r="BP138" t="s" s="0">
        <v>2111</v>
      </c>
      <c r="BQ138" t="s" s="0">
        <v>3768</v>
      </c>
      <c r="BR138" t="s" s="0">
        <v>3769</v>
      </c>
      <c r="BS138" t="s" s="0">
        <v>3770</v>
      </c>
      <c r="BT138" t="s" s="274">
        <f>HYPERLINK("https://www.webofscience.com/wos/woscc/full-record/WOS:000972957200001","View Record in Web of Science")</f>
        <v>126</v>
      </c>
      <c r="BU138" t="s" s="0">
        <v>584</v>
      </c>
      <c r="BV138" t="s" s="0">
        <v>83</v>
      </c>
      <c r="BW138" t="s" s="0">
        <v>83</v>
      </c>
      <c r="BX138" t="s" s="0">
        <v>130</v>
      </c>
    </row>
    <row r="139">
      <c r="A139" t="s" s="0">
        <v>545</v>
      </c>
      <c r="B139" t="s" s="0">
        <v>78</v>
      </c>
      <c r="C139" t="s" s="0">
        <v>3771</v>
      </c>
      <c r="D139" t="s" s="0">
        <v>78</v>
      </c>
      <c r="E139" t="s" s="0">
        <v>3772</v>
      </c>
      <c r="F139" t="s" s="0">
        <v>3773</v>
      </c>
      <c r="G139" t="s" s="0">
        <v>3774</v>
      </c>
      <c r="H139" t="s" s="0">
        <v>83</v>
      </c>
      <c r="I139" t="s" s="0">
        <v>84</v>
      </c>
      <c r="J139" t="s" s="0">
        <v>3775</v>
      </c>
      <c r="K139" t="s" s="0">
        <v>3776</v>
      </c>
      <c r="L139" t="s" s="0">
        <v>3777</v>
      </c>
      <c r="M139" t="s" s="0">
        <v>3778</v>
      </c>
      <c r="N139" t="s" s="0">
        <v>3779</v>
      </c>
      <c r="O139" t="s" s="0">
        <v>3780</v>
      </c>
      <c r="P139" t="s" s="0">
        <v>3781</v>
      </c>
      <c r="Q139" t="s" s="0">
        <v>92</v>
      </c>
      <c r="R139" t="s" s="0">
        <v>83</v>
      </c>
      <c r="S139" t="s" s="0">
        <v>83</v>
      </c>
      <c r="T139" t="s" s="0">
        <v>83</v>
      </c>
      <c r="U139" t="s" s="0">
        <v>83</v>
      </c>
      <c r="V139" t="s" s="0">
        <v>3782</v>
      </c>
      <c r="W139" t="s" s="0">
        <v>3783</v>
      </c>
      <c r="X139" t="s" s="0">
        <v>83</v>
      </c>
      <c r="Y139" t="s" s="0">
        <v>83</v>
      </c>
      <c r="Z139" t="s" s="0">
        <v>95</v>
      </c>
      <c r="AA139" t="s" s="0">
        <v>96</v>
      </c>
      <c r="AB139" t="s" s="0">
        <v>83</v>
      </c>
      <c r="AC139" t="s" s="0">
        <v>83</v>
      </c>
      <c r="AD139" t="s" s="0">
        <v>83</v>
      </c>
      <c r="AE139" t="s" s="0">
        <v>83</v>
      </c>
      <c r="AF139" t="s" s="0">
        <v>83</v>
      </c>
      <c r="AG139" t="s" s="0">
        <v>3784</v>
      </c>
      <c r="AH139" t="s" s="0">
        <v>3785</v>
      </c>
      <c r="AI139" t="s" s="0">
        <v>3786</v>
      </c>
      <c r="AJ139" t="s" s="0">
        <v>3787</v>
      </c>
      <c r="AK139" t="s" s="0">
        <v>83</v>
      </c>
      <c r="AL139" t="s" s="0">
        <v>228</v>
      </c>
      <c r="AM139" t="s" s="0">
        <v>1933</v>
      </c>
      <c r="AN139" t="s" s="0">
        <v>3788</v>
      </c>
      <c r="AO139" t="s" s="0">
        <v>78</v>
      </c>
      <c r="AP139" t="s" s="0">
        <v>309</v>
      </c>
      <c r="AQ139" t="s" s="0">
        <v>3789</v>
      </c>
      <c r="AR139" t="s" s="0">
        <v>106</v>
      </c>
      <c r="AS139" t="s" s="0">
        <v>3790</v>
      </c>
      <c r="AT139" t="s" s="0">
        <v>3791</v>
      </c>
      <c r="AU139" t="s" s="0">
        <v>3792</v>
      </c>
      <c r="AV139" t="s" s="0">
        <v>83</v>
      </c>
      <c r="AW139" t="s" s="0">
        <v>3793</v>
      </c>
      <c r="AX139" t="s" s="0">
        <v>3794</v>
      </c>
      <c r="AY139" t="s" s="0">
        <v>3795</v>
      </c>
      <c r="AZ139" t="s" s="0">
        <v>1403</v>
      </c>
      <c r="BA139" t="s" s="0">
        <v>1651</v>
      </c>
      <c r="BB139" t="s" s="0">
        <v>148</v>
      </c>
      <c r="BC139" t="s" s="0">
        <v>83</v>
      </c>
      <c r="BD139" t="s" s="0">
        <v>83</v>
      </c>
      <c r="BE139" t="s" s="0">
        <v>83</v>
      </c>
      <c r="BF139" t="s" s="0">
        <v>83</v>
      </c>
      <c r="BG139" t="s" s="0">
        <v>3796</v>
      </c>
      <c r="BH139" t="s" s="0">
        <v>3797</v>
      </c>
      <c r="BI139" t="s" s="0">
        <v>83</v>
      </c>
      <c r="BJ139" t="s" s="0">
        <v>3798</v>
      </c>
      <c r="BK139" t="s" s="275">
        <f>HYPERLINK("http://dx.doi.org/10.1038/bjc.2017.274","http://dx.doi.org/10.1038/bjc.2017.274")</f>
        <v>3799</v>
      </c>
      <c r="BL139" t="s" s="0">
        <v>83</v>
      </c>
      <c r="BM139" t="s" s="0">
        <v>83</v>
      </c>
      <c r="BN139" t="s" s="0">
        <v>149</v>
      </c>
      <c r="BO139" t="s" s="0">
        <v>840</v>
      </c>
      <c r="BP139" t="s" s="0">
        <v>840</v>
      </c>
      <c r="BQ139" t="s" s="0">
        <v>3800</v>
      </c>
      <c r="BR139" t="s" s="0">
        <v>3801</v>
      </c>
      <c r="BS139" t="s" s="0">
        <v>3802</v>
      </c>
      <c r="BT139" t="s" s="276">
        <f>HYPERLINK("https://www.webofscience.com/wos/woscc/full-record/WOS:000411710900001","View Record in Web of Science")</f>
        <v>126</v>
      </c>
      <c r="BU139" t="s" s="0">
        <v>253</v>
      </c>
      <c r="BV139" t="s" s="0">
        <v>83</v>
      </c>
      <c r="BW139" t="s" s="0">
        <v>83</v>
      </c>
      <c r="BX139" t="s" s="0">
        <v>130</v>
      </c>
    </row>
    <row r="140">
      <c r="A140" t="s" s="0">
        <v>150</v>
      </c>
      <c r="B140" t="s" s="0">
        <v>78</v>
      </c>
      <c r="C140" t="s" s="0">
        <v>545</v>
      </c>
      <c r="D140" t="s" s="0">
        <v>78</v>
      </c>
      <c r="E140" t="s" s="0">
        <v>3803</v>
      </c>
      <c r="F140" t="s" s="0">
        <v>3804</v>
      </c>
      <c r="G140" t="s" s="0">
        <v>3805</v>
      </c>
      <c r="H140" t="s" s="0">
        <v>83</v>
      </c>
      <c r="I140" t="s" s="0">
        <v>84</v>
      </c>
      <c r="J140" t="s" s="0">
        <v>3806</v>
      </c>
      <c r="K140" t="s" s="0">
        <v>3807</v>
      </c>
      <c r="L140" t="s" s="0">
        <v>83</v>
      </c>
      <c r="M140" t="s" s="0">
        <v>83</v>
      </c>
      <c r="N140" t="s" s="0">
        <v>83</v>
      </c>
      <c r="O140" t="s" s="0">
        <v>3808</v>
      </c>
      <c r="P140" t="s" s="0">
        <v>3809</v>
      </c>
      <c r="Q140" t="s" s="0">
        <v>92</v>
      </c>
      <c r="R140" t="s" s="0">
        <v>83</v>
      </c>
      <c r="S140" t="s" s="0">
        <v>83</v>
      </c>
      <c r="T140" t="s" s="0">
        <v>83</v>
      </c>
      <c r="U140" t="s" s="0">
        <v>83</v>
      </c>
      <c r="V140" t="s" s="0">
        <v>3810</v>
      </c>
      <c r="W140" t="s" s="0">
        <v>3811</v>
      </c>
      <c r="X140" t="s" s="0">
        <v>83</v>
      </c>
      <c r="Y140" t="s" s="0">
        <v>83</v>
      </c>
      <c r="Z140" t="s" s="0">
        <v>95</v>
      </c>
      <c r="AA140" t="s" s="0">
        <v>96</v>
      </c>
      <c r="AB140" t="s" s="0">
        <v>83</v>
      </c>
      <c r="AC140" t="s" s="0">
        <v>83</v>
      </c>
      <c r="AD140" t="s" s="0">
        <v>83</v>
      </c>
      <c r="AE140" t="s" s="0">
        <v>83</v>
      </c>
      <c r="AF140" t="s" s="0">
        <v>83</v>
      </c>
      <c r="AG140" t="s" s="0">
        <v>83</v>
      </c>
      <c r="AH140" t="s" s="0">
        <v>3812</v>
      </c>
      <c r="AI140" t="s" s="0">
        <v>83</v>
      </c>
      <c r="AJ140" t="s" s="0">
        <v>83</v>
      </c>
      <c r="AK140" t="s" s="0">
        <v>83</v>
      </c>
      <c r="AL140" t="s" s="0">
        <v>1653</v>
      </c>
      <c r="AM140" t="s" s="0">
        <v>890</v>
      </c>
      <c r="AN140" t="s" s="0">
        <v>437</v>
      </c>
      <c r="AO140" t="s" s="0">
        <v>115</v>
      </c>
      <c r="AP140" t="s" s="0">
        <v>437</v>
      </c>
      <c r="AQ140" t="s" s="0">
        <v>151</v>
      </c>
      <c r="AR140" t="s" s="0">
        <v>152</v>
      </c>
      <c r="AS140" t="s" s="0">
        <v>153</v>
      </c>
      <c r="AT140" t="s" s="0">
        <v>3813</v>
      </c>
      <c r="AU140" t="s" s="0">
        <v>83</v>
      </c>
      <c r="AV140" t="s" s="0">
        <v>83</v>
      </c>
      <c r="AW140" t="s" s="0">
        <v>3814</v>
      </c>
      <c r="AX140" t="s" s="0">
        <v>3815</v>
      </c>
      <c r="AY140" t="s" s="0">
        <v>240</v>
      </c>
      <c r="AZ140" t="s" s="0">
        <v>241</v>
      </c>
      <c r="BA140" t="s" s="0">
        <v>148</v>
      </c>
      <c r="BB140" t="s" s="0">
        <v>165</v>
      </c>
      <c r="BC140" t="s" s="0">
        <v>83</v>
      </c>
      <c r="BD140" t="s" s="0">
        <v>83</v>
      </c>
      <c r="BE140" t="s" s="0">
        <v>83</v>
      </c>
      <c r="BF140" t="s" s="0">
        <v>83</v>
      </c>
      <c r="BG140" t="s" s="0">
        <v>3816</v>
      </c>
      <c r="BH140" t="s" s="0">
        <v>3817</v>
      </c>
      <c r="BI140" t="s" s="0">
        <v>83</v>
      </c>
      <c r="BJ140" t="s" s="0">
        <v>3818</v>
      </c>
      <c r="BK140" t="s" s="277">
        <f>HYPERLINK("http://dx.doi.org/10.1016/S2352-4642(23)00105-0","http://dx.doi.org/10.1016/S2352-4642(23)00105-0")</f>
        <v>3819</v>
      </c>
      <c r="BL140" t="s" s="0">
        <v>83</v>
      </c>
      <c r="BM140" t="s" s="0">
        <v>247</v>
      </c>
      <c r="BN140" t="s" s="0">
        <v>417</v>
      </c>
      <c r="BO140" t="s" s="0">
        <v>611</v>
      </c>
      <c r="BP140" t="s" s="0">
        <v>611</v>
      </c>
      <c r="BQ140" t="s" s="0">
        <v>3820</v>
      </c>
      <c r="BR140" t="s" s="0">
        <v>3821</v>
      </c>
      <c r="BS140" t="s" s="0">
        <v>3822</v>
      </c>
      <c r="BT140" t="s" s="278">
        <f>HYPERLINK("https://www.webofscience.com/wos/woscc/full-record/WOS:001063314500001","View Record in Web of Science")</f>
        <v>126</v>
      </c>
      <c r="BU140" t="s" s="0">
        <v>83</v>
      </c>
      <c r="BV140" t="s" s="0">
        <v>83</v>
      </c>
      <c r="BW140" t="s" s="0">
        <v>83</v>
      </c>
      <c r="BX140" t="s" s="0">
        <v>130</v>
      </c>
    </row>
    <row r="141">
      <c r="A141" t="s" s="0">
        <v>150</v>
      </c>
      <c r="B141" t="s" s="0">
        <v>78</v>
      </c>
      <c r="C141" t="s" s="0">
        <v>890</v>
      </c>
      <c r="D141" t="s" s="0">
        <v>78</v>
      </c>
      <c r="E141" t="s" s="0">
        <v>3823</v>
      </c>
      <c r="F141" t="s" s="0">
        <v>3824</v>
      </c>
      <c r="G141" t="s" s="0">
        <v>3825</v>
      </c>
      <c r="H141" t="s" s="0">
        <v>83</v>
      </c>
      <c r="I141" t="s" s="0">
        <v>84</v>
      </c>
      <c r="J141" t="s" s="0">
        <v>3826</v>
      </c>
      <c r="K141" t="s" s="0">
        <v>3827</v>
      </c>
      <c r="L141" t="s" s="0">
        <v>83</v>
      </c>
      <c r="M141" t="s" s="0">
        <v>83</v>
      </c>
      <c r="N141" t="s" s="0">
        <v>83</v>
      </c>
      <c r="O141" t="s" s="0">
        <v>3828</v>
      </c>
      <c r="P141" t="s" s="0">
        <v>3829</v>
      </c>
      <c r="Q141" t="s" s="0">
        <v>92</v>
      </c>
      <c r="R141" t="s" s="0">
        <v>83</v>
      </c>
      <c r="S141" t="s" s="0">
        <v>83</v>
      </c>
      <c r="T141" t="s" s="0">
        <v>83</v>
      </c>
      <c r="U141" t="s" s="0">
        <v>83</v>
      </c>
      <c r="V141" t="s" s="0">
        <v>3830</v>
      </c>
      <c r="W141" t="s" s="0">
        <v>3831</v>
      </c>
      <c r="X141" t="s" s="0">
        <v>83</v>
      </c>
      <c r="Y141" t="s" s="0">
        <v>83</v>
      </c>
      <c r="Z141" t="s" s="0">
        <v>95</v>
      </c>
      <c r="AA141" t="s" s="0">
        <v>96</v>
      </c>
      <c r="AB141" t="s" s="0">
        <v>83</v>
      </c>
      <c r="AC141" t="s" s="0">
        <v>83</v>
      </c>
      <c r="AD141" t="s" s="0">
        <v>83</v>
      </c>
      <c r="AE141" t="s" s="0">
        <v>83</v>
      </c>
      <c r="AF141" t="s" s="0">
        <v>83</v>
      </c>
      <c r="AG141" t="s" s="0">
        <v>3832</v>
      </c>
      <c r="AH141" t="s" s="0">
        <v>3833</v>
      </c>
      <c r="AI141" t="s" s="0">
        <v>3834</v>
      </c>
      <c r="AJ141" t="s" s="0">
        <v>3835</v>
      </c>
      <c r="AK141" t="s" s="0">
        <v>83</v>
      </c>
      <c r="AL141" t="s" s="0">
        <v>147</v>
      </c>
      <c r="AM141" t="s" s="0">
        <v>160</v>
      </c>
      <c r="AN141" t="s" s="0">
        <v>3129</v>
      </c>
      <c r="AO141" t="s" s="0">
        <v>78</v>
      </c>
      <c r="AP141" t="s" s="0">
        <v>310</v>
      </c>
      <c r="AQ141" t="s" s="0">
        <v>3836</v>
      </c>
      <c r="AR141" t="s" s="0">
        <v>234</v>
      </c>
      <c r="AS141" t="s" s="0">
        <v>3837</v>
      </c>
      <c r="AT141" t="s" s="0">
        <v>3838</v>
      </c>
      <c r="AU141" t="s" s="0">
        <v>3839</v>
      </c>
      <c r="AV141" t="s" s="0">
        <v>83</v>
      </c>
      <c r="AW141" t="s" s="0">
        <v>3840</v>
      </c>
      <c r="AX141" t="s" s="0">
        <v>3841</v>
      </c>
      <c r="AY141" t="s" s="0">
        <v>1704</v>
      </c>
      <c r="AZ141" t="s" s="0">
        <v>113</v>
      </c>
      <c r="BA141" t="s" s="0">
        <v>309</v>
      </c>
      <c r="BB141" t="s" s="0">
        <v>211</v>
      </c>
      <c r="BC141" t="s" s="0">
        <v>83</v>
      </c>
      <c r="BD141" t="s" s="0">
        <v>83</v>
      </c>
      <c r="BE141" t="s" s="0">
        <v>83</v>
      </c>
      <c r="BF141" t="s" s="0">
        <v>83</v>
      </c>
      <c r="BG141" t="s" s="0">
        <v>3842</v>
      </c>
      <c r="BH141" t="s" s="0">
        <v>3843</v>
      </c>
      <c r="BI141" t="s" s="0">
        <v>83</v>
      </c>
      <c r="BJ141" t="s" s="0">
        <v>3844</v>
      </c>
      <c r="BK141" t="s" s="279">
        <f>HYPERLINK("http://dx.doi.org/10.1513/AnnalsATS.201803-173CME","http://dx.doi.org/10.1513/AnnalsATS.201803-173CME")</f>
        <v>3845</v>
      </c>
      <c r="BL141" t="s" s="0">
        <v>83</v>
      </c>
      <c r="BM141" t="s" s="0">
        <v>83</v>
      </c>
      <c r="BN141" t="s" s="0">
        <v>211</v>
      </c>
      <c r="BO141" t="s" s="0">
        <v>2248</v>
      </c>
      <c r="BP141" t="s" s="0">
        <v>2248</v>
      </c>
      <c r="BQ141" t="s" s="0">
        <v>3846</v>
      </c>
      <c r="BR141" t="s" s="0">
        <v>3847</v>
      </c>
      <c r="BS141" t="s" s="0">
        <v>3848</v>
      </c>
      <c r="BT141" t="s" s="280">
        <f>HYPERLINK("https://www.webofscience.com/wos/woscc/full-record/WOS:000447989900001","View Record in Web of Science")</f>
        <v>126</v>
      </c>
      <c r="BU141" t="s" s="0">
        <v>83</v>
      </c>
      <c r="BV141" t="s" s="0">
        <v>83</v>
      </c>
      <c r="BW141" t="s" s="0">
        <v>83</v>
      </c>
      <c r="BX141" t="s" s="0">
        <v>130</v>
      </c>
    </row>
    <row r="142">
      <c r="A142" t="s" s="0">
        <v>78</v>
      </c>
      <c r="B142" t="s" s="0">
        <v>78</v>
      </c>
      <c r="C142" t="s" s="0">
        <v>115</v>
      </c>
      <c r="D142" t="s" s="0">
        <v>78</v>
      </c>
      <c r="E142" t="s" s="0">
        <v>3849</v>
      </c>
      <c r="F142" t="s" s="0">
        <v>3850</v>
      </c>
      <c r="G142" t="s" s="0">
        <v>3851</v>
      </c>
      <c r="H142" t="s" s="0">
        <v>83</v>
      </c>
      <c r="I142" t="s" s="0">
        <v>174</v>
      </c>
      <c r="J142" t="s" s="0">
        <v>3852</v>
      </c>
      <c r="K142" t="s" s="0">
        <v>3853</v>
      </c>
      <c r="L142" t="s" s="0">
        <v>3854</v>
      </c>
      <c r="M142" t="s" s="0">
        <v>3855</v>
      </c>
      <c r="N142" t="s" s="0">
        <v>3856</v>
      </c>
      <c r="O142" t="s" s="0">
        <v>3857</v>
      </c>
      <c r="P142" t="s" s="0">
        <v>3858</v>
      </c>
      <c r="Q142" t="s" s="0">
        <v>92</v>
      </c>
      <c r="R142" t="s" s="0">
        <v>83</v>
      </c>
      <c r="S142" t="s" s="0">
        <v>83</v>
      </c>
      <c r="T142" t="s" s="0">
        <v>83</v>
      </c>
      <c r="U142" t="s" s="0">
        <v>83</v>
      </c>
      <c r="V142" t="s" s="0">
        <v>3859</v>
      </c>
      <c r="W142" t="s" s="0">
        <v>3860</v>
      </c>
      <c r="X142" t="s" s="0">
        <v>83</v>
      </c>
      <c r="Y142" t="s" s="0">
        <v>83</v>
      </c>
      <c r="Z142" t="s" s="0">
        <v>95</v>
      </c>
      <c r="AA142" t="s" s="0">
        <v>96</v>
      </c>
      <c r="AB142" t="s" s="0">
        <v>83</v>
      </c>
      <c r="AC142" t="s" s="0">
        <v>83</v>
      </c>
      <c r="AD142" t="s" s="0">
        <v>83</v>
      </c>
      <c r="AE142" t="s" s="0">
        <v>83</v>
      </c>
      <c r="AF142" t="s" s="0">
        <v>83</v>
      </c>
      <c r="AG142" t="s" s="0">
        <v>3861</v>
      </c>
      <c r="AH142" t="s" s="0">
        <v>3862</v>
      </c>
      <c r="AI142" t="s" s="0">
        <v>83</v>
      </c>
      <c r="AJ142" t="s" s="0">
        <v>83</v>
      </c>
      <c r="AK142" t="s" s="0">
        <v>83</v>
      </c>
      <c r="AL142" t="s" s="0">
        <v>1190</v>
      </c>
      <c r="AM142" t="s" s="0">
        <v>545</v>
      </c>
      <c r="AN142" t="s" s="0">
        <v>545</v>
      </c>
      <c r="AO142" t="s" s="0">
        <v>115</v>
      </c>
      <c r="AP142" t="s" s="0">
        <v>115</v>
      </c>
      <c r="AQ142" t="s" s="0">
        <v>271</v>
      </c>
      <c r="AR142" t="s" s="0">
        <v>272</v>
      </c>
      <c r="AS142" t="s" s="0">
        <v>273</v>
      </c>
      <c r="AT142" t="s" s="0">
        <v>83</v>
      </c>
      <c r="AU142" t="s" s="0">
        <v>3863</v>
      </c>
      <c r="AV142" t="s" s="0">
        <v>83</v>
      </c>
      <c r="AW142" t="s" s="0">
        <v>3860</v>
      </c>
      <c r="AX142" t="s" s="0">
        <v>3864</v>
      </c>
      <c r="AY142" t="s" s="0">
        <v>159</v>
      </c>
      <c r="AZ142" t="s" s="0">
        <v>159</v>
      </c>
      <c r="BA142" t="s" s="0">
        <v>281</v>
      </c>
      <c r="BB142" t="s" s="0">
        <v>83</v>
      </c>
      <c r="BC142" t="s" s="0">
        <v>83</v>
      </c>
      <c r="BD142" t="s" s="0">
        <v>83</v>
      </c>
      <c r="BE142" t="s" s="0">
        <v>83</v>
      </c>
      <c r="BF142" t="s" s="0">
        <v>83</v>
      </c>
      <c r="BG142" t="s" s="0">
        <v>83</v>
      </c>
      <c r="BH142" t="s" s="0">
        <v>83</v>
      </c>
      <c r="BI142" t="s" s="0">
        <v>3865</v>
      </c>
      <c r="BJ142" t="s" s="0">
        <v>3866</v>
      </c>
      <c r="BK142" t="s" s="281">
        <f>HYPERLINK("http://dx.doi.org/10.1093/psyrad/kkae031","http://dx.doi.org/10.1093/psyrad/kkae031")</f>
        <v>3867</v>
      </c>
      <c r="BL142" t="s" s="0">
        <v>83</v>
      </c>
      <c r="BM142" t="s" s="0">
        <v>83</v>
      </c>
      <c r="BN142" t="s" s="0">
        <v>417</v>
      </c>
      <c r="BO142" t="s" s="0">
        <v>3868</v>
      </c>
      <c r="BP142" t="s" s="0">
        <v>3869</v>
      </c>
      <c r="BQ142" t="s" s="0">
        <v>3870</v>
      </c>
      <c r="BR142" t="s" s="0">
        <v>3871</v>
      </c>
      <c r="BS142" t="s" s="0">
        <v>3872</v>
      </c>
      <c r="BT142" t="s" s="282">
        <f>HYPERLINK("https://www.webofscience.com/wos/woscc/full-record/WOS:001492644500001","View Record in Web of Science")</f>
        <v>126</v>
      </c>
      <c r="BU142" t="s" s="0">
        <v>210</v>
      </c>
      <c r="BV142" t="s" s="0">
        <v>83</v>
      </c>
      <c r="BW142" t="s" s="0">
        <v>83</v>
      </c>
      <c r="BX142" t="s" s="0">
        <v>130</v>
      </c>
    </row>
    <row r="143">
      <c r="A143" t="s" s="0">
        <v>78</v>
      </c>
      <c r="B143" t="s" s="0">
        <v>78</v>
      </c>
      <c r="C143" t="s" s="0">
        <v>120</v>
      </c>
      <c r="D143" t="s" s="0">
        <v>78</v>
      </c>
      <c r="E143" t="s" s="0">
        <v>3873</v>
      </c>
      <c r="F143" t="s" s="0">
        <v>3874</v>
      </c>
      <c r="G143" t="s" s="0">
        <v>3875</v>
      </c>
      <c r="H143" t="s" s="0">
        <v>83</v>
      </c>
      <c r="I143" t="s" s="0">
        <v>84</v>
      </c>
      <c r="J143" t="s" s="0">
        <v>3876</v>
      </c>
      <c r="K143" t="s" s="0">
        <v>3877</v>
      </c>
      <c r="L143" t="s" s="0">
        <v>3878</v>
      </c>
      <c r="M143" t="s" s="0">
        <v>3879</v>
      </c>
      <c r="N143" t="s" s="0">
        <v>3880</v>
      </c>
      <c r="O143" t="s" s="0">
        <v>3881</v>
      </c>
      <c r="P143" t="s" s="0">
        <v>3882</v>
      </c>
      <c r="Q143" t="s" s="0">
        <v>92</v>
      </c>
      <c r="R143" t="s" s="0">
        <v>83</v>
      </c>
      <c r="S143" t="s" s="0">
        <v>83</v>
      </c>
      <c r="T143" t="s" s="0">
        <v>83</v>
      </c>
      <c r="U143" t="s" s="0">
        <v>83</v>
      </c>
      <c r="V143" t="s" s="0">
        <v>3883</v>
      </c>
      <c r="W143" t="s" s="0">
        <v>3884</v>
      </c>
      <c r="X143" t="s" s="0">
        <v>83</v>
      </c>
      <c r="Y143" t="s" s="0">
        <v>83</v>
      </c>
      <c r="Z143" t="s" s="0">
        <v>95</v>
      </c>
      <c r="AA143" t="s" s="0">
        <v>96</v>
      </c>
      <c r="AB143" t="s" s="0">
        <v>83</v>
      </c>
      <c r="AC143" t="s" s="0">
        <v>83</v>
      </c>
      <c r="AD143" t="s" s="0">
        <v>83</v>
      </c>
      <c r="AE143" t="s" s="0">
        <v>83</v>
      </c>
      <c r="AF143" t="s" s="0">
        <v>83</v>
      </c>
      <c r="AG143" t="s" s="0">
        <v>83</v>
      </c>
      <c r="AH143" t="s" s="0">
        <v>3885</v>
      </c>
      <c r="AI143" t="s" s="0">
        <v>3886</v>
      </c>
      <c r="AJ143" t="s" s="0">
        <v>83</v>
      </c>
      <c r="AK143" t="s" s="0">
        <v>83</v>
      </c>
      <c r="AL143" t="s" s="0">
        <v>3124</v>
      </c>
      <c r="AM143" t="s" s="0">
        <v>413</v>
      </c>
      <c r="AN143" t="s" s="0">
        <v>79</v>
      </c>
      <c r="AO143" t="s" s="0">
        <v>115</v>
      </c>
      <c r="AP143" t="s" s="0">
        <v>269</v>
      </c>
      <c r="AQ143" t="s" s="0">
        <v>661</v>
      </c>
      <c r="AR143" t="s" s="0">
        <v>106</v>
      </c>
      <c r="AS143" t="s" s="0">
        <v>662</v>
      </c>
      <c r="AT143" t="s" s="0">
        <v>3887</v>
      </c>
      <c r="AU143" t="s" s="0">
        <v>3888</v>
      </c>
      <c r="AV143" t="s" s="0">
        <v>83</v>
      </c>
      <c r="AW143" t="s" s="0">
        <v>3889</v>
      </c>
      <c r="AX143" t="s" s="0">
        <v>3890</v>
      </c>
      <c r="AY143" t="s" s="0">
        <v>977</v>
      </c>
      <c r="AZ143" t="s" s="0">
        <v>241</v>
      </c>
      <c r="BA143" t="s" s="0">
        <v>3124</v>
      </c>
      <c r="BB143" t="s" s="0">
        <v>150</v>
      </c>
      <c r="BC143" t="s" s="0">
        <v>83</v>
      </c>
      <c r="BD143" t="s" s="0">
        <v>83</v>
      </c>
      <c r="BE143" t="s" s="0">
        <v>83</v>
      </c>
      <c r="BF143" t="s" s="0">
        <v>83</v>
      </c>
      <c r="BG143" t="s" s="0">
        <v>547</v>
      </c>
      <c r="BH143" t="s" s="0">
        <v>3891</v>
      </c>
      <c r="BI143" t="s" s="0">
        <v>83</v>
      </c>
      <c r="BJ143" t="s" s="0">
        <v>3892</v>
      </c>
      <c r="BK143" t="s" s="283">
        <f>HYPERLINK("http://dx.doi.org/10.1038/s41390-022-02274-7","http://dx.doi.org/10.1038/s41390-022-02274-7")</f>
        <v>3893</v>
      </c>
      <c r="BL143" t="s" s="0">
        <v>83</v>
      </c>
      <c r="BM143" t="s" s="0">
        <v>3894</v>
      </c>
      <c r="BN143" t="s" s="0">
        <v>148</v>
      </c>
      <c r="BO143" t="s" s="0">
        <v>611</v>
      </c>
      <c r="BP143" t="s" s="0">
        <v>611</v>
      </c>
      <c r="BQ143" t="s" s="0">
        <v>3895</v>
      </c>
      <c r="BR143" t="s" s="0">
        <v>3896</v>
      </c>
      <c r="BS143" t="s" s="0">
        <v>3897</v>
      </c>
      <c r="BT143" t="s" s="284">
        <f>HYPERLINK("https://www.webofscience.com/wos/woscc/full-record/WOS:000855600200002","View Record in Web of Science")</f>
        <v>126</v>
      </c>
      <c r="BU143" t="s" s="0">
        <v>127</v>
      </c>
      <c r="BV143" t="s" s="0">
        <v>83</v>
      </c>
      <c r="BW143" t="s" s="0">
        <v>83</v>
      </c>
      <c r="BX143" t="s" s="0">
        <v>130</v>
      </c>
    </row>
    <row r="144">
      <c r="A144" t="s" s="0">
        <v>115</v>
      </c>
      <c r="B144" t="s" s="0">
        <v>78</v>
      </c>
      <c r="C144" t="s" s="0">
        <v>309</v>
      </c>
      <c r="D144" t="s" s="0">
        <v>78</v>
      </c>
      <c r="E144" t="s" s="0">
        <v>3898</v>
      </c>
      <c r="F144" t="s" s="0">
        <v>3899</v>
      </c>
      <c r="G144" t="s" s="0">
        <v>3900</v>
      </c>
      <c r="H144" t="s" s="0">
        <v>83</v>
      </c>
      <c r="I144" t="s" s="0">
        <v>84</v>
      </c>
      <c r="J144" t="s" s="0">
        <v>3901</v>
      </c>
      <c r="K144" t="s" s="0">
        <v>3902</v>
      </c>
      <c r="L144" t="s" s="0">
        <v>3903</v>
      </c>
      <c r="M144" t="s" s="0">
        <v>3904</v>
      </c>
      <c r="N144" t="s" s="0">
        <v>3905</v>
      </c>
      <c r="O144" t="s" s="0">
        <v>3906</v>
      </c>
      <c r="P144" t="s" s="0">
        <v>1447</v>
      </c>
      <c r="Q144" t="s" s="0">
        <v>92</v>
      </c>
      <c r="R144" t="s" s="0">
        <v>83</v>
      </c>
      <c r="S144" t="s" s="0">
        <v>83</v>
      </c>
      <c r="T144" t="s" s="0">
        <v>83</v>
      </c>
      <c r="U144" t="s" s="0">
        <v>83</v>
      </c>
      <c r="V144" t="s" s="0">
        <v>3907</v>
      </c>
      <c r="W144" t="s" s="0">
        <v>3908</v>
      </c>
      <c r="X144" t="s" s="0">
        <v>83</v>
      </c>
      <c r="Y144" t="s" s="0">
        <v>83</v>
      </c>
      <c r="Z144" t="s" s="0">
        <v>95</v>
      </c>
      <c r="AA144" t="s" s="0">
        <v>96</v>
      </c>
      <c r="AB144" t="s" s="0">
        <v>83</v>
      </c>
      <c r="AC144" t="s" s="0">
        <v>83</v>
      </c>
      <c r="AD144" t="s" s="0">
        <v>83</v>
      </c>
      <c r="AE144" t="s" s="0">
        <v>83</v>
      </c>
      <c r="AF144" t="s" s="0">
        <v>83</v>
      </c>
      <c r="AG144" t="s" s="0">
        <v>3909</v>
      </c>
      <c r="AH144" t="s" s="0">
        <v>3910</v>
      </c>
      <c r="AI144" t="s" s="0">
        <v>3911</v>
      </c>
      <c r="AJ144" t="s" s="0">
        <v>3912</v>
      </c>
      <c r="AK144" t="s" s="0">
        <v>83</v>
      </c>
      <c r="AL144" t="s" s="0">
        <v>1266</v>
      </c>
      <c r="AM144" t="s" s="0">
        <v>201</v>
      </c>
      <c r="AN144" t="s" s="0">
        <v>1873</v>
      </c>
      <c r="AO144" t="s" s="0">
        <v>78</v>
      </c>
      <c r="AP144" t="s" s="0">
        <v>149</v>
      </c>
      <c r="AQ144" t="s" s="0">
        <v>1396</v>
      </c>
      <c r="AR144" t="s" s="0">
        <v>1091</v>
      </c>
      <c r="AS144" t="s" s="0">
        <v>1397</v>
      </c>
      <c r="AT144" t="s" s="0">
        <v>3913</v>
      </c>
      <c r="AU144" t="s" s="0">
        <v>3914</v>
      </c>
      <c r="AV144" t="s" s="0">
        <v>83</v>
      </c>
      <c r="AW144" t="s" s="0">
        <v>3915</v>
      </c>
      <c r="AX144" t="s" s="0">
        <v>3916</v>
      </c>
      <c r="AY144" t="s" s="0">
        <v>3917</v>
      </c>
      <c r="AZ144" t="s" s="0">
        <v>317</v>
      </c>
      <c r="BA144" t="s" s="0">
        <v>160</v>
      </c>
      <c r="BB144" t="s" s="0">
        <v>150</v>
      </c>
      <c r="BC144" t="s" s="0">
        <v>83</v>
      </c>
      <c r="BD144" t="s" s="0">
        <v>83</v>
      </c>
      <c r="BE144" t="s" s="0">
        <v>83</v>
      </c>
      <c r="BF144" t="s" s="0">
        <v>83</v>
      </c>
      <c r="BG144" t="s" s="0">
        <v>3918</v>
      </c>
      <c r="BH144" t="s" s="0">
        <v>780</v>
      </c>
      <c r="BI144" t="s" s="0">
        <v>83</v>
      </c>
      <c r="BJ144" t="s" s="0">
        <v>3919</v>
      </c>
      <c r="BK144" t="s" s="285">
        <f>HYPERLINK("http://dx.doi.org/10.1097/MCG.0000000000001284","http://dx.doi.org/10.1097/MCG.0000000000001284")</f>
        <v>3920</v>
      </c>
      <c r="BL144" t="s" s="0">
        <v>83</v>
      </c>
      <c r="BM144" t="s" s="0">
        <v>83</v>
      </c>
      <c r="BN144" t="s" s="0">
        <v>148</v>
      </c>
      <c r="BO144" t="s" s="0">
        <v>926</v>
      </c>
      <c r="BP144" t="s" s="0">
        <v>926</v>
      </c>
      <c r="BQ144" t="s" s="0">
        <v>3921</v>
      </c>
      <c r="BR144" t="s" s="0">
        <v>3922</v>
      </c>
      <c r="BS144" t="s" s="0">
        <v>3923</v>
      </c>
      <c r="BT144" t="s" s="286">
        <f>HYPERLINK("https://www.webofscience.com/wos/woscc/full-record/WOS:000514586300002","View Record in Web of Science")</f>
        <v>126</v>
      </c>
      <c r="BU144" t="s" s="0">
        <v>127</v>
      </c>
      <c r="BV144" t="s" s="0">
        <v>83</v>
      </c>
      <c r="BW144" t="s" s="0">
        <v>83</v>
      </c>
      <c r="BX144" t="s" s="0">
        <v>130</v>
      </c>
    </row>
    <row r="145">
      <c r="A145" t="s" s="0">
        <v>78</v>
      </c>
      <c r="B145" t="s" s="0">
        <v>78</v>
      </c>
      <c r="C145" t="s" s="0">
        <v>115</v>
      </c>
      <c r="D145" t="s" s="0">
        <v>115</v>
      </c>
      <c r="E145" t="s" s="0">
        <v>3924</v>
      </c>
      <c r="F145" t="s" s="0">
        <v>3925</v>
      </c>
      <c r="G145" t="s" s="0">
        <v>3926</v>
      </c>
      <c r="H145" t="s" s="0">
        <v>83</v>
      </c>
      <c r="I145" t="s" s="0">
        <v>174</v>
      </c>
      <c r="J145" t="s" s="0">
        <v>3927</v>
      </c>
      <c r="K145" t="s" s="0">
        <v>3928</v>
      </c>
      <c r="L145" t="s" s="0">
        <v>3929</v>
      </c>
      <c r="M145" t="s" s="0">
        <v>3930</v>
      </c>
      <c r="N145" t="s" s="0">
        <v>3931</v>
      </c>
      <c r="O145" t="s" s="0">
        <v>3932</v>
      </c>
      <c r="P145" t="s" s="0">
        <v>3933</v>
      </c>
      <c r="Q145" t="s" s="0">
        <v>92</v>
      </c>
      <c r="R145" t="s" s="0">
        <v>83</v>
      </c>
      <c r="S145" t="s" s="0">
        <v>83</v>
      </c>
      <c r="T145" t="s" s="0">
        <v>83</v>
      </c>
      <c r="U145" t="s" s="0">
        <v>83</v>
      </c>
      <c r="V145" t="s" s="0">
        <v>3934</v>
      </c>
      <c r="W145" t="s" s="0">
        <v>3935</v>
      </c>
      <c r="X145" t="s" s="0">
        <v>83</v>
      </c>
      <c r="Y145" t="s" s="0">
        <v>83</v>
      </c>
      <c r="Z145" t="s" s="0">
        <v>95</v>
      </c>
      <c r="AA145" t="s" s="0">
        <v>96</v>
      </c>
      <c r="AB145" t="s" s="0">
        <v>83</v>
      </c>
      <c r="AC145" t="s" s="0">
        <v>83</v>
      </c>
      <c r="AD145" t="s" s="0">
        <v>83</v>
      </c>
      <c r="AE145" t="s" s="0">
        <v>83</v>
      </c>
      <c r="AF145" t="s" s="0">
        <v>83</v>
      </c>
      <c r="AG145" t="s" s="0">
        <v>3936</v>
      </c>
      <c r="AH145" t="s" s="0">
        <v>3937</v>
      </c>
      <c r="AI145" t="s" s="0">
        <v>3938</v>
      </c>
      <c r="AJ145" t="s" s="0">
        <v>3101</v>
      </c>
      <c r="AK145" t="s" s="0">
        <v>83</v>
      </c>
      <c r="AL145" t="s" s="0">
        <v>191</v>
      </c>
      <c r="AM145" t="s" s="0">
        <v>281</v>
      </c>
      <c r="AN145" t="s" s="0">
        <v>231</v>
      </c>
      <c r="AO145" t="s" s="0">
        <v>78</v>
      </c>
      <c r="AP145" t="s" s="0">
        <v>78</v>
      </c>
      <c r="AQ145" t="s" s="0">
        <v>830</v>
      </c>
      <c r="AR145" t="s" s="0">
        <v>831</v>
      </c>
      <c r="AS145" t="s" s="0">
        <v>832</v>
      </c>
      <c r="AT145" t="s" s="0">
        <v>83</v>
      </c>
      <c r="AU145" t="s" s="0">
        <v>3939</v>
      </c>
      <c r="AV145" t="s" s="0">
        <v>83</v>
      </c>
      <c r="AW145" t="s" s="0">
        <v>3940</v>
      </c>
      <c r="AX145" t="s" s="0">
        <v>3941</v>
      </c>
      <c r="AY145" t="s" s="0">
        <v>3942</v>
      </c>
      <c r="AZ145" t="s" s="0">
        <v>279</v>
      </c>
      <c r="BA145" t="s" s="0">
        <v>545</v>
      </c>
      <c r="BB145" t="s" s="0">
        <v>83</v>
      </c>
      <c r="BC145" t="s" s="0">
        <v>83</v>
      </c>
      <c r="BD145" t="s" s="0">
        <v>83</v>
      </c>
      <c r="BE145" t="s" s="0">
        <v>83</v>
      </c>
      <c r="BF145" t="s" s="0">
        <v>83</v>
      </c>
      <c r="BG145" t="s" s="0">
        <v>83</v>
      </c>
      <c r="BH145" t="s" s="0">
        <v>83</v>
      </c>
      <c r="BI145" t="s" s="0">
        <v>3943</v>
      </c>
      <c r="BJ145" t="s" s="0">
        <v>3944</v>
      </c>
      <c r="BK145" t="s" s="287">
        <f>HYPERLINK("http://dx.doi.org/10.3389/fresc.2022.824281","http://dx.doi.org/10.3389/fresc.2022.824281")</f>
        <v>3945</v>
      </c>
      <c r="BL145" t="s" s="0">
        <v>83</v>
      </c>
      <c r="BM145" t="s" s="0">
        <v>83</v>
      </c>
      <c r="BN145" t="s" s="0">
        <v>148</v>
      </c>
      <c r="BO145" t="s" s="0">
        <v>3946</v>
      </c>
      <c r="BP145" t="s" s="0">
        <v>3946</v>
      </c>
      <c r="BQ145" t="s" s="0">
        <v>3947</v>
      </c>
      <c r="BR145" t="s" s="0">
        <v>3948</v>
      </c>
      <c r="BS145" t="s" s="0">
        <v>3949</v>
      </c>
      <c r="BT145" t="s" s="288">
        <f>HYPERLINK("https://www.webofscience.com/wos/woscc/full-record/WOS:001008612900001","View Record in Web of Science")</f>
        <v>126</v>
      </c>
      <c r="BU145" t="s" s="0">
        <v>868</v>
      </c>
      <c r="BV145" t="s" s="0">
        <v>83</v>
      </c>
      <c r="BW145" t="s" s="0">
        <v>83</v>
      </c>
      <c r="BX145" t="s" s="0">
        <v>130</v>
      </c>
    </row>
    <row r="146">
      <c r="A146" t="s" s="0">
        <v>115</v>
      </c>
      <c r="B146" t="s" s="0">
        <v>78</v>
      </c>
      <c r="C146" t="s" s="0">
        <v>150</v>
      </c>
      <c r="D146" t="s" s="0">
        <v>78</v>
      </c>
      <c r="E146" t="s" s="0">
        <v>3950</v>
      </c>
      <c r="F146" t="s" s="0">
        <v>3951</v>
      </c>
      <c r="G146" t="s" s="0">
        <v>3952</v>
      </c>
      <c r="H146" t="s" s="0">
        <v>83</v>
      </c>
      <c r="I146" t="s" s="0">
        <v>84</v>
      </c>
      <c r="J146" t="s" s="0">
        <v>3953</v>
      </c>
      <c r="K146" t="s" s="0">
        <v>3954</v>
      </c>
      <c r="L146" t="s" s="0">
        <v>83</v>
      </c>
      <c r="M146" t="s" s="0">
        <v>83</v>
      </c>
      <c r="N146" t="s" s="0">
        <v>83</v>
      </c>
      <c r="O146" t="s" s="0">
        <v>3955</v>
      </c>
      <c r="P146" t="s" s="0">
        <v>3956</v>
      </c>
      <c r="Q146" t="s" s="0">
        <v>92</v>
      </c>
      <c r="R146" t="s" s="0">
        <v>83</v>
      </c>
      <c r="S146" t="s" s="0">
        <v>83</v>
      </c>
      <c r="T146" t="s" s="0">
        <v>83</v>
      </c>
      <c r="U146" t="s" s="0">
        <v>83</v>
      </c>
      <c r="V146" t="s" s="0">
        <v>3957</v>
      </c>
      <c r="W146" t="s" s="0">
        <v>3958</v>
      </c>
      <c r="X146" t="s" s="0">
        <v>83</v>
      </c>
      <c r="Y146" t="s" s="0">
        <v>83</v>
      </c>
      <c r="Z146" t="s" s="0">
        <v>95</v>
      </c>
      <c r="AA146" t="s" s="0">
        <v>96</v>
      </c>
      <c r="AB146" t="s" s="0">
        <v>83</v>
      </c>
      <c r="AC146" t="s" s="0">
        <v>83</v>
      </c>
      <c r="AD146" t="s" s="0">
        <v>83</v>
      </c>
      <c r="AE146" t="s" s="0">
        <v>83</v>
      </c>
      <c r="AF146" t="s" s="0">
        <v>83</v>
      </c>
      <c r="AG146" t="s" s="0">
        <v>3959</v>
      </c>
      <c r="AH146" t="s" s="0">
        <v>3960</v>
      </c>
      <c r="AI146" t="s" s="0">
        <v>3961</v>
      </c>
      <c r="AJ146" t="s" s="0">
        <v>3962</v>
      </c>
      <c r="AK146" t="s" s="0">
        <v>83</v>
      </c>
      <c r="AL146" t="s" s="0">
        <v>160</v>
      </c>
      <c r="AM146" t="s" s="0">
        <v>149</v>
      </c>
      <c r="AN146" t="s" s="0">
        <v>211</v>
      </c>
      <c r="AO146" t="s" s="0">
        <v>78</v>
      </c>
      <c r="AP146" t="s" s="0">
        <v>374</v>
      </c>
      <c r="AQ146" t="s" s="0">
        <v>1396</v>
      </c>
      <c r="AR146" t="s" s="0">
        <v>1091</v>
      </c>
      <c r="AS146" t="s" s="0">
        <v>1397</v>
      </c>
      <c r="AT146" t="s" s="0">
        <v>3963</v>
      </c>
      <c r="AU146" t="s" s="0">
        <v>3964</v>
      </c>
      <c r="AV146" t="s" s="0">
        <v>83</v>
      </c>
      <c r="AW146" t="s" s="0">
        <v>3965</v>
      </c>
      <c r="AX146" t="s" s="0">
        <v>3966</v>
      </c>
      <c r="AY146" t="s" s="0">
        <v>316</v>
      </c>
      <c r="AZ146" t="s" s="0">
        <v>317</v>
      </c>
      <c r="BA146" t="s" s="0">
        <v>1404</v>
      </c>
      <c r="BB146" t="s" s="0">
        <v>150</v>
      </c>
      <c r="BC146" t="s" s="0">
        <v>83</v>
      </c>
      <c r="BD146" t="s" s="0">
        <v>83</v>
      </c>
      <c r="BE146" t="s" s="0">
        <v>83</v>
      </c>
      <c r="BF146" t="s" s="0">
        <v>83</v>
      </c>
      <c r="BG146" t="s" s="0">
        <v>1879</v>
      </c>
      <c r="BH146" t="s" s="0">
        <v>3967</v>
      </c>
      <c r="BI146" t="s" s="0">
        <v>83</v>
      </c>
      <c r="BJ146" t="s" s="0">
        <v>3968</v>
      </c>
      <c r="BK146" t="s" s="289">
        <f>HYPERLINK("http://dx.doi.org/10.1097/ACO.0000000000000834","http://dx.doi.org/10.1097/ACO.0000000000000834")</f>
        <v>3969</v>
      </c>
      <c r="BL146" t="s" s="0">
        <v>83</v>
      </c>
      <c r="BM146" t="s" s="0">
        <v>83</v>
      </c>
      <c r="BN146" t="s" s="0">
        <v>149</v>
      </c>
      <c r="BO146" t="s" s="0">
        <v>3970</v>
      </c>
      <c r="BP146" t="s" s="0">
        <v>3970</v>
      </c>
      <c r="BQ146" t="s" s="0">
        <v>3971</v>
      </c>
      <c r="BR146" t="s" s="0">
        <v>3972</v>
      </c>
      <c r="BS146" t="s" s="0">
        <v>3973</v>
      </c>
      <c r="BT146" t="s" s="290">
        <f>HYPERLINK("https://www.webofscience.com/wos/woscc/full-record/WOS:000524758400006","View Record in Web of Science")</f>
        <v>126</v>
      </c>
      <c r="BU146" t="s" s="0">
        <v>83</v>
      </c>
      <c r="BV146" t="s" s="0">
        <v>83</v>
      </c>
      <c r="BW146" t="s" s="0">
        <v>83</v>
      </c>
      <c r="BX146" t="s" s="0">
        <v>130</v>
      </c>
    </row>
    <row r="147">
      <c r="A147" t="s" s="0">
        <v>78</v>
      </c>
      <c r="B147" t="s" s="0">
        <v>78</v>
      </c>
      <c r="C147" t="s" s="0">
        <v>78</v>
      </c>
      <c r="D147" t="s" s="0">
        <v>78</v>
      </c>
      <c r="E147" t="s" s="0">
        <v>3974</v>
      </c>
      <c r="F147" t="s" s="0">
        <v>3975</v>
      </c>
      <c r="G147" t="s" s="0">
        <v>3976</v>
      </c>
      <c r="H147" t="s" s="0">
        <v>83</v>
      </c>
      <c r="I147" t="s" s="0">
        <v>84</v>
      </c>
      <c r="J147" t="s" s="0">
        <v>3977</v>
      </c>
      <c r="K147" t="s" s="0">
        <v>3978</v>
      </c>
      <c r="L147" t="s" s="0">
        <v>3979</v>
      </c>
      <c r="M147" t="s" s="0">
        <v>3980</v>
      </c>
      <c r="N147" t="s" s="0">
        <v>3981</v>
      </c>
      <c r="O147" t="s" s="0">
        <v>3982</v>
      </c>
      <c r="P147" t="s" s="0">
        <v>3983</v>
      </c>
      <c r="Q147" t="s" s="0">
        <v>92</v>
      </c>
      <c r="R147" t="s" s="0">
        <v>83</v>
      </c>
      <c r="S147" t="s" s="0">
        <v>83</v>
      </c>
      <c r="T147" t="s" s="0">
        <v>83</v>
      </c>
      <c r="U147" t="s" s="0">
        <v>83</v>
      </c>
      <c r="V147" t="s" s="0">
        <v>3984</v>
      </c>
      <c r="W147" t="s" s="0">
        <v>3985</v>
      </c>
      <c r="X147" t="s" s="0">
        <v>83</v>
      </c>
      <c r="Y147" t="s" s="0">
        <v>83</v>
      </c>
      <c r="Z147" t="s" s="0">
        <v>95</v>
      </c>
      <c r="AA147" t="s" s="0">
        <v>566</v>
      </c>
      <c r="AB147" t="s" s="0">
        <v>83</v>
      </c>
      <c r="AC147" t="s" s="0">
        <v>83</v>
      </c>
      <c r="AD147" t="s" s="0">
        <v>83</v>
      </c>
      <c r="AE147" t="s" s="0">
        <v>83</v>
      </c>
      <c r="AF147" t="s" s="0">
        <v>83</v>
      </c>
      <c r="AG147" t="s" s="0">
        <v>83</v>
      </c>
      <c r="AH147" t="s" s="0">
        <v>1263</v>
      </c>
      <c r="AI147" t="s" s="0">
        <v>3986</v>
      </c>
      <c r="AJ147" t="s" s="0">
        <v>3987</v>
      </c>
      <c r="AK147" t="s" s="0">
        <v>83</v>
      </c>
      <c r="AL147" t="s" s="0">
        <v>1266</v>
      </c>
      <c r="AM147" t="s" s="0">
        <v>78</v>
      </c>
      <c r="AN147" t="s" s="0">
        <v>78</v>
      </c>
      <c r="AO147" t="s" s="0">
        <v>78</v>
      </c>
      <c r="AP147" t="s" s="0">
        <v>78</v>
      </c>
      <c r="AQ147" t="s" s="0">
        <v>1123</v>
      </c>
      <c r="AR147" t="s" s="0">
        <v>1124</v>
      </c>
      <c r="AS147" t="s" s="0">
        <v>1125</v>
      </c>
      <c r="AT147" t="s" s="0">
        <v>3988</v>
      </c>
      <c r="AU147" t="s" s="0">
        <v>3989</v>
      </c>
      <c r="AV147" t="s" s="0">
        <v>83</v>
      </c>
      <c r="AW147" t="s" s="0">
        <v>3990</v>
      </c>
      <c r="AX147" t="s" s="0">
        <v>3991</v>
      </c>
      <c r="AY147" t="s" s="0">
        <v>83</v>
      </c>
      <c r="AZ147" t="s" s="0">
        <v>511</v>
      </c>
      <c r="BA147" t="s" s="0">
        <v>83</v>
      </c>
      <c r="BB147" t="s" s="0">
        <v>83</v>
      </c>
      <c r="BC147" t="s" s="0">
        <v>83</v>
      </c>
      <c r="BD147" t="s" s="0">
        <v>83</v>
      </c>
      <c r="BE147" t="s" s="0">
        <v>83</v>
      </c>
      <c r="BF147" t="s" s="0">
        <v>83</v>
      </c>
      <c r="BG147" t="s" s="0">
        <v>83</v>
      </c>
      <c r="BH147" t="s" s="0">
        <v>83</v>
      </c>
      <c r="BI147" t="s" s="0">
        <v>83</v>
      </c>
      <c r="BJ147" t="s" s="0">
        <v>3992</v>
      </c>
      <c r="BK147" t="s" s="291">
        <f>HYPERLINK("http://dx.doi.org/10.1111/jpc.70429","http://dx.doi.org/10.1111/jpc.70429")</f>
        <v>3993</v>
      </c>
      <c r="BL147" t="s" s="0">
        <v>83</v>
      </c>
      <c r="BM147" t="s" s="0">
        <v>3994</v>
      </c>
      <c r="BN147" t="s" s="0">
        <v>149</v>
      </c>
      <c r="BO147" t="s" s="0">
        <v>611</v>
      </c>
      <c r="BP147" t="s" s="0">
        <v>611</v>
      </c>
      <c r="BQ147" t="s" s="0">
        <v>3995</v>
      </c>
      <c r="BR147" t="s" s="0">
        <v>3996</v>
      </c>
      <c r="BS147" t="s" s="0">
        <v>3997</v>
      </c>
      <c r="BT147" t="s" s="292">
        <f>HYPERLINK("https://www.webofscience.com/wos/woscc/full-record/WOS:001760371100001","View Record in Web of Science")</f>
        <v>126</v>
      </c>
      <c r="BU147" t="s" s="0">
        <v>584</v>
      </c>
      <c r="BV147" t="s" s="0">
        <v>83</v>
      </c>
      <c r="BW147" t="s" s="0">
        <v>83</v>
      </c>
      <c r="BX147" t="s" s="0">
        <v>130</v>
      </c>
    </row>
    <row r="148">
      <c r="A148" t="s" s="0">
        <v>78</v>
      </c>
      <c r="B148" t="s" s="0">
        <v>78</v>
      </c>
      <c r="C148" t="s" s="0">
        <v>281</v>
      </c>
      <c r="D148" t="s" s="0">
        <v>78</v>
      </c>
      <c r="E148" t="s" s="0">
        <v>3998</v>
      </c>
      <c r="F148" t="s" s="0">
        <v>3999</v>
      </c>
      <c r="G148" t="s" s="0">
        <v>4000</v>
      </c>
      <c r="H148" t="s" s="0">
        <v>83</v>
      </c>
      <c r="I148" t="s" s="0">
        <v>84</v>
      </c>
      <c r="J148" t="s" s="0">
        <v>4001</v>
      </c>
      <c r="K148" t="s" s="0">
        <v>4002</v>
      </c>
      <c r="L148" t="s" s="0">
        <v>83</v>
      </c>
      <c r="M148" t="s" s="0">
        <v>83</v>
      </c>
      <c r="N148" t="s" s="0">
        <v>83</v>
      </c>
      <c r="O148" t="s" s="0">
        <v>4003</v>
      </c>
      <c r="P148" t="s" s="0">
        <v>83</v>
      </c>
      <c r="Q148" t="s" s="0">
        <v>92</v>
      </c>
      <c r="R148" t="s" s="0">
        <v>83</v>
      </c>
      <c r="S148" t="s" s="0">
        <v>83</v>
      </c>
      <c r="T148" t="s" s="0">
        <v>83</v>
      </c>
      <c r="U148" t="s" s="0">
        <v>83</v>
      </c>
      <c r="V148" t="s" s="0">
        <v>4004</v>
      </c>
      <c r="W148" t="s" s="0">
        <v>4005</v>
      </c>
      <c r="X148" t="s" s="0">
        <v>83</v>
      </c>
      <c r="Y148" t="s" s="0">
        <v>83</v>
      </c>
      <c r="Z148" t="s" s="0">
        <v>95</v>
      </c>
      <c r="AA148" t="s" s="0">
        <v>96</v>
      </c>
      <c r="AB148" t="s" s="0">
        <v>83</v>
      </c>
      <c r="AC148" t="s" s="0">
        <v>83</v>
      </c>
      <c r="AD148" t="s" s="0">
        <v>83</v>
      </c>
      <c r="AE148" t="s" s="0">
        <v>83</v>
      </c>
      <c r="AF148" t="s" s="0">
        <v>83</v>
      </c>
      <c r="AG148" t="s" s="0">
        <v>4006</v>
      </c>
      <c r="AH148" t="s" s="0">
        <v>4007</v>
      </c>
      <c r="AI148" t="s" s="0">
        <v>4008</v>
      </c>
      <c r="AJ148" t="s" s="0">
        <v>4009</v>
      </c>
      <c r="AK148" t="s" s="0">
        <v>83</v>
      </c>
      <c r="AL148" t="s" s="0">
        <v>407</v>
      </c>
      <c r="AM148" t="s" s="0">
        <v>890</v>
      </c>
      <c r="AN148" t="s" s="0">
        <v>413</v>
      </c>
      <c r="AO148" t="s" s="0">
        <v>78</v>
      </c>
      <c r="AP148" t="s" s="0">
        <v>232</v>
      </c>
      <c r="AQ148" t="s" s="0">
        <v>503</v>
      </c>
      <c r="AR148" t="s" s="0">
        <v>504</v>
      </c>
      <c r="AS148" t="s" s="0">
        <v>505</v>
      </c>
      <c r="AT148" t="s" s="0">
        <v>4010</v>
      </c>
      <c r="AU148" t="s" s="0">
        <v>83</v>
      </c>
      <c r="AV148" t="s" s="0">
        <v>83</v>
      </c>
      <c r="AW148" t="s" s="0">
        <v>4011</v>
      </c>
      <c r="AX148" t="s" s="0">
        <v>4012</v>
      </c>
      <c r="AY148" t="s" s="0">
        <v>279</v>
      </c>
      <c r="AZ148" t="s" s="0">
        <v>279</v>
      </c>
      <c r="BA148" t="s" s="0">
        <v>281</v>
      </c>
      <c r="BB148" t="s" s="0">
        <v>83</v>
      </c>
      <c r="BC148" t="s" s="0">
        <v>83</v>
      </c>
      <c r="BD148" t="s" s="0">
        <v>83</v>
      </c>
      <c r="BE148" t="s" s="0">
        <v>83</v>
      </c>
      <c r="BF148" t="s" s="0">
        <v>83</v>
      </c>
      <c r="BG148" t="s" s="0">
        <v>4013</v>
      </c>
      <c r="BH148" t="s" s="0">
        <v>4014</v>
      </c>
      <c r="BI148" t="s" s="0">
        <v>83</v>
      </c>
      <c r="BJ148" t="s" s="0">
        <v>4015</v>
      </c>
      <c r="BK148" t="s" s="293">
        <f>HYPERLINK("http://dx.doi.org/10.1146/annurev-biodatasci-122220-10053","http://dx.doi.org/10.1146/annurev-biodatasci-122220-10053")</f>
        <v>4016</v>
      </c>
      <c r="BL148" t="s" s="0">
        <v>83</v>
      </c>
      <c r="BM148" t="s" s="0">
        <v>83</v>
      </c>
      <c r="BN148" t="s" s="0">
        <v>890</v>
      </c>
      <c r="BO148" t="s" s="0">
        <v>4017</v>
      </c>
      <c r="BP148" t="s" s="0">
        <v>4017</v>
      </c>
      <c r="BQ148" t="s" s="0">
        <v>4018</v>
      </c>
      <c r="BR148" t="s" s="0">
        <v>4019</v>
      </c>
      <c r="BS148" t="s" s="0">
        <v>4020</v>
      </c>
      <c r="BT148" t="s" s="294">
        <f>HYPERLINK("https://www.webofscience.com/wos/woscc/full-record/WOS:000844738900018","View Record in Web of Science")</f>
        <v>126</v>
      </c>
      <c r="BU148" t="s" s="0">
        <v>83</v>
      </c>
      <c r="BV148" t="s" s="0">
        <v>83</v>
      </c>
      <c r="BW148" t="s" s="0">
        <v>83</v>
      </c>
      <c r="BX148" t="s" s="0">
        <v>130</v>
      </c>
    </row>
    <row r="149">
      <c r="A149" t="s" s="0">
        <v>78</v>
      </c>
      <c r="B149" t="s" s="0">
        <v>78</v>
      </c>
      <c r="C149" t="s" s="0">
        <v>115</v>
      </c>
      <c r="D149" t="s" s="0">
        <v>78</v>
      </c>
      <c r="E149" t="s" s="0">
        <v>4021</v>
      </c>
      <c r="F149" t="s" s="0">
        <v>4022</v>
      </c>
      <c r="G149" t="s" s="0">
        <v>4023</v>
      </c>
      <c r="H149" t="s" s="0">
        <v>83</v>
      </c>
      <c r="I149" t="s" s="0">
        <v>174</v>
      </c>
      <c r="J149" t="s" s="0">
        <v>4024</v>
      </c>
      <c r="K149" t="s" s="0">
        <v>4025</v>
      </c>
      <c r="L149" t="s" s="0">
        <v>83</v>
      </c>
      <c r="M149" t="s" s="0">
        <v>83</v>
      </c>
      <c r="N149" t="s" s="0">
        <v>83</v>
      </c>
      <c r="O149" t="s" s="0">
        <v>4026</v>
      </c>
      <c r="P149" t="s" s="0">
        <v>4027</v>
      </c>
      <c r="Q149" t="s" s="0">
        <v>92</v>
      </c>
      <c r="R149" t="s" s="0">
        <v>83</v>
      </c>
      <c r="S149" t="s" s="0">
        <v>83</v>
      </c>
      <c r="T149" t="s" s="0">
        <v>83</v>
      </c>
      <c r="U149" t="s" s="0">
        <v>83</v>
      </c>
      <c r="V149" t="s" s="0">
        <v>4028</v>
      </c>
      <c r="W149" t="s" s="0">
        <v>4029</v>
      </c>
      <c r="X149" t="s" s="0">
        <v>83</v>
      </c>
      <c r="Y149" t="s" s="0">
        <v>83</v>
      </c>
      <c r="Z149" t="s" s="0">
        <v>95</v>
      </c>
      <c r="AA149" t="s" s="0">
        <v>96</v>
      </c>
      <c r="AB149" t="s" s="0">
        <v>83</v>
      </c>
      <c r="AC149" t="s" s="0">
        <v>83</v>
      </c>
      <c r="AD149" t="s" s="0">
        <v>83</v>
      </c>
      <c r="AE149" t="s" s="0">
        <v>83</v>
      </c>
      <c r="AF149" t="s" s="0">
        <v>83</v>
      </c>
      <c r="AG149" t="s" s="0">
        <v>4030</v>
      </c>
      <c r="AH149" t="s" s="0">
        <v>4031</v>
      </c>
      <c r="AI149" t="s" s="0">
        <v>4032</v>
      </c>
      <c r="AJ149" t="s" s="0">
        <v>4033</v>
      </c>
      <c r="AK149" t="s" s="0">
        <v>83</v>
      </c>
      <c r="AL149" t="s" s="0">
        <v>2157</v>
      </c>
      <c r="AM149" t="s" s="0">
        <v>231</v>
      </c>
      <c r="AN149" t="s" s="0">
        <v>231</v>
      </c>
      <c r="AO149" t="s" s="0">
        <v>78</v>
      </c>
      <c r="AP149" t="s" s="0">
        <v>150</v>
      </c>
      <c r="AQ149" t="s" s="0">
        <v>105</v>
      </c>
      <c r="AR149" t="s" s="0">
        <v>106</v>
      </c>
      <c r="AS149" t="s" s="0">
        <v>107</v>
      </c>
      <c r="AT149" t="s" s="0">
        <v>4034</v>
      </c>
      <c r="AU149" t="s" s="0">
        <v>4035</v>
      </c>
      <c r="AV149" t="s" s="0">
        <v>83</v>
      </c>
      <c r="AW149" t="s" s="0">
        <v>4036</v>
      </c>
      <c r="AX149" t="s" s="0">
        <v>4037</v>
      </c>
      <c r="AY149" t="s" s="0">
        <v>412</v>
      </c>
      <c r="AZ149" t="s" s="0">
        <v>412</v>
      </c>
      <c r="BA149" t="s" s="0">
        <v>374</v>
      </c>
      <c r="BB149" t="s" s="0">
        <v>83</v>
      </c>
      <c r="BC149" t="s" s="0">
        <v>83</v>
      </c>
      <c r="BD149" t="s" s="0">
        <v>83</v>
      </c>
      <c r="BE149" t="s" s="0">
        <v>83</v>
      </c>
      <c r="BF149" t="s" s="0">
        <v>83</v>
      </c>
      <c r="BG149" t="s" s="0">
        <v>83</v>
      </c>
      <c r="BH149" t="s" s="0">
        <v>83</v>
      </c>
      <c r="BI149" t="s" s="0">
        <v>4038</v>
      </c>
      <c r="BJ149" t="s" s="0">
        <v>4039</v>
      </c>
      <c r="BK149" t="s" s="295">
        <f>HYPERLINK("http://dx.doi.org/10.1177/17539447241290438","http://dx.doi.org/10.1177/17539447241290438")</f>
        <v>4040</v>
      </c>
      <c r="BL149" t="s" s="0">
        <v>83</v>
      </c>
      <c r="BM149" t="s" s="0">
        <v>83</v>
      </c>
      <c r="BN149" t="s" s="0">
        <v>120</v>
      </c>
      <c r="BO149" t="s" s="0">
        <v>1133</v>
      </c>
      <c r="BP149" t="s" s="0">
        <v>1134</v>
      </c>
      <c r="BQ149" t="s" s="0">
        <v>4041</v>
      </c>
      <c r="BR149" t="s" s="0">
        <v>4042</v>
      </c>
      <c r="BS149" t="s" s="0">
        <v>4043</v>
      </c>
      <c r="BT149" t="s" s="296">
        <f>HYPERLINK("https://www.webofscience.com/wos/woscc/full-record/WOS:001344888300001","View Record in Web of Science")</f>
        <v>126</v>
      </c>
      <c r="BU149" t="s" s="0">
        <v>210</v>
      </c>
      <c r="BV149" t="s" s="0">
        <v>83</v>
      </c>
      <c r="BW149" t="s" s="0">
        <v>83</v>
      </c>
      <c r="BX149" t="s" s="0">
        <v>130</v>
      </c>
    </row>
    <row r="150">
      <c r="A150" t="s" s="0">
        <v>78</v>
      </c>
      <c r="B150" t="s" s="0">
        <v>78</v>
      </c>
      <c r="C150" t="s" s="0">
        <v>78</v>
      </c>
      <c r="D150" t="s" s="0">
        <v>78</v>
      </c>
      <c r="E150" t="s" s="0">
        <v>4044</v>
      </c>
      <c r="F150" t="s" s="0">
        <v>4045</v>
      </c>
      <c r="G150" t="s" s="0">
        <v>4046</v>
      </c>
      <c r="H150" t="s" s="0">
        <v>83</v>
      </c>
      <c r="I150" t="s" s="0">
        <v>84</v>
      </c>
      <c r="J150" t="s" s="0">
        <v>4047</v>
      </c>
      <c r="K150" t="s" s="0">
        <v>4048</v>
      </c>
      <c r="L150" t="s" s="0">
        <v>4049</v>
      </c>
      <c r="M150" t="s" s="0">
        <v>4050</v>
      </c>
      <c r="N150" t="s" s="0">
        <v>4051</v>
      </c>
      <c r="O150" t="s" s="0">
        <v>4052</v>
      </c>
      <c r="P150" t="s" s="0">
        <v>4053</v>
      </c>
      <c r="Q150" t="s" s="0">
        <v>92</v>
      </c>
      <c r="R150" t="s" s="0">
        <v>83</v>
      </c>
      <c r="S150" t="s" s="0">
        <v>83</v>
      </c>
      <c r="T150" t="s" s="0">
        <v>83</v>
      </c>
      <c r="U150" t="s" s="0">
        <v>83</v>
      </c>
      <c r="V150" t="s" s="0">
        <v>4054</v>
      </c>
      <c r="W150" t="s" s="0">
        <v>1235</v>
      </c>
      <c r="X150" t="s" s="0">
        <v>83</v>
      </c>
      <c r="Y150" t="s" s="0">
        <v>83</v>
      </c>
      <c r="Z150" t="s" s="0">
        <v>95</v>
      </c>
      <c r="AA150" t="s" s="0">
        <v>96</v>
      </c>
      <c r="AB150" t="s" s="0">
        <v>83</v>
      </c>
      <c r="AC150" t="s" s="0">
        <v>83</v>
      </c>
      <c r="AD150" t="s" s="0">
        <v>83</v>
      </c>
      <c r="AE150" t="s" s="0">
        <v>83</v>
      </c>
      <c r="AF150" t="s" s="0">
        <v>83</v>
      </c>
      <c r="AG150" t="s" s="0">
        <v>4055</v>
      </c>
      <c r="AH150" t="s" s="0">
        <v>4056</v>
      </c>
      <c r="AI150" t="s" s="0">
        <v>4057</v>
      </c>
      <c r="AJ150" t="s" s="0">
        <v>83</v>
      </c>
      <c r="AK150" t="s" s="0">
        <v>83</v>
      </c>
      <c r="AL150" t="s" s="0">
        <v>2157</v>
      </c>
      <c r="AM150" t="s" s="0">
        <v>78</v>
      </c>
      <c r="AN150" t="s" s="0">
        <v>78</v>
      </c>
      <c r="AO150" t="s" s="0">
        <v>115</v>
      </c>
      <c r="AP150" t="s" s="0">
        <v>115</v>
      </c>
      <c r="AQ150" t="s" s="0">
        <v>830</v>
      </c>
      <c r="AR150" t="s" s="0">
        <v>831</v>
      </c>
      <c r="AS150" t="s" s="0">
        <v>832</v>
      </c>
      <c r="AT150" t="s" s="0">
        <v>83</v>
      </c>
      <c r="AU150" t="s" s="0">
        <v>1240</v>
      </c>
      <c r="AV150" t="s" s="0">
        <v>83</v>
      </c>
      <c r="AW150" t="s" s="0">
        <v>1241</v>
      </c>
      <c r="AX150" t="s" s="0">
        <v>1242</v>
      </c>
      <c r="AY150" t="s" s="0">
        <v>4058</v>
      </c>
      <c r="AZ150" t="s" s="0">
        <v>511</v>
      </c>
      <c r="BA150" t="s" s="0">
        <v>120</v>
      </c>
      <c r="BB150" t="s" s="0">
        <v>83</v>
      </c>
      <c r="BC150" t="s" s="0">
        <v>83</v>
      </c>
      <c r="BD150" t="s" s="0">
        <v>83</v>
      </c>
      <c r="BE150" t="s" s="0">
        <v>83</v>
      </c>
      <c r="BF150" t="s" s="0">
        <v>83</v>
      </c>
      <c r="BG150" t="s" s="0">
        <v>83</v>
      </c>
      <c r="BH150" t="s" s="0">
        <v>83</v>
      </c>
      <c r="BI150" t="s" s="0">
        <v>4059</v>
      </c>
      <c r="BJ150" t="s" s="0">
        <v>4060</v>
      </c>
      <c r="BK150" t="s" s="297">
        <f>HYPERLINK("http://dx.doi.org/10.3389/fmed.2026.1818061","http://dx.doi.org/10.3389/fmed.2026.1818061")</f>
        <v>4061</v>
      </c>
      <c r="BL150" t="s" s="0">
        <v>83</v>
      </c>
      <c r="BM150" t="s" s="0">
        <v>3994</v>
      </c>
      <c r="BN150" t="s" s="0">
        <v>232</v>
      </c>
      <c r="BO150" t="s" s="0">
        <v>669</v>
      </c>
      <c r="BP150" t="s" s="0">
        <v>670</v>
      </c>
      <c r="BQ150" t="s" s="0">
        <v>4062</v>
      </c>
      <c r="BR150" t="s" s="0">
        <v>4063</v>
      </c>
      <c r="BS150" t="s" s="0">
        <v>4064</v>
      </c>
      <c r="BT150" t="s" s="298">
        <f>HYPERLINK("https://www.webofscience.com/wos/woscc/full-record/WOS:001776864100001","View Record in Web of Science")</f>
        <v>126</v>
      </c>
      <c r="BU150" t="s" s="0">
        <v>210</v>
      </c>
      <c r="BV150" t="s" s="0">
        <v>83</v>
      </c>
      <c r="BW150" t="s" s="0">
        <v>83</v>
      </c>
      <c r="BX150" t="s" s="0">
        <v>130</v>
      </c>
    </row>
    <row r="151">
      <c r="A151" t="s" s="0">
        <v>77</v>
      </c>
      <c r="B151" t="s" s="0">
        <v>78</v>
      </c>
      <c r="C151" t="s" s="0">
        <v>516</v>
      </c>
      <c r="D151" t="s" s="0">
        <v>78</v>
      </c>
      <c r="E151" t="s" s="0">
        <v>4065</v>
      </c>
      <c r="F151" t="s" s="0">
        <v>4066</v>
      </c>
      <c r="G151" t="s" s="0">
        <v>4067</v>
      </c>
      <c r="H151" t="s" s="0">
        <v>83</v>
      </c>
      <c r="I151" t="s" s="0">
        <v>84</v>
      </c>
      <c r="J151" t="s" s="0">
        <v>4068</v>
      </c>
      <c r="K151" t="s" s="0">
        <v>4069</v>
      </c>
      <c r="L151" t="s" s="0">
        <v>83</v>
      </c>
      <c r="M151" t="s" s="0">
        <v>83</v>
      </c>
      <c r="N151" t="s" s="0">
        <v>83</v>
      </c>
      <c r="O151" t="s" s="0">
        <v>4070</v>
      </c>
      <c r="P151" t="s" s="0">
        <v>4071</v>
      </c>
      <c r="Q151" t="s" s="0">
        <v>92</v>
      </c>
      <c r="R151" t="s" s="0">
        <v>83</v>
      </c>
      <c r="S151" t="s" s="0">
        <v>83</v>
      </c>
      <c r="T151" t="s" s="0">
        <v>83</v>
      </c>
      <c r="U151" t="s" s="0">
        <v>83</v>
      </c>
      <c r="V151" t="s" s="0">
        <v>4072</v>
      </c>
      <c r="W151" t="s" s="0">
        <v>4073</v>
      </c>
      <c r="X151" t="s" s="0">
        <v>83</v>
      </c>
      <c r="Y151" t="s" s="0">
        <v>83</v>
      </c>
      <c r="Z151" t="s" s="0">
        <v>95</v>
      </c>
      <c r="AA151" t="s" s="0">
        <v>96</v>
      </c>
      <c r="AB151" t="s" s="0">
        <v>83</v>
      </c>
      <c r="AC151" t="s" s="0">
        <v>83</v>
      </c>
      <c r="AD151" t="s" s="0">
        <v>83</v>
      </c>
      <c r="AE151" t="s" s="0">
        <v>83</v>
      </c>
      <c r="AF151" t="s" s="0">
        <v>83</v>
      </c>
      <c r="AG151" t="s" s="0">
        <v>4074</v>
      </c>
      <c r="AH151" t="s" s="0">
        <v>4075</v>
      </c>
      <c r="AI151" t="s" s="0">
        <v>4076</v>
      </c>
      <c r="AJ151" t="s" s="0">
        <v>4077</v>
      </c>
      <c r="AK151" t="s" s="0">
        <v>83</v>
      </c>
      <c r="AL151" t="s" s="0">
        <v>1429</v>
      </c>
      <c r="AM151" t="s" s="0">
        <v>1266</v>
      </c>
      <c r="AN151" t="s" s="0">
        <v>3129</v>
      </c>
      <c r="AO151" t="s" s="0">
        <v>78</v>
      </c>
      <c r="AP151" t="s" s="0">
        <v>516</v>
      </c>
      <c r="AQ151" t="s" s="0">
        <v>339</v>
      </c>
      <c r="AR151" t="s" s="0">
        <v>340</v>
      </c>
      <c r="AS151" t="s" s="0">
        <v>341</v>
      </c>
      <c r="AT151" t="s" s="0">
        <v>4078</v>
      </c>
      <c r="AU151" t="s" s="0">
        <v>4079</v>
      </c>
      <c r="AV151" t="s" s="0">
        <v>83</v>
      </c>
      <c r="AW151" t="s" s="0">
        <v>4080</v>
      </c>
      <c r="AX151" t="s" s="0">
        <v>4081</v>
      </c>
      <c r="AY151" t="s" s="0">
        <v>4082</v>
      </c>
      <c r="AZ151" t="s" s="0">
        <v>1680</v>
      </c>
      <c r="BA151" t="s" s="0">
        <v>890</v>
      </c>
      <c r="BB151" t="s" s="0">
        <v>150</v>
      </c>
      <c r="BC151" t="s" s="0">
        <v>83</v>
      </c>
      <c r="BD151" t="s" s="0">
        <v>83</v>
      </c>
      <c r="BE151" t="s" s="0">
        <v>83</v>
      </c>
      <c r="BF151" t="s" s="0">
        <v>83</v>
      </c>
      <c r="BG151" t="s" s="0">
        <v>4083</v>
      </c>
      <c r="BH151" t="s" s="0">
        <v>4084</v>
      </c>
      <c r="BI151" t="s" s="0">
        <v>83</v>
      </c>
      <c r="BJ151" t="s" s="0">
        <v>4085</v>
      </c>
      <c r="BK151" t="s" s="299">
        <f>HYPERLINK("http://dx.doi.org/10.1097/MIB.0000000000000184","http://dx.doi.org/10.1097/MIB.0000000000000184")</f>
        <v>4086</v>
      </c>
      <c r="BL151" t="s" s="0">
        <v>83</v>
      </c>
      <c r="BM151" t="s" s="0">
        <v>83</v>
      </c>
      <c r="BN151" t="s" s="0">
        <v>165</v>
      </c>
      <c r="BO151" t="s" s="0">
        <v>926</v>
      </c>
      <c r="BP151" t="s" s="0">
        <v>926</v>
      </c>
      <c r="BQ151" t="s" s="0">
        <v>4087</v>
      </c>
      <c r="BR151" t="s" s="0">
        <v>4088</v>
      </c>
      <c r="BS151" t="s" s="0">
        <v>4089</v>
      </c>
      <c r="BT151" t="s" s="300">
        <f>HYPERLINK("https://www.webofscience.com/wos/woscc/full-record/WOS:000348906200024","View Record in Web of Science")</f>
        <v>126</v>
      </c>
      <c r="BU151" t="s" s="0">
        <v>127</v>
      </c>
      <c r="BV151" t="s" s="0">
        <v>83</v>
      </c>
      <c r="BW151" t="s" s="0">
        <v>83</v>
      </c>
      <c r="BX151" t="s" s="0">
        <v>130</v>
      </c>
    </row>
    <row r="152">
      <c r="A152" t="s" s="0">
        <v>150</v>
      </c>
      <c r="B152" t="s" s="0">
        <v>78</v>
      </c>
      <c r="C152" t="s" s="0">
        <v>231</v>
      </c>
      <c r="D152" t="s" s="0">
        <v>78</v>
      </c>
      <c r="E152" t="s" s="0">
        <v>4090</v>
      </c>
      <c r="F152" t="s" s="0">
        <v>4091</v>
      </c>
      <c r="G152" t="s" s="0">
        <v>4092</v>
      </c>
      <c r="H152" t="s" s="0">
        <v>83</v>
      </c>
      <c r="I152" t="s" s="0">
        <v>84</v>
      </c>
      <c r="J152" t="s" s="0">
        <v>4093</v>
      </c>
      <c r="K152" t="s" s="0">
        <v>4094</v>
      </c>
      <c r="L152" t="s" s="0">
        <v>4095</v>
      </c>
      <c r="M152" t="s" s="0">
        <v>4096</v>
      </c>
      <c r="N152" t="s" s="0">
        <v>83</v>
      </c>
      <c r="O152" t="s" s="0">
        <v>4097</v>
      </c>
      <c r="P152" t="s" s="0">
        <v>4098</v>
      </c>
      <c r="Q152" t="s" s="0">
        <v>92</v>
      </c>
      <c r="R152" t="s" s="0">
        <v>83</v>
      </c>
      <c r="S152" t="s" s="0">
        <v>83</v>
      </c>
      <c r="T152" t="s" s="0">
        <v>83</v>
      </c>
      <c r="U152" t="s" s="0">
        <v>83</v>
      </c>
      <c r="V152" t="s" s="0">
        <v>4099</v>
      </c>
      <c r="W152" t="s" s="0">
        <v>4100</v>
      </c>
      <c r="X152" t="s" s="0">
        <v>83</v>
      </c>
      <c r="Y152" t="s" s="0">
        <v>83</v>
      </c>
      <c r="Z152" t="s" s="0">
        <v>95</v>
      </c>
      <c r="AA152" t="s" s="0">
        <v>96</v>
      </c>
      <c r="AB152" t="s" s="0">
        <v>83</v>
      </c>
      <c r="AC152" t="s" s="0">
        <v>83</v>
      </c>
      <c r="AD152" t="s" s="0">
        <v>83</v>
      </c>
      <c r="AE152" t="s" s="0">
        <v>83</v>
      </c>
      <c r="AF152" t="s" s="0">
        <v>83</v>
      </c>
      <c r="AG152" t="s" s="0">
        <v>83</v>
      </c>
      <c r="AH152" t="s" s="0">
        <v>4101</v>
      </c>
      <c r="AI152" t="s" s="0">
        <v>4102</v>
      </c>
      <c r="AJ152" t="s" s="0">
        <v>4103</v>
      </c>
      <c r="AK152" t="s" s="0">
        <v>83</v>
      </c>
      <c r="AL152" t="s" s="0">
        <v>1395</v>
      </c>
      <c r="AM152" t="s" s="0">
        <v>883</v>
      </c>
      <c r="AN152" t="s" s="0">
        <v>1747</v>
      </c>
      <c r="AO152" t="s" s="0">
        <v>78</v>
      </c>
      <c r="AP152" t="s" s="0">
        <v>545</v>
      </c>
      <c r="AQ152" t="s" s="0">
        <v>151</v>
      </c>
      <c r="AR152" t="s" s="0">
        <v>152</v>
      </c>
      <c r="AS152" t="s" s="0">
        <v>153</v>
      </c>
      <c r="AT152" t="s" s="0">
        <v>4104</v>
      </c>
      <c r="AU152" t="s" s="0">
        <v>4105</v>
      </c>
      <c r="AV152" t="s" s="0">
        <v>83</v>
      </c>
      <c r="AW152" t="s" s="0">
        <v>4100</v>
      </c>
      <c r="AX152" t="s" s="0">
        <v>4100</v>
      </c>
      <c r="AY152" t="s" s="0">
        <v>3543</v>
      </c>
      <c r="AZ152" t="s" s="0">
        <v>637</v>
      </c>
      <c r="BA152" t="s" s="0">
        <v>384</v>
      </c>
      <c r="BB152" t="s" s="0">
        <v>165</v>
      </c>
      <c r="BC152" t="s" s="0">
        <v>83</v>
      </c>
      <c r="BD152" t="s" s="0">
        <v>83</v>
      </c>
      <c r="BE152" t="s" s="0">
        <v>83</v>
      </c>
      <c r="BF152" t="s" s="0">
        <v>83</v>
      </c>
      <c r="BG152" t="s" s="0">
        <v>4106</v>
      </c>
      <c r="BH152" t="s" s="0">
        <v>4107</v>
      </c>
      <c r="BI152" t="s" s="0">
        <v>83</v>
      </c>
      <c r="BJ152" t="s" s="0">
        <v>4108</v>
      </c>
      <c r="BK152" t="s" s="301">
        <f>HYPERLINK("http://dx.doi.org/10.1016/j.hpb.2021.05.002","http://dx.doi.org/10.1016/j.hpb.2021.05.002")</f>
        <v>4109</v>
      </c>
      <c r="BL152" t="s" s="0">
        <v>83</v>
      </c>
      <c r="BM152" t="s" s="0">
        <v>889</v>
      </c>
      <c r="BN152" t="s" s="0">
        <v>211</v>
      </c>
      <c r="BO152" t="s" s="0">
        <v>3522</v>
      </c>
      <c r="BP152" t="s" s="0">
        <v>3522</v>
      </c>
      <c r="BQ152" t="s" s="0">
        <v>4110</v>
      </c>
      <c r="BR152" t="s" s="0">
        <v>4111</v>
      </c>
      <c r="BS152" t="s" s="0">
        <v>4112</v>
      </c>
      <c r="BT152" t="s" s="302">
        <f>HYPERLINK("https://www.webofscience.com/wos/woscc/full-record/WOS:000706500700002","View Record in Web of Science")</f>
        <v>126</v>
      </c>
      <c r="BU152" t="s" s="0">
        <v>357</v>
      </c>
      <c r="BV152" t="s" s="0">
        <v>83</v>
      </c>
      <c r="BW152" t="s" s="0">
        <v>83</v>
      </c>
      <c r="BX152" t="s" s="0">
        <v>130</v>
      </c>
    </row>
    <row r="153">
      <c r="A153" t="s" s="0">
        <v>78</v>
      </c>
      <c r="B153" t="s" s="0">
        <v>78</v>
      </c>
      <c r="C153" t="s" s="0">
        <v>115</v>
      </c>
      <c r="D153" t="s" s="0">
        <v>78</v>
      </c>
      <c r="E153" t="s" s="0">
        <v>4113</v>
      </c>
      <c r="F153" t="s" s="0">
        <v>4114</v>
      </c>
      <c r="G153" t="s" s="0">
        <v>4115</v>
      </c>
      <c r="H153" t="s" s="0">
        <v>83</v>
      </c>
      <c r="I153" t="s" s="0">
        <v>84</v>
      </c>
      <c r="J153" t="s" s="0">
        <v>4116</v>
      </c>
      <c r="K153" t="s" s="0">
        <v>4117</v>
      </c>
      <c r="L153" t="s" s="0">
        <v>4118</v>
      </c>
      <c r="M153" t="s" s="0">
        <v>4119</v>
      </c>
      <c r="N153" t="s" s="0">
        <v>4120</v>
      </c>
      <c r="O153" t="s" s="0">
        <v>4121</v>
      </c>
      <c r="P153" t="s" s="0">
        <v>4122</v>
      </c>
      <c r="Q153" t="s" s="0">
        <v>92</v>
      </c>
      <c r="R153" t="s" s="0">
        <v>83</v>
      </c>
      <c r="S153" t="s" s="0">
        <v>83</v>
      </c>
      <c r="T153" t="s" s="0">
        <v>83</v>
      </c>
      <c r="U153" t="s" s="0">
        <v>83</v>
      </c>
      <c r="V153" t="s" s="0">
        <v>4123</v>
      </c>
      <c r="W153" t="s" s="0">
        <v>4124</v>
      </c>
      <c r="X153" t="s" s="0">
        <v>83</v>
      </c>
      <c r="Y153" t="s" s="0">
        <v>83</v>
      </c>
      <c r="Z153" t="s" s="0">
        <v>95</v>
      </c>
      <c r="AA153" t="s" s="0">
        <v>96</v>
      </c>
      <c r="AB153" t="s" s="0">
        <v>83</v>
      </c>
      <c r="AC153" t="s" s="0">
        <v>83</v>
      </c>
      <c r="AD153" t="s" s="0">
        <v>83</v>
      </c>
      <c r="AE153" t="s" s="0">
        <v>83</v>
      </c>
      <c r="AF153" t="s" s="0">
        <v>83</v>
      </c>
      <c r="AG153" t="s" s="0">
        <v>4125</v>
      </c>
      <c r="AH153" t="s" s="0">
        <v>4126</v>
      </c>
      <c r="AI153" t="s" s="0">
        <v>4127</v>
      </c>
      <c r="AJ153" t="s" s="0">
        <v>83</v>
      </c>
      <c r="AK153" t="s" s="0">
        <v>83</v>
      </c>
      <c r="AL153" t="s" s="0">
        <v>3002</v>
      </c>
      <c r="AM153" t="s" s="0">
        <v>232</v>
      </c>
      <c r="AN153" t="s" s="0">
        <v>120</v>
      </c>
      <c r="AO153" t="s" s="0">
        <v>78</v>
      </c>
      <c r="AP153" t="s" s="0">
        <v>269</v>
      </c>
      <c r="AQ153" t="s" s="0">
        <v>2103</v>
      </c>
      <c r="AR153" t="s" s="0">
        <v>2104</v>
      </c>
      <c r="AS153" t="s" s="0">
        <v>2105</v>
      </c>
      <c r="AT153" t="s" s="0">
        <v>4128</v>
      </c>
      <c r="AU153" t="s" s="0">
        <v>4129</v>
      </c>
      <c r="AV153" t="s" s="0">
        <v>83</v>
      </c>
      <c r="AW153" t="s" s="0">
        <v>4130</v>
      </c>
      <c r="AX153" t="s" s="0">
        <v>4131</v>
      </c>
      <c r="AY153" t="s" s="0">
        <v>889</v>
      </c>
      <c r="AZ153" t="s" s="0">
        <v>637</v>
      </c>
      <c r="BA153" t="s" s="0">
        <v>165</v>
      </c>
      <c r="BB153" t="s" s="0">
        <v>377</v>
      </c>
      <c r="BC153" t="s" s="0">
        <v>83</v>
      </c>
      <c r="BD153" t="s" s="0">
        <v>83</v>
      </c>
      <c r="BE153" t="s" s="0">
        <v>83</v>
      </c>
      <c r="BF153" t="s" s="0">
        <v>83</v>
      </c>
      <c r="BG153" t="s" s="0">
        <v>83</v>
      </c>
      <c r="BH153" t="s" s="0">
        <v>83</v>
      </c>
      <c r="BI153" t="s" s="0">
        <v>4132</v>
      </c>
      <c r="BJ153" t="s" s="0">
        <v>4133</v>
      </c>
      <c r="BK153" t="s" s="303">
        <f>HYPERLINK("http://dx.doi.org/10.21037/atm-21-4733","http://dx.doi.org/10.21037/atm-21-4733")</f>
        <v>4134</v>
      </c>
      <c r="BL153" t="s" s="0">
        <v>83</v>
      </c>
      <c r="BM153" t="s" s="0">
        <v>889</v>
      </c>
      <c r="BN153" t="s" s="0">
        <v>377</v>
      </c>
      <c r="BO153" t="s" s="0">
        <v>4135</v>
      </c>
      <c r="BP153" t="s" s="0">
        <v>4136</v>
      </c>
      <c r="BQ153" t="s" s="0">
        <v>4137</v>
      </c>
      <c r="BR153" t="s" s="0">
        <v>4138</v>
      </c>
      <c r="BS153" t="s" s="0">
        <v>4139</v>
      </c>
      <c r="BT153" t="s" s="304">
        <f>HYPERLINK("https://www.webofscience.com/wos/woscc/full-record/WOS:000710740600001","View Record in Web of Science")</f>
        <v>126</v>
      </c>
      <c r="BU153" t="s" s="0">
        <v>210</v>
      </c>
      <c r="BV153" t="s" s="0">
        <v>83</v>
      </c>
      <c r="BW153" t="s" s="0">
        <v>83</v>
      </c>
      <c r="BX153" t="s" s="0">
        <v>130</v>
      </c>
    </row>
    <row r="154">
      <c r="A154" t="s" s="0">
        <v>148</v>
      </c>
      <c r="B154" t="s" s="0">
        <v>78</v>
      </c>
      <c r="C154" t="s" s="0">
        <v>1873</v>
      </c>
      <c r="D154" t="s" s="0">
        <v>78</v>
      </c>
      <c r="E154" t="s" s="0">
        <v>4140</v>
      </c>
      <c r="F154" t="s" s="0">
        <v>4141</v>
      </c>
      <c r="G154" t="s" s="0">
        <v>4142</v>
      </c>
      <c r="H154" t="s" s="0">
        <v>83</v>
      </c>
      <c r="I154" t="s" s="0">
        <v>84</v>
      </c>
      <c r="J154" t="s" s="0">
        <v>4143</v>
      </c>
      <c r="K154" t="s" s="0">
        <v>4144</v>
      </c>
      <c r="L154" t="s" s="0">
        <v>83</v>
      </c>
      <c r="M154" t="s" s="0">
        <v>83</v>
      </c>
      <c r="N154" t="s" s="0">
        <v>83</v>
      </c>
      <c r="O154" t="s" s="0">
        <v>4145</v>
      </c>
      <c r="P154" t="s" s="0">
        <v>83</v>
      </c>
      <c r="Q154" t="s" s="0">
        <v>92</v>
      </c>
      <c r="R154" t="s" s="0">
        <v>83</v>
      </c>
      <c r="S154" t="s" s="0">
        <v>83</v>
      </c>
      <c r="T154" t="s" s="0">
        <v>83</v>
      </c>
      <c r="U154" t="s" s="0">
        <v>83</v>
      </c>
      <c r="V154" t="s" s="0">
        <v>4146</v>
      </c>
      <c r="W154" t="s" s="0">
        <v>4147</v>
      </c>
      <c r="X154" t="s" s="0">
        <v>83</v>
      </c>
      <c r="Y154" t="s" s="0">
        <v>83</v>
      </c>
      <c r="Z154" t="s" s="0">
        <v>95</v>
      </c>
      <c r="AA154" t="s" s="0">
        <v>96</v>
      </c>
      <c r="AB154" t="s" s="0">
        <v>83</v>
      </c>
      <c r="AC154" t="s" s="0">
        <v>83</v>
      </c>
      <c r="AD154" t="s" s="0">
        <v>83</v>
      </c>
      <c r="AE154" t="s" s="0">
        <v>83</v>
      </c>
      <c r="AF154" t="s" s="0">
        <v>83</v>
      </c>
      <c r="AG154" t="s" s="0">
        <v>4148</v>
      </c>
      <c r="AH154" t="s" s="0">
        <v>4149</v>
      </c>
      <c r="AI154" t="s" s="0">
        <v>4150</v>
      </c>
      <c r="AJ154" t="s" s="0">
        <v>4151</v>
      </c>
      <c r="AK154" t="s" s="0">
        <v>83</v>
      </c>
      <c r="AL154" t="s" s="0">
        <v>4152</v>
      </c>
      <c r="AM154" t="s" s="0">
        <v>3361</v>
      </c>
      <c r="AN154" t="s" s="0">
        <v>4153</v>
      </c>
      <c r="AO154" t="s" s="0">
        <v>78</v>
      </c>
      <c r="AP154" t="s" s="0">
        <v>358</v>
      </c>
      <c r="AQ154" t="s" s="0">
        <v>4154</v>
      </c>
      <c r="AR154" t="s" s="0">
        <v>4155</v>
      </c>
      <c r="AS154" t="s" s="0">
        <v>4156</v>
      </c>
      <c r="AT154" t="s" s="0">
        <v>4157</v>
      </c>
      <c r="AU154" t="s" s="0">
        <v>4158</v>
      </c>
      <c r="AV154" t="s" s="0">
        <v>83</v>
      </c>
      <c r="AW154" t="s" s="0">
        <v>4159</v>
      </c>
      <c r="AX154" t="s" s="0">
        <v>4160</v>
      </c>
      <c r="AY154" t="s" s="0">
        <v>3436</v>
      </c>
      <c r="AZ154" t="s" s="0">
        <v>785</v>
      </c>
      <c r="BA154" t="s" s="0">
        <v>417</v>
      </c>
      <c r="BB154" t="s" s="0">
        <v>77</v>
      </c>
      <c r="BC154" t="s" s="0">
        <v>83</v>
      </c>
      <c r="BD154" t="s" s="0">
        <v>83</v>
      </c>
      <c r="BE154" t="s" s="0">
        <v>83</v>
      </c>
      <c r="BF154" t="s" s="0">
        <v>83</v>
      </c>
      <c r="BG154" t="s" s="0">
        <v>3716</v>
      </c>
      <c r="BH154" t="s" s="0">
        <v>4161</v>
      </c>
      <c r="BI154" t="s" s="0">
        <v>83</v>
      </c>
      <c r="BJ154" t="s" s="0">
        <v>4162</v>
      </c>
      <c r="BK154" t="s" s="305">
        <f>HYPERLINK("http://dx.doi.org/10.4103/atm.ATM_110_19","http://dx.doi.org/10.4103/atm.ATM_110_19")</f>
        <v>4163</v>
      </c>
      <c r="BL154" t="s" s="0">
        <v>83</v>
      </c>
      <c r="BM154" t="s" s="0">
        <v>83</v>
      </c>
      <c r="BN154" t="s" s="0">
        <v>120</v>
      </c>
      <c r="BO154" t="s" s="0">
        <v>4164</v>
      </c>
      <c r="BP154" t="s" s="0">
        <v>4165</v>
      </c>
      <c r="BQ154" t="s" s="0">
        <v>4166</v>
      </c>
      <c r="BR154" t="s" s="0">
        <v>4167</v>
      </c>
      <c r="BS154" t="s" s="0">
        <v>4168</v>
      </c>
      <c r="BT154" t="s" s="306">
        <f>HYPERLINK("https://www.webofscience.com/wos/woscc/full-record/WOS:000501816700002","View Record in Web of Science")</f>
        <v>126</v>
      </c>
      <c r="BU154" t="s" s="0">
        <v>210</v>
      </c>
      <c r="BV154" t="s" s="0">
        <v>83</v>
      </c>
      <c r="BW154" t="s" s="0">
        <v>83</v>
      </c>
      <c r="BX154" t="s" s="0">
        <v>130</v>
      </c>
    </row>
    <row r="155">
      <c r="A155" t="s" s="0">
        <v>150</v>
      </c>
      <c r="B155" t="s" s="0">
        <v>78</v>
      </c>
      <c r="C155" t="s" s="0">
        <v>231</v>
      </c>
      <c r="D155" t="s" s="0">
        <v>78</v>
      </c>
      <c r="E155" t="s" s="0">
        <v>4169</v>
      </c>
      <c r="F155" t="s" s="0">
        <v>4170</v>
      </c>
      <c r="G155" t="s" s="0">
        <v>4171</v>
      </c>
      <c r="H155" t="s" s="0">
        <v>83</v>
      </c>
      <c r="I155" t="s" s="0">
        <v>84</v>
      </c>
      <c r="J155" t="s" s="0">
        <v>4172</v>
      </c>
      <c r="K155" t="s" s="0">
        <v>4173</v>
      </c>
      <c r="L155" t="s" s="0">
        <v>4174</v>
      </c>
      <c r="M155" t="s" s="0">
        <v>4175</v>
      </c>
      <c r="N155" t="s" s="0">
        <v>4176</v>
      </c>
      <c r="O155" t="s" s="0">
        <v>4177</v>
      </c>
      <c r="P155" t="s" s="0">
        <v>4178</v>
      </c>
      <c r="Q155" t="s" s="0">
        <v>92</v>
      </c>
      <c r="R155" t="s" s="0">
        <v>83</v>
      </c>
      <c r="S155" t="s" s="0">
        <v>83</v>
      </c>
      <c r="T155" t="s" s="0">
        <v>83</v>
      </c>
      <c r="U155" t="s" s="0">
        <v>83</v>
      </c>
      <c r="V155" t="s" s="0">
        <v>4179</v>
      </c>
      <c r="W155" t="s" s="0">
        <v>4180</v>
      </c>
      <c r="X155" t="s" s="0">
        <v>83</v>
      </c>
      <c r="Y155" t="s" s="0">
        <v>83</v>
      </c>
      <c r="Z155" t="s" s="0">
        <v>95</v>
      </c>
      <c r="AA155" t="s" s="0">
        <v>96</v>
      </c>
      <c r="AB155" t="s" s="0">
        <v>83</v>
      </c>
      <c r="AC155" t="s" s="0">
        <v>83</v>
      </c>
      <c r="AD155" t="s" s="0">
        <v>83</v>
      </c>
      <c r="AE155" t="s" s="0">
        <v>83</v>
      </c>
      <c r="AF155" t="s" s="0">
        <v>83</v>
      </c>
      <c r="AG155" t="s" s="0">
        <v>4181</v>
      </c>
      <c r="AH155" t="s" s="0">
        <v>4182</v>
      </c>
      <c r="AI155" t="s" s="0">
        <v>4183</v>
      </c>
      <c r="AJ155" t="s" s="0">
        <v>4184</v>
      </c>
      <c r="AK155" t="s" s="0">
        <v>83</v>
      </c>
      <c r="AL155" t="s" s="0">
        <v>1429</v>
      </c>
      <c r="AM155" t="s" s="0">
        <v>417</v>
      </c>
      <c r="AN155" t="s" s="0">
        <v>269</v>
      </c>
      <c r="AO155" t="s" s="0">
        <v>78</v>
      </c>
      <c r="AP155" t="s" s="0">
        <v>310</v>
      </c>
      <c r="AQ155" t="s" s="0">
        <v>3682</v>
      </c>
      <c r="AR155" t="s" s="0">
        <v>3683</v>
      </c>
      <c r="AS155" t="s" s="0">
        <v>3684</v>
      </c>
      <c r="AT155" t="s" s="0">
        <v>4185</v>
      </c>
      <c r="AU155" t="s" s="0">
        <v>4186</v>
      </c>
      <c r="AV155" t="s" s="0">
        <v>83</v>
      </c>
      <c r="AW155" t="s" s="0">
        <v>4187</v>
      </c>
      <c r="AX155" t="s" s="0">
        <v>4188</v>
      </c>
      <c r="AY155" t="s" s="0">
        <v>4189</v>
      </c>
      <c r="AZ155" t="s" s="0">
        <v>637</v>
      </c>
      <c r="BA155" t="s" s="0">
        <v>890</v>
      </c>
      <c r="BB155" t="s" s="0">
        <v>281</v>
      </c>
      <c r="BC155" t="s" s="0">
        <v>83</v>
      </c>
      <c r="BD155" t="s" s="0">
        <v>83</v>
      </c>
      <c r="BE155" t="s" s="0">
        <v>83</v>
      </c>
      <c r="BF155" t="s" s="0">
        <v>83</v>
      </c>
      <c r="BG155" t="s" s="0">
        <v>4190</v>
      </c>
      <c r="BH155" t="s" s="0">
        <v>4191</v>
      </c>
      <c r="BI155" t="s" s="0">
        <v>83</v>
      </c>
      <c r="BJ155" t="s" s="0">
        <v>4192</v>
      </c>
      <c r="BK155" t="s" s="307">
        <f>HYPERLINK("http://dx.doi.org/10.1080/14737159.2021.1917384","http://dx.doi.org/10.1080/14737159.2021.1917384")</f>
        <v>4193</v>
      </c>
      <c r="BL155" t="s" s="0">
        <v>83</v>
      </c>
      <c r="BM155" t="s" s="0">
        <v>3521</v>
      </c>
      <c r="BN155" t="s" s="0">
        <v>211</v>
      </c>
      <c r="BO155" t="s" s="0">
        <v>1685</v>
      </c>
      <c r="BP155" t="s" s="0">
        <v>1685</v>
      </c>
      <c r="BQ155" t="s" s="0">
        <v>4194</v>
      </c>
      <c r="BR155" t="s" s="0">
        <v>4195</v>
      </c>
      <c r="BS155" t="s" s="0">
        <v>4196</v>
      </c>
      <c r="BT155" t="s" s="308">
        <f>HYPERLINK("https://www.webofscience.com/wos/woscc/full-record/WOS:000641516900001","View Record in Web of Science")</f>
        <v>126</v>
      </c>
      <c r="BU155" t="s" s="0">
        <v>83</v>
      </c>
      <c r="BV155" t="s" s="0">
        <v>83</v>
      </c>
      <c r="BW155" t="s" s="0">
        <v>83</v>
      </c>
      <c r="BX155" t="s" s="0">
        <v>130</v>
      </c>
    </row>
    <row r="156">
      <c r="A156" t="s" s="0">
        <v>78</v>
      </c>
      <c r="B156" t="s" s="0">
        <v>78</v>
      </c>
      <c r="C156" t="s" s="0">
        <v>149</v>
      </c>
      <c r="D156" t="s" s="0">
        <v>78</v>
      </c>
      <c r="E156" t="s" s="0">
        <v>4197</v>
      </c>
      <c r="F156" t="s" s="0">
        <v>4198</v>
      </c>
      <c r="G156" t="s" s="0">
        <v>4199</v>
      </c>
      <c r="H156" t="s" s="0">
        <v>83</v>
      </c>
      <c r="I156" t="s" s="0">
        <v>84</v>
      </c>
      <c r="J156" t="s" s="0">
        <v>4200</v>
      </c>
      <c r="K156" t="s" s="0">
        <v>4201</v>
      </c>
      <c r="L156" t="s" s="0">
        <v>83</v>
      </c>
      <c r="M156" t="s" s="0">
        <v>83</v>
      </c>
      <c r="N156" t="s" s="0">
        <v>83</v>
      </c>
      <c r="O156" t="s" s="0">
        <v>4202</v>
      </c>
      <c r="P156" t="s" s="0">
        <v>4203</v>
      </c>
      <c r="Q156" t="s" s="0">
        <v>92</v>
      </c>
      <c r="R156" t="s" s="0">
        <v>83</v>
      </c>
      <c r="S156" t="s" s="0">
        <v>83</v>
      </c>
      <c r="T156" t="s" s="0">
        <v>83</v>
      </c>
      <c r="U156" t="s" s="0">
        <v>83</v>
      </c>
      <c r="V156" t="s" s="0">
        <v>4204</v>
      </c>
      <c r="W156" t="s" s="0">
        <v>4205</v>
      </c>
      <c r="X156" t="s" s="0">
        <v>83</v>
      </c>
      <c r="Y156" t="s" s="0">
        <v>83</v>
      </c>
      <c r="Z156" t="s" s="0">
        <v>95</v>
      </c>
      <c r="AA156" t="s" s="0">
        <v>96</v>
      </c>
      <c r="AB156" t="s" s="0">
        <v>83</v>
      </c>
      <c r="AC156" t="s" s="0">
        <v>83</v>
      </c>
      <c r="AD156" t="s" s="0">
        <v>83</v>
      </c>
      <c r="AE156" t="s" s="0">
        <v>83</v>
      </c>
      <c r="AF156" t="s" s="0">
        <v>83</v>
      </c>
      <c r="AG156" t="s" s="0">
        <v>4206</v>
      </c>
      <c r="AH156" t="s" s="0">
        <v>4207</v>
      </c>
      <c r="AI156" t="s" s="0">
        <v>83</v>
      </c>
      <c r="AJ156" t="s" s="0">
        <v>83</v>
      </c>
      <c r="AK156" t="s" s="0">
        <v>83</v>
      </c>
      <c r="AL156" t="s" s="0">
        <v>882</v>
      </c>
      <c r="AM156" t="s" s="0">
        <v>890</v>
      </c>
      <c r="AN156" t="s" s="0">
        <v>384</v>
      </c>
      <c r="AO156" t="s" s="0">
        <v>78</v>
      </c>
      <c r="AP156" t="s" s="0">
        <v>310</v>
      </c>
      <c r="AQ156" t="s" s="0">
        <v>1090</v>
      </c>
      <c r="AR156" t="s" s="0">
        <v>1091</v>
      </c>
      <c r="AS156" t="s" s="0">
        <v>1092</v>
      </c>
      <c r="AT156" t="s" s="0">
        <v>4208</v>
      </c>
      <c r="AU156" t="s" s="0">
        <v>4209</v>
      </c>
      <c r="AV156" t="s" s="0">
        <v>83</v>
      </c>
      <c r="AW156" t="s" s="0">
        <v>4210</v>
      </c>
      <c r="AX156" t="s" s="0">
        <v>4211</v>
      </c>
      <c r="AY156" t="s" s="0">
        <v>3715</v>
      </c>
      <c r="AZ156" t="s" s="0">
        <v>200</v>
      </c>
      <c r="BA156" t="s" s="0">
        <v>695</v>
      </c>
      <c r="BB156" t="s" s="0">
        <v>281</v>
      </c>
      <c r="BC156" t="s" s="0">
        <v>83</v>
      </c>
      <c r="BD156" t="s" s="0">
        <v>83</v>
      </c>
      <c r="BE156" t="s" s="0">
        <v>83</v>
      </c>
      <c r="BF156" t="s" s="0">
        <v>83</v>
      </c>
      <c r="BG156" t="s" s="0">
        <v>4212</v>
      </c>
      <c r="BH156" t="s" s="0">
        <v>4213</v>
      </c>
      <c r="BI156" t="s" s="0">
        <v>83</v>
      </c>
      <c r="BJ156" t="s" s="0">
        <v>4214</v>
      </c>
      <c r="BK156" t="s" s="309">
        <f>HYPERLINK("http://dx.doi.org/10.1053/j.ajkd.2015.11.007","http://dx.doi.org/10.1053/j.ajkd.2015.11.007")</f>
        <v>4215</v>
      </c>
      <c r="BL156" t="s" s="0">
        <v>83</v>
      </c>
      <c r="BM156" t="s" s="0">
        <v>83</v>
      </c>
      <c r="BN156" t="s" s="0">
        <v>149</v>
      </c>
      <c r="BO156" t="s" s="0">
        <v>4216</v>
      </c>
      <c r="BP156" t="s" s="0">
        <v>4216</v>
      </c>
      <c r="BQ156" t="s" s="0">
        <v>4217</v>
      </c>
      <c r="BR156" t="s" s="0">
        <v>4218</v>
      </c>
      <c r="BS156" t="s" s="0">
        <v>4219</v>
      </c>
      <c r="BT156" t="s" s="310">
        <f>HYPERLINK("https://www.webofscience.com/wos/woscc/full-record/WOS:000374849400417","View Record in Web of Science")</f>
        <v>126</v>
      </c>
      <c r="BU156" t="s" s="0">
        <v>83</v>
      </c>
      <c r="BV156" t="s" s="0">
        <v>83</v>
      </c>
      <c r="BW156" t="s" s="0">
        <v>83</v>
      </c>
      <c r="BX156" t="s" s="0">
        <v>130</v>
      </c>
    </row>
    <row r="157">
      <c r="A157" t="s" s="0">
        <v>78</v>
      </c>
      <c r="B157" t="s" s="0">
        <v>78</v>
      </c>
      <c r="C157" t="s" s="0">
        <v>150</v>
      </c>
      <c r="D157" t="s" s="0">
        <v>78</v>
      </c>
      <c r="E157" t="s" s="0">
        <v>4220</v>
      </c>
      <c r="F157" t="s" s="0">
        <v>4221</v>
      </c>
      <c r="G157" t="s" s="0">
        <v>4222</v>
      </c>
      <c r="H157" t="s" s="0">
        <v>83</v>
      </c>
      <c r="I157" t="s" s="0">
        <v>174</v>
      </c>
      <c r="J157" t="s" s="0">
        <v>4223</v>
      </c>
      <c r="K157" t="s" s="0">
        <v>4224</v>
      </c>
      <c r="L157" t="s" s="0">
        <v>4225</v>
      </c>
      <c r="M157" t="s" s="0">
        <v>4225</v>
      </c>
      <c r="N157" t="s" s="0">
        <v>4226</v>
      </c>
      <c r="O157" t="s" s="0">
        <v>4227</v>
      </c>
      <c r="P157" t="s" s="0">
        <v>4228</v>
      </c>
      <c r="Q157" t="s" s="0">
        <v>92</v>
      </c>
      <c r="R157" t="s" s="0">
        <v>83</v>
      </c>
      <c r="S157" t="s" s="0">
        <v>83</v>
      </c>
      <c r="T157" t="s" s="0">
        <v>83</v>
      </c>
      <c r="U157" t="s" s="0">
        <v>83</v>
      </c>
      <c r="V157" t="s" s="0">
        <v>4229</v>
      </c>
      <c r="W157" t="s" s="0">
        <v>4230</v>
      </c>
      <c r="X157" t="s" s="0">
        <v>83</v>
      </c>
      <c r="Y157" t="s" s="0">
        <v>83</v>
      </c>
      <c r="Z157" t="s" s="0">
        <v>95</v>
      </c>
      <c r="AA157" t="s" s="0">
        <v>96</v>
      </c>
      <c r="AB157" t="s" s="0">
        <v>83</v>
      </c>
      <c r="AC157" t="s" s="0">
        <v>83</v>
      </c>
      <c r="AD157" t="s" s="0">
        <v>83</v>
      </c>
      <c r="AE157" t="s" s="0">
        <v>83</v>
      </c>
      <c r="AF157" t="s" s="0">
        <v>83</v>
      </c>
      <c r="AG157" t="s" s="0">
        <v>4231</v>
      </c>
      <c r="AH157" t="s" s="0">
        <v>4232</v>
      </c>
      <c r="AI157" t="s" s="0">
        <v>4233</v>
      </c>
      <c r="AJ157" t="s" s="0">
        <v>4234</v>
      </c>
      <c r="AK157" t="s" s="0">
        <v>83</v>
      </c>
      <c r="AL157" t="s" s="0">
        <v>2729</v>
      </c>
      <c r="AM157" t="s" s="0">
        <v>545</v>
      </c>
      <c r="AN157" t="s" s="0">
        <v>545</v>
      </c>
      <c r="AO157" t="s" s="0">
        <v>78</v>
      </c>
      <c r="AP157" t="s" s="0">
        <v>161</v>
      </c>
      <c r="AQ157" t="s" s="0">
        <v>3682</v>
      </c>
      <c r="AR157" t="s" s="0">
        <v>3683</v>
      </c>
      <c r="AS157" t="s" s="0">
        <v>3684</v>
      </c>
      <c r="AT157" t="s" s="0">
        <v>4235</v>
      </c>
      <c r="AU157" t="s" s="0">
        <v>4236</v>
      </c>
      <c r="AV157" t="s" s="0">
        <v>83</v>
      </c>
      <c r="AW157" t="s" s="0">
        <v>4237</v>
      </c>
      <c r="AX157" t="s" s="0">
        <v>4238</v>
      </c>
      <c r="AY157" t="s" s="0">
        <v>4239</v>
      </c>
      <c r="AZ157" t="s" s="0">
        <v>241</v>
      </c>
      <c r="BA157" t="s" s="0">
        <v>232</v>
      </c>
      <c r="BB157" t="s" s="0">
        <v>545</v>
      </c>
      <c r="BC157" t="s" s="0">
        <v>83</v>
      </c>
      <c r="BD157" t="s" s="0">
        <v>83</v>
      </c>
      <c r="BE157" t="s" s="0">
        <v>83</v>
      </c>
      <c r="BF157" t="s" s="0">
        <v>83</v>
      </c>
      <c r="BG157" t="s" s="0">
        <v>2895</v>
      </c>
      <c r="BH157" t="s" s="0">
        <v>4240</v>
      </c>
      <c r="BI157" t="s" s="0">
        <v>83</v>
      </c>
      <c r="BJ157" t="s" s="0">
        <v>4241</v>
      </c>
      <c r="BK157" t="s" s="311">
        <f>HYPERLINK("http://dx.doi.org/10.1080/21681163.2022.2074545","http://dx.doi.org/10.1080/21681163.2022.2074545")</f>
        <v>4242</v>
      </c>
      <c r="BL157" t="s" s="0">
        <v>83</v>
      </c>
      <c r="BM157" t="s" s="0">
        <v>4243</v>
      </c>
      <c r="BN157" t="s" s="0">
        <v>232</v>
      </c>
      <c r="BO157" t="s" s="0">
        <v>4244</v>
      </c>
      <c r="BP157" t="s" s="0">
        <v>3257</v>
      </c>
      <c r="BQ157" t="s" s="0">
        <v>4245</v>
      </c>
      <c r="BR157" t="s" s="0">
        <v>83</v>
      </c>
      <c r="BS157" t="s" s="0">
        <v>4246</v>
      </c>
      <c r="BT157" t="s" s="312">
        <f>HYPERLINK("https://www.webofscience.com/wos/woscc/full-record/WOS:000797433600001","View Record in Web of Science")</f>
        <v>126</v>
      </c>
      <c r="BU157" t="s" s="0">
        <v>83</v>
      </c>
      <c r="BV157" t="s" s="0">
        <v>83</v>
      </c>
      <c r="BW157" t="s" s="0">
        <v>83</v>
      </c>
      <c r="BX157" t="s" s="0">
        <v>130</v>
      </c>
    </row>
    <row r="158">
      <c r="A158" t="s" s="0">
        <v>115</v>
      </c>
      <c r="B158" t="s" s="0">
        <v>78</v>
      </c>
      <c r="C158" t="s" s="0">
        <v>545</v>
      </c>
      <c r="D158" t="s" s="0">
        <v>78</v>
      </c>
      <c r="E158" t="s" s="0">
        <v>4247</v>
      </c>
      <c r="F158" t="s" s="0">
        <v>4248</v>
      </c>
      <c r="G158" t="s" s="0">
        <v>4249</v>
      </c>
      <c r="H158" t="s" s="0">
        <v>83</v>
      </c>
      <c r="I158" t="s" s="0">
        <v>84</v>
      </c>
      <c r="J158" t="s" s="0">
        <v>4250</v>
      </c>
      <c r="K158" t="s" s="0">
        <v>4251</v>
      </c>
      <c r="L158" t="s" s="0">
        <v>4252</v>
      </c>
      <c r="M158" t="s" s="0">
        <v>4253</v>
      </c>
      <c r="N158" t="s" s="0">
        <v>4254</v>
      </c>
      <c r="O158" t="s" s="0">
        <v>4255</v>
      </c>
      <c r="P158" t="s" s="0">
        <v>4256</v>
      </c>
      <c r="Q158" t="s" s="0">
        <v>92</v>
      </c>
      <c r="R158" t="s" s="0">
        <v>83</v>
      </c>
      <c r="S158" t="s" s="0">
        <v>83</v>
      </c>
      <c r="T158" t="s" s="0">
        <v>83</v>
      </c>
      <c r="U158" t="s" s="0">
        <v>83</v>
      </c>
      <c r="V158" t="s" s="0">
        <v>4257</v>
      </c>
      <c r="W158" t="s" s="0">
        <v>4258</v>
      </c>
      <c r="X158" t="s" s="0">
        <v>83</v>
      </c>
      <c r="Y158" t="s" s="0">
        <v>83</v>
      </c>
      <c r="Z158" t="s" s="0">
        <v>95</v>
      </c>
      <c r="AA158" t="s" s="0">
        <v>96</v>
      </c>
      <c r="AB158" t="s" s="0">
        <v>83</v>
      </c>
      <c r="AC158" t="s" s="0">
        <v>83</v>
      </c>
      <c r="AD158" t="s" s="0">
        <v>83</v>
      </c>
      <c r="AE158" t="s" s="0">
        <v>83</v>
      </c>
      <c r="AF158" t="s" s="0">
        <v>83</v>
      </c>
      <c r="AG158" t="s" s="0">
        <v>4259</v>
      </c>
      <c r="AH158" t="s" s="0">
        <v>4260</v>
      </c>
      <c r="AI158" t="s" s="0">
        <v>83</v>
      </c>
      <c r="AJ158" t="s" s="0">
        <v>4261</v>
      </c>
      <c r="AK158" t="s" s="0">
        <v>83</v>
      </c>
      <c r="AL158" t="s" s="0">
        <v>1873</v>
      </c>
      <c r="AM158" t="s" s="0">
        <v>248</v>
      </c>
      <c r="AN158" t="s" s="0">
        <v>417</v>
      </c>
      <c r="AO158" t="s" s="0">
        <v>78</v>
      </c>
      <c r="AP158" t="s" s="0">
        <v>417</v>
      </c>
      <c r="AQ158" t="s" s="0">
        <v>4262</v>
      </c>
      <c r="AR158" t="s" s="0">
        <v>4263</v>
      </c>
      <c r="AS158" t="s" s="0">
        <v>4264</v>
      </c>
      <c r="AT158" t="s" s="0">
        <v>4265</v>
      </c>
      <c r="AU158" t="s" s="0">
        <v>4266</v>
      </c>
      <c r="AV158" t="s" s="0">
        <v>83</v>
      </c>
      <c r="AW158" t="s" s="0">
        <v>4258</v>
      </c>
      <c r="AX158" t="s" s="0">
        <v>4267</v>
      </c>
      <c r="AY158" t="s" s="0">
        <v>4268</v>
      </c>
      <c r="AZ158" t="s" s="0">
        <v>1403</v>
      </c>
      <c r="BA158" t="s" s="0">
        <v>4269</v>
      </c>
      <c r="BB158" t="s" s="0">
        <v>545</v>
      </c>
      <c r="BC158" t="s" s="0">
        <v>83</v>
      </c>
      <c r="BD158" t="s" s="0">
        <v>83</v>
      </c>
      <c r="BE158" t="s" s="0">
        <v>83</v>
      </c>
      <c r="BF158" t="s" s="0">
        <v>83</v>
      </c>
      <c r="BG158" t="s" s="0">
        <v>4270</v>
      </c>
      <c r="BH158" t="s" s="0">
        <v>3386</v>
      </c>
      <c r="BI158" t="s" s="0">
        <v>83</v>
      </c>
      <c r="BJ158" t="s" s="0">
        <v>4271</v>
      </c>
      <c r="BK158" t="s" s="313">
        <f>HYPERLINK("http://dx.doi.org/10.6061/clinics/2017(03)10","http://dx.doi.org/10.6061/clinics/2017(03)10")</f>
        <v>4272</v>
      </c>
      <c r="BL158" t="s" s="0">
        <v>83</v>
      </c>
      <c r="BM158" t="s" s="0">
        <v>83</v>
      </c>
      <c r="BN158" t="s" s="0">
        <v>165</v>
      </c>
      <c r="BO158" t="s" s="0">
        <v>669</v>
      </c>
      <c r="BP158" t="s" s="0">
        <v>670</v>
      </c>
      <c r="BQ158" t="s" s="0">
        <v>4273</v>
      </c>
      <c r="BR158" t="s" s="0">
        <v>4274</v>
      </c>
      <c r="BS158" t="s" s="0">
        <v>4275</v>
      </c>
      <c r="BT158" t="s" s="314">
        <f>HYPERLINK("https://www.webofscience.com/wos/woscc/full-record/WOS:000397874900010","View Record in Web of Science")</f>
        <v>126</v>
      </c>
      <c r="BU158" t="s" s="0">
        <v>868</v>
      </c>
      <c r="BV158" t="s" s="0">
        <v>83</v>
      </c>
      <c r="BW158" t="s" s="0">
        <v>83</v>
      </c>
      <c r="BX158" t="s" s="0">
        <v>130</v>
      </c>
    </row>
    <row r="159">
      <c r="A159" t="s" s="0">
        <v>78</v>
      </c>
      <c r="B159" t="s" s="0">
        <v>78</v>
      </c>
      <c r="C159" t="s" s="0">
        <v>78</v>
      </c>
      <c r="D159" t="s" s="0">
        <v>78</v>
      </c>
      <c r="E159" t="s" s="0">
        <v>4276</v>
      </c>
      <c r="F159" t="s" s="0">
        <v>4277</v>
      </c>
      <c r="G159" t="s" s="0">
        <v>4278</v>
      </c>
      <c r="H159" t="s" s="0">
        <v>83</v>
      </c>
      <c r="I159" t="s" s="0">
        <v>174</v>
      </c>
      <c r="J159" t="s" s="0">
        <v>4279</v>
      </c>
      <c r="K159" t="s" s="0">
        <v>4280</v>
      </c>
      <c r="L159" t="s" s="0">
        <v>4281</v>
      </c>
      <c r="M159" t="s" s="0">
        <v>4282</v>
      </c>
      <c r="N159" t="s" s="0">
        <v>4283</v>
      </c>
      <c r="O159" t="s" s="0">
        <v>4284</v>
      </c>
      <c r="P159" t="s" s="0">
        <v>4285</v>
      </c>
      <c r="Q159" t="s" s="0">
        <v>92</v>
      </c>
      <c r="R159" t="s" s="0">
        <v>83</v>
      </c>
      <c r="S159" t="s" s="0">
        <v>83</v>
      </c>
      <c r="T159" t="s" s="0">
        <v>83</v>
      </c>
      <c r="U159" t="s" s="0">
        <v>83</v>
      </c>
      <c r="V159" t="s" s="0">
        <v>4286</v>
      </c>
      <c r="W159" t="s" s="0">
        <v>4287</v>
      </c>
      <c r="X159" t="s" s="0">
        <v>83</v>
      </c>
      <c r="Y159" t="s" s="0">
        <v>83</v>
      </c>
      <c r="Z159" t="s" s="0">
        <v>95</v>
      </c>
      <c r="AA159" t="s" s="0">
        <v>96</v>
      </c>
      <c r="AB159" t="s" s="0">
        <v>83</v>
      </c>
      <c r="AC159" t="s" s="0">
        <v>83</v>
      </c>
      <c r="AD159" t="s" s="0">
        <v>83</v>
      </c>
      <c r="AE159" t="s" s="0">
        <v>83</v>
      </c>
      <c r="AF159" t="s" s="0">
        <v>83</v>
      </c>
      <c r="AG159" t="s" s="0">
        <v>4288</v>
      </c>
      <c r="AH159" t="s" s="0">
        <v>4289</v>
      </c>
      <c r="AI159" t="s" s="0">
        <v>83</v>
      </c>
      <c r="AJ159" t="s" s="0">
        <v>4290</v>
      </c>
      <c r="AK159" t="s" s="0">
        <v>83</v>
      </c>
      <c r="AL159" t="s" s="0">
        <v>1653</v>
      </c>
      <c r="AM159" t="s" s="0">
        <v>77</v>
      </c>
      <c r="AN159" t="s" s="0">
        <v>77</v>
      </c>
      <c r="AO159" t="s" s="0">
        <v>545</v>
      </c>
      <c r="AP159" t="s" s="0">
        <v>149</v>
      </c>
      <c r="AQ159" t="s" s="0">
        <v>1151</v>
      </c>
      <c r="AR159" t="s" s="0">
        <v>1152</v>
      </c>
      <c r="AS159" t="s" s="0">
        <v>1153</v>
      </c>
      <c r="AT159" t="s" s="0">
        <v>83</v>
      </c>
      <c r="AU159" t="s" s="0">
        <v>4291</v>
      </c>
      <c r="AV159" t="s" s="0">
        <v>83</v>
      </c>
      <c r="AW159" t="s" s="0">
        <v>4292</v>
      </c>
      <c r="AX159" t="s" s="0">
        <v>4293</v>
      </c>
      <c r="AY159" t="s" s="0">
        <v>4294</v>
      </c>
      <c r="AZ159" t="s" s="0">
        <v>159</v>
      </c>
      <c r="BA159" t="s" s="0">
        <v>281</v>
      </c>
      <c r="BB159" t="s" s="0">
        <v>77</v>
      </c>
      <c r="BC159" t="s" s="0">
        <v>83</v>
      </c>
      <c r="BD159" t="s" s="0">
        <v>83</v>
      </c>
      <c r="BE159" t="s" s="0">
        <v>83</v>
      </c>
      <c r="BF159" t="s" s="0">
        <v>83</v>
      </c>
      <c r="BG159" t="s" s="0">
        <v>4295</v>
      </c>
      <c r="BH159" t="s" s="0">
        <v>4296</v>
      </c>
      <c r="BI159" t="s" s="0">
        <v>83</v>
      </c>
      <c r="BJ159" t="s" s="0">
        <v>4297</v>
      </c>
      <c r="BK159" t="s" s="315">
        <f>HYPERLINK("http://dx.doi.org/10.1016/j.aopr.2025.07.002","http://dx.doi.org/10.1016/j.aopr.2025.07.002")</f>
        <v>4298</v>
      </c>
      <c r="BL159" t="s" s="0">
        <v>83</v>
      </c>
      <c r="BM159" t="s" s="0">
        <v>1097</v>
      </c>
      <c r="BN159" t="s" s="0">
        <v>211</v>
      </c>
      <c r="BO159" t="s" s="0">
        <v>4299</v>
      </c>
      <c r="BP159" t="s" s="0">
        <v>4299</v>
      </c>
      <c r="BQ159" t="s" s="0">
        <v>4300</v>
      </c>
      <c r="BR159" t="s" s="0">
        <v>4301</v>
      </c>
      <c r="BS159" t="s" s="0">
        <v>4302</v>
      </c>
      <c r="BT159" t="s" s="316">
        <f>HYPERLINK("https://www.webofscience.com/wos/woscc/full-record/WOS:001561353800001","View Record in Web of Science")</f>
        <v>126</v>
      </c>
      <c r="BU159" t="s" s="0">
        <v>210</v>
      </c>
      <c r="BV159" t="s" s="0">
        <v>83</v>
      </c>
      <c r="BW159" t="s" s="0">
        <v>83</v>
      </c>
      <c r="BX159" t="s" s="0">
        <v>130</v>
      </c>
    </row>
    <row r="160">
      <c r="A160" t="s" s="0">
        <v>78</v>
      </c>
      <c r="B160" t="s" s="0">
        <v>78</v>
      </c>
      <c r="C160" t="s" s="0">
        <v>78</v>
      </c>
      <c r="D160" t="s" s="0">
        <v>78</v>
      </c>
      <c r="E160" t="s" s="0">
        <v>4303</v>
      </c>
      <c r="F160" t="s" s="0">
        <v>4304</v>
      </c>
      <c r="G160" t="s" s="0">
        <v>4305</v>
      </c>
      <c r="H160" t="s" s="0">
        <v>83</v>
      </c>
      <c r="I160" t="s" s="0">
        <v>84</v>
      </c>
      <c r="J160" t="s" s="0">
        <v>4306</v>
      </c>
      <c r="K160" t="s" s="0">
        <v>4307</v>
      </c>
      <c r="L160" t="s" s="0">
        <v>4308</v>
      </c>
      <c r="M160" t="s" s="0">
        <v>4309</v>
      </c>
      <c r="N160" t="s" s="0">
        <v>4310</v>
      </c>
      <c r="O160" t="s" s="0">
        <v>4311</v>
      </c>
      <c r="P160" t="s" s="0">
        <v>4312</v>
      </c>
      <c r="Q160" t="s" s="0">
        <v>92</v>
      </c>
      <c r="R160" t="s" s="0">
        <v>83</v>
      </c>
      <c r="S160" t="s" s="0">
        <v>83</v>
      </c>
      <c r="T160" t="s" s="0">
        <v>83</v>
      </c>
      <c r="U160" t="s" s="0">
        <v>83</v>
      </c>
      <c r="V160" t="s" s="0">
        <v>4313</v>
      </c>
      <c r="W160" t="s" s="0">
        <v>4314</v>
      </c>
      <c r="X160" t="s" s="0">
        <v>83</v>
      </c>
      <c r="Y160" t="s" s="0">
        <v>83</v>
      </c>
      <c r="Z160" t="s" s="0">
        <v>95</v>
      </c>
      <c r="AA160" t="s" s="0">
        <v>96</v>
      </c>
      <c r="AB160" t="s" s="0">
        <v>83</v>
      </c>
      <c r="AC160" t="s" s="0">
        <v>83</v>
      </c>
      <c r="AD160" t="s" s="0">
        <v>83</v>
      </c>
      <c r="AE160" t="s" s="0">
        <v>83</v>
      </c>
      <c r="AF160" t="s" s="0">
        <v>83</v>
      </c>
      <c r="AG160" t="s" s="0">
        <v>83</v>
      </c>
      <c r="AH160" t="s" s="0">
        <v>4315</v>
      </c>
      <c r="AI160" t="s" s="0">
        <v>4316</v>
      </c>
      <c r="AJ160" t="s" s="0">
        <v>4317</v>
      </c>
      <c r="AK160" t="s" s="0">
        <v>83</v>
      </c>
      <c r="AL160" t="s" s="0">
        <v>522</v>
      </c>
      <c r="AM160" t="s" s="0">
        <v>77</v>
      </c>
      <c r="AN160" t="s" s="0">
        <v>281</v>
      </c>
      <c r="AO160" t="s" s="0">
        <v>78</v>
      </c>
      <c r="AP160" t="s" s="0">
        <v>77</v>
      </c>
      <c r="AQ160" t="s" s="0">
        <v>1151</v>
      </c>
      <c r="AR160" t="s" s="0">
        <v>1152</v>
      </c>
      <c r="AS160" t="s" s="0">
        <v>1153</v>
      </c>
      <c r="AT160" t="s" s="0">
        <v>4318</v>
      </c>
      <c r="AU160" t="s" s="0">
        <v>4319</v>
      </c>
      <c r="AV160" t="s" s="0">
        <v>83</v>
      </c>
      <c r="AW160" t="s" s="0">
        <v>4320</v>
      </c>
      <c r="AX160" t="s" s="0">
        <v>4321</v>
      </c>
      <c r="AY160" t="s" s="0">
        <v>2344</v>
      </c>
      <c r="AZ160" t="s" s="0">
        <v>412</v>
      </c>
      <c r="BA160" t="s" s="0">
        <v>4322</v>
      </c>
      <c r="BB160" t="s" s="0">
        <v>83</v>
      </c>
      <c r="BC160" t="s" s="0">
        <v>83</v>
      </c>
      <c r="BD160" t="s" s="0">
        <v>83</v>
      </c>
      <c r="BE160" t="s" s="0">
        <v>83</v>
      </c>
      <c r="BF160" t="s" s="0">
        <v>83</v>
      </c>
      <c r="BG160" t="s" s="0">
        <v>83</v>
      </c>
      <c r="BH160" t="s" s="0">
        <v>83</v>
      </c>
      <c r="BI160" t="s" s="0">
        <v>4323</v>
      </c>
      <c r="BJ160" t="s" s="0">
        <v>4324</v>
      </c>
      <c r="BK160" t="s" s="317">
        <f>HYPERLINK("http://dx.doi.org/10.1016/j.artmed.2024.102824","http://dx.doi.org/10.1016/j.artmed.2024.102824")</f>
        <v>4325</v>
      </c>
      <c r="BL160" t="s" s="0">
        <v>83</v>
      </c>
      <c r="BM160" t="s" s="0">
        <v>4326</v>
      </c>
      <c r="BN160" t="s" s="0">
        <v>232</v>
      </c>
      <c r="BO160" t="s" s="0">
        <v>4327</v>
      </c>
      <c r="BP160" t="s" s="0">
        <v>4328</v>
      </c>
      <c r="BQ160" t="s" s="0">
        <v>4329</v>
      </c>
      <c r="BR160" t="s" s="0">
        <v>4330</v>
      </c>
      <c r="BS160" t="s" s="0">
        <v>4331</v>
      </c>
      <c r="BT160" t="s" s="318">
        <f>HYPERLINK("https://www.webofscience.com/wos/woscc/full-record/WOS:001195736000001","View Record in Web of Science")</f>
        <v>126</v>
      </c>
      <c r="BU160" t="s" s="0">
        <v>83</v>
      </c>
      <c r="BV160" t="s" s="0">
        <v>83</v>
      </c>
      <c r="BW160" t="s" s="0">
        <v>83</v>
      </c>
      <c r="BX160" t="s" s="0">
        <v>130</v>
      </c>
    </row>
    <row r="161">
      <c r="A161" t="s" s="0">
        <v>78</v>
      </c>
      <c r="B161" t="s" s="0">
        <v>78</v>
      </c>
      <c r="C161" t="s" s="0">
        <v>281</v>
      </c>
      <c r="D161" t="s" s="0">
        <v>78</v>
      </c>
      <c r="E161" t="s" s="0">
        <v>4332</v>
      </c>
      <c r="F161" t="s" s="0">
        <v>4333</v>
      </c>
      <c r="G161" t="s" s="0">
        <v>4334</v>
      </c>
      <c r="H161" t="s" s="0">
        <v>83</v>
      </c>
      <c r="I161" t="s" s="0">
        <v>84</v>
      </c>
      <c r="J161" t="s" s="0">
        <v>4335</v>
      </c>
      <c r="K161" t="s" s="0">
        <v>4336</v>
      </c>
      <c r="L161" t="s" s="0">
        <v>4337</v>
      </c>
      <c r="M161" t="s" s="0">
        <v>4338</v>
      </c>
      <c r="N161" t="s" s="0">
        <v>4339</v>
      </c>
      <c r="O161" t="s" s="0">
        <v>4340</v>
      </c>
      <c r="P161" t="s" s="0">
        <v>4341</v>
      </c>
      <c r="Q161" t="s" s="0">
        <v>92</v>
      </c>
      <c r="R161" t="s" s="0">
        <v>83</v>
      </c>
      <c r="S161" t="s" s="0">
        <v>83</v>
      </c>
      <c r="T161" t="s" s="0">
        <v>83</v>
      </c>
      <c r="U161" t="s" s="0">
        <v>83</v>
      </c>
      <c r="V161" t="s" s="0">
        <v>4342</v>
      </c>
      <c r="W161" t="s" s="0">
        <v>4343</v>
      </c>
      <c r="X161" t="s" s="0">
        <v>83</v>
      </c>
      <c r="Y161" t="s" s="0">
        <v>83</v>
      </c>
      <c r="Z161" t="s" s="0">
        <v>95</v>
      </c>
      <c r="AA161" t="s" s="0">
        <v>96</v>
      </c>
      <c r="AB161" t="s" s="0">
        <v>83</v>
      </c>
      <c r="AC161" t="s" s="0">
        <v>83</v>
      </c>
      <c r="AD161" t="s" s="0">
        <v>83</v>
      </c>
      <c r="AE161" t="s" s="0">
        <v>83</v>
      </c>
      <c r="AF161" t="s" s="0">
        <v>83</v>
      </c>
      <c r="AG161" t="s" s="0">
        <v>4344</v>
      </c>
      <c r="AH161" t="s" s="0">
        <v>4345</v>
      </c>
      <c r="AI161" t="s" s="0">
        <v>4346</v>
      </c>
      <c r="AJ161" t="s" s="0">
        <v>4347</v>
      </c>
      <c r="AK161" t="s" s="0">
        <v>83</v>
      </c>
      <c r="AL161" t="s" s="0">
        <v>189</v>
      </c>
      <c r="AM161" t="s" s="0">
        <v>417</v>
      </c>
      <c r="AN161" t="s" s="0">
        <v>417</v>
      </c>
      <c r="AO161" t="s" s="0">
        <v>78</v>
      </c>
      <c r="AP161" t="s" s="0">
        <v>470</v>
      </c>
      <c r="AQ161" t="s" s="0">
        <v>1267</v>
      </c>
      <c r="AR161" t="s" s="0">
        <v>234</v>
      </c>
      <c r="AS161" t="s" s="0">
        <v>1268</v>
      </c>
      <c r="AT161" t="s" s="0">
        <v>4348</v>
      </c>
      <c r="AU161" t="s" s="0">
        <v>4349</v>
      </c>
      <c r="AV161" t="s" s="0">
        <v>83</v>
      </c>
      <c r="AW161" t="s" s="0">
        <v>4343</v>
      </c>
      <c r="AX161" t="s" s="0">
        <v>4350</v>
      </c>
      <c r="AY161" t="s" s="0">
        <v>1326</v>
      </c>
      <c r="AZ161" t="s" s="0">
        <v>412</v>
      </c>
      <c r="BA161" t="s" s="0">
        <v>695</v>
      </c>
      <c r="BB161" t="s" s="0">
        <v>281</v>
      </c>
      <c r="BC161" t="s" s="0">
        <v>83</v>
      </c>
      <c r="BD161" t="s" s="0">
        <v>83</v>
      </c>
      <c r="BE161" t="s" s="0">
        <v>83</v>
      </c>
      <c r="BF161" t="s" s="0">
        <v>83</v>
      </c>
      <c r="BG161" t="s" s="0">
        <v>4351</v>
      </c>
      <c r="BH161" t="s" s="0">
        <v>4352</v>
      </c>
      <c r="BI161" t="s" s="0">
        <v>83</v>
      </c>
      <c r="BJ161" t="s" s="0">
        <v>4353</v>
      </c>
      <c r="BK161" t="s" s="319">
        <f>HYPERLINK("http://dx.doi.org/10.1007/s00125-024-06097-5","http://dx.doi.org/10.1007/s00125-024-06097-5")</f>
        <v>4354</v>
      </c>
      <c r="BL161" t="s" s="0">
        <v>83</v>
      </c>
      <c r="BM161" t="s" s="0">
        <v>4326</v>
      </c>
      <c r="BN161" t="s" s="0">
        <v>309</v>
      </c>
      <c r="BO161" t="s" s="0">
        <v>206</v>
      </c>
      <c r="BP161" t="s" s="0">
        <v>206</v>
      </c>
      <c r="BQ161" t="s" s="0">
        <v>4355</v>
      </c>
      <c r="BR161" t="s" s="0">
        <v>4356</v>
      </c>
      <c r="BS161" t="s" s="0">
        <v>4357</v>
      </c>
      <c r="BT161" t="s" s="320">
        <f>HYPERLINK("https://www.webofscience.com/wos/woscc/full-record/WOS:001159733300001","View Record in Web of Science")</f>
        <v>126</v>
      </c>
      <c r="BU161" t="s" s="0">
        <v>3526</v>
      </c>
      <c r="BV161" t="s" s="0">
        <v>83</v>
      </c>
      <c r="BW161" t="s" s="0">
        <v>83</v>
      </c>
      <c r="BX161" t="s" s="0">
        <v>130</v>
      </c>
    </row>
    <row r="162">
      <c r="A162" t="s" s="0">
        <v>78</v>
      </c>
      <c r="B162" t="s" s="0">
        <v>78</v>
      </c>
      <c r="C162" t="s" s="0">
        <v>150</v>
      </c>
      <c r="D162" t="s" s="0">
        <v>78</v>
      </c>
      <c r="E162" t="s" s="0">
        <v>4358</v>
      </c>
      <c r="F162" t="s" s="0">
        <v>4359</v>
      </c>
      <c r="G162" t="s" s="0">
        <v>4360</v>
      </c>
      <c r="H162" t="s" s="0">
        <v>83</v>
      </c>
      <c r="I162" t="s" s="0">
        <v>84</v>
      </c>
      <c r="J162" t="s" s="0">
        <v>4361</v>
      </c>
      <c r="K162" t="s" s="0">
        <v>4362</v>
      </c>
      <c r="L162" t="s" s="0">
        <v>4363</v>
      </c>
      <c r="M162" t="s" s="0">
        <v>4364</v>
      </c>
      <c r="N162" t="s" s="0">
        <v>4365</v>
      </c>
      <c r="O162" t="s" s="0">
        <v>4366</v>
      </c>
      <c r="P162" t="s" s="0">
        <v>4367</v>
      </c>
      <c r="Q162" t="s" s="0">
        <v>92</v>
      </c>
      <c r="R162" t="s" s="0">
        <v>83</v>
      </c>
      <c r="S162" t="s" s="0">
        <v>83</v>
      </c>
      <c r="T162" t="s" s="0">
        <v>83</v>
      </c>
      <c r="U162" t="s" s="0">
        <v>83</v>
      </c>
      <c r="V162" t="s" s="0">
        <v>4368</v>
      </c>
      <c r="W162" t="s" s="0">
        <v>4369</v>
      </c>
      <c r="X162" t="s" s="0">
        <v>83</v>
      </c>
      <c r="Y162" t="s" s="0">
        <v>83</v>
      </c>
      <c r="Z162" t="s" s="0">
        <v>95</v>
      </c>
      <c r="AA162" t="s" s="0">
        <v>96</v>
      </c>
      <c r="AB162" t="s" s="0">
        <v>83</v>
      </c>
      <c r="AC162" t="s" s="0">
        <v>83</v>
      </c>
      <c r="AD162" t="s" s="0">
        <v>83</v>
      </c>
      <c r="AE162" t="s" s="0">
        <v>83</v>
      </c>
      <c r="AF162" t="s" s="0">
        <v>83</v>
      </c>
      <c r="AG162" t="s" s="0">
        <v>4370</v>
      </c>
      <c r="AH162" t="s" s="0">
        <v>4371</v>
      </c>
      <c r="AI162" t="s" s="0">
        <v>4372</v>
      </c>
      <c r="AJ162" t="s" s="0">
        <v>4373</v>
      </c>
      <c r="AK162" t="s" s="0">
        <v>83</v>
      </c>
      <c r="AL162" t="s" s="0">
        <v>413</v>
      </c>
      <c r="AM162" t="s" s="0">
        <v>120</v>
      </c>
      <c r="AN162" t="s" s="0">
        <v>310</v>
      </c>
      <c r="AO162" t="s" s="0">
        <v>78</v>
      </c>
      <c r="AP162" t="s" s="0">
        <v>310</v>
      </c>
      <c r="AQ162" t="s" s="0">
        <v>271</v>
      </c>
      <c r="AR162" t="s" s="0">
        <v>272</v>
      </c>
      <c r="AS162" t="s" s="0">
        <v>273</v>
      </c>
      <c r="AT162" t="s" s="0">
        <v>4374</v>
      </c>
      <c r="AU162" t="s" s="0">
        <v>83</v>
      </c>
      <c r="AV162" t="s" s="0">
        <v>83</v>
      </c>
      <c r="AW162" t="s" s="0">
        <v>4375</v>
      </c>
      <c r="AX162" t="s" s="0">
        <v>4376</v>
      </c>
      <c r="AY162" t="s" s="0">
        <v>784</v>
      </c>
      <c r="AZ162" t="s" s="0">
        <v>785</v>
      </c>
      <c r="BA162" t="s" s="0">
        <v>231</v>
      </c>
      <c r="BB162" t="s" s="0">
        <v>545</v>
      </c>
      <c r="BC162" t="s" s="0">
        <v>83</v>
      </c>
      <c r="BD162" t="s" s="0">
        <v>83</v>
      </c>
      <c r="BE162" t="s" s="0">
        <v>83</v>
      </c>
      <c r="BF162" t="s" s="0">
        <v>83</v>
      </c>
      <c r="BG162" t="s" s="0">
        <v>4377</v>
      </c>
      <c r="BH162" t="s" s="0">
        <v>4378</v>
      </c>
      <c r="BI162" t="s" s="0">
        <v>83</v>
      </c>
      <c r="BJ162" t="s" s="0">
        <v>4379</v>
      </c>
      <c r="BK162" t="s" s="321">
        <f>HYPERLINK("http://dx.doi.org/10.1002/ehf2.12426","http://dx.doi.org/10.1002/ehf2.12426")</f>
        <v>4380</v>
      </c>
      <c r="BL162" t="s" s="0">
        <v>83</v>
      </c>
      <c r="BM162" t="s" s="0">
        <v>83</v>
      </c>
      <c r="BN162" t="s" s="0">
        <v>211</v>
      </c>
      <c r="BO162" t="s" s="0">
        <v>1133</v>
      </c>
      <c r="BP162" t="s" s="0">
        <v>1134</v>
      </c>
      <c r="BQ162" t="s" s="0">
        <v>4381</v>
      </c>
      <c r="BR162" t="s" s="0">
        <v>4382</v>
      </c>
      <c r="BS162" t="s" s="0">
        <v>4383</v>
      </c>
      <c r="BT162" t="s" s="322">
        <f>HYPERLINK("https://www.webofscience.com/wos/woscc/full-record/WOS:000468324300005","View Record in Web of Science")</f>
        <v>126</v>
      </c>
      <c r="BU162" t="s" s="0">
        <v>210</v>
      </c>
      <c r="BV162" t="s" s="0">
        <v>83</v>
      </c>
      <c r="BW162" t="s" s="0">
        <v>83</v>
      </c>
      <c r="BX162" t="s" s="0">
        <v>130</v>
      </c>
    </row>
    <row r="163">
      <c r="A163" t="s" s="0">
        <v>78</v>
      </c>
      <c r="B163" t="s" s="0">
        <v>78</v>
      </c>
      <c r="C163" t="s" s="0">
        <v>150</v>
      </c>
      <c r="D163" t="s" s="0">
        <v>78</v>
      </c>
      <c r="E163" t="s" s="0">
        <v>4384</v>
      </c>
      <c r="F163" t="s" s="0">
        <v>4385</v>
      </c>
      <c r="G163" t="s" s="0">
        <v>4386</v>
      </c>
      <c r="H163" t="s" s="0">
        <v>83</v>
      </c>
      <c r="I163" t="s" s="0">
        <v>84</v>
      </c>
      <c r="J163" t="s" s="0">
        <v>4387</v>
      </c>
      <c r="K163" t="s" s="0">
        <v>4388</v>
      </c>
      <c r="L163" t="s" s="0">
        <v>4389</v>
      </c>
      <c r="M163" t="s" s="0">
        <v>4389</v>
      </c>
      <c r="N163" t="s" s="0">
        <v>4390</v>
      </c>
      <c r="O163" t="s" s="0">
        <v>4391</v>
      </c>
      <c r="P163" t="s" s="0">
        <v>4392</v>
      </c>
      <c r="Q163" t="s" s="0">
        <v>92</v>
      </c>
      <c r="R163" t="s" s="0">
        <v>83</v>
      </c>
      <c r="S163" t="s" s="0">
        <v>83</v>
      </c>
      <c r="T163" t="s" s="0">
        <v>83</v>
      </c>
      <c r="U163" t="s" s="0">
        <v>83</v>
      </c>
      <c r="V163" t="s" s="0">
        <v>4393</v>
      </c>
      <c r="W163" t="s" s="0">
        <v>1368</v>
      </c>
      <c r="X163" t="s" s="0">
        <v>83</v>
      </c>
      <c r="Y163" t="s" s="0">
        <v>83</v>
      </c>
      <c r="Z163" t="s" s="0">
        <v>95</v>
      </c>
      <c r="AA163" t="s" s="0">
        <v>96</v>
      </c>
      <c r="AB163" t="s" s="0">
        <v>83</v>
      </c>
      <c r="AC163" t="s" s="0">
        <v>83</v>
      </c>
      <c r="AD163" t="s" s="0">
        <v>83</v>
      </c>
      <c r="AE163" t="s" s="0">
        <v>83</v>
      </c>
      <c r="AF163" t="s" s="0">
        <v>83</v>
      </c>
      <c r="AG163" t="s" s="0">
        <v>83</v>
      </c>
      <c r="AH163" t="s" s="0">
        <v>4394</v>
      </c>
      <c r="AI163" t="s" s="0">
        <v>4395</v>
      </c>
      <c r="AJ163" t="s" s="0">
        <v>4396</v>
      </c>
      <c r="AK163" t="s" s="0">
        <v>83</v>
      </c>
      <c r="AL163" t="s" s="0">
        <v>516</v>
      </c>
      <c r="AM163" t="s" s="0">
        <v>281</v>
      </c>
      <c r="AN163" t="s" s="0">
        <v>231</v>
      </c>
      <c r="AO163" t="s" s="0">
        <v>78</v>
      </c>
      <c r="AP163" t="s" s="0">
        <v>115</v>
      </c>
      <c r="AQ163" t="s" s="0">
        <v>632</v>
      </c>
      <c r="AR163" t="s" s="0">
        <v>106</v>
      </c>
      <c r="AS163" t="s" s="0">
        <v>633</v>
      </c>
      <c r="AT163" t="s" s="0">
        <v>1373</v>
      </c>
      <c r="AU163" t="s" s="0">
        <v>83</v>
      </c>
      <c r="AV163" t="s" s="0">
        <v>83</v>
      </c>
      <c r="AW163" t="s" s="0">
        <v>1368</v>
      </c>
      <c r="AX163" t="s" s="0">
        <v>1374</v>
      </c>
      <c r="AY163" t="s" s="0">
        <v>784</v>
      </c>
      <c r="AZ163" t="s" s="0">
        <v>785</v>
      </c>
      <c r="BA163" t="s" s="0">
        <v>165</v>
      </c>
      <c r="BB163" t="s" s="0">
        <v>115</v>
      </c>
      <c r="BC163" t="s" s="0">
        <v>83</v>
      </c>
      <c r="BD163" t="s" s="0">
        <v>83</v>
      </c>
      <c r="BE163" t="s" s="0">
        <v>83</v>
      </c>
      <c r="BF163" t="s" s="0">
        <v>83</v>
      </c>
      <c r="BG163" t="s" s="0">
        <v>83</v>
      </c>
      <c r="BH163" t="s" s="0">
        <v>83</v>
      </c>
      <c r="BI163" t="s" s="0">
        <v>4397</v>
      </c>
      <c r="BJ163" t="s" s="0">
        <v>4398</v>
      </c>
      <c r="BK163" t="s" s="323">
        <f>HYPERLINK("http://dx.doi.org/10.1136/bmjopen-2018-025076","http://dx.doi.org/10.1136/bmjopen-2018-025076")</f>
        <v>4399</v>
      </c>
      <c r="BL163" t="s" s="0">
        <v>83</v>
      </c>
      <c r="BM163" t="s" s="0">
        <v>83</v>
      </c>
      <c r="BN163" t="s" s="0">
        <v>77</v>
      </c>
      <c r="BO163" t="s" s="0">
        <v>669</v>
      </c>
      <c r="BP163" t="s" s="0">
        <v>670</v>
      </c>
      <c r="BQ163" t="s" s="0">
        <v>4400</v>
      </c>
      <c r="BR163" t="s" s="0">
        <v>4401</v>
      </c>
      <c r="BS163" t="s" s="0">
        <v>4402</v>
      </c>
      <c r="BT163" t="s" s="324">
        <f>HYPERLINK("https://www.webofscience.com/wos/woscc/full-record/WOS:000471116800225","View Record in Web of Science")</f>
        <v>126</v>
      </c>
      <c r="BU163" t="s" s="0">
        <v>391</v>
      </c>
      <c r="BV163" t="s" s="0">
        <v>83</v>
      </c>
      <c r="BW163" t="s" s="0">
        <v>83</v>
      </c>
      <c r="BX163" t="s" s="0">
        <v>130</v>
      </c>
    </row>
    <row r="164">
      <c r="A164" t="s" s="0">
        <v>150</v>
      </c>
      <c r="B164" t="s" s="0">
        <v>78</v>
      </c>
      <c r="C164" t="s" s="0">
        <v>309</v>
      </c>
      <c r="D164" t="s" s="0">
        <v>115</v>
      </c>
      <c r="E164" t="s" s="0">
        <v>4403</v>
      </c>
      <c r="F164" t="s" s="0">
        <v>4404</v>
      </c>
      <c r="G164" t="s" s="0">
        <v>4405</v>
      </c>
      <c r="H164" t="s" s="0">
        <v>83</v>
      </c>
      <c r="I164" t="s" s="0">
        <v>174</v>
      </c>
      <c r="J164" t="s" s="0">
        <v>4406</v>
      </c>
      <c r="K164" t="s" s="0">
        <v>4407</v>
      </c>
      <c r="L164" t="s" s="0">
        <v>4408</v>
      </c>
      <c r="M164" t="s" s="0">
        <v>4409</v>
      </c>
      <c r="N164" t="s" s="0">
        <v>4410</v>
      </c>
      <c r="O164" t="s" s="0">
        <v>4411</v>
      </c>
      <c r="P164" t="s" s="0">
        <v>4412</v>
      </c>
      <c r="Q164" t="s" s="0">
        <v>92</v>
      </c>
      <c r="R164" t="s" s="0">
        <v>83</v>
      </c>
      <c r="S164" t="s" s="0">
        <v>83</v>
      </c>
      <c r="T164" t="s" s="0">
        <v>83</v>
      </c>
      <c r="U164" t="s" s="0">
        <v>83</v>
      </c>
      <c r="V164" t="s" s="0">
        <v>4413</v>
      </c>
      <c r="W164" t="s" s="0">
        <v>4414</v>
      </c>
      <c r="X164" t="s" s="0">
        <v>83</v>
      </c>
      <c r="Y164" t="s" s="0">
        <v>83</v>
      </c>
      <c r="Z164" t="s" s="0">
        <v>95</v>
      </c>
      <c r="AA164" t="s" s="0">
        <v>96</v>
      </c>
      <c r="AB164" t="s" s="0">
        <v>83</v>
      </c>
      <c r="AC164" t="s" s="0">
        <v>83</v>
      </c>
      <c r="AD164" t="s" s="0">
        <v>83</v>
      </c>
      <c r="AE164" t="s" s="0">
        <v>83</v>
      </c>
      <c r="AF164" t="s" s="0">
        <v>83</v>
      </c>
      <c r="AG164" t="s" s="0">
        <v>83</v>
      </c>
      <c r="AH164" t="s" s="0">
        <v>4415</v>
      </c>
      <c r="AI164" t="s" s="0">
        <v>4416</v>
      </c>
      <c r="AJ164" t="s" s="0">
        <v>4417</v>
      </c>
      <c r="AK164" t="s" s="0">
        <v>83</v>
      </c>
      <c r="AL164" t="s" s="0">
        <v>1827</v>
      </c>
      <c r="AM164" t="s" s="0">
        <v>347</v>
      </c>
      <c r="AN164" t="s" s="0">
        <v>2216</v>
      </c>
      <c r="AO164" t="s" s="0">
        <v>78</v>
      </c>
      <c r="AP164" t="s" s="0">
        <v>1404</v>
      </c>
      <c r="AQ164" t="s" s="0">
        <v>4418</v>
      </c>
      <c r="AR164" t="s" s="0">
        <v>152</v>
      </c>
      <c r="AS164" t="s" s="0">
        <v>4419</v>
      </c>
      <c r="AT164" t="s" s="0">
        <v>4420</v>
      </c>
      <c r="AU164" t="s" s="0">
        <v>4421</v>
      </c>
      <c r="AV164" t="s" s="0">
        <v>83</v>
      </c>
      <c r="AW164" t="s" s="0">
        <v>4422</v>
      </c>
      <c r="AX164" t="s" s="0">
        <v>4423</v>
      </c>
      <c r="AY164" t="s" s="0">
        <v>2085</v>
      </c>
      <c r="AZ164" t="s" s="0">
        <v>637</v>
      </c>
      <c r="BA164" t="s" s="0">
        <v>281</v>
      </c>
      <c r="BB164" t="s" s="0">
        <v>231</v>
      </c>
      <c r="BC164" t="s" s="0">
        <v>83</v>
      </c>
      <c r="BD164" t="s" s="0">
        <v>83</v>
      </c>
      <c r="BE164" t="s" s="0">
        <v>83</v>
      </c>
      <c r="BF164" t="s" s="0">
        <v>83</v>
      </c>
      <c r="BG164" t="s" s="0">
        <v>4424</v>
      </c>
      <c r="BH164" t="s" s="0">
        <v>4425</v>
      </c>
      <c r="BI164" t="s" s="0">
        <v>83</v>
      </c>
      <c r="BJ164" t="s" s="0">
        <v>4426</v>
      </c>
      <c r="BK164" t="s" s="325">
        <f>HYPERLINK("http://dx.doi.org/10.1042/ETLS20210246","http://dx.doi.org/10.1042/ETLS20210246")</f>
        <v>4427</v>
      </c>
      <c r="BL164" t="s" s="0">
        <v>83</v>
      </c>
      <c r="BM164" t="s" s="0">
        <v>2085</v>
      </c>
      <c r="BN164" t="s" s="0">
        <v>269</v>
      </c>
      <c r="BO164" t="s" s="0">
        <v>4428</v>
      </c>
      <c r="BP164" t="s" s="0">
        <v>4429</v>
      </c>
      <c r="BQ164" t="s" s="0">
        <v>4430</v>
      </c>
      <c r="BR164" t="s" s="0">
        <v>4431</v>
      </c>
      <c r="BS164" t="s" s="0">
        <v>4432</v>
      </c>
      <c r="BT164" t="s" s="326">
        <f>HYPERLINK("https://www.webofscience.com/wos/woscc/full-record/WOS:000734092600001","View Record in Web of Science")</f>
        <v>126</v>
      </c>
      <c r="BU164" t="s" s="0">
        <v>253</v>
      </c>
      <c r="BV164" t="s" s="0">
        <v>83</v>
      </c>
      <c r="BW164" t="s" s="0">
        <v>83</v>
      </c>
      <c r="BX164" t="s" s="0">
        <v>130</v>
      </c>
    </row>
    <row r="165">
      <c r="A165" t="s" s="0">
        <v>78</v>
      </c>
      <c r="B165" t="s" s="0">
        <v>78</v>
      </c>
      <c r="C165" t="s" s="0">
        <v>78</v>
      </c>
      <c r="D165" t="s" s="0">
        <v>78</v>
      </c>
      <c r="E165" t="s" s="0">
        <v>4433</v>
      </c>
      <c r="F165" t="s" s="0">
        <v>4434</v>
      </c>
      <c r="G165" t="s" s="0">
        <v>4435</v>
      </c>
      <c r="H165" t="s" s="0">
        <v>83</v>
      </c>
      <c r="I165" t="s" s="0">
        <v>84</v>
      </c>
      <c r="J165" t="s" s="0">
        <v>4436</v>
      </c>
      <c r="K165" t="s" s="0">
        <v>4437</v>
      </c>
      <c r="L165" t="s" s="0">
        <v>4438</v>
      </c>
      <c r="M165" t="s" s="0">
        <v>4439</v>
      </c>
      <c r="N165" t="s" s="0">
        <v>4440</v>
      </c>
      <c r="O165" t="s" s="0">
        <v>4441</v>
      </c>
      <c r="P165" t="s" s="0">
        <v>4442</v>
      </c>
      <c r="Q165" t="s" s="0">
        <v>92</v>
      </c>
      <c r="R165" t="s" s="0">
        <v>83</v>
      </c>
      <c r="S165" t="s" s="0">
        <v>83</v>
      </c>
      <c r="T165" t="s" s="0">
        <v>83</v>
      </c>
      <c r="U165" t="s" s="0">
        <v>83</v>
      </c>
      <c r="V165" t="s" s="0">
        <v>4443</v>
      </c>
      <c r="W165" t="s" s="0">
        <v>4444</v>
      </c>
      <c r="X165" t="s" s="0">
        <v>83</v>
      </c>
      <c r="Y165" t="s" s="0">
        <v>83</v>
      </c>
      <c r="Z165" t="s" s="0">
        <v>95</v>
      </c>
      <c r="AA165" t="s" s="0">
        <v>96</v>
      </c>
      <c r="AB165" t="s" s="0">
        <v>83</v>
      </c>
      <c r="AC165" t="s" s="0">
        <v>83</v>
      </c>
      <c r="AD165" t="s" s="0">
        <v>83</v>
      </c>
      <c r="AE165" t="s" s="0">
        <v>83</v>
      </c>
      <c r="AF165" t="s" s="0">
        <v>83</v>
      </c>
      <c r="AG165" t="s" s="0">
        <v>4445</v>
      </c>
      <c r="AH165" t="s" s="0">
        <v>4446</v>
      </c>
      <c r="AI165" t="s" s="0">
        <v>83</v>
      </c>
      <c r="AJ165" t="s" s="0">
        <v>4447</v>
      </c>
      <c r="AK165" t="s" s="0">
        <v>83</v>
      </c>
      <c r="AL165" t="s" s="0">
        <v>160</v>
      </c>
      <c r="AM165" t="s" s="0">
        <v>77</v>
      </c>
      <c r="AN165" t="s" s="0">
        <v>231</v>
      </c>
      <c r="AO165" t="s" s="0">
        <v>78</v>
      </c>
      <c r="AP165" t="s" s="0">
        <v>248</v>
      </c>
      <c r="AQ165" t="s" s="0">
        <v>1090</v>
      </c>
      <c r="AR165" t="s" s="0">
        <v>1091</v>
      </c>
      <c r="AS165" t="s" s="0">
        <v>1092</v>
      </c>
      <c r="AT165" t="s" s="0">
        <v>4448</v>
      </c>
      <c r="AU165" t="s" s="0">
        <v>4449</v>
      </c>
      <c r="AV165" t="s" s="0">
        <v>83</v>
      </c>
      <c r="AW165" t="s" s="0">
        <v>4450</v>
      </c>
      <c r="AX165" t="s" s="0">
        <v>4451</v>
      </c>
      <c r="AY165" t="s" s="0">
        <v>3548</v>
      </c>
      <c r="AZ165" t="s" s="0">
        <v>637</v>
      </c>
      <c r="BA165" t="s" s="0">
        <v>188</v>
      </c>
      <c r="BB165" t="s" s="0">
        <v>148</v>
      </c>
      <c r="BC165" t="s" s="0">
        <v>83</v>
      </c>
      <c r="BD165" t="s" s="0">
        <v>83</v>
      </c>
      <c r="BE165" t="s" s="0">
        <v>83</v>
      </c>
      <c r="BF165" t="s" s="0">
        <v>83</v>
      </c>
      <c r="BG165" t="s" s="0">
        <v>4452</v>
      </c>
      <c r="BH165" t="s" s="0">
        <v>4453</v>
      </c>
      <c r="BI165" t="s" s="0">
        <v>83</v>
      </c>
      <c r="BJ165" t="s" s="0">
        <v>4454</v>
      </c>
      <c r="BK165" t="s" s="327">
        <f>HYPERLINK("http://dx.doi.org/10.1053/j.jvca.2021.02.056","http://dx.doi.org/10.1053/j.jvca.2021.02.056")</f>
        <v>4455</v>
      </c>
      <c r="BL165" t="s" s="0">
        <v>83</v>
      </c>
      <c r="BM165" t="s" s="0">
        <v>4456</v>
      </c>
      <c r="BN165" t="s" s="0">
        <v>417</v>
      </c>
      <c r="BO165" t="s" s="0">
        <v>4457</v>
      </c>
      <c r="BP165" t="s" s="0">
        <v>4458</v>
      </c>
      <c r="BQ165" t="s" s="0">
        <v>4459</v>
      </c>
      <c r="BR165" t="s" s="0">
        <v>4460</v>
      </c>
      <c r="BS165" t="s" s="0">
        <v>4461</v>
      </c>
      <c r="BT165" t="s" s="328">
        <f>HYPERLINK("https://www.webofscience.com/wos/woscc/full-record/WOS:000655505900038","View Record in Web of Science")</f>
        <v>126</v>
      </c>
      <c r="BU165" t="s" s="0">
        <v>792</v>
      </c>
      <c r="BV165" t="s" s="0">
        <v>83</v>
      </c>
      <c r="BW165" t="s" s="0">
        <v>83</v>
      </c>
      <c r="BX165" t="s" s="0">
        <v>130</v>
      </c>
    </row>
    <row r="166">
      <c r="A166" t="s" s="0">
        <v>78</v>
      </c>
      <c r="B166" t="s" s="0">
        <v>78</v>
      </c>
      <c r="C166" t="s" s="0">
        <v>78</v>
      </c>
      <c r="D166" t="s" s="0">
        <v>78</v>
      </c>
      <c r="E166" t="s" s="0">
        <v>4462</v>
      </c>
      <c r="F166" t="s" s="0">
        <v>4463</v>
      </c>
      <c r="G166" t="s" s="0">
        <v>4464</v>
      </c>
      <c r="H166" t="s" s="0">
        <v>83</v>
      </c>
      <c r="I166" t="s" s="0">
        <v>174</v>
      </c>
      <c r="J166" t="s" s="0">
        <v>4465</v>
      </c>
      <c r="K166" t="s" s="0">
        <v>4466</v>
      </c>
      <c r="L166" t="s" s="0">
        <v>4467</v>
      </c>
      <c r="M166" t="s" s="0">
        <v>4467</v>
      </c>
      <c r="N166" t="s" s="0">
        <v>4468</v>
      </c>
      <c r="O166" t="s" s="0">
        <v>4469</v>
      </c>
      <c r="P166" t="s" s="0">
        <v>4470</v>
      </c>
      <c r="Q166" t="s" s="0">
        <v>92</v>
      </c>
      <c r="R166" t="s" s="0">
        <v>83</v>
      </c>
      <c r="S166" t="s" s="0">
        <v>83</v>
      </c>
      <c r="T166" t="s" s="0">
        <v>83</v>
      </c>
      <c r="U166" t="s" s="0">
        <v>83</v>
      </c>
      <c r="V166" t="s" s="0">
        <v>4471</v>
      </c>
      <c r="W166" t="s" s="0">
        <v>4472</v>
      </c>
      <c r="X166" t="s" s="0">
        <v>83</v>
      </c>
      <c r="Y166" t="s" s="0">
        <v>83</v>
      </c>
      <c r="Z166" t="s" s="0">
        <v>95</v>
      </c>
      <c r="AA166" t="s" s="0">
        <v>96</v>
      </c>
      <c r="AB166" t="s" s="0">
        <v>83</v>
      </c>
      <c r="AC166" t="s" s="0">
        <v>83</v>
      </c>
      <c r="AD166" t="s" s="0">
        <v>83</v>
      </c>
      <c r="AE166" t="s" s="0">
        <v>83</v>
      </c>
      <c r="AF166" t="s" s="0">
        <v>83</v>
      </c>
      <c r="AG166" t="s" s="0">
        <v>4473</v>
      </c>
      <c r="AH166" t="s" s="0">
        <v>4474</v>
      </c>
      <c r="AI166" t="s" s="0">
        <v>4475</v>
      </c>
      <c r="AJ166" t="s" s="0">
        <v>83</v>
      </c>
      <c r="AK166" t="s" s="0">
        <v>83</v>
      </c>
      <c r="AL166" t="s" s="0">
        <v>1098</v>
      </c>
      <c r="AM166" t="s" s="0">
        <v>77</v>
      </c>
      <c r="AN166" t="s" s="0">
        <v>77</v>
      </c>
      <c r="AO166" t="s" s="0">
        <v>150</v>
      </c>
      <c r="AP166" t="s" s="0">
        <v>281</v>
      </c>
      <c r="AQ166" t="s" s="0">
        <v>4476</v>
      </c>
      <c r="AR166" t="s" s="0">
        <v>4477</v>
      </c>
      <c r="AS166" t="s" s="0">
        <v>4478</v>
      </c>
      <c r="AT166" t="s" s="0">
        <v>4479</v>
      </c>
      <c r="AU166" t="s" s="0">
        <v>4480</v>
      </c>
      <c r="AV166" t="s" s="0">
        <v>83</v>
      </c>
      <c r="AW166" t="s" s="0">
        <v>4481</v>
      </c>
      <c r="AX166" t="s" s="0">
        <v>4482</v>
      </c>
      <c r="AY166" t="s" s="0">
        <v>412</v>
      </c>
      <c r="AZ166" t="s" s="0">
        <v>412</v>
      </c>
      <c r="BA166" t="s" s="0">
        <v>79</v>
      </c>
      <c r="BB166" t="s" s="0">
        <v>115</v>
      </c>
      <c r="BC166" t="s" s="0">
        <v>83</v>
      </c>
      <c r="BD166" t="s" s="0">
        <v>83</v>
      </c>
      <c r="BE166" t="s" s="0">
        <v>83</v>
      </c>
      <c r="BF166" t="s" s="0">
        <v>83</v>
      </c>
      <c r="BG166" t="s" s="0">
        <v>115</v>
      </c>
      <c r="BH166" t="s" s="0">
        <v>203</v>
      </c>
      <c r="BI166" t="s" s="0">
        <v>83</v>
      </c>
      <c r="BJ166" t="s" s="0">
        <v>4483</v>
      </c>
      <c r="BK166" t="s" s="329">
        <f>HYPERLINK("http://dx.doi.org/10.46292/sci23-00010","http://dx.doi.org/10.46292/sci23-00010")</f>
        <v>4484</v>
      </c>
      <c r="BL166" t="s" s="0">
        <v>83</v>
      </c>
      <c r="BM166" t="s" s="0">
        <v>83</v>
      </c>
      <c r="BN166" t="s" s="0">
        <v>203</v>
      </c>
      <c r="BO166" t="s" s="0">
        <v>3946</v>
      </c>
      <c r="BP166" t="s" s="0">
        <v>3946</v>
      </c>
      <c r="BQ166" t="s" s="0">
        <v>4485</v>
      </c>
      <c r="BR166" t="s" s="0">
        <v>4486</v>
      </c>
      <c r="BS166" t="s" s="0">
        <v>4487</v>
      </c>
      <c r="BT166" t="s" s="330">
        <f>HYPERLINK("https://www.webofscience.com/wos/woscc/full-record/WOS:001189632300006","View Record in Web of Science")</f>
        <v>126</v>
      </c>
      <c r="BU166" t="s" s="0">
        <v>127</v>
      </c>
      <c r="BV166" t="s" s="0">
        <v>83</v>
      </c>
      <c r="BW166" t="s" s="0">
        <v>83</v>
      </c>
      <c r="BX166" t="s" s="0">
        <v>130</v>
      </c>
    </row>
    <row r="167">
      <c r="A167" t="s" s="0">
        <v>545</v>
      </c>
      <c r="B167" t="s" s="0">
        <v>78</v>
      </c>
      <c r="C167" t="s" s="0">
        <v>202</v>
      </c>
      <c r="D167" t="s" s="0">
        <v>78</v>
      </c>
      <c r="E167" t="s" s="0">
        <v>4488</v>
      </c>
      <c r="F167" t="s" s="0">
        <v>4489</v>
      </c>
      <c r="G167" t="s" s="0">
        <v>4490</v>
      </c>
      <c r="H167" t="s" s="0">
        <v>83</v>
      </c>
      <c r="I167" t="s" s="0">
        <v>84</v>
      </c>
      <c r="J167" t="s" s="0">
        <v>4491</v>
      </c>
      <c r="K167" t="s" s="0">
        <v>4492</v>
      </c>
      <c r="L167" t="s" s="0">
        <v>4493</v>
      </c>
      <c r="M167" t="s" s="0">
        <v>4494</v>
      </c>
      <c r="N167" t="s" s="0">
        <v>4495</v>
      </c>
      <c r="O167" t="s" s="0">
        <v>4496</v>
      </c>
      <c r="P167" t="s" s="0">
        <v>4497</v>
      </c>
      <c r="Q167" t="s" s="0">
        <v>92</v>
      </c>
      <c r="R167" t="s" s="0">
        <v>83</v>
      </c>
      <c r="S167" t="s" s="0">
        <v>83</v>
      </c>
      <c r="T167" t="s" s="0">
        <v>83</v>
      </c>
      <c r="U167" t="s" s="0">
        <v>83</v>
      </c>
      <c r="V167" t="s" s="0">
        <v>4498</v>
      </c>
      <c r="W167" t="s" s="0">
        <v>4499</v>
      </c>
      <c r="X167" t="s" s="0">
        <v>83</v>
      </c>
      <c r="Y167" t="s" s="0">
        <v>83</v>
      </c>
      <c r="Z167" t="s" s="0">
        <v>95</v>
      </c>
      <c r="AA167" t="s" s="0">
        <v>96</v>
      </c>
      <c r="AB167" t="s" s="0">
        <v>83</v>
      </c>
      <c r="AC167" t="s" s="0">
        <v>83</v>
      </c>
      <c r="AD167" t="s" s="0">
        <v>83</v>
      </c>
      <c r="AE167" t="s" s="0">
        <v>83</v>
      </c>
      <c r="AF167" t="s" s="0">
        <v>83</v>
      </c>
      <c r="AG167" t="s" s="0">
        <v>4500</v>
      </c>
      <c r="AH167" t="s" s="0">
        <v>4501</v>
      </c>
      <c r="AI167" t="s" s="0">
        <v>4502</v>
      </c>
      <c r="AJ167" t="s" s="0">
        <v>4503</v>
      </c>
      <c r="AK167" t="s" s="0">
        <v>83</v>
      </c>
      <c r="AL167" t="s" s="0">
        <v>2673</v>
      </c>
      <c r="AM167" t="s" s="0">
        <v>4504</v>
      </c>
      <c r="AN167" t="s" s="0">
        <v>242</v>
      </c>
      <c r="AO167" t="s" s="0">
        <v>78</v>
      </c>
      <c r="AP167" t="s" s="0">
        <v>1404</v>
      </c>
      <c r="AQ167" t="s" s="0">
        <v>1123</v>
      </c>
      <c r="AR167" t="s" s="0">
        <v>1124</v>
      </c>
      <c r="AS167" t="s" s="0">
        <v>1125</v>
      </c>
      <c r="AT167" t="s" s="0">
        <v>4505</v>
      </c>
      <c r="AU167" t="s" s="0">
        <v>4506</v>
      </c>
      <c r="AV167" t="s" s="0">
        <v>83</v>
      </c>
      <c r="AW167" t="s" s="0">
        <v>4507</v>
      </c>
      <c r="AX167" t="s" s="0">
        <v>4508</v>
      </c>
      <c r="AY167" t="s" s="0">
        <v>4509</v>
      </c>
      <c r="AZ167" t="s" s="0">
        <v>785</v>
      </c>
      <c r="BA167" t="s" s="0">
        <v>470</v>
      </c>
      <c r="BB167" t="s" s="0">
        <v>115</v>
      </c>
      <c r="BC167" t="s" s="0">
        <v>83</v>
      </c>
      <c r="BD167" t="s" s="0">
        <v>83</v>
      </c>
      <c r="BE167" t="s" s="0">
        <v>83</v>
      </c>
      <c r="BF167" t="s" s="0">
        <v>83</v>
      </c>
      <c r="BG167" t="s" s="0">
        <v>374</v>
      </c>
      <c r="BH167" t="s" s="0">
        <v>1304</v>
      </c>
      <c r="BI167" t="s" s="0">
        <v>83</v>
      </c>
      <c r="BJ167" t="s" s="0">
        <v>4510</v>
      </c>
      <c r="BK167" t="s" s="331">
        <f>HYPERLINK("http://dx.doi.org/10.1111/ene.13813","http://dx.doi.org/10.1111/ene.13813")</f>
        <v>4511</v>
      </c>
      <c r="BL167" t="s" s="0">
        <v>83</v>
      </c>
      <c r="BM167" t="s" s="0">
        <v>83</v>
      </c>
      <c r="BN167" t="s" s="0">
        <v>248</v>
      </c>
      <c r="BO167" t="s" s="0">
        <v>3212</v>
      </c>
      <c r="BP167" t="s" s="0">
        <v>3213</v>
      </c>
      <c r="BQ167" t="s" s="0">
        <v>4512</v>
      </c>
      <c r="BR167" t="s" s="0">
        <v>4513</v>
      </c>
      <c r="BS167" t="s" s="0">
        <v>4514</v>
      </c>
      <c r="BT167" t="s" s="332">
        <f>HYPERLINK("https://www.webofscience.com/wos/woscc/full-record/WOS:000452969300005","View Record in Web of Science")</f>
        <v>126</v>
      </c>
      <c r="BU167" t="s" s="0">
        <v>83</v>
      </c>
      <c r="BV167" t="s" s="0">
        <v>83</v>
      </c>
      <c r="BW167" t="s" s="0">
        <v>83</v>
      </c>
      <c r="BX167" t="s" s="0">
        <v>130</v>
      </c>
    </row>
    <row r="168">
      <c r="A168" t="s" s="0">
        <v>78</v>
      </c>
      <c r="B168" t="s" s="0">
        <v>78</v>
      </c>
      <c r="C168" t="s" s="0">
        <v>78</v>
      </c>
      <c r="D168" t="s" s="0">
        <v>78</v>
      </c>
      <c r="E168" t="s" s="0">
        <v>4515</v>
      </c>
      <c r="F168" t="s" s="0">
        <v>4516</v>
      </c>
      <c r="G168" t="s" s="0">
        <v>4517</v>
      </c>
      <c r="H168" t="s" s="0">
        <v>83</v>
      </c>
      <c r="I168" t="s" s="0">
        <v>174</v>
      </c>
      <c r="J168" t="s" s="0">
        <v>4518</v>
      </c>
      <c r="K168" t="s" s="0">
        <v>4519</v>
      </c>
      <c r="L168" t="s" s="0">
        <v>83</v>
      </c>
      <c r="M168" t="s" s="0">
        <v>83</v>
      </c>
      <c r="N168" t="s" s="0">
        <v>83</v>
      </c>
      <c r="O168" t="s" s="0">
        <v>4520</v>
      </c>
      <c r="P168" t="s" s="0">
        <v>4521</v>
      </c>
      <c r="Q168" t="s" s="0">
        <v>92</v>
      </c>
      <c r="R168" t="s" s="0">
        <v>83</v>
      </c>
      <c r="S168" t="s" s="0">
        <v>83</v>
      </c>
      <c r="T168" t="s" s="0">
        <v>83</v>
      </c>
      <c r="U168" t="s" s="0">
        <v>83</v>
      </c>
      <c r="V168" t="s" s="0">
        <v>4522</v>
      </c>
      <c r="W168" t="s" s="0">
        <v>4523</v>
      </c>
      <c r="X168" t="s" s="0">
        <v>83</v>
      </c>
      <c r="Y168" t="s" s="0">
        <v>83</v>
      </c>
      <c r="Z168" t="s" s="0">
        <v>95</v>
      </c>
      <c r="AA168" t="s" s="0">
        <v>96</v>
      </c>
      <c r="AB168" t="s" s="0">
        <v>83</v>
      </c>
      <c r="AC168" t="s" s="0">
        <v>83</v>
      </c>
      <c r="AD168" t="s" s="0">
        <v>83</v>
      </c>
      <c r="AE168" t="s" s="0">
        <v>83</v>
      </c>
      <c r="AF168" t="s" s="0">
        <v>83</v>
      </c>
      <c r="AG168" t="s" s="0">
        <v>4524</v>
      </c>
      <c r="AH168" t="s" s="0">
        <v>4525</v>
      </c>
      <c r="AI168" t="s" s="0">
        <v>4526</v>
      </c>
      <c r="AJ168" t="s" s="0">
        <v>83</v>
      </c>
      <c r="AK168" t="s" s="0">
        <v>83</v>
      </c>
      <c r="AL168" t="s" s="0">
        <v>160</v>
      </c>
      <c r="AM168" t="s" s="0">
        <v>78</v>
      </c>
      <c r="AN168" t="s" s="0">
        <v>78</v>
      </c>
      <c r="AO168" t="s" s="0">
        <v>78</v>
      </c>
      <c r="AP168" t="s" s="0">
        <v>115</v>
      </c>
      <c r="AQ168" t="s" s="0">
        <v>4527</v>
      </c>
      <c r="AR168" t="s" s="0">
        <v>1152</v>
      </c>
      <c r="AS168" t="s" s="0">
        <v>4528</v>
      </c>
      <c r="AT168" t="s" s="0">
        <v>4529</v>
      </c>
      <c r="AU168" t="s" s="0">
        <v>83</v>
      </c>
      <c r="AV168" t="s" s="0">
        <v>83</v>
      </c>
      <c r="AW168" t="s" s="0">
        <v>4530</v>
      </c>
      <c r="AX168" t="s" s="0">
        <v>4531</v>
      </c>
      <c r="AY168" t="s" s="0">
        <v>4532</v>
      </c>
      <c r="AZ168" t="s" s="0">
        <v>1403</v>
      </c>
      <c r="BA168" t="s" s="0">
        <v>231</v>
      </c>
      <c r="BB168" t="s" s="0">
        <v>115</v>
      </c>
      <c r="BC168" t="s" s="0">
        <v>83</v>
      </c>
      <c r="BD168" t="s" s="0">
        <v>83</v>
      </c>
      <c r="BE168" t="s" s="0">
        <v>83</v>
      </c>
      <c r="BF168" t="s" s="0">
        <v>83</v>
      </c>
      <c r="BG168" t="s" s="0">
        <v>231</v>
      </c>
      <c r="BH168" t="s" s="0">
        <v>232</v>
      </c>
      <c r="BI168" t="s" s="0">
        <v>83</v>
      </c>
      <c r="BJ168" t="s" s="0">
        <v>4533</v>
      </c>
      <c r="BK168" t="s" s="333">
        <f>HYPERLINK("http://dx.doi.org/10.12980/jad.6.2017JADWEB-2016-0069","http://dx.doi.org/10.12980/jad.6.2017JADWEB-2016-0069")</f>
        <v>4534</v>
      </c>
      <c r="BL168" t="s" s="0">
        <v>83</v>
      </c>
      <c r="BM168" t="s" s="0">
        <v>83</v>
      </c>
      <c r="BN168" t="s" s="0">
        <v>231</v>
      </c>
      <c r="BO168" t="s" s="0">
        <v>2547</v>
      </c>
      <c r="BP168" t="s" s="0">
        <v>670</v>
      </c>
      <c r="BQ168" t="s" s="0">
        <v>4535</v>
      </c>
      <c r="BR168" t="s" s="0">
        <v>83</v>
      </c>
      <c r="BS168" t="s" s="0">
        <v>4536</v>
      </c>
      <c r="BT168" t="s" s="334">
        <f>HYPERLINK("https://www.webofscience.com/wos/woscc/full-record/WOS:000398493700002","View Record in Web of Science")</f>
        <v>126</v>
      </c>
      <c r="BU168" t="s" s="0">
        <v>210</v>
      </c>
      <c r="BV168" t="s" s="0">
        <v>83</v>
      </c>
      <c r="BW168" t="s" s="0">
        <v>83</v>
      </c>
      <c r="BX168" t="s" s="0">
        <v>130</v>
      </c>
    </row>
    <row r="169">
      <c r="A169" t="s" s="0">
        <v>78</v>
      </c>
      <c r="B169" t="s" s="0">
        <v>78</v>
      </c>
      <c r="C169" t="s" s="0">
        <v>150</v>
      </c>
      <c r="D169" t="s" s="0">
        <v>78</v>
      </c>
      <c r="E169" t="s" s="0">
        <v>4537</v>
      </c>
      <c r="F169" t="s" s="0">
        <v>4538</v>
      </c>
      <c r="G169" t="s" s="0">
        <v>4539</v>
      </c>
      <c r="H169" t="s" s="0">
        <v>83</v>
      </c>
      <c r="I169" t="s" s="0">
        <v>84</v>
      </c>
      <c r="J169" t="s" s="0">
        <v>4540</v>
      </c>
      <c r="K169" t="s" s="0">
        <v>4541</v>
      </c>
      <c r="L169" t="s" s="0">
        <v>4542</v>
      </c>
      <c r="M169" t="s" s="0">
        <v>4543</v>
      </c>
      <c r="N169" t="s" s="0">
        <v>4544</v>
      </c>
      <c r="O169" t="s" s="0">
        <v>4545</v>
      </c>
      <c r="P169" t="s" s="0">
        <v>4546</v>
      </c>
      <c r="Q169" t="s" s="0">
        <v>92</v>
      </c>
      <c r="R169" t="s" s="0">
        <v>83</v>
      </c>
      <c r="S169" t="s" s="0">
        <v>83</v>
      </c>
      <c r="T169" t="s" s="0">
        <v>83</v>
      </c>
      <c r="U169" t="s" s="0">
        <v>83</v>
      </c>
      <c r="V169" t="s" s="0">
        <v>4547</v>
      </c>
      <c r="W169" t="s" s="0">
        <v>4548</v>
      </c>
      <c r="X169" t="s" s="0">
        <v>83</v>
      </c>
      <c r="Y169" t="s" s="0">
        <v>83</v>
      </c>
      <c r="Z169" t="s" s="0">
        <v>95</v>
      </c>
      <c r="AA169" t="s" s="0">
        <v>96</v>
      </c>
      <c r="AB169" t="s" s="0">
        <v>83</v>
      </c>
      <c r="AC169" t="s" s="0">
        <v>83</v>
      </c>
      <c r="AD169" t="s" s="0">
        <v>83</v>
      </c>
      <c r="AE169" t="s" s="0">
        <v>83</v>
      </c>
      <c r="AF169" t="s" s="0">
        <v>83</v>
      </c>
      <c r="AG169" t="s" s="0">
        <v>4549</v>
      </c>
      <c r="AH169" t="s" s="0">
        <v>4550</v>
      </c>
      <c r="AI169" t="s" s="0">
        <v>4551</v>
      </c>
      <c r="AJ169" t="s" s="0">
        <v>4552</v>
      </c>
      <c r="AK169" t="s" s="0">
        <v>83</v>
      </c>
      <c r="AL169" t="s" s="0">
        <v>270</v>
      </c>
      <c r="AM169" t="s" s="0">
        <v>165</v>
      </c>
      <c r="AN169" t="s" s="0">
        <v>165</v>
      </c>
      <c r="AO169" t="s" s="0">
        <v>78</v>
      </c>
      <c r="AP169" t="s" s="0">
        <v>115</v>
      </c>
      <c r="AQ169" t="s" s="0">
        <v>3682</v>
      </c>
      <c r="AR169" t="s" s="0">
        <v>3683</v>
      </c>
      <c r="AS169" t="s" s="0">
        <v>3684</v>
      </c>
      <c r="AT169" t="s" s="0">
        <v>4553</v>
      </c>
      <c r="AU169" t="s" s="0">
        <v>4554</v>
      </c>
      <c r="AV169" t="s" s="0">
        <v>83</v>
      </c>
      <c r="AW169" t="s" s="0">
        <v>4555</v>
      </c>
      <c r="AX169" t="s" s="0">
        <v>4556</v>
      </c>
      <c r="AY169" t="s" s="0">
        <v>4557</v>
      </c>
      <c r="AZ169" t="s" s="0">
        <v>785</v>
      </c>
      <c r="BA169" t="s" s="0">
        <v>269</v>
      </c>
      <c r="BB169" t="s" s="0">
        <v>148</v>
      </c>
      <c r="BC169" t="s" s="0">
        <v>83</v>
      </c>
      <c r="BD169" t="s" s="0">
        <v>83</v>
      </c>
      <c r="BE169" t="s" s="0">
        <v>83</v>
      </c>
      <c r="BF169" t="s" s="0">
        <v>83</v>
      </c>
      <c r="BG169" t="s" s="0">
        <v>4558</v>
      </c>
      <c r="BH169" t="s" s="0">
        <v>4559</v>
      </c>
      <c r="BI169" t="s" s="0">
        <v>83</v>
      </c>
      <c r="BJ169" t="s" s="0">
        <v>4560</v>
      </c>
      <c r="BK169" t="s" s="335">
        <f>HYPERLINK("http://dx.doi.org/10.1080/14787210.2019.1625770","http://dx.doi.org/10.1080/14787210.2019.1625770")</f>
        <v>4561</v>
      </c>
      <c r="BL169" t="s" s="0">
        <v>83</v>
      </c>
      <c r="BM169" t="s" s="0">
        <v>83</v>
      </c>
      <c r="BN169" t="s" s="0">
        <v>417</v>
      </c>
      <c r="BO169" t="s" s="0">
        <v>4562</v>
      </c>
      <c r="BP169" t="s" s="0">
        <v>4562</v>
      </c>
      <c r="BQ169" t="s" s="0">
        <v>4563</v>
      </c>
      <c r="BR169" t="s" s="0">
        <v>4564</v>
      </c>
      <c r="BS169" t="s" s="0">
        <v>4565</v>
      </c>
      <c r="BT169" t="s" s="336">
        <f>HYPERLINK("https://www.webofscience.com/wos/woscc/full-record/WOS:000477753200003","View Record in Web of Science")</f>
        <v>126</v>
      </c>
      <c r="BU169" t="s" s="0">
        <v>83</v>
      </c>
      <c r="BV169" t="s" s="0">
        <v>83</v>
      </c>
      <c r="BW169" t="s" s="0">
        <v>83</v>
      </c>
      <c r="BX169" t="s" s="0">
        <v>130</v>
      </c>
    </row>
    <row r="170">
      <c r="A170" t="s" s="0">
        <v>78</v>
      </c>
      <c r="B170" t="s" s="0">
        <v>78</v>
      </c>
      <c r="C170" t="s" s="0">
        <v>470</v>
      </c>
      <c r="D170" t="s" s="0">
        <v>78</v>
      </c>
      <c r="E170" t="s" s="0">
        <v>4566</v>
      </c>
      <c r="F170" t="s" s="0">
        <v>4567</v>
      </c>
      <c r="G170" t="s" s="0">
        <v>4568</v>
      </c>
      <c r="H170" t="s" s="0">
        <v>83</v>
      </c>
      <c r="I170" t="s" s="0">
        <v>174</v>
      </c>
      <c r="J170" t="s" s="0">
        <v>4569</v>
      </c>
      <c r="K170" t="s" s="0">
        <v>4570</v>
      </c>
      <c r="L170" t="s" s="0">
        <v>4571</v>
      </c>
      <c r="M170" t="s" s="0">
        <v>4572</v>
      </c>
      <c r="N170" t="s" s="0">
        <v>4573</v>
      </c>
      <c r="O170" t="s" s="0">
        <v>4574</v>
      </c>
      <c r="P170" t="s" s="0">
        <v>4575</v>
      </c>
      <c r="Q170" t="s" s="0">
        <v>92</v>
      </c>
      <c r="R170" t="s" s="0">
        <v>83</v>
      </c>
      <c r="S170" t="s" s="0">
        <v>83</v>
      </c>
      <c r="T170" t="s" s="0">
        <v>83</v>
      </c>
      <c r="U170" t="s" s="0">
        <v>83</v>
      </c>
      <c r="V170" t="s" s="0">
        <v>4576</v>
      </c>
      <c r="W170" t="s" s="0">
        <v>4577</v>
      </c>
      <c r="X170" t="s" s="0">
        <v>83</v>
      </c>
      <c r="Y170" t="s" s="0">
        <v>83</v>
      </c>
      <c r="Z170" t="s" s="0">
        <v>95</v>
      </c>
      <c r="AA170" t="s" s="0">
        <v>96</v>
      </c>
      <c r="AB170" t="s" s="0">
        <v>83</v>
      </c>
      <c r="AC170" t="s" s="0">
        <v>83</v>
      </c>
      <c r="AD170" t="s" s="0">
        <v>83</v>
      </c>
      <c r="AE170" t="s" s="0">
        <v>83</v>
      </c>
      <c r="AF170" t="s" s="0">
        <v>83</v>
      </c>
      <c r="AG170" t="s" s="0">
        <v>4578</v>
      </c>
      <c r="AH170" t="s" s="0">
        <v>4579</v>
      </c>
      <c r="AI170" t="s" s="0">
        <v>83</v>
      </c>
      <c r="AJ170" t="s" s="0">
        <v>4580</v>
      </c>
      <c r="AK170" t="s" s="0">
        <v>83</v>
      </c>
      <c r="AL170" t="s" s="0">
        <v>1098</v>
      </c>
      <c r="AM170" t="s" s="0">
        <v>2216</v>
      </c>
      <c r="AN170" t="s" s="0">
        <v>719</v>
      </c>
      <c r="AO170" t="s" s="0">
        <v>545</v>
      </c>
      <c r="AP170" t="s" s="0">
        <v>114</v>
      </c>
      <c r="AQ170" t="s" s="0">
        <v>805</v>
      </c>
      <c r="AR170" t="s" s="0">
        <v>806</v>
      </c>
      <c r="AS170" t="s" s="0">
        <v>807</v>
      </c>
      <c r="AT170" t="s" s="0">
        <v>83</v>
      </c>
      <c r="AU170" t="s" s="0">
        <v>4581</v>
      </c>
      <c r="AV170" t="s" s="0">
        <v>83</v>
      </c>
      <c r="AW170" t="s" s="0">
        <v>4577</v>
      </c>
      <c r="AX170" t="s" s="0">
        <v>4582</v>
      </c>
      <c r="AY170" t="s" s="0">
        <v>4583</v>
      </c>
      <c r="AZ170" t="s" s="0">
        <v>317</v>
      </c>
      <c r="BA170" t="s" s="0">
        <v>148</v>
      </c>
      <c r="BB170" t="s" s="0">
        <v>545</v>
      </c>
      <c r="BC170" t="s" s="0">
        <v>83</v>
      </c>
      <c r="BD170" t="s" s="0">
        <v>83</v>
      </c>
      <c r="BE170" t="s" s="0">
        <v>83</v>
      </c>
      <c r="BF170" t="s" s="0">
        <v>83</v>
      </c>
      <c r="BG170" t="s" s="0">
        <v>83</v>
      </c>
      <c r="BH170" t="s" s="0">
        <v>83</v>
      </c>
      <c r="BI170" t="s" s="0">
        <v>358</v>
      </c>
      <c r="BJ170" t="s" s="0">
        <v>4584</v>
      </c>
      <c r="BK170" t="s" s="337">
        <f>HYPERLINK("http://dx.doi.org/10.3390/informatics7030025","http://dx.doi.org/10.3390/informatics7030025")</f>
        <v>4585</v>
      </c>
      <c r="BL170" t="s" s="0">
        <v>83</v>
      </c>
      <c r="BM170" t="s" s="0">
        <v>83</v>
      </c>
      <c r="BN170" t="s" s="0">
        <v>374</v>
      </c>
      <c r="BO170" t="s" s="0">
        <v>4586</v>
      </c>
      <c r="BP170" t="s" s="0">
        <v>4587</v>
      </c>
      <c r="BQ170" t="s" s="0">
        <v>4588</v>
      </c>
      <c r="BR170" t="s" s="0">
        <v>4589</v>
      </c>
      <c r="BS170" t="s" s="0">
        <v>4590</v>
      </c>
      <c r="BT170" t="s" s="338">
        <f>HYPERLINK("https://www.webofscience.com/wos/woscc/full-record/WOS:000578947400001","View Record in Web of Science")</f>
        <v>126</v>
      </c>
      <c r="BU170" t="s" s="0">
        <v>210</v>
      </c>
      <c r="BV170" t="s" s="0">
        <v>83</v>
      </c>
      <c r="BW170" t="s" s="0">
        <v>83</v>
      </c>
      <c r="BX170" t="s" s="0">
        <v>130</v>
      </c>
    </row>
    <row r="171">
      <c r="A171" t="s" s="0">
        <v>115</v>
      </c>
      <c r="B171" t="s" s="0">
        <v>78</v>
      </c>
      <c r="C171" t="s" s="0">
        <v>150</v>
      </c>
      <c r="D171" t="s" s="0">
        <v>78</v>
      </c>
      <c r="E171" t="s" s="0">
        <v>4591</v>
      </c>
      <c r="F171" t="s" s="0">
        <v>4592</v>
      </c>
      <c r="G171" t="s" s="0">
        <v>4593</v>
      </c>
      <c r="H171" t="s" s="0">
        <v>83</v>
      </c>
      <c r="I171" t="s" s="0">
        <v>84</v>
      </c>
      <c r="J171" t="s" s="0">
        <v>4594</v>
      </c>
      <c r="K171" t="s" s="0">
        <v>4595</v>
      </c>
      <c r="L171" t="s" s="0">
        <v>83</v>
      </c>
      <c r="M171" t="s" s="0">
        <v>83</v>
      </c>
      <c r="N171" t="s" s="0">
        <v>83</v>
      </c>
      <c r="O171" t="s" s="0">
        <v>4596</v>
      </c>
      <c r="P171" t="s" s="0">
        <v>4597</v>
      </c>
      <c r="Q171" t="s" s="0">
        <v>92</v>
      </c>
      <c r="R171" t="s" s="0">
        <v>83</v>
      </c>
      <c r="S171" t="s" s="0">
        <v>83</v>
      </c>
      <c r="T171" t="s" s="0">
        <v>83</v>
      </c>
      <c r="U171" t="s" s="0">
        <v>83</v>
      </c>
      <c r="V171" t="s" s="0">
        <v>4598</v>
      </c>
      <c r="W171" t="s" s="0">
        <v>4599</v>
      </c>
      <c r="X171" t="s" s="0">
        <v>83</v>
      </c>
      <c r="Y171" t="s" s="0">
        <v>83</v>
      </c>
      <c r="Z171" t="s" s="0">
        <v>95</v>
      </c>
      <c r="AA171" t="s" s="0">
        <v>96</v>
      </c>
      <c r="AB171" t="s" s="0">
        <v>83</v>
      </c>
      <c r="AC171" t="s" s="0">
        <v>83</v>
      </c>
      <c r="AD171" t="s" s="0">
        <v>83</v>
      </c>
      <c r="AE171" t="s" s="0">
        <v>83</v>
      </c>
      <c r="AF171" t="s" s="0">
        <v>83</v>
      </c>
      <c r="AG171" t="s" s="0">
        <v>4600</v>
      </c>
      <c r="AH171" t="s" s="0">
        <v>4601</v>
      </c>
      <c r="AI171" t="s" s="0">
        <v>4602</v>
      </c>
      <c r="AJ171" t="s" s="0">
        <v>4603</v>
      </c>
      <c r="AK171" t="s" s="0">
        <v>83</v>
      </c>
      <c r="AL171" t="s" s="0">
        <v>4604</v>
      </c>
      <c r="AM171" t="s" s="0">
        <v>77</v>
      </c>
      <c r="AN171" t="s" s="0">
        <v>231</v>
      </c>
      <c r="AO171" t="s" s="0">
        <v>78</v>
      </c>
      <c r="AP171" t="s" s="0">
        <v>545</v>
      </c>
      <c r="AQ171" t="s" s="0">
        <v>2362</v>
      </c>
      <c r="AR171" t="s" s="0">
        <v>234</v>
      </c>
      <c r="AS171" t="s" s="0">
        <v>2363</v>
      </c>
      <c r="AT171" t="s" s="0">
        <v>4605</v>
      </c>
      <c r="AU171" t="s" s="0">
        <v>4606</v>
      </c>
      <c r="AV171" t="s" s="0">
        <v>83</v>
      </c>
      <c r="AW171" t="s" s="0">
        <v>4607</v>
      </c>
      <c r="AX171" t="s" s="0">
        <v>4608</v>
      </c>
      <c r="AY171" t="s" s="0">
        <v>2134</v>
      </c>
      <c r="AZ171" t="s" s="0">
        <v>1403</v>
      </c>
      <c r="BA171" t="s" s="0">
        <v>202</v>
      </c>
      <c r="BB171" t="s" s="0">
        <v>115</v>
      </c>
      <c r="BC171" t="s" s="0">
        <v>83</v>
      </c>
      <c r="BD171" t="s" s="0">
        <v>83</v>
      </c>
      <c r="BE171" t="s" s="0">
        <v>83</v>
      </c>
      <c r="BF171" t="s" s="0">
        <v>83</v>
      </c>
      <c r="BG171" t="s" s="0">
        <v>4609</v>
      </c>
      <c r="BH171" t="s" s="0">
        <v>4610</v>
      </c>
      <c r="BI171" t="s" s="0">
        <v>83</v>
      </c>
      <c r="BJ171" t="s" s="0">
        <v>4611</v>
      </c>
      <c r="BK171" t="s" s="339">
        <f>HYPERLINK("http://dx.doi.org/10.1055/s-0036-1597557","http://dx.doi.org/10.1055/s-0036-1597557")</f>
        <v>4612</v>
      </c>
      <c r="BL171" t="s" s="0">
        <v>83</v>
      </c>
      <c r="BM171" t="s" s="0">
        <v>83</v>
      </c>
      <c r="BN171" t="s" s="0">
        <v>120</v>
      </c>
      <c r="BO171" t="s" s="0">
        <v>4613</v>
      </c>
      <c r="BP171" t="s" s="0">
        <v>1223</v>
      </c>
      <c r="BQ171" t="s" s="0">
        <v>4614</v>
      </c>
      <c r="BR171" t="s" s="0">
        <v>4615</v>
      </c>
      <c r="BS171" t="s" s="0">
        <v>4616</v>
      </c>
      <c r="BT171" t="s" s="340">
        <f>HYPERLINK("https://www.webofscience.com/wos/woscc/full-record/WOS:000393014900012","View Record in Web of Science")</f>
        <v>126</v>
      </c>
      <c r="BU171" t="s" s="0">
        <v>83</v>
      </c>
      <c r="BV171" t="s" s="0">
        <v>83</v>
      </c>
      <c r="BW171" t="s" s="0">
        <v>83</v>
      </c>
      <c r="BX171" t="s" s="0">
        <v>130</v>
      </c>
    </row>
    <row r="172">
      <c r="A172" t="s" s="0">
        <v>78</v>
      </c>
      <c r="B172" t="s" s="0">
        <v>78</v>
      </c>
      <c r="C172" t="s" s="0">
        <v>78</v>
      </c>
      <c r="D172" t="s" s="0">
        <v>78</v>
      </c>
      <c r="E172" t="s" s="0">
        <v>4617</v>
      </c>
      <c r="F172" t="s" s="0">
        <v>4618</v>
      </c>
      <c r="G172" t="s" s="0">
        <v>4619</v>
      </c>
      <c r="H172" t="s" s="0">
        <v>83</v>
      </c>
      <c r="I172" t="s" s="0">
        <v>84</v>
      </c>
      <c r="J172" t="s" s="0">
        <v>4620</v>
      </c>
      <c r="K172" t="s" s="0">
        <v>4621</v>
      </c>
      <c r="L172" t="s" s="0">
        <v>4622</v>
      </c>
      <c r="M172" t="s" s="0">
        <v>4622</v>
      </c>
      <c r="N172" t="s" s="0">
        <v>4339</v>
      </c>
      <c r="O172" t="s" s="0">
        <v>4623</v>
      </c>
      <c r="P172" t="s" s="0">
        <v>4624</v>
      </c>
      <c r="Q172" t="s" s="0">
        <v>92</v>
      </c>
      <c r="R172" t="s" s="0">
        <v>83</v>
      </c>
      <c r="S172" t="s" s="0">
        <v>83</v>
      </c>
      <c r="T172" t="s" s="0">
        <v>83</v>
      </c>
      <c r="U172" t="s" s="0">
        <v>83</v>
      </c>
      <c r="V172" t="s" s="0">
        <v>4625</v>
      </c>
      <c r="W172" t="s" s="0">
        <v>4626</v>
      </c>
      <c r="X172" t="s" s="0">
        <v>83</v>
      </c>
      <c r="Y172" t="s" s="0">
        <v>83</v>
      </c>
      <c r="Z172" t="s" s="0">
        <v>95</v>
      </c>
      <c r="AA172" t="s" s="0">
        <v>96</v>
      </c>
      <c r="AB172" t="s" s="0">
        <v>83</v>
      </c>
      <c r="AC172" t="s" s="0">
        <v>83</v>
      </c>
      <c r="AD172" t="s" s="0">
        <v>83</v>
      </c>
      <c r="AE172" t="s" s="0">
        <v>83</v>
      </c>
      <c r="AF172" t="s" s="0">
        <v>83</v>
      </c>
      <c r="AG172" t="s" s="0">
        <v>4627</v>
      </c>
      <c r="AH172" t="s" s="0">
        <v>4628</v>
      </c>
      <c r="AI172" t="s" s="0">
        <v>83</v>
      </c>
      <c r="AJ172" t="s" s="0">
        <v>4629</v>
      </c>
      <c r="AK172" t="s" s="0">
        <v>83</v>
      </c>
      <c r="AL172" t="s" s="0">
        <v>229</v>
      </c>
      <c r="AM172" t="s" s="0">
        <v>77</v>
      </c>
      <c r="AN172" t="s" s="0">
        <v>281</v>
      </c>
      <c r="AO172" t="s" s="0">
        <v>115</v>
      </c>
      <c r="AP172" t="s" s="0">
        <v>310</v>
      </c>
      <c r="AQ172" t="s" s="0">
        <v>1267</v>
      </c>
      <c r="AR172" t="s" s="0">
        <v>234</v>
      </c>
      <c r="AS172" t="s" s="0">
        <v>1268</v>
      </c>
      <c r="AT172" t="s" s="0">
        <v>4630</v>
      </c>
      <c r="AU172" t="s" s="0">
        <v>4631</v>
      </c>
      <c r="AV172" t="s" s="0">
        <v>83</v>
      </c>
      <c r="AW172" t="s" s="0">
        <v>4632</v>
      </c>
      <c r="AX172" t="s" s="0">
        <v>4633</v>
      </c>
      <c r="AY172" t="s" s="0">
        <v>610</v>
      </c>
      <c r="AZ172" t="s" s="0">
        <v>412</v>
      </c>
      <c r="BA172" t="s" s="0">
        <v>101</v>
      </c>
      <c r="BB172" t="s" s="0">
        <v>231</v>
      </c>
      <c r="BC172" t="s" s="0">
        <v>83</v>
      </c>
      <c r="BD172" t="s" s="0">
        <v>83</v>
      </c>
      <c r="BE172" t="s" s="0">
        <v>83</v>
      </c>
      <c r="BF172" t="s" s="0">
        <v>83</v>
      </c>
      <c r="BG172" t="s" s="0">
        <v>4634</v>
      </c>
      <c r="BH172" t="s" s="0">
        <v>4635</v>
      </c>
      <c r="BI172" t="s" s="0">
        <v>83</v>
      </c>
      <c r="BJ172" t="s" s="0">
        <v>4636</v>
      </c>
      <c r="BK172" t="s" s="341">
        <f>HYPERLINK("http://dx.doi.org/10.1007/s00256-024-04590-x","http://dx.doi.org/10.1007/s00256-024-04590-x")</f>
        <v>4637</v>
      </c>
      <c r="BL172" t="s" s="0">
        <v>83</v>
      </c>
      <c r="BM172" t="s" s="0">
        <v>1849</v>
      </c>
      <c r="BN172" t="s" s="0">
        <v>309</v>
      </c>
      <c r="BO172" t="s" s="0">
        <v>4638</v>
      </c>
      <c r="BP172" t="s" s="0">
        <v>4638</v>
      </c>
      <c r="BQ172" t="s" s="0">
        <v>4639</v>
      </c>
      <c r="BR172" t="s" s="0">
        <v>4640</v>
      </c>
      <c r="BS172" t="s" s="0">
        <v>4641</v>
      </c>
      <c r="BT172" t="s" s="342">
        <f>HYPERLINK("https://www.webofscience.com/wos/woscc/full-record/WOS:001147821900001","View Record in Web of Science")</f>
        <v>126</v>
      </c>
      <c r="BU172" t="s" s="0">
        <v>83</v>
      </c>
      <c r="BV172" t="s" s="0">
        <v>83</v>
      </c>
      <c r="BW172" t="s" s="0">
        <v>83</v>
      </c>
      <c r="BX172" t="s" s="0">
        <v>130</v>
      </c>
    </row>
    <row r="173">
      <c r="A173" t="s" s="0">
        <v>78</v>
      </c>
      <c r="B173" t="s" s="0">
        <v>78</v>
      </c>
      <c r="C173" t="s" s="0">
        <v>150</v>
      </c>
      <c r="D173" t="s" s="0">
        <v>78</v>
      </c>
      <c r="E173" t="s" s="0">
        <v>4642</v>
      </c>
      <c r="F173" t="s" s="0">
        <v>4643</v>
      </c>
      <c r="G173" t="s" s="0">
        <v>4644</v>
      </c>
      <c r="H173" t="s" s="0">
        <v>83</v>
      </c>
      <c r="I173" t="s" s="0">
        <v>84</v>
      </c>
      <c r="J173" t="s" s="0">
        <v>4645</v>
      </c>
      <c r="K173" t="s" s="0">
        <v>4646</v>
      </c>
      <c r="L173" t="s" s="0">
        <v>4647</v>
      </c>
      <c r="M173" t="s" s="0">
        <v>4648</v>
      </c>
      <c r="N173" t="s" s="0">
        <v>4649</v>
      </c>
      <c r="O173" t="s" s="0">
        <v>4650</v>
      </c>
      <c r="P173" t="s" s="0">
        <v>4651</v>
      </c>
      <c r="Q173" t="s" s="0">
        <v>92</v>
      </c>
      <c r="R173" t="s" s="0">
        <v>83</v>
      </c>
      <c r="S173" t="s" s="0">
        <v>83</v>
      </c>
      <c r="T173" t="s" s="0">
        <v>83</v>
      </c>
      <c r="U173" t="s" s="0">
        <v>83</v>
      </c>
      <c r="V173" t="s" s="0">
        <v>4652</v>
      </c>
      <c r="W173" t="s" s="0">
        <v>4653</v>
      </c>
      <c r="X173" t="s" s="0">
        <v>83</v>
      </c>
      <c r="Y173" t="s" s="0">
        <v>83</v>
      </c>
      <c r="Z173" t="s" s="0">
        <v>95</v>
      </c>
      <c r="AA173" t="s" s="0">
        <v>96</v>
      </c>
      <c r="AB173" t="s" s="0">
        <v>83</v>
      </c>
      <c r="AC173" t="s" s="0">
        <v>83</v>
      </c>
      <c r="AD173" t="s" s="0">
        <v>83</v>
      </c>
      <c r="AE173" t="s" s="0">
        <v>83</v>
      </c>
      <c r="AF173" t="s" s="0">
        <v>83</v>
      </c>
      <c r="AG173" t="s" s="0">
        <v>4654</v>
      </c>
      <c r="AH173" t="s" s="0">
        <v>4655</v>
      </c>
      <c r="AI173" t="s" s="0">
        <v>4656</v>
      </c>
      <c r="AJ173" t="s" s="0">
        <v>4657</v>
      </c>
      <c r="AK173" t="s" s="0">
        <v>83</v>
      </c>
      <c r="AL173" t="s" s="0">
        <v>883</v>
      </c>
      <c r="AM173" t="s" s="0">
        <v>231</v>
      </c>
      <c r="AN173" t="s" s="0">
        <v>148</v>
      </c>
      <c r="AO173" t="s" s="0">
        <v>115</v>
      </c>
      <c r="AP173" t="s" s="0">
        <v>374</v>
      </c>
      <c r="AQ173" t="s" s="0">
        <v>105</v>
      </c>
      <c r="AR173" t="s" s="0">
        <v>106</v>
      </c>
      <c r="AS173" t="s" s="0">
        <v>107</v>
      </c>
      <c r="AT173" t="s" s="0">
        <v>4658</v>
      </c>
      <c r="AU173" t="s" s="0">
        <v>4659</v>
      </c>
      <c r="AV173" t="s" s="0">
        <v>83</v>
      </c>
      <c r="AW173" t="s" s="0">
        <v>4660</v>
      </c>
      <c r="AX173" t="s" s="0">
        <v>4661</v>
      </c>
      <c r="AY173" t="s" s="0">
        <v>448</v>
      </c>
      <c r="AZ173" t="s" s="0">
        <v>412</v>
      </c>
      <c r="BA173" t="s" s="0">
        <v>417</v>
      </c>
      <c r="BB173" t="s" s="0">
        <v>148</v>
      </c>
      <c r="BC173" t="s" s="0">
        <v>83</v>
      </c>
      <c r="BD173" t="s" s="0">
        <v>83</v>
      </c>
      <c r="BE173" t="s" s="0">
        <v>83</v>
      </c>
      <c r="BF173" t="s" s="0">
        <v>83</v>
      </c>
      <c r="BG173" t="s" s="0">
        <v>4662</v>
      </c>
      <c r="BH173" t="s" s="0">
        <v>4663</v>
      </c>
      <c r="BI173" t="s" s="0">
        <v>83</v>
      </c>
      <c r="BJ173" t="s" s="0">
        <v>4664</v>
      </c>
      <c r="BK173" t="s" s="343">
        <f>HYPERLINK("http://dx.doi.org/10.1177/21925682241237469","http://dx.doi.org/10.1177/21925682241237469")</f>
        <v>4665</v>
      </c>
      <c r="BL173" t="s" s="0">
        <v>83</v>
      </c>
      <c r="BM173" t="s" s="0">
        <v>3497</v>
      </c>
      <c r="BN173" t="s" s="0">
        <v>309</v>
      </c>
      <c r="BO173" t="s" s="0">
        <v>895</v>
      </c>
      <c r="BP173" t="s" s="0">
        <v>896</v>
      </c>
      <c r="BQ173" t="s" s="0">
        <v>4666</v>
      </c>
      <c r="BR173" t="s" s="0">
        <v>4667</v>
      </c>
      <c r="BS173" t="s" s="0">
        <v>4668</v>
      </c>
      <c r="BT173" t="s" s="344">
        <f>HYPERLINK("https://www.webofscience.com/wos/woscc/full-record/WOS:001179539800001","View Record in Web of Science")</f>
        <v>126</v>
      </c>
      <c r="BU173" t="s" s="0">
        <v>391</v>
      </c>
      <c r="BV173" t="s" s="0">
        <v>83</v>
      </c>
      <c r="BW173" t="s" s="0">
        <v>83</v>
      </c>
      <c r="BX173" t="s" s="0">
        <v>130</v>
      </c>
    </row>
    <row r="174">
      <c r="A174" t="s" s="0">
        <v>150</v>
      </c>
      <c r="B174" t="s" s="0">
        <v>78</v>
      </c>
      <c r="C174" t="s" s="0">
        <v>148</v>
      </c>
      <c r="D174" t="s" s="0">
        <v>78</v>
      </c>
      <c r="E174" t="s" s="0">
        <v>4669</v>
      </c>
      <c r="F174" t="s" s="0">
        <v>4670</v>
      </c>
      <c r="G174" t="s" s="0">
        <v>4671</v>
      </c>
      <c r="H174" t="s" s="0">
        <v>83</v>
      </c>
      <c r="I174" t="s" s="0">
        <v>84</v>
      </c>
      <c r="J174" t="s" s="0">
        <v>4672</v>
      </c>
      <c r="K174" t="s" s="0">
        <v>4673</v>
      </c>
      <c r="L174" t="s" s="0">
        <v>4674</v>
      </c>
      <c r="M174" t="s" s="0">
        <v>4675</v>
      </c>
      <c r="N174" t="s" s="0">
        <v>4676</v>
      </c>
      <c r="O174" t="s" s="0">
        <v>4677</v>
      </c>
      <c r="P174" t="s" s="0">
        <v>4678</v>
      </c>
      <c r="Q174" t="s" s="0">
        <v>92</v>
      </c>
      <c r="R174" t="s" s="0">
        <v>83</v>
      </c>
      <c r="S174" t="s" s="0">
        <v>83</v>
      </c>
      <c r="T174" t="s" s="0">
        <v>83</v>
      </c>
      <c r="U174" t="s" s="0">
        <v>83</v>
      </c>
      <c r="V174" t="s" s="0">
        <v>4679</v>
      </c>
      <c r="W174" t="s" s="0">
        <v>223</v>
      </c>
      <c r="X174" t="s" s="0">
        <v>83</v>
      </c>
      <c r="Y174" t="s" s="0">
        <v>83</v>
      </c>
      <c r="Z174" t="s" s="0">
        <v>95</v>
      </c>
      <c r="AA174" t="s" s="0">
        <v>96</v>
      </c>
      <c r="AB174" t="s" s="0">
        <v>83</v>
      </c>
      <c r="AC174" t="s" s="0">
        <v>83</v>
      </c>
      <c r="AD174" t="s" s="0">
        <v>83</v>
      </c>
      <c r="AE174" t="s" s="0">
        <v>83</v>
      </c>
      <c r="AF174" t="s" s="0">
        <v>83</v>
      </c>
      <c r="AG174" t="s" s="0">
        <v>4680</v>
      </c>
      <c r="AH174" t="s" s="0">
        <v>4681</v>
      </c>
      <c r="AI174" t="s" s="0">
        <v>4682</v>
      </c>
      <c r="AJ174" t="s" s="0">
        <v>4683</v>
      </c>
      <c r="AK174" t="s" s="0">
        <v>83</v>
      </c>
      <c r="AL174" t="s" s="0">
        <v>229</v>
      </c>
      <c r="AM174" t="s" s="0">
        <v>147</v>
      </c>
      <c r="AN174" t="s" s="0">
        <v>160</v>
      </c>
      <c r="AO174" t="s" s="0">
        <v>78</v>
      </c>
      <c r="AP174" t="s" s="0">
        <v>437</v>
      </c>
      <c r="AQ174" t="s" s="0">
        <v>233</v>
      </c>
      <c r="AR174" t="s" s="0">
        <v>234</v>
      </c>
      <c r="AS174" t="s" s="0">
        <v>311</v>
      </c>
      <c r="AT174" t="s" s="0">
        <v>236</v>
      </c>
      <c r="AU174" t="s" s="0">
        <v>237</v>
      </c>
      <c r="AV174" t="s" s="0">
        <v>83</v>
      </c>
      <c r="AW174" t="s" s="0">
        <v>238</v>
      </c>
      <c r="AX174" t="s" s="0">
        <v>239</v>
      </c>
      <c r="AY174" t="s" s="0">
        <v>2085</v>
      </c>
      <c r="AZ174" t="s" s="0">
        <v>637</v>
      </c>
      <c r="BA174" t="s" s="0">
        <v>243</v>
      </c>
      <c r="BB174" t="s" s="0">
        <v>83</v>
      </c>
      <c r="BC174" t="s" s="0">
        <v>83</v>
      </c>
      <c r="BD174" t="s" s="0">
        <v>83</v>
      </c>
      <c r="BE174" t="s" s="0">
        <v>83</v>
      </c>
      <c r="BF174" t="s" s="0">
        <v>83</v>
      </c>
      <c r="BG174" t="s" s="0">
        <v>1878</v>
      </c>
      <c r="BH174" t="s" s="0">
        <v>4684</v>
      </c>
      <c r="BI174" t="s" s="0">
        <v>83</v>
      </c>
      <c r="BJ174" t="s" s="0">
        <v>4685</v>
      </c>
      <c r="BK174" t="s" s="345">
        <f>HYPERLINK("http://dx.doi.org/10.1016/j.jclinepi.2021.09.008","http://dx.doi.org/10.1016/j.jclinepi.2021.09.008")</f>
        <v>4686</v>
      </c>
      <c r="BL174" t="s" s="0">
        <v>83</v>
      </c>
      <c r="BM174" t="s" s="0">
        <v>889</v>
      </c>
      <c r="BN174" t="s" s="0">
        <v>211</v>
      </c>
      <c r="BO174" t="s" s="0">
        <v>249</v>
      </c>
      <c r="BP174" t="s" s="0">
        <v>249</v>
      </c>
      <c r="BQ174" t="s" s="0">
        <v>4687</v>
      </c>
      <c r="BR174" t="s" s="0">
        <v>4688</v>
      </c>
      <c r="BS174" t="s" s="0">
        <v>4689</v>
      </c>
      <c r="BT174" t="s" s="346">
        <f>HYPERLINK("https://www.webofscience.com/wos/woscc/full-record/WOS:000710522000009","View Record in Web of Science")</f>
        <v>126</v>
      </c>
      <c r="BU174" t="s" s="0">
        <v>4690</v>
      </c>
      <c r="BV174" t="s" s="0">
        <v>83</v>
      </c>
      <c r="BW174" t="s" s="0">
        <v>83</v>
      </c>
      <c r="BX174" t="s" s="0">
        <v>130</v>
      </c>
    </row>
    <row r="175">
      <c r="A175" t="s" s="0">
        <v>78</v>
      </c>
      <c r="B175" t="s" s="0">
        <v>78</v>
      </c>
      <c r="C175" t="s" s="0">
        <v>115</v>
      </c>
      <c r="D175" t="s" s="0">
        <v>78</v>
      </c>
      <c r="E175" t="s" s="0">
        <v>4691</v>
      </c>
      <c r="F175" t="s" s="0">
        <v>4692</v>
      </c>
      <c r="G175" t="s" s="0">
        <v>4693</v>
      </c>
      <c r="H175" t="s" s="0">
        <v>83</v>
      </c>
      <c r="I175" t="s" s="0">
        <v>84</v>
      </c>
      <c r="J175" t="s" s="0">
        <v>4694</v>
      </c>
      <c r="K175" t="s" s="0">
        <v>4695</v>
      </c>
      <c r="L175" t="s" s="0">
        <v>83</v>
      </c>
      <c r="M175" t="s" s="0">
        <v>83</v>
      </c>
      <c r="N175" t="s" s="0">
        <v>83</v>
      </c>
      <c r="O175" t="s" s="0">
        <v>4696</v>
      </c>
      <c r="P175" t="s" s="0">
        <v>4697</v>
      </c>
      <c r="Q175" t="s" s="0">
        <v>92</v>
      </c>
      <c r="R175" t="s" s="0">
        <v>83</v>
      </c>
      <c r="S175" t="s" s="0">
        <v>83</v>
      </c>
      <c r="T175" t="s" s="0">
        <v>83</v>
      </c>
      <c r="U175" t="s" s="0">
        <v>83</v>
      </c>
      <c r="V175" t="s" s="0">
        <v>4698</v>
      </c>
      <c r="W175" t="s" s="0">
        <v>4699</v>
      </c>
      <c r="X175" t="s" s="0">
        <v>83</v>
      </c>
      <c r="Y175" t="s" s="0">
        <v>83</v>
      </c>
      <c r="Z175" t="s" s="0">
        <v>95</v>
      </c>
      <c r="AA175" t="s" s="0">
        <v>96</v>
      </c>
      <c r="AB175" t="s" s="0">
        <v>83</v>
      </c>
      <c r="AC175" t="s" s="0">
        <v>83</v>
      </c>
      <c r="AD175" t="s" s="0">
        <v>83</v>
      </c>
      <c r="AE175" t="s" s="0">
        <v>83</v>
      </c>
      <c r="AF175" t="s" s="0">
        <v>83</v>
      </c>
      <c r="AG175" t="s" s="0">
        <v>4700</v>
      </c>
      <c r="AH175" t="s" s="0">
        <v>4701</v>
      </c>
      <c r="AI175" t="s" s="0">
        <v>4702</v>
      </c>
      <c r="AJ175" t="s" s="0">
        <v>4703</v>
      </c>
      <c r="AK175" t="s" s="0">
        <v>83</v>
      </c>
      <c r="AL175" t="s" s="0">
        <v>890</v>
      </c>
      <c r="AM175" t="s" s="0">
        <v>77</v>
      </c>
      <c r="AN175" t="s" s="0">
        <v>77</v>
      </c>
      <c r="AO175" t="s" s="0">
        <v>78</v>
      </c>
      <c r="AP175" t="s" s="0">
        <v>545</v>
      </c>
      <c r="AQ175" t="s" s="0">
        <v>4704</v>
      </c>
      <c r="AR175" t="s" s="0">
        <v>4705</v>
      </c>
      <c r="AS175" t="s" s="0">
        <v>4706</v>
      </c>
      <c r="AT175" t="s" s="0">
        <v>4707</v>
      </c>
      <c r="AU175" t="s" s="0">
        <v>4708</v>
      </c>
      <c r="AV175" t="s" s="0">
        <v>83</v>
      </c>
      <c r="AW175" t="s" s="0">
        <v>4709</v>
      </c>
      <c r="AX175" t="s" s="0">
        <v>4710</v>
      </c>
      <c r="AY175" t="s" s="0">
        <v>1158</v>
      </c>
      <c r="AZ175" t="s" s="0">
        <v>241</v>
      </c>
      <c r="BA175" t="s" s="0">
        <v>890</v>
      </c>
      <c r="BB175" t="s" s="0">
        <v>545</v>
      </c>
      <c r="BC175" t="s" s="0">
        <v>83</v>
      </c>
      <c r="BD175" t="s" s="0">
        <v>83</v>
      </c>
      <c r="BE175" t="s" s="0">
        <v>83</v>
      </c>
      <c r="BF175" t="s" s="0">
        <v>83</v>
      </c>
      <c r="BG175" t="s" s="0">
        <v>4711</v>
      </c>
      <c r="BH175" t="s" s="0">
        <v>4712</v>
      </c>
      <c r="BI175" t="s" s="0">
        <v>83</v>
      </c>
      <c r="BJ175" t="s" s="0">
        <v>4713</v>
      </c>
      <c r="BK175" t="s" s="347">
        <f>HYPERLINK("http://dx.doi.org/10.1016/j.clgc.2022.11.002","http://dx.doi.org/10.1016/j.clgc.2022.11.002")</f>
        <v>4714</v>
      </c>
      <c r="BL175" t="s" s="0">
        <v>83</v>
      </c>
      <c r="BM175" t="s" s="0">
        <v>1163</v>
      </c>
      <c r="BN175" t="s" s="0">
        <v>148</v>
      </c>
      <c r="BO175" t="s" s="0">
        <v>4715</v>
      </c>
      <c r="BP175" t="s" s="0">
        <v>4715</v>
      </c>
      <c r="BQ175" t="s" s="0">
        <v>4716</v>
      </c>
      <c r="BR175" t="s" s="0">
        <v>4717</v>
      </c>
      <c r="BS175" t="s" s="0">
        <v>4718</v>
      </c>
      <c r="BT175" t="s" s="348">
        <f>HYPERLINK("https://www.webofscience.com/wos/woscc/full-record/WOS:001009235300001","View Record in Web of Science")</f>
        <v>126</v>
      </c>
      <c r="BU175" t="s" s="0">
        <v>83</v>
      </c>
      <c r="BV175" t="s" s="0">
        <v>83</v>
      </c>
      <c r="BW175" t="s" s="0">
        <v>83</v>
      </c>
      <c r="BX175" t="s" s="0">
        <v>130</v>
      </c>
    </row>
    <row r="176">
      <c r="A176" t="s" s="0">
        <v>115</v>
      </c>
      <c r="B176" t="s" s="0">
        <v>78</v>
      </c>
      <c r="C176" t="s" s="0">
        <v>149</v>
      </c>
      <c r="D176" t="s" s="0">
        <v>78</v>
      </c>
      <c r="E176" t="s" s="0">
        <v>4719</v>
      </c>
      <c r="F176" t="s" s="0">
        <v>4720</v>
      </c>
      <c r="G176" t="s" s="0">
        <v>4721</v>
      </c>
      <c r="H176" t="s" s="0">
        <v>83</v>
      </c>
      <c r="I176" t="s" s="0">
        <v>84</v>
      </c>
      <c r="J176" t="s" s="0">
        <v>4722</v>
      </c>
      <c r="K176" t="s" s="0">
        <v>4723</v>
      </c>
      <c r="L176" t="s" s="0">
        <v>83</v>
      </c>
      <c r="M176" t="s" s="0">
        <v>83</v>
      </c>
      <c r="N176" t="s" s="0">
        <v>83</v>
      </c>
      <c r="O176" t="s" s="0">
        <v>4724</v>
      </c>
      <c r="P176" t="s" s="0">
        <v>4725</v>
      </c>
      <c r="Q176" t="s" s="0">
        <v>92</v>
      </c>
      <c r="R176" t="s" s="0">
        <v>83</v>
      </c>
      <c r="S176" t="s" s="0">
        <v>83</v>
      </c>
      <c r="T176" t="s" s="0">
        <v>83</v>
      </c>
      <c r="U176" t="s" s="0">
        <v>83</v>
      </c>
      <c r="V176" t="s" s="0">
        <v>4726</v>
      </c>
      <c r="W176" t="s" s="0">
        <v>4727</v>
      </c>
      <c r="X176" t="s" s="0">
        <v>83</v>
      </c>
      <c r="Y176" t="s" s="0">
        <v>83</v>
      </c>
      <c r="Z176" t="s" s="0">
        <v>95</v>
      </c>
      <c r="AA176" t="s" s="0">
        <v>96</v>
      </c>
      <c r="AB176" t="s" s="0">
        <v>83</v>
      </c>
      <c r="AC176" t="s" s="0">
        <v>83</v>
      </c>
      <c r="AD176" t="s" s="0">
        <v>83</v>
      </c>
      <c r="AE176" t="s" s="0">
        <v>83</v>
      </c>
      <c r="AF176" t="s" s="0">
        <v>83</v>
      </c>
      <c r="AG176" t="s" s="0">
        <v>4728</v>
      </c>
      <c r="AH176" t="s" s="0">
        <v>4729</v>
      </c>
      <c r="AI176" t="s" s="0">
        <v>83</v>
      </c>
      <c r="AJ176" t="s" s="0">
        <v>4730</v>
      </c>
      <c r="AK176" t="s" s="0">
        <v>83</v>
      </c>
      <c r="AL176" t="s" s="0">
        <v>2648</v>
      </c>
      <c r="AM176" t="s" s="0">
        <v>437</v>
      </c>
      <c r="AN176" t="s" s="0">
        <v>470</v>
      </c>
      <c r="AO176" t="s" s="0">
        <v>78</v>
      </c>
      <c r="AP176" t="s" s="0">
        <v>165</v>
      </c>
      <c r="AQ176" t="s" s="0">
        <v>4731</v>
      </c>
      <c r="AR176" t="s" s="0">
        <v>4732</v>
      </c>
      <c r="AS176" t="s" s="0">
        <v>4733</v>
      </c>
      <c r="AT176" t="s" s="0">
        <v>4734</v>
      </c>
      <c r="AU176" t="s" s="0">
        <v>4735</v>
      </c>
      <c r="AV176" t="s" s="0">
        <v>83</v>
      </c>
      <c r="AW176" t="s" s="0">
        <v>4727</v>
      </c>
      <c r="AX176" t="s" s="0">
        <v>4736</v>
      </c>
      <c r="AY176" t="s" s="0">
        <v>2872</v>
      </c>
      <c r="AZ176" t="s" s="0">
        <v>637</v>
      </c>
      <c r="BA176" t="s" s="0">
        <v>1747</v>
      </c>
      <c r="BB176" t="s" s="0">
        <v>4737</v>
      </c>
      <c r="BC176" t="s" s="0">
        <v>83</v>
      </c>
      <c r="BD176" t="s" s="0">
        <v>83</v>
      </c>
      <c r="BE176" t="s" s="0">
        <v>83</v>
      </c>
      <c r="BF176" t="s" s="0">
        <v>83</v>
      </c>
      <c r="BG176" t="s" s="0">
        <v>4738</v>
      </c>
      <c r="BH176" t="s" s="0">
        <v>4739</v>
      </c>
      <c r="BI176" t="s" s="0">
        <v>83</v>
      </c>
      <c r="BJ176" t="s" s="0">
        <v>4740</v>
      </c>
      <c r="BK176" t="s" s="349">
        <f>HYPERLINK("http://dx.doi.org/10.1055/a-1339-9987","http://dx.doi.org/10.1055/a-1339-9987")</f>
        <v>4741</v>
      </c>
      <c r="BL176" t="s" s="0">
        <v>83</v>
      </c>
      <c r="BM176" t="s" s="0">
        <v>4742</v>
      </c>
      <c r="BN176" t="s" s="0">
        <v>149</v>
      </c>
      <c r="BO176" t="s" s="0">
        <v>1656</v>
      </c>
      <c r="BP176" t="s" s="0">
        <v>1656</v>
      </c>
      <c r="BQ176" t="s" s="0">
        <v>4743</v>
      </c>
      <c r="BR176" t="s" s="0">
        <v>4744</v>
      </c>
      <c r="BS176" t="s" s="0">
        <v>4745</v>
      </c>
      <c r="BT176" t="s" s="350">
        <f>HYPERLINK("https://www.webofscience.com/wos/woscc/full-record/WOS:000621185700001","View Record in Web of Science")</f>
        <v>126</v>
      </c>
      <c r="BU176" t="s" s="0">
        <v>83</v>
      </c>
      <c r="BV176" t="s" s="0">
        <v>83</v>
      </c>
      <c r="BW176" t="s" s="0">
        <v>83</v>
      </c>
      <c r="BX176" t="s" s="0">
        <v>130</v>
      </c>
    </row>
    <row r="177">
      <c r="A177" t="s" s="0">
        <v>78</v>
      </c>
      <c r="B177" t="s" s="0">
        <v>78</v>
      </c>
      <c r="C177" t="s" s="0">
        <v>78</v>
      </c>
      <c r="D177" t="s" s="0">
        <v>78</v>
      </c>
      <c r="E177" t="s" s="0">
        <v>4746</v>
      </c>
      <c r="F177" t="s" s="0">
        <v>4747</v>
      </c>
      <c r="G177" t="s" s="0">
        <v>4748</v>
      </c>
      <c r="H177" t="s" s="0">
        <v>83</v>
      </c>
      <c r="I177" t="s" s="0">
        <v>257</v>
      </c>
      <c r="J177" t="s" s="0">
        <v>4749</v>
      </c>
      <c r="K177" t="s" s="0">
        <v>4750</v>
      </c>
      <c r="L177" t="s" s="0">
        <v>83</v>
      </c>
      <c r="M177" t="s" s="0">
        <v>83</v>
      </c>
      <c r="N177" t="s" s="0">
        <v>83</v>
      </c>
      <c r="O177" t="s" s="0">
        <v>4751</v>
      </c>
      <c r="P177" t="s" s="0">
        <v>4752</v>
      </c>
      <c r="Q177" t="s" s="0">
        <v>92</v>
      </c>
      <c r="R177" t="s" s="0">
        <v>83</v>
      </c>
      <c r="S177" t="s" s="0">
        <v>83</v>
      </c>
      <c r="T177" t="s" s="0">
        <v>83</v>
      </c>
      <c r="U177" t="s" s="0">
        <v>83</v>
      </c>
      <c r="V177" t="s" s="0">
        <v>4753</v>
      </c>
      <c r="W177" t="s" s="0">
        <v>4754</v>
      </c>
      <c r="X177" t="s" s="0">
        <v>83</v>
      </c>
      <c r="Y177" t="s" s="0">
        <v>83</v>
      </c>
      <c r="Z177" t="s" s="0">
        <v>95</v>
      </c>
      <c r="AA177" t="s" s="0">
        <v>96</v>
      </c>
      <c r="AB177" t="s" s="0">
        <v>83</v>
      </c>
      <c r="AC177" t="s" s="0">
        <v>83</v>
      </c>
      <c r="AD177" t="s" s="0">
        <v>83</v>
      </c>
      <c r="AE177" t="s" s="0">
        <v>83</v>
      </c>
      <c r="AF177" t="s" s="0">
        <v>83</v>
      </c>
      <c r="AG177" t="s" s="0">
        <v>4755</v>
      </c>
      <c r="AH177" t="s" s="0">
        <v>4756</v>
      </c>
      <c r="AI177" t="s" s="0">
        <v>4757</v>
      </c>
      <c r="AJ177" t="s" s="0">
        <v>4758</v>
      </c>
      <c r="AK177" t="s" s="0">
        <v>83</v>
      </c>
      <c r="AL177" t="s" s="0">
        <v>115</v>
      </c>
      <c r="AM177" t="s" s="0">
        <v>202</v>
      </c>
      <c r="AN177" t="s" s="0">
        <v>170</v>
      </c>
      <c r="AO177" t="s" s="0">
        <v>165</v>
      </c>
      <c r="AP177" t="s" s="0">
        <v>1651</v>
      </c>
      <c r="AQ177" t="s" s="0">
        <v>151</v>
      </c>
      <c r="AR177" t="s" s="0">
        <v>152</v>
      </c>
      <c r="AS177" t="s" s="0">
        <v>153</v>
      </c>
      <c r="AT177" t="s" s="0">
        <v>4759</v>
      </c>
      <c r="AU177" t="s" s="0">
        <v>4760</v>
      </c>
      <c r="AV177" t="s" s="0">
        <v>83</v>
      </c>
      <c r="AW177" t="s" s="0">
        <v>4761</v>
      </c>
      <c r="AX177" t="s" s="0">
        <v>4762</v>
      </c>
      <c r="AY177" t="s" s="0">
        <v>4326</v>
      </c>
      <c r="AZ177" t="s" s="0">
        <v>412</v>
      </c>
      <c r="BA177" t="s" s="0">
        <v>1030</v>
      </c>
      <c r="BB177" t="s" s="0">
        <v>83</v>
      </c>
      <c r="BC177" t="s" s="0">
        <v>83</v>
      </c>
      <c r="BD177" t="s" s="0">
        <v>83</v>
      </c>
      <c r="BE177" t="s" s="0">
        <v>83</v>
      </c>
      <c r="BF177" t="s" s="0">
        <v>83</v>
      </c>
      <c r="BG177" t="s" s="0">
        <v>83</v>
      </c>
      <c r="BH177" t="s" s="0">
        <v>83</v>
      </c>
      <c r="BI177" t="s" s="0">
        <v>4763</v>
      </c>
      <c r="BJ177" t="s" s="0">
        <v>4764</v>
      </c>
      <c r="BK177" t="s" s="351">
        <f>HYPERLINK("http://dx.doi.org/10.1016/j.ejon.2024.102510","http://dx.doi.org/10.1016/j.ejon.2024.102510")</f>
        <v>4765</v>
      </c>
      <c r="BL177" t="s" s="0">
        <v>83</v>
      </c>
      <c r="BM177" t="s" s="0">
        <v>4326</v>
      </c>
      <c r="BN177" t="s" s="0">
        <v>165</v>
      </c>
      <c r="BO177" t="s" s="0">
        <v>4766</v>
      </c>
      <c r="BP177" t="s" s="0">
        <v>4766</v>
      </c>
      <c r="BQ177" t="s" s="0">
        <v>4767</v>
      </c>
      <c r="BR177" t="s" s="0">
        <v>4768</v>
      </c>
      <c r="BS177" t="s" s="0">
        <v>4769</v>
      </c>
      <c r="BT177" t="s" s="352">
        <f>HYPERLINK("https://www.webofscience.com/wos/woscc/full-record/WOS:001178285600001","View Record in Web of Science")</f>
        <v>126</v>
      </c>
      <c r="BU177" t="s" s="0">
        <v>4770</v>
      </c>
      <c r="BV177" t="s" s="0">
        <v>83</v>
      </c>
      <c r="BW177" t="s" s="0">
        <v>83</v>
      </c>
      <c r="BX177" t="s" s="0">
        <v>130</v>
      </c>
    </row>
    <row r="178">
      <c r="A178" t="s" s="0">
        <v>78</v>
      </c>
      <c r="B178" t="s" s="0">
        <v>78</v>
      </c>
      <c r="C178" t="s" s="0">
        <v>78</v>
      </c>
      <c r="D178" t="s" s="0">
        <v>78</v>
      </c>
      <c r="E178" t="s" s="0">
        <v>4771</v>
      </c>
      <c r="F178" t="s" s="0">
        <v>4772</v>
      </c>
      <c r="G178" t="s" s="0">
        <v>4773</v>
      </c>
      <c r="H178" t="s" s="0">
        <v>83</v>
      </c>
      <c r="I178" t="s" s="0">
        <v>84</v>
      </c>
      <c r="J178" t="s" s="0">
        <v>4774</v>
      </c>
      <c r="K178" t="s" s="0">
        <v>4775</v>
      </c>
      <c r="L178" t="s" s="0">
        <v>4776</v>
      </c>
      <c r="M178" t="s" s="0">
        <v>4776</v>
      </c>
      <c r="N178" t="s" s="0">
        <v>4777</v>
      </c>
      <c r="O178" t="s" s="0">
        <v>4778</v>
      </c>
      <c r="P178" t="s" s="0">
        <v>4779</v>
      </c>
      <c r="Q178" t="s" s="0">
        <v>92</v>
      </c>
      <c r="R178" t="s" s="0">
        <v>83</v>
      </c>
      <c r="S178" t="s" s="0">
        <v>83</v>
      </c>
      <c r="T178" t="s" s="0">
        <v>83</v>
      </c>
      <c r="U178" t="s" s="0">
        <v>83</v>
      </c>
      <c r="V178" t="s" s="0">
        <v>4780</v>
      </c>
      <c r="W178" t="s" s="0">
        <v>4781</v>
      </c>
      <c r="X178" t="s" s="0">
        <v>83</v>
      </c>
      <c r="Y178" t="s" s="0">
        <v>83</v>
      </c>
      <c r="Z178" t="s" s="0">
        <v>95</v>
      </c>
      <c r="AA178" t="s" s="0">
        <v>96</v>
      </c>
      <c r="AB178" t="s" s="0">
        <v>83</v>
      </c>
      <c r="AC178" t="s" s="0">
        <v>83</v>
      </c>
      <c r="AD178" t="s" s="0">
        <v>83</v>
      </c>
      <c r="AE178" t="s" s="0">
        <v>83</v>
      </c>
      <c r="AF178" t="s" s="0">
        <v>83</v>
      </c>
      <c r="AG178" t="s" s="0">
        <v>4782</v>
      </c>
      <c r="AH178" t="s" s="0">
        <v>83</v>
      </c>
      <c r="AI178" t="s" s="0">
        <v>4783</v>
      </c>
      <c r="AJ178" t="s" s="0">
        <v>4784</v>
      </c>
      <c r="AK178" t="s" s="0">
        <v>83</v>
      </c>
      <c r="AL178" t="s" s="0">
        <v>407</v>
      </c>
      <c r="AM178" t="s" s="0">
        <v>78</v>
      </c>
      <c r="AN178" t="s" s="0">
        <v>78</v>
      </c>
      <c r="AO178" t="s" s="0">
        <v>232</v>
      </c>
      <c r="AP178" t="s" s="0">
        <v>232</v>
      </c>
      <c r="AQ178" t="s" s="0">
        <v>805</v>
      </c>
      <c r="AR178" t="s" s="0">
        <v>806</v>
      </c>
      <c r="AS178" t="s" s="0">
        <v>807</v>
      </c>
      <c r="AT178" t="s" s="0">
        <v>83</v>
      </c>
      <c r="AU178" t="s" s="0">
        <v>4785</v>
      </c>
      <c r="AV178" t="s" s="0">
        <v>83</v>
      </c>
      <c r="AW178" t="s" s="0">
        <v>4786</v>
      </c>
      <c r="AX178" t="s" s="0">
        <v>4787</v>
      </c>
      <c r="AY178" t="s" s="0">
        <v>4788</v>
      </c>
      <c r="AZ178" t="s" s="0">
        <v>511</v>
      </c>
      <c r="BA178" t="s" s="0">
        <v>120</v>
      </c>
      <c r="BB178" t="s" s="0">
        <v>545</v>
      </c>
      <c r="BC178" t="s" s="0">
        <v>83</v>
      </c>
      <c r="BD178" t="s" s="0">
        <v>83</v>
      </c>
      <c r="BE178" t="s" s="0">
        <v>83</v>
      </c>
      <c r="BF178" t="s" s="0">
        <v>83</v>
      </c>
      <c r="BG178" t="s" s="0">
        <v>83</v>
      </c>
      <c r="BH178" t="s" s="0">
        <v>83</v>
      </c>
      <c r="BI178" t="s" s="0">
        <v>1347</v>
      </c>
      <c r="BJ178" t="s" s="0">
        <v>4789</v>
      </c>
      <c r="BK178" t="s" s="353">
        <f>HYPERLINK("http://dx.doi.org/10.3390/jcdd13030119","http://dx.doi.org/10.3390/jcdd13030119")</f>
        <v>4790</v>
      </c>
      <c r="BL178" t="s" s="0">
        <v>83</v>
      </c>
      <c r="BM178" t="s" s="0">
        <v>83</v>
      </c>
      <c r="BN178" t="s" s="0">
        <v>150</v>
      </c>
      <c r="BO178" t="s" s="0">
        <v>1133</v>
      </c>
      <c r="BP178" t="s" s="0">
        <v>1134</v>
      </c>
      <c r="BQ178" t="s" s="0">
        <v>4791</v>
      </c>
      <c r="BR178" t="s" s="0">
        <v>4792</v>
      </c>
      <c r="BS178" t="s" s="0">
        <v>4793</v>
      </c>
      <c r="BT178" t="s" s="354">
        <f>HYPERLINK("https://www.webofscience.com/wos/woscc/full-record/WOS:001725700600001","View Record in Web of Science")</f>
        <v>126</v>
      </c>
      <c r="BU178" t="s" s="0">
        <v>210</v>
      </c>
      <c r="BV178" t="s" s="0">
        <v>83</v>
      </c>
      <c r="BW178" t="s" s="0">
        <v>83</v>
      </c>
      <c r="BX178" t="s" s="0">
        <v>130</v>
      </c>
    </row>
    <row r="179">
      <c r="A179" t="s" s="0">
        <v>78</v>
      </c>
      <c r="B179" t="s" s="0">
        <v>78</v>
      </c>
      <c r="C179" t="s" s="0">
        <v>115</v>
      </c>
      <c r="D179" t="s" s="0">
        <v>78</v>
      </c>
      <c r="E179" t="s" s="0">
        <v>4794</v>
      </c>
      <c r="F179" t="s" s="0">
        <v>4795</v>
      </c>
      <c r="G179" t="s" s="0">
        <v>4796</v>
      </c>
      <c r="H179" t="s" s="0">
        <v>83</v>
      </c>
      <c r="I179" t="s" s="0">
        <v>84</v>
      </c>
      <c r="J179" t="s" s="0">
        <v>4797</v>
      </c>
      <c r="K179" t="s" s="0">
        <v>4798</v>
      </c>
      <c r="L179" t="s" s="0">
        <v>4799</v>
      </c>
      <c r="M179" t="s" s="0">
        <v>4800</v>
      </c>
      <c r="N179" t="s" s="0">
        <v>4801</v>
      </c>
      <c r="O179" t="s" s="0">
        <v>4802</v>
      </c>
      <c r="P179" t="s" s="0">
        <v>4803</v>
      </c>
      <c r="Q179" t="s" s="0">
        <v>92</v>
      </c>
      <c r="R179" t="s" s="0">
        <v>83</v>
      </c>
      <c r="S179" t="s" s="0">
        <v>83</v>
      </c>
      <c r="T179" t="s" s="0">
        <v>83</v>
      </c>
      <c r="U179" t="s" s="0">
        <v>83</v>
      </c>
      <c r="V179" t="s" s="0">
        <v>4804</v>
      </c>
      <c r="W179" t="s" s="0">
        <v>4805</v>
      </c>
      <c r="X179" t="s" s="0">
        <v>83</v>
      </c>
      <c r="Y179" t="s" s="0">
        <v>83</v>
      </c>
      <c r="Z179" t="s" s="0">
        <v>95</v>
      </c>
      <c r="AA179" t="s" s="0">
        <v>96</v>
      </c>
      <c r="AB179" t="s" s="0">
        <v>83</v>
      </c>
      <c r="AC179" t="s" s="0">
        <v>83</v>
      </c>
      <c r="AD179" t="s" s="0">
        <v>83</v>
      </c>
      <c r="AE179" t="s" s="0">
        <v>83</v>
      </c>
      <c r="AF179" t="s" s="0">
        <v>83</v>
      </c>
      <c r="AG179" t="s" s="0">
        <v>4806</v>
      </c>
      <c r="AH179" t="s" s="0">
        <v>83</v>
      </c>
      <c r="AI179" t="s" s="0">
        <v>4807</v>
      </c>
      <c r="AJ179" t="s" s="0">
        <v>4808</v>
      </c>
      <c r="AK179" t="s" s="0">
        <v>83</v>
      </c>
      <c r="AL179" t="s" s="0">
        <v>1747</v>
      </c>
      <c r="AM179" t="s" s="0">
        <v>231</v>
      </c>
      <c r="AN179" t="s" s="0">
        <v>149</v>
      </c>
      <c r="AO179" t="s" s="0">
        <v>78</v>
      </c>
      <c r="AP179" t="s" s="0">
        <v>150</v>
      </c>
      <c r="AQ179" t="s" s="0">
        <v>1267</v>
      </c>
      <c r="AR179" t="s" s="0">
        <v>234</v>
      </c>
      <c r="AS179" t="s" s="0">
        <v>1268</v>
      </c>
      <c r="AT179" t="s" s="0">
        <v>4809</v>
      </c>
      <c r="AU179" t="s" s="0">
        <v>4810</v>
      </c>
      <c r="AV179" t="s" s="0">
        <v>83</v>
      </c>
      <c r="AW179" t="s" s="0">
        <v>4811</v>
      </c>
      <c r="AX179" t="s" s="0">
        <v>4812</v>
      </c>
      <c r="AY179" t="s" s="0">
        <v>1189</v>
      </c>
      <c r="AZ179" t="s" s="0">
        <v>241</v>
      </c>
      <c r="BA179" t="s" s="0">
        <v>358</v>
      </c>
      <c r="BB179" t="s" s="0">
        <v>248</v>
      </c>
      <c r="BC179" t="s" s="0">
        <v>83</v>
      </c>
      <c r="BD179" t="s" s="0">
        <v>83</v>
      </c>
      <c r="BE179" t="s" s="0">
        <v>83</v>
      </c>
      <c r="BF179" t="s" s="0">
        <v>83</v>
      </c>
      <c r="BG179" t="s" s="0">
        <v>4813</v>
      </c>
      <c r="BH179" t="s" s="0">
        <v>4814</v>
      </c>
      <c r="BI179" t="s" s="0">
        <v>83</v>
      </c>
      <c r="BJ179" t="s" s="0">
        <v>4815</v>
      </c>
      <c r="BK179" t="s" s="355">
        <f>HYPERLINK("http://dx.doi.org/10.1007/s11926-023-01119-4","http://dx.doi.org/10.1007/s11926-023-01119-4")</f>
        <v>4816</v>
      </c>
      <c r="BL179" t="s" s="0">
        <v>83</v>
      </c>
      <c r="BM179" t="s" s="0">
        <v>1600</v>
      </c>
      <c r="BN179" t="s" s="0">
        <v>281</v>
      </c>
      <c r="BO179" t="s" s="0">
        <v>1103</v>
      </c>
      <c r="BP179" t="s" s="0">
        <v>1103</v>
      </c>
      <c r="BQ179" t="s" s="0">
        <v>4817</v>
      </c>
      <c r="BR179" t="s" s="0">
        <v>4818</v>
      </c>
      <c r="BS179" t="s" s="0">
        <v>4819</v>
      </c>
      <c r="BT179" t="s" s="356">
        <f>HYPERLINK("https://www.webofscience.com/wos/woscc/full-record/WOS:001100523200001","View Record in Web of Science")</f>
        <v>126</v>
      </c>
      <c r="BU179" t="s" s="0">
        <v>2737</v>
      </c>
      <c r="BV179" t="s" s="0">
        <v>83</v>
      </c>
      <c r="BW179" t="s" s="0">
        <v>83</v>
      </c>
      <c r="BX179" t="s" s="0">
        <v>130</v>
      </c>
    </row>
    <row r="180">
      <c r="A180" t="s" s="0">
        <v>78</v>
      </c>
      <c r="B180" t="s" s="0">
        <v>78</v>
      </c>
      <c r="C180" t="s" s="0">
        <v>78</v>
      </c>
      <c r="D180" t="s" s="0">
        <v>78</v>
      </c>
      <c r="E180" t="s" s="0">
        <v>4820</v>
      </c>
      <c r="F180" t="s" s="0">
        <v>4821</v>
      </c>
      <c r="G180" t="s" s="0">
        <v>4822</v>
      </c>
      <c r="H180" t="s" s="0">
        <v>83</v>
      </c>
      <c r="I180" t="s" s="0">
        <v>84</v>
      </c>
      <c r="J180" t="s" s="0">
        <v>4823</v>
      </c>
      <c r="K180" t="s" s="0">
        <v>4824</v>
      </c>
      <c r="L180" t="s" s="0">
        <v>83</v>
      </c>
      <c r="M180" t="s" s="0">
        <v>83</v>
      </c>
      <c r="N180" t="s" s="0">
        <v>1445</v>
      </c>
      <c r="O180" t="s" s="0">
        <v>4825</v>
      </c>
      <c r="P180" t="s" s="0">
        <v>4826</v>
      </c>
      <c r="Q180" t="s" s="0">
        <v>92</v>
      </c>
      <c r="R180" t="s" s="0">
        <v>83</v>
      </c>
      <c r="S180" t="s" s="0">
        <v>83</v>
      </c>
      <c r="T180" t="s" s="0">
        <v>83</v>
      </c>
      <c r="U180" t="s" s="0">
        <v>83</v>
      </c>
      <c r="V180" t="s" s="0">
        <v>4827</v>
      </c>
      <c r="W180" t="s" s="0">
        <v>3268</v>
      </c>
      <c r="X180" t="s" s="0">
        <v>83</v>
      </c>
      <c r="Y180" t="s" s="0">
        <v>83</v>
      </c>
      <c r="Z180" t="s" s="0">
        <v>95</v>
      </c>
      <c r="AA180" t="s" s="0">
        <v>96</v>
      </c>
      <c r="AB180" t="s" s="0">
        <v>83</v>
      </c>
      <c r="AC180" t="s" s="0">
        <v>83</v>
      </c>
      <c r="AD180" t="s" s="0">
        <v>83</v>
      </c>
      <c r="AE180" t="s" s="0">
        <v>83</v>
      </c>
      <c r="AF180" t="s" s="0">
        <v>83</v>
      </c>
      <c r="AG180" t="s" s="0">
        <v>4828</v>
      </c>
      <c r="AH180" t="s" s="0">
        <v>4829</v>
      </c>
      <c r="AI180" t="s" s="0">
        <v>4830</v>
      </c>
      <c r="AJ180" t="s" s="0">
        <v>83</v>
      </c>
      <c r="AK180" t="s" s="0">
        <v>83</v>
      </c>
      <c r="AL180" t="s" s="0">
        <v>4831</v>
      </c>
      <c r="AM180" t="s" s="0">
        <v>78</v>
      </c>
      <c r="AN180" t="s" s="0">
        <v>78</v>
      </c>
      <c r="AO180" t="s" s="0">
        <v>78</v>
      </c>
      <c r="AP180" t="s" s="0">
        <v>78</v>
      </c>
      <c r="AQ180" t="s" s="0">
        <v>805</v>
      </c>
      <c r="AR180" t="s" s="0">
        <v>806</v>
      </c>
      <c r="AS180" t="s" s="0">
        <v>807</v>
      </c>
      <c r="AT180" t="s" s="0">
        <v>83</v>
      </c>
      <c r="AU180" t="s" s="0">
        <v>3272</v>
      </c>
      <c r="AV180" t="s" s="0">
        <v>83</v>
      </c>
      <c r="AW180" t="s" s="0">
        <v>3268</v>
      </c>
      <c r="AX180" t="s" s="0">
        <v>3273</v>
      </c>
      <c r="AY180" t="s" s="0">
        <v>4832</v>
      </c>
      <c r="AZ180" t="s" s="0">
        <v>511</v>
      </c>
      <c r="BA180" t="s" s="0">
        <v>310</v>
      </c>
      <c r="BB180" t="s" s="0">
        <v>417</v>
      </c>
      <c r="BC180" t="s" s="0">
        <v>83</v>
      </c>
      <c r="BD180" t="s" s="0">
        <v>83</v>
      </c>
      <c r="BE180" t="s" s="0">
        <v>83</v>
      </c>
      <c r="BF180" t="s" s="0">
        <v>83</v>
      </c>
      <c r="BG180" t="s" s="0">
        <v>83</v>
      </c>
      <c r="BH180" t="s" s="0">
        <v>83</v>
      </c>
      <c r="BI180" t="s" s="0">
        <v>4833</v>
      </c>
      <c r="BJ180" t="s" s="0">
        <v>4834</v>
      </c>
      <c r="BK180" t="s" s="357">
        <f>HYPERLINK("http://dx.doi.org/10.3390/diagnostics16142266","http://dx.doi.org/10.3390/diagnostics16142266")</f>
        <v>4835</v>
      </c>
      <c r="BL180" t="s" s="0">
        <v>83</v>
      </c>
      <c r="BM180" t="s" s="0">
        <v>83</v>
      </c>
      <c r="BN180" t="s" s="0">
        <v>413</v>
      </c>
      <c r="BO180" t="s" s="0">
        <v>669</v>
      </c>
      <c r="BP180" t="s" s="0">
        <v>670</v>
      </c>
      <c r="BQ180" t="s" s="0">
        <v>4836</v>
      </c>
      <c r="BR180" t="s" s="0">
        <v>4837</v>
      </c>
      <c r="BS180" t="s" s="0">
        <v>4838</v>
      </c>
      <c r="BT180" t="s" s="358">
        <f>HYPERLINK("https://www.webofscience.com/wos/woscc/full-record/WOS:001833299600001","View Record in Web of Science")</f>
        <v>126</v>
      </c>
      <c r="BU180" t="s" s="0">
        <v>210</v>
      </c>
      <c r="BV180" t="s" s="0">
        <v>83</v>
      </c>
      <c r="BW180" t="s" s="0">
        <v>83</v>
      </c>
      <c r="BX180" t="s" s="0">
        <v>130</v>
      </c>
    </row>
    <row r="181">
      <c r="A181" t="s" s="0">
        <v>78</v>
      </c>
      <c r="B181" t="s" s="0">
        <v>78</v>
      </c>
      <c r="C181" t="s" s="0">
        <v>231</v>
      </c>
      <c r="D181" t="s" s="0">
        <v>78</v>
      </c>
      <c r="E181" t="s" s="0">
        <v>4839</v>
      </c>
      <c r="F181" t="s" s="0">
        <v>4840</v>
      </c>
      <c r="G181" t="s" s="0">
        <v>4841</v>
      </c>
      <c r="H181" t="s" s="0">
        <v>83</v>
      </c>
      <c r="I181" t="s" s="0">
        <v>84</v>
      </c>
      <c r="J181" t="s" s="0">
        <v>4842</v>
      </c>
      <c r="K181" t="s" s="0">
        <v>4843</v>
      </c>
      <c r="L181" t="s" s="0">
        <v>4844</v>
      </c>
      <c r="M181" t="s" s="0">
        <v>4845</v>
      </c>
      <c r="N181" t="s" s="0">
        <v>4846</v>
      </c>
      <c r="O181" t="s" s="0">
        <v>4847</v>
      </c>
      <c r="P181" t="s" s="0">
        <v>4848</v>
      </c>
      <c r="Q181" t="s" s="0">
        <v>92</v>
      </c>
      <c r="R181" t="s" s="0">
        <v>83</v>
      </c>
      <c r="S181" t="s" s="0">
        <v>83</v>
      </c>
      <c r="T181" t="s" s="0">
        <v>83</v>
      </c>
      <c r="U181" t="s" s="0">
        <v>83</v>
      </c>
      <c r="V181" t="s" s="0">
        <v>4849</v>
      </c>
      <c r="W181" t="s" s="0">
        <v>4850</v>
      </c>
      <c r="X181" t="s" s="0">
        <v>83</v>
      </c>
      <c r="Y181" t="s" s="0">
        <v>83</v>
      </c>
      <c r="Z181" t="s" s="0">
        <v>95</v>
      </c>
      <c r="AA181" t="s" s="0">
        <v>96</v>
      </c>
      <c r="AB181" t="s" s="0">
        <v>83</v>
      </c>
      <c r="AC181" t="s" s="0">
        <v>83</v>
      </c>
      <c r="AD181" t="s" s="0">
        <v>83</v>
      </c>
      <c r="AE181" t="s" s="0">
        <v>83</v>
      </c>
      <c r="AF181" t="s" s="0">
        <v>83</v>
      </c>
      <c r="AG181" t="s" s="0">
        <v>4851</v>
      </c>
      <c r="AH181" t="s" s="0">
        <v>4852</v>
      </c>
      <c r="AI181" t="s" s="0">
        <v>4853</v>
      </c>
      <c r="AJ181" t="s" s="0">
        <v>4854</v>
      </c>
      <c r="AK181" t="s" s="0">
        <v>83</v>
      </c>
      <c r="AL181" t="s" s="0">
        <v>857</v>
      </c>
      <c r="AM181" t="s" s="0">
        <v>310</v>
      </c>
      <c r="AN181" t="s" s="0">
        <v>269</v>
      </c>
      <c r="AO181" t="s" s="0">
        <v>78</v>
      </c>
      <c r="AP181" t="s" s="0">
        <v>115</v>
      </c>
      <c r="AQ181" t="s" s="0">
        <v>632</v>
      </c>
      <c r="AR181" t="s" s="0">
        <v>106</v>
      </c>
      <c r="AS181" t="s" s="0">
        <v>633</v>
      </c>
      <c r="AT181" t="s" s="0">
        <v>83</v>
      </c>
      <c r="AU181" t="s" s="0">
        <v>4855</v>
      </c>
      <c r="AV181" t="s" s="0">
        <v>83</v>
      </c>
      <c r="AW181" t="s" s="0">
        <v>4856</v>
      </c>
      <c r="AX181" t="s" s="0">
        <v>4857</v>
      </c>
      <c r="AY181" t="s" s="0">
        <v>1007</v>
      </c>
      <c r="AZ181" t="s" s="0">
        <v>279</v>
      </c>
      <c r="BA181" t="s" s="0">
        <v>165</v>
      </c>
      <c r="BB181" t="s" s="0">
        <v>115</v>
      </c>
      <c r="BC181" t="s" s="0">
        <v>83</v>
      </c>
      <c r="BD181" t="s" s="0">
        <v>83</v>
      </c>
      <c r="BE181" t="s" s="0">
        <v>83</v>
      </c>
      <c r="BF181" t="s" s="0">
        <v>83</v>
      </c>
      <c r="BG181" t="s" s="0">
        <v>83</v>
      </c>
      <c r="BH181" t="s" s="0">
        <v>83</v>
      </c>
      <c r="BI181" t="s" s="0">
        <v>4858</v>
      </c>
      <c r="BJ181" t="s" s="0">
        <v>4859</v>
      </c>
      <c r="BK181" t="s" s="359">
        <f>HYPERLINK("http://dx.doi.org/10.1136/bmjresp-2021-001165","http://dx.doi.org/10.1136/bmjresp-2021-001165")</f>
        <v>4860</v>
      </c>
      <c r="BL181" t="s" s="0">
        <v>83</v>
      </c>
      <c r="BM181" t="s" s="0">
        <v>83</v>
      </c>
      <c r="BN181" t="s" s="0">
        <v>232</v>
      </c>
      <c r="BO181" t="s" s="0">
        <v>2248</v>
      </c>
      <c r="BP181" t="s" s="0">
        <v>2248</v>
      </c>
      <c r="BQ181" t="s" s="0">
        <v>4861</v>
      </c>
      <c r="BR181" t="s" s="0">
        <v>4862</v>
      </c>
      <c r="BS181" t="s" s="0">
        <v>4863</v>
      </c>
      <c r="BT181" t="s" s="360">
        <f>HYPERLINK("https://www.webofscience.com/wos/woscc/full-record/WOS:000770294800001","View Record in Web of Science")</f>
        <v>126</v>
      </c>
      <c r="BU181" t="s" s="0">
        <v>210</v>
      </c>
      <c r="BV181" t="s" s="0">
        <v>83</v>
      </c>
      <c r="BW181" t="s" s="0">
        <v>83</v>
      </c>
      <c r="BX181" t="s" s="0">
        <v>130</v>
      </c>
    </row>
    <row r="182">
      <c r="A182" t="s" s="0">
        <v>148</v>
      </c>
      <c r="B182" t="s" s="0">
        <v>78</v>
      </c>
      <c r="C182" t="s" s="0">
        <v>232</v>
      </c>
      <c r="D182" t="s" s="0">
        <v>78</v>
      </c>
      <c r="E182" t="s" s="0">
        <v>4864</v>
      </c>
      <c r="F182" t="s" s="0">
        <v>4865</v>
      </c>
      <c r="G182" t="s" s="0">
        <v>4866</v>
      </c>
      <c r="H182" t="s" s="0">
        <v>83</v>
      </c>
      <c r="I182" t="s" s="0">
        <v>84</v>
      </c>
      <c r="J182" t="s" s="0">
        <v>4867</v>
      </c>
      <c r="K182" t="s" s="0">
        <v>4868</v>
      </c>
      <c r="L182" t="s" s="0">
        <v>4869</v>
      </c>
      <c r="M182" t="s" s="0">
        <v>4870</v>
      </c>
      <c r="N182" t="s" s="0">
        <v>4871</v>
      </c>
      <c r="O182" t="s" s="0">
        <v>4872</v>
      </c>
      <c r="P182" t="s" s="0">
        <v>4873</v>
      </c>
      <c r="Q182" t="s" s="0">
        <v>92</v>
      </c>
      <c r="R182" t="s" s="0">
        <v>83</v>
      </c>
      <c r="S182" t="s" s="0">
        <v>83</v>
      </c>
      <c r="T182" t="s" s="0">
        <v>83</v>
      </c>
      <c r="U182" t="s" s="0">
        <v>83</v>
      </c>
      <c r="V182" t="s" s="0">
        <v>4874</v>
      </c>
      <c r="W182" t="s" s="0">
        <v>4875</v>
      </c>
      <c r="X182" t="s" s="0">
        <v>83</v>
      </c>
      <c r="Y182" t="s" s="0">
        <v>83</v>
      </c>
      <c r="Z182" t="s" s="0">
        <v>95</v>
      </c>
      <c r="AA182" t="s" s="0">
        <v>96</v>
      </c>
      <c r="AB182" t="s" s="0">
        <v>83</v>
      </c>
      <c r="AC182" t="s" s="0">
        <v>83</v>
      </c>
      <c r="AD182" t="s" s="0">
        <v>83</v>
      </c>
      <c r="AE182" t="s" s="0">
        <v>83</v>
      </c>
      <c r="AF182" t="s" s="0">
        <v>83</v>
      </c>
      <c r="AG182" t="s" s="0">
        <v>4876</v>
      </c>
      <c r="AH182" t="s" s="0">
        <v>4877</v>
      </c>
      <c r="AI182" t="s" s="0">
        <v>4878</v>
      </c>
      <c r="AJ182" t="s" s="0">
        <v>4879</v>
      </c>
      <c r="AK182" t="s" s="0">
        <v>83</v>
      </c>
      <c r="AL182" t="s" s="0">
        <v>1567</v>
      </c>
      <c r="AM182" t="s" s="0">
        <v>228</v>
      </c>
      <c r="AN182" t="s" s="0">
        <v>1954</v>
      </c>
      <c r="AO182" t="s" s="0">
        <v>115</v>
      </c>
      <c r="AP182" t="s" s="0">
        <v>1873</v>
      </c>
      <c r="AQ182" t="s" s="0">
        <v>1267</v>
      </c>
      <c r="AR182" t="s" s="0">
        <v>234</v>
      </c>
      <c r="AS182" t="s" s="0">
        <v>1268</v>
      </c>
      <c r="AT182" t="s" s="0">
        <v>4880</v>
      </c>
      <c r="AU182" t="s" s="0">
        <v>4881</v>
      </c>
      <c r="AV182" t="s" s="0">
        <v>83</v>
      </c>
      <c r="AW182" t="s" s="0">
        <v>4882</v>
      </c>
      <c r="AX182" t="s" s="0">
        <v>4883</v>
      </c>
      <c r="AY182" t="s" s="0">
        <v>4243</v>
      </c>
      <c r="AZ182" t="s" s="0">
        <v>279</v>
      </c>
      <c r="BA182" t="s" s="0">
        <v>201</v>
      </c>
      <c r="BB182" t="s" s="0">
        <v>281</v>
      </c>
      <c r="BC182" t="s" s="0">
        <v>83</v>
      </c>
      <c r="BD182" t="s" s="0">
        <v>83</v>
      </c>
      <c r="BE182" t="s" s="0">
        <v>83</v>
      </c>
      <c r="BF182" t="s" s="0">
        <v>83</v>
      </c>
      <c r="BG182" t="s" s="0">
        <v>4884</v>
      </c>
      <c r="BH182" t="s" s="0">
        <v>4885</v>
      </c>
      <c r="BI182" t="s" s="0">
        <v>83</v>
      </c>
      <c r="BJ182" t="s" s="0">
        <v>4886</v>
      </c>
      <c r="BK182" t="s" s="361">
        <f>HYPERLINK("http://dx.doi.org/10.1007/s00586-021-07064-z","http://dx.doi.org/10.1007/s00586-021-07064-z")</f>
        <v>4887</v>
      </c>
      <c r="BL182" t="s" s="0">
        <v>83</v>
      </c>
      <c r="BM182" t="s" s="0">
        <v>1906</v>
      </c>
      <c r="BN182" t="s" s="0">
        <v>417</v>
      </c>
      <c r="BO182" t="s" s="0">
        <v>895</v>
      </c>
      <c r="BP182" t="s" s="0">
        <v>896</v>
      </c>
      <c r="BQ182" t="s" s="0">
        <v>4888</v>
      </c>
      <c r="BR182" t="s" s="0">
        <v>4889</v>
      </c>
      <c r="BS182" t="s" s="0">
        <v>4890</v>
      </c>
      <c r="BT182" t="s" s="362">
        <f>HYPERLINK("https://www.webofscience.com/wos/woscc/full-record/WOS:000722477200001","View Record in Web of Science")</f>
        <v>126</v>
      </c>
      <c r="BU182" t="s" s="0">
        <v>584</v>
      </c>
      <c r="BV182" t="s" s="0">
        <v>83</v>
      </c>
      <c r="BW182" t="s" s="0">
        <v>83</v>
      </c>
      <c r="BX182" t="s" s="0">
        <v>130</v>
      </c>
    </row>
    <row r="183">
      <c r="A183" t="s" s="0">
        <v>78</v>
      </c>
      <c r="B183" t="s" s="0">
        <v>78</v>
      </c>
      <c r="C183" t="s" s="0">
        <v>248</v>
      </c>
      <c r="D183" t="s" s="0">
        <v>78</v>
      </c>
      <c r="E183" t="s" s="0">
        <v>4891</v>
      </c>
      <c r="F183" t="s" s="0">
        <v>4892</v>
      </c>
      <c r="G183" t="s" s="0">
        <v>4893</v>
      </c>
      <c r="H183" t="s" s="0">
        <v>83</v>
      </c>
      <c r="I183" t="s" s="0">
        <v>84</v>
      </c>
      <c r="J183" t="s" s="0">
        <v>4894</v>
      </c>
      <c r="K183" t="s" s="0">
        <v>4895</v>
      </c>
      <c r="L183" t="s" s="0">
        <v>83</v>
      </c>
      <c r="M183" t="s" s="0">
        <v>83</v>
      </c>
      <c r="N183" t="s" s="0">
        <v>83</v>
      </c>
      <c r="O183" t="s" s="0">
        <v>4896</v>
      </c>
      <c r="P183" t="s" s="0">
        <v>4897</v>
      </c>
      <c r="Q183" t="s" s="0">
        <v>92</v>
      </c>
      <c r="R183" t="s" s="0">
        <v>83</v>
      </c>
      <c r="S183" t="s" s="0">
        <v>83</v>
      </c>
      <c r="T183" t="s" s="0">
        <v>83</v>
      </c>
      <c r="U183" t="s" s="0">
        <v>83</v>
      </c>
      <c r="V183" t="s" s="0">
        <v>4898</v>
      </c>
      <c r="W183" t="s" s="0">
        <v>4899</v>
      </c>
      <c r="X183" t="s" s="0">
        <v>83</v>
      </c>
      <c r="Y183" t="s" s="0">
        <v>83</v>
      </c>
      <c r="Z183" t="s" s="0">
        <v>95</v>
      </c>
      <c r="AA183" t="s" s="0">
        <v>96</v>
      </c>
      <c r="AB183" t="s" s="0">
        <v>83</v>
      </c>
      <c r="AC183" t="s" s="0">
        <v>83</v>
      </c>
      <c r="AD183" t="s" s="0">
        <v>83</v>
      </c>
      <c r="AE183" t="s" s="0">
        <v>83</v>
      </c>
      <c r="AF183" t="s" s="0">
        <v>83</v>
      </c>
      <c r="AG183" t="s" s="0">
        <v>4900</v>
      </c>
      <c r="AH183" t="s" s="0">
        <v>4901</v>
      </c>
      <c r="AI183" t="s" s="0">
        <v>4902</v>
      </c>
      <c r="AJ183" t="s" s="0">
        <v>4903</v>
      </c>
      <c r="AK183" t="s" s="0">
        <v>83</v>
      </c>
      <c r="AL183" t="s" s="0">
        <v>2945</v>
      </c>
      <c r="AM183" t="s" s="0">
        <v>191</v>
      </c>
      <c r="AN183" t="s" s="0">
        <v>229</v>
      </c>
      <c r="AO183" t="s" s="0">
        <v>150</v>
      </c>
      <c r="AP183" t="s" s="0">
        <v>148</v>
      </c>
      <c r="AQ183" t="s" s="0">
        <v>805</v>
      </c>
      <c r="AR183" t="s" s="0">
        <v>806</v>
      </c>
      <c r="AS183" t="s" s="0">
        <v>4904</v>
      </c>
      <c r="AT183" t="s" s="0">
        <v>83</v>
      </c>
      <c r="AU183" t="s" s="0">
        <v>4905</v>
      </c>
      <c r="AV183" t="s" s="0">
        <v>83</v>
      </c>
      <c r="AW183" t="s" s="0">
        <v>4906</v>
      </c>
      <c r="AX183" t="s" s="0">
        <v>4907</v>
      </c>
      <c r="AY183" t="s" s="0">
        <v>1189</v>
      </c>
      <c r="AZ183" t="s" s="0">
        <v>241</v>
      </c>
      <c r="BA183" t="s" s="0">
        <v>120</v>
      </c>
      <c r="BB183" t="s" s="0">
        <v>248</v>
      </c>
      <c r="BC183" t="s" s="0">
        <v>83</v>
      </c>
      <c r="BD183" t="s" s="0">
        <v>83</v>
      </c>
      <c r="BE183" t="s" s="0">
        <v>83</v>
      </c>
      <c r="BF183" t="s" s="0">
        <v>83</v>
      </c>
      <c r="BG183" t="s" s="0">
        <v>83</v>
      </c>
      <c r="BH183" t="s" s="0">
        <v>83</v>
      </c>
      <c r="BI183" t="s" s="0">
        <v>4908</v>
      </c>
      <c r="BJ183" t="s" s="0">
        <v>4909</v>
      </c>
      <c r="BK183" t="s" s="363">
        <f>HYPERLINK("http://dx.doi.org/10.3390/brainsci13121723","http://dx.doi.org/10.3390/brainsci13121723")</f>
        <v>4910</v>
      </c>
      <c r="BL183" t="s" s="0">
        <v>83</v>
      </c>
      <c r="BM183" t="s" s="0">
        <v>83</v>
      </c>
      <c r="BN183" t="s" s="0">
        <v>470</v>
      </c>
      <c r="BO183" t="s" s="0">
        <v>3212</v>
      </c>
      <c r="BP183" t="s" s="0">
        <v>3213</v>
      </c>
      <c r="BQ183" t="s" s="0">
        <v>4911</v>
      </c>
      <c r="BR183" t="s" s="0">
        <v>4912</v>
      </c>
      <c r="BS183" t="s" s="0">
        <v>4913</v>
      </c>
      <c r="BT183" t="s" s="364">
        <f>HYPERLINK("https://www.webofscience.com/wos/woscc/full-record/WOS:001130788800001","View Record in Web of Science")</f>
        <v>126</v>
      </c>
      <c r="BU183" t="s" s="0">
        <v>210</v>
      </c>
      <c r="BV183" t="s" s="0">
        <v>83</v>
      </c>
      <c r="BW183" t="s" s="0">
        <v>83</v>
      </c>
      <c r="BX183" t="s" s="0">
        <v>130</v>
      </c>
    </row>
    <row r="184">
      <c r="A184" t="s" s="0">
        <v>78</v>
      </c>
      <c r="B184" t="s" s="0">
        <v>78</v>
      </c>
      <c r="C184" t="s" s="0">
        <v>78</v>
      </c>
      <c r="D184" t="s" s="0">
        <v>78</v>
      </c>
      <c r="E184" t="s" s="0">
        <v>4914</v>
      </c>
      <c r="F184" t="s" s="0">
        <v>4915</v>
      </c>
      <c r="G184" t="s" s="0">
        <v>4916</v>
      </c>
      <c r="H184" t="s" s="0">
        <v>83</v>
      </c>
      <c r="I184" t="s" s="0">
        <v>84</v>
      </c>
      <c r="J184" t="s" s="0">
        <v>4917</v>
      </c>
      <c r="K184" t="s" s="0">
        <v>4918</v>
      </c>
      <c r="L184" t="s" s="0">
        <v>83</v>
      </c>
      <c r="M184" t="s" s="0">
        <v>83</v>
      </c>
      <c r="N184" t="s" s="0">
        <v>83</v>
      </c>
      <c r="O184" t="s" s="0">
        <v>4919</v>
      </c>
      <c r="P184" t="s" s="0">
        <v>4920</v>
      </c>
      <c r="Q184" t="s" s="0">
        <v>92</v>
      </c>
      <c r="R184" t="s" s="0">
        <v>83</v>
      </c>
      <c r="S184" t="s" s="0">
        <v>83</v>
      </c>
      <c r="T184" t="s" s="0">
        <v>83</v>
      </c>
      <c r="U184" t="s" s="0">
        <v>83</v>
      </c>
      <c r="V184" t="s" s="0">
        <v>4921</v>
      </c>
      <c r="W184" t="s" s="0">
        <v>4922</v>
      </c>
      <c r="X184" t="s" s="0">
        <v>83</v>
      </c>
      <c r="Y184" t="s" s="0">
        <v>83</v>
      </c>
      <c r="Z184" t="s" s="0">
        <v>95</v>
      </c>
      <c r="AA184" t="s" s="0">
        <v>96</v>
      </c>
      <c r="AB184" t="s" s="0">
        <v>83</v>
      </c>
      <c r="AC184" t="s" s="0">
        <v>83</v>
      </c>
      <c r="AD184" t="s" s="0">
        <v>83</v>
      </c>
      <c r="AE184" t="s" s="0">
        <v>83</v>
      </c>
      <c r="AF184" t="s" s="0">
        <v>83</v>
      </c>
      <c r="AG184" t="s" s="0">
        <v>4923</v>
      </c>
      <c r="AH184" t="s" s="0">
        <v>4924</v>
      </c>
      <c r="AI184" t="s" s="0">
        <v>4925</v>
      </c>
      <c r="AJ184" t="s" s="0">
        <v>4926</v>
      </c>
      <c r="AK184" t="s" s="0">
        <v>83</v>
      </c>
      <c r="AL184" t="s" s="0">
        <v>1902</v>
      </c>
      <c r="AM184" t="s" s="0">
        <v>78</v>
      </c>
      <c r="AN184" t="s" s="0">
        <v>78</v>
      </c>
      <c r="AO184" t="s" s="0">
        <v>78</v>
      </c>
      <c r="AP184" t="s" s="0">
        <v>545</v>
      </c>
      <c r="AQ184" t="s" s="0">
        <v>4927</v>
      </c>
      <c r="AR184" t="s" s="0">
        <v>4928</v>
      </c>
      <c r="AS184" t="s" s="0">
        <v>4929</v>
      </c>
      <c r="AT184" t="s" s="0">
        <v>4930</v>
      </c>
      <c r="AU184" t="s" s="0">
        <v>4931</v>
      </c>
      <c r="AV184" t="s" s="0">
        <v>83</v>
      </c>
      <c r="AW184" t="s" s="0">
        <v>4932</v>
      </c>
      <c r="AX184" t="s" s="0">
        <v>4933</v>
      </c>
      <c r="AY184" t="s" s="0">
        <v>4934</v>
      </c>
      <c r="AZ184" t="s" s="0">
        <v>200</v>
      </c>
      <c r="BA184" t="s" s="0">
        <v>857</v>
      </c>
      <c r="BB184" t="s" s="0">
        <v>77</v>
      </c>
      <c r="BC184" t="s" s="0">
        <v>83</v>
      </c>
      <c r="BD184" t="s" s="0">
        <v>83</v>
      </c>
      <c r="BE184" t="s" s="0">
        <v>83</v>
      </c>
      <c r="BF184" t="s" s="0">
        <v>83</v>
      </c>
      <c r="BG184" t="s" s="0">
        <v>4935</v>
      </c>
      <c r="BH184" t="s" s="0">
        <v>4711</v>
      </c>
      <c r="BI184" t="s" s="0">
        <v>83</v>
      </c>
      <c r="BJ184" t="s" s="0">
        <v>83</v>
      </c>
      <c r="BK184" t="s" s="0">
        <v>83</v>
      </c>
      <c r="BL184" t="s" s="0">
        <v>83</v>
      </c>
      <c r="BM184" t="s" s="0">
        <v>83</v>
      </c>
      <c r="BN184" t="s" s="0">
        <v>211</v>
      </c>
      <c r="BO184" t="s" s="0">
        <v>550</v>
      </c>
      <c r="BP184" t="s" s="0">
        <v>550</v>
      </c>
      <c r="BQ184" t="s" s="0">
        <v>4936</v>
      </c>
      <c r="BR184" t="s" s="0">
        <v>4937</v>
      </c>
      <c r="BS184" t="s" s="0">
        <v>4938</v>
      </c>
      <c r="BT184" t="s" s="365">
        <f>HYPERLINK("https://www.webofscience.com/wos/woscc/full-record/WOS:000403106500002","View Record in Web of Science")</f>
        <v>126</v>
      </c>
      <c r="BU184" t="s" s="0">
        <v>83</v>
      </c>
      <c r="BV184" t="s" s="0">
        <v>83</v>
      </c>
      <c r="BW184" t="s" s="0">
        <v>83</v>
      </c>
      <c r="BX184" t="s" s="0">
        <v>130</v>
      </c>
    </row>
    <row r="185">
      <c r="A185" t="s" s="0">
        <v>78</v>
      </c>
      <c r="B185" t="s" s="0">
        <v>78</v>
      </c>
      <c r="C185" t="s" s="0">
        <v>78</v>
      </c>
      <c r="D185" t="s" s="0">
        <v>78</v>
      </c>
      <c r="E185" t="s" s="0">
        <v>4939</v>
      </c>
      <c r="F185" t="s" s="0">
        <v>4940</v>
      </c>
      <c r="G185" t="s" s="0">
        <v>4941</v>
      </c>
      <c r="H185" t="s" s="0">
        <v>83</v>
      </c>
      <c r="I185" t="s" s="0">
        <v>84</v>
      </c>
      <c r="J185" t="s" s="0">
        <v>4942</v>
      </c>
      <c r="K185" t="s" s="0">
        <v>4943</v>
      </c>
      <c r="L185" t="s" s="0">
        <v>83</v>
      </c>
      <c r="M185" t="s" s="0">
        <v>83</v>
      </c>
      <c r="N185" t="s" s="0">
        <v>83</v>
      </c>
      <c r="O185" t="s" s="0">
        <v>4944</v>
      </c>
      <c r="P185" t="s" s="0">
        <v>4945</v>
      </c>
      <c r="Q185" t="s" s="0">
        <v>92</v>
      </c>
      <c r="R185" t="s" s="0">
        <v>83</v>
      </c>
      <c r="S185" t="s" s="0">
        <v>83</v>
      </c>
      <c r="T185" t="s" s="0">
        <v>83</v>
      </c>
      <c r="U185" t="s" s="0">
        <v>83</v>
      </c>
      <c r="V185" t="s" s="0">
        <v>4946</v>
      </c>
      <c r="W185" t="s" s="0">
        <v>4947</v>
      </c>
      <c r="X185" t="s" s="0">
        <v>83</v>
      </c>
      <c r="Y185" t="s" s="0">
        <v>83</v>
      </c>
      <c r="Z185" t="s" s="0">
        <v>95</v>
      </c>
      <c r="AA185" t="s" s="0">
        <v>96</v>
      </c>
      <c r="AB185" t="s" s="0">
        <v>83</v>
      </c>
      <c r="AC185" t="s" s="0">
        <v>83</v>
      </c>
      <c r="AD185" t="s" s="0">
        <v>83</v>
      </c>
      <c r="AE185" t="s" s="0">
        <v>83</v>
      </c>
      <c r="AF185" t="s" s="0">
        <v>83</v>
      </c>
      <c r="AG185" t="s" s="0">
        <v>4948</v>
      </c>
      <c r="AH185" t="s" s="0">
        <v>4949</v>
      </c>
      <c r="AI185" t="s" s="0">
        <v>4950</v>
      </c>
      <c r="AJ185" t="s" s="0">
        <v>83</v>
      </c>
      <c r="AK185" t="s" s="0">
        <v>83</v>
      </c>
      <c r="AL185" t="s" s="0">
        <v>4951</v>
      </c>
      <c r="AM185" t="s" s="0">
        <v>78</v>
      </c>
      <c r="AN185" t="s" s="0">
        <v>78</v>
      </c>
      <c r="AO185" t="s" s="0">
        <v>78</v>
      </c>
      <c r="AP185" t="s" s="0">
        <v>78</v>
      </c>
      <c r="AQ185" t="s" s="0">
        <v>4952</v>
      </c>
      <c r="AR185" t="s" s="0">
        <v>234</v>
      </c>
      <c r="AS185" t="s" s="0">
        <v>4953</v>
      </c>
      <c r="AT185" t="s" s="0">
        <v>4954</v>
      </c>
      <c r="AU185" t="s" s="0">
        <v>4955</v>
      </c>
      <c r="AV185" t="s" s="0">
        <v>83</v>
      </c>
      <c r="AW185" t="s" s="0">
        <v>4956</v>
      </c>
      <c r="AX185" t="s" s="0">
        <v>4957</v>
      </c>
      <c r="AY185" t="s" s="0">
        <v>4958</v>
      </c>
      <c r="AZ185" t="s" s="0">
        <v>511</v>
      </c>
      <c r="BA185" t="s" s="0">
        <v>1395</v>
      </c>
      <c r="BB185" t="s" s="0">
        <v>211</v>
      </c>
      <c r="BC185" t="s" s="0">
        <v>83</v>
      </c>
      <c r="BD185" t="s" s="0">
        <v>83</v>
      </c>
      <c r="BE185" t="s" s="0">
        <v>83</v>
      </c>
      <c r="BF185" t="s" s="0">
        <v>83</v>
      </c>
      <c r="BG185" t="s" s="0">
        <v>83</v>
      </c>
      <c r="BH185" t="s" s="0">
        <v>83</v>
      </c>
      <c r="BI185" t="s" s="0">
        <v>4959</v>
      </c>
      <c r="BJ185" t="s" s="0">
        <v>4960</v>
      </c>
      <c r="BK185" t="s" s="366">
        <f>HYPERLINK("http://dx.doi.org/10.1016/j.cpcardiol.2026.103399","http://dx.doi.org/10.1016/j.cpcardiol.2026.103399")</f>
        <v>4961</v>
      </c>
      <c r="BL185" t="s" s="0">
        <v>83</v>
      </c>
      <c r="BM185" t="s" s="0">
        <v>83</v>
      </c>
      <c r="BN185" t="s" s="0">
        <v>120</v>
      </c>
      <c r="BO185" t="s" s="0">
        <v>1133</v>
      </c>
      <c r="BP185" t="s" s="0">
        <v>1134</v>
      </c>
      <c r="BQ185" t="s" s="0">
        <v>4962</v>
      </c>
      <c r="BR185" t="s" s="0">
        <v>4963</v>
      </c>
      <c r="BS185" t="s" s="0">
        <v>4964</v>
      </c>
      <c r="BT185" t="s" s="367">
        <f>HYPERLINK("https://www.webofscience.com/wos/woscc/full-record/WOS:001835274100001","View Record in Web of Science")</f>
        <v>126</v>
      </c>
      <c r="BU185" t="s" s="0">
        <v>83</v>
      </c>
      <c r="BV185" t="s" s="0">
        <v>83</v>
      </c>
      <c r="BW185" t="s" s="0">
        <v>83</v>
      </c>
      <c r="BX185" t="s" s="0">
        <v>130</v>
      </c>
    </row>
    <row r="186">
      <c r="A186" t="s" s="0">
        <v>78</v>
      </c>
      <c r="B186" t="s" s="0">
        <v>78</v>
      </c>
      <c r="C186" t="s" s="0">
        <v>115</v>
      </c>
      <c r="D186" t="s" s="0">
        <v>78</v>
      </c>
      <c r="E186" t="s" s="0">
        <v>4965</v>
      </c>
      <c r="F186" t="s" s="0">
        <v>4966</v>
      </c>
      <c r="G186" t="s" s="0">
        <v>4967</v>
      </c>
      <c r="H186" t="s" s="0">
        <v>83</v>
      </c>
      <c r="I186" t="s" s="0">
        <v>84</v>
      </c>
      <c r="J186" t="s" s="0">
        <v>4968</v>
      </c>
      <c r="K186" t="s" s="0">
        <v>4969</v>
      </c>
      <c r="L186" t="s" s="0">
        <v>4970</v>
      </c>
      <c r="M186" t="s" s="0">
        <v>4971</v>
      </c>
      <c r="N186" t="s" s="0">
        <v>4972</v>
      </c>
      <c r="O186" t="s" s="0">
        <v>4973</v>
      </c>
      <c r="P186" t="s" s="0">
        <v>4974</v>
      </c>
      <c r="Q186" t="s" s="0">
        <v>92</v>
      </c>
      <c r="R186" t="s" s="0">
        <v>83</v>
      </c>
      <c r="S186" t="s" s="0">
        <v>83</v>
      </c>
      <c r="T186" t="s" s="0">
        <v>83</v>
      </c>
      <c r="U186" t="s" s="0">
        <v>83</v>
      </c>
      <c r="V186" t="s" s="0">
        <v>4975</v>
      </c>
      <c r="W186" t="s" s="0">
        <v>4976</v>
      </c>
      <c r="X186" t="s" s="0">
        <v>83</v>
      </c>
      <c r="Y186" t="s" s="0">
        <v>83</v>
      </c>
      <c r="Z186" t="s" s="0">
        <v>95</v>
      </c>
      <c r="AA186" t="s" s="0">
        <v>96</v>
      </c>
      <c r="AB186" t="s" s="0">
        <v>83</v>
      </c>
      <c r="AC186" t="s" s="0">
        <v>83</v>
      </c>
      <c r="AD186" t="s" s="0">
        <v>83</v>
      </c>
      <c r="AE186" t="s" s="0">
        <v>83</v>
      </c>
      <c r="AF186" t="s" s="0">
        <v>83</v>
      </c>
      <c r="AG186" t="s" s="0">
        <v>4977</v>
      </c>
      <c r="AH186" t="s" s="0">
        <v>4978</v>
      </c>
      <c r="AI186" t="s" s="0">
        <v>83</v>
      </c>
      <c r="AJ186" t="s" s="0">
        <v>83</v>
      </c>
      <c r="AK186" t="s" s="0">
        <v>83</v>
      </c>
      <c r="AL186" t="s" s="0">
        <v>4979</v>
      </c>
      <c r="AM186" t="s" s="0">
        <v>115</v>
      </c>
      <c r="AN186" t="s" s="0">
        <v>115</v>
      </c>
      <c r="AO186" t="s" s="0">
        <v>231</v>
      </c>
      <c r="AP186" t="s" s="0">
        <v>231</v>
      </c>
      <c r="AQ186" t="s" s="0">
        <v>4980</v>
      </c>
      <c r="AR186" t="s" s="0">
        <v>4981</v>
      </c>
      <c r="AS186" t="s" s="0">
        <v>4982</v>
      </c>
      <c r="AT186" t="s" s="0">
        <v>4983</v>
      </c>
      <c r="AU186" t="s" s="0">
        <v>4984</v>
      </c>
      <c r="AV186" t="s" s="0">
        <v>83</v>
      </c>
      <c r="AW186" t="s" s="0">
        <v>4985</v>
      </c>
      <c r="AX186" t="s" s="0">
        <v>4986</v>
      </c>
      <c r="AY186" t="s" s="0">
        <v>1523</v>
      </c>
      <c r="AZ186" t="s" s="0">
        <v>511</v>
      </c>
      <c r="BA186" t="s" s="0">
        <v>417</v>
      </c>
      <c r="BB186" t="s" s="0">
        <v>545</v>
      </c>
      <c r="BC186" t="s" s="0">
        <v>83</v>
      </c>
      <c r="BD186" t="s" s="0">
        <v>83</v>
      </c>
      <c r="BE186" t="s" s="0">
        <v>83</v>
      </c>
      <c r="BF186" t="s" s="0">
        <v>83</v>
      </c>
      <c r="BG186" t="s" s="0">
        <v>4987</v>
      </c>
      <c r="BH186" t="s" s="0">
        <v>4988</v>
      </c>
      <c r="BI186" t="s" s="0">
        <v>83</v>
      </c>
      <c r="BJ186" t="s" s="0">
        <v>4989</v>
      </c>
      <c r="BK186" t="s" s="368">
        <f>HYPERLINK("http://dx.doi.org/10.14218/JCTH.2025.00612","http://dx.doi.org/10.14218/JCTH.2025.00612")</f>
        <v>4990</v>
      </c>
      <c r="BL186" t="s" s="0">
        <v>83</v>
      </c>
      <c r="BM186" t="s" s="0">
        <v>4991</v>
      </c>
      <c r="BN186" t="s" s="0">
        <v>374</v>
      </c>
      <c r="BO186" t="s" s="0">
        <v>926</v>
      </c>
      <c r="BP186" t="s" s="0">
        <v>926</v>
      </c>
      <c r="BQ186" t="s" s="0">
        <v>4992</v>
      </c>
      <c r="BR186" t="s" s="0">
        <v>4993</v>
      </c>
      <c r="BS186" t="s" s="0">
        <v>4994</v>
      </c>
      <c r="BT186" t="s" s="369">
        <f>HYPERLINK("https://www.webofscience.com/wos/woscc/full-record/WOS:001701620500001","View Record in Web of Science")</f>
        <v>126</v>
      </c>
      <c r="BU186" t="s" s="0">
        <v>210</v>
      </c>
      <c r="BV186" t="s" s="0">
        <v>83</v>
      </c>
      <c r="BW186" t="s" s="0">
        <v>83</v>
      </c>
      <c r="BX186" t="s" s="0">
        <v>130</v>
      </c>
    </row>
    <row r="187">
      <c r="A187" t="s" s="0">
        <v>78</v>
      </c>
      <c r="B187" t="s" s="0">
        <v>78</v>
      </c>
      <c r="C187" t="s" s="0">
        <v>115</v>
      </c>
      <c r="D187" t="s" s="0">
        <v>78</v>
      </c>
      <c r="E187" t="s" s="0">
        <v>4995</v>
      </c>
      <c r="F187" t="s" s="0">
        <v>4996</v>
      </c>
      <c r="G187" t="s" s="0">
        <v>4997</v>
      </c>
      <c r="H187" t="s" s="0">
        <v>83</v>
      </c>
      <c r="I187" t="s" s="0">
        <v>174</v>
      </c>
      <c r="J187" t="s" s="0">
        <v>4998</v>
      </c>
      <c r="K187" t="s" s="0">
        <v>4999</v>
      </c>
      <c r="L187" t="s" s="0">
        <v>83</v>
      </c>
      <c r="M187" t="s" s="0">
        <v>83</v>
      </c>
      <c r="N187" t="s" s="0">
        <v>83</v>
      </c>
      <c r="O187" t="s" s="0">
        <v>5000</v>
      </c>
      <c r="P187" t="s" s="0">
        <v>5001</v>
      </c>
      <c r="Q187" t="s" s="0">
        <v>92</v>
      </c>
      <c r="R187" t="s" s="0">
        <v>83</v>
      </c>
      <c r="S187" t="s" s="0">
        <v>83</v>
      </c>
      <c r="T187" t="s" s="0">
        <v>83</v>
      </c>
      <c r="U187" t="s" s="0">
        <v>83</v>
      </c>
      <c r="V187" t="s" s="0">
        <v>5002</v>
      </c>
      <c r="W187" t="s" s="0">
        <v>5003</v>
      </c>
      <c r="X187" t="s" s="0">
        <v>83</v>
      </c>
      <c r="Y187" t="s" s="0">
        <v>83</v>
      </c>
      <c r="Z187" t="s" s="0">
        <v>95</v>
      </c>
      <c r="AA187" t="s" s="0">
        <v>96</v>
      </c>
      <c r="AB187" t="s" s="0">
        <v>83</v>
      </c>
      <c r="AC187" t="s" s="0">
        <v>83</v>
      </c>
      <c r="AD187" t="s" s="0">
        <v>83</v>
      </c>
      <c r="AE187" t="s" s="0">
        <v>83</v>
      </c>
      <c r="AF187" t="s" s="0">
        <v>83</v>
      </c>
      <c r="AG187" t="s" s="0">
        <v>5004</v>
      </c>
      <c r="AH187" t="s" s="0">
        <v>5005</v>
      </c>
      <c r="AI187" t="s" s="0">
        <v>5006</v>
      </c>
      <c r="AJ187" t="s" s="0">
        <v>5007</v>
      </c>
      <c r="AK187" t="s" s="0">
        <v>83</v>
      </c>
      <c r="AL187" t="s" s="0">
        <v>5008</v>
      </c>
      <c r="AM187" t="s" s="0">
        <v>77</v>
      </c>
      <c r="AN187" t="s" s="0">
        <v>77</v>
      </c>
      <c r="AO187" t="s" s="0">
        <v>78</v>
      </c>
      <c r="AP187" t="s" s="0">
        <v>78</v>
      </c>
      <c r="AQ187" t="s" s="0">
        <v>805</v>
      </c>
      <c r="AR187" t="s" s="0">
        <v>806</v>
      </c>
      <c r="AS187" t="s" s="0">
        <v>4904</v>
      </c>
      <c r="AT187" t="s" s="0">
        <v>83</v>
      </c>
      <c r="AU187" t="s" s="0">
        <v>5009</v>
      </c>
      <c r="AV187" t="s" s="0">
        <v>83</v>
      </c>
      <c r="AW187" t="s" s="0">
        <v>5010</v>
      </c>
      <c r="AX187" t="s" s="0">
        <v>5011</v>
      </c>
      <c r="AY187" t="s" s="0">
        <v>1628</v>
      </c>
      <c r="AZ187" t="s" s="0">
        <v>637</v>
      </c>
      <c r="BA187" t="s" s="0">
        <v>150</v>
      </c>
      <c r="BB187" t="s" s="0">
        <v>115</v>
      </c>
      <c r="BC187" t="s" s="0">
        <v>83</v>
      </c>
      <c r="BD187" t="s" s="0">
        <v>83</v>
      </c>
      <c r="BE187" t="s" s="0">
        <v>83</v>
      </c>
      <c r="BF187" t="s" s="0">
        <v>83</v>
      </c>
      <c r="BG187" t="s" s="0">
        <v>631</v>
      </c>
      <c r="BH187" t="s" s="0">
        <v>347</v>
      </c>
      <c r="BI187" t="s" s="0">
        <v>83</v>
      </c>
      <c r="BJ187" t="s" s="0">
        <v>5012</v>
      </c>
      <c r="BK187" t="s" s="370">
        <f>HYPERLINK("http://dx.doi.org/10.3390/hemato2010003","http://dx.doi.org/10.3390/hemato2010003")</f>
        <v>5013</v>
      </c>
      <c r="BL187" t="s" s="0">
        <v>83</v>
      </c>
      <c r="BM187" t="s" s="0">
        <v>83</v>
      </c>
      <c r="BN187" t="s" s="0">
        <v>309</v>
      </c>
      <c r="BO187" t="s" s="0">
        <v>1656</v>
      </c>
      <c r="BP187" t="s" s="0">
        <v>1656</v>
      </c>
      <c r="BQ187" t="s" s="0">
        <v>5014</v>
      </c>
      <c r="BR187" t="s" s="0">
        <v>83</v>
      </c>
      <c r="BS187" t="s" s="0">
        <v>5015</v>
      </c>
      <c r="BT187" t="s" s="371">
        <f>HYPERLINK("https://www.webofscience.com/wos/woscc/full-record/WOS:001109224600001","View Record in Web of Science")</f>
        <v>126</v>
      </c>
      <c r="BU187" t="s" s="0">
        <v>210</v>
      </c>
      <c r="BV187" t="s" s="0">
        <v>83</v>
      </c>
      <c r="BW187" t="s" s="0">
        <v>83</v>
      </c>
      <c r="BX187" t="s" s="0">
        <v>130</v>
      </c>
    </row>
    <row r="188">
      <c r="A188" t="s" s="0">
        <v>115</v>
      </c>
      <c r="B188" t="s" s="0">
        <v>78</v>
      </c>
      <c r="C188" t="s" s="0">
        <v>165</v>
      </c>
      <c r="D188" t="s" s="0">
        <v>78</v>
      </c>
      <c r="E188" t="s" s="0">
        <v>5016</v>
      </c>
      <c r="F188" t="s" s="0">
        <v>5017</v>
      </c>
      <c r="G188" t="s" s="0">
        <v>5018</v>
      </c>
      <c r="H188" t="s" s="0">
        <v>83</v>
      </c>
      <c r="I188" t="s" s="0">
        <v>84</v>
      </c>
      <c r="J188" t="s" s="0">
        <v>5019</v>
      </c>
      <c r="K188" t="s" s="0">
        <v>5020</v>
      </c>
      <c r="L188" t="s" s="0">
        <v>5021</v>
      </c>
      <c r="M188" t="s" s="0">
        <v>5022</v>
      </c>
      <c r="N188" t="s" s="0">
        <v>5023</v>
      </c>
      <c r="O188" t="s" s="0">
        <v>5024</v>
      </c>
      <c r="P188" t="s" s="0">
        <v>5025</v>
      </c>
      <c r="Q188" t="s" s="0">
        <v>92</v>
      </c>
      <c r="R188" t="s" s="0">
        <v>83</v>
      </c>
      <c r="S188" t="s" s="0">
        <v>83</v>
      </c>
      <c r="T188" t="s" s="0">
        <v>83</v>
      </c>
      <c r="U188" t="s" s="0">
        <v>83</v>
      </c>
      <c r="V188" t="s" s="0">
        <v>5026</v>
      </c>
      <c r="W188" t="s" s="0">
        <v>1235</v>
      </c>
      <c r="X188" t="s" s="0">
        <v>83</v>
      </c>
      <c r="Y188" t="s" s="0">
        <v>83</v>
      </c>
      <c r="Z188" t="s" s="0">
        <v>95</v>
      </c>
      <c r="AA188" t="s" s="0">
        <v>96</v>
      </c>
      <c r="AB188" t="s" s="0">
        <v>83</v>
      </c>
      <c r="AC188" t="s" s="0">
        <v>83</v>
      </c>
      <c r="AD188" t="s" s="0">
        <v>83</v>
      </c>
      <c r="AE188" t="s" s="0">
        <v>83</v>
      </c>
      <c r="AF188" t="s" s="0">
        <v>83</v>
      </c>
      <c r="AG188" t="s" s="0">
        <v>5027</v>
      </c>
      <c r="AH188" t="s" s="0">
        <v>5028</v>
      </c>
      <c r="AI188" t="s" s="0">
        <v>5029</v>
      </c>
      <c r="AJ188" t="s" s="0">
        <v>5030</v>
      </c>
      <c r="AK188" t="s" s="0">
        <v>83</v>
      </c>
      <c r="AL188" t="s" s="0">
        <v>1098</v>
      </c>
      <c r="AM188" t="s" s="0">
        <v>890</v>
      </c>
      <c r="AN188" t="s" s="0">
        <v>358</v>
      </c>
      <c r="AO188" t="s" s="0">
        <v>78</v>
      </c>
      <c r="AP188" t="s" s="0">
        <v>545</v>
      </c>
      <c r="AQ188" t="s" s="0">
        <v>830</v>
      </c>
      <c r="AR188" t="s" s="0">
        <v>831</v>
      </c>
      <c r="AS188" t="s" s="0">
        <v>832</v>
      </c>
      <c r="AT188" t="s" s="0">
        <v>83</v>
      </c>
      <c r="AU188" t="s" s="0">
        <v>1240</v>
      </c>
      <c r="AV188" t="s" s="0">
        <v>83</v>
      </c>
      <c r="AW188" t="s" s="0">
        <v>1241</v>
      </c>
      <c r="AX188" t="s" s="0">
        <v>1242</v>
      </c>
      <c r="AY188" t="s" s="0">
        <v>5031</v>
      </c>
      <c r="AZ188" t="s" s="0">
        <v>113</v>
      </c>
      <c r="BA188" t="s" s="0">
        <v>281</v>
      </c>
      <c r="BB188" t="s" s="0">
        <v>83</v>
      </c>
      <c r="BC188" t="s" s="0">
        <v>83</v>
      </c>
      <c r="BD188" t="s" s="0">
        <v>83</v>
      </c>
      <c r="BE188" t="s" s="0">
        <v>83</v>
      </c>
      <c r="BF188" t="s" s="0">
        <v>83</v>
      </c>
      <c r="BG188" t="s" s="0">
        <v>83</v>
      </c>
      <c r="BH188" t="s" s="0">
        <v>83</v>
      </c>
      <c r="BI188" t="s" s="0">
        <v>1653</v>
      </c>
      <c r="BJ188" t="s" s="0">
        <v>5032</v>
      </c>
      <c r="BK188" t="s" s="372">
        <f>HYPERLINK("http://dx.doi.org/10.3389/fmed.2018.00116","http://dx.doi.org/10.3389/fmed.2018.00116")</f>
        <v>5033</v>
      </c>
      <c r="BL188" t="s" s="0">
        <v>83</v>
      </c>
      <c r="BM188" t="s" s="0">
        <v>83</v>
      </c>
      <c r="BN188" t="s" s="0">
        <v>165</v>
      </c>
      <c r="BO188" t="s" s="0">
        <v>669</v>
      </c>
      <c r="BP188" t="s" s="0">
        <v>670</v>
      </c>
      <c r="BQ188" t="s" s="0">
        <v>5034</v>
      </c>
      <c r="BR188" t="s" s="0">
        <v>5035</v>
      </c>
      <c r="BS188" t="s" s="0">
        <v>5036</v>
      </c>
      <c r="BT188" t="s" s="373">
        <f>HYPERLINK("https://www.webofscience.com/wos/woscc/full-record/WOS:000430982100001","View Record in Web of Science")</f>
        <v>126</v>
      </c>
      <c r="BU188" t="s" s="0">
        <v>210</v>
      </c>
      <c r="BV188" t="s" s="0">
        <v>83</v>
      </c>
      <c r="BW188" t="s" s="0">
        <v>83</v>
      </c>
      <c r="BX188" t="s" s="0">
        <v>130</v>
      </c>
    </row>
    <row r="189">
      <c r="A189" t="s" s="0">
        <v>115</v>
      </c>
      <c r="B189" t="s" s="0">
        <v>78</v>
      </c>
      <c r="C189" t="s" s="0">
        <v>120</v>
      </c>
      <c r="D189" t="s" s="0">
        <v>78</v>
      </c>
      <c r="E189" t="s" s="0">
        <v>5037</v>
      </c>
      <c r="F189" t="s" s="0">
        <v>5038</v>
      </c>
      <c r="G189" t="s" s="0">
        <v>5039</v>
      </c>
      <c r="H189" t="s" s="0">
        <v>83</v>
      </c>
      <c r="I189" t="s" s="0">
        <v>84</v>
      </c>
      <c r="J189" t="s" s="0">
        <v>5040</v>
      </c>
      <c r="K189" t="s" s="0">
        <v>5041</v>
      </c>
      <c r="L189" t="s" s="0">
        <v>83</v>
      </c>
      <c r="M189" t="s" s="0">
        <v>83</v>
      </c>
      <c r="N189" t="s" s="0">
        <v>83</v>
      </c>
      <c r="O189" t="s" s="0">
        <v>5042</v>
      </c>
      <c r="P189" t="s" s="0">
        <v>5043</v>
      </c>
      <c r="Q189" t="s" s="0">
        <v>92</v>
      </c>
      <c r="R189" t="s" s="0">
        <v>83</v>
      </c>
      <c r="S189" t="s" s="0">
        <v>83</v>
      </c>
      <c r="T189" t="s" s="0">
        <v>83</v>
      </c>
      <c r="U189" t="s" s="0">
        <v>83</v>
      </c>
      <c r="V189" t="s" s="0">
        <v>5044</v>
      </c>
      <c r="W189" t="s" s="0">
        <v>5045</v>
      </c>
      <c r="X189" t="s" s="0">
        <v>83</v>
      </c>
      <c r="Y189" t="s" s="0">
        <v>83</v>
      </c>
      <c r="Z189" t="s" s="0">
        <v>95</v>
      </c>
      <c r="AA189" t="s" s="0">
        <v>96</v>
      </c>
      <c r="AB189" t="s" s="0">
        <v>83</v>
      </c>
      <c r="AC189" t="s" s="0">
        <v>83</v>
      </c>
      <c r="AD189" t="s" s="0">
        <v>83</v>
      </c>
      <c r="AE189" t="s" s="0">
        <v>83</v>
      </c>
      <c r="AF189" t="s" s="0">
        <v>83</v>
      </c>
      <c r="AG189" t="s" s="0">
        <v>83</v>
      </c>
      <c r="AH189" t="s" s="0">
        <v>5046</v>
      </c>
      <c r="AI189" t="s" s="0">
        <v>5047</v>
      </c>
      <c r="AJ189" t="s" s="0">
        <v>5048</v>
      </c>
      <c r="AK189" t="s" s="0">
        <v>83</v>
      </c>
      <c r="AL189" t="s" s="0">
        <v>2648</v>
      </c>
      <c r="AM189" t="s" s="0">
        <v>358</v>
      </c>
      <c r="AN189" t="s" s="0">
        <v>280</v>
      </c>
      <c r="AO189" t="s" s="0">
        <v>150</v>
      </c>
      <c r="AP189" t="s" s="0">
        <v>417</v>
      </c>
      <c r="AQ189" t="s" s="0">
        <v>1396</v>
      </c>
      <c r="AR189" t="s" s="0">
        <v>1091</v>
      </c>
      <c r="AS189" t="s" s="0">
        <v>1397</v>
      </c>
      <c r="AT189" t="s" s="0">
        <v>5049</v>
      </c>
      <c r="AU189" t="s" s="0">
        <v>5050</v>
      </c>
      <c r="AV189" t="s" s="0">
        <v>83</v>
      </c>
      <c r="AW189" t="s" s="0">
        <v>5051</v>
      </c>
      <c r="AX189" t="s" s="0">
        <v>5052</v>
      </c>
      <c r="AY189" t="s" s="0">
        <v>977</v>
      </c>
      <c r="AZ189" t="s" s="0">
        <v>241</v>
      </c>
      <c r="BA189" t="s" s="0">
        <v>5053</v>
      </c>
      <c r="BB189" t="s" s="0">
        <v>115</v>
      </c>
      <c r="BC189" t="s" s="0">
        <v>83</v>
      </c>
      <c r="BD189" t="s" s="0">
        <v>83</v>
      </c>
      <c r="BE189" t="s" s="0">
        <v>83</v>
      </c>
      <c r="BF189" t="s" s="0">
        <v>83</v>
      </c>
      <c r="BG189" t="s" s="0">
        <v>470</v>
      </c>
      <c r="BH189" t="s" s="0">
        <v>884</v>
      </c>
      <c r="BI189" t="s" s="0">
        <v>83</v>
      </c>
      <c r="BJ189" t="s" s="0">
        <v>5054</v>
      </c>
      <c r="BK189" t="s" s="374">
        <f>HYPERLINK("http://dx.doi.org/10.14309/ajg.0000000000002022","http://dx.doi.org/10.14309/ajg.0000000000002022")</f>
        <v>5055</v>
      </c>
      <c r="BL189" t="s" s="0">
        <v>83</v>
      </c>
      <c r="BM189" t="s" s="0">
        <v>83</v>
      </c>
      <c r="BN189" t="s" s="0">
        <v>309</v>
      </c>
      <c r="BO189" t="s" s="0">
        <v>926</v>
      </c>
      <c r="BP189" t="s" s="0">
        <v>926</v>
      </c>
      <c r="BQ189" t="s" s="0">
        <v>5056</v>
      </c>
      <c r="BR189" t="s" s="0">
        <v>5057</v>
      </c>
      <c r="BS189" t="s" s="0">
        <v>5058</v>
      </c>
      <c r="BT189" t="s" s="375">
        <f>HYPERLINK("https://www.webofscience.com/wos/woscc/full-record/WOS:000917940200014","View Record in Web of Science")</f>
        <v>126</v>
      </c>
      <c r="BU189" t="s" s="0">
        <v>127</v>
      </c>
      <c r="BV189" t="s" s="0">
        <v>83</v>
      </c>
      <c r="BW189" t="s" s="0">
        <v>83</v>
      </c>
      <c r="BX189" t="s" s="0">
        <v>130</v>
      </c>
    </row>
    <row r="190">
      <c r="A190" t="s" s="0">
        <v>78</v>
      </c>
      <c r="B190" t="s" s="0">
        <v>78</v>
      </c>
      <c r="C190" t="s" s="0">
        <v>115</v>
      </c>
      <c r="D190" t="s" s="0">
        <v>78</v>
      </c>
      <c r="E190" t="s" s="0">
        <v>5059</v>
      </c>
      <c r="F190" t="s" s="0">
        <v>5060</v>
      </c>
      <c r="G190" t="s" s="0">
        <v>5061</v>
      </c>
      <c r="H190" t="s" s="0">
        <v>83</v>
      </c>
      <c r="I190" t="s" s="0">
        <v>257</v>
      </c>
      <c r="J190" t="s" s="0">
        <v>5062</v>
      </c>
      <c r="K190" t="s" s="0">
        <v>5063</v>
      </c>
      <c r="L190" t="s" s="0">
        <v>5064</v>
      </c>
      <c r="M190" t="s" s="0">
        <v>4282</v>
      </c>
      <c r="N190" t="s" s="0">
        <v>5065</v>
      </c>
      <c r="O190" t="s" s="0">
        <v>5066</v>
      </c>
      <c r="P190" t="s" s="0">
        <v>5067</v>
      </c>
      <c r="Q190" t="s" s="0">
        <v>92</v>
      </c>
      <c r="R190" t="s" s="0">
        <v>83</v>
      </c>
      <c r="S190" t="s" s="0">
        <v>83</v>
      </c>
      <c r="T190" t="s" s="0">
        <v>83</v>
      </c>
      <c r="U190" t="s" s="0">
        <v>83</v>
      </c>
      <c r="V190" t="s" s="0">
        <v>5068</v>
      </c>
      <c r="W190" t="s" s="0">
        <v>5069</v>
      </c>
      <c r="X190" t="s" s="0">
        <v>83</v>
      </c>
      <c r="Y190" t="s" s="0">
        <v>83</v>
      </c>
      <c r="Z190" t="s" s="0">
        <v>95</v>
      </c>
      <c r="AA190" t="s" s="0">
        <v>96</v>
      </c>
      <c r="AB190" t="s" s="0">
        <v>83</v>
      </c>
      <c r="AC190" t="s" s="0">
        <v>83</v>
      </c>
      <c r="AD190" t="s" s="0">
        <v>83</v>
      </c>
      <c r="AE190" t="s" s="0">
        <v>83</v>
      </c>
      <c r="AF190" t="s" s="0">
        <v>83</v>
      </c>
      <c r="AG190" t="s" s="0">
        <v>5070</v>
      </c>
      <c r="AH190" t="s" s="0">
        <v>5071</v>
      </c>
      <c r="AI190" t="s" s="0">
        <v>83</v>
      </c>
      <c r="AJ190" t="s" s="0">
        <v>83</v>
      </c>
      <c r="AK190" t="s" s="0">
        <v>83</v>
      </c>
      <c r="AL190" t="s" s="0">
        <v>170</v>
      </c>
      <c r="AM190" t="s" s="0">
        <v>890</v>
      </c>
      <c r="AN190" t="s" s="0">
        <v>437</v>
      </c>
      <c r="AO190" t="s" s="0">
        <v>545</v>
      </c>
      <c r="AP190" t="s" s="0">
        <v>79</v>
      </c>
      <c r="AQ190" t="s" s="0">
        <v>1151</v>
      </c>
      <c r="AR190" t="s" s="0">
        <v>1152</v>
      </c>
      <c r="AS190" t="s" s="0">
        <v>1153</v>
      </c>
      <c r="AT190" t="s" s="0">
        <v>5072</v>
      </c>
      <c r="AU190" t="s" s="0">
        <v>5073</v>
      </c>
      <c r="AV190" t="s" s="0">
        <v>83</v>
      </c>
      <c r="AW190" t="s" s="0">
        <v>5074</v>
      </c>
      <c r="AX190" t="s" s="0">
        <v>5075</v>
      </c>
      <c r="AY190" t="s" s="0">
        <v>5076</v>
      </c>
      <c r="AZ190" t="s" s="0">
        <v>241</v>
      </c>
      <c r="BA190" t="s" s="0">
        <v>5077</v>
      </c>
      <c r="BB190" t="s" s="0">
        <v>83</v>
      </c>
      <c r="BC190" t="s" s="0">
        <v>83</v>
      </c>
      <c r="BD190" t="s" s="0">
        <v>83</v>
      </c>
      <c r="BE190" t="s" s="0">
        <v>83</v>
      </c>
      <c r="BF190" t="s" s="0">
        <v>83</v>
      </c>
      <c r="BG190" t="s" s="0">
        <v>3918</v>
      </c>
      <c r="BH190" t="s" s="0">
        <v>1190</v>
      </c>
      <c r="BI190" t="s" s="0">
        <v>83</v>
      </c>
      <c r="BJ190" t="s" s="0">
        <v>5078</v>
      </c>
      <c r="BK190" t="s" s="376">
        <f>HYPERLINK("http://dx.doi.org/10.1016/j.jad.2023.04.026","http://dx.doi.org/10.1016/j.jad.2023.04.026")</f>
        <v>5079</v>
      </c>
      <c r="BL190" t="s" s="0">
        <v>83</v>
      </c>
      <c r="BM190" t="s" s="0">
        <v>3767</v>
      </c>
      <c r="BN190" t="s" s="0">
        <v>417</v>
      </c>
      <c r="BO190" t="s" s="0">
        <v>5080</v>
      </c>
      <c r="BP190" t="s" s="0">
        <v>450</v>
      </c>
      <c r="BQ190" t="s" s="0">
        <v>5081</v>
      </c>
      <c r="BR190" t="s" s="0">
        <v>5082</v>
      </c>
      <c r="BS190" t="s" s="0">
        <v>5083</v>
      </c>
      <c r="BT190" t="s" s="377">
        <f>HYPERLINK("https://www.webofscience.com/wos/woscc/full-record/WOS:000984167300001","View Record in Web of Science")</f>
        <v>126</v>
      </c>
      <c r="BU190" t="s" s="0">
        <v>83</v>
      </c>
      <c r="BV190" t="s" s="0">
        <v>83</v>
      </c>
      <c r="BW190" t="s" s="0">
        <v>83</v>
      </c>
      <c r="BX190" t="s" s="0">
        <v>130</v>
      </c>
    </row>
    <row r="191">
      <c r="A191" t="s" s="0">
        <v>78</v>
      </c>
      <c r="B191" t="s" s="0">
        <v>78</v>
      </c>
      <c r="C191" t="s" s="0">
        <v>150</v>
      </c>
      <c r="D191" t="s" s="0">
        <v>78</v>
      </c>
      <c r="E191" t="s" s="0">
        <v>5084</v>
      </c>
      <c r="F191" t="s" s="0">
        <v>5085</v>
      </c>
      <c r="G191" t="s" s="0">
        <v>5086</v>
      </c>
      <c r="H191" t="s" s="0">
        <v>83</v>
      </c>
      <c r="I191" t="s" s="0">
        <v>174</v>
      </c>
      <c r="J191" t="s" s="0">
        <v>5087</v>
      </c>
      <c r="K191" t="s" s="0">
        <v>5088</v>
      </c>
      <c r="L191" t="s" s="0">
        <v>83</v>
      </c>
      <c r="M191" t="s" s="0">
        <v>83</v>
      </c>
      <c r="N191" t="s" s="0">
        <v>83</v>
      </c>
      <c r="O191" t="s" s="0">
        <v>5089</v>
      </c>
      <c r="P191" t="s" s="0">
        <v>5090</v>
      </c>
      <c r="Q191" t="s" s="0">
        <v>92</v>
      </c>
      <c r="R191" t="s" s="0">
        <v>83</v>
      </c>
      <c r="S191" t="s" s="0">
        <v>83</v>
      </c>
      <c r="T191" t="s" s="0">
        <v>83</v>
      </c>
      <c r="U191" t="s" s="0">
        <v>83</v>
      </c>
      <c r="V191" t="s" s="0">
        <v>5091</v>
      </c>
      <c r="W191" t="s" s="0">
        <v>5092</v>
      </c>
      <c r="X191" t="s" s="0">
        <v>83</v>
      </c>
      <c r="Y191" t="s" s="0">
        <v>83</v>
      </c>
      <c r="Z191" t="s" s="0">
        <v>95</v>
      </c>
      <c r="AA191" t="s" s="0">
        <v>96</v>
      </c>
      <c r="AB191" t="s" s="0">
        <v>83</v>
      </c>
      <c r="AC191" t="s" s="0">
        <v>83</v>
      </c>
      <c r="AD191" t="s" s="0">
        <v>83</v>
      </c>
      <c r="AE191" t="s" s="0">
        <v>83</v>
      </c>
      <c r="AF191" t="s" s="0">
        <v>83</v>
      </c>
      <c r="AG191" t="s" s="0">
        <v>83</v>
      </c>
      <c r="AH191" t="s" s="0">
        <v>5093</v>
      </c>
      <c r="AI191" t="s" s="0">
        <v>5094</v>
      </c>
      <c r="AJ191" t="s" s="0">
        <v>5095</v>
      </c>
      <c r="AK191" t="s" s="0">
        <v>83</v>
      </c>
      <c r="AL191" t="s" s="0">
        <v>1030</v>
      </c>
      <c r="AM191" t="s" s="0">
        <v>890</v>
      </c>
      <c r="AN191" t="s" s="0">
        <v>437</v>
      </c>
      <c r="AO191" t="s" s="0">
        <v>150</v>
      </c>
      <c r="AP191" t="s" s="0">
        <v>231</v>
      </c>
      <c r="AQ191" t="s" s="0">
        <v>1151</v>
      </c>
      <c r="AR191" t="s" s="0">
        <v>1152</v>
      </c>
      <c r="AS191" t="s" s="0">
        <v>1153</v>
      </c>
      <c r="AT191" t="s" s="0">
        <v>83</v>
      </c>
      <c r="AU191" t="s" s="0">
        <v>5096</v>
      </c>
      <c r="AV191" t="s" s="0">
        <v>83</v>
      </c>
      <c r="AW191" t="s" s="0">
        <v>5097</v>
      </c>
      <c r="AX191" t="s" s="0">
        <v>5098</v>
      </c>
      <c r="AY191" t="s" s="0">
        <v>1776</v>
      </c>
      <c r="AZ191" t="s" s="0">
        <v>159</v>
      </c>
      <c r="BA191" t="s" s="0">
        <v>545</v>
      </c>
      <c r="BB191" t="s" s="0">
        <v>545</v>
      </c>
      <c r="BC191" t="s" s="0">
        <v>83</v>
      </c>
      <c r="BD191" t="s" s="0">
        <v>83</v>
      </c>
      <c r="BE191" t="s" s="0">
        <v>83</v>
      </c>
      <c r="BF191" t="s" s="0">
        <v>83</v>
      </c>
      <c r="BG191" t="s" s="0">
        <v>83</v>
      </c>
      <c r="BH191" t="s" s="0">
        <v>83</v>
      </c>
      <c r="BI191" t="s" s="0">
        <v>5099</v>
      </c>
      <c r="BJ191" t="s" s="0">
        <v>5100</v>
      </c>
      <c r="BK191" t="s" s="378">
        <f>HYPERLINK("http://dx.doi.org/10.1016/j.mcpdig.2025.100228","http://dx.doi.org/10.1016/j.mcpdig.2025.100228")</f>
        <v>5101</v>
      </c>
      <c r="BL191" t="s" s="0">
        <v>83</v>
      </c>
      <c r="BM191" t="s" s="0">
        <v>1776</v>
      </c>
      <c r="BN191" t="s" s="0">
        <v>309</v>
      </c>
      <c r="BO191" t="s" s="0">
        <v>5102</v>
      </c>
      <c r="BP191" t="s" s="0">
        <v>5102</v>
      </c>
      <c r="BQ191" t="s" s="0">
        <v>5103</v>
      </c>
      <c r="BR191" t="s" s="0">
        <v>5104</v>
      </c>
      <c r="BS191" t="s" s="0">
        <v>5105</v>
      </c>
      <c r="BT191" t="s" s="379">
        <f>HYPERLINK("https://www.webofscience.com/wos/woscc/full-record/WOS:001545381600001","View Record in Web of Science")</f>
        <v>126</v>
      </c>
      <c r="BU191" t="s" s="0">
        <v>210</v>
      </c>
      <c r="BV191" t="s" s="0">
        <v>83</v>
      </c>
      <c r="BW191" t="s" s="0">
        <v>83</v>
      </c>
      <c r="BX191" t="s" s="0">
        <v>130</v>
      </c>
    </row>
    <row r="192">
      <c r="A192" t="s" s="0">
        <v>115</v>
      </c>
      <c r="B192" t="s" s="0">
        <v>78</v>
      </c>
      <c r="C192" t="s" s="0">
        <v>269</v>
      </c>
      <c r="D192" t="s" s="0">
        <v>115</v>
      </c>
      <c r="E192" t="s" s="0">
        <v>5106</v>
      </c>
      <c r="F192" t="s" s="0">
        <v>5107</v>
      </c>
      <c r="G192" t="s" s="0">
        <v>5108</v>
      </c>
      <c r="H192" t="s" s="0">
        <v>83</v>
      </c>
      <c r="I192" t="s" s="0">
        <v>84</v>
      </c>
      <c r="J192" t="s" s="0">
        <v>5109</v>
      </c>
      <c r="K192" t="s" s="0">
        <v>5110</v>
      </c>
      <c r="L192" t="s" s="0">
        <v>5111</v>
      </c>
      <c r="M192" t="s" s="0">
        <v>5112</v>
      </c>
      <c r="N192" t="s" s="0">
        <v>5113</v>
      </c>
      <c r="O192" t="s" s="0">
        <v>5114</v>
      </c>
      <c r="P192" t="s" s="0">
        <v>5115</v>
      </c>
      <c r="Q192" t="s" s="0">
        <v>92</v>
      </c>
      <c r="R192" t="s" s="0">
        <v>83</v>
      </c>
      <c r="S192" t="s" s="0">
        <v>83</v>
      </c>
      <c r="T192" t="s" s="0">
        <v>83</v>
      </c>
      <c r="U192" t="s" s="0">
        <v>83</v>
      </c>
      <c r="V192" t="s" s="0">
        <v>5116</v>
      </c>
      <c r="W192" t="s" s="0">
        <v>5117</v>
      </c>
      <c r="X192" t="s" s="0">
        <v>83</v>
      </c>
      <c r="Y192" t="s" s="0">
        <v>83</v>
      </c>
      <c r="Z192" t="s" s="0">
        <v>95</v>
      </c>
      <c r="AA192" t="s" s="0">
        <v>96</v>
      </c>
      <c r="AB192" t="s" s="0">
        <v>83</v>
      </c>
      <c r="AC192" t="s" s="0">
        <v>83</v>
      </c>
      <c r="AD192" t="s" s="0">
        <v>83</v>
      </c>
      <c r="AE192" t="s" s="0">
        <v>83</v>
      </c>
      <c r="AF192" t="s" s="0">
        <v>83</v>
      </c>
      <c r="AG192" t="s" s="0">
        <v>83</v>
      </c>
      <c r="AH192" t="s" s="0">
        <v>5118</v>
      </c>
      <c r="AI192" t="s" s="0">
        <v>83</v>
      </c>
      <c r="AJ192" t="s" s="0">
        <v>5119</v>
      </c>
      <c r="AK192" t="s" s="0">
        <v>83</v>
      </c>
      <c r="AL192" t="s" s="0">
        <v>384</v>
      </c>
      <c r="AM192" t="s" s="0">
        <v>631</v>
      </c>
      <c r="AN192" t="s" s="0">
        <v>695</v>
      </c>
      <c r="AO192" t="s" s="0">
        <v>78</v>
      </c>
      <c r="AP192" t="s" s="0">
        <v>374</v>
      </c>
      <c r="AQ192" t="s" s="0">
        <v>233</v>
      </c>
      <c r="AR192" t="s" s="0">
        <v>234</v>
      </c>
      <c r="AS192" t="s" s="0">
        <v>311</v>
      </c>
      <c r="AT192" t="s" s="0">
        <v>5120</v>
      </c>
      <c r="AU192" t="s" s="0">
        <v>5121</v>
      </c>
      <c r="AV192" t="s" s="0">
        <v>83</v>
      </c>
      <c r="AW192" t="s" s="0">
        <v>5122</v>
      </c>
      <c r="AX192" t="s" s="0">
        <v>5123</v>
      </c>
      <c r="AY192" t="s" s="0">
        <v>5124</v>
      </c>
      <c r="AZ192" t="s" s="0">
        <v>1403</v>
      </c>
      <c r="BA192" t="s" s="0">
        <v>1404</v>
      </c>
      <c r="BB192" t="s" s="0">
        <v>231</v>
      </c>
      <c r="BC192" t="s" s="0">
        <v>83</v>
      </c>
      <c r="BD192" t="s" s="0">
        <v>83</v>
      </c>
      <c r="BE192" t="s" s="0">
        <v>83</v>
      </c>
      <c r="BF192" t="s" s="0">
        <v>83</v>
      </c>
      <c r="BG192" t="s" s="0">
        <v>5125</v>
      </c>
      <c r="BH192" t="s" s="0">
        <v>5126</v>
      </c>
      <c r="BI192" t="s" s="0">
        <v>83</v>
      </c>
      <c r="BJ192" t="s" s="0">
        <v>5127</v>
      </c>
      <c r="BK192" t="s" s="380">
        <f>HYPERLINK("http://dx.doi.org/10.1016/j.cjca.2017.01.018","http://dx.doi.org/10.1016/j.cjca.2017.01.018")</f>
        <v>5128</v>
      </c>
      <c r="BL192" t="s" s="0">
        <v>83</v>
      </c>
      <c r="BM192" t="s" s="0">
        <v>83</v>
      </c>
      <c r="BN192" t="s" s="0">
        <v>120</v>
      </c>
      <c r="BO192" t="s" s="0">
        <v>1133</v>
      </c>
      <c r="BP192" t="s" s="0">
        <v>1134</v>
      </c>
      <c r="BQ192" t="s" s="0">
        <v>5129</v>
      </c>
      <c r="BR192" t="s" s="0">
        <v>5130</v>
      </c>
      <c r="BS192" t="s" s="0">
        <v>5131</v>
      </c>
      <c r="BT192" t="s" s="381">
        <f>HYPERLINK("https://www.webofscience.com/wos/woscc/full-record/WOS:000402461800008","View Record in Web of Science")</f>
        <v>126</v>
      </c>
      <c r="BU192" t="s" s="0">
        <v>83</v>
      </c>
      <c r="BV192" t="s" s="0">
        <v>83</v>
      </c>
      <c r="BW192" t="s" s="0">
        <v>83</v>
      </c>
      <c r="BX192" t="s" s="0">
        <v>130</v>
      </c>
    </row>
    <row r="193">
      <c r="A193" t="s" s="0">
        <v>78</v>
      </c>
      <c r="B193" t="s" s="0">
        <v>78</v>
      </c>
      <c r="C193" t="s" s="0">
        <v>78</v>
      </c>
      <c r="D193" t="s" s="0">
        <v>78</v>
      </c>
      <c r="E193" t="s" s="0">
        <v>5132</v>
      </c>
      <c r="F193" t="s" s="0">
        <v>5133</v>
      </c>
      <c r="G193" t="s" s="0">
        <v>5134</v>
      </c>
      <c r="H193" t="s" s="0">
        <v>83</v>
      </c>
      <c r="I193" t="s" s="0">
        <v>84</v>
      </c>
      <c r="J193" t="s" s="0">
        <v>5135</v>
      </c>
      <c r="K193" t="s" s="0">
        <v>5136</v>
      </c>
      <c r="L193" t="s" s="0">
        <v>5137</v>
      </c>
      <c r="M193" t="s" s="0">
        <v>5138</v>
      </c>
      <c r="N193" t="s" s="0">
        <v>5139</v>
      </c>
      <c r="O193" t="s" s="0">
        <v>5140</v>
      </c>
      <c r="P193" t="s" s="0">
        <v>5141</v>
      </c>
      <c r="Q193" t="s" s="0">
        <v>92</v>
      </c>
      <c r="R193" t="s" s="0">
        <v>83</v>
      </c>
      <c r="S193" t="s" s="0">
        <v>83</v>
      </c>
      <c r="T193" t="s" s="0">
        <v>83</v>
      </c>
      <c r="U193" t="s" s="0">
        <v>83</v>
      </c>
      <c r="V193" t="s" s="0">
        <v>5142</v>
      </c>
      <c r="W193" t="s" s="0">
        <v>1563</v>
      </c>
      <c r="X193" t="s" s="0">
        <v>83</v>
      </c>
      <c r="Y193" t="s" s="0">
        <v>83</v>
      </c>
      <c r="Z193" t="s" s="0">
        <v>95</v>
      </c>
      <c r="AA193" t="s" s="0">
        <v>96</v>
      </c>
      <c r="AB193" t="s" s="0">
        <v>83</v>
      </c>
      <c r="AC193" t="s" s="0">
        <v>83</v>
      </c>
      <c r="AD193" t="s" s="0">
        <v>83</v>
      </c>
      <c r="AE193" t="s" s="0">
        <v>83</v>
      </c>
      <c r="AF193" t="s" s="0">
        <v>83</v>
      </c>
      <c r="AG193" t="s" s="0">
        <v>5143</v>
      </c>
      <c r="AH193" t="s" s="0">
        <v>5144</v>
      </c>
      <c r="AI193" t="s" s="0">
        <v>5145</v>
      </c>
      <c r="AJ193" t="s" s="0">
        <v>5146</v>
      </c>
      <c r="AK193" t="s" s="0">
        <v>83</v>
      </c>
      <c r="AL193" t="s" s="0">
        <v>1266</v>
      </c>
      <c r="AM193" t="s" s="0">
        <v>115</v>
      </c>
      <c r="AN193" t="s" s="0">
        <v>115</v>
      </c>
      <c r="AO193" t="s" s="0">
        <v>150</v>
      </c>
      <c r="AP193" t="s" s="0">
        <v>77</v>
      </c>
      <c r="AQ193" t="s" s="0">
        <v>378</v>
      </c>
      <c r="AR193" t="s" s="0">
        <v>106</v>
      </c>
      <c r="AS193" t="s" s="0">
        <v>379</v>
      </c>
      <c r="AT193" t="s" s="0">
        <v>83</v>
      </c>
      <c r="AU193" t="s" s="0">
        <v>1568</v>
      </c>
      <c r="AV193" t="s" s="0">
        <v>83</v>
      </c>
      <c r="AW193" t="s" s="0">
        <v>1569</v>
      </c>
      <c r="AX193" t="s" s="0">
        <v>1570</v>
      </c>
      <c r="AY193" t="s" s="0">
        <v>5147</v>
      </c>
      <c r="AZ193" t="s" s="0">
        <v>511</v>
      </c>
      <c r="BA193" t="s" s="0">
        <v>114</v>
      </c>
      <c r="BB193" t="s" s="0">
        <v>115</v>
      </c>
      <c r="BC193" t="s" s="0">
        <v>83</v>
      </c>
      <c r="BD193" t="s" s="0">
        <v>83</v>
      </c>
      <c r="BE193" t="s" s="0">
        <v>83</v>
      </c>
      <c r="BF193" t="s" s="0">
        <v>83</v>
      </c>
      <c r="BG193" t="s" s="0">
        <v>83</v>
      </c>
      <c r="BH193" t="s" s="0">
        <v>83</v>
      </c>
      <c r="BI193" t="s" s="0">
        <v>1954</v>
      </c>
      <c r="BJ193" t="s" s="0">
        <v>5148</v>
      </c>
      <c r="BK193" t="s" s="382">
        <f>HYPERLINK("http://dx.doi.org/10.1186/s12891-025-09389-y","http://dx.doi.org/10.1186/s12891-025-09389-y")</f>
        <v>5149</v>
      </c>
      <c r="BL193" t="s" s="0">
        <v>83</v>
      </c>
      <c r="BM193" t="s" s="0">
        <v>83</v>
      </c>
      <c r="BN193" t="s" s="0">
        <v>310</v>
      </c>
      <c r="BO193" t="s" s="0">
        <v>1575</v>
      </c>
      <c r="BP193" t="s" s="0">
        <v>1575</v>
      </c>
      <c r="BQ193" t="s" s="0">
        <v>5150</v>
      </c>
      <c r="BR193" t="s" s="0">
        <v>5151</v>
      </c>
      <c r="BS193" t="s" s="0">
        <v>5152</v>
      </c>
      <c r="BT193" t="s" s="383">
        <f>HYPERLINK("https://www.webofscience.com/wos/woscc/full-record/WOS:001674363500001","View Record in Web of Science")</f>
        <v>126</v>
      </c>
      <c r="BU193" t="s" s="0">
        <v>210</v>
      </c>
      <c r="BV193" t="s" s="0">
        <v>83</v>
      </c>
      <c r="BW193" t="s" s="0">
        <v>83</v>
      </c>
      <c r="BX193" t="s" s="0">
        <v>130</v>
      </c>
    </row>
    <row r="194">
      <c r="A194" t="s" s="0">
        <v>115</v>
      </c>
      <c r="B194" t="s" s="0">
        <v>78</v>
      </c>
      <c r="C194" t="s" s="0">
        <v>77</v>
      </c>
      <c r="D194" t="s" s="0">
        <v>78</v>
      </c>
      <c r="E194" t="s" s="0">
        <v>5153</v>
      </c>
      <c r="F194" t="s" s="0">
        <v>5154</v>
      </c>
      <c r="G194" t="s" s="0">
        <v>5155</v>
      </c>
      <c r="H194" t="s" s="0">
        <v>83</v>
      </c>
      <c r="I194" t="s" s="0">
        <v>84</v>
      </c>
      <c r="J194" t="s" s="0">
        <v>5156</v>
      </c>
      <c r="K194" t="s" s="0">
        <v>5157</v>
      </c>
      <c r="L194" t="s" s="0">
        <v>83</v>
      </c>
      <c r="M194" t="s" s="0">
        <v>83</v>
      </c>
      <c r="N194" t="s" s="0">
        <v>83</v>
      </c>
      <c r="O194" t="s" s="0">
        <v>5158</v>
      </c>
      <c r="P194" t="s" s="0">
        <v>5159</v>
      </c>
      <c r="Q194" t="s" s="0">
        <v>92</v>
      </c>
      <c r="R194" t="s" s="0">
        <v>83</v>
      </c>
      <c r="S194" t="s" s="0">
        <v>83</v>
      </c>
      <c r="T194" t="s" s="0">
        <v>83</v>
      </c>
      <c r="U194" t="s" s="0">
        <v>83</v>
      </c>
      <c r="V194" t="s" s="0">
        <v>5160</v>
      </c>
      <c r="W194" t="s" s="0">
        <v>223</v>
      </c>
      <c r="X194" t="s" s="0">
        <v>83</v>
      </c>
      <c r="Y194" t="s" s="0">
        <v>83</v>
      </c>
      <c r="Z194" t="s" s="0">
        <v>95</v>
      </c>
      <c r="AA194" t="s" s="0">
        <v>96</v>
      </c>
      <c r="AB194" t="s" s="0">
        <v>83</v>
      </c>
      <c r="AC194" t="s" s="0">
        <v>83</v>
      </c>
      <c r="AD194" t="s" s="0">
        <v>83</v>
      </c>
      <c r="AE194" t="s" s="0">
        <v>83</v>
      </c>
      <c r="AF194" t="s" s="0">
        <v>83</v>
      </c>
      <c r="AG194" t="s" s="0">
        <v>5161</v>
      </c>
      <c r="AH194" t="s" s="0">
        <v>5162</v>
      </c>
      <c r="AI194" t="s" s="0">
        <v>5163</v>
      </c>
      <c r="AJ194" t="s" s="0">
        <v>5164</v>
      </c>
      <c r="AK194" t="s" s="0">
        <v>83</v>
      </c>
      <c r="AL194" t="s" s="0">
        <v>358</v>
      </c>
      <c r="AM194" t="s" s="0">
        <v>269</v>
      </c>
      <c r="AN194" t="s" s="0">
        <v>437</v>
      </c>
      <c r="AO194" t="s" s="0">
        <v>78</v>
      </c>
      <c r="AP194" t="s" s="0">
        <v>150</v>
      </c>
      <c r="AQ194" t="s" s="0">
        <v>233</v>
      </c>
      <c r="AR194" t="s" s="0">
        <v>234</v>
      </c>
      <c r="AS194" t="s" s="0">
        <v>311</v>
      </c>
      <c r="AT194" t="s" s="0">
        <v>236</v>
      </c>
      <c r="AU194" t="s" s="0">
        <v>237</v>
      </c>
      <c r="AV194" t="s" s="0">
        <v>83</v>
      </c>
      <c r="AW194" t="s" s="0">
        <v>238</v>
      </c>
      <c r="AX194" t="s" s="0">
        <v>239</v>
      </c>
      <c r="AY194" t="s" s="0">
        <v>5165</v>
      </c>
      <c r="AZ194" t="s" s="0">
        <v>279</v>
      </c>
      <c r="BA194" t="s" s="0">
        <v>537</v>
      </c>
      <c r="BB194" t="s" s="0">
        <v>83</v>
      </c>
      <c r="BC194" t="s" s="0">
        <v>83</v>
      </c>
      <c r="BD194" t="s" s="0">
        <v>83</v>
      </c>
      <c r="BE194" t="s" s="0">
        <v>83</v>
      </c>
      <c r="BF194" t="s" s="0">
        <v>83</v>
      </c>
      <c r="BG194" t="s" s="0">
        <v>4161</v>
      </c>
      <c r="BH194" t="s" s="0">
        <v>5166</v>
      </c>
      <c r="BI194" t="s" s="0">
        <v>83</v>
      </c>
      <c r="BJ194" t="s" s="0">
        <v>5167</v>
      </c>
      <c r="BK194" t="s" s="384">
        <f>HYPERLINK("http://dx.doi.org/10.1016/j.jclinepi.2022.10.016","http://dx.doi.org/10.1016/j.jclinepi.2022.10.016")</f>
        <v>5168</v>
      </c>
      <c r="BL194" t="s" s="0">
        <v>83</v>
      </c>
      <c r="BM194" t="s" s="0">
        <v>5169</v>
      </c>
      <c r="BN194" t="s" s="0">
        <v>211</v>
      </c>
      <c r="BO194" t="s" s="0">
        <v>249</v>
      </c>
      <c r="BP194" t="s" s="0">
        <v>249</v>
      </c>
      <c r="BQ194" t="s" s="0">
        <v>5170</v>
      </c>
      <c r="BR194" t="s" s="0">
        <v>5171</v>
      </c>
      <c r="BS194" t="s" s="0">
        <v>5172</v>
      </c>
      <c r="BT194" t="s" s="385">
        <f>HYPERLINK("https://www.webofscience.com/wos/woscc/full-record/WOS:000905334600013","View Record in Web of Science")</f>
        <v>126</v>
      </c>
      <c r="BU194" t="s" s="0">
        <v>584</v>
      </c>
      <c r="BV194" t="s" s="0">
        <v>83</v>
      </c>
      <c r="BW194" t="s" s="0">
        <v>83</v>
      </c>
      <c r="BX194" t="s" s="0">
        <v>130</v>
      </c>
    </row>
    <row r="195">
      <c r="A195" t="s" s="0">
        <v>78</v>
      </c>
      <c r="B195" t="s" s="0">
        <v>78</v>
      </c>
      <c r="C195" t="s" s="0">
        <v>78</v>
      </c>
      <c r="D195" t="s" s="0">
        <v>78</v>
      </c>
      <c r="E195" t="s" s="0">
        <v>5173</v>
      </c>
      <c r="F195" t="s" s="0">
        <v>5174</v>
      </c>
      <c r="G195" t="s" s="0">
        <v>5175</v>
      </c>
      <c r="H195" t="s" s="0">
        <v>83</v>
      </c>
      <c r="I195" t="s" s="0">
        <v>174</v>
      </c>
      <c r="J195" t="s" s="0">
        <v>5176</v>
      </c>
      <c r="K195" t="s" s="0">
        <v>5177</v>
      </c>
      <c r="L195" t="s" s="0">
        <v>83</v>
      </c>
      <c r="M195" t="s" s="0">
        <v>83</v>
      </c>
      <c r="N195" t="s" s="0">
        <v>83</v>
      </c>
      <c r="O195" t="s" s="0">
        <v>5178</v>
      </c>
      <c r="P195" t="s" s="0">
        <v>5179</v>
      </c>
      <c r="Q195" t="s" s="0">
        <v>92</v>
      </c>
      <c r="R195" t="s" s="0">
        <v>83</v>
      </c>
      <c r="S195" t="s" s="0">
        <v>83</v>
      </c>
      <c r="T195" t="s" s="0">
        <v>83</v>
      </c>
      <c r="U195" t="s" s="0">
        <v>83</v>
      </c>
      <c r="V195" t="s" s="0">
        <v>5180</v>
      </c>
      <c r="W195" t="s" s="0">
        <v>5181</v>
      </c>
      <c r="X195" t="s" s="0">
        <v>83</v>
      </c>
      <c r="Y195" t="s" s="0">
        <v>83</v>
      </c>
      <c r="Z195" t="s" s="0">
        <v>95</v>
      </c>
      <c r="AA195" t="s" s="0">
        <v>96</v>
      </c>
      <c r="AB195" t="s" s="0">
        <v>83</v>
      </c>
      <c r="AC195" t="s" s="0">
        <v>83</v>
      </c>
      <c r="AD195" t="s" s="0">
        <v>83</v>
      </c>
      <c r="AE195" t="s" s="0">
        <v>83</v>
      </c>
      <c r="AF195" t="s" s="0">
        <v>83</v>
      </c>
      <c r="AG195" t="s" s="0">
        <v>5182</v>
      </c>
      <c r="AH195" t="s" s="0">
        <v>5183</v>
      </c>
      <c r="AI195" t="s" s="0">
        <v>83</v>
      </c>
      <c r="AJ195" t="s" s="0">
        <v>5184</v>
      </c>
      <c r="AK195" t="s" s="0">
        <v>83</v>
      </c>
      <c r="AL195" t="s" s="0">
        <v>1873</v>
      </c>
      <c r="AM195" t="s" s="0">
        <v>149</v>
      </c>
      <c r="AN195" t="s" s="0">
        <v>149</v>
      </c>
      <c r="AO195" t="s" s="0">
        <v>115</v>
      </c>
      <c r="AP195" t="s" s="0">
        <v>545</v>
      </c>
      <c r="AQ195" t="s" s="0">
        <v>1151</v>
      </c>
      <c r="AR195" t="s" s="0">
        <v>1152</v>
      </c>
      <c r="AS195" t="s" s="0">
        <v>1153</v>
      </c>
      <c r="AT195" t="s" s="0">
        <v>5185</v>
      </c>
      <c r="AU195" t="s" s="0">
        <v>83</v>
      </c>
      <c r="AV195" t="s" s="0">
        <v>83</v>
      </c>
      <c r="AW195" t="s" s="0">
        <v>5186</v>
      </c>
      <c r="AX195" t="s" s="0">
        <v>5187</v>
      </c>
      <c r="AY195" t="s" s="0">
        <v>158</v>
      </c>
      <c r="AZ195" t="s" s="0">
        <v>159</v>
      </c>
      <c r="BA195" t="s" s="0">
        <v>1404</v>
      </c>
      <c r="BB195" t="s" s="0">
        <v>83</v>
      </c>
      <c r="BC195" t="s" s="0">
        <v>83</v>
      </c>
      <c r="BD195" t="s" s="0">
        <v>83</v>
      </c>
      <c r="BE195" t="s" s="0">
        <v>83</v>
      </c>
      <c r="BF195" t="s" s="0">
        <v>83</v>
      </c>
      <c r="BG195" t="s" s="0">
        <v>83</v>
      </c>
      <c r="BH195" t="s" s="0">
        <v>83</v>
      </c>
      <c r="BI195" t="s" s="0">
        <v>2082</v>
      </c>
      <c r="BJ195" t="s" s="0">
        <v>5188</v>
      </c>
      <c r="BK195" t="s" s="386">
        <f>HYPERLINK("http://dx.doi.org/10.1016/j.artd.2025.101672","http://dx.doi.org/10.1016/j.artd.2025.101672")</f>
        <v>5189</v>
      </c>
      <c r="BL195" t="s" s="0">
        <v>83</v>
      </c>
      <c r="BM195" t="s" s="0">
        <v>1102</v>
      </c>
      <c r="BN195" t="s" s="0">
        <v>165</v>
      </c>
      <c r="BO195" t="s" s="0">
        <v>5190</v>
      </c>
      <c r="BP195" t="s" s="0">
        <v>5190</v>
      </c>
      <c r="BQ195" t="s" s="0">
        <v>5191</v>
      </c>
      <c r="BR195" t="s" s="0">
        <v>5192</v>
      </c>
      <c r="BS195" t="s" s="0">
        <v>5193</v>
      </c>
      <c r="BT195" t="s" s="387">
        <f>HYPERLINK("https://www.webofscience.com/wos/woscc/full-record/WOS:001458585200001","View Record in Web of Science")</f>
        <v>126</v>
      </c>
      <c r="BU195" t="s" s="0">
        <v>210</v>
      </c>
      <c r="BV195" t="s" s="0">
        <v>83</v>
      </c>
      <c r="BW195" t="s" s="0">
        <v>83</v>
      </c>
      <c r="BX195" t="s" s="0">
        <v>130</v>
      </c>
    </row>
    <row r="196">
      <c r="A196" t="s" s="0">
        <v>78</v>
      </c>
      <c r="B196" t="s" s="0">
        <v>78</v>
      </c>
      <c r="C196" t="s" s="0">
        <v>165</v>
      </c>
      <c r="D196" t="s" s="0">
        <v>78</v>
      </c>
      <c r="E196" t="s" s="0">
        <v>5194</v>
      </c>
      <c r="F196" t="s" s="0">
        <v>5195</v>
      </c>
      <c r="G196" t="s" s="0">
        <v>5196</v>
      </c>
      <c r="H196" t="s" s="0">
        <v>83</v>
      </c>
      <c r="I196" t="s" s="0">
        <v>174</v>
      </c>
      <c r="J196" t="s" s="0">
        <v>5197</v>
      </c>
      <c r="K196" t="s" s="0">
        <v>5198</v>
      </c>
      <c r="L196" t="s" s="0">
        <v>83</v>
      </c>
      <c r="M196" t="s" s="0">
        <v>83</v>
      </c>
      <c r="N196" t="s" s="0">
        <v>83</v>
      </c>
      <c r="O196" t="s" s="0">
        <v>5199</v>
      </c>
      <c r="P196" t="s" s="0">
        <v>5200</v>
      </c>
      <c r="Q196" t="s" s="0">
        <v>92</v>
      </c>
      <c r="R196" t="s" s="0">
        <v>83</v>
      </c>
      <c r="S196" t="s" s="0">
        <v>83</v>
      </c>
      <c r="T196" t="s" s="0">
        <v>83</v>
      </c>
      <c r="U196" t="s" s="0">
        <v>83</v>
      </c>
      <c r="V196" t="s" s="0">
        <v>5201</v>
      </c>
      <c r="W196" t="s" s="0">
        <v>5202</v>
      </c>
      <c r="X196" t="s" s="0">
        <v>83</v>
      </c>
      <c r="Y196" t="s" s="0">
        <v>83</v>
      </c>
      <c r="Z196" t="s" s="0">
        <v>95</v>
      </c>
      <c r="AA196" t="s" s="0">
        <v>96</v>
      </c>
      <c r="AB196" t="s" s="0">
        <v>83</v>
      </c>
      <c r="AC196" t="s" s="0">
        <v>83</v>
      </c>
      <c r="AD196" t="s" s="0">
        <v>83</v>
      </c>
      <c r="AE196" t="s" s="0">
        <v>83</v>
      </c>
      <c r="AF196" t="s" s="0">
        <v>83</v>
      </c>
      <c r="AG196" t="s" s="0">
        <v>5203</v>
      </c>
      <c r="AH196" t="s" s="0">
        <v>5204</v>
      </c>
      <c r="AI196" t="s" s="0">
        <v>5205</v>
      </c>
      <c r="AJ196" t="s" s="0">
        <v>83</v>
      </c>
      <c r="AK196" t="s" s="0">
        <v>83</v>
      </c>
      <c r="AL196" t="s" s="0">
        <v>270</v>
      </c>
      <c r="AM196" t="s" s="0">
        <v>374</v>
      </c>
      <c r="AN196" t="s" s="0">
        <v>437</v>
      </c>
      <c r="AO196" t="s" s="0">
        <v>78</v>
      </c>
      <c r="AP196" t="s" s="0">
        <v>1404</v>
      </c>
      <c r="AQ196" t="s" s="0">
        <v>5206</v>
      </c>
      <c r="AR196" t="s" s="0">
        <v>5207</v>
      </c>
      <c r="AS196" t="s" s="0">
        <v>5208</v>
      </c>
      <c r="AT196" t="s" s="0">
        <v>5209</v>
      </c>
      <c r="AU196" t="s" s="0">
        <v>5210</v>
      </c>
      <c r="AV196" t="s" s="0">
        <v>83</v>
      </c>
      <c r="AW196" t="s" s="0">
        <v>5211</v>
      </c>
      <c r="AX196" t="s" s="0">
        <v>5212</v>
      </c>
      <c r="AY196" t="s" s="0">
        <v>977</v>
      </c>
      <c r="AZ196" t="s" s="0">
        <v>241</v>
      </c>
      <c r="BA196" t="s" s="0">
        <v>232</v>
      </c>
      <c r="BB196" t="s" s="0">
        <v>115</v>
      </c>
      <c r="BC196" t="s" s="0">
        <v>83</v>
      </c>
      <c r="BD196" t="s" s="0">
        <v>83</v>
      </c>
      <c r="BE196" t="s" s="0">
        <v>83</v>
      </c>
      <c r="BF196" t="s" s="0">
        <v>83</v>
      </c>
      <c r="BG196" t="s" s="0">
        <v>115</v>
      </c>
      <c r="BH196" t="s" s="0">
        <v>211</v>
      </c>
      <c r="BI196" t="s" s="0">
        <v>83</v>
      </c>
      <c r="BJ196" t="s" s="0">
        <v>5213</v>
      </c>
      <c r="BK196" t="s" s="388">
        <f>HYPERLINK("http://dx.doi.org/10.22038/ABJS.2022.58485.2897","http://dx.doi.org/10.22038/ABJS.2022.58485.2897")</f>
        <v>5214</v>
      </c>
      <c r="BL196" t="s" s="0">
        <v>83</v>
      </c>
      <c r="BM196" t="s" s="0">
        <v>83</v>
      </c>
      <c r="BN196" t="s" s="0">
        <v>211</v>
      </c>
      <c r="BO196" t="s" s="0">
        <v>5190</v>
      </c>
      <c r="BP196" t="s" s="0">
        <v>5190</v>
      </c>
      <c r="BQ196" t="s" s="0">
        <v>5215</v>
      </c>
      <c r="BR196" t="s" s="0">
        <v>5216</v>
      </c>
      <c r="BS196" t="s" s="0">
        <v>5217</v>
      </c>
      <c r="BT196" t="s" s="389">
        <f>HYPERLINK("https://www.webofscience.com/wos/woscc/full-record/WOS:000910900400001","View Record in Web of Science")</f>
        <v>126</v>
      </c>
      <c r="BU196" t="s" s="0">
        <v>83</v>
      </c>
      <c r="BV196" t="s" s="0">
        <v>83</v>
      </c>
      <c r="BW196" t="s" s="0">
        <v>83</v>
      </c>
      <c r="BX196" t="s" s="0">
        <v>130</v>
      </c>
    </row>
    <row r="197">
      <c r="A197" t="s" s="0">
        <v>150</v>
      </c>
      <c r="B197" t="s" s="0">
        <v>78</v>
      </c>
      <c r="C197" t="s" s="0">
        <v>377</v>
      </c>
      <c r="D197" t="s" s="0">
        <v>78</v>
      </c>
      <c r="E197" t="s" s="0">
        <v>5218</v>
      </c>
      <c r="F197" t="s" s="0">
        <v>5219</v>
      </c>
      <c r="G197" t="s" s="0">
        <v>5220</v>
      </c>
      <c r="H197" t="s" s="0">
        <v>83</v>
      </c>
      <c r="I197" t="s" s="0">
        <v>257</v>
      </c>
      <c r="J197" t="s" s="0">
        <v>5221</v>
      </c>
      <c r="K197" t="s" s="0">
        <v>5222</v>
      </c>
      <c r="L197" t="s" s="0">
        <v>5223</v>
      </c>
      <c r="M197" t="s" s="0">
        <v>5224</v>
      </c>
      <c r="N197" t="s" s="0">
        <v>5225</v>
      </c>
      <c r="O197" t="s" s="0">
        <v>5226</v>
      </c>
      <c r="P197" t="s" s="0">
        <v>5227</v>
      </c>
      <c r="Q197" t="s" s="0">
        <v>92</v>
      </c>
      <c r="R197" t="s" s="0">
        <v>83</v>
      </c>
      <c r="S197" t="s" s="0">
        <v>83</v>
      </c>
      <c r="T197" t="s" s="0">
        <v>83</v>
      </c>
      <c r="U197" t="s" s="0">
        <v>83</v>
      </c>
      <c r="V197" t="s" s="0">
        <v>5228</v>
      </c>
      <c r="W197" t="s" s="0">
        <v>5229</v>
      </c>
      <c r="X197" t="s" s="0">
        <v>83</v>
      </c>
      <c r="Y197" t="s" s="0">
        <v>83</v>
      </c>
      <c r="Z197" t="s" s="0">
        <v>95</v>
      </c>
      <c r="AA197" t="s" s="0">
        <v>96</v>
      </c>
      <c r="AB197" t="s" s="0">
        <v>83</v>
      </c>
      <c r="AC197" t="s" s="0">
        <v>83</v>
      </c>
      <c r="AD197" t="s" s="0">
        <v>83</v>
      </c>
      <c r="AE197" t="s" s="0">
        <v>83</v>
      </c>
      <c r="AF197" t="s" s="0">
        <v>83</v>
      </c>
      <c r="AG197" t="s" s="0">
        <v>5230</v>
      </c>
      <c r="AH197" t="s" s="0">
        <v>5231</v>
      </c>
      <c r="AI197" t="s" s="0">
        <v>5232</v>
      </c>
      <c r="AJ197" t="s" s="0">
        <v>5233</v>
      </c>
      <c r="AK197" t="s" s="0">
        <v>83</v>
      </c>
      <c r="AL197" t="s" s="0">
        <v>4951</v>
      </c>
      <c r="AM197" t="s" s="0">
        <v>147</v>
      </c>
      <c r="AN197" t="s" s="0">
        <v>230</v>
      </c>
      <c r="AO197" t="s" s="0">
        <v>150</v>
      </c>
      <c r="AP197" t="s" s="0">
        <v>79</v>
      </c>
      <c r="AQ197" t="s" s="0">
        <v>720</v>
      </c>
      <c r="AR197" t="s" s="0">
        <v>721</v>
      </c>
      <c r="AS197" t="s" s="0">
        <v>722</v>
      </c>
      <c r="AT197" t="s" s="0">
        <v>5234</v>
      </c>
      <c r="AU197" t="s" s="0">
        <v>5235</v>
      </c>
      <c r="AV197" t="s" s="0">
        <v>83</v>
      </c>
      <c r="AW197" t="s" s="0">
        <v>5236</v>
      </c>
      <c r="AX197" t="s" s="0">
        <v>5237</v>
      </c>
      <c r="AY197" t="s" s="0">
        <v>3132</v>
      </c>
      <c r="AZ197" t="s" s="0">
        <v>279</v>
      </c>
      <c r="BA197" t="s" s="0">
        <v>5238</v>
      </c>
      <c r="BB197" t="s" s="0">
        <v>150</v>
      </c>
      <c r="BC197" t="s" s="0">
        <v>83</v>
      </c>
      <c r="BD197" t="s" s="0">
        <v>83</v>
      </c>
      <c r="BE197" t="s" s="0">
        <v>83</v>
      </c>
      <c r="BF197" t="s" s="0">
        <v>83</v>
      </c>
      <c r="BG197" t="s" s="0">
        <v>5239</v>
      </c>
      <c r="BH197" t="s" s="0">
        <v>5240</v>
      </c>
      <c r="BI197" t="s" s="0">
        <v>5241</v>
      </c>
      <c r="BJ197" t="s" s="0">
        <v>5242</v>
      </c>
      <c r="BK197" t="s" s="390">
        <f>HYPERLINK("http://dx.doi.org/10.1192/bjp.2021.218","http://dx.doi.org/10.1192/bjp.2021.218")</f>
        <v>5243</v>
      </c>
      <c r="BL197" t="s" s="0">
        <v>83</v>
      </c>
      <c r="BM197" t="s" s="0">
        <v>286</v>
      </c>
      <c r="BN197" t="s" s="0">
        <v>232</v>
      </c>
      <c r="BO197" t="s" s="0">
        <v>864</v>
      </c>
      <c r="BP197" t="s" s="0">
        <v>864</v>
      </c>
      <c r="BQ197" t="s" s="0">
        <v>5244</v>
      </c>
      <c r="BR197" t="s" s="0">
        <v>5245</v>
      </c>
      <c r="BS197" t="s" s="0">
        <v>5246</v>
      </c>
      <c r="BT197" t="s" s="391">
        <f>HYPERLINK("https://www.webofscience.com/wos/woscc/full-record/WOS:000741165900001","View Record in Web of Science")</f>
        <v>126</v>
      </c>
      <c r="BU197" t="s" s="0">
        <v>292</v>
      </c>
      <c r="BV197" t="s" s="0">
        <v>83</v>
      </c>
      <c r="BW197" t="s" s="0">
        <v>83</v>
      </c>
      <c r="BX197" t="s" s="0">
        <v>130</v>
      </c>
    </row>
    <row r="198">
      <c r="A198" t="s" s="0">
        <v>78</v>
      </c>
      <c r="B198" t="s" s="0">
        <v>78</v>
      </c>
      <c r="C198" t="s" s="0">
        <v>77</v>
      </c>
      <c r="D198" t="s" s="0">
        <v>78</v>
      </c>
      <c r="E198" t="s" s="0">
        <v>5247</v>
      </c>
      <c r="F198" t="s" s="0">
        <v>5248</v>
      </c>
      <c r="G198" t="s" s="0">
        <v>5249</v>
      </c>
      <c r="H198" t="s" s="0">
        <v>83</v>
      </c>
      <c r="I198" t="s" s="0">
        <v>84</v>
      </c>
      <c r="J198" t="s" s="0">
        <v>5250</v>
      </c>
      <c r="K198" t="s" s="0">
        <v>5251</v>
      </c>
      <c r="L198" t="s" s="0">
        <v>83</v>
      </c>
      <c r="M198" t="s" s="0">
        <v>83</v>
      </c>
      <c r="N198" t="s" s="0">
        <v>83</v>
      </c>
      <c r="O198" t="s" s="0">
        <v>5252</v>
      </c>
      <c r="P198" t="s" s="0">
        <v>5253</v>
      </c>
      <c r="Q198" t="s" s="0">
        <v>92</v>
      </c>
      <c r="R198" t="s" s="0">
        <v>83</v>
      </c>
      <c r="S198" t="s" s="0">
        <v>83</v>
      </c>
      <c r="T198" t="s" s="0">
        <v>83</v>
      </c>
      <c r="U198" t="s" s="0">
        <v>83</v>
      </c>
      <c r="V198" t="s" s="0">
        <v>5254</v>
      </c>
      <c r="W198" t="s" s="0">
        <v>5255</v>
      </c>
      <c r="X198" t="s" s="0">
        <v>83</v>
      </c>
      <c r="Y198" t="s" s="0">
        <v>83</v>
      </c>
      <c r="Z198" t="s" s="0">
        <v>95</v>
      </c>
      <c r="AA198" t="s" s="0">
        <v>96</v>
      </c>
      <c r="AB198" t="s" s="0">
        <v>83</v>
      </c>
      <c r="AC198" t="s" s="0">
        <v>83</v>
      </c>
      <c r="AD198" t="s" s="0">
        <v>83</v>
      </c>
      <c r="AE198" t="s" s="0">
        <v>83</v>
      </c>
      <c r="AF198" t="s" s="0">
        <v>83</v>
      </c>
      <c r="AG198" t="s" s="0">
        <v>5256</v>
      </c>
      <c r="AH198" t="s" s="0">
        <v>5257</v>
      </c>
      <c r="AI198" t="s" s="0">
        <v>5258</v>
      </c>
      <c r="AJ198" t="s" s="0">
        <v>83</v>
      </c>
      <c r="AK198" t="s" s="0">
        <v>83</v>
      </c>
      <c r="AL198" t="s" s="0">
        <v>79</v>
      </c>
      <c r="AM198" t="s" s="0">
        <v>165</v>
      </c>
      <c r="AN198" t="s" s="0">
        <v>165</v>
      </c>
      <c r="AO198" t="s" s="0">
        <v>115</v>
      </c>
      <c r="AP198" t="s" s="0">
        <v>148</v>
      </c>
      <c r="AQ198" t="s" s="0">
        <v>830</v>
      </c>
      <c r="AR198" t="s" s="0">
        <v>831</v>
      </c>
      <c r="AS198" t="s" s="0">
        <v>832</v>
      </c>
      <c r="AT198" t="s" s="0">
        <v>5259</v>
      </c>
      <c r="AU198" t="s" s="0">
        <v>83</v>
      </c>
      <c r="AV198" t="s" s="0">
        <v>83</v>
      </c>
      <c r="AW198" t="s" s="0">
        <v>5260</v>
      </c>
      <c r="AX198" t="s" s="0">
        <v>5261</v>
      </c>
      <c r="AY198" t="s" s="0">
        <v>5262</v>
      </c>
      <c r="AZ198" t="s" s="0">
        <v>412</v>
      </c>
      <c r="BA198" t="s" s="0">
        <v>248</v>
      </c>
      <c r="BB198" t="s" s="0">
        <v>83</v>
      </c>
      <c r="BC198" t="s" s="0">
        <v>83</v>
      </c>
      <c r="BD198" t="s" s="0">
        <v>83</v>
      </c>
      <c r="BE198" t="s" s="0">
        <v>83</v>
      </c>
      <c r="BF198" t="s" s="0">
        <v>83</v>
      </c>
      <c r="BG198" t="s" s="0">
        <v>83</v>
      </c>
      <c r="BH198" t="s" s="0">
        <v>83</v>
      </c>
      <c r="BI198" t="s" s="0">
        <v>5263</v>
      </c>
      <c r="BJ198" t="s" s="0">
        <v>5264</v>
      </c>
      <c r="BK198" t="s" s="392">
        <f>HYPERLINK("http://dx.doi.org/10.3389/fped.2024.1361850","http://dx.doi.org/10.3389/fped.2024.1361850")</f>
        <v>5265</v>
      </c>
      <c r="BL198" t="s" s="0">
        <v>83</v>
      </c>
      <c r="BM198" t="s" s="0">
        <v>83</v>
      </c>
      <c r="BN198" t="s" s="0">
        <v>165</v>
      </c>
      <c r="BO198" t="s" s="0">
        <v>611</v>
      </c>
      <c r="BP198" t="s" s="0">
        <v>611</v>
      </c>
      <c r="BQ198" t="s" s="0">
        <v>5266</v>
      </c>
      <c r="BR198" t="s" s="0">
        <v>5267</v>
      </c>
      <c r="BS198" t="s" s="0">
        <v>5268</v>
      </c>
      <c r="BT198" t="s" s="393">
        <f>HYPERLINK("https://www.webofscience.com/wos/woscc/full-record/WOS:001291526600001","View Record in Web of Science")</f>
        <v>126</v>
      </c>
      <c r="BU198" t="s" s="0">
        <v>210</v>
      </c>
      <c r="BV198" t="s" s="0">
        <v>83</v>
      </c>
      <c r="BW198" t="s" s="0">
        <v>83</v>
      </c>
      <c r="BX198" t="s" s="0">
        <v>130</v>
      </c>
    </row>
    <row r="199">
      <c r="A199" t="s" s="0">
        <v>78</v>
      </c>
      <c r="B199" t="s" s="0">
        <v>78</v>
      </c>
      <c r="C199" t="s" s="0">
        <v>78</v>
      </c>
      <c r="D199" t="s" s="0">
        <v>78</v>
      </c>
      <c r="E199" t="s" s="0">
        <v>5269</v>
      </c>
      <c r="F199" t="s" s="0">
        <v>5270</v>
      </c>
      <c r="G199" t="s" s="0">
        <v>5271</v>
      </c>
      <c r="H199" t="s" s="0">
        <v>83</v>
      </c>
      <c r="I199" t="s" s="0">
        <v>174</v>
      </c>
      <c r="J199" t="s" s="0">
        <v>5272</v>
      </c>
      <c r="K199" t="s" s="0">
        <v>5273</v>
      </c>
      <c r="L199" t="s" s="0">
        <v>83</v>
      </c>
      <c r="M199" t="s" s="0">
        <v>83</v>
      </c>
      <c r="N199" t="s" s="0">
        <v>83</v>
      </c>
      <c r="O199" t="s" s="0">
        <v>5274</v>
      </c>
      <c r="P199" t="s" s="0">
        <v>5275</v>
      </c>
      <c r="Q199" t="s" s="0">
        <v>92</v>
      </c>
      <c r="R199" t="s" s="0">
        <v>83</v>
      </c>
      <c r="S199" t="s" s="0">
        <v>83</v>
      </c>
      <c r="T199" t="s" s="0">
        <v>83</v>
      </c>
      <c r="U199" t="s" s="0">
        <v>83</v>
      </c>
      <c r="V199" t="s" s="0">
        <v>5276</v>
      </c>
      <c r="W199" t="s" s="0">
        <v>5277</v>
      </c>
      <c r="X199" t="s" s="0">
        <v>83</v>
      </c>
      <c r="Y199" t="s" s="0">
        <v>83</v>
      </c>
      <c r="Z199" t="s" s="0">
        <v>95</v>
      </c>
      <c r="AA199" t="s" s="0">
        <v>96</v>
      </c>
      <c r="AB199" t="s" s="0">
        <v>83</v>
      </c>
      <c r="AC199" t="s" s="0">
        <v>83</v>
      </c>
      <c r="AD199" t="s" s="0">
        <v>83</v>
      </c>
      <c r="AE199" t="s" s="0">
        <v>83</v>
      </c>
      <c r="AF199" t="s" s="0">
        <v>83</v>
      </c>
      <c r="AG199" t="s" s="0">
        <v>5278</v>
      </c>
      <c r="AH199" t="s" s="0">
        <v>5279</v>
      </c>
      <c r="AI199" t="s" s="0">
        <v>5280</v>
      </c>
      <c r="AJ199" t="s" s="0">
        <v>5281</v>
      </c>
      <c r="AK199" t="s" s="0">
        <v>83</v>
      </c>
      <c r="AL199" t="s" s="0">
        <v>229</v>
      </c>
      <c r="AM199" t="s" s="0">
        <v>78</v>
      </c>
      <c r="AN199" t="s" s="0">
        <v>78</v>
      </c>
      <c r="AO199" t="s" s="0">
        <v>78</v>
      </c>
      <c r="AP199" t="s" s="0">
        <v>78</v>
      </c>
      <c r="AQ199" t="s" s="0">
        <v>2792</v>
      </c>
      <c r="AR199" t="s" s="0">
        <v>2793</v>
      </c>
      <c r="AS199" t="s" s="0">
        <v>2794</v>
      </c>
      <c r="AT199" t="s" s="0">
        <v>5282</v>
      </c>
      <c r="AU199" t="s" s="0">
        <v>5283</v>
      </c>
      <c r="AV199" t="s" s="0">
        <v>83</v>
      </c>
      <c r="AW199" t="s" s="0">
        <v>5284</v>
      </c>
      <c r="AX199" t="s" s="0">
        <v>5285</v>
      </c>
      <c r="AY199" t="s" s="0">
        <v>4958</v>
      </c>
      <c r="AZ199" t="s" s="0">
        <v>511</v>
      </c>
      <c r="BA199" t="s" s="0">
        <v>374</v>
      </c>
      <c r="BB199" t="s" s="0">
        <v>77</v>
      </c>
      <c r="BC199" t="s" s="0">
        <v>83</v>
      </c>
      <c r="BD199" t="s" s="0">
        <v>83</v>
      </c>
      <c r="BE199" t="s" s="0">
        <v>83</v>
      </c>
      <c r="BF199" t="s" s="0">
        <v>83</v>
      </c>
      <c r="BG199" t="s" s="0">
        <v>5286</v>
      </c>
      <c r="BH199" t="s" s="0">
        <v>5287</v>
      </c>
      <c r="BI199" t="s" s="0">
        <v>83</v>
      </c>
      <c r="BJ199" t="s" s="0">
        <v>5288</v>
      </c>
      <c r="BK199" t="s" s="394">
        <f>HYPERLINK("http://dx.doi.org/10.1177/17585732251412368","http://dx.doi.org/10.1177/17585732251412368")</f>
        <v>5289</v>
      </c>
      <c r="BL199" t="s" s="0">
        <v>83</v>
      </c>
      <c r="BM199" t="s" s="0">
        <v>5290</v>
      </c>
      <c r="BN199" t="s" s="0">
        <v>890</v>
      </c>
      <c r="BO199" t="s" s="0">
        <v>5190</v>
      </c>
      <c r="BP199" t="s" s="0">
        <v>5190</v>
      </c>
      <c r="BQ199" t="s" s="0">
        <v>5291</v>
      </c>
      <c r="BR199" t="s" s="0">
        <v>5292</v>
      </c>
      <c r="BS199" t="s" s="0">
        <v>5293</v>
      </c>
      <c r="BT199" t="s" s="395">
        <f>HYPERLINK("https://www.webofscience.com/wos/woscc/full-record/WOS:001672300300001","View Record in Web of Science")</f>
        <v>126</v>
      </c>
      <c r="BU199" t="s" s="0">
        <v>253</v>
      </c>
      <c r="BV199" t="s" s="0">
        <v>83</v>
      </c>
      <c r="BW199" t="s" s="0">
        <v>83</v>
      </c>
      <c r="BX199" t="s" s="0">
        <v>130</v>
      </c>
    </row>
    <row r="200">
      <c r="A200" t="s" s="0">
        <v>115</v>
      </c>
      <c r="B200" t="s" s="0">
        <v>78</v>
      </c>
      <c r="C200" t="s" s="0">
        <v>248</v>
      </c>
      <c r="D200" t="s" s="0">
        <v>78</v>
      </c>
      <c r="E200" t="s" s="0">
        <v>5294</v>
      </c>
      <c r="F200" t="s" s="0">
        <v>5295</v>
      </c>
      <c r="G200" t="s" s="0">
        <v>5296</v>
      </c>
      <c r="H200" t="s" s="0">
        <v>83</v>
      </c>
      <c r="I200" t="s" s="0">
        <v>84</v>
      </c>
      <c r="J200" t="s" s="0">
        <v>5297</v>
      </c>
      <c r="K200" t="s" s="0">
        <v>5298</v>
      </c>
      <c r="L200" t="s" s="0">
        <v>83</v>
      </c>
      <c r="M200" t="s" s="0">
        <v>83</v>
      </c>
      <c r="N200" t="s" s="0">
        <v>83</v>
      </c>
      <c r="O200" t="s" s="0">
        <v>5299</v>
      </c>
      <c r="P200" t="s" s="0">
        <v>5300</v>
      </c>
      <c r="Q200" t="s" s="0">
        <v>92</v>
      </c>
      <c r="R200" t="s" s="0">
        <v>83</v>
      </c>
      <c r="S200" t="s" s="0">
        <v>83</v>
      </c>
      <c r="T200" t="s" s="0">
        <v>83</v>
      </c>
      <c r="U200" t="s" s="0">
        <v>83</v>
      </c>
      <c r="V200" t="s" s="0">
        <v>5301</v>
      </c>
      <c r="W200" t="s" s="0">
        <v>5302</v>
      </c>
      <c r="X200" t="s" s="0">
        <v>83</v>
      </c>
      <c r="Y200" t="s" s="0">
        <v>83</v>
      </c>
      <c r="Z200" t="s" s="0">
        <v>95</v>
      </c>
      <c r="AA200" t="s" s="0">
        <v>96</v>
      </c>
      <c r="AB200" t="s" s="0">
        <v>83</v>
      </c>
      <c r="AC200" t="s" s="0">
        <v>83</v>
      </c>
      <c r="AD200" t="s" s="0">
        <v>83</v>
      </c>
      <c r="AE200" t="s" s="0">
        <v>83</v>
      </c>
      <c r="AF200" t="s" s="0">
        <v>83</v>
      </c>
      <c r="AG200" t="s" s="0">
        <v>5303</v>
      </c>
      <c r="AH200" t="s" s="0">
        <v>5304</v>
      </c>
      <c r="AI200" t="s" s="0">
        <v>5305</v>
      </c>
      <c r="AJ200" t="s" s="0">
        <v>5306</v>
      </c>
      <c r="AK200" t="s" s="0">
        <v>83</v>
      </c>
      <c r="AL200" t="s" s="0">
        <v>1030</v>
      </c>
      <c r="AM200" t="s" s="0">
        <v>969</v>
      </c>
      <c r="AN200" t="s" s="0">
        <v>884</v>
      </c>
      <c r="AO200" t="s" s="0">
        <v>78</v>
      </c>
      <c r="AP200" t="s" s="0">
        <v>248</v>
      </c>
      <c r="AQ200" t="s" s="0">
        <v>1396</v>
      </c>
      <c r="AR200" t="s" s="0">
        <v>1091</v>
      </c>
      <c r="AS200" t="s" s="0">
        <v>1397</v>
      </c>
      <c r="AT200" t="s" s="0">
        <v>5307</v>
      </c>
      <c r="AU200" t="s" s="0">
        <v>5308</v>
      </c>
      <c r="AV200" t="s" s="0">
        <v>83</v>
      </c>
      <c r="AW200" t="s" s="0">
        <v>5309</v>
      </c>
      <c r="AX200" t="s" s="0">
        <v>5310</v>
      </c>
      <c r="AY200" t="s" s="0">
        <v>5311</v>
      </c>
      <c r="AZ200" t="s" s="0">
        <v>113</v>
      </c>
      <c r="BA200" t="s" s="0">
        <v>1980</v>
      </c>
      <c r="BB200" t="s" s="0">
        <v>545</v>
      </c>
      <c r="BC200" t="s" s="0">
        <v>83</v>
      </c>
      <c r="BD200" t="s" s="0">
        <v>83</v>
      </c>
      <c r="BE200" t="s" s="0">
        <v>83</v>
      </c>
      <c r="BF200" t="s" s="0">
        <v>83</v>
      </c>
      <c r="BG200" t="s" s="0">
        <v>5312</v>
      </c>
      <c r="BH200" t="s" s="0">
        <v>5313</v>
      </c>
      <c r="BI200" t="s" s="0">
        <v>83</v>
      </c>
      <c r="BJ200" t="s" s="0">
        <v>5314</v>
      </c>
      <c r="BK200" t="s" s="396">
        <f>HYPERLINK("http://dx.doi.org/10.1097/TA.0000000000001760","http://dx.doi.org/10.1097/TA.0000000000001760")</f>
        <v>5315</v>
      </c>
      <c r="BL200" t="s" s="0">
        <v>83</v>
      </c>
      <c r="BM200" t="s" s="0">
        <v>83</v>
      </c>
      <c r="BN200" t="s" s="0">
        <v>248</v>
      </c>
      <c r="BO200" t="s" s="0">
        <v>5316</v>
      </c>
      <c r="BP200" t="s" s="0">
        <v>5317</v>
      </c>
      <c r="BQ200" t="s" s="0">
        <v>5318</v>
      </c>
      <c r="BR200" t="s" s="0">
        <v>5319</v>
      </c>
      <c r="BS200" t="s" s="0">
        <v>5320</v>
      </c>
      <c r="BT200" t="s" s="397">
        <f>HYPERLINK("https://www.webofscience.com/wos/woscc/full-record/WOS:000426552800014","View Record in Web of Science")</f>
        <v>126</v>
      </c>
      <c r="BU200" t="s" s="0">
        <v>83</v>
      </c>
      <c r="BV200" t="s" s="0">
        <v>83</v>
      </c>
      <c r="BW200" t="s" s="0">
        <v>83</v>
      </c>
      <c r="BX200" t="s" s="0">
        <v>130</v>
      </c>
    </row>
    <row r="201">
      <c r="A201" t="s" s="0">
        <v>78</v>
      </c>
      <c r="B201" t="s" s="0">
        <v>78</v>
      </c>
      <c r="C201" t="s" s="0">
        <v>78</v>
      </c>
      <c r="D201" t="s" s="0">
        <v>78</v>
      </c>
      <c r="E201" t="s" s="0">
        <v>5321</v>
      </c>
      <c r="F201" t="s" s="0">
        <v>5322</v>
      </c>
      <c r="G201" t="s" s="0">
        <v>5323</v>
      </c>
      <c r="H201" t="s" s="0">
        <v>83</v>
      </c>
      <c r="I201" t="s" s="0">
        <v>84</v>
      </c>
      <c r="J201" t="s" s="0">
        <v>5324</v>
      </c>
      <c r="K201" t="s" s="0">
        <v>5325</v>
      </c>
      <c r="L201" t="s" s="0">
        <v>5326</v>
      </c>
      <c r="M201" t="s" s="0">
        <v>5327</v>
      </c>
      <c r="N201" t="s" s="0">
        <v>1920</v>
      </c>
      <c r="O201" t="s" s="0">
        <v>5328</v>
      </c>
      <c r="P201" t="s" s="0">
        <v>83</v>
      </c>
      <c r="Q201" t="s" s="0">
        <v>92</v>
      </c>
      <c r="R201" t="s" s="0">
        <v>83</v>
      </c>
      <c r="S201" t="s" s="0">
        <v>83</v>
      </c>
      <c r="T201" t="s" s="0">
        <v>83</v>
      </c>
      <c r="U201" t="s" s="0">
        <v>83</v>
      </c>
      <c r="V201" t="s" s="0">
        <v>5329</v>
      </c>
      <c r="W201" t="s" s="0">
        <v>5330</v>
      </c>
      <c r="X201" t="s" s="0">
        <v>83</v>
      </c>
      <c r="Y201" t="s" s="0">
        <v>83</v>
      </c>
      <c r="Z201" t="s" s="0">
        <v>95</v>
      </c>
      <c r="AA201" t="s" s="0">
        <v>96</v>
      </c>
      <c r="AB201" t="s" s="0">
        <v>83</v>
      </c>
      <c r="AC201" t="s" s="0">
        <v>83</v>
      </c>
      <c r="AD201" t="s" s="0">
        <v>83</v>
      </c>
      <c r="AE201" t="s" s="0">
        <v>83</v>
      </c>
      <c r="AF201" t="s" s="0">
        <v>83</v>
      </c>
      <c r="AG201" t="s" s="0">
        <v>5331</v>
      </c>
      <c r="AH201" t="s" s="0">
        <v>1263</v>
      </c>
      <c r="AI201" t="s" s="0">
        <v>83</v>
      </c>
      <c r="AJ201" t="s" s="0">
        <v>83</v>
      </c>
      <c r="AK201" t="s" s="0">
        <v>83</v>
      </c>
      <c r="AL201" t="s" s="0">
        <v>2867</v>
      </c>
      <c r="AM201" t="s" s="0">
        <v>281</v>
      </c>
      <c r="AN201" t="s" s="0">
        <v>281</v>
      </c>
      <c r="AO201" t="s" s="0">
        <v>115</v>
      </c>
      <c r="AP201" t="s" s="0">
        <v>115</v>
      </c>
      <c r="AQ201" t="s" s="0">
        <v>378</v>
      </c>
      <c r="AR201" t="s" s="0">
        <v>106</v>
      </c>
      <c r="AS201" t="s" s="0">
        <v>379</v>
      </c>
      <c r="AT201" t="s" s="0">
        <v>5332</v>
      </c>
      <c r="AU201" t="s" s="0">
        <v>83</v>
      </c>
      <c r="AV201" t="s" s="0">
        <v>83</v>
      </c>
      <c r="AW201" t="s" s="0">
        <v>5333</v>
      </c>
      <c r="AX201" t="s" s="0">
        <v>5334</v>
      </c>
      <c r="AY201" t="s" s="0">
        <v>5335</v>
      </c>
      <c r="AZ201" t="s" s="0">
        <v>159</v>
      </c>
      <c r="BA201" t="s" s="0">
        <v>358</v>
      </c>
      <c r="BB201" t="s" s="0">
        <v>115</v>
      </c>
      <c r="BC201" t="s" s="0">
        <v>83</v>
      </c>
      <c r="BD201" t="s" s="0">
        <v>83</v>
      </c>
      <c r="BE201" t="s" s="0">
        <v>83</v>
      </c>
      <c r="BF201" t="s" s="0">
        <v>83</v>
      </c>
      <c r="BG201" t="s" s="0">
        <v>83</v>
      </c>
      <c r="BH201" t="s" s="0">
        <v>83</v>
      </c>
      <c r="BI201" t="s" s="0">
        <v>5336</v>
      </c>
      <c r="BJ201" t="s" s="0">
        <v>5337</v>
      </c>
      <c r="BK201" t="s" s="398">
        <f>HYPERLINK("http://dx.doi.org/10.1186/s12890-025-03750-6","http://dx.doi.org/10.1186/s12890-025-03750-6")</f>
        <v>5338</v>
      </c>
      <c r="BL201" t="s" s="0">
        <v>83</v>
      </c>
      <c r="BM201" t="s" s="0">
        <v>83</v>
      </c>
      <c r="BN201" t="s" s="0">
        <v>417</v>
      </c>
      <c r="BO201" t="s" s="0">
        <v>2248</v>
      </c>
      <c r="BP201" t="s" s="0">
        <v>2248</v>
      </c>
      <c r="BQ201" t="s" s="0">
        <v>5339</v>
      </c>
      <c r="BR201" t="s" s="0">
        <v>5340</v>
      </c>
      <c r="BS201" t="s" s="0">
        <v>5341</v>
      </c>
      <c r="BT201" t="s" s="399">
        <f>HYPERLINK("https://www.webofscience.com/wos/woscc/full-record/WOS:001505070000002","View Record in Web of Science")</f>
        <v>126</v>
      </c>
      <c r="BU201" t="s" s="0">
        <v>868</v>
      </c>
      <c r="BV201" t="s" s="0">
        <v>83</v>
      </c>
      <c r="BW201" t="s" s="0">
        <v>83</v>
      </c>
      <c r="BX201" t="s" s="0">
        <v>130</v>
      </c>
    </row>
    <row r="202">
      <c r="A202" t="s" s="0">
        <v>78</v>
      </c>
      <c r="B202" t="s" s="0">
        <v>78</v>
      </c>
      <c r="C202" t="s" s="0">
        <v>78</v>
      </c>
      <c r="D202" t="s" s="0">
        <v>78</v>
      </c>
      <c r="E202" t="s" s="0">
        <v>5342</v>
      </c>
      <c r="F202" t="s" s="0">
        <v>5343</v>
      </c>
      <c r="G202" t="s" s="0">
        <v>5344</v>
      </c>
      <c r="H202" t="s" s="0">
        <v>83</v>
      </c>
      <c r="I202" t="s" s="0">
        <v>84</v>
      </c>
      <c r="J202" t="s" s="0">
        <v>5345</v>
      </c>
      <c r="K202" t="s" s="0">
        <v>5346</v>
      </c>
      <c r="L202" t="s" s="0">
        <v>5347</v>
      </c>
      <c r="M202" t="s" s="0">
        <v>5348</v>
      </c>
      <c r="N202" t="s" s="0">
        <v>5349</v>
      </c>
      <c r="O202" t="s" s="0">
        <v>5350</v>
      </c>
      <c r="P202" t="s" s="0">
        <v>5351</v>
      </c>
      <c r="Q202" t="s" s="0">
        <v>92</v>
      </c>
      <c r="R202" t="s" s="0">
        <v>83</v>
      </c>
      <c r="S202" t="s" s="0">
        <v>5352</v>
      </c>
      <c r="T202" t="s" s="0">
        <v>83</v>
      </c>
      <c r="U202" t="s" s="0">
        <v>83</v>
      </c>
      <c r="V202" t="s" s="0">
        <v>5353</v>
      </c>
      <c r="W202" t="s" s="0">
        <v>5354</v>
      </c>
      <c r="X202" t="s" s="0">
        <v>83</v>
      </c>
      <c r="Y202" t="s" s="0">
        <v>83</v>
      </c>
      <c r="Z202" t="s" s="0">
        <v>95</v>
      </c>
      <c r="AA202" t="s" s="0">
        <v>96</v>
      </c>
      <c r="AB202" t="s" s="0">
        <v>83</v>
      </c>
      <c r="AC202" t="s" s="0">
        <v>83</v>
      </c>
      <c r="AD202" t="s" s="0">
        <v>83</v>
      </c>
      <c r="AE202" t="s" s="0">
        <v>83</v>
      </c>
      <c r="AF202" t="s" s="0">
        <v>83</v>
      </c>
      <c r="AG202" t="s" s="0">
        <v>5355</v>
      </c>
      <c r="AH202" t="s" s="0">
        <v>5356</v>
      </c>
      <c r="AI202" t="s" s="0">
        <v>83</v>
      </c>
      <c r="AJ202" t="s" s="0">
        <v>83</v>
      </c>
      <c r="AK202" t="s" s="0">
        <v>83</v>
      </c>
      <c r="AL202" t="s" s="0">
        <v>104</v>
      </c>
      <c r="AM202" t="s" s="0">
        <v>78</v>
      </c>
      <c r="AN202" t="s" s="0">
        <v>78</v>
      </c>
      <c r="AO202" t="s" s="0">
        <v>78</v>
      </c>
      <c r="AP202" t="s" s="0">
        <v>78</v>
      </c>
      <c r="AQ202" t="s" s="0">
        <v>233</v>
      </c>
      <c r="AR202" t="s" s="0">
        <v>234</v>
      </c>
      <c r="AS202" t="s" s="0">
        <v>235</v>
      </c>
      <c r="AT202" t="s" s="0">
        <v>5357</v>
      </c>
      <c r="AU202" t="s" s="0">
        <v>83</v>
      </c>
      <c r="AV202" t="s" s="0">
        <v>83</v>
      </c>
      <c r="AW202" t="s" s="0">
        <v>5358</v>
      </c>
      <c r="AX202" t="s" s="0">
        <v>5359</v>
      </c>
      <c r="AY202" t="s" s="0">
        <v>4958</v>
      </c>
      <c r="AZ202" t="s" s="0">
        <v>511</v>
      </c>
      <c r="BA202" t="s" s="0">
        <v>4269</v>
      </c>
      <c r="BB202" t="s" s="0">
        <v>83</v>
      </c>
      <c r="BC202" t="s" s="0">
        <v>83</v>
      </c>
      <c r="BD202" t="s" s="0">
        <v>83</v>
      </c>
      <c r="BE202" t="s" s="0">
        <v>83</v>
      </c>
      <c r="BF202" t="s" s="0">
        <v>83</v>
      </c>
      <c r="BG202" t="s" s="0">
        <v>83</v>
      </c>
      <c r="BH202" t="s" s="0">
        <v>83</v>
      </c>
      <c r="BI202" t="s" s="0">
        <v>5360</v>
      </c>
      <c r="BJ202" t="s" s="0">
        <v>5361</v>
      </c>
      <c r="BK202" t="s" s="400">
        <f>HYPERLINK("http://dx.doi.org/10.1016/j.tranon.2026.102961","http://dx.doi.org/10.1016/j.tranon.2026.102961")</f>
        <v>5362</v>
      </c>
      <c r="BL202" t="s" s="0">
        <v>83</v>
      </c>
      <c r="BM202" t="s" s="0">
        <v>83</v>
      </c>
      <c r="BN202" t="s" s="0">
        <v>310</v>
      </c>
      <c r="BO202" t="s" s="0">
        <v>840</v>
      </c>
      <c r="BP202" t="s" s="0">
        <v>840</v>
      </c>
      <c r="BQ202" t="s" s="0">
        <v>5363</v>
      </c>
      <c r="BR202" t="s" s="0">
        <v>5364</v>
      </c>
      <c r="BS202" t="s" s="0">
        <v>5365</v>
      </c>
      <c r="BT202" t="s" s="401">
        <f>HYPERLINK("https://www.webofscience.com/wos/woscc/full-record/WOS:001847280400001","View Record in Web of Science")</f>
        <v>126</v>
      </c>
      <c r="BU202" t="s" s="0">
        <v>1463</v>
      </c>
      <c r="BV202" t="s" s="0">
        <v>83</v>
      </c>
      <c r="BW202" t="s" s="0">
        <v>83</v>
      </c>
      <c r="BX202" t="s" s="0">
        <v>130</v>
      </c>
    </row>
    <row r="203">
      <c r="A203" t="s" s="0">
        <v>78</v>
      </c>
      <c r="B203" t="s" s="0">
        <v>78</v>
      </c>
      <c r="C203" t="s" s="0">
        <v>148</v>
      </c>
      <c r="D203" t="s" s="0">
        <v>78</v>
      </c>
      <c r="E203" t="s" s="0">
        <v>5366</v>
      </c>
      <c r="F203" t="s" s="0">
        <v>5367</v>
      </c>
      <c r="G203" t="s" s="0">
        <v>5368</v>
      </c>
      <c r="H203" t="s" s="0">
        <v>83</v>
      </c>
      <c r="I203" t="s" s="0">
        <v>84</v>
      </c>
      <c r="J203" t="s" s="0">
        <v>5369</v>
      </c>
      <c r="K203" t="s" s="0">
        <v>5370</v>
      </c>
      <c r="L203" t="s" s="0">
        <v>83</v>
      </c>
      <c r="M203" t="s" s="0">
        <v>83</v>
      </c>
      <c r="N203" t="s" s="0">
        <v>83</v>
      </c>
      <c r="O203" t="s" s="0">
        <v>5371</v>
      </c>
      <c r="P203" t="s" s="0">
        <v>5372</v>
      </c>
      <c r="Q203" t="s" s="0">
        <v>92</v>
      </c>
      <c r="R203" t="s" s="0">
        <v>83</v>
      </c>
      <c r="S203" t="s" s="0">
        <v>83</v>
      </c>
      <c r="T203" t="s" s="0">
        <v>83</v>
      </c>
      <c r="U203" t="s" s="0">
        <v>83</v>
      </c>
      <c r="V203" t="s" s="0">
        <v>5373</v>
      </c>
      <c r="W203" t="s" s="0">
        <v>5374</v>
      </c>
      <c r="X203" t="s" s="0">
        <v>83</v>
      </c>
      <c r="Y203" t="s" s="0">
        <v>83</v>
      </c>
      <c r="Z203" t="s" s="0">
        <v>95</v>
      </c>
      <c r="AA203" t="s" s="0">
        <v>96</v>
      </c>
      <c r="AB203" t="s" s="0">
        <v>83</v>
      </c>
      <c r="AC203" t="s" s="0">
        <v>83</v>
      </c>
      <c r="AD203" t="s" s="0">
        <v>83</v>
      </c>
      <c r="AE203" t="s" s="0">
        <v>83</v>
      </c>
      <c r="AF203" t="s" s="0">
        <v>83</v>
      </c>
      <c r="AG203" t="s" s="0">
        <v>5375</v>
      </c>
      <c r="AH203" t="s" s="0">
        <v>5376</v>
      </c>
      <c r="AI203" t="s" s="0">
        <v>5377</v>
      </c>
      <c r="AJ203" t="s" s="0">
        <v>5378</v>
      </c>
      <c r="AK203" t="s" s="0">
        <v>83</v>
      </c>
      <c r="AL203" t="s" s="0">
        <v>228</v>
      </c>
      <c r="AM203" t="s" s="0">
        <v>890</v>
      </c>
      <c r="AN203" t="s" s="0">
        <v>890</v>
      </c>
      <c r="AO203" t="s" s="0">
        <v>150</v>
      </c>
      <c r="AP203" t="s" s="0">
        <v>232</v>
      </c>
      <c r="AQ203" t="s" s="0">
        <v>1151</v>
      </c>
      <c r="AR203" t="s" s="0">
        <v>1152</v>
      </c>
      <c r="AS203" t="s" s="0">
        <v>1153</v>
      </c>
      <c r="AT203" t="s" s="0">
        <v>5379</v>
      </c>
      <c r="AU203" t="s" s="0">
        <v>5380</v>
      </c>
      <c r="AV203" t="s" s="0">
        <v>83</v>
      </c>
      <c r="AW203" t="s" s="0">
        <v>5381</v>
      </c>
      <c r="AX203" t="s" s="0">
        <v>5382</v>
      </c>
      <c r="AY203" t="s" s="0">
        <v>1163</v>
      </c>
      <c r="AZ203" t="s" s="0">
        <v>241</v>
      </c>
      <c r="BA203" t="s" s="0">
        <v>437</v>
      </c>
      <c r="BB203" t="s" s="0">
        <v>281</v>
      </c>
      <c r="BC203" t="s" s="0">
        <v>83</v>
      </c>
      <c r="BD203" t="s" s="0">
        <v>83</v>
      </c>
      <c r="BE203" t="s" s="0">
        <v>83</v>
      </c>
      <c r="BF203" t="s" s="0">
        <v>83</v>
      </c>
      <c r="BG203" t="s" s="0">
        <v>83</v>
      </c>
      <c r="BH203" t="s" s="0">
        <v>83</v>
      </c>
      <c r="BI203" t="s" s="0">
        <v>5383</v>
      </c>
      <c r="BJ203" t="s" s="0">
        <v>5384</v>
      </c>
      <c r="BK203" t="s" s="402">
        <f>HYPERLINK("http://dx.doi.org/10.1016/j.autrev.2023.103294","http://dx.doi.org/10.1016/j.autrev.2023.103294")</f>
        <v>5385</v>
      </c>
      <c r="BL203" t="s" s="0">
        <v>83</v>
      </c>
      <c r="BM203" t="s" s="0">
        <v>5386</v>
      </c>
      <c r="BN203" t="s" s="0">
        <v>232</v>
      </c>
      <c r="BO203" t="s" s="0">
        <v>814</v>
      </c>
      <c r="BP203" t="s" s="0">
        <v>814</v>
      </c>
      <c r="BQ203" t="s" s="0">
        <v>5387</v>
      </c>
      <c r="BR203" t="s" s="0">
        <v>5388</v>
      </c>
      <c r="BS203" t="s" s="0">
        <v>5389</v>
      </c>
      <c r="BT203" t="s" s="403">
        <f>HYPERLINK("https://www.webofscience.com/wos/woscc/full-record/WOS:000944607100001","View Record in Web of Science")</f>
        <v>126</v>
      </c>
      <c r="BU203" t="s" s="0">
        <v>83</v>
      </c>
      <c r="BV203" t="s" s="0">
        <v>83</v>
      </c>
      <c r="BW203" t="s" s="0">
        <v>83</v>
      </c>
      <c r="BX203" t="s" s="0">
        <v>130</v>
      </c>
    </row>
    <row r="204">
      <c r="A204" t="s" s="0">
        <v>78</v>
      </c>
      <c r="B204" t="s" s="0">
        <v>78</v>
      </c>
      <c r="C204" t="s" s="0">
        <v>115</v>
      </c>
      <c r="D204" t="s" s="0">
        <v>78</v>
      </c>
      <c r="E204" t="s" s="0">
        <v>5390</v>
      </c>
      <c r="F204" t="s" s="0">
        <v>5391</v>
      </c>
      <c r="G204" t="s" s="0">
        <v>5392</v>
      </c>
      <c r="H204" t="s" s="0">
        <v>83</v>
      </c>
      <c r="I204" t="s" s="0">
        <v>84</v>
      </c>
      <c r="J204" t="s" s="0">
        <v>5393</v>
      </c>
      <c r="K204" t="s" s="0">
        <v>5394</v>
      </c>
      <c r="L204" t="s" s="0">
        <v>83</v>
      </c>
      <c r="M204" t="s" s="0">
        <v>83</v>
      </c>
      <c r="N204" t="s" s="0">
        <v>83</v>
      </c>
      <c r="O204" t="s" s="0">
        <v>5395</v>
      </c>
      <c r="P204" t="s" s="0">
        <v>5396</v>
      </c>
      <c r="Q204" t="s" s="0">
        <v>92</v>
      </c>
      <c r="R204" t="s" s="0">
        <v>83</v>
      </c>
      <c r="S204" t="s" s="0">
        <v>83</v>
      </c>
      <c r="T204" t="s" s="0">
        <v>83</v>
      </c>
      <c r="U204" t="s" s="0">
        <v>83</v>
      </c>
      <c r="V204" t="s" s="0">
        <v>5397</v>
      </c>
      <c r="W204" t="s" s="0">
        <v>5398</v>
      </c>
      <c r="X204" t="s" s="0">
        <v>83</v>
      </c>
      <c r="Y204" t="s" s="0">
        <v>83</v>
      </c>
      <c r="Z204" t="s" s="0">
        <v>95</v>
      </c>
      <c r="AA204" t="s" s="0">
        <v>96</v>
      </c>
      <c r="AB204" t="s" s="0">
        <v>83</v>
      </c>
      <c r="AC204" t="s" s="0">
        <v>83</v>
      </c>
      <c r="AD204" t="s" s="0">
        <v>83</v>
      </c>
      <c r="AE204" t="s" s="0">
        <v>83</v>
      </c>
      <c r="AF204" t="s" s="0">
        <v>83</v>
      </c>
      <c r="AG204" t="s" s="0">
        <v>5399</v>
      </c>
      <c r="AH204" t="s" s="0">
        <v>5400</v>
      </c>
      <c r="AI204" t="s" s="0">
        <v>83</v>
      </c>
      <c r="AJ204" t="s" s="0">
        <v>5401</v>
      </c>
      <c r="AK204" t="s" s="0">
        <v>83</v>
      </c>
      <c r="AL204" t="s" s="0">
        <v>1000</v>
      </c>
      <c r="AM204" t="s" s="0">
        <v>231</v>
      </c>
      <c r="AN204" t="s" s="0">
        <v>148</v>
      </c>
      <c r="AO204" t="s" s="0">
        <v>545</v>
      </c>
      <c r="AP204" t="s" s="0">
        <v>231</v>
      </c>
      <c r="AQ204" t="s" s="0">
        <v>2792</v>
      </c>
      <c r="AR204" t="s" s="0">
        <v>2793</v>
      </c>
      <c r="AS204" t="s" s="0">
        <v>2794</v>
      </c>
      <c r="AT204" t="s" s="0">
        <v>5402</v>
      </c>
      <c r="AU204" t="s" s="0">
        <v>5403</v>
      </c>
      <c r="AV204" t="s" s="0">
        <v>83</v>
      </c>
      <c r="AW204" t="s" s="0">
        <v>5404</v>
      </c>
      <c r="AX204" t="s" s="0">
        <v>5405</v>
      </c>
      <c r="AY204" t="s" s="0">
        <v>5406</v>
      </c>
      <c r="AZ204" t="s" s="0">
        <v>412</v>
      </c>
      <c r="BA204" t="s" s="0">
        <v>535</v>
      </c>
      <c r="BB204" t="s" s="0">
        <v>231</v>
      </c>
      <c r="BC204" t="s" s="0">
        <v>83</v>
      </c>
      <c r="BD204" t="s" s="0">
        <v>83</v>
      </c>
      <c r="BE204" t="s" s="0">
        <v>83</v>
      </c>
      <c r="BF204" t="s" s="0">
        <v>83</v>
      </c>
      <c r="BG204" t="s" s="0">
        <v>3570</v>
      </c>
      <c r="BH204" t="s" s="0">
        <v>5407</v>
      </c>
      <c r="BI204" t="s" s="0">
        <v>83</v>
      </c>
      <c r="BJ204" t="s" s="0">
        <v>5408</v>
      </c>
      <c r="BK204" t="s" s="404">
        <f>HYPERLINK("http://dx.doi.org/10.1177/15385744241253201","http://dx.doi.org/10.1177/15385744241253201")</f>
        <v>5409</v>
      </c>
      <c r="BL204" t="s" s="0">
        <v>83</v>
      </c>
      <c r="BM204" t="s" s="0">
        <v>1326</v>
      </c>
      <c r="BN204" t="s" s="0">
        <v>148</v>
      </c>
      <c r="BO204" t="s" s="0">
        <v>5410</v>
      </c>
      <c r="BP204" t="s" s="0">
        <v>5411</v>
      </c>
      <c r="BQ204" t="s" s="0">
        <v>5412</v>
      </c>
      <c r="BR204" t="s" s="0">
        <v>5413</v>
      </c>
      <c r="BS204" t="s" s="0">
        <v>5414</v>
      </c>
      <c r="BT204" t="s" s="405">
        <f>HYPERLINK("https://www.webofscience.com/wos/woscc/full-record/WOS:001214422400001","View Record in Web of Science")</f>
        <v>126</v>
      </c>
      <c r="BU204" t="s" s="0">
        <v>357</v>
      </c>
      <c r="BV204" t="s" s="0">
        <v>83</v>
      </c>
      <c r="BW204" t="s" s="0">
        <v>83</v>
      </c>
      <c r="BX204" t="s" s="0">
        <v>130</v>
      </c>
    </row>
    <row r="205">
      <c r="A205" t="s" s="0">
        <v>78</v>
      </c>
      <c r="B205" t="s" s="0">
        <v>78</v>
      </c>
      <c r="C205" t="s" s="0">
        <v>78</v>
      </c>
      <c r="D205" t="s" s="0">
        <v>78</v>
      </c>
      <c r="E205" t="s" s="0">
        <v>5415</v>
      </c>
      <c r="F205" t="s" s="0">
        <v>5416</v>
      </c>
      <c r="G205" t="s" s="0">
        <v>5417</v>
      </c>
      <c r="H205" t="s" s="0">
        <v>83</v>
      </c>
      <c r="I205" t="s" s="0">
        <v>84</v>
      </c>
      <c r="J205" t="s" s="0">
        <v>5418</v>
      </c>
      <c r="K205" t="s" s="0">
        <v>5419</v>
      </c>
      <c r="L205" t="s" s="0">
        <v>5420</v>
      </c>
      <c r="M205" t="s" s="0">
        <v>5420</v>
      </c>
      <c r="N205" t="s" s="0">
        <v>5421</v>
      </c>
      <c r="O205" t="s" s="0">
        <v>5422</v>
      </c>
      <c r="P205" t="s" s="0">
        <v>5423</v>
      </c>
      <c r="Q205" t="s" s="0">
        <v>92</v>
      </c>
      <c r="R205" t="s" s="0">
        <v>83</v>
      </c>
      <c r="S205" t="s" s="0">
        <v>83</v>
      </c>
      <c r="T205" t="s" s="0">
        <v>83</v>
      </c>
      <c r="U205" t="s" s="0">
        <v>83</v>
      </c>
      <c r="V205" t="s" s="0">
        <v>5424</v>
      </c>
      <c r="W205" t="s" s="0">
        <v>5425</v>
      </c>
      <c r="X205" t="s" s="0">
        <v>83</v>
      </c>
      <c r="Y205" t="s" s="0">
        <v>83</v>
      </c>
      <c r="Z205" t="s" s="0">
        <v>95</v>
      </c>
      <c r="AA205" t="s" s="0">
        <v>96</v>
      </c>
      <c r="AB205" t="s" s="0">
        <v>83</v>
      </c>
      <c r="AC205" t="s" s="0">
        <v>83</v>
      </c>
      <c r="AD205" t="s" s="0">
        <v>83</v>
      </c>
      <c r="AE205" t="s" s="0">
        <v>83</v>
      </c>
      <c r="AF205" t="s" s="0">
        <v>83</v>
      </c>
      <c r="AG205" t="s" s="0">
        <v>5426</v>
      </c>
      <c r="AH205" t="s" s="0">
        <v>5427</v>
      </c>
      <c r="AI205" t="s" s="0">
        <v>5428</v>
      </c>
      <c r="AJ205" t="s" s="0">
        <v>5429</v>
      </c>
      <c r="AK205" t="s" s="0">
        <v>83</v>
      </c>
      <c r="AL205" t="s" s="0">
        <v>160</v>
      </c>
      <c r="AM205" t="s" s="0">
        <v>78</v>
      </c>
      <c r="AN205" t="s" s="0">
        <v>78</v>
      </c>
      <c r="AO205" t="s" s="0">
        <v>115</v>
      </c>
      <c r="AP205" t="s" s="0">
        <v>115</v>
      </c>
      <c r="AQ205" t="s" s="0">
        <v>1267</v>
      </c>
      <c r="AR205" t="s" s="0">
        <v>5430</v>
      </c>
      <c r="AS205" t="s" s="0">
        <v>5431</v>
      </c>
      <c r="AT205" t="s" s="0">
        <v>5432</v>
      </c>
      <c r="AU205" t="s" s="0">
        <v>5433</v>
      </c>
      <c r="AV205" t="s" s="0">
        <v>83</v>
      </c>
      <c r="AW205" t="s" s="0">
        <v>5434</v>
      </c>
      <c r="AX205" t="s" s="0">
        <v>5435</v>
      </c>
      <c r="AY205" t="s" s="0">
        <v>731</v>
      </c>
      <c r="AZ205" t="s" s="0">
        <v>511</v>
      </c>
      <c r="BA205" t="s" s="0">
        <v>270</v>
      </c>
      <c r="BB205" t="s" s="0">
        <v>281</v>
      </c>
      <c r="BC205" t="s" s="0">
        <v>83</v>
      </c>
      <c r="BD205" t="s" s="0">
        <v>83</v>
      </c>
      <c r="BE205" t="s" s="0">
        <v>83</v>
      </c>
      <c r="BF205" t="s" s="0">
        <v>83</v>
      </c>
      <c r="BG205" t="s" s="0">
        <v>5436</v>
      </c>
      <c r="BH205" t="s" s="0">
        <v>5437</v>
      </c>
      <c r="BI205" t="s" s="0">
        <v>83</v>
      </c>
      <c r="BJ205" t="s" s="0">
        <v>5438</v>
      </c>
      <c r="BK205" t="s" s="406">
        <f>HYPERLINK("http://dx.doi.org/10.1007/s11239-026-03257-9","http://dx.doi.org/10.1007/s11239-026-03257-9")</f>
        <v>5439</v>
      </c>
      <c r="BL205" t="s" s="0">
        <v>83</v>
      </c>
      <c r="BM205" t="s" s="0">
        <v>1523</v>
      </c>
      <c r="BN205" t="s" s="0">
        <v>309</v>
      </c>
      <c r="BO205" t="s" s="0">
        <v>5440</v>
      </c>
      <c r="BP205" t="s" s="0">
        <v>5441</v>
      </c>
      <c r="BQ205" t="s" s="0">
        <v>5442</v>
      </c>
      <c r="BR205" t="s" s="0">
        <v>5443</v>
      </c>
      <c r="BS205" t="s" s="0">
        <v>5444</v>
      </c>
      <c r="BT205" t="s" s="407">
        <f>HYPERLINK("https://www.webofscience.com/wos/woscc/full-record/WOS:001712540600001","View Record in Web of Science")</f>
        <v>126</v>
      </c>
      <c r="BU205" t="s" s="0">
        <v>253</v>
      </c>
      <c r="BV205" t="s" s="0">
        <v>83</v>
      </c>
      <c r="BW205" t="s" s="0">
        <v>83</v>
      </c>
      <c r="BX205" t="s" s="0">
        <v>130</v>
      </c>
    </row>
    <row r="206">
      <c r="A206" t="s" s="0">
        <v>78</v>
      </c>
      <c r="B206" t="s" s="0">
        <v>78</v>
      </c>
      <c r="C206" t="s" s="0">
        <v>231</v>
      </c>
      <c r="D206" t="s" s="0">
        <v>78</v>
      </c>
      <c r="E206" t="s" s="0">
        <v>5445</v>
      </c>
      <c r="F206" t="s" s="0">
        <v>5446</v>
      </c>
      <c r="G206" t="s" s="0">
        <v>5447</v>
      </c>
      <c r="H206" t="s" s="0">
        <v>83</v>
      </c>
      <c r="I206" t="s" s="0">
        <v>174</v>
      </c>
      <c r="J206" t="s" s="0">
        <v>5448</v>
      </c>
      <c r="K206" t="s" s="0">
        <v>5449</v>
      </c>
      <c r="L206" t="s" s="0">
        <v>5450</v>
      </c>
      <c r="M206" t="s" s="0">
        <v>5451</v>
      </c>
      <c r="N206" t="s" s="0">
        <v>5452</v>
      </c>
      <c r="O206" t="s" s="0">
        <v>5453</v>
      </c>
      <c r="P206" t="s" s="0">
        <v>5454</v>
      </c>
      <c r="Q206" t="s" s="0">
        <v>92</v>
      </c>
      <c r="R206" t="s" s="0">
        <v>83</v>
      </c>
      <c r="S206" t="s" s="0">
        <v>83</v>
      </c>
      <c r="T206" t="s" s="0">
        <v>83</v>
      </c>
      <c r="U206" t="s" s="0">
        <v>83</v>
      </c>
      <c r="V206" t="s" s="0">
        <v>5455</v>
      </c>
      <c r="W206" t="s" s="0">
        <v>5456</v>
      </c>
      <c r="X206" t="s" s="0">
        <v>83</v>
      </c>
      <c r="Y206" t="s" s="0">
        <v>83</v>
      </c>
      <c r="Z206" t="s" s="0">
        <v>95</v>
      </c>
      <c r="AA206" t="s" s="0">
        <v>96</v>
      </c>
      <c r="AB206" t="s" s="0">
        <v>83</v>
      </c>
      <c r="AC206" t="s" s="0">
        <v>83</v>
      </c>
      <c r="AD206" t="s" s="0">
        <v>83</v>
      </c>
      <c r="AE206" t="s" s="0">
        <v>83</v>
      </c>
      <c r="AF206" t="s" s="0">
        <v>83</v>
      </c>
      <c r="AG206" t="s" s="0">
        <v>5457</v>
      </c>
      <c r="AH206" t="s" s="0">
        <v>5458</v>
      </c>
      <c r="AI206" t="s" s="0">
        <v>83</v>
      </c>
      <c r="AJ206" t="s" s="0">
        <v>5459</v>
      </c>
      <c r="AK206" t="s" s="0">
        <v>83</v>
      </c>
      <c r="AL206" t="s" s="0">
        <v>1954</v>
      </c>
      <c r="AM206" t="s" s="0">
        <v>310</v>
      </c>
      <c r="AN206" t="s" s="0">
        <v>310</v>
      </c>
      <c r="AO206" t="s" s="0">
        <v>115</v>
      </c>
      <c r="AP206" t="s" s="0">
        <v>374</v>
      </c>
      <c r="AQ206" t="s" s="0">
        <v>5460</v>
      </c>
      <c r="AR206" t="s" s="0">
        <v>5461</v>
      </c>
      <c r="AS206" t="s" s="0">
        <v>5462</v>
      </c>
      <c r="AT206" t="s" s="0">
        <v>83</v>
      </c>
      <c r="AU206" t="s" s="0">
        <v>5463</v>
      </c>
      <c r="AV206" t="s" s="0">
        <v>83</v>
      </c>
      <c r="AW206" t="s" s="0">
        <v>5464</v>
      </c>
      <c r="AX206" t="s" s="0">
        <v>5465</v>
      </c>
      <c r="AY206" t="s" s="0">
        <v>5466</v>
      </c>
      <c r="AZ206" t="s" s="0">
        <v>241</v>
      </c>
      <c r="BA206" t="s" s="0">
        <v>545</v>
      </c>
      <c r="BB206" t="s" s="0">
        <v>115</v>
      </c>
      <c r="BC206" t="s" s="0">
        <v>83</v>
      </c>
      <c r="BD206" t="s" s="0">
        <v>83</v>
      </c>
      <c r="BE206" t="s" s="0">
        <v>83</v>
      </c>
      <c r="BF206" t="s" s="0">
        <v>83</v>
      </c>
      <c r="BG206" t="s" s="0">
        <v>417</v>
      </c>
      <c r="BH206" t="s" s="0">
        <v>470</v>
      </c>
      <c r="BI206" t="s" s="0">
        <v>83</v>
      </c>
      <c r="BJ206" t="s" s="0">
        <v>5467</v>
      </c>
      <c r="BK206" t="s" s="408">
        <f>HYPERLINK("http://dx.doi.org/10.20517/ais.2022.38","http://dx.doi.org/10.20517/ais.2022.38")</f>
        <v>5468</v>
      </c>
      <c r="BL206" t="s" s="0">
        <v>83</v>
      </c>
      <c r="BM206" t="s" s="0">
        <v>83</v>
      </c>
      <c r="BN206" t="s" s="0">
        <v>120</v>
      </c>
      <c r="BO206" t="s" s="0">
        <v>2111</v>
      </c>
      <c r="BP206" t="s" s="0">
        <v>2111</v>
      </c>
      <c r="BQ206" t="s" s="0">
        <v>5469</v>
      </c>
      <c r="BR206" t="s" s="0">
        <v>5470</v>
      </c>
      <c r="BS206" t="s" s="0">
        <v>5471</v>
      </c>
      <c r="BT206" t="s" s="409">
        <f>HYPERLINK("https://www.webofscience.com/wos/woscc/full-record/WOS:001331578600002","View Record in Web of Science")</f>
        <v>126</v>
      </c>
      <c r="BU206" t="s" s="0">
        <v>253</v>
      </c>
      <c r="BV206" t="s" s="0">
        <v>83</v>
      </c>
      <c r="BW206" t="s" s="0">
        <v>83</v>
      </c>
      <c r="BX206" t="s" s="0">
        <v>130</v>
      </c>
    </row>
    <row r="207">
      <c r="A207" t="s" s="0">
        <v>150</v>
      </c>
      <c r="B207" t="s" s="0">
        <v>78</v>
      </c>
      <c r="C207" t="s" s="0">
        <v>77</v>
      </c>
      <c r="D207" t="s" s="0">
        <v>78</v>
      </c>
      <c r="E207" t="s" s="0">
        <v>5472</v>
      </c>
      <c r="F207" t="s" s="0">
        <v>5473</v>
      </c>
      <c r="G207" t="s" s="0">
        <v>5474</v>
      </c>
      <c r="H207" t="s" s="0">
        <v>83</v>
      </c>
      <c r="I207" t="s" s="0">
        <v>84</v>
      </c>
      <c r="J207" t="s" s="0">
        <v>5475</v>
      </c>
      <c r="K207" t="s" s="0">
        <v>5476</v>
      </c>
      <c r="L207" t="s" s="0">
        <v>83</v>
      </c>
      <c r="M207" t="s" s="0">
        <v>83</v>
      </c>
      <c r="N207" t="s" s="0">
        <v>83</v>
      </c>
      <c r="O207" t="s" s="0">
        <v>5477</v>
      </c>
      <c r="P207" t="s" s="0">
        <v>5478</v>
      </c>
      <c r="Q207" t="s" s="0">
        <v>92</v>
      </c>
      <c r="R207" t="s" s="0">
        <v>83</v>
      </c>
      <c r="S207" t="s" s="0">
        <v>83</v>
      </c>
      <c r="T207" t="s" s="0">
        <v>83</v>
      </c>
      <c r="U207" t="s" s="0">
        <v>83</v>
      </c>
      <c r="V207" t="s" s="0">
        <v>5479</v>
      </c>
      <c r="W207" t="s" s="0">
        <v>5480</v>
      </c>
      <c r="X207" t="s" s="0">
        <v>83</v>
      </c>
      <c r="Y207" t="s" s="0">
        <v>83</v>
      </c>
      <c r="Z207" t="s" s="0">
        <v>95</v>
      </c>
      <c r="AA207" t="s" s="0">
        <v>96</v>
      </c>
      <c r="AB207" t="s" s="0">
        <v>83</v>
      </c>
      <c r="AC207" t="s" s="0">
        <v>83</v>
      </c>
      <c r="AD207" t="s" s="0">
        <v>83</v>
      </c>
      <c r="AE207" t="s" s="0">
        <v>83</v>
      </c>
      <c r="AF207" t="s" s="0">
        <v>83</v>
      </c>
      <c r="AG207" t="s" s="0">
        <v>5481</v>
      </c>
      <c r="AH207" t="s" s="0">
        <v>5482</v>
      </c>
      <c r="AI207" t="s" s="0">
        <v>83</v>
      </c>
      <c r="AJ207" t="s" s="0">
        <v>5483</v>
      </c>
      <c r="AK207" t="s" s="0">
        <v>83</v>
      </c>
      <c r="AL207" t="s" s="0">
        <v>719</v>
      </c>
      <c r="AM207" t="s" s="0">
        <v>883</v>
      </c>
      <c r="AN207" t="s" s="0">
        <v>884</v>
      </c>
      <c r="AO207" t="s" s="0">
        <v>78</v>
      </c>
      <c r="AP207" t="s" s="0">
        <v>79</v>
      </c>
      <c r="AQ207" t="s" s="0">
        <v>5484</v>
      </c>
      <c r="AR207" t="s" s="0">
        <v>5485</v>
      </c>
      <c r="AS207" t="s" s="0">
        <v>5486</v>
      </c>
      <c r="AT207" t="s" s="0">
        <v>5487</v>
      </c>
      <c r="AU207" t="s" s="0">
        <v>5488</v>
      </c>
      <c r="AV207" t="s" s="0">
        <v>83</v>
      </c>
      <c r="AW207" t="s" s="0">
        <v>5480</v>
      </c>
      <c r="AX207" t="s" s="0">
        <v>5489</v>
      </c>
      <c r="AY207" t="s" s="0">
        <v>5490</v>
      </c>
      <c r="AZ207" t="s" s="0">
        <v>200</v>
      </c>
      <c r="BA207" t="s" s="0">
        <v>1927</v>
      </c>
      <c r="BB207" t="s" s="0">
        <v>83</v>
      </c>
      <c r="BC207" t="s" s="0">
        <v>83</v>
      </c>
      <c r="BD207" t="s" s="0">
        <v>83</v>
      </c>
      <c r="BE207" t="s" s="0">
        <v>83</v>
      </c>
      <c r="BF207" t="s" s="0">
        <v>83</v>
      </c>
      <c r="BG207" t="s" s="0">
        <v>882</v>
      </c>
      <c r="BH207" t="s" s="0">
        <v>2157</v>
      </c>
      <c r="BI207" t="s" s="0">
        <v>83</v>
      </c>
      <c r="BJ207" t="s" s="0">
        <v>5491</v>
      </c>
      <c r="BK207" t="s" s="410">
        <f>HYPERLINK("http://dx.doi.org/10.1016/j.lungcan.2015.10.018","http://dx.doi.org/10.1016/j.lungcan.2015.10.018")</f>
        <v>5492</v>
      </c>
      <c r="BL207" t="s" s="0">
        <v>83</v>
      </c>
      <c r="BM207" t="s" s="0">
        <v>83</v>
      </c>
      <c r="BN207" t="s" s="0">
        <v>149</v>
      </c>
      <c r="BO207" t="s" s="0">
        <v>5493</v>
      </c>
      <c r="BP207" t="s" s="0">
        <v>5493</v>
      </c>
      <c r="BQ207" t="s" s="0">
        <v>5494</v>
      </c>
      <c r="BR207" t="s" s="0">
        <v>5495</v>
      </c>
      <c r="BS207" t="s" s="0">
        <v>5496</v>
      </c>
      <c r="BT207" t="s" s="411">
        <f>HYPERLINK("https://www.webofscience.com/wos/woscc/full-record/WOS:000369207100008","View Record in Web of Science")</f>
        <v>126</v>
      </c>
      <c r="BU207" t="s" s="0">
        <v>83</v>
      </c>
      <c r="BV207" t="s" s="0">
        <v>83</v>
      </c>
      <c r="BW207" t="s" s="0">
        <v>83</v>
      </c>
      <c r="BX207" t="s" s="0">
        <v>130</v>
      </c>
    </row>
    <row r="208">
      <c r="A208" t="s" s="0">
        <v>77</v>
      </c>
      <c r="B208" t="s" s="0">
        <v>78</v>
      </c>
      <c r="C208" t="s" s="0">
        <v>211</v>
      </c>
      <c r="D208" t="s" s="0">
        <v>150</v>
      </c>
      <c r="E208" t="s" s="0">
        <v>5497</v>
      </c>
      <c r="F208" t="s" s="0">
        <v>5498</v>
      </c>
      <c r="G208" t="s" s="0">
        <v>5499</v>
      </c>
      <c r="H208" t="s" s="0">
        <v>83</v>
      </c>
      <c r="I208" t="s" s="0">
        <v>84</v>
      </c>
      <c r="J208" t="s" s="0">
        <v>5500</v>
      </c>
      <c r="K208" t="s" s="0">
        <v>5501</v>
      </c>
      <c r="L208" t="s" s="0">
        <v>83</v>
      </c>
      <c r="M208" t="s" s="0">
        <v>83</v>
      </c>
      <c r="N208" t="s" s="0">
        <v>83</v>
      </c>
      <c r="O208" t="s" s="0">
        <v>5502</v>
      </c>
      <c r="P208" t="s" s="0">
        <v>5503</v>
      </c>
      <c r="Q208" t="s" s="0">
        <v>92</v>
      </c>
      <c r="R208" t="s" s="0">
        <v>83</v>
      </c>
      <c r="S208" t="s" s="0">
        <v>83</v>
      </c>
      <c r="T208" t="s" s="0">
        <v>83</v>
      </c>
      <c r="U208" t="s" s="0">
        <v>83</v>
      </c>
      <c r="V208" t="s" s="0">
        <v>5504</v>
      </c>
      <c r="W208" t="s" s="0">
        <v>5505</v>
      </c>
      <c r="X208" t="s" s="0">
        <v>83</v>
      </c>
      <c r="Y208" t="s" s="0">
        <v>83</v>
      </c>
      <c r="Z208" t="s" s="0">
        <v>95</v>
      </c>
      <c r="AA208" t="s" s="0">
        <v>96</v>
      </c>
      <c r="AB208" t="s" s="0">
        <v>83</v>
      </c>
      <c r="AC208" t="s" s="0">
        <v>83</v>
      </c>
      <c r="AD208" t="s" s="0">
        <v>83</v>
      </c>
      <c r="AE208" t="s" s="0">
        <v>83</v>
      </c>
      <c r="AF208" t="s" s="0">
        <v>83</v>
      </c>
      <c r="AG208" t="s" s="0">
        <v>5506</v>
      </c>
      <c r="AH208" t="s" s="0">
        <v>5507</v>
      </c>
      <c r="AI208" t="s" s="0">
        <v>5508</v>
      </c>
      <c r="AJ208" t="s" s="0">
        <v>5509</v>
      </c>
      <c r="AK208" t="s" s="0">
        <v>83</v>
      </c>
      <c r="AL208" t="s" s="0">
        <v>2867</v>
      </c>
      <c r="AM208" t="s" s="0">
        <v>969</v>
      </c>
      <c r="AN208" t="s" s="0">
        <v>191</v>
      </c>
      <c r="AO208" t="s" s="0">
        <v>115</v>
      </c>
      <c r="AP208" t="s" s="0">
        <v>148</v>
      </c>
      <c r="AQ208" t="s" s="0">
        <v>105</v>
      </c>
      <c r="AR208" t="s" s="0">
        <v>106</v>
      </c>
      <c r="AS208" t="s" s="0">
        <v>107</v>
      </c>
      <c r="AT208" t="s" s="0">
        <v>5510</v>
      </c>
      <c r="AU208" t="s" s="0">
        <v>5511</v>
      </c>
      <c r="AV208" t="s" s="0">
        <v>83</v>
      </c>
      <c r="AW208" t="s" s="0">
        <v>5512</v>
      </c>
      <c r="AX208" t="s" s="0">
        <v>5513</v>
      </c>
      <c r="AY208" t="s" s="0">
        <v>199</v>
      </c>
      <c r="AZ208" t="s" s="0">
        <v>200</v>
      </c>
      <c r="BA208" t="s" s="0">
        <v>203</v>
      </c>
      <c r="BB208" t="s" s="0">
        <v>150</v>
      </c>
      <c r="BC208" t="s" s="0">
        <v>83</v>
      </c>
      <c r="BD208" t="s" s="0">
        <v>83</v>
      </c>
      <c r="BE208" t="s" s="0">
        <v>83</v>
      </c>
      <c r="BF208" t="s" s="0">
        <v>83</v>
      </c>
      <c r="BG208" t="s" s="0">
        <v>5514</v>
      </c>
      <c r="BH208" t="s" s="0">
        <v>5515</v>
      </c>
      <c r="BI208" t="s" s="0">
        <v>83</v>
      </c>
      <c r="BJ208" t="s" s="0">
        <v>5516</v>
      </c>
      <c r="BK208" t="s" s="412">
        <f>HYPERLINK("http://dx.doi.org/10.1177/0310057X1604400212","http://dx.doi.org/10.1177/0310057X1604400212")</f>
        <v>5517</v>
      </c>
      <c r="BL208" t="s" s="0">
        <v>83</v>
      </c>
      <c r="BM208" t="s" s="0">
        <v>83</v>
      </c>
      <c r="BN208" t="s" s="0">
        <v>232</v>
      </c>
      <c r="BO208" t="s" s="0">
        <v>5518</v>
      </c>
      <c r="BP208" t="s" s="0">
        <v>5519</v>
      </c>
      <c r="BQ208" t="s" s="0">
        <v>5520</v>
      </c>
      <c r="BR208" t="s" s="0">
        <v>5521</v>
      </c>
      <c r="BS208" t="s" s="0">
        <v>5522</v>
      </c>
      <c r="BT208" t="s" s="413">
        <f>HYPERLINK("https://www.webofscience.com/wos/woscc/full-record/WOS:000374435500010","View Record in Web of Science")</f>
        <v>126</v>
      </c>
      <c r="BU208" t="s" s="0">
        <v>83</v>
      </c>
      <c r="BV208" t="s" s="0">
        <v>83</v>
      </c>
      <c r="BW208" t="s" s="0">
        <v>83</v>
      </c>
      <c r="BX208" t="s" s="0">
        <v>130</v>
      </c>
    </row>
    <row r="209">
      <c r="A209" t="s" s="0">
        <v>78</v>
      </c>
      <c r="B209" t="s" s="0">
        <v>78</v>
      </c>
      <c r="C209" t="s" s="0">
        <v>78</v>
      </c>
      <c r="D209" t="s" s="0">
        <v>78</v>
      </c>
      <c r="E209" t="s" s="0">
        <v>5523</v>
      </c>
      <c r="F209" t="s" s="0">
        <v>5524</v>
      </c>
      <c r="G209" t="s" s="0">
        <v>5525</v>
      </c>
      <c r="H209" t="s" s="0">
        <v>83</v>
      </c>
      <c r="I209" t="s" s="0">
        <v>84</v>
      </c>
      <c r="J209" t="s" s="0">
        <v>5526</v>
      </c>
      <c r="K209" t="s" s="0">
        <v>5527</v>
      </c>
      <c r="L209" t="s" s="0">
        <v>5528</v>
      </c>
      <c r="M209" t="s" s="0">
        <v>5529</v>
      </c>
      <c r="N209" t="s" s="0">
        <v>5530</v>
      </c>
      <c r="O209" t="s" s="0">
        <v>5531</v>
      </c>
      <c r="P209" t="s" s="0">
        <v>5532</v>
      </c>
      <c r="Q209" t="s" s="0">
        <v>92</v>
      </c>
      <c r="R209" t="s" s="0">
        <v>83</v>
      </c>
      <c r="S209" t="s" s="0">
        <v>83</v>
      </c>
      <c r="T209" t="s" s="0">
        <v>83</v>
      </c>
      <c r="U209" t="s" s="0">
        <v>83</v>
      </c>
      <c r="V209" t="s" s="0">
        <v>5533</v>
      </c>
      <c r="W209" t="s" s="0">
        <v>1319</v>
      </c>
      <c r="X209" t="s" s="0">
        <v>83</v>
      </c>
      <c r="Y209" t="s" s="0">
        <v>83</v>
      </c>
      <c r="Z209" t="s" s="0">
        <v>95</v>
      </c>
      <c r="AA209" t="s" s="0">
        <v>96</v>
      </c>
      <c r="AB209" t="s" s="0">
        <v>83</v>
      </c>
      <c r="AC209" t="s" s="0">
        <v>83</v>
      </c>
      <c r="AD209" t="s" s="0">
        <v>83</v>
      </c>
      <c r="AE209" t="s" s="0">
        <v>83</v>
      </c>
      <c r="AF209" t="s" s="0">
        <v>83</v>
      </c>
      <c r="AG209" t="s" s="0">
        <v>5534</v>
      </c>
      <c r="AH209" t="s" s="0">
        <v>5535</v>
      </c>
      <c r="AI209" t="s" s="0">
        <v>5536</v>
      </c>
      <c r="AJ209" t="s" s="0">
        <v>5537</v>
      </c>
      <c r="AK209" t="s" s="0">
        <v>83</v>
      </c>
      <c r="AL209" t="s" s="0">
        <v>1395</v>
      </c>
      <c r="AM209" t="s" s="0">
        <v>78</v>
      </c>
      <c r="AN209" t="s" s="0">
        <v>78</v>
      </c>
      <c r="AO209" t="s" s="0">
        <v>115</v>
      </c>
      <c r="AP209" t="s" s="0">
        <v>115</v>
      </c>
      <c r="AQ209" t="s" s="0">
        <v>805</v>
      </c>
      <c r="AR209" t="s" s="0">
        <v>806</v>
      </c>
      <c r="AS209" t="s" s="0">
        <v>807</v>
      </c>
      <c r="AT209" t="s" s="0">
        <v>83</v>
      </c>
      <c r="AU209" t="s" s="0">
        <v>1324</v>
      </c>
      <c r="AV209" t="s" s="0">
        <v>83</v>
      </c>
      <c r="AW209" t="s" s="0">
        <v>1319</v>
      </c>
      <c r="AX209" t="s" s="0">
        <v>1325</v>
      </c>
      <c r="AY209" t="s" s="0">
        <v>5538</v>
      </c>
      <c r="AZ209" t="s" s="0">
        <v>511</v>
      </c>
      <c r="BA209" t="s" s="0">
        <v>374</v>
      </c>
      <c r="BB209" t="s" s="0">
        <v>149</v>
      </c>
      <c r="BC209" t="s" s="0">
        <v>83</v>
      </c>
      <c r="BD209" t="s" s="0">
        <v>83</v>
      </c>
      <c r="BE209" t="s" s="0">
        <v>83</v>
      </c>
      <c r="BF209" t="s" s="0">
        <v>83</v>
      </c>
      <c r="BG209" t="s" s="0">
        <v>83</v>
      </c>
      <c r="BH209" t="s" s="0">
        <v>83</v>
      </c>
      <c r="BI209" t="s" s="0">
        <v>5539</v>
      </c>
      <c r="BJ209" t="s" s="0">
        <v>5540</v>
      </c>
      <c r="BK209" t="s" s="414">
        <f>HYPERLINK("http://dx.doi.org/10.3390/cancers18081261","http://dx.doi.org/10.3390/cancers18081261")</f>
        <v>5541</v>
      </c>
      <c r="BL209" t="s" s="0">
        <v>83</v>
      </c>
      <c r="BM209" t="s" s="0">
        <v>580</v>
      </c>
      <c r="BN209" t="s" s="0">
        <v>310</v>
      </c>
      <c r="BO209" t="s" s="0">
        <v>840</v>
      </c>
      <c r="BP209" t="s" s="0">
        <v>840</v>
      </c>
      <c r="BQ209" t="s" s="0">
        <v>5542</v>
      </c>
      <c r="BR209" t="s" s="0">
        <v>5543</v>
      </c>
      <c r="BS209" t="s" s="0">
        <v>5544</v>
      </c>
      <c r="BT209" t="s" s="415">
        <f>HYPERLINK("https://www.webofscience.com/wos/woscc/full-record/WOS:001749430700001","View Record in Web of Science")</f>
        <v>126</v>
      </c>
      <c r="BU209" t="s" s="0">
        <v>210</v>
      </c>
      <c r="BV209" t="s" s="0">
        <v>83</v>
      </c>
      <c r="BW209" t="s" s="0">
        <v>83</v>
      </c>
      <c r="BX209" t="s" s="0">
        <v>130</v>
      </c>
    </row>
    <row r="210">
      <c r="A210" t="s" s="0">
        <v>78</v>
      </c>
      <c r="B210" t="s" s="0">
        <v>78</v>
      </c>
      <c r="C210" t="s" s="0">
        <v>309</v>
      </c>
      <c r="D210" t="s" s="0">
        <v>78</v>
      </c>
      <c r="E210" t="s" s="0">
        <v>5545</v>
      </c>
      <c r="F210" t="s" s="0">
        <v>5546</v>
      </c>
      <c r="G210" t="s" s="0">
        <v>5547</v>
      </c>
      <c r="H210" t="s" s="0">
        <v>83</v>
      </c>
      <c r="I210" t="s" s="0">
        <v>84</v>
      </c>
      <c r="J210" t="s" s="0">
        <v>5548</v>
      </c>
      <c r="K210" t="s" s="0">
        <v>5549</v>
      </c>
      <c r="L210" t="s" s="0">
        <v>5550</v>
      </c>
      <c r="M210" t="s" s="0">
        <v>5551</v>
      </c>
      <c r="N210" t="s" s="0">
        <v>83</v>
      </c>
      <c r="O210" t="s" s="0">
        <v>5552</v>
      </c>
      <c r="P210" t="s" s="0">
        <v>5553</v>
      </c>
      <c r="Q210" t="s" s="0">
        <v>92</v>
      </c>
      <c r="R210" t="s" s="0">
        <v>83</v>
      </c>
      <c r="S210" t="s" s="0">
        <v>83</v>
      </c>
      <c r="T210" t="s" s="0">
        <v>83</v>
      </c>
      <c r="U210" t="s" s="0">
        <v>83</v>
      </c>
      <c r="V210" t="s" s="0">
        <v>5554</v>
      </c>
      <c r="W210" t="s" s="0">
        <v>223</v>
      </c>
      <c r="X210" t="s" s="0">
        <v>83</v>
      </c>
      <c r="Y210" t="s" s="0">
        <v>83</v>
      </c>
      <c r="Z210" t="s" s="0">
        <v>95</v>
      </c>
      <c r="AA210" t="s" s="0">
        <v>96</v>
      </c>
      <c r="AB210" t="s" s="0">
        <v>83</v>
      </c>
      <c r="AC210" t="s" s="0">
        <v>83</v>
      </c>
      <c r="AD210" t="s" s="0">
        <v>83</v>
      </c>
      <c r="AE210" t="s" s="0">
        <v>83</v>
      </c>
      <c r="AF210" t="s" s="0">
        <v>83</v>
      </c>
      <c r="AG210" t="s" s="0">
        <v>5555</v>
      </c>
      <c r="AH210" t="s" s="0">
        <v>5556</v>
      </c>
      <c r="AI210" t="s" s="0">
        <v>5557</v>
      </c>
      <c r="AJ210" t="s" s="0">
        <v>5558</v>
      </c>
      <c r="AK210" t="s" s="0">
        <v>83</v>
      </c>
      <c r="AL210" t="s" s="0">
        <v>78</v>
      </c>
      <c r="AM210" t="s" s="0">
        <v>535</v>
      </c>
      <c r="AN210" t="s" s="0">
        <v>1303</v>
      </c>
      <c r="AO210" t="s" s="0">
        <v>78</v>
      </c>
      <c r="AP210" t="s" s="0">
        <v>232</v>
      </c>
      <c r="AQ210" t="s" s="0">
        <v>233</v>
      </c>
      <c r="AR210" t="s" s="0">
        <v>234</v>
      </c>
      <c r="AS210" t="s" s="0">
        <v>235</v>
      </c>
      <c r="AT210" t="s" s="0">
        <v>236</v>
      </c>
      <c r="AU210" t="s" s="0">
        <v>237</v>
      </c>
      <c r="AV210" t="s" s="0">
        <v>83</v>
      </c>
      <c r="AW210" t="s" s="0">
        <v>238</v>
      </c>
      <c r="AX210" t="s" s="0">
        <v>239</v>
      </c>
      <c r="AY210" t="s" s="0">
        <v>1158</v>
      </c>
      <c r="AZ210" t="s" s="0">
        <v>241</v>
      </c>
      <c r="BA210" t="s" s="0">
        <v>4684</v>
      </c>
      <c r="BB210" t="s" s="0">
        <v>83</v>
      </c>
      <c r="BC210" t="s" s="0">
        <v>83</v>
      </c>
      <c r="BD210" t="s" s="0">
        <v>83</v>
      </c>
      <c r="BE210" t="s" s="0">
        <v>83</v>
      </c>
      <c r="BF210" t="s" s="0">
        <v>83</v>
      </c>
      <c r="BG210" t="s" s="0">
        <v>2216</v>
      </c>
      <c r="BH210" t="s" s="0">
        <v>786</v>
      </c>
      <c r="BI210" t="s" s="0">
        <v>83</v>
      </c>
      <c r="BJ210" t="s" s="0">
        <v>5559</v>
      </c>
      <c r="BK210" t="s" s="416">
        <f>HYPERLINK("http://dx.doi.org/10.1016/j.jclinepi.2023.03.024","http://dx.doi.org/10.1016/j.jclinepi.2023.03.024")</f>
        <v>5560</v>
      </c>
      <c r="BL210" t="s" s="0">
        <v>83</v>
      </c>
      <c r="BM210" t="s" s="0">
        <v>3767</v>
      </c>
      <c r="BN210" t="s" s="0">
        <v>248</v>
      </c>
      <c r="BO210" t="s" s="0">
        <v>249</v>
      </c>
      <c r="BP210" t="s" s="0">
        <v>249</v>
      </c>
      <c r="BQ210" t="s" s="0">
        <v>5561</v>
      </c>
      <c r="BR210" t="s" s="0">
        <v>5562</v>
      </c>
      <c r="BS210" t="s" s="0">
        <v>5563</v>
      </c>
      <c r="BT210" t="s" s="417">
        <f>HYPERLINK("https://www.webofscience.com/wos/woscc/full-record/WOS:000990073300001","View Record in Web of Science")</f>
        <v>126</v>
      </c>
      <c r="BU210" t="s" s="0">
        <v>253</v>
      </c>
      <c r="BV210" t="s" s="0">
        <v>83</v>
      </c>
      <c r="BW210" t="s" s="0">
        <v>83</v>
      </c>
      <c r="BX210" t="s" s="0">
        <v>130</v>
      </c>
    </row>
    <row r="211">
      <c r="A211" t="s" s="0">
        <v>78</v>
      </c>
      <c r="B211" t="s" s="0">
        <v>78</v>
      </c>
      <c r="C211" t="s" s="0">
        <v>78</v>
      </c>
      <c r="D211" t="s" s="0">
        <v>78</v>
      </c>
      <c r="E211" t="s" s="0">
        <v>5564</v>
      </c>
      <c r="F211" t="s" s="0">
        <v>5565</v>
      </c>
      <c r="G211" t="s" s="0">
        <v>5566</v>
      </c>
      <c r="H211" t="s" s="0">
        <v>83</v>
      </c>
      <c r="I211" t="s" s="0">
        <v>84</v>
      </c>
      <c r="J211" t="s" s="0">
        <v>5567</v>
      </c>
      <c r="K211" t="s" s="0">
        <v>5568</v>
      </c>
      <c r="L211" t="s" s="0">
        <v>83</v>
      </c>
      <c r="M211" t="s" s="0">
        <v>83</v>
      </c>
      <c r="N211" t="s" s="0">
        <v>83</v>
      </c>
      <c r="O211" t="s" s="0">
        <v>5569</v>
      </c>
      <c r="P211" t="s" s="0">
        <v>5570</v>
      </c>
      <c r="Q211" t="s" s="0">
        <v>92</v>
      </c>
      <c r="R211" t="s" s="0">
        <v>83</v>
      </c>
      <c r="S211" t="s" s="0">
        <v>83</v>
      </c>
      <c r="T211" t="s" s="0">
        <v>83</v>
      </c>
      <c r="U211" t="s" s="0">
        <v>83</v>
      </c>
      <c r="V211" t="s" s="0">
        <v>5571</v>
      </c>
      <c r="W211" t="s" s="0">
        <v>1563</v>
      </c>
      <c r="X211" t="s" s="0">
        <v>83</v>
      </c>
      <c r="Y211" t="s" s="0">
        <v>83</v>
      </c>
      <c r="Z211" t="s" s="0">
        <v>95</v>
      </c>
      <c r="AA211" t="s" s="0">
        <v>96</v>
      </c>
      <c r="AB211" t="s" s="0">
        <v>83</v>
      </c>
      <c r="AC211" t="s" s="0">
        <v>83</v>
      </c>
      <c r="AD211" t="s" s="0">
        <v>83</v>
      </c>
      <c r="AE211" t="s" s="0">
        <v>83</v>
      </c>
      <c r="AF211" t="s" s="0">
        <v>83</v>
      </c>
      <c r="AG211" t="s" s="0">
        <v>5572</v>
      </c>
      <c r="AH211" t="s" s="0">
        <v>5573</v>
      </c>
      <c r="AI211" t="s" s="0">
        <v>83</v>
      </c>
      <c r="AJ211" t="s" s="0">
        <v>83</v>
      </c>
      <c r="AK211" t="s" s="0">
        <v>83</v>
      </c>
      <c r="AL211" t="s" s="0">
        <v>270</v>
      </c>
      <c r="AM211" t="s" s="0">
        <v>545</v>
      </c>
      <c r="AN211" t="s" s="0">
        <v>545</v>
      </c>
      <c r="AO211" t="s" s="0">
        <v>115</v>
      </c>
      <c r="AP211" t="s" s="0">
        <v>148</v>
      </c>
      <c r="AQ211" t="s" s="0">
        <v>378</v>
      </c>
      <c r="AR211" t="s" s="0">
        <v>106</v>
      </c>
      <c r="AS211" t="s" s="0">
        <v>379</v>
      </c>
      <c r="AT211" t="s" s="0">
        <v>83</v>
      </c>
      <c r="AU211" t="s" s="0">
        <v>1568</v>
      </c>
      <c r="AV211" t="s" s="0">
        <v>83</v>
      </c>
      <c r="AW211" t="s" s="0">
        <v>1569</v>
      </c>
      <c r="AX211" t="s" s="0">
        <v>1570</v>
      </c>
      <c r="AY211" t="s" s="0">
        <v>5574</v>
      </c>
      <c r="AZ211" t="s" s="0">
        <v>159</v>
      </c>
      <c r="BA211" t="s" s="0">
        <v>470</v>
      </c>
      <c r="BB211" t="s" s="0">
        <v>115</v>
      </c>
      <c r="BC211" t="s" s="0">
        <v>83</v>
      </c>
      <c r="BD211" t="s" s="0">
        <v>83</v>
      </c>
      <c r="BE211" t="s" s="0">
        <v>83</v>
      </c>
      <c r="BF211" t="s" s="0">
        <v>83</v>
      </c>
      <c r="BG211" t="s" s="0">
        <v>83</v>
      </c>
      <c r="BH211" t="s" s="0">
        <v>83</v>
      </c>
      <c r="BI211" t="s" s="0">
        <v>2044</v>
      </c>
      <c r="BJ211" t="s" s="0">
        <v>5575</v>
      </c>
      <c r="BK211" t="s" s="418">
        <f>HYPERLINK("http://dx.doi.org/10.1186/s12891-025-08338-z","http://dx.doi.org/10.1186/s12891-025-08338-z")</f>
        <v>5576</v>
      </c>
      <c r="BL211" t="s" s="0">
        <v>83</v>
      </c>
      <c r="BM211" t="s" s="0">
        <v>83</v>
      </c>
      <c r="BN211" t="s" s="0">
        <v>377</v>
      </c>
      <c r="BO211" t="s" s="0">
        <v>1575</v>
      </c>
      <c r="BP211" t="s" s="0">
        <v>1575</v>
      </c>
      <c r="BQ211" t="s" s="0">
        <v>5577</v>
      </c>
      <c r="BR211" t="s" s="0">
        <v>5578</v>
      </c>
      <c r="BS211" t="s" s="0">
        <v>5579</v>
      </c>
      <c r="BT211" t="s" s="419">
        <f>HYPERLINK("https://www.webofscience.com/wos/woscc/full-record/WOS:001407881400002","View Record in Web of Science")</f>
        <v>126</v>
      </c>
      <c r="BU211" t="s" s="0">
        <v>210</v>
      </c>
      <c r="BV211" t="s" s="0">
        <v>83</v>
      </c>
      <c r="BW211" t="s" s="0">
        <v>83</v>
      </c>
      <c r="BX211" t="s" s="0">
        <v>130</v>
      </c>
    </row>
    <row r="212">
      <c r="A212" t="s" s="0">
        <v>78</v>
      </c>
      <c r="B212" t="s" s="0">
        <v>78</v>
      </c>
      <c r="C212" t="s" s="0">
        <v>78</v>
      </c>
      <c r="D212" t="s" s="0">
        <v>78</v>
      </c>
      <c r="E212" t="s" s="0">
        <v>5580</v>
      </c>
      <c r="F212" t="s" s="0">
        <v>5581</v>
      </c>
      <c r="G212" t="s" s="0">
        <v>5582</v>
      </c>
      <c r="H212" t="s" s="0">
        <v>83</v>
      </c>
      <c r="I212" t="s" s="0">
        <v>84</v>
      </c>
      <c r="J212" t="s" s="0">
        <v>5583</v>
      </c>
      <c r="K212" t="s" s="0">
        <v>5584</v>
      </c>
      <c r="L212" t="s" s="0">
        <v>83</v>
      </c>
      <c r="M212" t="s" s="0">
        <v>83</v>
      </c>
      <c r="N212" t="s" s="0">
        <v>83</v>
      </c>
      <c r="O212" t="s" s="0">
        <v>5585</v>
      </c>
      <c r="P212" t="s" s="0">
        <v>5586</v>
      </c>
      <c r="Q212" t="s" s="0">
        <v>92</v>
      </c>
      <c r="R212" t="s" s="0">
        <v>83</v>
      </c>
      <c r="S212" t="s" s="0">
        <v>83</v>
      </c>
      <c r="T212" t="s" s="0">
        <v>83</v>
      </c>
      <c r="U212" t="s" s="0">
        <v>83</v>
      </c>
      <c r="V212" t="s" s="0">
        <v>5587</v>
      </c>
      <c r="W212" t="s" s="0">
        <v>5588</v>
      </c>
      <c r="X212" t="s" s="0">
        <v>83</v>
      </c>
      <c r="Y212" t="s" s="0">
        <v>83</v>
      </c>
      <c r="Z212" t="s" s="0">
        <v>95</v>
      </c>
      <c r="AA212" t="s" s="0">
        <v>96</v>
      </c>
      <c r="AB212" t="s" s="0">
        <v>83</v>
      </c>
      <c r="AC212" t="s" s="0">
        <v>83</v>
      </c>
      <c r="AD212" t="s" s="0">
        <v>83</v>
      </c>
      <c r="AE212" t="s" s="0">
        <v>83</v>
      </c>
      <c r="AF212" t="s" s="0">
        <v>83</v>
      </c>
      <c r="AG212" t="s" s="0">
        <v>5589</v>
      </c>
      <c r="AH212" t="s" s="0">
        <v>5590</v>
      </c>
      <c r="AI212" t="s" s="0">
        <v>83</v>
      </c>
      <c r="AJ212" t="s" s="0">
        <v>5591</v>
      </c>
      <c r="AK212" t="s" s="0">
        <v>83</v>
      </c>
      <c r="AL212" t="s" s="0">
        <v>115</v>
      </c>
      <c r="AM212" t="s" s="0">
        <v>309</v>
      </c>
      <c r="AN212" t="s" s="0">
        <v>309</v>
      </c>
      <c r="AO212" t="s" s="0">
        <v>78</v>
      </c>
      <c r="AP212" t="s" s="0">
        <v>232</v>
      </c>
      <c r="AQ212" t="s" s="0">
        <v>5592</v>
      </c>
      <c r="AR212" t="s" s="0">
        <v>5593</v>
      </c>
      <c r="AS212" t="s" s="0">
        <v>5594</v>
      </c>
      <c r="AT212" t="s" s="0">
        <v>5595</v>
      </c>
      <c r="AU212" t="s" s="0">
        <v>83</v>
      </c>
      <c r="AV212" t="s" s="0">
        <v>83</v>
      </c>
      <c r="AW212" t="s" s="0">
        <v>5596</v>
      </c>
      <c r="AX212" t="s" s="0">
        <v>5597</v>
      </c>
      <c r="AY212" t="s" s="0">
        <v>1158</v>
      </c>
      <c r="AZ212" t="s" s="0">
        <v>241</v>
      </c>
      <c r="BA212" t="s" s="0">
        <v>160</v>
      </c>
      <c r="BB212" t="s" s="0">
        <v>231</v>
      </c>
      <c r="BC212" t="s" s="0">
        <v>83</v>
      </c>
      <c r="BD212" t="s" s="0">
        <v>83</v>
      </c>
      <c r="BE212" t="s" s="0">
        <v>83</v>
      </c>
      <c r="BF212" t="s" s="0">
        <v>83</v>
      </c>
      <c r="BG212" t="s" s="0">
        <v>83</v>
      </c>
      <c r="BH212" t="s" s="0">
        <v>83</v>
      </c>
      <c r="BI212" t="s" s="0">
        <v>5598</v>
      </c>
      <c r="BJ212" t="s" s="0">
        <v>5599</v>
      </c>
      <c r="BK212" t="s" s="420">
        <f>HYPERLINK("http://dx.doi.org/10.3171/2023.3.FOCUS2386","http://dx.doi.org/10.3171/2023.3.FOCUS2386")</f>
        <v>5600</v>
      </c>
      <c r="BL212" t="s" s="0">
        <v>83</v>
      </c>
      <c r="BM212" t="s" s="0">
        <v>83</v>
      </c>
      <c r="BN212" t="s" s="0">
        <v>149</v>
      </c>
      <c r="BO212" t="s" s="0">
        <v>5601</v>
      </c>
      <c r="BP212" t="s" s="0">
        <v>5602</v>
      </c>
      <c r="BQ212" t="s" s="0">
        <v>5603</v>
      </c>
      <c r="BR212" t="s" s="0">
        <v>5604</v>
      </c>
      <c r="BS212" t="s" s="0">
        <v>5605</v>
      </c>
      <c r="BT212" t="s" s="421">
        <f>HYPERLINK("https://www.webofscience.com/wos/woscc/full-record/WOS:001069531500008","View Record in Web of Science")</f>
        <v>126</v>
      </c>
      <c r="BU212" t="s" s="0">
        <v>1463</v>
      </c>
      <c r="BV212" t="s" s="0">
        <v>83</v>
      </c>
      <c r="BW212" t="s" s="0">
        <v>83</v>
      </c>
      <c r="BX212" t="s" s="0">
        <v>130</v>
      </c>
    </row>
    <row r="213">
      <c r="A213" t="s" s="0">
        <v>115</v>
      </c>
      <c r="B213" t="s" s="0">
        <v>78</v>
      </c>
      <c r="C213" t="s" s="0">
        <v>77</v>
      </c>
      <c r="D213" t="s" s="0">
        <v>78</v>
      </c>
      <c r="E213" t="s" s="0">
        <v>5606</v>
      </c>
      <c r="F213" t="s" s="0">
        <v>5607</v>
      </c>
      <c r="G213" t="s" s="0">
        <v>5608</v>
      </c>
      <c r="H213" t="s" s="0">
        <v>83</v>
      </c>
      <c r="I213" t="s" s="0">
        <v>84</v>
      </c>
      <c r="J213" t="s" s="0">
        <v>5609</v>
      </c>
      <c r="K213" t="s" s="0">
        <v>3043</v>
      </c>
      <c r="L213" t="s" s="0">
        <v>5610</v>
      </c>
      <c r="M213" t="s" s="0">
        <v>5611</v>
      </c>
      <c r="N213" t="s" s="0">
        <v>5612</v>
      </c>
      <c r="O213" t="s" s="0">
        <v>5613</v>
      </c>
      <c r="P213" t="s" s="0">
        <v>5614</v>
      </c>
      <c r="Q213" t="s" s="0">
        <v>92</v>
      </c>
      <c r="R213" t="s" s="0">
        <v>83</v>
      </c>
      <c r="S213" t="s" s="0">
        <v>83</v>
      </c>
      <c r="T213" t="s" s="0">
        <v>83</v>
      </c>
      <c r="U213" t="s" s="0">
        <v>83</v>
      </c>
      <c r="V213" t="s" s="0">
        <v>5615</v>
      </c>
      <c r="W213" t="s" s="0">
        <v>223</v>
      </c>
      <c r="X213" t="s" s="0">
        <v>83</v>
      </c>
      <c r="Y213" t="s" s="0">
        <v>83</v>
      </c>
      <c r="Z213" t="s" s="0">
        <v>95</v>
      </c>
      <c r="AA213" t="s" s="0">
        <v>96</v>
      </c>
      <c r="AB213" t="s" s="0">
        <v>83</v>
      </c>
      <c r="AC213" t="s" s="0">
        <v>83</v>
      </c>
      <c r="AD213" t="s" s="0">
        <v>83</v>
      </c>
      <c r="AE213" t="s" s="0">
        <v>83</v>
      </c>
      <c r="AF213" t="s" s="0">
        <v>83</v>
      </c>
      <c r="AG213" t="s" s="0">
        <v>5616</v>
      </c>
      <c r="AH213" t="s" s="0">
        <v>5617</v>
      </c>
      <c r="AI213" t="s" s="0">
        <v>5618</v>
      </c>
      <c r="AJ213" t="s" s="0">
        <v>5619</v>
      </c>
      <c r="AK213" t="s" s="0">
        <v>83</v>
      </c>
      <c r="AL213" t="s" s="0">
        <v>3485</v>
      </c>
      <c r="AM213" t="s" s="0">
        <v>232</v>
      </c>
      <c r="AN213" t="s" s="0">
        <v>120</v>
      </c>
      <c r="AO213" t="s" s="0">
        <v>150</v>
      </c>
      <c r="AP213" t="s" s="0">
        <v>148</v>
      </c>
      <c r="AQ213" t="s" s="0">
        <v>233</v>
      </c>
      <c r="AR213" t="s" s="0">
        <v>234</v>
      </c>
      <c r="AS213" t="s" s="0">
        <v>235</v>
      </c>
      <c r="AT213" t="s" s="0">
        <v>236</v>
      </c>
      <c r="AU213" t="s" s="0">
        <v>237</v>
      </c>
      <c r="AV213" t="s" s="0">
        <v>83</v>
      </c>
      <c r="AW213" t="s" s="0">
        <v>238</v>
      </c>
      <c r="AX213" t="s" s="0">
        <v>239</v>
      </c>
      <c r="AY213" t="s" s="0">
        <v>1752</v>
      </c>
      <c r="AZ213" t="s" s="0">
        <v>241</v>
      </c>
      <c r="BA213" t="s" s="0">
        <v>1933</v>
      </c>
      <c r="BB213" t="s" s="0">
        <v>83</v>
      </c>
      <c r="BC213" t="s" s="0">
        <v>83</v>
      </c>
      <c r="BD213" t="s" s="0">
        <v>83</v>
      </c>
      <c r="BE213" t="s" s="0">
        <v>83</v>
      </c>
      <c r="BF213" t="s" s="0">
        <v>83</v>
      </c>
      <c r="BG213" t="s" s="0">
        <v>211</v>
      </c>
      <c r="BH213" t="s" s="0">
        <v>79</v>
      </c>
      <c r="BI213" t="s" s="0">
        <v>83</v>
      </c>
      <c r="BJ213" t="s" s="0">
        <v>5620</v>
      </c>
      <c r="BK213" t="s" s="422">
        <f>HYPERLINK("http://dx.doi.org/10.1016/j.jclinepi.2023.05.002","http://dx.doi.org/10.1016/j.jclinepi.2023.05.002")</f>
        <v>5621</v>
      </c>
      <c r="BL213" t="s" s="0">
        <v>83</v>
      </c>
      <c r="BM213" t="s" s="0">
        <v>1163</v>
      </c>
      <c r="BN213" t="s" s="0">
        <v>890</v>
      </c>
      <c r="BO213" t="s" s="0">
        <v>249</v>
      </c>
      <c r="BP213" t="s" s="0">
        <v>249</v>
      </c>
      <c r="BQ213" t="s" s="0">
        <v>5622</v>
      </c>
      <c r="BR213" t="s" s="0">
        <v>5623</v>
      </c>
      <c r="BS213" t="s" s="0">
        <v>5624</v>
      </c>
      <c r="BT213" t="s" s="423">
        <f>HYPERLINK("https://www.webofscience.com/wos/woscc/full-record/WOS:001014464100001","View Record in Web of Science")</f>
        <v>126</v>
      </c>
      <c r="BU213" t="s" s="0">
        <v>253</v>
      </c>
      <c r="BV213" t="s" s="0">
        <v>83</v>
      </c>
      <c r="BW213" t="s" s="0">
        <v>83</v>
      </c>
      <c r="BX213" t="s" s="0">
        <v>130</v>
      </c>
    </row>
    <row r="214">
      <c r="A214" t="s" s="0">
        <v>78</v>
      </c>
      <c r="B214" t="s" s="0">
        <v>78</v>
      </c>
      <c r="C214" t="s" s="0">
        <v>78</v>
      </c>
      <c r="D214" t="s" s="0">
        <v>78</v>
      </c>
      <c r="E214" t="s" s="0">
        <v>5625</v>
      </c>
      <c r="F214" t="s" s="0">
        <v>5626</v>
      </c>
      <c r="G214" t="s" s="0">
        <v>5627</v>
      </c>
      <c r="H214" t="s" s="0">
        <v>83</v>
      </c>
      <c r="I214" t="s" s="0">
        <v>174</v>
      </c>
      <c r="J214" t="s" s="0">
        <v>5628</v>
      </c>
      <c r="K214" t="s" s="0">
        <v>5629</v>
      </c>
      <c r="L214" t="s" s="0">
        <v>5630</v>
      </c>
      <c r="M214" t="s" s="0">
        <v>5631</v>
      </c>
      <c r="N214" t="s" s="0">
        <v>5632</v>
      </c>
      <c r="O214" t="s" s="0">
        <v>5633</v>
      </c>
      <c r="P214" t="s" s="0">
        <v>5634</v>
      </c>
      <c r="Q214" t="s" s="0">
        <v>92</v>
      </c>
      <c r="R214" t="s" s="0">
        <v>83</v>
      </c>
      <c r="S214" t="s" s="0">
        <v>83</v>
      </c>
      <c r="T214" t="s" s="0">
        <v>83</v>
      </c>
      <c r="U214" t="s" s="0">
        <v>83</v>
      </c>
      <c r="V214" t="s" s="0">
        <v>5635</v>
      </c>
      <c r="W214" t="s" s="0">
        <v>5636</v>
      </c>
      <c r="X214" t="s" s="0">
        <v>83</v>
      </c>
      <c r="Y214" t="s" s="0">
        <v>83</v>
      </c>
      <c r="Z214" t="s" s="0">
        <v>95</v>
      </c>
      <c r="AA214" t="s" s="0">
        <v>96</v>
      </c>
      <c r="AB214" t="s" s="0">
        <v>83</v>
      </c>
      <c r="AC214" t="s" s="0">
        <v>83</v>
      </c>
      <c r="AD214" t="s" s="0">
        <v>83</v>
      </c>
      <c r="AE214" t="s" s="0">
        <v>83</v>
      </c>
      <c r="AF214" t="s" s="0">
        <v>83</v>
      </c>
      <c r="AG214" t="s" s="0">
        <v>5637</v>
      </c>
      <c r="AH214" t="s" s="0">
        <v>5638</v>
      </c>
      <c r="AI214" t="s" s="0">
        <v>5639</v>
      </c>
      <c r="AJ214" t="s" s="0">
        <v>5640</v>
      </c>
      <c r="AK214" t="s" s="0">
        <v>83</v>
      </c>
      <c r="AL214" t="s" s="0">
        <v>2637</v>
      </c>
      <c r="AM214" t="s" s="0">
        <v>545</v>
      </c>
      <c r="AN214" t="s" s="0">
        <v>545</v>
      </c>
      <c r="AO214" t="s" s="0">
        <v>545</v>
      </c>
      <c r="AP214" t="s" s="0">
        <v>232</v>
      </c>
      <c r="AQ214" t="s" s="0">
        <v>1123</v>
      </c>
      <c r="AR214" t="s" s="0">
        <v>1124</v>
      </c>
      <c r="AS214" t="s" s="0">
        <v>1125</v>
      </c>
      <c r="AT214" t="s" s="0">
        <v>83</v>
      </c>
      <c r="AU214" t="s" s="0">
        <v>5641</v>
      </c>
      <c r="AV214" t="s" s="0">
        <v>83</v>
      </c>
      <c r="AW214" t="s" s="0">
        <v>5642</v>
      </c>
      <c r="AX214" t="s" s="0">
        <v>5643</v>
      </c>
      <c r="AY214" t="s" s="0">
        <v>5644</v>
      </c>
      <c r="AZ214" t="s" s="0">
        <v>412</v>
      </c>
      <c r="BA214" t="s" s="0">
        <v>77</v>
      </c>
      <c r="BB214" t="s" s="0">
        <v>281</v>
      </c>
      <c r="BC214" t="s" s="0">
        <v>83</v>
      </c>
      <c r="BD214" t="s" s="0">
        <v>83</v>
      </c>
      <c r="BE214" t="s" s="0">
        <v>83</v>
      </c>
      <c r="BF214" t="s" s="0">
        <v>83</v>
      </c>
      <c r="BG214" t="s" s="0">
        <v>83</v>
      </c>
      <c r="BH214" t="s" s="0">
        <v>83</v>
      </c>
      <c r="BI214" t="s" s="0">
        <v>5645</v>
      </c>
      <c r="BJ214" t="s" s="0">
        <v>5646</v>
      </c>
      <c r="BK214" t="s" s="424">
        <f>HYPERLINK("http://dx.doi.org/10.1002/ctd2.355","http://dx.doi.org/10.1002/ctd2.355")</f>
        <v>5647</v>
      </c>
      <c r="BL214" t="s" s="0">
        <v>83</v>
      </c>
      <c r="BM214" t="s" s="0">
        <v>83</v>
      </c>
      <c r="BN214" t="s" s="0">
        <v>269</v>
      </c>
      <c r="BO214" t="s" s="0">
        <v>2926</v>
      </c>
      <c r="BP214" t="s" s="0">
        <v>2927</v>
      </c>
      <c r="BQ214" t="s" s="0">
        <v>5648</v>
      </c>
      <c r="BR214" t="s" s="0">
        <v>83</v>
      </c>
      <c r="BS214" t="s" s="0">
        <v>5649</v>
      </c>
      <c r="BT214" t="s" s="425">
        <f>HYPERLINK("https://www.webofscience.com/wos/woscc/full-record/WOS:001306033500001","View Record in Web of Science")</f>
        <v>126</v>
      </c>
      <c r="BU214" t="s" s="0">
        <v>1463</v>
      </c>
      <c r="BV214" t="s" s="0">
        <v>83</v>
      </c>
      <c r="BW214" t="s" s="0">
        <v>83</v>
      </c>
      <c r="BX214" t="s" s="0">
        <v>130</v>
      </c>
    </row>
    <row r="215">
      <c r="A215" t="s" s="0">
        <v>78</v>
      </c>
      <c r="B215" t="s" s="0">
        <v>78</v>
      </c>
      <c r="C215" t="s" s="0">
        <v>211</v>
      </c>
      <c r="D215" t="s" s="0">
        <v>150</v>
      </c>
      <c r="E215" t="s" s="0">
        <v>5650</v>
      </c>
      <c r="F215" t="s" s="0">
        <v>5651</v>
      </c>
      <c r="G215" t="s" s="0">
        <v>5652</v>
      </c>
      <c r="H215" t="s" s="0">
        <v>83</v>
      </c>
      <c r="I215" t="s" s="0">
        <v>84</v>
      </c>
      <c r="J215" t="s" s="0">
        <v>5653</v>
      </c>
      <c r="K215" t="s" s="0">
        <v>5654</v>
      </c>
      <c r="L215" t="s" s="0">
        <v>83</v>
      </c>
      <c r="M215" t="s" s="0">
        <v>83</v>
      </c>
      <c r="N215" t="s" s="0">
        <v>83</v>
      </c>
      <c r="O215" t="s" s="0">
        <v>5655</v>
      </c>
      <c r="P215" t="s" s="0">
        <v>5656</v>
      </c>
      <c r="Q215" t="s" s="0">
        <v>92</v>
      </c>
      <c r="R215" t="s" s="0">
        <v>83</v>
      </c>
      <c r="S215" t="s" s="0">
        <v>83</v>
      </c>
      <c r="T215" t="s" s="0">
        <v>83</v>
      </c>
      <c r="U215" t="s" s="0">
        <v>83</v>
      </c>
      <c r="V215" t="s" s="0">
        <v>5657</v>
      </c>
      <c r="W215" t="s" s="0">
        <v>5658</v>
      </c>
      <c r="X215" t="s" s="0">
        <v>83</v>
      </c>
      <c r="Y215" t="s" s="0">
        <v>83</v>
      </c>
      <c r="Z215" t="s" s="0">
        <v>95</v>
      </c>
      <c r="AA215" t="s" s="0">
        <v>96</v>
      </c>
      <c r="AB215" t="s" s="0">
        <v>83</v>
      </c>
      <c r="AC215" t="s" s="0">
        <v>83</v>
      </c>
      <c r="AD215" t="s" s="0">
        <v>83</v>
      </c>
      <c r="AE215" t="s" s="0">
        <v>83</v>
      </c>
      <c r="AF215" t="s" s="0">
        <v>83</v>
      </c>
      <c r="AG215" t="s" s="0">
        <v>83</v>
      </c>
      <c r="AH215" t="s" s="0">
        <v>5659</v>
      </c>
      <c r="AI215" t="s" s="0">
        <v>5660</v>
      </c>
      <c r="AJ215" t="s" s="0">
        <v>5661</v>
      </c>
      <c r="AK215" t="s" s="0">
        <v>83</v>
      </c>
      <c r="AL215" t="s" s="0">
        <v>79</v>
      </c>
      <c r="AM215" t="s" s="0">
        <v>690</v>
      </c>
      <c r="AN215" t="s" s="0">
        <v>857</v>
      </c>
      <c r="AO215" t="s" s="0">
        <v>78</v>
      </c>
      <c r="AP215" t="s" s="0">
        <v>148</v>
      </c>
      <c r="AQ215" t="s" s="0">
        <v>5662</v>
      </c>
      <c r="AR215" t="s" s="0">
        <v>5663</v>
      </c>
      <c r="AS215" t="s" s="0">
        <v>5664</v>
      </c>
      <c r="AT215" t="s" s="0">
        <v>5665</v>
      </c>
      <c r="AU215" t="s" s="0">
        <v>5666</v>
      </c>
      <c r="AV215" t="s" s="0">
        <v>83</v>
      </c>
      <c r="AW215" t="s" s="0">
        <v>5667</v>
      </c>
      <c r="AX215" t="s" s="0">
        <v>5668</v>
      </c>
      <c r="AY215" t="s" s="0">
        <v>5669</v>
      </c>
      <c r="AZ215" t="s" s="0">
        <v>637</v>
      </c>
      <c r="BA215" t="s" s="0">
        <v>2078</v>
      </c>
      <c r="BB215" t="s" s="0">
        <v>281</v>
      </c>
      <c r="BC215" t="s" s="0">
        <v>83</v>
      </c>
      <c r="BD215" t="s" s="0">
        <v>83</v>
      </c>
      <c r="BE215" t="s" s="0">
        <v>83</v>
      </c>
      <c r="BF215" t="s" s="0">
        <v>83</v>
      </c>
      <c r="BG215" t="s" s="0">
        <v>5670</v>
      </c>
      <c r="BH215" t="s" s="0">
        <v>1304</v>
      </c>
      <c r="BI215" t="s" s="0">
        <v>83</v>
      </c>
      <c r="BJ215" t="s" s="0">
        <v>5671</v>
      </c>
      <c r="BK215" t="s" s="426">
        <f>HYPERLINK("http://dx.doi.org/10.1080/17453674.2021.1932928","http://dx.doi.org/10.1080/17453674.2021.1932928")</f>
        <v>5672</v>
      </c>
      <c r="BL215" t="s" s="0">
        <v>83</v>
      </c>
      <c r="BM215" t="s" s="0">
        <v>2953</v>
      </c>
      <c r="BN215" t="s" s="0">
        <v>120</v>
      </c>
      <c r="BO215" t="s" s="0">
        <v>5190</v>
      </c>
      <c r="BP215" t="s" s="0">
        <v>5190</v>
      </c>
      <c r="BQ215" t="s" s="0">
        <v>5673</v>
      </c>
      <c r="BR215" t="s" s="0">
        <v>5674</v>
      </c>
      <c r="BS215" t="s" s="0">
        <v>5675</v>
      </c>
      <c r="BT215" t="s" s="427">
        <f>HYPERLINK("https://www.webofscience.com/wos/woscc/full-record/WOS:000659761400001","View Record in Web of Science")</f>
        <v>126</v>
      </c>
      <c r="BU215" t="s" s="0">
        <v>210</v>
      </c>
      <c r="BV215" t="s" s="0">
        <v>83</v>
      </c>
      <c r="BW215" t="s" s="0">
        <v>83</v>
      </c>
      <c r="BX215" t="s" s="0">
        <v>130</v>
      </c>
    </row>
    <row r="216">
      <c r="A216" t="s" s="0">
        <v>78</v>
      </c>
      <c r="B216" t="s" s="0">
        <v>78</v>
      </c>
      <c r="C216" t="s" s="0">
        <v>78</v>
      </c>
      <c r="D216" t="s" s="0">
        <v>78</v>
      </c>
      <c r="E216" t="s" s="0">
        <v>5676</v>
      </c>
      <c r="F216" t="s" s="0">
        <v>5677</v>
      </c>
      <c r="G216" t="s" s="0">
        <v>5678</v>
      </c>
      <c r="H216" t="s" s="0">
        <v>83</v>
      </c>
      <c r="I216" t="s" s="0">
        <v>84</v>
      </c>
      <c r="J216" t="s" s="0">
        <v>5679</v>
      </c>
      <c r="K216" t="s" s="0">
        <v>5680</v>
      </c>
      <c r="L216" t="s" s="0">
        <v>5681</v>
      </c>
      <c r="M216" t="s" s="0">
        <v>4282</v>
      </c>
      <c r="N216" t="s" s="0">
        <v>5682</v>
      </c>
      <c r="O216" t="s" s="0">
        <v>5683</v>
      </c>
      <c r="P216" t="s" s="0">
        <v>5684</v>
      </c>
      <c r="Q216" t="s" s="0">
        <v>92</v>
      </c>
      <c r="R216" t="s" s="0">
        <v>83</v>
      </c>
      <c r="S216" t="s" s="0">
        <v>83</v>
      </c>
      <c r="T216" t="s" s="0">
        <v>83</v>
      </c>
      <c r="U216" t="s" s="0">
        <v>83</v>
      </c>
      <c r="V216" t="s" s="0">
        <v>5685</v>
      </c>
      <c r="W216" t="s" s="0">
        <v>304</v>
      </c>
      <c r="X216" t="s" s="0">
        <v>83</v>
      </c>
      <c r="Y216" t="s" s="0">
        <v>83</v>
      </c>
      <c r="Z216" t="s" s="0">
        <v>95</v>
      </c>
      <c r="AA216" t="s" s="0">
        <v>96</v>
      </c>
      <c r="AB216" t="s" s="0">
        <v>83</v>
      </c>
      <c r="AC216" t="s" s="0">
        <v>83</v>
      </c>
      <c r="AD216" t="s" s="0">
        <v>83</v>
      </c>
      <c r="AE216" t="s" s="0">
        <v>83</v>
      </c>
      <c r="AF216" t="s" s="0">
        <v>83</v>
      </c>
      <c r="AG216" t="s" s="0">
        <v>5686</v>
      </c>
      <c r="AH216" t="s" s="0">
        <v>5687</v>
      </c>
      <c r="AI216" t="s" s="0">
        <v>83</v>
      </c>
      <c r="AJ216" t="s" s="0">
        <v>83</v>
      </c>
      <c r="AK216" t="s" s="0">
        <v>83</v>
      </c>
      <c r="AL216" t="s" s="0">
        <v>719</v>
      </c>
      <c r="AM216" t="s" s="0">
        <v>78</v>
      </c>
      <c r="AN216" t="s" s="0">
        <v>78</v>
      </c>
      <c r="AO216" t="s" s="0">
        <v>115</v>
      </c>
      <c r="AP216" t="s" s="0">
        <v>115</v>
      </c>
      <c r="AQ216" t="s" s="0">
        <v>233</v>
      </c>
      <c r="AR216" t="s" s="0">
        <v>234</v>
      </c>
      <c r="AS216" t="s" s="0">
        <v>235</v>
      </c>
      <c r="AT216" t="s" s="0">
        <v>312</v>
      </c>
      <c r="AU216" t="s" s="0">
        <v>313</v>
      </c>
      <c r="AV216" t="s" s="0">
        <v>83</v>
      </c>
      <c r="AW216" t="s" s="0">
        <v>314</v>
      </c>
      <c r="AX216" t="s" s="0">
        <v>315</v>
      </c>
      <c r="AY216" t="s" s="0">
        <v>1479</v>
      </c>
      <c r="AZ216" t="s" s="0">
        <v>511</v>
      </c>
      <c r="BA216" t="s" s="0">
        <v>5688</v>
      </c>
      <c r="BB216" t="s" s="0">
        <v>83</v>
      </c>
      <c r="BC216" t="s" s="0">
        <v>83</v>
      </c>
      <c r="BD216" t="s" s="0">
        <v>83</v>
      </c>
      <c r="BE216" t="s" s="0">
        <v>83</v>
      </c>
      <c r="BF216" t="s" s="0">
        <v>83</v>
      </c>
      <c r="BG216" t="s" s="0">
        <v>83</v>
      </c>
      <c r="BH216" t="s" s="0">
        <v>83</v>
      </c>
      <c r="BI216" t="s" s="0">
        <v>5689</v>
      </c>
      <c r="BJ216" t="s" s="0">
        <v>5690</v>
      </c>
      <c r="BK216" t="s" s="428">
        <f>HYPERLINK("http://dx.doi.org/10.1016/j.critrevonc.2026.105483","http://dx.doi.org/10.1016/j.critrevonc.2026.105483")</f>
        <v>5691</v>
      </c>
      <c r="BL216" t="s" s="0">
        <v>83</v>
      </c>
      <c r="BM216" t="s" s="0">
        <v>83</v>
      </c>
      <c r="BN216" t="s" s="0">
        <v>309</v>
      </c>
      <c r="BO216" t="s" s="0">
        <v>322</v>
      </c>
      <c r="BP216" t="s" s="0">
        <v>322</v>
      </c>
      <c r="BQ216" t="s" s="0">
        <v>5692</v>
      </c>
      <c r="BR216" t="s" s="0">
        <v>5693</v>
      </c>
      <c r="BS216" t="s" s="0">
        <v>5694</v>
      </c>
      <c r="BT216" t="s" s="429">
        <f>HYPERLINK("https://www.webofscience.com/wos/woscc/full-record/WOS:001827943500001","View Record in Web of Science")</f>
        <v>126</v>
      </c>
      <c r="BU216" t="s" s="0">
        <v>83</v>
      </c>
      <c r="BV216" t="s" s="0">
        <v>83</v>
      </c>
      <c r="BW216" t="s" s="0">
        <v>83</v>
      </c>
      <c r="BX216" t="s" s="0">
        <v>130</v>
      </c>
    </row>
    <row r="217">
      <c r="A217" t="s" s="0">
        <v>78</v>
      </c>
      <c r="B217" t="s" s="0">
        <v>78</v>
      </c>
      <c r="C217" t="s" s="0">
        <v>115</v>
      </c>
      <c r="D217" t="s" s="0">
        <v>78</v>
      </c>
      <c r="E217" t="s" s="0">
        <v>5695</v>
      </c>
      <c r="F217" t="s" s="0">
        <v>5696</v>
      </c>
      <c r="G217" t="s" s="0">
        <v>5697</v>
      </c>
      <c r="H217" t="s" s="0">
        <v>83</v>
      </c>
      <c r="I217" t="s" s="0">
        <v>257</v>
      </c>
      <c r="J217" t="s" s="0">
        <v>5698</v>
      </c>
      <c r="K217" t="s" s="0">
        <v>5699</v>
      </c>
      <c r="L217" t="s" s="0">
        <v>83</v>
      </c>
      <c r="M217" t="s" s="0">
        <v>83</v>
      </c>
      <c r="N217" t="s" s="0">
        <v>83</v>
      </c>
      <c r="O217" t="s" s="0">
        <v>5700</v>
      </c>
      <c r="P217" t="s" s="0">
        <v>5701</v>
      </c>
      <c r="Q217" t="s" s="0">
        <v>92</v>
      </c>
      <c r="R217" t="s" s="0">
        <v>83</v>
      </c>
      <c r="S217" t="s" s="0">
        <v>83</v>
      </c>
      <c r="T217" t="s" s="0">
        <v>83</v>
      </c>
      <c r="U217" t="s" s="0">
        <v>83</v>
      </c>
      <c r="V217" t="s" s="0">
        <v>5702</v>
      </c>
      <c r="W217" t="s" s="0">
        <v>5703</v>
      </c>
      <c r="X217" t="s" s="0">
        <v>83</v>
      </c>
      <c r="Y217" t="s" s="0">
        <v>83</v>
      </c>
      <c r="Z217" t="s" s="0">
        <v>95</v>
      </c>
      <c r="AA217" t="s" s="0">
        <v>96</v>
      </c>
      <c r="AB217" t="s" s="0">
        <v>83</v>
      </c>
      <c r="AC217" t="s" s="0">
        <v>83</v>
      </c>
      <c r="AD217" t="s" s="0">
        <v>83</v>
      </c>
      <c r="AE217" t="s" s="0">
        <v>83</v>
      </c>
      <c r="AF217" t="s" s="0">
        <v>83</v>
      </c>
      <c r="AG217" t="s" s="0">
        <v>5704</v>
      </c>
      <c r="AH217" t="s" s="0">
        <v>5705</v>
      </c>
      <c r="AI217" t="s" s="0">
        <v>5706</v>
      </c>
      <c r="AJ217" t="s" s="0">
        <v>5707</v>
      </c>
      <c r="AK217" t="s" s="0">
        <v>83</v>
      </c>
      <c r="AL217" t="s" s="0">
        <v>2216</v>
      </c>
      <c r="AM217" t="s" s="0">
        <v>148</v>
      </c>
      <c r="AN217" t="s" s="0">
        <v>232</v>
      </c>
      <c r="AO217" t="s" s="0">
        <v>78</v>
      </c>
      <c r="AP217" t="s" s="0">
        <v>248</v>
      </c>
      <c r="AQ217" t="s" s="0">
        <v>4952</v>
      </c>
      <c r="AR217" t="s" s="0">
        <v>234</v>
      </c>
      <c r="AS217" t="s" s="0">
        <v>4953</v>
      </c>
      <c r="AT217" t="s" s="0">
        <v>5708</v>
      </c>
      <c r="AU217" t="s" s="0">
        <v>5709</v>
      </c>
      <c r="AV217" t="s" s="0">
        <v>83</v>
      </c>
      <c r="AW217" t="s" s="0">
        <v>5710</v>
      </c>
      <c r="AX217" t="s" s="0">
        <v>5711</v>
      </c>
      <c r="AY217" t="s" s="0">
        <v>3617</v>
      </c>
      <c r="AZ217" t="s" s="0">
        <v>637</v>
      </c>
      <c r="BA217" t="s" s="0">
        <v>3611</v>
      </c>
      <c r="BB217" t="s" s="0">
        <v>115</v>
      </c>
      <c r="BC217" t="s" s="0">
        <v>83</v>
      </c>
      <c r="BD217" t="s" s="0">
        <v>83</v>
      </c>
      <c r="BE217" t="s" s="0">
        <v>83</v>
      </c>
      <c r="BF217" t="s" s="0">
        <v>83</v>
      </c>
      <c r="BG217" t="s" s="0">
        <v>310</v>
      </c>
      <c r="BH217" t="s" s="0">
        <v>471</v>
      </c>
      <c r="BI217" t="s" s="0">
        <v>83</v>
      </c>
      <c r="BJ217" t="s" s="0">
        <v>5712</v>
      </c>
      <c r="BK217" t="s" s="430">
        <f>HYPERLINK("http://dx.doi.org/10.1016/j.ajog.2020.08.057","http://dx.doi.org/10.1016/j.ajog.2020.08.057")</f>
        <v>5713</v>
      </c>
      <c r="BL217" t="s" s="0">
        <v>83</v>
      </c>
      <c r="BM217" t="s" s="0">
        <v>83</v>
      </c>
      <c r="BN217" t="s" s="0">
        <v>161</v>
      </c>
      <c r="BO217" t="s" s="0">
        <v>2139</v>
      </c>
      <c r="BP217" t="s" s="0">
        <v>2139</v>
      </c>
      <c r="BQ217" t="s" s="0">
        <v>5714</v>
      </c>
      <c r="BR217" t="s" s="0">
        <v>5715</v>
      </c>
      <c r="BS217" t="s" s="0">
        <v>5716</v>
      </c>
      <c r="BT217" t="s" s="431">
        <f>HYPERLINK("https://www.webofscience.com/wos/woscc/full-record/WOS:000607357300005","View Record in Web of Science")</f>
        <v>126</v>
      </c>
      <c r="BU217" t="s" s="0">
        <v>127</v>
      </c>
      <c r="BV217" t="s" s="0">
        <v>83</v>
      </c>
      <c r="BW217" t="s" s="0">
        <v>83</v>
      </c>
      <c r="BX217" t="s" s="0">
        <v>130</v>
      </c>
    </row>
    <row r="218">
      <c r="A218" t="s" s="0">
        <v>78</v>
      </c>
      <c r="B218" t="s" s="0">
        <v>78</v>
      </c>
      <c r="C218" t="s" s="0">
        <v>115</v>
      </c>
      <c r="D218" t="s" s="0">
        <v>78</v>
      </c>
      <c r="E218" t="s" s="0">
        <v>5717</v>
      </c>
      <c r="F218" t="s" s="0">
        <v>5718</v>
      </c>
      <c r="G218" t="s" s="0">
        <v>5719</v>
      </c>
      <c r="H218" t="s" s="0">
        <v>83</v>
      </c>
      <c r="I218" t="s" s="0">
        <v>257</v>
      </c>
      <c r="J218" t="s" s="0">
        <v>5720</v>
      </c>
      <c r="K218" t="s" s="0">
        <v>5721</v>
      </c>
      <c r="L218" t="s" s="0">
        <v>5722</v>
      </c>
      <c r="M218" t="s" s="0">
        <v>5723</v>
      </c>
      <c r="N218" t="s" s="0">
        <v>5724</v>
      </c>
      <c r="O218" t="s" s="0">
        <v>5725</v>
      </c>
      <c r="P218" t="s" s="0">
        <v>5726</v>
      </c>
      <c r="Q218" t="s" s="0">
        <v>92</v>
      </c>
      <c r="R218" t="s" s="0">
        <v>83</v>
      </c>
      <c r="S218" t="s" s="0">
        <v>83</v>
      </c>
      <c r="T218" t="s" s="0">
        <v>83</v>
      </c>
      <c r="U218" t="s" s="0">
        <v>83</v>
      </c>
      <c r="V218" t="s" s="0">
        <v>5727</v>
      </c>
      <c r="W218" t="s" s="0">
        <v>1368</v>
      </c>
      <c r="X218" t="s" s="0">
        <v>83</v>
      </c>
      <c r="Y218" t="s" s="0">
        <v>83</v>
      </c>
      <c r="Z218" t="s" s="0">
        <v>95</v>
      </c>
      <c r="AA218" t="s" s="0">
        <v>96</v>
      </c>
      <c r="AB218" t="s" s="0">
        <v>83</v>
      </c>
      <c r="AC218" t="s" s="0">
        <v>83</v>
      </c>
      <c r="AD218" t="s" s="0">
        <v>83</v>
      </c>
      <c r="AE218" t="s" s="0">
        <v>83</v>
      </c>
      <c r="AF218" t="s" s="0">
        <v>83</v>
      </c>
      <c r="AG218" t="s" s="0">
        <v>5728</v>
      </c>
      <c r="AH218" t="s" s="0">
        <v>5729</v>
      </c>
      <c r="AI218" t="s" s="0">
        <v>5730</v>
      </c>
      <c r="AJ218" t="s" s="0">
        <v>5731</v>
      </c>
      <c r="AK218" t="s" s="0">
        <v>83</v>
      </c>
      <c r="AL218" t="s" s="0">
        <v>969</v>
      </c>
      <c r="AM218" t="s" s="0">
        <v>148</v>
      </c>
      <c r="AN218" t="s" s="0">
        <v>148</v>
      </c>
      <c r="AO218" t="s" s="0">
        <v>78</v>
      </c>
      <c r="AP218" t="s" s="0">
        <v>232</v>
      </c>
      <c r="AQ218" t="s" s="0">
        <v>632</v>
      </c>
      <c r="AR218" t="s" s="0">
        <v>106</v>
      </c>
      <c r="AS218" t="s" s="0">
        <v>633</v>
      </c>
      <c r="AT218" t="s" s="0">
        <v>1373</v>
      </c>
      <c r="AU218" t="s" s="0">
        <v>83</v>
      </c>
      <c r="AV218" t="s" s="0">
        <v>83</v>
      </c>
      <c r="AW218" t="s" s="0">
        <v>1368</v>
      </c>
      <c r="AX218" t="s" s="0">
        <v>1374</v>
      </c>
      <c r="AY218" t="s" s="0">
        <v>3543</v>
      </c>
      <c r="AZ218" t="s" s="0">
        <v>637</v>
      </c>
      <c r="BA218" t="s" s="0">
        <v>232</v>
      </c>
      <c r="BB218" t="s" s="0">
        <v>165</v>
      </c>
      <c r="BC218" t="s" s="0">
        <v>83</v>
      </c>
      <c r="BD218" t="s" s="0">
        <v>83</v>
      </c>
      <c r="BE218" t="s" s="0">
        <v>83</v>
      </c>
      <c r="BF218" t="s" s="0">
        <v>83</v>
      </c>
      <c r="BG218" t="s" s="0">
        <v>83</v>
      </c>
      <c r="BH218" t="s" s="0">
        <v>83</v>
      </c>
      <c r="BI218" t="s" s="0">
        <v>5732</v>
      </c>
      <c r="BJ218" t="s" s="0">
        <v>5733</v>
      </c>
      <c r="BK218" t="s" s="432">
        <f>HYPERLINK("http://dx.doi.org/10.1136/bmjopen-2021-051047","http://dx.doi.org/10.1136/bmjopen-2021-051047")</f>
        <v>5734</v>
      </c>
      <c r="BL218" t="s" s="0">
        <v>83</v>
      </c>
      <c r="BM218" t="s" s="0">
        <v>83</v>
      </c>
      <c r="BN218" t="s" s="0">
        <v>77</v>
      </c>
      <c r="BO218" t="s" s="0">
        <v>669</v>
      </c>
      <c r="BP218" t="s" s="0">
        <v>670</v>
      </c>
      <c r="BQ218" t="s" s="0">
        <v>5735</v>
      </c>
      <c r="BR218" t="s" s="0">
        <v>5736</v>
      </c>
      <c r="BS218" t="s" s="0">
        <v>5737</v>
      </c>
      <c r="BT218" t="s" s="433">
        <f>HYPERLINK("https://www.webofscience.com/wos/woscc/full-record/WOS:000697851300001","View Record in Web of Science")</f>
        <v>126</v>
      </c>
      <c r="BU218" t="s" s="0">
        <v>391</v>
      </c>
      <c r="BV218" t="s" s="0">
        <v>83</v>
      </c>
      <c r="BW218" t="s" s="0">
        <v>83</v>
      </c>
      <c r="BX218" t="s" s="0">
        <v>130</v>
      </c>
    </row>
    <row r="219">
      <c r="A219" t="s" s="0">
        <v>115</v>
      </c>
      <c r="B219" t="s" s="0">
        <v>78</v>
      </c>
      <c r="C219" t="s" s="0">
        <v>545</v>
      </c>
      <c r="D219" t="s" s="0">
        <v>78</v>
      </c>
      <c r="E219" t="s" s="0">
        <v>5738</v>
      </c>
      <c r="F219" t="s" s="0">
        <v>5739</v>
      </c>
      <c r="G219" t="s" s="0">
        <v>5740</v>
      </c>
      <c r="H219" t="s" s="0">
        <v>83</v>
      </c>
      <c r="I219" t="s" s="0">
        <v>84</v>
      </c>
      <c r="J219" t="s" s="0">
        <v>5741</v>
      </c>
      <c r="K219" t="s" s="0">
        <v>5721</v>
      </c>
      <c r="L219" t="s" s="0">
        <v>5742</v>
      </c>
      <c r="M219" t="s" s="0">
        <v>5743</v>
      </c>
      <c r="N219" t="s" s="0">
        <v>5744</v>
      </c>
      <c r="O219" t="s" s="0">
        <v>5745</v>
      </c>
      <c r="P219" t="s" s="0">
        <v>5746</v>
      </c>
      <c r="Q219" t="s" s="0">
        <v>92</v>
      </c>
      <c r="R219" t="s" s="0">
        <v>83</v>
      </c>
      <c r="S219" t="s" s="0">
        <v>83</v>
      </c>
      <c r="T219" t="s" s="0">
        <v>83</v>
      </c>
      <c r="U219" t="s" s="0">
        <v>83</v>
      </c>
      <c r="V219" t="s" s="0">
        <v>5747</v>
      </c>
      <c r="W219" t="s" s="0">
        <v>5748</v>
      </c>
      <c r="X219" t="s" s="0">
        <v>83</v>
      </c>
      <c r="Y219" t="s" s="0">
        <v>83</v>
      </c>
      <c r="Z219" t="s" s="0">
        <v>95</v>
      </c>
      <c r="AA219" t="s" s="0">
        <v>96</v>
      </c>
      <c r="AB219" t="s" s="0">
        <v>83</v>
      </c>
      <c r="AC219" t="s" s="0">
        <v>83</v>
      </c>
      <c r="AD219" t="s" s="0">
        <v>83</v>
      </c>
      <c r="AE219" t="s" s="0">
        <v>83</v>
      </c>
      <c r="AF219" t="s" s="0">
        <v>83</v>
      </c>
      <c r="AG219" t="s" s="0">
        <v>5749</v>
      </c>
      <c r="AH219" t="s" s="0">
        <v>5750</v>
      </c>
      <c r="AI219" t="s" s="0">
        <v>5751</v>
      </c>
      <c r="AJ219" t="s" s="0">
        <v>5752</v>
      </c>
      <c r="AK219" t="s" s="0">
        <v>83</v>
      </c>
      <c r="AL219" t="s" s="0">
        <v>3124</v>
      </c>
      <c r="AM219" t="s" s="0">
        <v>114</v>
      </c>
      <c r="AN219" t="s" s="0">
        <v>1404</v>
      </c>
      <c r="AO219" t="s" s="0">
        <v>115</v>
      </c>
      <c r="AP219" t="s" s="0">
        <v>883</v>
      </c>
      <c r="AQ219" t="s" s="0">
        <v>1184</v>
      </c>
      <c r="AR219" t="s" s="0">
        <v>806</v>
      </c>
      <c r="AS219" t="s" s="0">
        <v>1185</v>
      </c>
      <c r="AT219" t="s" s="0">
        <v>5753</v>
      </c>
      <c r="AU219" t="s" s="0">
        <v>5754</v>
      </c>
      <c r="AV219" t="s" s="0">
        <v>83</v>
      </c>
      <c r="AW219" t="s" s="0">
        <v>5748</v>
      </c>
      <c r="AX219" t="s" s="0">
        <v>5755</v>
      </c>
      <c r="AY219" t="s" s="0">
        <v>977</v>
      </c>
      <c r="AZ219" t="s" s="0">
        <v>241</v>
      </c>
      <c r="BA219" t="s" s="0">
        <v>228</v>
      </c>
      <c r="BB219" t="s" s="0">
        <v>115</v>
      </c>
      <c r="BC219" t="s" s="0">
        <v>83</v>
      </c>
      <c r="BD219" t="s" s="0">
        <v>83</v>
      </c>
      <c r="BE219" t="s" s="0">
        <v>83</v>
      </c>
      <c r="BF219" t="s" s="0">
        <v>83</v>
      </c>
      <c r="BG219" t="s" s="0">
        <v>417</v>
      </c>
      <c r="BH219" t="s" s="0">
        <v>280</v>
      </c>
      <c r="BI219" t="s" s="0">
        <v>83</v>
      </c>
      <c r="BJ219" t="s" s="0">
        <v>5756</v>
      </c>
      <c r="BK219" t="s" s="434">
        <f>HYPERLINK("http://dx.doi.org/10.1159/000525727","http://dx.doi.org/10.1159/000525727")</f>
        <v>5757</v>
      </c>
      <c r="BL219" t="s" s="0">
        <v>83</v>
      </c>
      <c r="BM219" t="s" s="0">
        <v>3132</v>
      </c>
      <c r="BN219" t="s" s="0">
        <v>310</v>
      </c>
      <c r="BO219" t="s" s="0">
        <v>353</v>
      </c>
      <c r="BP219" t="s" s="0">
        <v>353</v>
      </c>
      <c r="BQ219" t="s" s="0">
        <v>5758</v>
      </c>
      <c r="BR219" t="s" s="0">
        <v>5759</v>
      </c>
      <c r="BS219" t="s" s="0">
        <v>5760</v>
      </c>
      <c r="BT219" t="s" s="435">
        <f>HYPERLINK("https://www.webofscience.com/wos/woscc/full-record/WOS:000843061400001","View Record in Web of Science")</f>
        <v>126</v>
      </c>
      <c r="BU219" t="s" s="0">
        <v>357</v>
      </c>
      <c r="BV219" t="s" s="0">
        <v>83</v>
      </c>
      <c r="BW219" t="s" s="0">
        <v>83</v>
      </c>
      <c r="BX219" t="s" s="0">
        <v>130</v>
      </c>
    </row>
    <row r="220">
      <c r="A220" t="s" s="0">
        <v>78</v>
      </c>
      <c r="B220" t="s" s="0">
        <v>78</v>
      </c>
      <c r="C220" t="s" s="0">
        <v>150</v>
      </c>
      <c r="D220" t="s" s="0">
        <v>115</v>
      </c>
      <c r="E220" t="s" s="0">
        <v>5761</v>
      </c>
      <c r="F220" t="s" s="0">
        <v>5762</v>
      </c>
      <c r="G220" t="s" s="0">
        <v>5763</v>
      </c>
      <c r="H220" t="s" s="0">
        <v>83</v>
      </c>
      <c r="I220" t="s" s="0">
        <v>84</v>
      </c>
      <c r="J220" t="s" s="0">
        <v>5764</v>
      </c>
      <c r="K220" t="s" s="0">
        <v>5765</v>
      </c>
      <c r="L220" t="s" s="0">
        <v>83</v>
      </c>
      <c r="M220" t="s" s="0">
        <v>83</v>
      </c>
      <c r="N220" t="s" s="0">
        <v>83</v>
      </c>
      <c r="O220" t="s" s="0">
        <v>5766</v>
      </c>
      <c r="P220" t="s" s="0">
        <v>5767</v>
      </c>
      <c r="Q220" t="s" s="0">
        <v>92</v>
      </c>
      <c r="R220" t="s" s="0">
        <v>83</v>
      </c>
      <c r="S220" t="s" s="0">
        <v>83</v>
      </c>
      <c r="T220" t="s" s="0">
        <v>83</v>
      </c>
      <c r="U220" t="s" s="0">
        <v>83</v>
      </c>
      <c r="V220" t="s" s="0">
        <v>5768</v>
      </c>
      <c r="W220" t="s" s="0">
        <v>5769</v>
      </c>
      <c r="X220" t="s" s="0">
        <v>83</v>
      </c>
      <c r="Y220" t="s" s="0">
        <v>83</v>
      </c>
      <c r="Z220" t="s" s="0">
        <v>95</v>
      </c>
      <c r="AA220" t="s" s="0">
        <v>96</v>
      </c>
      <c r="AB220" t="s" s="0">
        <v>83</v>
      </c>
      <c r="AC220" t="s" s="0">
        <v>83</v>
      </c>
      <c r="AD220" t="s" s="0">
        <v>83</v>
      </c>
      <c r="AE220" t="s" s="0">
        <v>83</v>
      </c>
      <c r="AF220" t="s" s="0">
        <v>83</v>
      </c>
      <c r="AG220" t="s" s="0">
        <v>5770</v>
      </c>
      <c r="AH220" t="s" s="0">
        <v>5771</v>
      </c>
      <c r="AI220" t="s" s="0">
        <v>83</v>
      </c>
      <c r="AJ220" t="s" s="0">
        <v>83</v>
      </c>
      <c r="AK220" t="s" s="0">
        <v>83</v>
      </c>
      <c r="AL220" t="s" s="0">
        <v>1622</v>
      </c>
      <c r="AM220" t="s" s="0">
        <v>248</v>
      </c>
      <c r="AN220" t="s" s="0">
        <v>309</v>
      </c>
      <c r="AO220" t="s" s="0">
        <v>78</v>
      </c>
      <c r="AP220" t="s" s="0">
        <v>269</v>
      </c>
      <c r="AQ220" t="s" s="0">
        <v>2103</v>
      </c>
      <c r="AR220" t="s" s="0">
        <v>2104</v>
      </c>
      <c r="AS220" t="s" s="0">
        <v>2105</v>
      </c>
      <c r="AT220" t="s" s="0">
        <v>5772</v>
      </c>
      <c r="AU220" t="s" s="0">
        <v>5773</v>
      </c>
      <c r="AV220" t="s" s="0">
        <v>83</v>
      </c>
      <c r="AW220" t="s" s="0">
        <v>5774</v>
      </c>
      <c r="AX220" t="s" s="0">
        <v>5775</v>
      </c>
      <c r="AY220" t="s" s="0">
        <v>5776</v>
      </c>
      <c r="AZ220" t="s" s="0">
        <v>113</v>
      </c>
      <c r="BA220" t="s" s="0">
        <v>148</v>
      </c>
      <c r="BB220" t="s" s="0">
        <v>77</v>
      </c>
      <c r="BC220" t="s" s="0">
        <v>2243</v>
      </c>
      <c r="BD220" t="s" s="0">
        <v>83</v>
      </c>
      <c r="BE220" t="s" s="0">
        <v>83</v>
      </c>
      <c r="BF220" t="s" s="0">
        <v>83</v>
      </c>
      <c r="BG220" t="s" s="0">
        <v>547</v>
      </c>
      <c r="BH220" t="s" s="0">
        <v>5777</v>
      </c>
      <c r="BI220" t="s" s="0">
        <v>83</v>
      </c>
      <c r="BJ220" t="s" s="0">
        <v>5778</v>
      </c>
      <c r="BK220" t="s" s="436">
        <f>HYPERLINK("http://dx.doi.org/10.21037/gs.2017.11.09","http://dx.doi.org/10.21037/gs.2017.11.09")</f>
        <v>5779</v>
      </c>
      <c r="BL220" t="s" s="0">
        <v>83</v>
      </c>
      <c r="BM220" t="s" s="0">
        <v>83</v>
      </c>
      <c r="BN220" t="s" s="0">
        <v>310</v>
      </c>
      <c r="BO220" t="s" s="0">
        <v>2111</v>
      </c>
      <c r="BP220" t="s" s="0">
        <v>2111</v>
      </c>
      <c r="BQ220" t="s" s="0">
        <v>5780</v>
      </c>
      <c r="BR220" t="s" s="0">
        <v>5781</v>
      </c>
      <c r="BS220" t="s" s="0">
        <v>5782</v>
      </c>
      <c r="BT220" t="s" s="437">
        <f>HYPERLINK("https://www.webofscience.com/wos/woscc/full-record/WOS:000441342900002","View Record in Web of Science")</f>
        <v>126</v>
      </c>
      <c r="BU220" t="s" s="0">
        <v>210</v>
      </c>
      <c r="BV220" t="s" s="0">
        <v>83</v>
      </c>
      <c r="BW220" t="s" s="0">
        <v>83</v>
      </c>
      <c r="BX220" t="s" s="0">
        <v>130</v>
      </c>
    </row>
    <row r="221">
      <c r="A221" t="s" s="0">
        <v>78</v>
      </c>
      <c r="B221" t="s" s="0">
        <v>78</v>
      </c>
      <c r="C221" t="s" s="0">
        <v>78</v>
      </c>
      <c r="D221" t="s" s="0">
        <v>78</v>
      </c>
      <c r="E221" t="s" s="0">
        <v>5783</v>
      </c>
      <c r="F221" t="s" s="0">
        <v>5784</v>
      </c>
      <c r="G221" t="s" s="0">
        <v>5785</v>
      </c>
      <c r="H221" t="s" s="0">
        <v>83</v>
      </c>
      <c r="I221" t="s" s="0">
        <v>84</v>
      </c>
      <c r="J221" t="s" s="0">
        <v>5786</v>
      </c>
      <c r="K221" t="s" s="0">
        <v>5787</v>
      </c>
      <c r="L221" t="s" s="0">
        <v>83</v>
      </c>
      <c r="M221" t="s" s="0">
        <v>83</v>
      </c>
      <c r="N221" t="s" s="0">
        <v>83</v>
      </c>
      <c r="O221" t="s" s="0">
        <v>5788</v>
      </c>
      <c r="P221" t="s" s="0">
        <v>83</v>
      </c>
      <c r="Q221" t="s" s="0">
        <v>92</v>
      </c>
      <c r="R221" t="s" s="0">
        <v>83</v>
      </c>
      <c r="S221" t="s" s="0">
        <v>83</v>
      </c>
      <c r="T221" t="s" s="0">
        <v>83</v>
      </c>
      <c r="U221" t="s" s="0">
        <v>83</v>
      </c>
      <c r="V221" t="s" s="0">
        <v>5789</v>
      </c>
      <c r="W221" t="s" s="0">
        <v>5790</v>
      </c>
      <c r="X221" t="s" s="0">
        <v>83</v>
      </c>
      <c r="Y221" t="s" s="0">
        <v>83</v>
      </c>
      <c r="Z221" t="s" s="0">
        <v>95</v>
      </c>
      <c r="AA221" t="s" s="0">
        <v>96</v>
      </c>
      <c r="AB221" t="s" s="0">
        <v>83</v>
      </c>
      <c r="AC221" t="s" s="0">
        <v>83</v>
      </c>
      <c r="AD221" t="s" s="0">
        <v>83</v>
      </c>
      <c r="AE221" t="s" s="0">
        <v>83</v>
      </c>
      <c r="AF221" t="s" s="0">
        <v>83</v>
      </c>
      <c r="AG221" t="s" s="0">
        <v>5791</v>
      </c>
      <c r="AH221" t="s" s="0">
        <v>5792</v>
      </c>
      <c r="AI221" t="s" s="0">
        <v>83</v>
      </c>
      <c r="AJ221" t="s" s="0">
        <v>83</v>
      </c>
      <c r="AK221" t="s" s="0">
        <v>83</v>
      </c>
      <c r="AL221" t="s" s="0">
        <v>147</v>
      </c>
      <c r="AM221" t="s" s="0">
        <v>115</v>
      </c>
      <c r="AN221" t="s" s="0">
        <v>150</v>
      </c>
      <c r="AO221" t="s" s="0">
        <v>545</v>
      </c>
      <c r="AP221" t="s" s="0">
        <v>165</v>
      </c>
      <c r="AQ221" t="s" s="0">
        <v>830</v>
      </c>
      <c r="AR221" t="s" s="0">
        <v>831</v>
      </c>
      <c r="AS221" t="s" s="0">
        <v>832</v>
      </c>
      <c r="AT221" t="s" s="0">
        <v>5793</v>
      </c>
      <c r="AU221" t="s" s="0">
        <v>83</v>
      </c>
      <c r="AV221" t="s" s="0">
        <v>83</v>
      </c>
      <c r="AW221" t="s" s="0">
        <v>5794</v>
      </c>
      <c r="AX221" t="s" s="0">
        <v>5795</v>
      </c>
      <c r="AY221" t="s" s="0">
        <v>5796</v>
      </c>
      <c r="AZ221" t="s" s="0">
        <v>159</v>
      </c>
      <c r="BA221" t="s" s="0">
        <v>310</v>
      </c>
      <c r="BB221" t="s" s="0">
        <v>83</v>
      </c>
      <c r="BC221" t="s" s="0">
        <v>83</v>
      </c>
      <c r="BD221" t="s" s="0">
        <v>83</v>
      </c>
      <c r="BE221" t="s" s="0">
        <v>83</v>
      </c>
      <c r="BF221" t="s" s="0">
        <v>83</v>
      </c>
      <c r="BG221" t="s" s="0">
        <v>83</v>
      </c>
      <c r="BH221" t="s" s="0">
        <v>83</v>
      </c>
      <c r="BI221" t="s" s="0">
        <v>5797</v>
      </c>
      <c r="BJ221" t="s" s="0">
        <v>5798</v>
      </c>
      <c r="BK221" t="s" s="438">
        <f>HYPERLINK("http://dx.doi.org/10.3389/fendo.2025.1582156","http://dx.doi.org/10.3389/fendo.2025.1582156")</f>
        <v>5799</v>
      </c>
      <c r="BL221" t="s" s="0">
        <v>83</v>
      </c>
      <c r="BM221" t="s" s="0">
        <v>83</v>
      </c>
      <c r="BN221" t="s" s="0">
        <v>248</v>
      </c>
      <c r="BO221" t="s" s="0">
        <v>206</v>
      </c>
      <c r="BP221" t="s" s="0">
        <v>206</v>
      </c>
      <c r="BQ221" t="s" s="0">
        <v>5800</v>
      </c>
      <c r="BR221" t="s" s="0">
        <v>5801</v>
      </c>
      <c r="BS221" t="s" s="0">
        <v>5802</v>
      </c>
      <c r="BT221" t="s" s="439">
        <f>HYPERLINK("https://www.webofscience.com/wos/woscc/full-record/WOS:001506800900001","View Record in Web of Science")</f>
        <v>126</v>
      </c>
      <c r="BU221" t="s" s="0">
        <v>210</v>
      </c>
      <c r="BV221" t="s" s="0">
        <v>83</v>
      </c>
      <c r="BW221" t="s" s="0">
        <v>83</v>
      </c>
      <c r="BX221" t="s" s="0">
        <v>130</v>
      </c>
    </row>
    <row r="222">
      <c r="A222" t="s" s="0">
        <v>115</v>
      </c>
      <c r="B222" t="s" s="0">
        <v>78</v>
      </c>
      <c r="C222" t="s" s="0">
        <v>545</v>
      </c>
      <c r="D222" t="s" s="0">
        <v>78</v>
      </c>
      <c r="E222" t="s" s="0">
        <v>5803</v>
      </c>
      <c r="F222" t="s" s="0">
        <v>5804</v>
      </c>
      <c r="G222" t="s" s="0">
        <v>5805</v>
      </c>
      <c r="H222" t="s" s="0">
        <v>83</v>
      </c>
      <c r="I222" t="s" s="0">
        <v>84</v>
      </c>
      <c r="J222" t="s" s="0">
        <v>5806</v>
      </c>
      <c r="K222" t="s" s="0">
        <v>5807</v>
      </c>
      <c r="L222" t="s" s="0">
        <v>83</v>
      </c>
      <c r="M222" t="s" s="0">
        <v>83</v>
      </c>
      <c r="N222" t="s" s="0">
        <v>83</v>
      </c>
      <c r="O222" t="s" s="0">
        <v>5808</v>
      </c>
      <c r="P222" t="s" s="0">
        <v>5809</v>
      </c>
      <c r="Q222" t="s" s="0">
        <v>92</v>
      </c>
      <c r="R222" t="s" s="0">
        <v>83</v>
      </c>
      <c r="S222" t="s" s="0">
        <v>83</v>
      </c>
      <c r="T222" t="s" s="0">
        <v>83</v>
      </c>
      <c r="U222" t="s" s="0">
        <v>83</v>
      </c>
      <c r="V222" t="s" s="0">
        <v>5810</v>
      </c>
      <c r="W222" t="s" s="0">
        <v>5811</v>
      </c>
      <c r="X222" t="s" s="0">
        <v>83</v>
      </c>
      <c r="Y222" t="s" s="0">
        <v>83</v>
      </c>
      <c r="Z222" t="s" s="0">
        <v>95</v>
      </c>
      <c r="AA222" t="s" s="0">
        <v>96</v>
      </c>
      <c r="AB222" t="s" s="0">
        <v>83</v>
      </c>
      <c r="AC222" t="s" s="0">
        <v>83</v>
      </c>
      <c r="AD222" t="s" s="0">
        <v>83</v>
      </c>
      <c r="AE222" t="s" s="0">
        <v>83</v>
      </c>
      <c r="AF222" t="s" s="0">
        <v>83</v>
      </c>
      <c r="AG222" t="s" s="0">
        <v>5812</v>
      </c>
      <c r="AH222" t="s" s="0">
        <v>5813</v>
      </c>
      <c r="AI222" t="s" s="0">
        <v>5814</v>
      </c>
      <c r="AJ222" t="s" s="0">
        <v>5815</v>
      </c>
      <c r="AK222" t="s" s="0">
        <v>83</v>
      </c>
      <c r="AL222" t="s" s="0">
        <v>1901</v>
      </c>
      <c r="AM222" t="s" s="0">
        <v>309</v>
      </c>
      <c r="AN222" t="s" s="0">
        <v>269</v>
      </c>
      <c r="AO222" t="s" s="0">
        <v>78</v>
      </c>
      <c r="AP222" t="s" s="0">
        <v>148</v>
      </c>
      <c r="AQ222" t="s" s="0">
        <v>5816</v>
      </c>
      <c r="AR222" t="s" s="0">
        <v>106</v>
      </c>
      <c r="AS222" t="s" s="0">
        <v>5817</v>
      </c>
      <c r="AT222" t="s" s="0">
        <v>5818</v>
      </c>
      <c r="AU222" t="s" s="0">
        <v>5819</v>
      </c>
      <c r="AV222" t="s" s="0">
        <v>83</v>
      </c>
      <c r="AW222" t="s" s="0">
        <v>5820</v>
      </c>
      <c r="AX222" t="s" s="0">
        <v>5821</v>
      </c>
      <c r="AY222" t="s" s="0">
        <v>247</v>
      </c>
      <c r="AZ222" t="s" s="0">
        <v>241</v>
      </c>
      <c r="BA222" t="s" s="0">
        <v>1873</v>
      </c>
      <c r="BB222" t="s" s="0">
        <v>83</v>
      </c>
      <c r="BC222" t="s" s="0">
        <v>83</v>
      </c>
      <c r="BD222" t="s" s="0">
        <v>83</v>
      </c>
      <c r="BE222" t="s" s="0">
        <v>5822</v>
      </c>
      <c r="BF222" t="s" s="0">
        <v>83</v>
      </c>
      <c r="BG222" t="s" s="0">
        <v>5823</v>
      </c>
      <c r="BH222" t="s" s="0">
        <v>5824</v>
      </c>
      <c r="BI222" t="s" s="0">
        <v>83</v>
      </c>
      <c r="BJ222" t="s" s="0">
        <v>5825</v>
      </c>
      <c r="BK222" t="s" s="440">
        <f>HYPERLINK("http://dx.doi.org/10.12968/jowc.2023.32.Sup8a.S4","http://dx.doi.org/10.12968/jowc.2023.32.Sup8a.S4")</f>
        <v>5826</v>
      </c>
      <c r="BL222" t="s" s="0">
        <v>83</v>
      </c>
      <c r="BM222" t="s" s="0">
        <v>83</v>
      </c>
      <c r="BN222" t="s" s="0">
        <v>149</v>
      </c>
      <c r="BO222" t="s" s="0">
        <v>5827</v>
      </c>
      <c r="BP222" t="s" s="0">
        <v>5827</v>
      </c>
      <c r="BQ222" t="s" s="0">
        <v>5828</v>
      </c>
      <c r="BR222" t="s" s="0">
        <v>5829</v>
      </c>
      <c r="BS222" t="s" s="0">
        <v>5830</v>
      </c>
      <c r="BT222" t="s" s="441">
        <f>HYPERLINK("https://www.webofscience.com/wos/woscc/full-record/WOS:001056434800002","View Record in Web of Science")</f>
        <v>126</v>
      </c>
      <c r="BU222" t="s" s="0">
        <v>83</v>
      </c>
      <c r="BV222" t="s" s="0">
        <v>83</v>
      </c>
      <c r="BW222" t="s" s="0">
        <v>83</v>
      </c>
      <c r="BX222" t="s" s="0">
        <v>130</v>
      </c>
    </row>
    <row r="223">
      <c r="A223" t="s" s="0">
        <v>78</v>
      </c>
      <c r="B223" t="s" s="0">
        <v>78</v>
      </c>
      <c r="C223" t="s" s="0">
        <v>231</v>
      </c>
      <c r="D223" t="s" s="0">
        <v>78</v>
      </c>
      <c r="E223" t="s" s="0">
        <v>5831</v>
      </c>
      <c r="F223" t="s" s="0">
        <v>5832</v>
      </c>
      <c r="G223" t="s" s="0">
        <v>5833</v>
      </c>
      <c r="H223" t="s" s="0">
        <v>83</v>
      </c>
      <c r="I223" t="s" s="0">
        <v>84</v>
      </c>
      <c r="J223" t="s" s="0">
        <v>5834</v>
      </c>
      <c r="K223" t="s" s="0">
        <v>5835</v>
      </c>
      <c r="L223" t="s" s="0">
        <v>5836</v>
      </c>
      <c r="M223" t="s" s="0">
        <v>5836</v>
      </c>
      <c r="N223" t="s" s="0">
        <v>5837</v>
      </c>
      <c r="O223" t="s" s="0">
        <v>5838</v>
      </c>
      <c r="P223" t="s" s="0">
        <v>5839</v>
      </c>
      <c r="Q223" t="s" s="0">
        <v>92</v>
      </c>
      <c r="R223" t="s" s="0">
        <v>83</v>
      </c>
      <c r="S223" t="s" s="0">
        <v>83</v>
      </c>
      <c r="T223" t="s" s="0">
        <v>83</v>
      </c>
      <c r="U223" t="s" s="0">
        <v>83</v>
      </c>
      <c r="V223" t="s" s="0">
        <v>5840</v>
      </c>
      <c r="W223" t="s" s="0">
        <v>3172</v>
      </c>
      <c r="X223" t="s" s="0">
        <v>83</v>
      </c>
      <c r="Y223" t="s" s="0">
        <v>83</v>
      </c>
      <c r="Z223" t="s" s="0">
        <v>95</v>
      </c>
      <c r="AA223" t="s" s="0">
        <v>96</v>
      </c>
      <c r="AB223" t="s" s="0">
        <v>83</v>
      </c>
      <c r="AC223" t="s" s="0">
        <v>83</v>
      </c>
      <c r="AD223" t="s" s="0">
        <v>83</v>
      </c>
      <c r="AE223" t="s" s="0">
        <v>83</v>
      </c>
      <c r="AF223" t="s" s="0">
        <v>83</v>
      </c>
      <c r="AG223" t="s" s="0">
        <v>5841</v>
      </c>
      <c r="AH223" t="s" s="0">
        <v>5842</v>
      </c>
      <c r="AI223" t="s" s="0">
        <v>5843</v>
      </c>
      <c r="AJ223" t="s" s="0">
        <v>5844</v>
      </c>
      <c r="AK223" t="s" s="0">
        <v>83</v>
      </c>
      <c r="AL223" t="s" s="0">
        <v>3129</v>
      </c>
      <c r="AM223" t="s" s="0">
        <v>1873</v>
      </c>
      <c r="AN223" t="s" s="0">
        <v>1404</v>
      </c>
      <c r="AO223" t="s" s="0">
        <v>115</v>
      </c>
      <c r="AP223" t="s" s="0">
        <v>232</v>
      </c>
      <c r="AQ223" t="s" s="0">
        <v>1001</v>
      </c>
      <c r="AR223" t="s" s="0">
        <v>1002</v>
      </c>
      <c r="AS223" t="s" s="0">
        <v>1003</v>
      </c>
      <c r="AT223" t="s" s="0">
        <v>83</v>
      </c>
      <c r="AU223" t="s" s="0">
        <v>3177</v>
      </c>
      <c r="AV223" t="s" s="0">
        <v>83</v>
      </c>
      <c r="AW223" t="s" s="0">
        <v>3178</v>
      </c>
      <c r="AX223" t="s" s="0">
        <v>3179</v>
      </c>
      <c r="AY223" t="s" s="0">
        <v>1007</v>
      </c>
      <c r="AZ223" t="s" s="0">
        <v>279</v>
      </c>
      <c r="BA223" t="s" s="0">
        <v>211</v>
      </c>
      <c r="BB223" t="s" s="0">
        <v>545</v>
      </c>
      <c r="BC223" t="s" s="0">
        <v>83</v>
      </c>
      <c r="BD223" t="s" s="0">
        <v>83</v>
      </c>
      <c r="BE223" t="s" s="0">
        <v>83</v>
      </c>
      <c r="BF223" t="s" s="0">
        <v>83</v>
      </c>
      <c r="BG223" t="s" s="0">
        <v>83</v>
      </c>
      <c r="BH223" t="s" s="0">
        <v>83</v>
      </c>
      <c r="BI223" t="s" s="0">
        <v>5845</v>
      </c>
      <c r="BJ223" t="s" s="0">
        <v>5846</v>
      </c>
      <c r="BK223" t="s" s="442">
        <f>HYPERLINK("http://dx.doi.org/10.2196/33182","http://dx.doi.org/10.2196/33182")</f>
        <v>5847</v>
      </c>
      <c r="BL223" t="s" s="0">
        <v>83</v>
      </c>
      <c r="BM223" t="s" s="0">
        <v>83</v>
      </c>
      <c r="BN223" t="s" s="0">
        <v>269</v>
      </c>
      <c r="BO223" t="s" s="0">
        <v>3183</v>
      </c>
      <c r="BP223" t="s" s="0">
        <v>3183</v>
      </c>
      <c r="BQ223" t="s" s="0">
        <v>5848</v>
      </c>
      <c r="BR223" t="s" s="0">
        <v>5849</v>
      </c>
      <c r="BS223" t="s" s="0">
        <v>5850</v>
      </c>
      <c r="BT223" t="s" s="443">
        <f>HYPERLINK("https://www.webofscience.com/wos/woscc/full-record/WOS:000781027400001","View Record in Web of Science")</f>
        <v>126</v>
      </c>
      <c r="BU223" t="s" s="0">
        <v>210</v>
      </c>
      <c r="BV223" t="s" s="0">
        <v>83</v>
      </c>
      <c r="BW223" t="s" s="0">
        <v>83</v>
      </c>
      <c r="BX223" t="s" s="0">
        <v>130</v>
      </c>
    </row>
    <row r="224">
      <c r="A224" t="s" s="0">
        <v>115</v>
      </c>
      <c r="B224" t="s" s="0">
        <v>78</v>
      </c>
      <c r="C224" t="s" s="0">
        <v>77</v>
      </c>
      <c r="D224" t="s" s="0">
        <v>78</v>
      </c>
      <c r="E224" t="s" s="0">
        <v>5851</v>
      </c>
      <c r="F224" t="s" s="0">
        <v>5852</v>
      </c>
      <c r="G224" t="s" s="0">
        <v>5853</v>
      </c>
      <c r="H224" t="s" s="0">
        <v>83</v>
      </c>
      <c r="I224" t="s" s="0">
        <v>174</v>
      </c>
      <c r="J224" t="s" s="0">
        <v>5854</v>
      </c>
      <c r="K224" t="s" s="0">
        <v>5855</v>
      </c>
      <c r="L224" t="s" s="0">
        <v>83</v>
      </c>
      <c r="M224" t="s" s="0">
        <v>83</v>
      </c>
      <c r="N224" t="s" s="0">
        <v>83</v>
      </c>
      <c r="O224" t="s" s="0">
        <v>5856</v>
      </c>
      <c r="P224" t="s" s="0">
        <v>5857</v>
      </c>
      <c r="Q224" t="s" s="0">
        <v>92</v>
      </c>
      <c r="R224" t="s" s="0">
        <v>83</v>
      </c>
      <c r="S224" t="s" s="0">
        <v>83</v>
      </c>
      <c r="T224" t="s" s="0">
        <v>83</v>
      </c>
      <c r="U224" t="s" s="0">
        <v>83</v>
      </c>
      <c r="V224" t="s" s="0">
        <v>5858</v>
      </c>
      <c r="W224" t="s" s="0">
        <v>5859</v>
      </c>
      <c r="X224" t="s" s="0">
        <v>83</v>
      </c>
      <c r="Y224" t="s" s="0">
        <v>83</v>
      </c>
      <c r="Z224" t="s" s="0">
        <v>95</v>
      </c>
      <c r="AA224" t="s" s="0">
        <v>96</v>
      </c>
      <c r="AB224" t="s" s="0">
        <v>83</v>
      </c>
      <c r="AC224" t="s" s="0">
        <v>83</v>
      </c>
      <c r="AD224" t="s" s="0">
        <v>83</v>
      </c>
      <c r="AE224" t="s" s="0">
        <v>83</v>
      </c>
      <c r="AF224" t="s" s="0">
        <v>83</v>
      </c>
      <c r="AG224" t="s" s="0">
        <v>5860</v>
      </c>
      <c r="AH224" t="s" s="0">
        <v>5861</v>
      </c>
      <c r="AI224" t="s" s="0">
        <v>83</v>
      </c>
      <c r="AJ224" t="s" s="0">
        <v>5862</v>
      </c>
      <c r="AK224" t="s" s="0">
        <v>83</v>
      </c>
      <c r="AL224" t="s" s="0">
        <v>191</v>
      </c>
      <c r="AM224" t="s" s="0">
        <v>281</v>
      </c>
      <c r="AN224" t="s" s="0">
        <v>231</v>
      </c>
      <c r="AO224" t="s" s="0">
        <v>78</v>
      </c>
      <c r="AP224" t="s" s="0">
        <v>115</v>
      </c>
      <c r="AQ224" t="s" s="0">
        <v>1151</v>
      </c>
      <c r="AR224" t="s" s="0">
        <v>1152</v>
      </c>
      <c r="AS224" t="s" s="0">
        <v>1153</v>
      </c>
      <c r="AT224" t="s" s="0">
        <v>83</v>
      </c>
      <c r="AU224" t="s" s="0">
        <v>5863</v>
      </c>
      <c r="AV224" t="s" s="0">
        <v>83</v>
      </c>
      <c r="AW224" t="s" s="0">
        <v>5864</v>
      </c>
      <c r="AX224" t="s" s="0">
        <v>5865</v>
      </c>
      <c r="AY224" t="s" s="0">
        <v>4243</v>
      </c>
      <c r="AZ224" t="s" s="0">
        <v>279</v>
      </c>
      <c r="BA224" t="s" s="0">
        <v>545</v>
      </c>
      <c r="BB224" t="s" s="0">
        <v>150</v>
      </c>
      <c r="BC224" t="s" s="0">
        <v>83</v>
      </c>
      <c r="BD224" t="s" s="0">
        <v>83</v>
      </c>
      <c r="BE224" t="s" s="0">
        <v>83</v>
      </c>
      <c r="BF224" t="s" s="0">
        <v>83</v>
      </c>
      <c r="BG224" t="s" s="0">
        <v>5866</v>
      </c>
      <c r="BH224" t="s" s="0">
        <v>3123</v>
      </c>
      <c r="BI224" t="s" s="0">
        <v>83</v>
      </c>
      <c r="BJ224" t="s" s="0">
        <v>5867</v>
      </c>
      <c r="BK224" t="s" s="444">
        <f>HYPERLINK("http://dx.doi.org/10.1016/j.xfnr.2022.02.002","http://dx.doi.org/10.1016/j.xfnr.2022.02.002")</f>
        <v>5868</v>
      </c>
      <c r="BL224" t="s" s="0">
        <v>83</v>
      </c>
      <c r="BM224" t="s" s="0">
        <v>83</v>
      </c>
      <c r="BN224" t="s" s="0">
        <v>211</v>
      </c>
      <c r="BO224" t="s" s="0">
        <v>1164</v>
      </c>
      <c r="BP224" t="s" s="0">
        <v>1164</v>
      </c>
      <c r="BQ224" t="s" s="0">
        <v>5869</v>
      </c>
      <c r="BR224" t="s" s="0">
        <v>83</v>
      </c>
      <c r="BS224" t="s" s="0">
        <v>5870</v>
      </c>
      <c r="BT224" t="s" s="445">
        <f>HYPERLINK("https://www.webofscience.com/wos/woscc/full-record/WOS:001208942400004","View Record in Web of Science")</f>
        <v>126</v>
      </c>
      <c r="BU224" t="s" s="0">
        <v>292</v>
      </c>
      <c r="BV224" t="s" s="0">
        <v>83</v>
      </c>
      <c r="BW224" t="s" s="0">
        <v>83</v>
      </c>
      <c r="BX224" t="s" s="0">
        <v>130</v>
      </c>
    </row>
    <row r="225">
      <c r="A225" t="s" s="0">
        <v>78</v>
      </c>
      <c r="B225" t="s" s="0">
        <v>78</v>
      </c>
      <c r="C225" t="s" s="0">
        <v>148</v>
      </c>
      <c r="D225" t="s" s="0">
        <v>78</v>
      </c>
      <c r="E225" t="s" s="0">
        <v>5871</v>
      </c>
      <c r="F225" t="s" s="0">
        <v>5872</v>
      </c>
      <c r="G225" t="s" s="0">
        <v>5873</v>
      </c>
      <c r="H225" t="s" s="0">
        <v>83</v>
      </c>
      <c r="I225" t="s" s="0">
        <v>84</v>
      </c>
      <c r="J225" t="s" s="0">
        <v>5874</v>
      </c>
      <c r="K225" t="s" s="0">
        <v>1889</v>
      </c>
      <c r="L225" t="s" s="0">
        <v>5875</v>
      </c>
      <c r="M225" t="s" s="0">
        <v>5875</v>
      </c>
      <c r="N225" t="s" s="0">
        <v>5876</v>
      </c>
      <c r="O225" t="s" s="0">
        <v>5877</v>
      </c>
      <c r="P225" t="s" s="0">
        <v>5878</v>
      </c>
      <c r="Q225" t="s" s="0">
        <v>92</v>
      </c>
      <c r="R225" t="s" s="0">
        <v>83</v>
      </c>
      <c r="S225" t="s" s="0">
        <v>83</v>
      </c>
      <c r="T225" t="s" s="0">
        <v>83</v>
      </c>
      <c r="U225" t="s" s="0">
        <v>83</v>
      </c>
      <c r="V225" t="s" s="0">
        <v>5879</v>
      </c>
      <c r="W225" t="s" s="0">
        <v>5880</v>
      </c>
      <c r="X225" t="s" s="0">
        <v>83</v>
      </c>
      <c r="Y225" t="s" s="0">
        <v>83</v>
      </c>
      <c r="Z225" t="s" s="0">
        <v>95</v>
      </c>
      <c r="AA225" t="s" s="0">
        <v>96</v>
      </c>
      <c r="AB225" t="s" s="0">
        <v>83</v>
      </c>
      <c r="AC225" t="s" s="0">
        <v>83</v>
      </c>
      <c r="AD225" t="s" s="0">
        <v>83</v>
      </c>
      <c r="AE225" t="s" s="0">
        <v>83</v>
      </c>
      <c r="AF225" t="s" s="0">
        <v>83</v>
      </c>
      <c r="AG225" t="s" s="0">
        <v>5881</v>
      </c>
      <c r="AH225" t="s" s="0">
        <v>5882</v>
      </c>
      <c r="AI225" t="s" s="0">
        <v>1898</v>
      </c>
      <c r="AJ225" t="s" s="0">
        <v>5883</v>
      </c>
      <c r="AK225" t="s" s="0">
        <v>83</v>
      </c>
      <c r="AL225" t="s" s="0">
        <v>1979</v>
      </c>
      <c r="AM225" t="s" s="0">
        <v>161</v>
      </c>
      <c r="AN225" t="s" s="0">
        <v>384</v>
      </c>
      <c r="AO225" t="s" s="0">
        <v>115</v>
      </c>
      <c r="AP225" t="s" s="0">
        <v>417</v>
      </c>
      <c r="AQ225" t="s" s="0">
        <v>1123</v>
      </c>
      <c r="AR225" t="s" s="0">
        <v>1124</v>
      </c>
      <c r="AS225" t="s" s="0">
        <v>1125</v>
      </c>
      <c r="AT225" t="s" s="0">
        <v>5884</v>
      </c>
      <c r="AU225" t="s" s="0">
        <v>5885</v>
      </c>
      <c r="AV225" t="s" s="0">
        <v>83</v>
      </c>
      <c r="AW225" t="s" s="0">
        <v>5880</v>
      </c>
      <c r="AX225" t="s" s="0">
        <v>5886</v>
      </c>
      <c r="AY225" t="s" s="0">
        <v>3492</v>
      </c>
      <c r="AZ225" t="s" s="0">
        <v>412</v>
      </c>
      <c r="BA225" t="s" s="0">
        <v>2681</v>
      </c>
      <c r="BB225" t="s" s="0">
        <v>248</v>
      </c>
      <c r="BC225" t="s" s="0">
        <v>83</v>
      </c>
      <c r="BD225" t="s" s="0">
        <v>83</v>
      </c>
      <c r="BE225" t="s" s="0">
        <v>83</v>
      </c>
      <c r="BF225" t="s" s="0">
        <v>83</v>
      </c>
      <c r="BG225" t="s" s="0">
        <v>5887</v>
      </c>
      <c r="BH225" t="s" s="0">
        <v>2698</v>
      </c>
      <c r="BI225" t="s" s="0">
        <v>83</v>
      </c>
      <c r="BJ225" t="s" s="0">
        <v>5888</v>
      </c>
      <c r="BK225" t="s" s="446">
        <f>HYPERLINK("http://dx.doi.org/10.1111/anae.16429","http://dx.doi.org/10.1111/anae.16429")</f>
        <v>5889</v>
      </c>
      <c r="BL225" t="s" s="0">
        <v>83</v>
      </c>
      <c r="BM225" t="s" s="0">
        <v>448</v>
      </c>
      <c r="BN225" t="s" s="0">
        <v>120</v>
      </c>
      <c r="BO225" t="s" s="0">
        <v>3970</v>
      </c>
      <c r="BP225" t="s" s="0">
        <v>3970</v>
      </c>
      <c r="BQ225" t="s" s="0">
        <v>5890</v>
      </c>
      <c r="BR225" t="s" s="0">
        <v>5891</v>
      </c>
      <c r="BS225" t="s" s="0">
        <v>5892</v>
      </c>
      <c r="BT225" t="s" s="447">
        <f>HYPERLINK("https://www.webofscience.com/wos/woscc/full-record/WOS:001313814800001","View Record in Web of Science")</f>
        <v>126</v>
      </c>
      <c r="BU225" t="s" s="0">
        <v>584</v>
      </c>
      <c r="BV225" t="s" s="0">
        <v>83</v>
      </c>
      <c r="BW225" t="s" s="0">
        <v>83</v>
      </c>
      <c r="BX225" t="s" s="0">
        <v>130</v>
      </c>
    </row>
    <row r="226">
      <c r="A226" t="s" s="0">
        <v>78</v>
      </c>
      <c r="B226" t="s" s="0">
        <v>78</v>
      </c>
      <c r="C226" t="s" s="0">
        <v>309</v>
      </c>
      <c r="D226" t="s" s="0">
        <v>78</v>
      </c>
      <c r="E226" t="s" s="0">
        <v>5893</v>
      </c>
      <c r="F226" t="s" s="0">
        <v>5894</v>
      </c>
      <c r="G226" t="s" s="0">
        <v>5895</v>
      </c>
      <c r="H226" t="s" s="0">
        <v>83</v>
      </c>
      <c r="I226" t="s" s="0">
        <v>84</v>
      </c>
      <c r="J226" t="s" s="0">
        <v>5896</v>
      </c>
      <c r="K226" t="s" s="0">
        <v>5897</v>
      </c>
      <c r="L226" t="s" s="0">
        <v>5898</v>
      </c>
      <c r="M226" t="s" s="0">
        <v>5899</v>
      </c>
      <c r="N226" t="s" s="0">
        <v>5900</v>
      </c>
      <c r="O226" t="s" s="0">
        <v>5901</v>
      </c>
      <c r="P226" t="s" s="0">
        <v>5902</v>
      </c>
      <c r="Q226" t="s" s="0">
        <v>92</v>
      </c>
      <c r="R226" t="s" s="0">
        <v>83</v>
      </c>
      <c r="S226" t="s" s="0">
        <v>83</v>
      </c>
      <c r="T226" t="s" s="0">
        <v>83</v>
      </c>
      <c r="U226" t="s" s="0">
        <v>83</v>
      </c>
      <c r="V226" t="s" s="0">
        <v>5903</v>
      </c>
      <c r="W226" t="s" s="0">
        <v>5904</v>
      </c>
      <c r="X226" t="s" s="0">
        <v>83</v>
      </c>
      <c r="Y226" t="s" s="0">
        <v>83</v>
      </c>
      <c r="Z226" t="s" s="0">
        <v>95</v>
      </c>
      <c r="AA226" t="s" s="0">
        <v>96</v>
      </c>
      <c r="AB226" t="s" s="0">
        <v>83</v>
      </c>
      <c r="AC226" t="s" s="0">
        <v>83</v>
      </c>
      <c r="AD226" t="s" s="0">
        <v>83</v>
      </c>
      <c r="AE226" t="s" s="0">
        <v>83</v>
      </c>
      <c r="AF226" t="s" s="0">
        <v>83</v>
      </c>
      <c r="AG226" t="s" s="0">
        <v>5905</v>
      </c>
      <c r="AH226" t="s" s="0">
        <v>5906</v>
      </c>
      <c r="AI226" t="s" s="0">
        <v>5907</v>
      </c>
      <c r="AJ226" t="s" s="0">
        <v>5908</v>
      </c>
      <c r="AK226" t="s" s="0">
        <v>83</v>
      </c>
      <c r="AL226" t="s" s="0">
        <v>248</v>
      </c>
      <c r="AM226" t="s" s="0">
        <v>160</v>
      </c>
      <c r="AN226" t="s" s="0">
        <v>4951</v>
      </c>
      <c r="AO226" t="s" s="0">
        <v>78</v>
      </c>
      <c r="AP226" t="s" s="0">
        <v>248</v>
      </c>
      <c r="AQ226" t="s" s="0">
        <v>1123</v>
      </c>
      <c r="AR226" t="s" s="0">
        <v>1124</v>
      </c>
      <c r="AS226" t="s" s="0">
        <v>1125</v>
      </c>
      <c r="AT226" t="s" s="0">
        <v>5909</v>
      </c>
      <c r="AU226" t="s" s="0">
        <v>5910</v>
      </c>
      <c r="AV226" t="s" s="0">
        <v>83</v>
      </c>
      <c r="AW226" t="s" s="0">
        <v>5904</v>
      </c>
      <c r="AX226" t="s" s="0">
        <v>5911</v>
      </c>
      <c r="AY226" t="s" s="0">
        <v>2085</v>
      </c>
      <c r="AZ226" t="s" s="0">
        <v>637</v>
      </c>
      <c r="BA226" t="s" s="0">
        <v>470</v>
      </c>
      <c r="BB226" t="s" s="0">
        <v>248</v>
      </c>
      <c r="BC226" t="s" s="0">
        <v>83</v>
      </c>
      <c r="BD226" t="s" s="0">
        <v>83</v>
      </c>
      <c r="BE226" t="s" s="0">
        <v>83</v>
      </c>
      <c r="BF226" t="s" s="0">
        <v>83</v>
      </c>
      <c r="BG226" t="s" s="0">
        <v>5912</v>
      </c>
      <c r="BH226" t="s" s="0">
        <v>5913</v>
      </c>
      <c r="BI226" t="s" s="0">
        <v>83</v>
      </c>
      <c r="BJ226" t="s" s="0">
        <v>5914</v>
      </c>
      <c r="BK226" t="s" s="448">
        <f>HYPERLINK("http://dx.doi.org/10.1111/nep.13913","http://dx.doi.org/10.1111/nep.13913")</f>
        <v>5915</v>
      </c>
      <c r="BL226" t="s" s="0">
        <v>83</v>
      </c>
      <c r="BM226" t="s" s="0">
        <v>3548</v>
      </c>
      <c r="BN226" t="s" s="0">
        <v>165</v>
      </c>
      <c r="BO226" t="s" s="0">
        <v>4216</v>
      </c>
      <c r="BP226" t="s" s="0">
        <v>4216</v>
      </c>
      <c r="BQ226" t="s" s="0">
        <v>5916</v>
      </c>
      <c r="BR226" t="s" s="0">
        <v>5917</v>
      </c>
      <c r="BS226" t="s" s="0">
        <v>5918</v>
      </c>
      <c r="BT226" t="s" s="449">
        <f>HYPERLINK("https://www.webofscience.com/wos/woscc/full-record/WOS:000670742600001","View Record in Web of Science")</f>
        <v>126</v>
      </c>
      <c r="BU226" t="s" s="0">
        <v>253</v>
      </c>
      <c r="BV226" t="s" s="0">
        <v>83</v>
      </c>
      <c r="BW226" t="s" s="0">
        <v>83</v>
      </c>
      <c r="BX226" t="s" s="0">
        <v>130</v>
      </c>
    </row>
    <row r="227">
      <c r="A227" t="s" s="0">
        <v>78</v>
      </c>
      <c r="B227" t="s" s="0">
        <v>78</v>
      </c>
      <c r="C227" t="s" s="0">
        <v>231</v>
      </c>
      <c r="D227" t="s" s="0">
        <v>78</v>
      </c>
      <c r="E227" t="s" s="0">
        <v>5919</v>
      </c>
      <c r="F227" t="s" s="0">
        <v>5920</v>
      </c>
      <c r="G227" t="s" s="0">
        <v>5921</v>
      </c>
      <c r="H227" t="s" s="0">
        <v>83</v>
      </c>
      <c r="I227" t="s" s="0">
        <v>84</v>
      </c>
      <c r="J227" t="s" s="0">
        <v>5922</v>
      </c>
      <c r="K227" t="s" s="0">
        <v>5923</v>
      </c>
      <c r="L227" t="s" s="0">
        <v>5924</v>
      </c>
      <c r="M227" t="s" s="0">
        <v>5925</v>
      </c>
      <c r="N227" t="s" s="0">
        <v>5926</v>
      </c>
      <c r="O227" t="s" s="0">
        <v>5927</v>
      </c>
      <c r="P227" t="s" s="0">
        <v>5928</v>
      </c>
      <c r="Q227" t="s" s="0">
        <v>92</v>
      </c>
      <c r="R227" t="s" s="0">
        <v>83</v>
      </c>
      <c r="S227" t="s" s="0">
        <v>83</v>
      </c>
      <c r="T227" t="s" s="0">
        <v>83</v>
      </c>
      <c r="U227" t="s" s="0">
        <v>83</v>
      </c>
      <c r="V227" t="s" s="0">
        <v>5929</v>
      </c>
      <c r="W227" t="s" s="0">
        <v>5930</v>
      </c>
      <c r="X227" t="s" s="0">
        <v>83</v>
      </c>
      <c r="Y227" t="s" s="0">
        <v>83</v>
      </c>
      <c r="Z227" t="s" s="0">
        <v>95</v>
      </c>
      <c r="AA227" t="s" s="0">
        <v>96</v>
      </c>
      <c r="AB227" t="s" s="0">
        <v>83</v>
      </c>
      <c r="AC227" t="s" s="0">
        <v>83</v>
      </c>
      <c r="AD227" t="s" s="0">
        <v>83</v>
      </c>
      <c r="AE227" t="s" s="0">
        <v>83</v>
      </c>
      <c r="AF227" t="s" s="0">
        <v>83</v>
      </c>
      <c r="AG227" t="s" s="0">
        <v>5931</v>
      </c>
      <c r="AH227" t="s" s="0">
        <v>5932</v>
      </c>
      <c r="AI227" t="s" s="0">
        <v>5933</v>
      </c>
      <c r="AJ227" t="s" s="0">
        <v>5934</v>
      </c>
      <c r="AK227" t="s" s="0">
        <v>83</v>
      </c>
      <c r="AL227" t="s" s="0">
        <v>3129</v>
      </c>
      <c r="AM227" t="s" s="0">
        <v>374</v>
      </c>
      <c r="AN227" t="s" s="0">
        <v>377</v>
      </c>
      <c r="AO227" t="s" s="0">
        <v>281</v>
      </c>
      <c r="AP227" t="s" s="0">
        <v>310</v>
      </c>
      <c r="AQ227" t="s" s="0">
        <v>5484</v>
      </c>
      <c r="AR227" t="s" s="0">
        <v>5485</v>
      </c>
      <c r="AS227" t="s" s="0">
        <v>5486</v>
      </c>
      <c r="AT227" t="s" s="0">
        <v>5935</v>
      </c>
      <c r="AU227" t="s" s="0">
        <v>5936</v>
      </c>
      <c r="AV227" t="s" s="0">
        <v>83</v>
      </c>
      <c r="AW227" t="s" s="0">
        <v>5937</v>
      </c>
      <c r="AX227" t="s" s="0">
        <v>5938</v>
      </c>
      <c r="AY227" t="s" s="0">
        <v>5939</v>
      </c>
      <c r="AZ227" t="s" s="0">
        <v>159</v>
      </c>
      <c r="BA227" t="s" s="0">
        <v>5940</v>
      </c>
      <c r="BB227" t="s" s="0">
        <v>83</v>
      </c>
      <c r="BC227" t="s" s="0">
        <v>83</v>
      </c>
      <c r="BD227" t="s" s="0">
        <v>83</v>
      </c>
      <c r="BE227" t="s" s="0">
        <v>83</v>
      </c>
      <c r="BF227" t="s" s="0">
        <v>83</v>
      </c>
      <c r="BG227" t="s" s="0">
        <v>83</v>
      </c>
      <c r="BH227" t="s" s="0">
        <v>83</v>
      </c>
      <c r="BI227" t="s" s="0">
        <v>5941</v>
      </c>
      <c r="BJ227" t="s" s="0">
        <v>5942</v>
      </c>
      <c r="BK227" t="s" s="450">
        <f>HYPERLINK("http://dx.doi.org/10.1016/j.ijmedinf.2025.105887","http://dx.doi.org/10.1016/j.ijmedinf.2025.105887")</f>
        <v>5943</v>
      </c>
      <c r="BL227" t="s" s="0">
        <v>83</v>
      </c>
      <c r="BM227" t="s" s="0">
        <v>2297</v>
      </c>
      <c r="BN227" t="s" s="0">
        <v>232</v>
      </c>
      <c r="BO227" t="s" s="0">
        <v>5944</v>
      </c>
      <c r="BP227" t="s" s="0">
        <v>5945</v>
      </c>
      <c r="BQ227" t="s" s="0">
        <v>5946</v>
      </c>
      <c r="BR227" t="s" s="0">
        <v>5947</v>
      </c>
      <c r="BS227" t="s" s="0">
        <v>5948</v>
      </c>
      <c r="BT227" t="s" s="451">
        <f>HYPERLINK("https://www.webofscience.com/wos/woscc/full-record/WOS:001460008300001","View Record in Web of Science")</f>
        <v>126</v>
      </c>
      <c r="BU227" t="s" s="0">
        <v>584</v>
      </c>
      <c r="BV227" t="s" s="0">
        <v>83</v>
      </c>
      <c r="BW227" t="s" s="0">
        <v>83</v>
      </c>
      <c r="BX227" t="s" s="0">
        <v>130</v>
      </c>
    </row>
    <row r="228">
      <c r="A228" t="s" s="0">
        <v>78</v>
      </c>
      <c r="B228" t="s" s="0">
        <v>78</v>
      </c>
      <c r="C228" t="s" s="0">
        <v>78</v>
      </c>
      <c r="D228" t="s" s="0">
        <v>78</v>
      </c>
      <c r="E228" t="s" s="0">
        <v>5949</v>
      </c>
      <c r="F228" t="s" s="0">
        <v>5950</v>
      </c>
      <c r="G228" t="s" s="0">
        <v>5951</v>
      </c>
      <c r="H228" t="s" s="0">
        <v>83</v>
      </c>
      <c r="I228" t="s" s="0">
        <v>174</v>
      </c>
      <c r="J228" t="s" s="0">
        <v>5952</v>
      </c>
      <c r="K228" t="s" s="0">
        <v>5953</v>
      </c>
      <c r="L228" t="s" s="0">
        <v>83</v>
      </c>
      <c r="M228" t="s" s="0">
        <v>83</v>
      </c>
      <c r="N228" t="s" s="0">
        <v>83</v>
      </c>
      <c r="O228" t="s" s="0">
        <v>5954</v>
      </c>
      <c r="P228" t="s" s="0">
        <v>5955</v>
      </c>
      <c r="Q228" t="s" s="0">
        <v>92</v>
      </c>
      <c r="R228" t="s" s="0">
        <v>83</v>
      </c>
      <c r="S228" t="s" s="0">
        <v>83</v>
      </c>
      <c r="T228" t="s" s="0">
        <v>83</v>
      </c>
      <c r="U228" t="s" s="0">
        <v>83</v>
      </c>
      <c r="V228" t="s" s="0">
        <v>5956</v>
      </c>
      <c r="W228" t="s" s="0">
        <v>5957</v>
      </c>
      <c r="X228" t="s" s="0">
        <v>83</v>
      </c>
      <c r="Y228" t="s" s="0">
        <v>83</v>
      </c>
      <c r="Z228" t="s" s="0">
        <v>95</v>
      </c>
      <c r="AA228" t="s" s="0">
        <v>96</v>
      </c>
      <c r="AB228" t="s" s="0">
        <v>83</v>
      </c>
      <c r="AC228" t="s" s="0">
        <v>83</v>
      </c>
      <c r="AD228" t="s" s="0">
        <v>83</v>
      </c>
      <c r="AE228" t="s" s="0">
        <v>83</v>
      </c>
      <c r="AF228" t="s" s="0">
        <v>83</v>
      </c>
      <c r="AG228" t="s" s="0">
        <v>5958</v>
      </c>
      <c r="AH228" t="s" s="0">
        <v>5959</v>
      </c>
      <c r="AI228" t="s" s="0">
        <v>5960</v>
      </c>
      <c r="AJ228" t="s" s="0">
        <v>5961</v>
      </c>
      <c r="AK228" t="s" s="0">
        <v>83</v>
      </c>
      <c r="AL228" t="s" s="0">
        <v>1000</v>
      </c>
      <c r="AM228" t="s" s="0">
        <v>78</v>
      </c>
      <c r="AN228" t="s" s="0">
        <v>78</v>
      </c>
      <c r="AO228" t="s" s="0">
        <v>78</v>
      </c>
      <c r="AP228" t="s" s="0">
        <v>78</v>
      </c>
      <c r="AQ228" t="s" s="0">
        <v>2103</v>
      </c>
      <c r="AR228" t="s" s="0">
        <v>2104</v>
      </c>
      <c r="AS228" t="s" s="0">
        <v>2105</v>
      </c>
      <c r="AT228" t="s" s="0">
        <v>83</v>
      </c>
      <c r="AU228" t="s" s="0">
        <v>5962</v>
      </c>
      <c r="AV228" t="s" s="0">
        <v>83</v>
      </c>
      <c r="AW228" t="s" s="0">
        <v>5963</v>
      </c>
      <c r="AX228" t="s" s="0">
        <v>5964</v>
      </c>
      <c r="AY228" t="s" s="0">
        <v>5965</v>
      </c>
      <c r="AZ228" t="s" s="0">
        <v>279</v>
      </c>
      <c r="BA228" t="s" s="0">
        <v>150</v>
      </c>
      <c r="BB228" t="s" s="0">
        <v>83</v>
      </c>
      <c r="BC228" t="s" s="0">
        <v>83</v>
      </c>
      <c r="BD228" t="s" s="0">
        <v>83</v>
      </c>
      <c r="BE228" t="s" s="0">
        <v>83</v>
      </c>
      <c r="BF228" t="s" s="0">
        <v>83</v>
      </c>
      <c r="BG228" t="s" s="0">
        <v>83</v>
      </c>
      <c r="BH228" t="s" s="0">
        <v>83</v>
      </c>
      <c r="BI228" t="s" s="0">
        <v>470</v>
      </c>
      <c r="BJ228" t="s" s="0">
        <v>5966</v>
      </c>
      <c r="BK228" t="s" s="452">
        <f>HYPERLINK("http://dx.doi.org/10.21037/asj-21-39","http://dx.doi.org/10.21037/asj-21-39")</f>
        <v>5967</v>
      </c>
      <c r="BL228" t="s" s="0">
        <v>83</v>
      </c>
      <c r="BM228" t="s" s="0">
        <v>83</v>
      </c>
      <c r="BN228" t="s" s="0">
        <v>165</v>
      </c>
      <c r="BO228" t="s" s="0">
        <v>2111</v>
      </c>
      <c r="BP228" t="s" s="0">
        <v>2111</v>
      </c>
      <c r="BQ228" t="s" s="0">
        <v>5968</v>
      </c>
      <c r="BR228" t="s" s="0">
        <v>83</v>
      </c>
      <c r="BS228" t="s" s="0">
        <v>5969</v>
      </c>
      <c r="BT228" t="s" s="453">
        <f>HYPERLINK("https://www.webofscience.com/wos/woscc/full-record/WOS:001208985600001","View Record in Web of Science")</f>
        <v>126</v>
      </c>
      <c r="BU228" t="s" s="0">
        <v>253</v>
      </c>
      <c r="BV228" t="s" s="0">
        <v>83</v>
      </c>
      <c r="BW228" t="s" s="0">
        <v>83</v>
      </c>
      <c r="BX228" t="s" s="0">
        <v>130</v>
      </c>
    </row>
    <row r="229">
      <c r="A229" t="s" s="0">
        <v>115</v>
      </c>
      <c r="B229" t="s" s="0">
        <v>78</v>
      </c>
      <c r="C229" t="s" s="0">
        <v>78</v>
      </c>
      <c r="D229" t="s" s="0">
        <v>78</v>
      </c>
      <c r="E229" t="s" s="0">
        <v>5970</v>
      </c>
      <c r="F229" t="s" s="0">
        <v>5971</v>
      </c>
      <c r="G229" t="s" s="0">
        <v>5972</v>
      </c>
      <c r="H229" t="s" s="0">
        <v>83</v>
      </c>
      <c r="I229" t="s" s="0">
        <v>84</v>
      </c>
      <c r="J229" t="s" s="0">
        <v>5973</v>
      </c>
      <c r="K229" t="s" s="0">
        <v>5974</v>
      </c>
      <c r="L229" t="s" s="0">
        <v>5975</v>
      </c>
      <c r="M229" t="s" s="0">
        <v>5976</v>
      </c>
      <c r="N229" t="s" s="0">
        <v>83</v>
      </c>
      <c r="O229" t="s" s="0">
        <v>5977</v>
      </c>
      <c r="P229" t="s" s="0">
        <v>5978</v>
      </c>
      <c r="Q229" t="s" s="0">
        <v>92</v>
      </c>
      <c r="R229" t="s" s="0">
        <v>83</v>
      </c>
      <c r="S229" t="s" s="0">
        <v>83</v>
      </c>
      <c r="T229" t="s" s="0">
        <v>83</v>
      </c>
      <c r="U229" t="s" s="0">
        <v>83</v>
      </c>
      <c r="V229" t="s" s="0">
        <v>5979</v>
      </c>
      <c r="W229" t="s" s="0">
        <v>5980</v>
      </c>
      <c r="X229" t="s" s="0">
        <v>83</v>
      </c>
      <c r="Y229" t="s" s="0">
        <v>83</v>
      </c>
      <c r="Z229" t="s" s="0">
        <v>95</v>
      </c>
      <c r="AA229" t="s" s="0">
        <v>96</v>
      </c>
      <c r="AB229" t="s" s="0">
        <v>83</v>
      </c>
      <c r="AC229" t="s" s="0">
        <v>83</v>
      </c>
      <c r="AD229" t="s" s="0">
        <v>83</v>
      </c>
      <c r="AE229" t="s" s="0">
        <v>83</v>
      </c>
      <c r="AF229" t="s" s="0">
        <v>83</v>
      </c>
      <c r="AG229" t="s" s="0">
        <v>5981</v>
      </c>
      <c r="AH229" t="s" s="0">
        <v>5982</v>
      </c>
      <c r="AI229" t="s" s="0">
        <v>5983</v>
      </c>
      <c r="AJ229" t="s" s="0">
        <v>5984</v>
      </c>
      <c r="AK229" t="s" s="0">
        <v>83</v>
      </c>
      <c r="AL229" t="s" s="0">
        <v>2157</v>
      </c>
      <c r="AM229" t="s" s="0">
        <v>150</v>
      </c>
      <c r="AN229" t="s" s="0">
        <v>545</v>
      </c>
      <c r="AO229" t="s" s="0">
        <v>78</v>
      </c>
      <c r="AP229" t="s" s="0">
        <v>79</v>
      </c>
      <c r="AQ229" t="s" s="0">
        <v>1123</v>
      </c>
      <c r="AR229" t="s" s="0">
        <v>1124</v>
      </c>
      <c r="AS229" t="s" s="0">
        <v>1125</v>
      </c>
      <c r="AT229" t="s" s="0">
        <v>5985</v>
      </c>
      <c r="AU229" t="s" s="0">
        <v>5986</v>
      </c>
      <c r="AV229" t="s" s="0">
        <v>83</v>
      </c>
      <c r="AW229" t="s" s="0">
        <v>5987</v>
      </c>
      <c r="AX229" t="s" s="0">
        <v>5988</v>
      </c>
      <c r="AY229" t="s" s="0">
        <v>1158</v>
      </c>
      <c r="AZ229" t="s" s="0">
        <v>241</v>
      </c>
      <c r="BA229" t="s" s="0">
        <v>309</v>
      </c>
      <c r="BB229" t="s" s="0">
        <v>231</v>
      </c>
      <c r="BC229" t="s" s="0">
        <v>83</v>
      </c>
      <c r="BD229" t="s" s="0">
        <v>83</v>
      </c>
      <c r="BE229" t="s" s="0">
        <v>83</v>
      </c>
      <c r="BF229" t="s" s="0">
        <v>83</v>
      </c>
      <c r="BG229" t="s" s="0">
        <v>5989</v>
      </c>
      <c r="BH229" t="s" s="0">
        <v>5990</v>
      </c>
      <c r="BI229" t="s" s="0">
        <v>83</v>
      </c>
      <c r="BJ229" t="s" s="0">
        <v>5991</v>
      </c>
      <c r="BK229" t="s" s="454">
        <f>HYPERLINK("http://dx.doi.org/10.1111/1753-0407.13390","http://dx.doi.org/10.1111/1753-0407.13390")</f>
        <v>5992</v>
      </c>
      <c r="BL229" t="s" s="0">
        <v>83</v>
      </c>
      <c r="BM229" t="s" s="0">
        <v>1163</v>
      </c>
      <c r="BN229" t="s" s="0">
        <v>120</v>
      </c>
      <c r="BO229" t="s" s="0">
        <v>206</v>
      </c>
      <c r="BP229" t="s" s="0">
        <v>206</v>
      </c>
      <c r="BQ229" t="s" s="0">
        <v>5993</v>
      </c>
      <c r="BR229" t="s" s="0">
        <v>5994</v>
      </c>
      <c r="BS229" t="s" s="0">
        <v>5995</v>
      </c>
      <c r="BT229" t="s" s="455">
        <f>HYPERLINK("https://www.webofscience.com/wos/woscc/full-record/WOS:000992739400001","View Record in Web of Science")</f>
        <v>126</v>
      </c>
      <c r="BU229" t="s" s="0">
        <v>210</v>
      </c>
      <c r="BV229" t="s" s="0">
        <v>83</v>
      </c>
      <c r="BW229" t="s" s="0">
        <v>83</v>
      </c>
      <c r="BX229" t="s" s="0">
        <v>130</v>
      </c>
    </row>
    <row r="230">
      <c r="A230" t="s" s="0">
        <v>78</v>
      </c>
      <c r="B230" t="s" s="0">
        <v>78</v>
      </c>
      <c r="C230" t="s" s="0">
        <v>78</v>
      </c>
      <c r="D230" t="s" s="0">
        <v>78</v>
      </c>
      <c r="E230" t="s" s="0">
        <v>5996</v>
      </c>
      <c r="F230" t="s" s="0">
        <v>5997</v>
      </c>
      <c r="G230" t="s" s="0">
        <v>5998</v>
      </c>
      <c r="H230" t="s" s="0">
        <v>83</v>
      </c>
      <c r="I230" t="s" s="0">
        <v>84</v>
      </c>
      <c r="J230" t="s" s="0">
        <v>5999</v>
      </c>
      <c r="K230" t="s" s="0">
        <v>6000</v>
      </c>
      <c r="L230" t="s" s="0">
        <v>83</v>
      </c>
      <c r="M230" t="s" s="0">
        <v>83</v>
      </c>
      <c r="N230" t="s" s="0">
        <v>83</v>
      </c>
      <c r="O230" t="s" s="0">
        <v>6001</v>
      </c>
      <c r="P230" t="s" s="0">
        <v>6002</v>
      </c>
      <c r="Q230" t="s" s="0">
        <v>92</v>
      </c>
      <c r="R230" t="s" s="0">
        <v>83</v>
      </c>
      <c r="S230" t="s" s="0">
        <v>83</v>
      </c>
      <c r="T230" t="s" s="0">
        <v>83</v>
      </c>
      <c r="U230" t="s" s="0">
        <v>83</v>
      </c>
      <c r="V230" t="s" s="0">
        <v>6003</v>
      </c>
      <c r="W230" t="s" s="0">
        <v>1368</v>
      </c>
      <c r="X230" t="s" s="0">
        <v>83</v>
      </c>
      <c r="Y230" t="s" s="0">
        <v>83</v>
      </c>
      <c r="Z230" t="s" s="0">
        <v>95</v>
      </c>
      <c r="AA230" t="s" s="0">
        <v>96</v>
      </c>
      <c r="AB230" t="s" s="0">
        <v>83</v>
      </c>
      <c r="AC230" t="s" s="0">
        <v>83</v>
      </c>
      <c r="AD230" t="s" s="0">
        <v>83</v>
      </c>
      <c r="AE230" t="s" s="0">
        <v>83</v>
      </c>
      <c r="AF230" t="s" s="0">
        <v>83</v>
      </c>
      <c r="AG230" t="s" s="0">
        <v>83</v>
      </c>
      <c r="AH230" t="s" s="0">
        <v>6004</v>
      </c>
      <c r="AI230" t="s" s="0">
        <v>6005</v>
      </c>
      <c r="AJ230" t="s" s="0">
        <v>6006</v>
      </c>
      <c r="AK230" t="s" s="0">
        <v>83</v>
      </c>
      <c r="AL230" t="s" s="0">
        <v>413</v>
      </c>
      <c r="AM230" t="s" s="0">
        <v>231</v>
      </c>
      <c r="AN230" t="s" s="0">
        <v>149</v>
      </c>
      <c r="AO230" t="s" s="0">
        <v>78</v>
      </c>
      <c r="AP230" t="s" s="0">
        <v>115</v>
      </c>
      <c r="AQ230" t="s" s="0">
        <v>632</v>
      </c>
      <c r="AR230" t="s" s="0">
        <v>106</v>
      </c>
      <c r="AS230" t="s" s="0">
        <v>633</v>
      </c>
      <c r="AT230" t="s" s="0">
        <v>1373</v>
      </c>
      <c r="AU230" t="s" s="0">
        <v>83</v>
      </c>
      <c r="AV230" t="s" s="0">
        <v>83</v>
      </c>
      <c r="AW230" t="s" s="0">
        <v>1368</v>
      </c>
      <c r="AX230" t="s" s="0">
        <v>1374</v>
      </c>
      <c r="AY230" t="s" s="0">
        <v>6007</v>
      </c>
      <c r="AZ230" t="s" s="0">
        <v>1403</v>
      </c>
      <c r="BA230" t="s" s="0">
        <v>148</v>
      </c>
      <c r="BB230" t="s" s="0">
        <v>248</v>
      </c>
      <c r="BC230" t="s" s="0">
        <v>83</v>
      </c>
      <c r="BD230" t="s" s="0">
        <v>83</v>
      </c>
      <c r="BE230" t="s" s="0">
        <v>83</v>
      </c>
      <c r="BF230" t="s" s="0">
        <v>83</v>
      </c>
      <c r="BG230" t="s" s="0">
        <v>83</v>
      </c>
      <c r="BH230" t="s" s="0">
        <v>83</v>
      </c>
      <c r="BI230" t="s" s="0">
        <v>6008</v>
      </c>
      <c r="BJ230" t="s" s="0">
        <v>6009</v>
      </c>
      <c r="BK230" t="s" s="456">
        <f>HYPERLINK("http://dx.doi.org/10.1136/bmjopen-2017-018322","http://dx.doi.org/10.1136/bmjopen-2017-018322")</f>
        <v>6010</v>
      </c>
      <c r="BL230" t="s" s="0">
        <v>83</v>
      </c>
      <c r="BM230" t="s" s="0">
        <v>83</v>
      </c>
      <c r="BN230" t="s" s="0">
        <v>211</v>
      </c>
      <c r="BO230" t="s" s="0">
        <v>669</v>
      </c>
      <c r="BP230" t="s" s="0">
        <v>670</v>
      </c>
      <c r="BQ230" t="s" s="0">
        <v>6011</v>
      </c>
      <c r="BR230" t="s" s="0">
        <v>6012</v>
      </c>
      <c r="BS230" t="s" s="0">
        <v>6013</v>
      </c>
      <c r="BT230" t="s" s="457">
        <f>HYPERLINK("https://www.webofscience.com/wos/woscc/full-record/WOS:000423826700123","View Record in Web of Science")</f>
        <v>126</v>
      </c>
      <c r="BU230" t="s" s="0">
        <v>210</v>
      </c>
      <c r="BV230" t="s" s="0">
        <v>83</v>
      </c>
      <c r="BW230" t="s" s="0">
        <v>83</v>
      </c>
      <c r="BX230" t="s" s="0">
        <v>130</v>
      </c>
    </row>
    <row r="231">
      <c r="A231" t="s" s="0">
        <v>78</v>
      </c>
      <c r="B231" t="s" s="0">
        <v>78</v>
      </c>
      <c r="C231" t="s" s="0">
        <v>231</v>
      </c>
      <c r="D231" t="s" s="0">
        <v>78</v>
      </c>
      <c r="E231" t="s" s="0">
        <v>6014</v>
      </c>
      <c r="F231" t="s" s="0">
        <v>6015</v>
      </c>
      <c r="G231" t="s" s="0">
        <v>6016</v>
      </c>
      <c r="H231" t="s" s="0">
        <v>83</v>
      </c>
      <c r="I231" t="s" s="0">
        <v>257</v>
      </c>
      <c r="J231" t="s" s="0">
        <v>6017</v>
      </c>
      <c r="K231" t="s" s="0">
        <v>6018</v>
      </c>
      <c r="L231" t="s" s="0">
        <v>6019</v>
      </c>
      <c r="M231" t="s" s="0">
        <v>6020</v>
      </c>
      <c r="N231" t="s" s="0">
        <v>6021</v>
      </c>
      <c r="O231" t="s" s="0">
        <v>6022</v>
      </c>
      <c r="P231" t="s" s="0">
        <v>6023</v>
      </c>
      <c r="Q231" t="s" s="0">
        <v>92</v>
      </c>
      <c r="R231" t="s" s="0">
        <v>83</v>
      </c>
      <c r="S231" t="s" s="0">
        <v>83</v>
      </c>
      <c r="T231" t="s" s="0">
        <v>83</v>
      </c>
      <c r="U231" t="s" s="0">
        <v>83</v>
      </c>
      <c r="V231" t="s" s="0">
        <v>6024</v>
      </c>
      <c r="W231" t="s" s="0">
        <v>1368</v>
      </c>
      <c r="X231" t="s" s="0">
        <v>83</v>
      </c>
      <c r="Y231" t="s" s="0">
        <v>83</v>
      </c>
      <c r="Z231" t="s" s="0">
        <v>95</v>
      </c>
      <c r="AA231" t="s" s="0">
        <v>96</v>
      </c>
      <c r="AB231" t="s" s="0">
        <v>83</v>
      </c>
      <c r="AC231" t="s" s="0">
        <v>83</v>
      </c>
      <c r="AD231" t="s" s="0">
        <v>83</v>
      </c>
      <c r="AE231" t="s" s="0">
        <v>83</v>
      </c>
      <c r="AF231" t="s" s="0">
        <v>83</v>
      </c>
      <c r="AG231" t="s" s="0">
        <v>6025</v>
      </c>
      <c r="AH231" t="s" s="0">
        <v>6026</v>
      </c>
      <c r="AI231" t="s" s="0">
        <v>6027</v>
      </c>
      <c r="AJ231" t="s" s="0">
        <v>6028</v>
      </c>
      <c r="AK231" t="s" s="0">
        <v>83</v>
      </c>
      <c r="AL231" t="s" s="0">
        <v>1955</v>
      </c>
      <c r="AM231" t="s" s="0">
        <v>413</v>
      </c>
      <c r="AN231" t="s" s="0">
        <v>470</v>
      </c>
      <c r="AO231" t="s" s="0">
        <v>78</v>
      </c>
      <c r="AP231" t="s" s="0">
        <v>149</v>
      </c>
      <c r="AQ231" t="s" s="0">
        <v>632</v>
      </c>
      <c r="AR231" t="s" s="0">
        <v>106</v>
      </c>
      <c r="AS231" t="s" s="0">
        <v>633</v>
      </c>
      <c r="AT231" t="s" s="0">
        <v>1373</v>
      </c>
      <c r="AU231" t="s" s="0">
        <v>83</v>
      </c>
      <c r="AV231" t="s" s="0">
        <v>83</v>
      </c>
      <c r="AW231" t="s" s="0">
        <v>1368</v>
      </c>
      <c r="AX231" t="s" s="0">
        <v>1374</v>
      </c>
      <c r="AY231" t="s" s="0">
        <v>637</v>
      </c>
      <c r="AZ231" t="s" s="0">
        <v>637</v>
      </c>
      <c r="BA231" t="s" s="0">
        <v>232</v>
      </c>
      <c r="BB231" t="s" s="0">
        <v>149</v>
      </c>
      <c r="BC231" t="s" s="0">
        <v>83</v>
      </c>
      <c r="BD231" t="s" s="0">
        <v>83</v>
      </c>
      <c r="BE231" t="s" s="0">
        <v>83</v>
      </c>
      <c r="BF231" t="s" s="0">
        <v>83</v>
      </c>
      <c r="BG231" t="s" s="0">
        <v>83</v>
      </c>
      <c r="BH231" t="s" s="0">
        <v>83</v>
      </c>
      <c r="BI231" t="s" s="0">
        <v>6029</v>
      </c>
      <c r="BJ231" t="s" s="0">
        <v>6030</v>
      </c>
      <c r="BK231" t="s" s="458">
        <f>HYPERLINK("http://dx.doi.org/10.1136/bmjopen-2020-047576","http://dx.doi.org/10.1136/bmjopen-2020-047576")</f>
        <v>6031</v>
      </c>
      <c r="BL231" t="s" s="0">
        <v>83</v>
      </c>
      <c r="BM231" t="s" s="0">
        <v>83</v>
      </c>
      <c r="BN231" t="s" s="0">
        <v>374</v>
      </c>
      <c r="BO231" t="s" s="0">
        <v>669</v>
      </c>
      <c r="BP231" t="s" s="0">
        <v>670</v>
      </c>
      <c r="BQ231" t="s" s="0">
        <v>6032</v>
      </c>
      <c r="BR231" t="s" s="0">
        <v>6033</v>
      </c>
      <c r="BS231" t="s" s="0">
        <v>6034</v>
      </c>
      <c r="BT231" t="s" s="459">
        <f>HYPERLINK("https://www.webofscience.com/wos/woscc/full-record/WOS:000686260400017","View Record in Web of Science")</f>
        <v>126</v>
      </c>
      <c r="BU231" t="s" s="0">
        <v>6035</v>
      </c>
      <c r="BV231" t="s" s="0">
        <v>83</v>
      </c>
      <c r="BW231" t="s" s="0">
        <v>83</v>
      </c>
      <c r="BX231" t="s" s="0">
        <v>130</v>
      </c>
    </row>
    <row r="232">
      <c r="A232" t="s" s="0">
        <v>78</v>
      </c>
      <c r="B232" t="s" s="0">
        <v>78</v>
      </c>
      <c r="C232" t="s" s="0">
        <v>78</v>
      </c>
      <c r="D232" t="s" s="0">
        <v>78</v>
      </c>
      <c r="E232" t="s" s="0">
        <v>6036</v>
      </c>
      <c r="F232" t="s" s="0">
        <v>6037</v>
      </c>
      <c r="G232" t="s" s="0">
        <v>6038</v>
      </c>
      <c r="H232" t="s" s="0">
        <v>83</v>
      </c>
      <c r="I232" t="s" s="0">
        <v>84</v>
      </c>
      <c r="J232" t="s" s="0">
        <v>6039</v>
      </c>
      <c r="K232" t="s" s="0">
        <v>6040</v>
      </c>
      <c r="L232" t="s" s="0">
        <v>83</v>
      </c>
      <c r="M232" t="s" s="0">
        <v>83</v>
      </c>
      <c r="N232" t="s" s="0">
        <v>83</v>
      </c>
      <c r="O232" t="s" s="0">
        <v>6041</v>
      </c>
      <c r="P232" t="s" s="0">
        <v>6042</v>
      </c>
      <c r="Q232" t="s" s="0">
        <v>92</v>
      </c>
      <c r="R232" t="s" s="0">
        <v>83</v>
      </c>
      <c r="S232" t="s" s="0">
        <v>83</v>
      </c>
      <c r="T232" t="s" s="0">
        <v>83</v>
      </c>
      <c r="U232" t="s" s="0">
        <v>83</v>
      </c>
      <c r="V232" t="s" s="0">
        <v>6043</v>
      </c>
      <c r="W232" t="s" s="0">
        <v>6044</v>
      </c>
      <c r="X232" t="s" s="0">
        <v>83</v>
      </c>
      <c r="Y232" t="s" s="0">
        <v>83</v>
      </c>
      <c r="Z232" t="s" s="0">
        <v>95</v>
      </c>
      <c r="AA232" t="s" s="0">
        <v>96</v>
      </c>
      <c r="AB232" t="s" s="0">
        <v>83</v>
      </c>
      <c r="AC232" t="s" s="0">
        <v>83</v>
      </c>
      <c r="AD232" t="s" s="0">
        <v>83</v>
      </c>
      <c r="AE232" t="s" s="0">
        <v>83</v>
      </c>
      <c r="AF232" t="s" s="0">
        <v>83</v>
      </c>
      <c r="AG232" t="s" s="0">
        <v>6045</v>
      </c>
      <c r="AH232" t="s" s="0">
        <v>6046</v>
      </c>
      <c r="AI232" t="s" s="0">
        <v>6047</v>
      </c>
      <c r="AJ232" t="s" s="0">
        <v>83</v>
      </c>
      <c r="AK232" t="s" s="0">
        <v>83</v>
      </c>
      <c r="AL232" t="s" s="0">
        <v>1190</v>
      </c>
      <c r="AM232" t="s" s="0">
        <v>78</v>
      </c>
      <c r="AN232" t="s" s="0">
        <v>78</v>
      </c>
      <c r="AO232" t="s" s="0">
        <v>148</v>
      </c>
      <c r="AP232" t="s" s="0">
        <v>148</v>
      </c>
      <c r="AQ232" t="s" s="0">
        <v>1123</v>
      </c>
      <c r="AR232" t="s" s="0">
        <v>1124</v>
      </c>
      <c r="AS232" t="s" s="0">
        <v>1125</v>
      </c>
      <c r="AT232" t="s" s="0">
        <v>6048</v>
      </c>
      <c r="AU232" t="s" s="0">
        <v>83</v>
      </c>
      <c r="AV232" t="s" s="0">
        <v>83</v>
      </c>
      <c r="AW232" t="s" s="0">
        <v>6044</v>
      </c>
      <c r="AX232" t="s" s="0">
        <v>6049</v>
      </c>
      <c r="AY232" t="s" s="0">
        <v>6050</v>
      </c>
      <c r="AZ232" t="s" s="0">
        <v>511</v>
      </c>
      <c r="BA232" t="s" s="0">
        <v>165</v>
      </c>
      <c r="BB232" t="s" s="0">
        <v>150</v>
      </c>
      <c r="BC232" t="s" s="0">
        <v>83</v>
      </c>
      <c r="BD232" t="s" s="0">
        <v>83</v>
      </c>
      <c r="BE232" t="s" s="0">
        <v>83</v>
      </c>
      <c r="BF232" t="s" s="0">
        <v>83</v>
      </c>
      <c r="BG232" t="s" s="0">
        <v>83</v>
      </c>
      <c r="BH232" t="s" s="0">
        <v>83</v>
      </c>
      <c r="BI232" t="s" s="0">
        <v>6051</v>
      </c>
      <c r="BJ232" t="s" s="0">
        <v>6052</v>
      </c>
      <c r="BK232" t="s" s="460">
        <f>HYPERLINK("http://dx.doi.org/10.1002/jsp2.70195","http://dx.doi.org/10.1002/jsp2.70195")</f>
        <v>6053</v>
      </c>
      <c r="BL232" t="s" s="0">
        <v>83</v>
      </c>
      <c r="BM232" t="s" s="0">
        <v>83</v>
      </c>
      <c r="BN232" t="s" s="0">
        <v>120</v>
      </c>
      <c r="BO232" t="s" s="0">
        <v>5190</v>
      </c>
      <c r="BP232" t="s" s="0">
        <v>5190</v>
      </c>
      <c r="BQ232" t="s" s="0">
        <v>6054</v>
      </c>
      <c r="BR232" t="s" s="0">
        <v>6055</v>
      </c>
      <c r="BS232" t="s" s="0">
        <v>6056</v>
      </c>
      <c r="BT232" t="s" s="461">
        <f>HYPERLINK("https://www.webofscience.com/wos/woscc/full-record/WOS:001777673800001","View Record in Web of Science")</f>
        <v>126</v>
      </c>
      <c r="BU232" t="s" s="0">
        <v>210</v>
      </c>
      <c r="BV232" t="s" s="0">
        <v>83</v>
      </c>
      <c r="BW232" t="s" s="0">
        <v>83</v>
      </c>
      <c r="BX232" t="s" s="0">
        <v>130</v>
      </c>
    </row>
    <row r="233">
      <c r="A233" t="s" s="0">
        <v>545</v>
      </c>
      <c r="B233" t="s" s="0">
        <v>78</v>
      </c>
      <c r="C233" t="s" s="0">
        <v>115</v>
      </c>
      <c r="D233" t="s" s="0">
        <v>78</v>
      </c>
      <c r="E233" t="s" s="0">
        <v>6057</v>
      </c>
      <c r="F233" t="s" s="0">
        <v>6058</v>
      </c>
      <c r="G233" t="s" s="0">
        <v>6059</v>
      </c>
      <c r="H233" t="s" s="0">
        <v>83</v>
      </c>
      <c r="I233" t="s" s="0">
        <v>84</v>
      </c>
      <c r="J233" t="s" s="0">
        <v>6060</v>
      </c>
      <c r="K233" t="s" s="0">
        <v>6061</v>
      </c>
      <c r="L233" t="s" s="0">
        <v>83</v>
      </c>
      <c r="M233" t="s" s="0">
        <v>83</v>
      </c>
      <c r="N233" t="s" s="0">
        <v>83</v>
      </c>
      <c r="O233" t="s" s="0">
        <v>6062</v>
      </c>
      <c r="P233" t="s" s="0">
        <v>83</v>
      </c>
      <c r="Q233" t="s" s="0">
        <v>92</v>
      </c>
      <c r="R233" t="s" s="0">
        <v>83</v>
      </c>
      <c r="S233" t="s" s="0">
        <v>83</v>
      </c>
      <c r="T233" t="s" s="0">
        <v>83</v>
      </c>
      <c r="U233" t="s" s="0">
        <v>83</v>
      </c>
      <c r="V233" t="s" s="0">
        <v>6063</v>
      </c>
      <c r="W233" t="s" s="0">
        <v>1368</v>
      </c>
      <c r="X233" t="s" s="0">
        <v>83</v>
      </c>
      <c r="Y233" t="s" s="0">
        <v>83</v>
      </c>
      <c r="Z233" t="s" s="0">
        <v>95</v>
      </c>
      <c r="AA233" t="s" s="0">
        <v>96</v>
      </c>
      <c r="AB233" t="s" s="0">
        <v>83</v>
      </c>
      <c r="AC233" t="s" s="0">
        <v>83</v>
      </c>
      <c r="AD233" t="s" s="0">
        <v>83</v>
      </c>
      <c r="AE233" t="s" s="0">
        <v>83</v>
      </c>
      <c r="AF233" t="s" s="0">
        <v>83</v>
      </c>
      <c r="AG233" t="s" s="0">
        <v>6064</v>
      </c>
      <c r="AH233" t="s" s="0">
        <v>6065</v>
      </c>
      <c r="AI233" t="s" s="0">
        <v>6066</v>
      </c>
      <c r="AJ233" t="s" s="0">
        <v>83</v>
      </c>
      <c r="AK233" t="s" s="0">
        <v>83</v>
      </c>
      <c r="AL233" t="s" s="0">
        <v>202</v>
      </c>
      <c r="AM233" t="s" s="0">
        <v>281</v>
      </c>
      <c r="AN233" t="s" s="0">
        <v>149</v>
      </c>
      <c r="AO233" t="s" s="0">
        <v>545</v>
      </c>
      <c r="AP233" t="s" s="0">
        <v>310</v>
      </c>
      <c r="AQ233" t="s" s="0">
        <v>632</v>
      </c>
      <c r="AR233" t="s" s="0">
        <v>106</v>
      </c>
      <c r="AS233" t="s" s="0">
        <v>633</v>
      </c>
      <c r="AT233" t="s" s="0">
        <v>1373</v>
      </c>
      <c r="AU233" t="s" s="0">
        <v>83</v>
      </c>
      <c r="AV233" t="s" s="0">
        <v>83</v>
      </c>
      <c r="AW233" t="s" s="0">
        <v>1368</v>
      </c>
      <c r="AX233" t="s" s="0">
        <v>1374</v>
      </c>
      <c r="AY233" t="s" s="0">
        <v>3894</v>
      </c>
      <c r="AZ233" t="s" s="0">
        <v>279</v>
      </c>
      <c r="BA233" t="s" s="0">
        <v>248</v>
      </c>
      <c r="BB233" t="s" s="0">
        <v>165</v>
      </c>
      <c r="BC233" t="s" s="0">
        <v>83</v>
      </c>
      <c r="BD233" t="s" s="0">
        <v>83</v>
      </c>
      <c r="BE233" t="s" s="0">
        <v>83</v>
      </c>
      <c r="BF233" t="s" s="0">
        <v>83</v>
      </c>
      <c r="BG233" t="s" s="0">
        <v>83</v>
      </c>
      <c r="BH233" t="s" s="0">
        <v>83</v>
      </c>
      <c r="BI233" t="s" s="0">
        <v>6067</v>
      </c>
      <c r="BJ233" t="s" s="0">
        <v>6068</v>
      </c>
      <c r="BK233" t="s" s="462">
        <f>HYPERLINK("http://dx.doi.org/10.1136/bmjopen-2022-064566","http://dx.doi.org/10.1136/bmjopen-2022-064566")</f>
        <v>6069</v>
      </c>
      <c r="BL233" t="s" s="0">
        <v>83</v>
      </c>
      <c r="BM233" t="s" s="0">
        <v>83</v>
      </c>
      <c r="BN233" t="s" s="0">
        <v>231</v>
      </c>
      <c r="BO233" t="s" s="0">
        <v>669</v>
      </c>
      <c r="BP233" t="s" s="0">
        <v>670</v>
      </c>
      <c r="BQ233" t="s" s="0">
        <v>6070</v>
      </c>
      <c r="BR233" t="s" s="0">
        <v>6071</v>
      </c>
      <c r="BS233" t="s" s="0">
        <v>6072</v>
      </c>
      <c r="BT233" t="s" s="463">
        <f>HYPERLINK("https://www.webofscience.com/wos/woscc/full-record/WOS:000863416400038","View Record in Web of Science")</f>
        <v>126</v>
      </c>
      <c r="BU233" t="s" s="0">
        <v>391</v>
      </c>
      <c r="BV233" t="s" s="0">
        <v>83</v>
      </c>
      <c r="BW233" t="s" s="0">
        <v>83</v>
      </c>
      <c r="BX233" t="s" s="0">
        <v>130</v>
      </c>
    </row>
    <row r="234">
      <c r="A234" t="s" s="0">
        <v>115</v>
      </c>
      <c r="B234" t="s" s="0">
        <v>78</v>
      </c>
      <c r="C234" t="s" s="0">
        <v>150</v>
      </c>
      <c r="D234" t="s" s="0">
        <v>78</v>
      </c>
      <c r="E234" t="s" s="0">
        <v>6073</v>
      </c>
      <c r="F234" t="s" s="0">
        <v>6074</v>
      </c>
      <c r="G234" t="s" s="0">
        <v>6075</v>
      </c>
      <c r="H234" t="s" s="0">
        <v>83</v>
      </c>
      <c r="I234" t="s" s="0">
        <v>174</v>
      </c>
      <c r="J234" t="s" s="0">
        <v>6076</v>
      </c>
      <c r="K234" t="s" s="0">
        <v>6077</v>
      </c>
      <c r="L234" t="s" s="0">
        <v>6078</v>
      </c>
      <c r="M234" t="s" s="0">
        <v>6079</v>
      </c>
      <c r="N234" t="s" s="0">
        <v>6080</v>
      </c>
      <c r="O234" t="s" s="0">
        <v>6081</v>
      </c>
      <c r="P234" t="s" s="0">
        <v>6082</v>
      </c>
      <c r="Q234" t="s" s="0">
        <v>92</v>
      </c>
      <c r="R234" t="s" s="0">
        <v>83</v>
      </c>
      <c r="S234" t="s" s="0">
        <v>83</v>
      </c>
      <c r="T234" t="s" s="0">
        <v>83</v>
      </c>
      <c r="U234" t="s" s="0">
        <v>83</v>
      </c>
      <c r="V234" t="s" s="0">
        <v>6083</v>
      </c>
      <c r="W234" t="s" s="0">
        <v>6084</v>
      </c>
      <c r="X234" t="s" s="0">
        <v>83</v>
      </c>
      <c r="Y234" t="s" s="0">
        <v>83</v>
      </c>
      <c r="Z234" t="s" s="0">
        <v>95</v>
      </c>
      <c r="AA234" t="s" s="0">
        <v>96</v>
      </c>
      <c r="AB234" t="s" s="0">
        <v>83</v>
      </c>
      <c r="AC234" t="s" s="0">
        <v>83</v>
      </c>
      <c r="AD234" t="s" s="0">
        <v>83</v>
      </c>
      <c r="AE234" t="s" s="0">
        <v>83</v>
      </c>
      <c r="AF234" t="s" s="0">
        <v>83</v>
      </c>
      <c r="AG234" t="s" s="0">
        <v>6085</v>
      </c>
      <c r="AH234" t="s" s="0">
        <v>6086</v>
      </c>
      <c r="AI234" t="s" s="0">
        <v>6087</v>
      </c>
      <c r="AJ234" t="s" s="0">
        <v>6088</v>
      </c>
      <c r="AK234" t="s" s="0">
        <v>83</v>
      </c>
      <c r="AL234" t="s" s="0">
        <v>1000</v>
      </c>
      <c r="AM234" t="s" s="0">
        <v>165</v>
      </c>
      <c r="AN234" t="s" s="0">
        <v>269</v>
      </c>
      <c r="AO234" t="s" s="0">
        <v>78</v>
      </c>
      <c r="AP234" t="s" s="0">
        <v>165</v>
      </c>
      <c r="AQ234" t="s" s="0">
        <v>4154</v>
      </c>
      <c r="AR234" t="s" s="0">
        <v>4155</v>
      </c>
      <c r="AS234" t="s" s="0">
        <v>4156</v>
      </c>
      <c r="AT234" t="s" s="0">
        <v>6089</v>
      </c>
      <c r="AU234" t="s" s="0">
        <v>83</v>
      </c>
      <c r="AV234" t="s" s="0">
        <v>83</v>
      </c>
      <c r="AW234" t="s" s="0">
        <v>6090</v>
      </c>
      <c r="AX234" t="s" s="0">
        <v>6091</v>
      </c>
      <c r="AY234" t="s" s="0">
        <v>6092</v>
      </c>
      <c r="AZ234" t="s" s="0">
        <v>113</v>
      </c>
      <c r="BA234" t="s" s="0">
        <v>374</v>
      </c>
      <c r="BB234" t="s" s="0">
        <v>545</v>
      </c>
      <c r="BC234" t="s" s="0">
        <v>83</v>
      </c>
      <c r="BD234" t="s" s="0">
        <v>83</v>
      </c>
      <c r="BE234" t="s" s="0">
        <v>83</v>
      </c>
      <c r="BF234" t="s" s="0">
        <v>83</v>
      </c>
      <c r="BG234" t="s" s="0">
        <v>4609</v>
      </c>
      <c r="BH234" t="s" s="0">
        <v>2216</v>
      </c>
      <c r="BI234" t="s" s="0">
        <v>83</v>
      </c>
      <c r="BJ234" t="s" s="0">
        <v>6093</v>
      </c>
      <c r="BK234" t="s" s="464">
        <f>HYPERLINK("http://dx.doi.org/10.1016/j.tjem.2018.05.005","http://dx.doi.org/10.1016/j.tjem.2018.05.005")</f>
        <v>6094</v>
      </c>
      <c r="BL234" t="s" s="0">
        <v>83</v>
      </c>
      <c r="BM234" t="s" s="0">
        <v>83</v>
      </c>
      <c r="BN234" t="s" s="0">
        <v>231</v>
      </c>
      <c r="BO234" t="s" s="0">
        <v>418</v>
      </c>
      <c r="BP234" t="s" s="0">
        <v>418</v>
      </c>
      <c r="BQ234" t="s" s="0">
        <v>6095</v>
      </c>
      <c r="BR234" t="s" s="0">
        <v>6096</v>
      </c>
      <c r="BS234" t="s" s="0">
        <v>6097</v>
      </c>
      <c r="BT234" t="s" s="465">
        <f>HYPERLINK("https://www.webofscience.com/wos/woscc/full-record/WOS:000446628200002","View Record in Web of Science")</f>
        <v>126</v>
      </c>
      <c r="BU234" t="s" s="0">
        <v>253</v>
      </c>
      <c r="BV234" t="s" s="0">
        <v>83</v>
      </c>
      <c r="BW234" t="s" s="0">
        <v>83</v>
      </c>
      <c r="BX234" t="s" s="0">
        <v>130</v>
      </c>
    </row>
    <row r="235">
      <c r="A235" t="s" s="0">
        <v>78</v>
      </c>
      <c r="B235" t="s" s="0">
        <v>78</v>
      </c>
      <c r="C235" t="s" s="0">
        <v>78</v>
      </c>
      <c r="D235" t="s" s="0">
        <v>78</v>
      </c>
      <c r="E235" t="s" s="0">
        <v>6098</v>
      </c>
      <c r="F235" t="s" s="0">
        <v>6099</v>
      </c>
      <c r="G235" t="s" s="0">
        <v>6100</v>
      </c>
      <c r="H235" t="s" s="0">
        <v>83</v>
      </c>
      <c r="I235" t="s" s="0">
        <v>84</v>
      </c>
      <c r="J235" t="s" s="0">
        <v>6101</v>
      </c>
      <c r="K235" t="s" s="0">
        <v>6102</v>
      </c>
      <c r="L235" t="s" s="0">
        <v>83</v>
      </c>
      <c r="M235" t="s" s="0">
        <v>83</v>
      </c>
      <c r="N235" t="s" s="0">
        <v>83</v>
      </c>
      <c r="O235" t="s" s="0">
        <v>6103</v>
      </c>
      <c r="P235" t="s" s="0">
        <v>6104</v>
      </c>
      <c r="Q235" t="s" s="0">
        <v>92</v>
      </c>
      <c r="R235" t="s" s="0">
        <v>83</v>
      </c>
      <c r="S235" t="s" s="0">
        <v>83</v>
      </c>
      <c r="T235" t="s" s="0">
        <v>83</v>
      </c>
      <c r="U235" t="s" s="0">
        <v>83</v>
      </c>
      <c r="V235" t="s" s="0">
        <v>6105</v>
      </c>
      <c r="W235" t="s" s="0">
        <v>3150</v>
      </c>
      <c r="X235" t="s" s="0">
        <v>83</v>
      </c>
      <c r="Y235" t="s" s="0">
        <v>83</v>
      </c>
      <c r="Z235" t="s" s="0">
        <v>95</v>
      </c>
      <c r="AA235" t="s" s="0">
        <v>96</v>
      </c>
      <c r="AB235" t="s" s="0">
        <v>83</v>
      </c>
      <c r="AC235" t="s" s="0">
        <v>83</v>
      </c>
      <c r="AD235" t="s" s="0">
        <v>83</v>
      </c>
      <c r="AE235" t="s" s="0">
        <v>83</v>
      </c>
      <c r="AF235" t="s" s="0">
        <v>83</v>
      </c>
      <c r="AG235" t="s" s="0">
        <v>6106</v>
      </c>
      <c r="AH235" t="s" s="0">
        <v>6107</v>
      </c>
      <c r="AI235" t="s" s="0">
        <v>6108</v>
      </c>
      <c r="AJ235" t="s" s="0">
        <v>6109</v>
      </c>
      <c r="AK235" t="s" s="0">
        <v>83</v>
      </c>
      <c r="AL235" t="s" s="0">
        <v>1098</v>
      </c>
      <c r="AM235" t="s" s="0">
        <v>281</v>
      </c>
      <c r="AN235" t="s" s="0">
        <v>281</v>
      </c>
      <c r="AO235" t="s" s="0">
        <v>78</v>
      </c>
      <c r="AP235" t="s" s="0">
        <v>281</v>
      </c>
      <c r="AQ235" t="s" s="0">
        <v>830</v>
      </c>
      <c r="AR235" t="s" s="0">
        <v>831</v>
      </c>
      <c r="AS235" t="s" s="0">
        <v>832</v>
      </c>
      <c r="AT235" t="s" s="0">
        <v>3154</v>
      </c>
      <c r="AU235" t="s" s="0">
        <v>83</v>
      </c>
      <c r="AV235" t="s" s="0">
        <v>83</v>
      </c>
      <c r="AW235" t="s" s="0">
        <v>3155</v>
      </c>
      <c r="AX235" t="s" s="0">
        <v>3156</v>
      </c>
      <c r="AY235" t="s" s="0">
        <v>6110</v>
      </c>
      <c r="AZ235" t="s" s="0">
        <v>279</v>
      </c>
      <c r="BA235" t="s" s="0">
        <v>165</v>
      </c>
      <c r="BB235" t="s" s="0">
        <v>83</v>
      </c>
      <c r="BC235" t="s" s="0">
        <v>83</v>
      </c>
      <c r="BD235" t="s" s="0">
        <v>83</v>
      </c>
      <c r="BE235" t="s" s="0">
        <v>83</v>
      </c>
      <c r="BF235" t="s" s="0">
        <v>83</v>
      </c>
      <c r="BG235" t="s" s="0">
        <v>83</v>
      </c>
      <c r="BH235" t="s" s="0">
        <v>83</v>
      </c>
      <c r="BI235" t="s" s="0">
        <v>6111</v>
      </c>
      <c r="BJ235" t="s" s="0">
        <v>6112</v>
      </c>
      <c r="BK235" t="s" s="466">
        <f>HYPERLINK("http://dx.doi.org/10.3389/fcvm.2022.921044","http://dx.doi.org/10.3389/fcvm.2022.921044")</f>
        <v>6113</v>
      </c>
      <c r="BL235" t="s" s="0">
        <v>83</v>
      </c>
      <c r="BM235" t="s" s="0">
        <v>83</v>
      </c>
      <c r="BN235" t="s" s="0">
        <v>417</v>
      </c>
      <c r="BO235" t="s" s="0">
        <v>1133</v>
      </c>
      <c r="BP235" t="s" s="0">
        <v>1134</v>
      </c>
      <c r="BQ235" t="s" s="0">
        <v>6114</v>
      </c>
      <c r="BR235" t="s" s="0">
        <v>6115</v>
      </c>
      <c r="BS235" t="s" s="0">
        <v>6116</v>
      </c>
      <c r="BT235" t="s" s="467">
        <f>HYPERLINK("https://www.webofscience.com/wos/woscc/full-record/WOS:000838368900001","View Record in Web of Science")</f>
        <v>126</v>
      </c>
      <c r="BU235" t="s" s="0">
        <v>210</v>
      </c>
      <c r="BV235" t="s" s="0">
        <v>83</v>
      </c>
      <c r="BW235" t="s" s="0">
        <v>83</v>
      </c>
      <c r="BX235" t="s" s="0">
        <v>130</v>
      </c>
    </row>
    <row r="236">
      <c r="A236" t="s" s="0">
        <v>545</v>
      </c>
      <c r="B236" t="s" s="0">
        <v>78</v>
      </c>
      <c r="C236" t="s" s="0">
        <v>149</v>
      </c>
      <c r="D236" t="s" s="0">
        <v>78</v>
      </c>
      <c r="E236" t="s" s="0">
        <v>6117</v>
      </c>
      <c r="F236" t="s" s="0">
        <v>6118</v>
      </c>
      <c r="G236" t="s" s="0">
        <v>6119</v>
      </c>
      <c r="H236" t="s" s="0">
        <v>83</v>
      </c>
      <c r="I236" t="s" s="0">
        <v>84</v>
      </c>
      <c r="J236" t="s" s="0">
        <v>6120</v>
      </c>
      <c r="K236" t="s" s="0">
        <v>6121</v>
      </c>
      <c r="L236" t="s" s="0">
        <v>83</v>
      </c>
      <c r="M236" t="s" s="0">
        <v>83</v>
      </c>
      <c r="N236" t="s" s="0">
        <v>83</v>
      </c>
      <c r="O236" t="s" s="0">
        <v>6122</v>
      </c>
      <c r="P236" t="s" s="0">
        <v>6123</v>
      </c>
      <c r="Q236" t="s" s="0">
        <v>92</v>
      </c>
      <c r="R236" t="s" s="0">
        <v>83</v>
      </c>
      <c r="S236" t="s" s="0">
        <v>83</v>
      </c>
      <c r="T236" t="s" s="0">
        <v>83</v>
      </c>
      <c r="U236" t="s" s="0">
        <v>83</v>
      </c>
      <c r="V236" t="s" s="0">
        <v>6124</v>
      </c>
      <c r="W236" t="s" s="0">
        <v>6125</v>
      </c>
      <c r="X236" t="s" s="0">
        <v>83</v>
      </c>
      <c r="Y236" t="s" s="0">
        <v>83</v>
      </c>
      <c r="Z236" t="s" s="0">
        <v>95</v>
      </c>
      <c r="AA236" t="s" s="0">
        <v>96</v>
      </c>
      <c r="AB236" t="s" s="0">
        <v>83</v>
      </c>
      <c r="AC236" t="s" s="0">
        <v>83</v>
      </c>
      <c r="AD236" t="s" s="0">
        <v>83</v>
      </c>
      <c r="AE236" t="s" s="0">
        <v>83</v>
      </c>
      <c r="AF236" t="s" s="0">
        <v>83</v>
      </c>
      <c r="AG236" t="s" s="0">
        <v>6126</v>
      </c>
      <c r="AH236" t="s" s="0">
        <v>6127</v>
      </c>
      <c r="AI236" t="s" s="0">
        <v>6128</v>
      </c>
      <c r="AJ236" t="s" s="0">
        <v>6129</v>
      </c>
      <c r="AK236" t="s" s="0">
        <v>83</v>
      </c>
      <c r="AL236" t="s" s="0">
        <v>522</v>
      </c>
      <c r="AM236" t="s" s="0">
        <v>1747</v>
      </c>
      <c r="AN236" t="s" s="0">
        <v>229</v>
      </c>
      <c r="AO236" t="s" s="0">
        <v>115</v>
      </c>
      <c r="AP236" t="s" s="0">
        <v>417</v>
      </c>
      <c r="AQ236" t="s" s="0">
        <v>1123</v>
      </c>
      <c r="AR236" t="s" s="0">
        <v>1124</v>
      </c>
      <c r="AS236" t="s" s="0">
        <v>1125</v>
      </c>
      <c r="AT236" t="s" s="0">
        <v>6130</v>
      </c>
      <c r="AU236" t="s" s="0">
        <v>6131</v>
      </c>
      <c r="AV236" t="s" s="0">
        <v>83</v>
      </c>
      <c r="AW236" t="s" s="0">
        <v>6132</v>
      </c>
      <c r="AX236" t="s" s="0">
        <v>6133</v>
      </c>
      <c r="AY236" t="s" s="0">
        <v>6134</v>
      </c>
      <c r="AZ236" t="s" s="0">
        <v>785</v>
      </c>
      <c r="BA236" t="s" s="0">
        <v>1622</v>
      </c>
      <c r="BB236" t="s" s="0">
        <v>165</v>
      </c>
      <c r="BC236" t="s" s="0">
        <v>83</v>
      </c>
      <c r="BD236" t="s" s="0">
        <v>83</v>
      </c>
      <c r="BE236" t="s" s="0">
        <v>83</v>
      </c>
      <c r="BF236" t="s" s="0">
        <v>83</v>
      </c>
      <c r="BG236" t="s" s="0">
        <v>6135</v>
      </c>
      <c r="BH236" t="s" s="0">
        <v>6136</v>
      </c>
      <c r="BI236" t="s" s="0">
        <v>83</v>
      </c>
      <c r="BJ236" t="s" s="0">
        <v>6137</v>
      </c>
      <c r="BK236" t="s" s="468">
        <f>HYPERLINK("http://dx.doi.org/10.1111/aogs.13589","http://dx.doi.org/10.1111/aogs.13589")</f>
        <v>6138</v>
      </c>
      <c r="BL236" t="s" s="0">
        <v>83</v>
      </c>
      <c r="BM236" t="s" s="0">
        <v>83</v>
      </c>
      <c r="BN236" t="s" s="0">
        <v>120</v>
      </c>
      <c r="BO236" t="s" s="0">
        <v>2139</v>
      </c>
      <c r="BP236" t="s" s="0">
        <v>2139</v>
      </c>
      <c r="BQ236" t="s" s="0">
        <v>6139</v>
      </c>
      <c r="BR236" t="s" s="0">
        <v>6140</v>
      </c>
      <c r="BS236" t="s" s="0">
        <v>6141</v>
      </c>
      <c r="BT236" t="s" s="469">
        <f>HYPERLINK("https://www.webofscience.com/wos/woscc/full-record/WOS:000484377700003","View Record in Web of Science")</f>
        <v>126</v>
      </c>
      <c r="BU236" t="s" s="0">
        <v>83</v>
      </c>
      <c r="BV236" t="s" s="0">
        <v>83</v>
      </c>
      <c r="BW236" t="s" s="0">
        <v>83</v>
      </c>
      <c r="BX236" t="s" s="0">
        <v>130</v>
      </c>
    </row>
    <row r="237">
      <c r="A237" t="s" s="0">
        <v>78</v>
      </c>
      <c r="B237" t="s" s="0">
        <v>78</v>
      </c>
      <c r="C237" t="s" s="0">
        <v>150</v>
      </c>
      <c r="D237" t="s" s="0">
        <v>78</v>
      </c>
      <c r="E237" t="s" s="0">
        <v>6142</v>
      </c>
      <c r="F237" t="s" s="0">
        <v>6143</v>
      </c>
      <c r="G237" t="s" s="0">
        <v>6144</v>
      </c>
      <c r="H237" t="s" s="0">
        <v>83</v>
      </c>
      <c r="I237" t="s" s="0">
        <v>84</v>
      </c>
      <c r="J237" t="s" s="0">
        <v>6145</v>
      </c>
      <c r="K237" t="s" s="0">
        <v>6146</v>
      </c>
      <c r="L237" t="s" s="0">
        <v>83</v>
      </c>
      <c r="M237" t="s" s="0">
        <v>83</v>
      </c>
      <c r="N237" t="s" s="0">
        <v>83</v>
      </c>
      <c r="O237" t="s" s="0">
        <v>6147</v>
      </c>
      <c r="P237" t="s" s="0">
        <v>6148</v>
      </c>
      <c r="Q237" t="s" s="0">
        <v>92</v>
      </c>
      <c r="R237" t="s" s="0">
        <v>83</v>
      </c>
      <c r="S237" t="s" s="0">
        <v>83</v>
      </c>
      <c r="T237" t="s" s="0">
        <v>83</v>
      </c>
      <c r="U237" t="s" s="0">
        <v>83</v>
      </c>
      <c r="V237" t="s" s="0">
        <v>6149</v>
      </c>
      <c r="W237" t="s" s="0">
        <v>6150</v>
      </c>
      <c r="X237" t="s" s="0">
        <v>83</v>
      </c>
      <c r="Y237" t="s" s="0">
        <v>83</v>
      </c>
      <c r="Z237" t="s" s="0">
        <v>95</v>
      </c>
      <c r="AA237" t="s" s="0">
        <v>96</v>
      </c>
      <c r="AB237" t="s" s="0">
        <v>83</v>
      </c>
      <c r="AC237" t="s" s="0">
        <v>83</v>
      </c>
      <c r="AD237" t="s" s="0">
        <v>83</v>
      </c>
      <c r="AE237" t="s" s="0">
        <v>83</v>
      </c>
      <c r="AF237" t="s" s="0">
        <v>83</v>
      </c>
      <c r="AG237" t="s" s="0">
        <v>6151</v>
      </c>
      <c r="AH237" t="s" s="0">
        <v>6152</v>
      </c>
      <c r="AI237" t="s" s="0">
        <v>6153</v>
      </c>
      <c r="AJ237" t="s" s="0">
        <v>6154</v>
      </c>
      <c r="AK237" t="s" s="0">
        <v>83</v>
      </c>
      <c r="AL237" t="s" s="0">
        <v>79</v>
      </c>
      <c r="AM237" t="s" s="0">
        <v>165</v>
      </c>
      <c r="AN237" t="s" s="0">
        <v>211</v>
      </c>
      <c r="AO237" t="s" s="0">
        <v>78</v>
      </c>
      <c r="AP237" t="s" s="0">
        <v>115</v>
      </c>
      <c r="AQ237" t="s" s="0">
        <v>6155</v>
      </c>
      <c r="AR237" t="s" s="0">
        <v>6156</v>
      </c>
      <c r="AS237" t="s" s="0">
        <v>6157</v>
      </c>
      <c r="AT237" t="s" s="0">
        <v>6158</v>
      </c>
      <c r="AU237" t="s" s="0">
        <v>6159</v>
      </c>
      <c r="AV237" t="s" s="0">
        <v>83</v>
      </c>
      <c r="AW237" t="s" s="0">
        <v>6160</v>
      </c>
      <c r="AX237" t="s" s="0">
        <v>6161</v>
      </c>
      <c r="AY237" t="s" s="0">
        <v>6162</v>
      </c>
      <c r="AZ237" t="s" s="0">
        <v>412</v>
      </c>
      <c r="BA237" t="s" s="0">
        <v>358</v>
      </c>
      <c r="BB237" t="s" s="0">
        <v>232</v>
      </c>
      <c r="BC237" t="s" s="0">
        <v>83</v>
      </c>
      <c r="BD237" t="s" s="0">
        <v>83</v>
      </c>
      <c r="BE237" t="s" s="0">
        <v>83</v>
      </c>
      <c r="BF237" t="s" s="0">
        <v>83</v>
      </c>
      <c r="BG237" t="s" s="0">
        <v>83</v>
      </c>
      <c r="BH237" t="s" s="0">
        <v>83</v>
      </c>
      <c r="BI237" t="s" s="0">
        <v>6163</v>
      </c>
      <c r="BJ237" t="s" s="0">
        <v>6164</v>
      </c>
      <c r="BK237" t="s" s="470">
        <f>HYPERLINK("http://dx.doi.org/10.1016/j.jpain.2024.104624","http://dx.doi.org/10.1016/j.jpain.2024.104624")</f>
        <v>6165</v>
      </c>
      <c r="BL237" t="s" s="0">
        <v>83</v>
      </c>
      <c r="BM237" t="s" s="0">
        <v>6162</v>
      </c>
      <c r="BN237" t="s" s="0">
        <v>120</v>
      </c>
      <c r="BO237" t="s" s="0">
        <v>3212</v>
      </c>
      <c r="BP237" t="s" s="0">
        <v>3213</v>
      </c>
      <c r="BQ237" t="s" s="0">
        <v>6166</v>
      </c>
      <c r="BR237" t="s" s="0">
        <v>6167</v>
      </c>
      <c r="BS237" t="s" s="0">
        <v>6168</v>
      </c>
      <c r="BT237" t="s" s="471">
        <f>HYPERLINK("https://www.webofscience.com/wos/woscc/full-record/WOS:001336543300001","View Record in Web of Science")</f>
        <v>126</v>
      </c>
      <c r="BU237" t="s" s="0">
        <v>2737</v>
      </c>
      <c r="BV237" t="s" s="0">
        <v>83</v>
      </c>
      <c r="BW237" t="s" s="0">
        <v>83</v>
      </c>
      <c r="BX237" t="s" s="0">
        <v>130</v>
      </c>
    </row>
    <row r="238">
      <c r="A238" t="s" s="0">
        <v>78</v>
      </c>
      <c r="B238" t="s" s="0">
        <v>78</v>
      </c>
      <c r="C238" t="s" s="0">
        <v>78</v>
      </c>
      <c r="D238" t="s" s="0">
        <v>78</v>
      </c>
      <c r="E238" t="s" s="0">
        <v>6169</v>
      </c>
      <c r="F238" t="s" s="0">
        <v>6170</v>
      </c>
      <c r="G238" t="s" s="0">
        <v>6171</v>
      </c>
      <c r="H238" t="s" s="0">
        <v>83</v>
      </c>
      <c r="I238" t="s" s="0">
        <v>84</v>
      </c>
      <c r="J238" t="s" s="0">
        <v>6172</v>
      </c>
      <c r="K238" t="s" s="0">
        <v>6173</v>
      </c>
      <c r="L238" t="s" s="0">
        <v>6174</v>
      </c>
      <c r="M238" t="s" s="0">
        <v>6175</v>
      </c>
      <c r="N238" t="s" s="0">
        <v>6176</v>
      </c>
      <c r="O238" t="s" s="0">
        <v>6177</v>
      </c>
      <c r="P238" t="s" s="0">
        <v>6178</v>
      </c>
      <c r="Q238" t="s" s="0">
        <v>92</v>
      </c>
      <c r="R238" t="s" s="0">
        <v>83</v>
      </c>
      <c r="S238" t="s" s="0">
        <v>83</v>
      </c>
      <c r="T238" t="s" s="0">
        <v>83</v>
      </c>
      <c r="U238" t="s" s="0">
        <v>83</v>
      </c>
      <c r="V238" t="s" s="0">
        <v>6179</v>
      </c>
      <c r="W238" t="s" s="0">
        <v>1791</v>
      </c>
      <c r="X238" t="s" s="0">
        <v>83</v>
      </c>
      <c r="Y238" t="s" s="0">
        <v>83</v>
      </c>
      <c r="Z238" t="s" s="0">
        <v>95</v>
      </c>
      <c r="AA238" t="s" s="0">
        <v>96</v>
      </c>
      <c r="AB238" t="s" s="0">
        <v>83</v>
      </c>
      <c r="AC238" t="s" s="0">
        <v>83</v>
      </c>
      <c r="AD238" t="s" s="0">
        <v>83</v>
      </c>
      <c r="AE238" t="s" s="0">
        <v>83</v>
      </c>
      <c r="AF238" t="s" s="0">
        <v>83</v>
      </c>
      <c r="AG238" t="s" s="0">
        <v>6180</v>
      </c>
      <c r="AH238" t="s" s="0">
        <v>6181</v>
      </c>
      <c r="AI238" t="s" s="0">
        <v>83</v>
      </c>
      <c r="AJ238" t="s" s="0">
        <v>83</v>
      </c>
      <c r="AK238" t="s" s="0">
        <v>83</v>
      </c>
      <c r="AL238" t="s" s="0">
        <v>4269</v>
      </c>
      <c r="AM238" t="s" s="0">
        <v>78</v>
      </c>
      <c r="AN238" t="s" s="0">
        <v>78</v>
      </c>
      <c r="AO238" t="s" s="0">
        <v>78</v>
      </c>
      <c r="AP238" t="s" s="0">
        <v>78</v>
      </c>
      <c r="AQ238" t="s" s="0">
        <v>1796</v>
      </c>
      <c r="AR238" t="s" s="0">
        <v>106</v>
      </c>
      <c r="AS238" t="s" s="0">
        <v>1797</v>
      </c>
      <c r="AT238" t="s" s="0">
        <v>1798</v>
      </c>
      <c r="AU238" t="s" s="0">
        <v>1799</v>
      </c>
      <c r="AV238" t="s" s="0">
        <v>83</v>
      </c>
      <c r="AW238" t="s" s="0">
        <v>1800</v>
      </c>
      <c r="AX238" t="s" s="0">
        <v>1801</v>
      </c>
      <c r="AY238" t="s" s="0">
        <v>1483</v>
      </c>
      <c r="AZ238" t="s" s="0">
        <v>511</v>
      </c>
      <c r="BA238" t="s" s="0">
        <v>6182</v>
      </c>
      <c r="BB238" t="s" s="0">
        <v>83</v>
      </c>
      <c r="BC238" t="s" s="0">
        <v>83</v>
      </c>
      <c r="BD238" t="s" s="0">
        <v>83</v>
      </c>
      <c r="BE238" t="s" s="0">
        <v>83</v>
      </c>
      <c r="BF238" t="s" s="0">
        <v>83</v>
      </c>
      <c r="BG238" t="s" s="0">
        <v>6183</v>
      </c>
      <c r="BH238" t="s" s="0">
        <v>6184</v>
      </c>
      <c r="BI238" t="s" s="0">
        <v>83</v>
      </c>
      <c r="BJ238" t="s" s="0">
        <v>6185</v>
      </c>
      <c r="BK238" t="s" s="472">
        <f>HYPERLINK("http://dx.doi.org/10.1016/j.jhin.2026.04.022","http://dx.doi.org/10.1016/j.jhin.2026.04.022")</f>
        <v>6186</v>
      </c>
      <c r="BL238" t="s" s="0">
        <v>83</v>
      </c>
      <c r="BM238" t="s" s="0">
        <v>731</v>
      </c>
      <c r="BN238" t="s" s="0">
        <v>120</v>
      </c>
      <c r="BO238" t="s" s="0">
        <v>1805</v>
      </c>
      <c r="BP238" t="s" s="0">
        <v>1805</v>
      </c>
      <c r="BQ238" t="s" s="0">
        <v>6187</v>
      </c>
      <c r="BR238" t="s" s="0">
        <v>6188</v>
      </c>
      <c r="BS238" t="s" s="0">
        <v>6189</v>
      </c>
      <c r="BT238" t="s" s="473">
        <f>HYPERLINK("https://www.webofscience.com/wos/woscc/full-record/WOS:001804974300001","View Record in Web of Science")</f>
        <v>126</v>
      </c>
      <c r="BU238" t="s" s="0">
        <v>584</v>
      </c>
      <c r="BV238" t="s" s="0">
        <v>83</v>
      </c>
      <c r="BW238" t="s" s="0">
        <v>83</v>
      </c>
      <c r="BX238" t="s" s="0">
        <v>130</v>
      </c>
    </row>
    <row r="239">
      <c r="A239" t="s" s="0">
        <v>78</v>
      </c>
      <c r="B239" t="s" s="0">
        <v>78</v>
      </c>
      <c r="C239" t="s" s="0">
        <v>78</v>
      </c>
      <c r="D239" t="s" s="0">
        <v>78</v>
      </c>
      <c r="E239" t="s" s="0">
        <v>6190</v>
      </c>
      <c r="F239" t="s" s="0">
        <v>6191</v>
      </c>
      <c r="G239" t="s" s="0">
        <v>6192</v>
      </c>
      <c r="H239" t="s" s="0">
        <v>83</v>
      </c>
      <c r="I239" t="s" s="0">
        <v>84</v>
      </c>
      <c r="J239" t="s" s="0">
        <v>6193</v>
      </c>
      <c r="K239" t="s" s="0">
        <v>3978</v>
      </c>
      <c r="L239" t="s" s="0">
        <v>6194</v>
      </c>
      <c r="M239" t="s" s="0">
        <v>6195</v>
      </c>
      <c r="N239" t="s" s="0">
        <v>6196</v>
      </c>
      <c r="O239" t="s" s="0">
        <v>6197</v>
      </c>
      <c r="P239" t="s" s="0">
        <v>6198</v>
      </c>
      <c r="Q239" t="s" s="0">
        <v>92</v>
      </c>
      <c r="R239" t="s" s="0">
        <v>83</v>
      </c>
      <c r="S239" t="s" s="0">
        <v>83</v>
      </c>
      <c r="T239" t="s" s="0">
        <v>83</v>
      </c>
      <c r="U239" t="s" s="0">
        <v>83</v>
      </c>
      <c r="V239" t="s" s="0">
        <v>6199</v>
      </c>
      <c r="W239" t="s" s="0">
        <v>6200</v>
      </c>
      <c r="X239" t="s" s="0">
        <v>83</v>
      </c>
      <c r="Y239" t="s" s="0">
        <v>83</v>
      </c>
      <c r="Z239" t="s" s="0">
        <v>95</v>
      </c>
      <c r="AA239" t="s" s="0">
        <v>96</v>
      </c>
      <c r="AB239" t="s" s="0">
        <v>83</v>
      </c>
      <c r="AC239" t="s" s="0">
        <v>83</v>
      </c>
      <c r="AD239" t="s" s="0">
        <v>83</v>
      </c>
      <c r="AE239" t="s" s="0">
        <v>83</v>
      </c>
      <c r="AF239" t="s" s="0">
        <v>83</v>
      </c>
      <c r="AG239" t="s" s="0">
        <v>6201</v>
      </c>
      <c r="AH239" t="s" s="0">
        <v>83</v>
      </c>
      <c r="AI239" t="s" s="0">
        <v>6202</v>
      </c>
      <c r="AJ239" t="s" s="0">
        <v>6203</v>
      </c>
      <c r="AK239" t="s" s="0">
        <v>83</v>
      </c>
      <c r="AL239" t="s" s="0">
        <v>161</v>
      </c>
      <c r="AM239" t="s" s="0">
        <v>115</v>
      </c>
      <c r="AN239" t="s" s="0">
        <v>150</v>
      </c>
      <c r="AO239" t="s" s="0">
        <v>78</v>
      </c>
      <c r="AP239" t="s" s="0">
        <v>150</v>
      </c>
      <c r="AQ239" t="s" s="0">
        <v>1151</v>
      </c>
      <c r="AR239" t="s" s="0">
        <v>1152</v>
      </c>
      <c r="AS239" t="s" s="0">
        <v>1153</v>
      </c>
      <c r="AT239" t="s" s="0">
        <v>83</v>
      </c>
      <c r="AU239" t="s" s="0">
        <v>6204</v>
      </c>
      <c r="AV239" t="s" s="0">
        <v>83</v>
      </c>
      <c r="AW239" t="s" s="0">
        <v>6200</v>
      </c>
      <c r="AX239" t="s" s="0">
        <v>6205</v>
      </c>
      <c r="AY239" t="s" s="0">
        <v>1906</v>
      </c>
      <c r="AZ239" t="s" s="0">
        <v>637</v>
      </c>
      <c r="BA239" t="s" s="0">
        <v>1747</v>
      </c>
      <c r="BB239" t="s" s="0">
        <v>83</v>
      </c>
      <c r="BC239" t="s" s="0">
        <v>83</v>
      </c>
      <c r="BD239" t="s" s="0">
        <v>83</v>
      </c>
      <c r="BE239" t="s" s="0">
        <v>83</v>
      </c>
      <c r="BF239" t="s" s="0">
        <v>83</v>
      </c>
      <c r="BG239" t="s" s="0">
        <v>83</v>
      </c>
      <c r="BH239" t="s" s="0">
        <v>83</v>
      </c>
      <c r="BI239" t="s" s="0">
        <v>6206</v>
      </c>
      <c r="BJ239" t="s" s="0">
        <v>6207</v>
      </c>
      <c r="BK239" t="s" s="474">
        <f>HYPERLINK("http://dx.doi.org/10.1016/j.eclinm.2021.101164","http://dx.doi.org/10.1016/j.eclinm.2021.101164")</f>
        <v>6208</v>
      </c>
      <c r="BL239" t="s" s="0">
        <v>83</v>
      </c>
      <c r="BM239" t="s" s="0">
        <v>889</v>
      </c>
      <c r="BN239" t="s" s="0">
        <v>149</v>
      </c>
      <c r="BO239" t="s" s="0">
        <v>669</v>
      </c>
      <c r="BP239" t="s" s="0">
        <v>670</v>
      </c>
      <c r="BQ239" t="s" s="0">
        <v>6209</v>
      </c>
      <c r="BR239" t="s" s="0">
        <v>6210</v>
      </c>
      <c r="BS239" t="s" s="0">
        <v>6211</v>
      </c>
      <c r="BT239" t="s" s="475">
        <f>HYPERLINK("https://www.webofscience.com/wos/woscc/full-record/WOS:000723039100006","View Record in Web of Science")</f>
        <v>126</v>
      </c>
      <c r="BU239" t="s" s="0">
        <v>868</v>
      </c>
      <c r="BV239" t="s" s="0">
        <v>83</v>
      </c>
      <c r="BW239" t="s" s="0">
        <v>83</v>
      </c>
      <c r="BX239" t="s" s="0">
        <v>130</v>
      </c>
    </row>
    <row r="240">
      <c r="A240" t="s" s="0">
        <v>78</v>
      </c>
      <c r="B240" t="s" s="0">
        <v>78</v>
      </c>
      <c r="C240" t="s" s="0">
        <v>78</v>
      </c>
      <c r="D240" t="s" s="0">
        <v>78</v>
      </c>
      <c r="E240" t="s" s="0">
        <v>6212</v>
      </c>
      <c r="F240" t="s" s="0">
        <v>6213</v>
      </c>
      <c r="G240" t="s" s="0">
        <v>6214</v>
      </c>
      <c r="H240" t="s" s="0">
        <v>83</v>
      </c>
      <c r="I240" t="s" s="0">
        <v>84</v>
      </c>
      <c r="J240" t="s" s="0">
        <v>6215</v>
      </c>
      <c r="K240" t="s" s="0">
        <v>6216</v>
      </c>
      <c r="L240" t="s" s="0">
        <v>83</v>
      </c>
      <c r="M240" t="s" s="0">
        <v>83</v>
      </c>
      <c r="N240" t="s" s="0">
        <v>83</v>
      </c>
      <c r="O240" t="s" s="0">
        <v>6217</v>
      </c>
      <c r="P240" t="s" s="0">
        <v>6218</v>
      </c>
      <c r="Q240" t="s" s="0">
        <v>92</v>
      </c>
      <c r="R240" t="s" s="0">
        <v>83</v>
      </c>
      <c r="S240" t="s" s="0">
        <v>83</v>
      </c>
      <c r="T240" t="s" s="0">
        <v>83</v>
      </c>
      <c r="U240" t="s" s="0">
        <v>83</v>
      </c>
      <c r="V240" t="s" s="0">
        <v>6219</v>
      </c>
      <c r="W240" t="s" s="0">
        <v>6220</v>
      </c>
      <c r="X240" t="s" s="0">
        <v>83</v>
      </c>
      <c r="Y240" t="s" s="0">
        <v>83</v>
      </c>
      <c r="Z240" t="s" s="0">
        <v>95</v>
      </c>
      <c r="AA240" t="s" s="0">
        <v>96</v>
      </c>
      <c r="AB240" t="s" s="0">
        <v>83</v>
      </c>
      <c r="AC240" t="s" s="0">
        <v>83</v>
      </c>
      <c r="AD240" t="s" s="0">
        <v>83</v>
      </c>
      <c r="AE240" t="s" s="0">
        <v>83</v>
      </c>
      <c r="AF240" t="s" s="0">
        <v>83</v>
      </c>
      <c r="AG240" t="s" s="0">
        <v>6221</v>
      </c>
      <c r="AH240" t="s" s="0">
        <v>6222</v>
      </c>
      <c r="AI240" t="s" s="0">
        <v>6223</v>
      </c>
      <c r="AJ240" t="s" s="0">
        <v>83</v>
      </c>
      <c r="AK240" t="s" s="0">
        <v>83</v>
      </c>
      <c r="AL240" t="s" s="0">
        <v>2945</v>
      </c>
      <c r="AM240" t="s" s="0">
        <v>150</v>
      </c>
      <c r="AN240" t="s" s="0">
        <v>150</v>
      </c>
      <c r="AO240" t="s" s="0">
        <v>150</v>
      </c>
      <c r="AP240" t="s" s="0">
        <v>150</v>
      </c>
      <c r="AQ240" t="s" s="0">
        <v>472</v>
      </c>
      <c r="AR240" t="s" s="0">
        <v>272</v>
      </c>
      <c r="AS240" t="s" s="0">
        <v>473</v>
      </c>
      <c r="AT240" t="s" s="0">
        <v>6224</v>
      </c>
      <c r="AU240" t="s" s="0">
        <v>6225</v>
      </c>
      <c r="AV240" t="s" s="0">
        <v>83</v>
      </c>
      <c r="AW240" t="s" s="0">
        <v>6226</v>
      </c>
      <c r="AX240" t="s" s="0">
        <v>6227</v>
      </c>
      <c r="AY240" t="s" s="0">
        <v>3994</v>
      </c>
      <c r="AZ240" t="s" s="0">
        <v>511</v>
      </c>
      <c r="BA240" t="s" s="0">
        <v>3253</v>
      </c>
      <c r="BB240" t="s" s="0">
        <v>83</v>
      </c>
      <c r="BC240" t="s" s="0">
        <v>83</v>
      </c>
      <c r="BD240" t="s" s="0">
        <v>83</v>
      </c>
      <c r="BE240" t="s" s="0">
        <v>83</v>
      </c>
      <c r="BF240" t="s" s="0">
        <v>83</v>
      </c>
      <c r="BG240" t="s" s="0">
        <v>83</v>
      </c>
      <c r="BH240" t="s" s="0">
        <v>83</v>
      </c>
      <c r="BI240" t="s" s="0">
        <v>6228</v>
      </c>
      <c r="BJ240" t="s" s="0">
        <v>6229</v>
      </c>
      <c r="BK240" t="s" s="476">
        <f>HYPERLINK("http://dx.doi.org/10.1016/j.neubiorev.2026.106612","http://dx.doi.org/10.1016/j.neubiorev.2026.106612")</f>
        <v>6230</v>
      </c>
      <c r="BL240" t="s" s="0">
        <v>83</v>
      </c>
      <c r="BM240" t="s" s="0">
        <v>83</v>
      </c>
      <c r="BN240" t="s" s="0">
        <v>161</v>
      </c>
      <c r="BO240" t="s" s="0">
        <v>6231</v>
      </c>
      <c r="BP240" t="s" s="0">
        <v>6232</v>
      </c>
      <c r="BQ240" t="s" s="0">
        <v>6233</v>
      </c>
      <c r="BR240" t="s" s="0">
        <v>6234</v>
      </c>
      <c r="BS240" t="s" s="0">
        <v>6235</v>
      </c>
      <c r="BT240" t="s" s="477">
        <f>HYPERLINK("https://www.webofscience.com/wos/woscc/full-record/WOS:001697590000001","View Record in Web of Science")</f>
        <v>126</v>
      </c>
      <c r="BU240" t="s" s="0">
        <v>83</v>
      </c>
      <c r="BV240" t="s" s="0">
        <v>83</v>
      </c>
      <c r="BW240" t="s" s="0">
        <v>83</v>
      </c>
      <c r="BX240" t="s" s="0">
        <v>130</v>
      </c>
    </row>
    <row r="241">
      <c r="A241" t="s" s="0">
        <v>78</v>
      </c>
      <c r="B241" t="s" s="0">
        <v>78</v>
      </c>
      <c r="C241" t="s" s="0">
        <v>115</v>
      </c>
      <c r="D241" t="s" s="0">
        <v>78</v>
      </c>
      <c r="E241" t="s" s="0">
        <v>6236</v>
      </c>
      <c r="F241" t="s" s="0">
        <v>6237</v>
      </c>
      <c r="G241" t="s" s="0">
        <v>6238</v>
      </c>
      <c r="H241" t="s" s="0">
        <v>83</v>
      </c>
      <c r="I241" t="s" s="0">
        <v>174</v>
      </c>
      <c r="J241" t="s" s="0">
        <v>6239</v>
      </c>
      <c r="K241" t="s" s="0">
        <v>6240</v>
      </c>
      <c r="L241" t="s" s="0">
        <v>6241</v>
      </c>
      <c r="M241" t="s" s="0">
        <v>6241</v>
      </c>
      <c r="N241" t="s" s="0">
        <v>6242</v>
      </c>
      <c r="O241" t="s" s="0">
        <v>6243</v>
      </c>
      <c r="P241" t="s" s="0">
        <v>6244</v>
      </c>
      <c r="Q241" t="s" s="0">
        <v>92</v>
      </c>
      <c r="R241" t="s" s="0">
        <v>83</v>
      </c>
      <c r="S241" t="s" s="0">
        <v>83</v>
      </c>
      <c r="T241" t="s" s="0">
        <v>83</v>
      </c>
      <c r="U241" t="s" s="0">
        <v>83</v>
      </c>
      <c r="V241" t="s" s="0">
        <v>6245</v>
      </c>
      <c r="W241" t="s" s="0">
        <v>657</v>
      </c>
      <c r="X241" t="s" s="0">
        <v>83</v>
      </c>
      <c r="Y241" t="s" s="0">
        <v>83</v>
      </c>
      <c r="Z241" t="s" s="0">
        <v>95</v>
      </c>
      <c r="AA241" t="s" s="0">
        <v>96</v>
      </c>
      <c r="AB241" t="s" s="0">
        <v>83</v>
      </c>
      <c r="AC241" t="s" s="0">
        <v>83</v>
      </c>
      <c r="AD241" t="s" s="0">
        <v>83</v>
      </c>
      <c r="AE241" t="s" s="0">
        <v>83</v>
      </c>
      <c r="AF241" t="s" s="0">
        <v>83</v>
      </c>
      <c r="AG241" t="s" s="0">
        <v>6246</v>
      </c>
      <c r="AH241" t="s" s="0">
        <v>6247</v>
      </c>
      <c r="AI241" t="s" s="0">
        <v>6248</v>
      </c>
      <c r="AJ241" t="s" s="0">
        <v>83</v>
      </c>
      <c r="AK241" t="s" s="0">
        <v>83</v>
      </c>
      <c r="AL241" t="s" s="0">
        <v>1000</v>
      </c>
      <c r="AM241" t="s" s="0">
        <v>150</v>
      </c>
      <c r="AN241" t="s" s="0">
        <v>150</v>
      </c>
      <c r="AO241" t="s" s="0">
        <v>115</v>
      </c>
      <c r="AP241" t="s" s="0">
        <v>115</v>
      </c>
      <c r="AQ241" t="s" s="0">
        <v>661</v>
      </c>
      <c r="AR241" t="s" s="0">
        <v>106</v>
      </c>
      <c r="AS241" t="s" s="0">
        <v>6249</v>
      </c>
      <c r="AT241" t="s" s="0">
        <v>83</v>
      </c>
      <c r="AU241" t="s" s="0">
        <v>663</v>
      </c>
      <c r="AV241" t="s" s="0">
        <v>83</v>
      </c>
      <c r="AW241" t="s" s="0">
        <v>664</v>
      </c>
      <c r="AX241" t="s" s="0">
        <v>665</v>
      </c>
      <c r="AY241" t="s" s="0">
        <v>6250</v>
      </c>
      <c r="AZ241" t="s" s="0">
        <v>279</v>
      </c>
      <c r="BA241" t="s" s="0">
        <v>231</v>
      </c>
      <c r="BB241" t="s" s="0">
        <v>115</v>
      </c>
      <c r="BC241" t="s" s="0">
        <v>83</v>
      </c>
      <c r="BD241" t="s" s="0">
        <v>83</v>
      </c>
      <c r="BE241" t="s" s="0">
        <v>83</v>
      </c>
      <c r="BF241" t="s" s="0">
        <v>83</v>
      </c>
      <c r="BG241" t="s" s="0">
        <v>83</v>
      </c>
      <c r="BH241" t="s" s="0">
        <v>83</v>
      </c>
      <c r="BI241" t="s" s="0">
        <v>165</v>
      </c>
      <c r="BJ241" t="s" s="0">
        <v>6251</v>
      </c>
      <c r="BK241" t="s" s="478">
        <f>HYPERLINK("http://dx.doi.org/10.1186/s41512-022-00123-z","http://dx.doi.org/10.1186/s41512-022-00123-z")</f>
        <v>6252</v>
      </c>
      <c r="BL241" t="s" s="0">
        <v>83</v>
      </c>
      <c r="BM241" t="s" s="0">
        <v>83</v>
      </c>
      <c r="BN241" t="s" s="0">
        <v>120</v>
      </c>
      <c r="BO241" t="s" s="0">
        <v>669</v>
      </c>
      <c r="BP241" t="s" s="0">
        <v>670</v>
      </c>
      <c r="BQ241" t="s" s="0">
        <v>6253</v>
      </c>
      <c r="BR241" t="s" s="0">
        <v>6254</v>
      </c>
      <c r="BS241" t="s" s="0">
        <v>6255</v>
      </c>
      <c r="BT241" t="s" s="479">
        <f>HYPERLINK("https://www.webofscience.com/wos/woscc/full-record/WOS:001209736400001","View Record in Web of Science")</f>
        <v>126</v>
      </c>
      <c r="BU241" t="s" s="0">
        <v>210</v>
      </c>
      <c r="BV241" t="s" s="0">
        <v>83</v>
      </c>
      <c r="BW241" t="s" s="0">
        <v>83</v>
      </c>
      <c r="BX241" t="s" s="0">
        <v>130</v>
      </c>
    </row>
    <row r="242">
      <c r="A242" t="s" s="0">
        <v>150</v>
      </c>
      <c r="B242" t="s" s="0">
        <v>78</v>
      </c>
      <c r="C242" t="s" s="0">
        <v>377</v>
      </c>
      <c r="D242" t="s" s="0">
        <v>78</v>
      </c>
      <c r="E242" t="s" s="0">
        <v>6256</v>
      </c>
      <c r="F242" t="s" s="0">
        <v>6257</v>
      </c>
      <c r="G242" t="s" s="0">
        <v>6258</v>
      </c>
      <c r="H242" t="s" s="0">
        <v>83</v>
      </c>
      <c r="I242" t="s" s="0">
        <v>84</v>
      </c>
      <c r="J242" t="s" s="0">
        <v>5609</v>
      </c>
      <c r="K242" t="s" s="0">
        <v>3043</v>
      </c>
      <c r="L242" t="s" s="0">
        <v>6259</v>
      </c>
      <c r="M242" t="s" s="0">
        <v>6260</v>
      </c>
      <c r="N242" t="s" s="0">
        <v>83</v>
      </c>
      <c r="O242" t="s" s="0">
        <v>6261</v>
      </c>
      <c r="P242" t="s" s="0">
        <v>6262</v>
      </c>
      <c r="Q242" t="s" s="0">
        <v>92</v>
      </c>
      <c r="R242" t="s" s="0">
        <v>83</v>
      </c>
      <c r="S242" t="s" s="0">
        <v>83</v>
      </c>
      <c r="T242" t="s" s="0">
        <v>83</v>
      </c>
      <c r="U242" t="s" s="0">
        <v>83</v>
      </c>
      <c r="V242" t="s" s="0">
        <v>6263</v>
      </c>
      <c r="W242" t="s" s="0">
        <v>369</v>
      </c>
      <c r="X242" t="s" s="0">
        <v>83</v>
      </c>
      <c r="Y242" t="s" s="0">
        <v>83</v>
      </c>
      <c r="Z242" t="s" s="0">
        <v>95</v>
      </c>
      <c r="AA242" t="s" s="0">
        <v>96</v>
      </c>
      <c r="AB242" t="s" s="0">
        <v>83</v>
      </c>
      <c r="AC242" t="s" s="0">
        <v>83</v>
      </c>
      <c r="AD242" t="s" s="0">
        <v>83</v>
      </c>
      <c r="AE242" t="s" s="0">
        <v>83</v>
      </c>
      <c r="AF242" t="s" s="0">
        <v>83</v>
      </c>
      <c r="AG242" t="s" s="0">
        <v>6264</v>
      </c>
      <c r="AH242" t="s" s="0">
        <v>6265</v>
      </c>
      <c r="AI242" t="s" s="0">
        <v>6266</v>
      </c>
      <c r="AJ242" t="s" s="0">
        <v>6267</v>
      </c>
      <c r="AK242" t="s" s="0">
        <v>83</v>
      </c>
      <c r="AL242" t="s" s="0">
        <v>969</v>
      </c>
      <c r="AM242" t="s" s="0">
        <v>571</v>
      </c>
      <c r="AN242" t="s" s="0">
        <v>4609</v>
      </c>
      <c r="AO242" t="s" s="0">
        <v>115</v>
      </c>
      <c r="AP242" t="s" s="0">
        <v>232</v>
      </c>
      <c r="AQ242" t="s" s="0">
        <v>378</v>
      </c>
      <c r="AR242" t="s" s="0">
        <v>106</v>
      </c>
      <c r="AS242" t="s" s="0">
        <v>379</v>
      </c>
      <c r="AT242" t="s" s="0">
        <v>83</v>
      </c>
      <c r="AU242" t="s" s="0">
        <v>380</v>
      </c>
      <c r="AV242" t="s" s="0">
        <v>83</v>
      </c>
      <c r="AW242" t="s" s="0">
        <v>381</v>
      </c>
      <c r="AX242" t="s" s="0">
        <v>382</v>
      </c>
      <c r="AY242" t="s" s="0">
        <v>6268</v>
      </c>
      <c r="AZ242" t="s" s="0">
        <v>241</v>
      </c>
      <c r="BA242" t="s" s="0">
        <v>384</v>
      </c>
      <c r="BB242" t="s" s="0">
        <v>115</v>
      </c>
      <c r="BC242" t="s" s="0">
        <v>83</v>
      </c>
      <c r="BD242" t="s" s="0">
        <v>83</v>
      </c>
      <c r="BE242" t="s" s="0">
        <v>83</v>
      </c>
      <c r="BF242" t="s" s="0">
        <v>83</v>
      </c>
      <c r="BG242" t="s" s="0">
        <v>83</v>
      </c>
      <c r="BH242" t="s" s="0">
        <v>83</v>
      </c>
      <c r="BI242" t="s" s="0">
        <v>4270</v>
      </c>
      <c r="BJ242" t="s" s="0">
        <v>6269</v>
      </c>
      <c r="BK242" t="s" s="480">
        <f>HYPERLINK("http://dx.doi.org/10.1186/s12874-023-02008-1","http://dx.doi.org/10.1186/s12874-023-02008-1")</f>
        <v>6270</v>
      </c>
      <c r="BL242" t="s" s="0">
        <v>83</v>
      </c>
      <c r="BM242" t="s" s="0">
        <v>83</v>
      </c>
      <c r="BN242" t="s" s="0">
        <v>232</v>
      </c>
      <c r="BO242" t="s" s="0">
        <v>387</v>
      </c>
      <c r="BP242" t="s" s="0">
        <v>387</v>
      </c>
      <c r="BQ242" t="s" s="0">
        <v>6271</v>
      </c>
      <c r="BR242" t="s" s="0">
        <v>6272</v>
      </c>
      <c r="BS242" t="s" s="0">
        <v>6273</v>
      </c>
      <c r="BT242" t="s" s="481">
        <f>HYPERLINK("https://www.webofscience.com/wos/woscc/full-record/WOS:001050709200001","View Record in Web of Science")</f>
        <v>126</v>
      </c>
      <c r="BU242" t="s" s="0">
        <v>6035</v>
      </c>
      <c r="BV242" t="s" s="0">
        <v>83</v>
      </c>
      <c r="BW242" t="s" s="0">
        <v>83</v>
      </c>
      <c r="BX242" t="s" s="0">
        <v>130</v>
      </c>
    </row>
    <row r="243">
      <c r="A243" t="s" s="0">
        <v>115</v>
      </c>
      <c r="B243" t="s" s="0">
        <v>78</v>
      </c>
      <c r="C243" t="s" s="0">
        <v>115</v>
      </c>
      <c r="D243" t="s" s="0">
        <v>78</v>
      </c>
      <c r="E243" t="s" s="0">
        <v>6274</v>
      </c>
      <c r="F243" t="s" s="0">
        <v>6275</v>
      </c>
      <c r="G243" t="s" s="0">
        <v>6276</v>
      </c>
      <c r="H243" t="s" s="0">
        <v>83</v>
      </c>
      <c r="I243" t="s" s="0">
        <v>84</v>
      </c>
      <c r="J243" t="s" s="0">
        <v>6277</v>
      </c>
      <c r="K243" t="s" s="0">
        <v>6278</v>
      </c>
      <c r="L243" t="s" s="0">
        <v>83</v>
      </c>
      <c r="M243" t="s" s="0">
        <v>83</v>
      </c>
      <c r="N243" t="s" s="0">
        <v>83</v>
      </c>
      <c r="O243" t="s" s="0">
        <v>6279</v>
      </c>
      <c r="P243" t="s" s="0">
        <v>6280</v>
      </c>
      <c r="Q243" t="s" s="0">
        <v>92</v>
      </c>
      <c r="R243" t="s" s="0">
        <v>83</v>
      </c>
      <c r="S243" t="s" s="0">
        <v>83</v>
      </c>
      <c r="T243" t="s" s="0">
        <v>83</v>
      </c>
      <c r="U243" t="s" s="0">
        <v>83</v>
      </c>
      <c r="V243" t="s" s="0">
        <v>6281</v>
      </c>
      <c r="W243" t="s" s="0">
        <v>6282</v>
      </c>
      <c r="X243" t="s" s="0">
        <v>83</v>
      </c>
      <c r="Y243" t="s" s="0">
        <v>83</v>
      </c>
      <c r="Z243" t="s" s="0">
        <v>95</v>
      </c>
      <c r="AA243" t="s" s="0">
        <v>96</v>
      </c>
      <c r="AB243" t="s" s="0">
        <v>83</v>
      </c>
      <c r="AC243" t="s" s="0">
        <v>83</v>
      </c>
      <c r="AD243" t="s" s="0">
        <v>83</v>
      </c>
      <c r="AE243" t="s" s="0">
        <v>83</v>
      </c>
      <c r="AF243" t="s" s="0">
        <v>83</v>
      </c>
      <c r="AG243" t="s" s="0">
        <v>6283</v>
      </c>
      <c r="AH243" t="s" s="0">
        <v>6284</v>
      </c>
      <c r="AI243" t="s" s="0">
        <v>6285</v>
      </c>
      <c r="AJ243" t="s" s="0">
        <v>6286</v>
      </c>
      <c r="AK243" t="s" s="0">
        <v>83</v>
      </c>
      <c r="AL243" t="s" s="0">
        <v>115</v>
      </c>
      <c r="AM243" t="s" s="0">
        <v>211</v>
      </c>
      <c r="AN243" t="s" s="0">
        <v>211</v>
      </c>
      <c r="AO243" t="s" s="0">
        <v>78</v>
      </c>
      <c r="AP243" t="s" s="0">
        <v>309</v>
      </c>
      <c r="AQ243" t="s" s="0">
        <v>1123</v>
      </c>
      <c r="AR243" t="s" s="0">
        <v>1124</v>
      </c>
      <c r="AS243" t="s" s="0">
        <v>1125</v>
      </c>
      <c r="AT243" t="s" s="0">
        <v>6287</v>
      </c>
      <c r="AU243" t="s" s="0">
        <v>6288</v>
      </c>
      <c r="AV243" t="s" s="0">
        <v>83</v>
      </c>
      <c r="AW243" t="s" s="0">
        <v>6282</v>
      </c>
      <c r="AX243" t="s" s="0">
        <v>6289</v>
      </c>
      <c r="AY243" t="s" s="0">
        <v>605</v>
      </c>
      <c r="AZ243" t="s" s="0">
        <v>412</v>
      </c>
      <c r="BA243" t="s" s="0">
        <v>6290</v>
      </c>
      <c r="BB243" t="s" s="0">
        <v>148</v>
      </c>
      <c r="BC243" t="s" s="0">
        <v>83</v>
      </c>
      <c r="BD243" t="s" s="0">
        <v>83</v>
      </c>
      <c r="BE243" t="s" s="0">
        <v>83</v>
      </c>
      <c r="BF243" t="s" s="0">
        <v>83</v>
      </c>
      <c r="BG243" t="s" s="0">
        <v>6291</v>
      </c>
      <c r="BH243" t="s" s="0">
        <v>6292</v>
      </c>
      <c r="BI243" t="s" s="0">
        <v>83</v>
      </c>
      <c r="BJ243" t="s" s="0">
        <v>6293</v>
      </c>
      <c r="BK243" t="s" s="482">
        <f>HYPERLINK("http://dx.doi.org/10.1111/epi.17994","http://dx.doi.org/10.1111/epi.17994")</f>
        <v>6294</v>
      </c>
      <c r="BL243" t="s" s="0">
        <v>83</v>
      </c>
      <c r="BM243" t="s" s="0">
        <v>2344</v>
      </c>
      <c r="BN243" t="s" s="0">
        <v>883</v>
      </c>
      <c r="BO243" t="s" s="0">
        <v>6295</v>
      </c>
      <c r="BP243" t="s" s="0">
        <v>3213</v>
      </c>
      <c r="BQ243" t="s" s="0">
        <v>6296</v>
      </c>
      <c r="BR243" t="s" s="0">
        <v>6297</v>
      </c>
      <c r="BS243" t="s" s="0">
        <v>6298</v>
      </c>
      <c r="BT243" t="s" s="483">
        <f>HYPERLINK("https://www.webofscience.com/wos/woscc/full-record/WOS:001209643600001","View Record in Web of Science")</f>
        <v>126</v>
      </c>
      <c r="BU243" t="s" s="0">
        <v>584</v>
      </c>
      <c r="BV243" t="s" s="0">
        <v>83</v>
      </c>
      <c r="BW243" t="s" s="0">
        <v>83</v>
      </c>
      <c r="BX243" t="s" s="0">
        <v>130</v>
      </c>
    </row>
    <row r="244">
      <c r="A244" t="s" s="0">
        <v>115</v>
      </c>
      <c r="B244" t="s" s="0">
        <v>78</v>
      </c>
      <c r="C244" t="s" s="0">
        <v>358</v>
      </c>
      <c r="D244" t="s" s="0">
        <v>115</v>
      </c>
      <c r="E244" t="s" s="0">
        <v>6299</v>
      </c>
      <c r="F244" t="s" s="0">
        <v>6300</v>
      </c>
      <c r="G244" t="s" s="0">
        <v>6301</v>
      </c>
      <c r="H244" t="s" s="0">
        <v>83</v>
      </c>
      <c r="I244" t="s" s="0">
        <v>84</v>
      </c>
      <c r="J244" t="s" s="0">
        <v>6302</v>
      </c>
      <c r="K244" t="s" s="0">
        <v>5549</v>
      </c>
      <c r="L244" t="s" s="0">
        <v>6303</v>
      </c>
      <c r="M244" t="s" s="0">
        <v>5551</v>
      </c>
      <c r="N244" t="s" s="0">
        <v>83</v>
      </c>
      <c r="O244" t="s" s="0">
        <v>6304</v>
      </c>
      <c r="P244" t="s" s="0">
        <v>5553</v>
      </c>
      <c r="Q244" t="s" s="0">
        <v>92</v>
      </c>
      <c r="R244" t="s" s="0">
        <v>83</v>
      </c>
      <c r="S244" t="s" s="0">
        <v>83</v>
      </c>
      <c r="T244" t="s" s="0">
        <v>83</v>
      </c>
      <c r="U244" t="s" s="0">
        <v>83</v>
      </c>
      <c r="V244" t="s" s="0">
        <v>6305</v>
      </c>
      <c r="W244" t="s" s="0">
        <v>223</v>
      </c>
      <c r="X244" t="s" s="0">
        <v>83</v>
      </c>
      <c r="Y244" t="s" s="0">
        <v>83</v>
      </c>
      <c r="Z244" t="s" s="0">
        <v>95</v>
      </c>
      <c r="AA244" t="s" s="0">
        <v>96</v>
      </c>
      <c r="AB244" t="s" s="0">
        <v>83</v>
      </c>
      <c r="AC244" t="s" s="0">
        <v>83</v>
      </c>
      <c r="AD244" t="s" s="0">
        <v>83</v>
      </c>
      <c r="AE244" t="s" s="0">
        <v>83</v>
      </c>
      <c r="AF244" t="s" s="0">
        <v>83</v>
      </c>
      <c r="AG244" t="s" s="0">
        <v>6306</v>
      </c>
      <c r="AH244" t="s" s="0">
        <v>6307</v>
      </c>
      <c r="AI244" t="s" s="0">
        <v>6308</v>
      </c>
      <c r="AJ244" t="s" s="0">
        <v>6309</v>
      </c>
      <c r="AK244" t="s" s="0">
        <v>83</v>
      </c>
      <c r="AL244" t="s" s="0">
        <v>229</v>
      </c>
      <c r="AM244" t="s" s="0">
        <v>1902</v>
      </c>
      <c r="AN244" t="s" s="0">
        <v>1705</v>
      </c>
      <c r="AO244" t="s" s="0">
        <v>545</v>
      </c>
      <c r="AP244" t="s" s="0">
        <v>120</v>
      </c>
      <c r="AQ244" t="s" s="0">
        <v>233</v>
      </c>
      <c r="AR244" t="s" s="0">
        <v>234</v>
      </c>
      <c r="AS244" t="s" s="0">
        <v>235</v>
      </c>
      <c r="AT244" t="s" s="0">
        <v>236</v>
      </c>
      <c r="AU244" t="s" s="0">
        <v>237</v>
      </c>
      <c r="AV244" t="s" s="0">
        <v>83</v>
      </c>
      <c r="AW244" t="s" s="0">
        <v>238</v>
      </c>
      <c r="AX244" t="s" s="0">
        <v>239</v>
      </c>
      <c r="AY244" t="s" s="0">
        <v>5386</v>
      </c>
      <c r="AZ244" t="s" s="0">
        <v>241</v>
      </c>
      <c r="BA244" t="s" s="0">
        <v>3002</v>
      </c>
      <c r="BB244" t="s" s="0">
        <v>83</v>
      </c>
      <c r="BC244" t="s" s="0">
        <v>83</v>
      </c>
      <c r="BD244" t="s" s="0">
        <v>83</v>
      </c>
      <c r="BE244" t="s" s="0">
        <v>83</v>
      </c>
      <c r="BF244" t="s" s="0">
        <v>83</v>
      </c>
      <c r="BG244" t="s" s="0">
        <v>149</v>
      </c>
      <c r="BH244" t="s" s="0">
        <v>437</v>
      </c>
      <c r="BI244" t="s" s="0">
        <v>83</v>
      </c>
      <c r="BJ244" t="s" s="0">
        <v>6310</v>
      </c>
      <c r="BK244" t="s" s="484">
        <f>HYPERLINK("http://dx.doi.org/10.1016/j.jclinepi.2022.11.015","http://dx.doi.org/10.1016/j.jclinepi.2022.11.015")</f>
        <v>6311</v>
      </c>
      <c r="BL244" t="s" s="0">
        <v>83</v>
      </c>
      <c r="BM244" t="s" s="0">
        <v>5165</v>
      </c>
      <c r="BN244" t="s" s="0">
        <v>309</v>
      </c>
      <c r="BO244" t="s" s="0">
        <v>249</v>
      </c>
      <c r="BP244" t="s" s="0">
        <v>249</v>
      </c>
      <c r="BQ244" t="s" s="0">
        <v>6312</v>
      </c>
      <c r="BR244" t="s" s="0">
        <v>6313</v>
      </c>
      <c r="BS244" t="s" s="0">
        <v>6314</v>
      </c>
      <c r="BT244" t="s" s="485">
        <f>HYPERLINK("https://www.webofscience.com/wos/woscc/full-record/WOS:000910694800001","View Record in Web of Science")</f>
        <v>126</v>
      </c>
      <c r="BU244" t="s" s="0">
        <v>253</v>
      </c>
      <c r="BV244" t="s" s="0">
        <v>128</v>
      </c>
      <c r="BW244" t="s" s="0">
        <v>129</v>
      </c>
      <c r="BX244" t="s" s="0">
        <v>130</v>
      </c>
    </row>
    <row r="245">
      <c r="A245" t="s" s="0">
        <v>78</v>
      </c>
      <c r="B245" t="s" s="0">
        <v>78</v>
      </c>
      <c r="C245" t="s" s="0">
        <v>231</v>
      </c>
      <c r="D245" t="s" s="0">
        <v>78</v>
      </c>
      <c r="E245" t="s" s="0">
        <v>6315</v>
      </c>
      <c r="F245" t="s" s="0">
        <v>6316</v>
      </c>
      <c r="G245" t="s" s="0">
        <v>6317</v>
      </c>
      <c r="H245" t="s" s="0">
        <v>83</v>
      </c>
      <c r="I245" t="s" s="0">
        <v>84</v>
      </c>
      <c r="J245" t="s" s="0">
        <v>6318</v>
      </c>
      <c r="K245" t="s" s="0">
        <v>6319</v>
      </c>
      <c r="L245" t="s" s="0">
        <v>83</v>
      </c>
      <c r="M245" t="s" s="0">
        <v>83</v>
      </c>
      <c r="N245" t="s" s="0">
        <v>83</v>
      </c>
      <c r="O245" t="s" s="0">
        <v>6320</v>
      </c>
      <c r="P245" t="s" s="0">
        <v>6321</v>
      </c>
      <c r="Q245" t="s" s="0">
        <v>92</v>
      </c>
      <c r="R245" t="s" s="0">
        <v>83</v>
      </c>
      <c r="S245" t="s" s="0">
        <v>83</v>
      </c>
      <c r="T245" t="s" s="0">
        <v>83</v>
      </c>
      <c r="U245" t="s" s="0">
        <v>83</v>
      </c>
      <c r="V245" t="s" s="0">
        <v>6322</v>
      </c>
      <c r="W245" t="s" s="0">
        <v>6323</v>
      </c>
      <c r="X245" t="s" s="0">
        <v>83</v>
      </c>
      <c r="Y245" t="s" s="0">
        <v>83</v>
      </c>
      <c r="Z245" t="s" s="0">
        <v>95</v>
      </c>
      <c r="AA245" t="s" s="0">
        <v>96</v>
      </c>
      <c r="AB245" t="s" s="0">
        <v>83</v>
      </c>
      <c r="AC245" t="s" s="0">
        <v>83</v>
      </c>
      <c r="AD245" t="s" s="0">
        <v>83</v>
      </c>
      <c r="AE245" t="s" s="0">
        <v>83</v>
      </c>
      <c r="AF245" t="s" s="0">
        <v>83</v>
      </c>
      <c r="AG245" t="s" s="0">
        <v>6324</v>
      </c>
      <c r="AH245" t="s" s="0">
        <v>83</v>
      </c>
      <c r="AI245" t="s" s="0">
        <v>6325</v>
      </c>
      <c r="AJ245" t="s" s="0">
        <v>83</v>
      </c>
      <c r="AK245" t="s" s="0">
        <v>83</v>
      </c>
      <c r="AL245" t="s" s="0">
        <v>1395</v>
      </c>
      <c r="AM245" t="s" s="0">
        <v>310</v>
      </c>
      <c r="AN245" t="s" s="0">
        <v>161</v>
      </c>
      <c r="AO245" t="s" s="0">
        <v>78</v>
      </c>
      <c r="AP245" t="s" s="0">
        <v>115</v>
      </c>
      <c r="AQ245" t="s" s="0">
        <v>6326</v>
      </c>
      <c r="AR245" t="s" s="0">
        <v>6327</v>
      </c>
      <c r="AS245" t="s" s="0">
        <v>6328</v>
      </c>
      <c r="AT245" t="s" s="0">
        <v>6329</v>
      </c>
      <c r="AU245" t="s" s="0">
        <v>6330</v>
      </c>
      <c r="AV245" t="s" s="0">
        <v>83</v>
      </c>
      <c r="AW245" t="s" s="0">
        <v>6331</v>
      </c>
      <c r="AX245" t="s" s="0">
        <v>6332</v>
      </c>
      <c r="AY245" t="s" s="0">
        <v>4742</v>
      </c>
      <c r="AZ245" t="s" s="0">
        <v>637</v>
      </c>
      <c r="BA245" t="s" s="0">
        <v>471</v>
      </c>
      <c r="BB245" t="s" s="0">
        <v>83</v>
      </c>
      <c r="BC245" t="s" s="0">
        <v>83</v>
      </c>
      <c r="BD245" t="s" s="0">
        <v>83</v>
      </c>
      <c r="BE245" t="s" s="0">
        <v>2298</v>
      </c>
      <c r="BF245" t="s" s="0">
        <v>83</v>
      </c>
      <c r="BG245" t="s" s="0">
        <v>6333</v>
      </c>
      <c r="BH245" t="s" s="0">
        <v>1304</v>
      </c>
      <c r="BI245" t="s" s="0">
        <v>83</v>
      </c>
      <c r="BJ245" t="s" s="0">
        <v>6334</v>
      </c>
      <c r="BK245" t="s" s="486">
        <f>HYPERLINK("http://dx.doi.org/10.3122/jabfm.2021.S1.200429","http://dx.doi.org/10.3122/jabfm.2021.S1.200429")</f>
        <v>6335</v>
      </c>
      <c r="BL245" t="s" s="0">
        <v>83</v>
      </c>
      <c r="BM245" t="s" s="0">
        <v>83</v>
      </c>
      <c r="BN245" t="s" s="0">
        <v>6290</v>
      </c>
      <c r="BO245" t="s" s="0">
        <v>6336</v>
      </c>
      <c r="BP245" t="s" s="0">
        <v>670</v>
      </c>
      <c r="BQ245" t="s" s="0">
        <v>6337</v>
      </c>
      <c r="BR245" t="s" s="0">
        <v>6338</v>
      </c>
      <c r="BS245" t="s" s="0">
        <v>6339</v>
      </c>
      <c r="BT245" t="s" s="487">
        <f>HYPERLINK("https://www.webofscience.com/wos/woscc/full-record/WOS:000638200400020","View Record in Web of Science")</f>
        <v>126</v>
      </c>
      <c r="BU245" t="s" s="0">
        <v>1463</v>
      </c>
      <c r="BV245" t="s" s="0">
        <v>83</v>
      </c>
      <c r="BW245" t="s" s="0">
        <v>83</v>
      </c>
      <c r="BX245" t="s" s="0">
        <v>130</v>
      </c>
    </row>
    <row r="246">
      <c r="A246" t="s" s="0">
        <v>374</v>
      </c>
      <c r="B246" t="s" s="0">
        <v>78</v>
      </c>
      <c r="C246" t="s" s="0">
        <v>1980</v>
      </c>
      <c r="D246" t="s" s="0">
        <v>545</v>
      </c>
      <c r="E246" t="s" s="0">
        <v>6340</v>
      </c>
      <c r="F246" t="s" s="0">
        <v>6341</v>
      </c>
      <c r="G246" t="s" s="0">
        <v>6342</v>
      </c>
      <c r="H246" t="s" s="0">
        <v>83</v>
      </c>
      <c r="I246" t="s" s="0">
        <v>84</v>
      </c>
      <c r="J246" t="s" s="0">
        <v>6343</v>
      </c>
      <c r="K246" t="s" s="0">
        <v>6344</v>
      </c>
      <c r="L246" t="s" s="0">
        <v>6345</v>
      </c>
      <c r="M246" t="s" s="0">
        <v>6346</v>
      </c>
      <c r="N246" t="s" s="0">
        <v>6347</v>
      </c>
      <c r="O246" t="s" s="0">
        <v>6348</v>
      </c>
      <c r="P246" t="s" s="0">
        <v>6349</v>
      </c>
      <c r="Q246" t="s" s="0">
        <v>92</v>
      </c>
      <c r="R246" t="s" s="0">
        <v>83</v>
      </c>
      <c r="S246" t="s" s="0">
        <v>83</v>
      </c>
      <c r="T246" t="s" s="0">
        <v>83</v>
      </c>
      <c r="U246" t="s" s="0">
        <v>83</v>
      </c>
      <c r="V246" t="s" s="0">
        <v>6350</v>
      </c>
      <c r="W246" t="s" s="0">
        <v>5480</v>
      </c>
      <c r="X246" t="s" s="0">
        <v>83</v>
      </c>
      <c r="Y246" t="s" s="0">
        <v>83</v>
      </c>
      <c r="Z246" t="s" s="0">
        <v>95</v>
      </c>
      <c r="AA246" t="s" s="0">
        <v>96</v>
      </c>
      <c r="AB246" t="s" s="0">
        <v>83</v>
      </c>
      <c r="AC246" t="s" s="0">
        <v>83</v>
      </c>
      <c r="AD246" t="s" s="0">
        <v>83</v>
      </c>
      <c r="AE246" t="s" s="0">
        <v>83</v>
      </c>
      <c r="AF246" t="s" s="0">
        <v>83</v>
      </c>
      <c r="AG246" t="s" s="0">
        <v>6351</v>
      </c>
      <c r="AH246" t="s" s="0">
        <v>6352</v>
      </c>
      <c r="AI246" t="s" s="0">
        <v>6353</v>
      </c>
      <c r="AJ246" t="s" s="0">
        <v>6354</v>
      </c>
      <c r="AK246" t="s" s="0">
        <v>83</v>
      </c>
      <c r="AL246" t="s" s="0">
        <v>537</v>
      </c>
      <c r="AM246" t="s" s="0">
        <v>6355</v>
      </c>
      <c r="AN246" t="s" s="0">
        <v>1038</v>
      </c>
      <c r="AO246" t="s" s="0">
        <v>281</v>
      </c>
      <c r="AP246" t="s" s="0">
        <v>695</v>
      </c>
      <c r="AQ246" t="s" s="0">
        <v>5484</v>
      </c>
      <c r="AR246" t="s" s="0">
        <v>5485</v>
      </c>
      <c r="AS246" t="s" s="0">
        <v>5486</v>
      </c>
      <c r="AT246" t="s" s="0">
        <v>5487</v>
      </c>
      <c r="AU246" t="s" s="0">
        <v>5488</v>
      </c>
      <c r="AV246" t="s" s="0">
        <v>83</v>
      </c>
      <c r="AW246" t="s" s="0">
        <v>5480</v>
      </c>
      <c r="AX246" t="s" s="0">
        <v>5489</v>
      </c>
      <c r="AY246" t="s" s="0">
        <v>4583</v>
      </c>
      <c r="AZ246" t="s" s="0">
        <v>317</v>
      </c>
      <c r="BA246" t="s" s="0">
        <v>189</v>
      </c>
      <c r="BB246" t="s" s="0">
        <v>83</v>
      </c>
      <c r="BC246" t="s" s="0">
        <v>83</v>
      </c>
      <c r="BD246" t="s" s="0">
        <v>83</v>
      </c>
      <c r="BE246" t="s" s="0">
        <v>83</v>
      </c>
      <c r="BF246" t="s" s="0">
        <v>83</v>
      </c>
      <c r="BG246" t="s" s="0">
        <v>3002</v>
      </c>
      <c r="BH246" t="s" s="0">
        <v>6356</v>
      </c>
      <c r="BI246" t="s" s="0">
        <v>83</v>
      </c>
      <c r="BJ246" t="s" s="0">
        <v>6357</v>
      </c>
      <c r="BK246" t="s" s="488">
        <f>HYPERLINK("http://dx.doi.org/10.1016/j.lungcan.2020.07.007","http://dx.doi.org/10.1016/j.lungcan.2020.07.007")</f>
        <v>6358</v>
      </c>
      <c r="BL246" t="s" s="0">
        <v>83</v>
      </c>
      <c r="BM246" t="s" s="0">
        <v>83</v>
      </c>
      <c r="BN246" t="s" s="0">
        <v>1404</v>
      </c>
      <c r="BO246" t="s" s="0">
        <v>5493</v>
      </c>
      <c r="BP246" t="s" s="0">
        <v>5493</v>
      </c>
      <c r="BQ246" t="s" s="0">
        <v>6359</v>
      </c>
      <c r="BR246" t="s" s="0">
        <v>6360</v>
      </c>
      <c r="BS246" t="s" s="0">
        <v>6361</v>
      </c>
      <c r="BT246" t="s" s="489">
        <f>HYPERLINK("https://www.webofscience.com/wos/woscc/full-record/WOS:000571476500001","View Record in Web of Science")</f>
        <v>126</v>
      </c>
      <c r="BU246" t="s" s="0">
        <v>83</v>
      </c>
      <c r="BV246" t="s" s="0">
        <v>128</v>
      </c>
      <c r="BW246" t="s" s="0">
        <v>129</v>
      </c>
      <c r="BX246" t="s" s="0">
        <v>130</v>
      </c>
    </row>
    <row r="247">
      <c r="A247" t="s" s="0">
        <v>78</v>
      </c>
      <c r="B247" t="s" s="0">
        <v>78</v>
      </c>
      <c r="C247" t="s" s="0">
        <v>78</v>
      </c>
      <c r="D247" t="s" s="0">
        <v>78</v>
      </c>
      <c r="E247" t="s" s="0">
        <v>6362</v>
      </c>
      <c r="F247" t="s" s="0">
        <v>6363</v>
      </c>
      <c r="G247" t="s" s="0">
        <v>6364</v>
      </c>
      <c r="H247" t="s" s="0">
        <v>83</v>
      </c>
      <c r="I247" t="s" s="0">
        <v>174</v>
      </c>
      <c r="J247" t="s" s="0">
        <v>6365</v>
      </c>
      <c r="K247" t="s" s="0">
        <v>6366</v>
      </c>
      <c r="L247" t="s" s="0">
        <v>83</v>
      </c>
      <c r="M247" t="s" s="0">
        <v>83</v>
      </c>
      <c r="N247" t="s" s="0">
        <v>83</v>
      </c>
      <c r="O247" t="s" s="0">
        <v>6367</v>
      </c>
      <c r="P247" t="s" s="0">
        <v>6368</v>
      </c>
      <c r="Q247" t="s" s="0">
        <v>92</v>
      </c>
      <c r="R247" t="s" s="0">
        <v>83</v>
      </c>
      <c r="S247" t="s" s="0">
        <v>83</v>
      </c>
      <c r="T247" t="s" s="0">
        <v>83</v>
      </c>
      <c r="U247" t="s" s="0">
        <v>83</v>
      </c>
      <c r="V247" t="s" s="0">
        <v>6369</v>
      </c>
      <c r="W247" t="s" s="0">
        <v>6370</v>
      </c>
      <c r="X247" t="s" s="0">
        <v>83</v>
      </c>
      <c r="Y247" t="s" s="0">
        <v>83</v>
      </c>
      <c r="Z247" t="s" s="0">
        <v>95</v>
      </c>
      <c r="AA247" t="s" s="0">
        <v>96</v>
      </c>
      <c r="AB247" t="s" s="0">
        <v>83</v>
      </c>
      <c r="AC247" t="s" s="0">
        <v>83</v>
      </c>
      <c r="AD247" t="s" s="0">
        <v>83</v>
      </c>
      <c r="AE247" t="s" s="0">
        <v>83</v>
      </c>
      <c r="AF247" t="s" s="0">
        <v>83</v>
      </c>
      <c r="AG247" t="s" s="0">
        <v>6371</v>
      </c>
      <c r="AH247" t="s" s="0">
        <v>6372</v>
      </c>
      <c r="AI247" t="s" s="0">
        <v>6373</v>
      </c>
      <c r="AJ247" t="s" s="0">
        <v>6374</v>
      </c>
      <c r="AK247" t="s" s="0">
        <v>83</v>
      </c>
      <c r="AL247" t="s" s="0">
        <v>884</v>
      </c>
      <c r="AM247" t="s" s="0">
        <v>77</v>
      </c>
      <c r="AN247" t="s" s="0">
        <v>77</v>
      </c>
      <c r="AO247" t="s" s="0">
        <v>78</v>
      </c>
      <c r="AP247" t="s" s="0">
        <v>545</v>
      </c>
      <c r="AQ247" t="s" s="0">
        <v>6375</v>
      </c>
      <c r="AR247" t="s" s="0">
        <v>6376</v>
      </c>
      <c r="AS247" t="s" s="0">
        <v>6377</v>
      </c>
      <c r="AT247" t="s" s="0">
        <v>83</v>
      </c>
      <c r="AU247" t="s" s="0">
        <v>6378</v>
      </c>
      <c r="AV247" t="s" s="0">
        <v>83</v>
      </c>
      <c r="AW247" t="s" s="0">
        <v>6379</v>
      </c>
      <c r="AX247" t="s" s="0">
        <v>6380</v>
      </c>
      <c r="AY247" t="s" s="0">
        <v>5165</v>
      </c>
      <c r="AZ247" t="s" s="0">
        <v>279</v>
      </c>
      <c r="BA247" t="s" s="0">
        <v>890</v>
      </c>
      <c r="BB247" t="s" s="0">
        <v>150</v>
      </c>
      <c r="BC247" t="s" s="0">
        <v>83</v>
      </c>
      <c r="BD247" t="s" s="0">
        <v>83</v>
      </c>
      <c r="BE247" t="s" s="0">
        <v>83</v>
      </c>
      <c r="BF247" t="s" s="0">
        <v>83</v>
      </c>
      <c r="BG247" t="s" s="0">
        <v>6381</v>
      </c>
      <c r="BH247" t="s" s="0">
        <v>6382</v>
      </c>
      <c r="BI247" t="s" s="0">
        <v>83</v>
      </c>
      <c r="BJ247" t="s" s="0">
        <v>6383</v>
      </c>
      <c r="BK247" t="s" s="490">
        <f>HYPERLINK("http://dx.doi.org/10.1007/s40200-022-01094-0","http://dx.doi.org/10.1007/s40200-022-01094-0")</f>
        <v>6384</v>
      </c>
      <c r="BL247" t="s" s="0">
        <v>83</v>
      </c>
      <c r="BM247" t="s" s="0">
        <v>3132</v>
      </c>
      <c r="BN247" t="s" s="0">
        <v>165</v>
      </c>
      <c r="BO247" t="s" s="0">
        <v>206</v>
      </c>
      <c r="BP247" t="s" s="0">
        <v>206</v>
      </c>
      <c r="BQ247" t="s" s="0">
        <v>6385</v>
      </c>
      <c r="BR247" t="s" s="0">
        <v>6386</v>
      </c>
      <c r="BS247" t="s" s="0">
        <v>6387</v>
      </c>
      <c r="BT247" t="s" s="491">
        <f>HYPERLINK("https://www.webofscience.com/wos/woscc/full-record/WOS:000836083400002","View Record in Web of Science")</f>
        <v>126</v>
      </c>
      <c r="BU247" t="s" s="0">
        <v>792</v>
      </c>
      <c r="BV247" t="s" s="0">
        <v>83</v>
      </c>
      <c r="BW247" t="s" s="0">
        <v>83</v>
      </c>
      <c r="BX247" t="s" s="0">
        <v>130</v>
      </c>
    </row>
    <row r="248">
      <c r="A248" t="s" s="0">
        <v>78</v>
      </c>
      <c r="B248" t="s" s="0">
        <v>78</v>
      </c>
      <c r="C248" t="s" s="0">
        <v>77</v>
      </c>
      <c r="D248" t="s" s="0">
        <v>78</v>
      </c>
      <c r="E248" t="s" s="0">
        <v>6388</v>
      </c>
      <c r="F248" t="s" s="0">
        <v>6389</v>
      </c>
      <c r="G248" t="s" s="0">
        <v>6390</v>
      </c>
      <c r="H248" t="s" s="0">
        <v>83</v>
      </c>
      <c r="I248" t="s" s="0">
        <v>84</v>
      </c>
      <c r="J248" t="s" s="0">
        <v>6391</v>
      </c>
      <c r="K248" t="s" s="0">
        <v>6392</v>
      </c>
      <c r="L248" t="s" s="0">
        <v>6393</v>
      </c>
      <c r="M248" t="s" s="0">
        <v>6394</v>
      </c>
      <c r="N248" t="s" s="0">
        <v>6395</v>
      </c>
      <c r="O248" t="s" s="0">
        <v>6396</v>
      </c>
      <c r="P248" t="s" s="0">
        <v>6397</v>
      </c>
      <c r="Q248" t="s" s="0">
        <v>92</v>
      </c>
      <c r="R248" t="s" s="0">
        <v>83</v>
      </c>
      <c r="S248" t="s" s="0">
        <v>83</v>
      </c>
      <c r="T248" t="s" s="0">
        <v>83</v>
      </c>
      <c r="U248" t="s" s="0">
        <v>83</v>
      </c>
      <c r="V248" t="s" s="0">
        <v>6398</v>
      </c>
      <c r="W248" t="s" s="0">
        <v>6399</v>
      </c>
      <c r="X248" t="s" s="0">
        <v>83</v>
      </c>
      <c r="Y248" t="s" s="0">
        <v>83</v>
      </c>
      <c r="Z248" t="s" s="0">
        <v>95</v>
      </c>
      <c r="AA248" t="s" s="0">
        <v>96</v>
      </c>
      <c r="AB248" t="s" s="0">
        <v>83</v>
      </c>
      <c r="AC248" t="s" s="0">
        <v>83</v>
      </c>
      <c r="AD248" t="s" s="0">
        <v>83</v>
      </c>
      <c r="AE248" t="s" s="0">
        <v>83</v>
      </c>
      <c r="AF248" t="s" s="0">
        <v>83</v>
      </c>
      <c r="AG248" t="s" s="0">
        <v>6400</v>
      </c>
      <c r="AH248" t="s" s="0">
        <v>6401</v>
      </c>
      <c r="AI248" t="s" s="0">
        <v>6402</v>
      </c>
      <c r="AJ248" t="s" s="0">
        <v>6403</v>
      </c>
      <c r="AK248" t="s" s="0">
        <v>83</v>
      </c>
      <c r="AL248" t="s" s="0">
        <v>4610</v>
      </c>
      <c r="AM248" t="s" s="0">
        <v>309</v>
      </c>
      <c r="AN248" t="s" s="0">
        <v>309</v>
      </c>
      <c r="AO248" t="s" s="0">
        <v>150</v>
      </c>
      <c r="AP248" t="s" s="0">
        <v>471</v>
      </c>
      <c r="AQ248" t="s" s="0">
        <v>2103</v>
      </c>
      <c r="AR248" t="s" s="0">
        <v>2104</v>
      </c>
      <c r="AS248" t="s" s="0">
        <v>2105</v>
      </c>
      <c r="AT248" t="s" s="0">
        <v>6404</v>
      </c>
      <c r="AU248" t="s" s="0">
        <v>6405</v>
      </c>
      <c r="AV248" t="s" s="0">
        <v>83</v>
      </c>
      <c r="AW248" t="s" s="0">
        <v>6406</v>
      </c>
      <c r="AX248" t="s" s="0">
        <v>6407</v>
      </c>
      <c r="AY248" t="s" s="0">
        <v>3007</v>
      </c>
      <c r="AZ248" t="s" s="0">
        <v>279</v>
      </c>
      <c r="BA248" t="s" s="0">
        <v>232</v>
      </c>
      <c r="BB248" t="s" s="0">
        <v>231</v>
      </c>
      <c r="BC248" t="s" s="0">
        <v>83</v>
      </c>
      <c r="BD248" t="s" s="0">
        <v>83</v>
      </c>
      <c r="BE248" t="s" s="0">
        <v>83</v>
      </c>
      <c r="BF248" t="s" s="0">
        <v>83</v>
      </c>
      <c r="BG248" t="s" s="0">
        <v>2614</v>
      </c>
      <c r="BH248" t="s" s="0">
        <v>6408</v>
      </c>
      <c r="BI248" t="s" s="0">
        <v>83</v>
      </c>
      <c r="BJ248" t="s" s="0">
        <v>6409</v>
      </c>
      <c r="BK248" t="s" s="492">
        <f>HYPERLINK("http://dx.doi.org/10.21037/tlcr-21-1012","http://dx.doi.org/10.21037/tlcr-21-1012")</f>
        <v>6410</v>
      </c>
      <c r="BL248" t="s" s="0">
        <v>83</v>
      </c>
      <c r="BM248" t="s" s="0">
        <v>4243</v>
      </c>
      <c r="BN248" t="s" s="0">
        <v>120</v>
      </c>
      <c r="BO248" t="s" s="0">
        <v>5493</v>
      </c>
      <c r="BP248" t="s" s="0">
        <v>5493</v>
      </c>
      <c r="BQ248" t="s" s="0">
        <v>6411</v>
      </c>
      <c r="BR248" t="s" s="0">
        <v>6412</v>
      </c>
      <c r="BS248" t="s" s="0">
        <v>6413</v>
      </c>
      <c r="BT248" t="s" s="493">
        <f>HYPERLINK("https://www.webofscience.com/wos/woscc/full-record/WOS:000809599900001","View Record in Web of Science")</f>
        <v>126</v>
      </c>
      <c r="BU248" t="s" s="0">
        <v>210</v>
      </c>
      <c r="BV248" t="s" s="0">
        <v>83</v>
      </c>
      <c r="BW248" t="s" s="0">
        <v>83</v>
      </c>
      <c r="BX248" t="s" s="0">
        <v>130</v>
      </c>
    </row>
    <row r="249">
      <c r="A249" t="s" s="0">
        <v>545</v>
      </c>
      <c r="B249" t="s" s="0">
        <v>78</v>
      </c>
      <c r="C249" t="s" s="0">
        <v>231</v>
      </c>
      <c r="D249" t="s" s="0">
        <v>78</v>
      </c>
      <c r="E249" t="s" s="0">
        <v>6414</v>
      </c>
      <c r="F249" t="s" s="0">
        <v>6415</v>
      </c>
      <c r="G249" t="s" s="0">
        <v>6416</v>
      </c>
      <c r="H249" t="s" s="0">
        <v>83</v>
      </c>
      <c r="I249" t="s" s="0">
        <v>84</v>
      </c>
      <c r="J249" t="s" s="0">
        <v>6417</v>
      </c>
      <c r="K249" t="s" s="0">
        <v>6418</v>
      </c>
      <c r="L249" t="s" s="0">
        <v>6419</v>
      </c>
      <c r="M249" t="s" s="0">
        <v>6420</v>
      </c>
      <c r="N249" t="s" s="0">
        <v>6421</v>
      </c>
      <c r="O249" t="s" s="0">
        <v>6422</v>
      </c>
      <c r="P249" t="s" s="0">
        <v>6423</v>
      </c>
      <c r="Q249" t="s" s="0">
        <v>92</v>
      </c>
      <c r="R249" t="s" s="0">
        <v>83</v>
      </c>
      <c r="S249" t="s" s="0">
        <v>83</v>
      </c>
      <c r="T249" t="s" s="0">
        <v>83</v>
      </c>
      <c r="U249" t="s" s="0">
        <v>83</v>
      </c>
      <c r="V249" t="s" s="0">
        <v>6424</v>
      </c>
      <c r="W249" t="s" s="0">
        <v>5255</v>
      </c>
      <c r="X249" t="s" s="0">
        <v>83</v>
      </c>
      <c r="Y249" t="s" s="0">
        <v>83</v>
      </c>
      <c r="Z249" t="s" s="0">
        <v>95</v>
      </c>
      <c r="AA249" t="s" s="0">
        <v>96</v>
      </c>
      <c r="AB249" t="s" s="0">
        <v>83</v>
      </c>
      <c r="AC249" t="s" s="0">
        <v>83</v>
      </c>
      <c r="AD249" t="s" s="0">
        <v>83</v>
      </c>
      <c r="AE249" t="s" s="0">
        <v>83</v>
      </c>
      <c r="AF249" t="s" s="0">
        <v>83</v>
      </c>
      <c r="AG249" t="s" s="0">
        <v>6425</v>
      </c>
      <c r="AH249" t="s" s="0">
        <v>6426</v>
      </c>
      <c r="AI249" t="s" s="0">
        <v>83</v>
      </c>
      <c r="AJ249" t="s" s="0">
        <v>6427</v>
      </c>
      <c r="AK249" t="s" s="0">
        <v>83</v>
      </c>
      <c r="AL249" t="s" s="0">
        <v>188</v>
      </c>
      <c r="AM249" t="s" s="0">
        <v>248</v>
      </c>
      <c r="AN249" t="s" s="0">
        <v>161</v>
      </c>
      <c r="AO249" t="s" s="0">
        <v>78</v>
      </c>
      <c r="AP249" t="s" s="0">
        <v>120</v>
      </c>
      <c r="AQ249" t="s" s="0">
        <v>830</v>
      </c>
      <c r="AR249" t="s" s="0">
        <v>831</v>
      </c>
      <c r="AS249" t="s" s="0">
        <v>832</v>
      </c>
      <c r="AT249" t="s" s="0">
        <v>5259</v>
      </c>
      <c r="AU249" t="s" s="0">
        <v>83</v>
      </c>
      <c r="AV249" t="s" s="0">
        <v>83</v>
      </c>
      <c r="AW249" t="s" s="0">
        <v>5260</v>
      </c>
      <c r="AX249" t="s" s="0">
        <v>5261</v>
      </c>
      <c r="AY249" t="s" s="0">
        <v>6428</v>
      </c>
      <c r="AZ249" t="s" s="0">
        <v>279</v>
      </c>
      <c r="BA249" t="s" s="0">
        <v>211</v>
      </c>
      <c r="BB249" t="s" s="0">
        <v>83</v>
      </c>
      <c r="BC249" t="s" s="0">
        <v>83</v>
      </c>
      <c r="BD249" t="s" s="0">
        <v>83</v>
      </c>
      <c r="BE249" t="s" s="0">
        <v>83</v>
      </c>
      <c r="BF249" t="s" s="0">
        <v>83</v>
      </c>
      <c r="BG249" t="s" s="0">
        <v>83</v>
      </c>
      <c r="BH249" t="s" s="0">
        <v>83</v>
      </c>
      <c r="BI249" t="s" s="0">
        <v>6429</v>
      </c>
      <c r="BJ249" t="s" s="0">
        <v>6430</v>
      </c>
      <c r="BK249" t="s" s="494">
        <f>HYPERLINK("http://dx.doi.org/10.3389/fped.2022.881908","http://dx.doi.org/10.3389/fped.2022.881908")</f>
        <v>6431</v>
      </c>
      <c r="BL249" t="s" s="0">
        <v>83</v>
      </c>
      <c r="BM249" t="s" s="0">
        <v>83</v>
      </c>
      <c r="BN249" t="s" s="0">
        <v>165</v>
      </c>
      <c r="BO249" t="s" s="0">
        <v>611</v>
      </c>
      <c r="BP249" t="s" s="0">
        <v>611</v>
      </c>
      <c r="BQ249" t="s" s="0">
        <v>6432</v>
      </c>
      <c r="BR249" t="s" s="0">
        <v>6433</v>
      </c>
      <c r="BS249" t="s" s="0">
        <v>6434</v>
      </c>
      <c r="BT249" t="s" s="495">
        <f>HYPERLINK("https://www.webofscience.com/wos/woscc/full-record/WOS:000814923900001","View Record in Web of Science")</f>
        <v>126</v>
      </c>
      <c r="BU249" t="s" s="0">
        <v>210</v>
      </c>
      <c r="BV249" t="s" s="0">
        <v>83</v>
      </c>
      <c r="BW249" t="s" s="0">
        <v>83</v>
      </c>
      <c r="BX249" t="s" s="0">
        <v>130</v>
      </c>
    </row>
    <row r="250">
      <c r="A250" t="s" s="0">
        <v>78</v>
      </c>
      <c r="B250" t="s" s="0">
        <v>78</v>
      </c>
      <c r="C250" t="s" s="0">
        <v>150</v>
      </c>
      <c r="D250" t="s" s="0">
        <v>78</v>
      </c>
      <c r="E250" t="s" s="0">
        <v>6435</v>
      </c>
      <c r="F250" t="s" s="0">
        <v>6436</v>
      </c>
      <c r="G250" t="s" s="0">
        <v>6437</v>
      </c>
      <c r="H250" t="s" s="0">
        <v>83</v>
      </c>
      <c r="I250" t="s" s="0">
        <v>84</v>
      </c>
      <c r="J250" t="s" s="0">
        <v>6438</v>
      </c>
      <c r="K250" t="s" s="0">
        <v>6439</v>
      </c>
      <c r="L250" t="s" s="0">
        <v>6440</v>
      </c>
      <c r="M250" t="s" s="0">
        <v>6441</v>
      </c>
      <c r="N250" t="s" s="0">
        <v>6442</v>
      </c>
      <c r="O250" t="s" s="0">
        <v>6443</v>
      </c>
      <c r="P250" t="s" s="0">
        <v>6444</v>
      </c>
      <c r="Q250" t="s" s="0">
        <v>92</v>
      </c>
      <c r="R250" t="s" s="0">
        <v>83</v>
      </c>
      <c r="S250" t="s" s="0">
        <v>83</v>
      </c>
      <c r="T250" t="s" s="0">
        <v>83</v>
      </c>
      <c r="U250" t="s" s="0">
        <v>83</v>
      </c>
      <c r="V250" t="s" s="0">
        <v>6445</v>
      </c>
      <c r="W250" t="s" s="0">
        <v>1975</v>
      </c>
      <c r="X250" t="s" s="0">
        <v>83</v>
      </c>
      <c r="Y250" t="s" s="0">
        <v>83</v>
      </c>
      <c r="Z250" t="s" s="0">
        <v>95</v>
      </c>
      <c r="AA250" t="s" s="0">
        <v>96</v>
      </c>
      <c r="AB250" t="s" s="0">
        <v>83</v>
      </c>
      <c r="AC250" t="s" s="0">
        <v>83</v>
      </c>
      <c r="AD250" t="s" s="0">
        <v>83</v>
      </c>
      <c r="AE250" t="s" s="0">
        <v>83</v>
      </c>
      <c r="AF250" t="s" s="0">
        <v>83</v>
      </c>
      <c r="AG250" t="s" s="0">
        <v>83</v>
      </c>
      <c r="AH250" t="s" s="0">
        <v>6446</v>
      </c>
      <c r="AI250" t="s" s="0">
        <v>6447</v>
      </c>
      <c r="AJ250" t="s" s="0">
        <v>6448</v>
      </c>
      <c r="AK250" t="s" s="0">
        <v>83</v>
      </c>
      <c r="AL250" t="s" s="0">
        <v>280</v>
      </c>
      <c r="AM250" t="s" s="0">
        <v>1873</v>
      </c>
      <c r="AN250" t="s" s="0">
        <v>471</v>
      </c>
      <c r="AO250" t="s" s="0">
        <v>78</v>
      </c>
      <c r="AP250" t="s" s="0">
        <v>231</v>
      </c>
      <c r="AQ250" t="s" s="0">
        <v>1981</v>
      </c>
      <c r="AR250" t="s" s="0">
        <v>1982</v>
      </c>
      <c r="AS250" t="s" s="0">
        <v>1983</v>
      </c>
      <c r="AT250" t="s" s="0">
        <v>1984</v>
      </c>
      <c r="AU250" t="s" s="0">
        <v>83</v>
      </c>
      <c r="AV250" t="s" s="0">
        <v>83</v>
      </c>
      <c r="AW250" t="s" s="0">
        <v>1975</v>
      </c>
      <c r="AX250" t="s" s="0">
        <v>1985</v>
      </c>
      <c r="AY250" t="s" s="0">
        <v>6449</v>
      </c>
      <c r="AZ250" t="s" s="0">
        <v>1680</v>
      </c>
      <c r="BA250" t="s" s="0">
        <v>211</v>
      </c>
      <c r="BB250" t="s" s="0">
        <v>231</v>
      </c>
      <c r="BC250" t="s" s="0">
        <v>83</v>
      </c>
      <c r="BD250" t="s" s="0">
        <v>83</v>
      </c>
      <c r="BE250" t="s" s="0">
        <v>83</v>
      </c>
      <c r="BF250" t="s" s="0">
        <v>83</v>
      </c>
      <c r="BG250" t="s" s="0">
        <v>83</v>
      </c>
      <c r="BH250" t="s" s="0">
        <v>83</v>
      </c>
      <c r="BI250" t="s" s="0">
        <v>6450</v>
      </c>
      <c r="BJ250" t="s" s="0">
        <v>6451</v>
      </c>
      <c r="BK250" t="s" s="496">
        <f>HYPERLINK("http://dx.doi.org/10.1371/journal.pone.0130327","http://dx.doi.org/10.1371/journal.pone.0130327")</f>
        <v>6452</v>
      </c>
      <c r="BL250" t="s" s="0">
        <v>83</v>
      </c>
      <c r="BM250" t="s" s="0">
        <v>83</v>
      </c>
      <c r="BN250" t="s" s="0">
        <v>120</v>
      </c>
      <c r="BO250" t="s" s="0">
        <v>1990</v>
      </c>
      <c r="BP250" t="s" s="0">
        <v>1991</v>
      </c>
      <c r="BQ250" t="s" s="0">
        <v>6453</v>
      </c>
      <c r="BR250" t="s" s="0">
        <v>6454</v>
      </c>
      <c r="BS250" t="s" s="0">
        <v>6455</v>
      </c>
      <c r="BT250" t="s" s="497">
        <f>HYPERLINK("https://www.webofscience.com/wos/woscc/full-record/WOS:000356932500091","View Record in Web of Science")</f>
        <v>126</v>
      </c>
      <c r="BU250" t="s" s="0">
        <v>210</v>
      </c>
      <c r="BV250" t="s" s="0">
        <v>83</v>
      </c>
      <c r="BW250" t="s" s="0">
        <v>83</v>
      </c>
      <c r="BX250" t="s" s="0">
        <v>130</v>
      </c>
    </row>
    <row r="251">
      <c r="A251" t="s" s="0">
        <v>78</v>
      </c>
      <c r="B251" t="s" s="0">
        <v>78</v>
      </c>
      <c r="C251" t="s" s="0">
        <v>148</v>
      </c>
      <c r="D251" t="s" s="0">
        <v>78</v>
      </c>
      <c r="E251" t="s" s="0">
        <v>6456</v>
      </c>
      <c r="F251" t="s" s="0">
        <v>6457</v>
      </c>
      <c r="G251" t="s" s="0">
        <v>6458</v>
      </c>
      <c r="H251" t="s" s="0">
        <v>83</v>
      </c>
      <c r="I251" t="s" s="0">
        <v>84</v>
      </c>
      <c r="J251" t="s" s="0">
        <v>6459</v>
      </c>
      <c r="K251" t="s" s="0">
        <v>6460</v>
      </c>
      <c r="L251" t="s" s="0">
        <v>6461</v>
      </c>
      <c r="M251" t="s" s="0">
        <v>6461</v>
      </c>
      <c r="N251" t="s" s="0">
        <v>6462</v>
      </c>
      <c r="O251" t="s" s="0">
        <v>6463</v>
      </c>
      <c r="P251" t="s" s="0">
        <v>6464</v>
      </c>
      <c r="Q251" t="s" s="0">
        <v>92</v>
      </c>
      <c r="R251" t="s" s="0">
        <v>83</v>
      </c>
      <c r="S251" t="s" s="0">
        <v>83</v>
      </c>
      <c r="T251" t="s" s="0">
        <v>83</v>
      </c>
      <c r="U251" t="s" s="0">
        <v>83</v>
      </c>
      <c r="V251" t="s" s="0">
        <v>6465</v>
      </c>
      <c r="W251" t="s" s="0">
        <v>1368</v>
      </c>
      <c r="X251" t="s" s="0">
        <v>83</v>
      </c>
      <c r="Y251" t="s" s="0">
        <v>83</v>
      </c>
      <c r="Z251" t="s" s="0">
        <v>95</v>
      </c>
      <c r="AA251" t="s" s="0">
        <v>96</v>
      </c>
      <c r="AB251" t="s" s="0">
        <v>83</v>
      </c>
      <c r="AC251" t="s" s="0">
        <v>83</v>
      </c>
      <c r="AD251" t="s" s="0">
        <v>83</v>
      </c>
      <c r="AE251" t="s" s="0">
        <v>83</v>
      </c>
      <c r="AF251" t="s" s="0">
        <v>83</v>
      </c>
      <c r="AG251" t="s" s="0">
        <v>6466</v>
      </c>
      <c r="AH251" t="s" s="0">
        <v>6467</v>
      </c>
      <c r="AI251" t="s" s="0">
        <v>6468</v>
      </c>
      <c r="AJ251" t="s" s="0">
        <v>6469</v>
      </c>
      <c r="AK251" t="s" s="0">
        <v>83</v>
      </c>
      <c r="AL251" t="s" s="0">
        <v>1747</v>
      </c>
      <c r="AM251" t="s" s="0">
        <v>437</v>
      </c>
      <c r="AN251" t="s" s="0">
        <v>384</v>
      </c>
      <c r="AO251" t="s" s="0">
        <v>78</v>
      </c>
      <c r="AP251" t="s" s="0">
        <v>78</v>
      </c>
      <c r="AQ251" t="s" s="0">
        <v>632</v>
      </c>
      <c r="AR251" t="s" s="0">
        <v>106</v>
      </c>
      <c r="AS251" t="s" s="0">
        <v>633</v>
      </c>
      <c r="AT251" t="s" s="0">
        <v>1373</v>
      </c>
      <c r="AU251" t="s" s="0">
        <v>83</v>
      </c>
      <c r="AV251" t="s" s="0">
        <v>83</v>
      </c>
      <c r="AW251" t="s" s="0">
        <v>1368</v>
      </c>
      <c r="AX251" t="s" s="0">
        <v>1374</v>
      </c>
      <c r="AY251" t="s" s="0">
        <v>2215</v>
      </c>
      <c r="AZ251" t="s" s="0">
        <v>279</v>
      </c>
      <c r="BA251" t="s" s="0">
        <v>248</v>
      </c>
      <c r="BB251" t="s" s="0">
        <v>77</v>
      </c>
      <c r="BC251" t="s" s="0">
        <v>83</v>
      </c>
      <c r="BD251" t="s" s="0">
        <v>83</v>
      </c>
      <c r="BE251" t="s" s="0">
        <v>83</v>
      </c>
      <c r="BF251" t="s" s="0">
        <v>83</v>
      </c>
      <c r="BG251" t="s" s="0">
        <v>83</v>
      </c>
      <c r="BH251" t="s" s="0">
        <v>83</v>
      </c>
      <c r="BI251" t="s" s="0">
        <v>6470</v>
      </c>
      <c r="BJ251" t="s" s="0">
        <v>6471</v>
      </c>
      <c r="BK251" t="s" s="498">
        <f>HYPERLINK("http://dx.doi.org/10.1136/bmjopen-2021-058215","http://dx.doi.org/10.1136/bmjopen-2021-058215")</f>
        <v>6472</v>
      </c>
      <c r="BL251" t="s" s="0">
        <v>83</v>
      </c>
      <c r="BM251" t="s" s="0">
        <v>83</v>
      </c>
      <c r="BN251" t="s" s="0">
        <v>148</v>
      </c>
      <c r="BO251" t="s" s="0">
        <v>669</v>
      </c>
      <c r="BP251" t="s" s="0">
        <v>670</v>
      </c>
      <c r="BQ251" t="s" s="0">
        <v>6473</v>
      </c>
      <c r="BR251" t="s" s="0">
        <v>6474</v>
      </c>
      <c r="BS251" t="s" s="0">
        <v>6475</v>
      </c>
      <c r="BT251" t="s" s="499">
        <f>HYPERLINK("https://www.webofscience.com/wos/woscc/full-record/WOS:000778054700035","View Record in Web of Science")</f>
        <v>126</v>
      </c>
      <c r="BU251" t="s" s="0">
        <v>391</v>
      </c>
      <c r="BV251" t="s" s="0">
        <v>83</v>
      </c>
      <c r="BW251" t="s" s="0">
        <v>83</v>
      </c>
      <c r="BX251" t="s" s="0">
        <v>130</v>
      </c>
    </row>
    <row r="252">
      <c r="A252" t="s" s="0">
        <v>78</v>
      </c>
      <c r="B252" t="s" s="0">
        <v>78</v>
      </c>
      <c r="C252" t="s" s="0">
        <v>78</v>
      </c>
      <c r="D252" t="s" s="0">
        <v>78</v>
      </c>
      <c r="E252" t="s" s="0">
        <v>6476</v>
      </c>
      <c r="F252" t="s" s="0">
        <v>6477</v>
      </c>
      <c r="G252" t="s" s="0">
        <v>6478</v>
      </c>
      <c r="H252" t="s" s="0">
        <v>83</v>
      </c>
      <c r="I252" t="s" s="0">
        <v>84</v>
      </c>
      <c r="J252" t="s" s="0">
        <v>6479</v>
      </c>
      <c r="K252" t="s" s="0">
        <v>6480</v>
      </c>
      <c r="L252" t="s" s="0">
        <v>6481</v>
      </c>
      <c r="M252" t="s" s="0">
        <v>6482</v>
      </c>
      <c r="N252" t="s" s="0">
        <v>6483</v>
      </c>
      <c r="O252" t="s" s="0">
        <v>6484</v>
      </c>
      <c r="P252" t="s" s="0">
        <v>6485</v>
      </c>
      <c r="Q252" t="s" s="0">
        <v>92</v>
      </c>
      <c r="R252" t="s" s="0">
        <v>83</v>
      </c>
      <c r="S252" t="s" s="0">
        <v>83</v>
      </c>
      <c r="T252" t="s" s="0">
        <v>83</v>
      </c>
      <c r="U252" t="s" s="0">
        <v>83</v>
      </c>
      <c r="V252" t="s" s="0">
        <v>6486</v>
      </c>
      <c r="W252" t="s" s="0">
        <v>6487</v>
      </c>
      <c r="X252" t="s" s="0">
        <v>83</v>
      </c>
      <c r="Y252" t="s" s="0">
        <v>83</v>
      </c>
      <c r="Z252" t="s" s="0">
        <v>95</v>
      </c>
      <c r="AA252" t="s" s="0">
        <v>96</v>
      </c>
      <c r="AB252" t="s" s="0">
        <v>83</v>
      </c>
      <c r="AC252" t="s" s="0">
        <v>83</v>
      </c>
      <c r="AD252" t="s" s="0">
        <v>83</v>
      </c>
      <c r="AE252" t="s" s="0">
        <v>83</v>
      </c>
      <c r="AF252" t="s" s="0">
        <v>83</v>
      </c>
      <c r="AG252" t="s" s="0">
        <v>6488</v>
      </c>
      <c r="AH252" t="s" s="0">
        <v>6489</v>
      </c>
      <c r="AI252" t="s" s="0">
        <v>6490</v>
      </c>
      <c r="AJ252" t="s" s="0">
        <v>83</v>
      </c>
      <c r="AK252" t="s" s="0">
        <v>83</v>
      </c>
      <c r="AL252" t="s" s="0">
        <v>2410</v>
      </c>
      <c r="AM252" t="s" s="0">
        <v>78</v>
      </c>
      <c r="AN252" t="s" s="0">
        <v>78</v>
      </c>
      <c r="AO252" t="s" s="0">
        <v>115</v>
      </c>
      <c r="AP252" t="s" s="0">
        <v>115</v>
      </c>
      <c r="AQ252" t="s" s="0">
        <v>378</v>
      </c>
      <c r="AR252" t="s" s="0">
        <v>106</v>
      </c>
      <c r="AS252" t="s" s="0">
        <v>379</v>
      </c>
      <c r="AT252" t="s" s="0">
        <v>83</v>
      </c>
      <c r="AU252" t="s" s="0">
        <v>6491</v>
      </c>
      <c r="AV252" t="s" s="0">
        <v>83</v>
      </c>
      <c r="AW252" t="s" s="0">
        <v>6492</v>
      </c>
      <c r="AX252" t="s" s="0">
        <v>6493</v>
      </c>
      <c r="AY252" t="s" s="0">
        <v>6494</v>
      </c>
      <c r="AZ252" t="s" s="0">
        <v>511</v>
      </c>
      <c r="BA252" t="s" s="0">
        <v>470</v>
      </c>
      <c r="BB252" t="s" s="0">
        <v>115</v>
      </c>
      <c r="BC252" t="s" s="0">
        <v>83</v>
      </c>
      <c r="BD252" t="s" s="0">
        <v>83</v>
      </c>
      <c r="BE252" t="s" s="0">
        <v>83</v>
      </c>
      <c r="BF252" t="s" s="0">
        <v>83</v>
      </c>
      <c r="BG252" t="s" s="0">
        <v>83</v>
      </c>
      <c r="BH252" t="s" s="0">
        <v>83</v>
      </c>
      <c r="BI252" t="s" s="0">
        <v>6495</v>
      </c>
      <c r="BJ252" t="s" s="0">
        <v>6496</v>
      </c>
      <c r="BK252" t="s" s="500">
        <f>HYPERLINK("http://dx.doi.org/10.1186/s12884-026-08904-w","http://dx.doi.org/10.1186/s12884-026-08904-w")</f>
        <v>6497</v>
      </c>
      <c r="BL252" t="s" s="0">
        <v>83</v>
      </c>
      <c r="BM252" t="s" s="0">
        <v>1523</v>
      </c>
      <c r="BN252" t="s" s="0">
        <v>374</v>
      </c>
      <c r="BO252" t="s" s="0">
        <v>2139</v>
      </c>
      <c r="BP252" t="s" s="0">
        <v>2139</v>
      </c>
      <c r="BQ252" t="s" s="0">
        <v>6498</v>
      </c>
      <c r="BR252" t="s" s="0">
        <v>6499</v>
      </c>
      <c r="BS252" t="s" s="0">
        <v>6500</v>
      </c>
      <c r="BT252" t="s" s="501">
        <f>HYPERLINK("https://www.webofscience.com/wos/woscc/full-record/WOS:001769750000001","View Record in Web of Science")</f>
        <v>126</v>
      </c>
      <c r="BU252" t="s" s="0">
        <v>210</v>
      </c>
      <c r="BV252" t="s" s="0">
        <v>83</v>
      </c>
      <c r="BW252" t="s" s="0">
        <v>83</v>
      </c>
      <c r="BX252" t="s" s="0">
        <v>130</v>
      </c>
    </row>
    <row r="253">
      <c r="A253" t="s" s="0">
        <v>78</v>
      </c>
      <c r="B253" t="s" s="0">
        <v>78</v>
      </c>
      <c r="C253" t="s" s="0">
        <v>211</v>
      </c>
      <c r="D253" t="s" s="0">
        <v>78</v>
      </c>
      <c r="E253" t="s" s="0">
        <v>6501</v>
      </c>
      <c r="F253" t="s" s="0">
        <v>6502</v>
      </c>
      <c r="G253" t="s" s="0">
        <v>6503</v>
      </c>
      <c r="H253" t="s" s="0">
        <v>83</v>
      </c>
      <c r="I253" t="s" s="0">
        <v>84</v>
      </c>
      <c r="J253" t="s" s="0">
        <v>6504</v>
      </c>
      <c r="K253" t="s" s="0">
        <v>6505</v>
      </c>
      <c r="L253" t="s" s="0">
        <v>6506</v>
      </c>
      <c r="M253" t="s" s="0">
        <v>6507</v>
      </c>
      <c r="N253" t="s" s="0">
        <v>6508</v>
      </c>
      <c r="O253" t="s" s="0">
        <v>6509</v>
      </c>
      <c r="P253" t="s" s="0">
        <v>6510</v>
      </c>
      <c r="Q253" t="s" s="0">
        <v>92</v>
      </c>
      <c r="R253" t="s" s="0">
        <v>83</v>
      </c>
      <c r="S253" t="s" s="0">
        <v>83</v>
      </c>
      <c r="T253" t="s" s="0">
        <v>83</v>
      </c>
      <c r="U253" t="s" s="0">
        <v>83</v>
      </c>
      <c r="V253" t="s" s="0">
        <v>6511</v>
      </c>
      <c r="W253" t="s" s="0">
        <v>3150</v>
      </c>
      <c r="X253" t="s" s="0">
        <v>83</v>
      </c>
      <c r="Y253" t="s" s="0">
        <v>83</v>
      </c>
      <c r="Z253" t="s" s="0">
        <v>95</v>
      </c>
      <c r="AA253" t="s" s="0">
        <v>96</v>
      </c>
      <c r="AB253" t="s" s="0">
        <v>83</v>
      </c>
      <c r="AC253" t="s" s="0">
        <v>83</v>
      </c>
      <c r="AD253" t="s" s="0">
        <v>83</v>
      </c>
      <c r="AE253" t="s" s="0">
        <v>83</v>
      </c>
      <c r="AF253" t="s" s="0">
        <v>83</v>
      </c>
      <c r="AG253" t="s" s="0">
        <v>6512</v>
      </c>
      <c r="AH253" t="s" s="0">
        <v>6513</v>
      </c>
      <c r="AI253" t="s" s="0">
        <v>6514</v>
      </c>
      <c r="AJ253" t="s" s="0">
        <v>6515</v>
      </c>
      <c r="AK253" t="s" s="0">
        <v>83</v>
      </c>
      <c r="AL253" t="s" s="0">
        <v>376</v>
      </c>
      <c r="AM253" t="s" s="0">
        <v>374</v>
      </c>
      <c r="AN253" t="s" s="0">
        <v>377</v>
      </c>
      <c r="AO253" t="s" s="0">
        <v>150</v>
      </c>
      <c r="AP253" t="s" s="0">
        <v>269</v>
      </c>
      <c r="AQ253" t="s" s="0">
        <v>830</v>
      </c>
      <c r="AR253" t="s" s="0">
        <v>831</v>
      </c>
      <c r="AS253" t="s" s="0">
        <v>832</v>
      </c>
      <c r="AT253" t="s" s="0">
        <v>3154</v>
      </c>
      <c r="AU253" t="s" s="0">
        <v>83</v>
      </c>
      <c r="AV253" t="s" s="0">
        <v>83</v>
      </c>
      <c r="AW253" t="s" s="0">
        <v>3155</v>
      </c>
      <c r="AX253" t="s" s="0">
        <v>3156</v>
      </c>
      <c r="AY253" t="s" s="0">
        <v>6250</v>
      </c>
      <c r="AZ253" t="s" s="0">
        <v>279</v>
      </c>
      <c r="BA253" t="s" s="0">
        <v>165</v>
      </c>
      <c r="BB253" t="s" s="0">
        <v>83</v>
      </c>
      <c r="BC253" t="s" s="0">
        <v>83</v>
      </c>
      <c r="BD253" t="s" s="0">
        <v>83</v>
      </c>
      <c r="BE253" t="s" s="0">
        <v>83</v>
      </c>
      <c r="BF253" t="s" s="0">
        <v>83</v>
      </c>
      <c r="BG253" t="s" s="0">
        <v>83</v>
      </c>
      <c r="BH253" t="s" s="0">
        <v>83</v>
      </c>
      <c r="BI253" t="s" s="0">
        <v>6516</v>
      </c>
      <c r="BJ253" t="s" s="0">
        <v>6517</v>
      </c>
      <c r="BK253" t="s" s="502">
        <f>HYPERLINK("http://dx.doi.org/10.3389/fcvm.2022.873597","http://dx.doi.org/10.3389/fcvm.2022.873597")</f>
        <v>6518</v>
      </c>
      <c r="BL253" t="s" s="0">
        <v>83</v>
      </c>
      <c r="BM253" t="s" s="0">
        <v>83</v>
      </c>
      <c r="BN253" t="s" s="0">
        <v>309</v>
      </c>
      <c r="BO253" t="s" s="0">
        <v>1133</v>
      </c>
      <c r="BP253" t="s" s="0">
        <v>1134</v>
      </c>
      <c r="BQ253" t="s" s="0">
        <v>6519</v>
      </c>
      <c r="BR253" t="s" s="0">
        <v>6520</v>
      </c>
      <c r="BS253" t="s" s="0">
        <v>6521</v>
      </c>
      <c r="BT253" t="s" s="503">
        <f>HYPERLINK("https://www.webofscience.com/wos/woscc/full-record/WOS:000806306300001","View Record in Web of Science")</f>
        <v>126</v>
      </c>
      <c r="BU253" t="s" s="0">
        <v>210</v>
      </c>
      <c r="BV253" t="s" s="0">
        <v>83</v>
      </c>
      <c r="BW253" t="s" s="0">
        <v>83</v>
      </c>
      <c r="BX253" t="s" s="0">
        <v>130</v>
      </c>
    </row>
    <row r="254">
      <c r="A254" t="s" s="0">
        <v>78</v>
      </c>
      <c r="B254" t="s" s="0">
        <v>78</v>
      </c>
      <c r="C254" t="s" s="0">
        <v>78</v>
      </c>
      <c r="D254" t="s" s="0">
        <v>78</v>
      </c>
      <c r="E254" t="s" s="0">
        <v>6522</v>
      </c>
      <c r="F254" t="s" s="0">
        <v>6523</v>
      </c>
      <c r="G254" t="s" s="0">
        <v>6524</v>
      </c>
      <c r="H254" t="s" s="0">
        <v>83</v>
      </c>
      <c r="I254" t="s" s="0">
        <v>84</v>
      </c>
      <c r="J254" t="s" s="0">
        <v>6525</v>
      </c>
      <c r="K254" t="s" s="0">
        <v>6526</v>
      </c>
      <c r="L254" t="s" s="0">
        <v>83</v>
      </c>
      <c r="M254" t="s" s="0">
        <v>83</v>
      </c>
      <c r="N254" t="s" s="0">
        <v>83</v>
      </c>
      <c r="O254" t="s" s="0">
        <v>6527</v>
      </c>
      <c r="P254" t="s" s="0">
        <v>6528</v>
      </c>
      <c r="Q254" t="s" s="0">
        <v>92</v>
      </c>
      <c r="R254" t="s" s="0">
        <v>83</v>
      </c>
      <c r="S254" t="s" s="0">
        <v>83</v>
      </c>
      <c r="T254" t="s" s="0">
        <v>83</v>
      </c>
      <c r="U254" t="s" s="0">
        <v>83</v>
      </c>
      <c r="V254" t="s" s="0">
        <v>6529</v>
      </c>
      <c r="W254" t="s" s="0">
        <v>6530</v>
      </c>
      <c r="X254" t="s" s="0">
        <v>83</v>
      </c>
      <c r="Y254" t="s" s="0">
        <v>83</v>
      </c>
      <c r="Z254" t="s" s="0">
        <v>95</v>
      </c>
      <c r="AA254" t="s" s="0">
        <v>96</v>
      </c>
      <c r="AB254" t="s" s="0">
        <v>83</v>
      </c>
      <c r="AC254" t="s" s="0">
        <v>83</v>
      </c>
      <c r="AD254" t="s" s="0">
        <v>83</v>
      </c>
      <c r="AE254" t="s" s="0">
        <v>83</v>
      </c>
      <c r="AF254" t="s" s="0">
        <v>83</v>
      </c>
      <c r="AG254" t="s" s="0">
        <v>6531</v>
      </c>
      <c r="AH254" t="s" s="0">
        <v>6532</v>
      </c>
      <c r="AI254" t="s" s="0">
        <v>6533</v>
      </c>
      <c r="AJ254" t="s" s="0">
        <v>83</v>
      </c>
      <c r="AK254" t="s" s="0">
        <v>83</v>
      </c>
      <c r="AL254" t="s" s="0">
        <v>4269</v>
      </c>
      <c r="AM254" t="s" s="0">
        <v>281</v>
      </c>
      <c r="AN254" t="s" s="0">
        <v>231</v>
      </c>
      <c r="AO254" t="s" s="0">
        <v>115</v>
      </c>
      <c r="AP254" t="s" s="0">
        <v>77</v>
      </c>
      <c r="AQ254" t="s" s="0">
        <v>1396</v>
      </c>
      <c r="AR254" t="s" s="0">
        <v>1091</v>
      </c>
      <c r="AS254" t="s" s="0">
        <v>1397</v>
      </c>
      <c r="AT254" t="s" s="0">
        <v>6534</v>
      </c>
      <c r="AU254" t="s" s="0">
        <v>6535</v>
      </c>
      <c r="AV254" t="s" s="0">
        <v>83</v>
      </c>
      <c r="AW254" t="s" s="0">
        <v>6536</v>
      </c>
      <c r="AX254" t="s" s="0">
        <v>6537</v>
      </c>
      <c r="AY254" t="s" s="0">
        <v>5939</v>
      </c>
      <c r="AZ254" t="s" s="0">
        <v>159</v>
      </c>
      <c r="BA254" t="s" s="0">
        <v>522</v>
      </c>
      <c r="BB254" t="s" s="0">
        <v>77</v>
      </c>
      <c r="BC254" t="s" s="0">
        <v>83</v>
      </c>
      <c r="BD254" t="s" s="0">
        <v>83</v>
      </c>
      <c r="BE254" t="s" s="0">
        <v>83</v>
      </c>
      <c r="BF254" t="s" s="0">
        <v>83</v>
      </c>
      <c r="BG254" t="s" s="0">
        <v>5166</v>
      </c>
      <c r="BH254" t="s" s="0">
        <v>1038</v>
      </c>
      <c r="BI254" t="s" s="0">
        <v>83</v>
      </c>
      <c r="BJ254" t="s" s="0">
        <v>6538</v>
      </c>
      <c r="BK254" t="s" s="504">
        <f>HYPERLINK("http://dx.doi.org/10.1097/HCR.0000000000000943","http://dx.doi.org/10.1097/HCR.0000000000000943")</f>
        <v>6539</v>
      </c>
      <c r="BL254" t="s" s="0">
        <v>83</v>
      </c>
      <c r="BM254" t="s" s="0">
        <v>83</v>
      </c>
      <c r="BN254" t="s" s="0">
        <v>232</v>
      </c>
      <c r="BO254" t="s" s="0">
        <v>1133</v>
      </c>
      <c r="BP254" t="s" s="0">
        <v>1134</v>
      </c>
      <c r="BQ254" t="s" s="0">
        <v>6540</v>
      </c>
      <c r="BR254" t="s" s="0">
        <v>6541</v>
      </c>
      <c r="BS254" t="s" s="0">
        <v>6542</v>
      </c>
      <c r="BT254" t="s" s="505">
        <f>HYPERLINK("https://www.webofscience.com/wos/woscc/full-record/WOS:001518809100001","View Record in Web of Science")</f>
        <v>126</v>
      </c>
      <c r="BU254" t="s" s="0">
        <v>83</v>
      </c>
      <c r="BV254" t="s" s="0">
        <v>83</v>
      </c>
      <c r="BW254" t="s" s="0">
        <v>83</v>
      </c>
      <c r="BX254" t="s" s="0">
        <v>130</v>
      </c>
    </row>
    <row r="255">
      <c r="A255" t="s" s="0">
        <v>78</v>
      </c>
      <c r="B255" t="s" s="0">
        <v>78</v>
      </c>
      <c r="C255" t="s" s="0">
        <v>358</v>
      </c>
      <c r="D255" t="s" s="0">
        <v>115</v>
      </c>
      <c r="E255" t="s" s="0">
        <v>5545</v>
      </c>
      <c r="F255" t="s" s="0">
        <v>6543</v>
      </c>
      <c r="G255" t="s" s="0">
        <v>5547</v>
      </c>
      <c r="H255" t="s" s="0">
        <v>83</v>
      </c>
      <c r="I255" t="s" s="0">
        <v>84</v>
      </c>
      <c r="J255" t="s" s="0">
        <v>6544</v>
      </c>
      <c r="K255" t="s" s="0">
        <v>6545</v>
      </c>
      <c r="L255" t="s" s="0">
        <v>6546</v>
      </c>
      <c r="M255" t="s" s="0">
        <v>6547</v>
      </c>
      <c r="N255" t="s" s="0">
        <v>6548</v>
      </c>
      <c r="O255" t="s" s="0">
        <v>6549</v>
      </c>
      <c r="P255" t="s" s="0">
        <v>5553</v>
      </c>
      <c r="Q255" t="s" s="0">
        <v>92</v>
      </c>
      <c r="R255" t="s" s="0">
        <v>83</v>
      </c>
      <c r="S255" t="s" s="0">
        <v>83</v>
      </c>
      <c r="T255" t="s" s="0">
        <v>83</v>
      </c>
      <c r="U255" t="s" s="0">
        <v>83</v>
      </c>
      <c r="V255" t="s" s="0">
        <v>6550</v>
      </c>
      <c r="W255" t="s" s="0">
        <v>369</v>
      </c>
      <c r="X255" t="s" s="0">
        <v>83</v>
      </c>
      <c r="Y255" t="s" s="0">
        <v>83</v>
      </c>
      <c r="Z255" t="s" s="0">
        <v>95</v>
      </c>
      <c r="AA255" t="s" s="0">
        <v>96</v>
      </c>
      <c r="AB255" t="s" s="0">
        <v>83</v>
      </c>
      <c r="AC255" t="s" s="0">
        <v>83</v>
      </c>
      <c r="AD255" t="s" s="0">
        <v>83</v>
      </c>
      <c r="AE255" t="s" s="0">
        <v>83</v>
      </c>
      <c r="AF255" t="s" s="0">
        <v>83</v>
      </c>
      <c r="AG255" t="s" s="0">
        <v>6551</v>
      </c>
      <c r="AH255" t="s" s="0">
        <v>83</v>
      </c>
      <c r="AI255" t="s" s="0">
        <v>6552</v>
      </c>
      <c r="AJ255" t="s" s="0">
        <v>6553</v>
      </c>
      <c r="AK255" t="s" s="0">
        <v>83</v>
      </c>
      <c r="AL255" t="s" s="0">
        <v>1404</v>
      </c>
      <c r="AM255" t="s" s="0">
        <v>443</v>
      </c>
      <c r="AN255" t="s" s="0">
        <v>1705</v>
      </c>
      <c r="AO255" t="s" s="0">
        <v>78</v>
      </c>
      <c r="AP255" t="s" s="0">
        <v>310</v>
      </c>
      <c r="AQ255" t="s" s="0">
        <v>378</v>
      </c>
      <c r="AR255" t="s" s="0">
        <v>106</v>
      </c>
      <c r="AS255" t="s" s="0">
        <v>379</v>
      </c>
      <c r="AT255" t="s" s="0">
        <v>83</v>
      </c>
      <c r="AU255" t="s" s="0">
        <v>380</v>
      </c>
      <c r="AV255" t="s" s="0">
        <v>83</v>
      </c>
      <c r="AW255" t="s" s="0">
        <v>381</v>
      </c>
      <c r="AX255" t="s" s="0">
        <v>382</v>
      </c>
      <c r="AY255" t="s" s="0">
        <v>6554</v>
      </c>
      <c r="AZ255" t="s" s="0">
        <v>279</v>
      </c>
      <c r="BA255" t="s" s="0">
        <v>437</v>
      </c>
      <c r="BB255" t="s" s="0">
        <v>115</v>
      </c>
      <c r="BC255" t="s" s="0">
        <v>83</v>
      </c>
      <c r="BD255" t="s" s="0">
        <v>83</v>
      </c>
      <c r="BE255" t="s" s="0">
        <v>83</v>
      </c>
      <c r="BF255" t="s" s="0">
        <v>83</v>
      </c>
      <c r="BG255" t="s" s="0">
        <v>83</v>
      </c>
      <c r="BH255" t="s" s="0">
        <v>83</v>
      </c>
      <c r="BI255" t="s" s="0">
        <v>248</v>
      </c>
      <c r="BJ255" t="s" s="0">
        <v>6555</v>
      </c>
      <c r="BK255" t="s" s="506">
        <f>HYPERLINK("http://dx.doi.org/10.1186/s12874-021-01469-6","http://dx.doi.org/10.1186/s12874-021-01469-6")</f>
        <v>6556</v>
      </c>
      <c r="BL255" t="s" s="0">
        <v>83</v>
      </c>
      <c r="BM255" t="s" s="0">
        <v>83</v>
      </c>
      <c r="BN255" t="s" s="0">
        <v>120</v>
      </c>
      <c r="BO255" t="s" s="0">
        <v>387</v>
      </c>
      <c r="BP255" t="s" s="0">
        <v>387</v>
      </c>
      <c r="BQ255" t="s" s="0">
        <v>6557</v>
      </c>
      <c r="BR255" t="s" s="0">
        <v>6558</v>
      </c>
      <c r="BS255" t="s" s="0">
        <v>6559</v>
      </c>
      <c r="BT255" t="s" s="507">
        <f>HYPERLINK("https://www.webofscience.com/wos/woscc/full-record/WOS:000742367600002","View Record in Web of Science")</f>
        <v>126</v>
      </c>
      <c r="BU255" t="s" s="0">
        <v>210</v>
      </c>
      <c r="BV255" t="s" s="0">
        <v>83</v>
      </c>
      <c r="BW255" t="s" s="0">
        <v>83</v>
      </c>
      <c r="BX255" t="s" s="0">
        <v>130</v>
      </c>
    </row>
    <row r="256">
      <c r="A256" t="s" s="0">
        <v>78</v>
      </c>
      <c r="B256" t="s" s="0">
        <v>78</v>
      </c>
      <c r="C256" t="s" s="0">
        <v>545</v>
      </c>
      <c r="D256" t="s" s="0">
        <v>78</v>
      </c>
      <c r="E256" t="s" s="0">
        <v>6560</v>
      </c>
      <c r="F256" t="s" s="0">
        <v>6561</v>
      </c>
      <c r="G256" t="s" s="0">
        <v>6562</v>
      </c>
      <c r="H256" t="s" s="0">
        <v>83</v>
      </c>
      <c r="I256" t="s" s="0">
        <v>84</v>
      </c>
      <c r="J256" t="s" s="0">
        <v>6563</v>
      </c>
      <c r="K256" t="s" s="0">
        <v>6564</v>
      </c>
      <c r="L256" t="s" s="0">
        <v>83</v>
      </c>
      <c r="M256" t="s" s="0">
        <v>83</v>
      </c>
      <c r="N256" t="s" s="0">
        <v>83</v>
      </c>
      <c r="O256" t="s" s="0">
        <v>6565</v>
      </c>
      <c r="P256" t="s" s="0">
        <v>6566</v>
      </c>
      <c r="Q256" t="s" s="0">
        <v>92</v>
      </c>
      <c r="R256" t="s" s="0">
        <v>83</v>
      </c>
      <c r="S256" t="s" s="0">
        <v>83</v>
      </c>
      <c r="T256" t="s" s="0">
        <v>83</v>
      </c>
      <c r="U256" t="s" s="0">
        <v>83</v>
      </c>
      <c r="V256" t="s" s="0">
        <v>6567</v>
      </c>
      <c r="W256" t="s" s="0">
        <v>1319</v>
      </c>
      <c r="X256" t="s" s="0">
        <v>83</v>
      </c>
      <c r="Y256" t="s" s="0">
        <v>83</v>
      </c>
      <c r="Z256" t="s" s="0">
        <v>95</v>
      </c>
      <c r="AA256" t="s" s="0">
        <v>96</v>
      </c>
      <c r="AB256" t="s" s="0">
        <v>83</v>
      </c>
      <c r="AC256" t="s" s="0">
        <v>83</v>
      </c>
      <c r="AD256" t="s" s="0">
        <v>83</v>
      </c>
      <c r="AE256" t="s" s="0">
        <v>83</v>
      </c>
      <c r="AF256" t="s" s="0">
        <v>83</v>
      </c>
      <c r="AG256" t="s" s="0">
        <v>6568</v>
      </c>
      <c r="AH256" t="s" s="0">
        <v>6569</v>
      </c>
      <c r="AI256" t="s" s="0">
        <v>6570</v>
      </c>
      <c r="AJ256" t="s" s="0">
        <v>6571</v>
      </c>
      <c r="AK256" t="s" s="0">
        <v>83</v>
      </c>
      <c r="AL256" t="s" s="0">
        <v>407</v>
      </c>
      <c r="AM256" t="s" s="0">
        <v>281</v>
      </c>
      <c r="AN256" t="s" s="0">
        <v>281</v>
      </c>
      <c r="AO256" t="s" s="0">
        <v>78</v>
      </c>
      <c r="AP256" t="s" s="0">
        <v>148</v>
      </c>
      <c r="AQ256" t="s" s="0">
        <v>805</v>
      </c>
      <c r="AR256" t="s" s="0">
        <v>806</v>
      </c>
      <c r="AS256" t="s" s="0">
        <v>807</v>
      </c>
      <c r="AT256" t="s" s="0">
        <v>83</v>
      </c>
      <c r="AU256" t="s" s="0">
        <v>1324</v>
      </c>
      <c r="AV256" t="s" s="0">
        <v>83</v>
      </c>
      <c r="AW256" t="s" s="0">
        <v>1319</v>
      </c>
      <c r="AX256" t="s" s="0">
        <v>1325</v>
      </c>
      <c r="AY256" t="s" s="0">
        <v>5466</v>
      </c>
      <c r="AZ256" t="s" s="0">
        <v>241</v>
      </c>
      <c r="BA256" t="s" s="0">
        <v>309</v>
      </c>
      <c r="BB256" t="s" s="0">
        <v>281</v>
      </c>
      <c r="BC256" t="s" s="0">
        <v>83</v>
      </c>
      <c r="BD256" t="s" s="0">
        <v>83</v>
      </c>
      <c r="BE256" t="s" s="0">
        <v>83</v>
      </c>
      <c r="BF256" t="s" s="0">
        <v>83</v>
      </c>
      <c r="BG256" t="s" s="0">
        <v>83</v>
      </c>
      <c r="BH256" t="s" s="0">
        <v>83</v>
      </c>
      <c r="BI256" t="s" s="0">
        <v>6572</v>
      </c>
      <c r="BJ256" t="s" s="0">
        <v>6573</v>
      </c>
      <c r="BK256" t="s" s="508">
        <f>HYPERLINK("http://dx.doi.org/10.3390/cancers15051525","http://dx.doi.org/10.3390/cancers15051525")</f>
        <v>6574</v>
      </c>
      <c r="BL256" t="s" s="0">
        <v>83</v>
      </c>
      <c r="BM256" t="s" s="0">
        <v>83</v>
      </c>
      <c r="BN256" t="s" s="0">
        <v>309</v>
      </c>
      <c r="BO256" t="s" s="0">
        <v>840</v>
      </c>
      <c r="BP256" t="s" s="0">
        <v>840</v>
      </c>
      <c r="BQ256" t="s" s="0">
        <v>6575</v>
      </c>
      <c r="BR256" t="s" s="0">
        <v>6576</v>
      </c>
      <c r="BS256" t="s" s="0">
        <v>6577</v>
      </c>
      <c r="BT256" t="s" s="509">
        <f>HYPERLINK("https://www.webofscience.com/wos/woscc/full-record/WOS:000946947700001","View Record in Web of Science")</f>
        <v>126</v>
      </c>
      <c r="BU256" t="s" s="0">
        <v>868</v>
      </c>
      <c r="BV256" t="s" s="0">
        <v>83</v>
      </c>
      <c r="BW256" t="s" s="0">
        <v>83</v>
      </c>
      <c r="BX256" t="s" s="0">
        <v>130</v>
      </c>
    </row>
    <row r="257">
      <c r="A257" t="s" s="0">
        <v>150</v>
      </c>
      <c r="B257" t="s" s="0">
        <v>78</v>
      </c>
      <c r="C257" t="s" s="0">
        <v>545</v>
      </c>
      <c r="D257" t="s" s="0">
        <v>78</v>
      </c>
      <c r="E257" t="s" s="0">
        <v>6578</v>
      </c>
      <c r="F257" t="s" s="0">
        <v>6579</v>
      </c>
      <c r="G257" t="s" s="0">
        <v>6580</v>
      </c>
      <c r="H257" t="s" s="0">
        <v>83</v>
      </c>
      <c r="I257" t="s" s="0">
        <v>84</v>
      </c>
      <c r="J257" t="s" s="0">
        <v>6581</v>
      </c>
      <c r="K257" t="s" s="0">
        <v>6582</v>
      </c>
      <c r="L257" t="s" s="0">
        <v>6583</v>
      </c>
      <c r="M257" t="s" s="0">
        <v>6584</v>
      </c>
      <c r="N257" t="s" s="0">
        <v>6585</v>
      </c>
      <c r="O257" t="s" s="0">
        <v>6586</v>
      </c>
      <c r="P257" t="s" s="0">
        <v>6587</v>
      </c>
      <c r="Q257" t="s" s="0">
        <v>92</v>
      </c>
      <c r="R257" t="s" s="0">
        <v>83</v>
      </c>
      <c r="S257" t="s" s="0">
        <v>83</v>
      </c>
      <c r="T257" t="s" s="0">
        <v>83</v>
      </c>
      <c r="U257" t="s" s="0">
        <v>83</v>
      </c>
      <c r="V257" t="s" s="0">
        <v>6588</v>
      </c>
      <c r="W257" t="s" s="0">
        <v>6589</v>
      </c>
      <c r="X257" t="s" s="0">
        <v>83</v>
      </c>
      <c r="Y257" t="s" s="0">
        <v>83</v>
      </c>
      <c r="Z257" t="s" s="0">
        <v>95</v>
      </c>
      <c r="AA257" t="s" s="0">
        <v>96</v>
      </c>
      <c r="AB257" t="s" s="0">
        <v>83</v>
      </c>
      <c r="AC257" t="s" s="0">
        <v>83</v>
      </c>
      <c r="AD257" t="s" s="0">
        <v>83</v>
      </c>
      <c r="AE257" t="s" s="0">
        <v>83</v>
      </c>
      <c r="AF257" t="s" s="0">
        <v>83</v>
      </c>
      <c r="AG257" t="s" s="0">
        <v>6590</v>
      </c>
      <c r="AH257" t="s" s="0">
        <v>6591</v>
      </c>
      <c r="AI257" t="s" s="0">
        <v>6592</v>
      </c>
      <c r="AJ257" t="s" s="0">
        <v>6593</v>
      </c>
      <c r="AK257" t="s" s="0">
        <v>83</v>
      </c>
      <c r="AL257" t="s" s="0">
        <v>191</v>
      </c>
      <c r="AM257" t="s" s="0">
        <v>309</v>
      </c>
      <c r="AN257" t="s" s="0">
        <v>310</v>
      </c>
      <c r="AO257" t="s" s="0">
        <v>545</v>
      </c>
      <c r="AP257" t="s" s="0">
        <v>280</v>
      </c>
      <c r="AQ257" t="s" s="0">
        <v>151</v>
      </c>
      <c r="AR257" t="s" s="0">
        <v>152</v>
      </c>
      <c r="AS257" t="s" s="0">
        <v>153</v>
      </c>
      <c r="AT257" t="s" s="0">
        <v>6594</v>
      </c>
      <c r="AU257" t="s" s="0">
        <v>6595</v>
      </c>
      <c r="AV257" t="s" s="0">
        <v>83</v>
      </c>
      <c r="AW257" t="s" s="0">
        <v>6596</v>
      </c>
      <c r="AX257" t="s" s="0">
        <v>6597</v>
      </c>
      <c r="AY257" t="s" s="0">
        <v>6162</v>
      </c>
      <c r="AZ257" t="s" s="0">
        <v>412</v>
      </c>
      <c r="BA257" t="s" s="0">
        <v>79</v>
      </c>
      <c r="BB257" t="s" s="0">
        <v>232</v>
      </c>
      <c r="BC257" t="s" s="0">
        <v>83</v>
      </c>
      <c r="BD257" t="s" s="0">
        <v>83</v>
      </c>
      <c r="BE257" t="s" s="0">
        <v>83</v>
      </c>
      <c r="BF257" t="s" s="0">
        <v>83</v>
      </c>
      <c r="BG257" t="s" s="0">
        <v>6598</v>
      </c>
      <c r="BH257" t="s" s="0">
        <v>6599</v>
      </c>
      <c r="BI257" t="s" s="0">
        <v>83</v>
      </c>
      <c r="BJ257" t="s" s="0">
        <v>6600</v>
      </c>
      <c r="BK257" t="s" s="510">
        <f>HYPERLINK("http://dx.doi.org/10.1016/j.cmi.2024.07.005","http://dx.doi.org/10.1016/j.cmi.2024.07.005")</f>
        <v>6601</v>
      </c>
      <c r="BL257" t="s" s="0">
        <v>83</v>
      </c>
      <c r="BM257" t="s" s="0">
        <v>6602</v>
      </c>
      <c r="BN257" t="s" s="0">
        <v>211</v>
      </c>
      <c r="BO257" t="s" s="0">
        <v>6603</v>
      </c>
      <c r="BP257" t="s" s="0">
        <v>6603</v>
      </c>
      <c r="BQ257" t="s" s="0">
        <v>6604</v>
      </c>
      <c r="BR257" t="s" s="0">
        <v>6605</v>
      </c>
      <c r="BS257" t="s" s="0">
        <v>6606</v>
      </c>
      <c r="BT257" t="s" s="511">
        <f>HYPERLINK("https://www.webofscience.com/wos/woscc/full-record/WOS:001336237700001","View Record in Web of Science")</f>
        <v>126</v>
      </c>
      <c r="BU257" t="s" s="0">
        <v>83</v>
      </c>
      <c r="BV257" t="s" s="0">
        <v>83</v>
      </c>
      <c r="BW257" t="s" s="0">
        <v>83</v>
      </c>
      <c r="BX257" t="s" s="0">
        <v>130</v>
      </c>
    </row>
    <row r="258">
      <c r="A258" t="s" s="0">
        <v>78</v>
      </c>
      <c r="B258" t="s" s="0">
        <v>78</v>
      </c>
      <c r="C258" t="s" s="0">
        <v>248</v>
      </c>
      <c r="D258" t="s" s="0">
        <v>78</v>
      </c>
      <c r="E258" t="s" s="0">
        <v>6607</v>
      </c>
      <c r="F258" t="s" s="0">
        <v>6608</v>
      </c>
      <c r="G258" t="s" s="0">
        <v>6609</v>
      </c>
      <c r="H258" t="s" s="0">
        <v>83</v>
      </c>
      <c r="I258" t="s" s="0">
        <v>84</v>
      </c>
      <c r="J258" t="s" s="0">
        <v>6610</v>
      </c>
      <c r="K258" t="s" s="0">
        <v>6611</v>
      </c>
      <c r="L258" t="s" s="0">
        <v>6612</v>
      </c>
      <c r="M258" t="s" s="0">
        <v>6613</v>
      </c>
      <c r="N258" t="s" s="0">
        <v>6614</v>
      </c>
      <c r="O258" t="s" s="0">
        <v>6615</v>
      </c>
      <c r="P258" t="s" s="0">
        <v>6616</v>
      </c>
      <c r="Q258" t="s" s="0">
        <v>92</v>
      </c>
      <c r="R258" t="s" s="0">
        <v>83</v>
      </c>
      <c r="S258" t="s" s="0">
        <v>83</v>
      </c>
      <c r="T258" t="s" s="0">
        <v>83</v>
      </c>
      <c r="U258" t="s" s="0">
        <v>83</v>
      </c>
      <c r="V258" t="s" s="0">
        <v>6617</v>
      </c>
      <c r="W258" t="s" s="0">
        <v>6618</v>
      </c>
      <c r="X258" t="s" s="0">
        <v>83</v>
      </c>
      <c r="Y258" t="s" s="0">
        <v>83</v>
      </c>
      <c r="Z258" t="s" s="0">
        <v>95</v>
      </c>
      <c r="AA258" t="s" s="0">
        <v>96</v>
      </c>
      <c r="AB258" t="s" s="0">
        <v>83</v>
      </c>
      <c r="AC258" t="s" s="0">
        <v>83</v>
      </c>
      <c r="AD258" t="s" s="0">
        <v>83</v>
      </c>
      <c r="AE258" t="s" s="0">
        <v>83</v>
      </c>
      <c r="AF258" t="s" s="0">
        <v>83</v>
      </c>
      <c r="AG258" t="s" s="0">
        <v>83</v>
      </c>
      <c r="AH258" t="s" s="0">
        <v>6619</v>
      </c>
      <c r="AI258" t="s" s="0">
        <v>6620</v>
      </c>
      <c r="AJ258" t="s" s="0">
        <v>6621</v>
      </c>
      <c r="AK258" t="s" s="0">
        <v>83</v>
      </c>
      <c r="AL258" t="s" s="0">
        <v>1591</v>
      </c>
      <c r="AM258" t="s" s="0">
        <v>631</v>
      </c>
      <c r="AN258" t="s" s="0">
        <v>1098</v>
      </c>
      <c r="AO258" t="s" s="0">
        <v>78</v>
      </c>
      <c r="AP258" t="s" s="0">
        <v>148</v>
      </c>
      <c r="AQ258" t="s" s="0">
        <v>6622</v>
      </c>
      <c r="AR258" t="s" s="0">
        <v>1091</v>
      </c>
      <c r="AS258" t="s" s="0">
        <v>6623</v>
      </c>
      <c r="AT258" t="s" s="0">
        <v>6624</v>
      </c>
      <c r="AU258" t="s" s="0">
        <v>6625</v>
      </c>
      <c r="AV258" t="s" s="0">
        <v>83</v>
      </c>
      <c r="AW258" t="s" s="0">
        <v>6626</v>
      </c>
      <c r="AX258" t="s" s="0">
        <v>6627</v>
      </c>
      <c r="AY258" t="s" s="0">
        <v>2344</v>
      </c>
      <c r="AZ258" t="s" s="0">
        <v>412</v>
      </c>
      <c r="BA258" t="s" s="0">
        <v>6628</v>
      </c>
      <c r="BB258" t="s" s="0">
        <v>77</v>
      </c>
      <c r="BC258" t="s" s="0">
        <v>83</v>
      </c>
      <c r="BD258" t="s" s="0">
        <v>83</v>
      </c>
      <c r="BE258" t="s" s="0">
        <v>83</v>
      </c>
      <c r="BF258" t="s" s="0">
        <v>83</v>
      </c>
      <c r="BG258" t="s" s="0">
        <v>6629</v>
      </c>
      <c r="BH258" t="s" s="0">
        <v>6630</v>
      </c>
      <c r="BI258" t="s" s="0">
        <v>83</v>
      </c>
      <c r="BJ258" t="s" s="0">
        <v>6631</v>
      </c>
      <c r="BK258" t="s" s="512">
        <f>HYPERLINK("http://dx.doi.org/10.7326/M23-2960","http://dx.doi.org/10.7326/M23-2960")</f>
        <v>6632</v>
      </c>
      <c r="BL258" t="s" s="0">
        <v>83</v>
      </c>
      <c r="BM258" t="s" s="0">
        <v>3497</v>
      </c>
      <c r="BN258" t="s" s="0">
        <v>120</v>
      </c>
      <c r="BO258" t="s" s="0">
        <v>669</v>
      </c>
      <c r="BP258" t="s" s="0">
        <v>670</v>
      </c>
      <c r="BQ258" t="s" s="0">
        <v>6633</v>
      </c>
      <c r="BR258" t="s" s="0">
        <v>6634</v>
      </c>
      <c r="BS258" t="s" s="0">
        <v>6635</v>
      </c>
      <c r="BT258" t="s" s="513">
        <f>HYPERLINK("https://www.webofscience.com/wos/woscc/full-record/WOS:001185724300001","View Record in Web of Science")</f>
        <v>126</v>
      </c>
      <c r="BU258" t="s" s="0">
        <v>83</v>
      </c>
      <c r="BV258" t="s" s="0">
        <v>128</v>
      </c>
      <c r="BW258" t="s" s="0">
        <v>129</v>
      </c>
      <c r="BX258" t="s" s="0">
        <v>130</v>
      </c>
    </row>
    <row r="259">
      <c r="A259" t="s" s="0">
        <v>78</v>
      </c>
      <c r="B259" t="s" s="0">
        <v>78</v>
      </c>
      <c r="C259" t="s" s="0">
        <v>115</v>
      </c>
      <c r="D259" t="s" s="0">
        <v>78</v>
      </c>
      <c r="E259" t="s" s="0">
        <v>6636</v>
      </c>
      <c r="F259" t="s" s="0">
        <v>6637</v>
      </c>
      <c r="G259" t="s" s="0">
        <v>6638</v>
      </c>
      <c r="H259" t="s" s="0">
        <v>83</v>
      </c>
      <c r="I259" t="s" s="0">
        <v>84</v>
      </c>
      <c r="J259" t="s" s="0">
        <v>6639</v>
      </c>
      <c r="K259" t="s" s="0">
        <v>6640</v>
      </c>
      <c r="L259" t="s" s="0">
        <v>6641</v>
      </c>
      <c r="M259" t="s" s="0">
        <v>6642</v>
      </c>
      <c r="N259" t="s" s="0">
        <v>6643</v>
      </c>
      <c r="O259" t="s" s="0">
        <v>6644</v>
      </c>
      <c r="P259" t="s" s="0">
        <v>6645</v>
      </c>
      <c r="Q259" t="s" s="0">
        <v>92</v>
      </c>
      <c r="R259" t="s" s="0">
        <v>83</v>
      </c>
      <c r="S259" t="s" s="0">
        <v>83</v>
      </c>
      <c r="T259" t="s" s="0">
        <v>83</v>
      </c>
      <c r="U259" t="s" s="0">
        <v>83</v>
      </c>
      <c r="V259" t="s" s="0">
        <v>6646</v>
      </c>
      <c r="W259" t="s" s="0">
        <v>942</v>
      </c>
      <c r="X259" t="s" s="0">
        <v>83</v>
      </c>
      <c r="Y259" t="s" s="0">
        <v>83</v>
      </c>
      <c r="Z259" t="s" s="0">
        <v>95</v>
      </c>
      <c r="AA259" t="s" s="0">
        <v>96</v>
      </c>
      <c r="AB259" t="s" s="0">
        <v>83</v>
      </c>
      <c r="AC259" t="s" s="0">
        <v>83</v>
      </c>
      <c r="AD259" t="s" s="0">
        <v>83</v>
      </c>
      <c r="AE259" t="s" s="0">
        <v>83</v>
      </c>
      <c r="AF259" t="s" s="0">
        <v>83</v>
      </c>
      <c r="AG259" t="s" s="0">
        <v>6647</v>
      </c>
      <c r="AH259" t="s" s="0">
        <v>6648</v>
      </c>
      <c r="AI259" t="s" s="0">
        <v>6649</v>
      </c>
      <c r="AJ259" t="s" s="0">
        <v>6650</v>
      </c>
      <c r="AK259" t="s" s="0">
        <v>83</v>
      </c>
      <c r="AL259" t="s" s="0">
        <v>1901</v>
      </c>
      <c r="AM259" t="s" s="0">
        <v>545</v>
      </c>
      <c r="AN259" t="s" s="0">
        <v>545</v>
      </c>
      <c r="AO259" t="s" s="0">
        <v>78</v>
      </c>
      <c r="AP259" t="s" s="0">
        <v>269</v>
      </c>
      <c r="AQ259" t="s" s="0">
        <v>378</v>
      </c>
      <c r="AR259" t="s" s="0">
        <v>106</v>
      </c>
      <c r="AS259" t="s" s="0">
        <v>379</v>
      </c>
      <c r="AT259" t="s" s="0">
        <v>83</v>
      </c>
      <c r="AU259" t="s" s="0">
        <v>947</v>
      </c>
      <c r="AV259" t="s" s="0">
        <v>83</v>
      </c>
      <c r="AW259" t="s" s="0">
        <v>948</v>
      </c>
      <c r="AX259" t="s" s="0">
        <v>949</v>
      </c>
      <c r="AY259" t="s" s="0">
        <v>6651</v>
      </c>
      <c r="AZ259" t="s" s="0">
        <v>637</v>
      </c>
      <c r="BA259" t="s" s="0">
        <v>211</v>
      </c>
      <c r="BB259" t="s" s="0">
        <v>115</v>
      </c>
      <c r="BC259" t="s" s="0">
        <v>83</v>
      </c>
      <c r="BD259" t="s" s="0">
        <v>83</v>
      </c>
      <c r="BE259" t="s" s="0">
        <v>83</v>
      </c>
      <c r="BF259" t="s" s="0">
        <v>83</v>
      </c>
      <c r="BG259" t="s" s="0">
        <v>83</v>
      </c>
      <c r="BH259" t="s" s="0">
        <v>83</v>
      </c>
      <c r="BI259" t="s" s="0">
        <v>1878</v>
      </c>
      <c r="BJ259" t="s" s="0">
        <v>6652</v>
      </c>
      <c r="BK259" t="s" s="514">
        <f>HYPERLINK("http://dx.doi.org/10.1186/s13643-021-01683-9","http://dx.doi.org/10.1186/s13643-021-01683-9")</f>
        <v>6653</v>
      </c>
      <c r="BL259" t="s" s="0">
        <v>83</v>
      </c>
      <c r="BM259" t="s" s="0">
        <v>83</v>
      </c>
      <c r="BN259" t="s" s="0">
        <v>165</v>
      </c>
      <c r="BO259" t="s" s="0">
        <v>669</v>
      </c>
      <c r="BP259" t="s" s="0">
        <v>670</v>
      </c>
      <c r="BQ259" t="s" s="0">
        <v>6654</v>
      </c>
      <c r="BR259" t="s" s="0">
        <v>6655</v>
      </c>
      <c r="BS259" t="s" s="0">
        <v>6656</v>
      </c>
      <c r="BT259" t="s" s="515">
        <f>HYPERLINK("https://www.webofscience.com/wos/woscc/full-record/WOS:000651804000001","View Record in Web of Science")</f>
        <v>126</v>
      </c>
      <c r="BU259" t="s" s="0">
        <v>210</v>
      </c>
      <c r="BV259" t="s" s="0">
        <v>83</v>
      </c>
      <c r="BW259" t="s" s="0">
        <v>83</v>
      </c>
      <c r="BX259" t="s" s="0">
        <v>130</v>
      </c>
    </row>
    <row r="260">
      <c r="A260" t="s" s="0">
        <v>78</v>
      </c>
      <c r="B260" t="s" s="0">
        <v>78</v>
      </c>
      <c r="C260" t="s" s="0">
        <v>149</v>
      </c>
      <c r="D260" t="s" s="0">
        <v>78</v>
      </c>
      <c r="E260" t="s" s="0">
        <v>6657</v>
      </c>
      <c r="F260" t="s" s="0">
        <v>6658</v>
      </c>
      <c r="G260" t="s" s="0">
        <v>6659</v>
      </c>
      <c r="H260" t="s" s="0">
        <v>83</v>
      </c>
      <c r="I260" t="s" s="0">
        <v>84</v>
      </c>
      <c r="J260" t="s" s="0">
        <v>6660</v>
      </c>
      <c r="K260" t="s" s="0">
        <v>6661</v>
      </c>
      <c r="L260" t="s" s="0">
        <v>83</v>
      </c>
      <c r="M260" t="s" s="0">
        <v>83</v>
      </c>
      <c r="N260" t="s" s="0">
        <v>83</v>
      </c>
      <c r="O260" t="s" s="0">
        <v>6662</v>
      </c>
      <c r="P260" t="s" s="0">
        <v>6663</v>
      </c>
      <c r="Q260" t="s" s="0">
        <v>92</v>
      </c>
      <c r="R260" t="s" s="0">
        <v>83</v>
      </c>
      <c r="S260" t="s" s="0">
        <v>83</v>
      </c>
      <c r="T260" t="s" s="0">
        <v>83</v>
      </c>
      <c r="U260" t="s" s="0">
        <v>83</v>
      </c>
      <c r="V260" t="s" s="0">
        <v>6664</v>
      </c>
      <c r="W260" t="s" s="0">
        <v>6665</v>
      </c>
      <c r="X260" t="s" s="0">
        <v>83</v>
      </c>
      <c r="Y260" t="s" s="0">
        <v>83</v>
      </c>
      <c r="Z260" t="s" s="0">
        <v>95</v>
      </c>
      <c r="AA260" t="s" s="0">
        <v>96</v>
      </c>
      <c r="AB260" t="s" s="0">
        <v>83</v>
      </c>
      <c r="AC260" t="s" s="0">
        <v>83</v>
      </c>
      <c r="AD260" t="s" s="0">
        <v>83</v>
      </c>
      <c r="AE260" t="s" s="0">
        <v>83</v>
      </c>
      <c r="AF260" t="s" s="0">
        <v>83</v>
      </c>
      <c r="AG260" t="s" s="0">
        <v>6666</v>
      </c>
      <c r="AH260" t="s" s="0">
        <v>6667</v>
      </c>
      <c r="AI260" t="s" s="0">
        <v>6668</v>
      </c>
      <c r="AJ260" t="s" s="0">
        <v>6669</v>
      </c>
      <c r="AK260" t="s" s="0">
        <v>83</v>
      </c>
      <c r="AL260" t="s" s="0">
        <v>6670</v>
      </c>
      <c r="AM260" t="s" s="0">
        <v>191</v>
      </c>
      <c r="AN260" t="s" s="0">
        <v>147</v>
      </c>
      <c r="AO260" t="s" s="0">
        <v>115</v>
      </c>
      <c r="AP260" t="s" s="0">
        <v>516</v>
      </c>
      <c r="AQ260" t="s" s="0">
        <v>271</v>
      </c>
      <c r="AR260" t="s" s="0">
        <v>272</v>
      </c>
      <c r="AS260" t="s" s="0">
        <v>273</v>
      </c>
      <c r="AT260" t="s" s="0">
        <v>6671</v>
      </c>
      <c r="AU260" t="s" s="0">
        <v>6672</v>
      </c>
      <c r="AV260" t="s" s="0">
        <v>83</v>
      </c>
      <c r="AW260" t="s" s="0">
        <v>6673</v>
      </c>
      <c r="AX260" t="s" s="0">
        <v>6674</v>
      </c>
      <c r="AY260" t="s" s="0">
        <v>6675</v>
      </c>
      <c r="AZ260" t="s" s="0">
        <v>279</v>
      </c>
      <c r="BA260" t="s" s="0">
        <v>309</v>
      </c>
      <c r="BB260" t="s" s="0">
        <v>248</v>
      </c>
      <c r="BC260" t="s" s="0">
        <v>83</v>
      </c>
      <c r="BD260" t="s" s="0">
        <v>83</v>
      </c>
      <c r="BE260" t="s" s="0">
        <v>83</v>
      </c>
      <c r="BF260" t="s" s="0">
        <v>83</v>
      </c>
      <c r="BG260" t="s" s="0">
        <v>4833</v>
      </c>
      <c r="BH260" t="s" s="0">
        <v>6676</v>
      </c>
      <c r="BI260" t="s" s="0">
        <v>83</v>
      </c>
      <c r="BJ260" t="s" s="0">
        <v>6677</v>
      </c>
      <c r="BK260" t="s" s="516">
        <f>HYPERLINK("http://dx.doi.org/10.1093/ckj/sfac181","http://dx.doi.org/10.1093/ckj/sfac181")</f>
        <v>6678</v>
      </c>
      <c r="BL260" t="s" s="0">
        <v>83</v>
      </c>
      <c r="BM260" t="s" s="0">
        <v>3132</v>
      </c>
      <c r="BN260" t="s" s="0">
        <v>309</v>
      </c>
      <c r="BO260" t="s" s="0">
        <v>4216</v>
      </c>
      <c r="BP260" t="s" s="0">
        <v>4216</v>
      </c>
      <c r="BQ260" t="s" s="0">
        <v>6679</v>
      </c>
      <c r="BR260" t="s" s="0">
        <v>6680</v>
      </c>
      <c r="BS260" t="s" s="0">
        <v>6681</v>
      </c>
      <c r="BT260" t="s" s="517">
        <f>HYPERLINK("https://www.webofscience.com/wos/woscc/full-record/WOS:000843575400001","View Record in Web of Science")</f>
        <v>126</v>
      </c>
      <c r="BU260" t="s" s="0">
        <v>6035</v>
      </c>
      <c r="BV260" t="s" s="0">
        <v>83</v>
      </c>
      <c r="BW260" t="s" s="0">
        <v>83</v>
      </c>
      <c r="BX260" t="s" s="0">
        <v>130</v>
      </c>
    </row>
    <row r="261">
      <c r="A261" t="s" s="0">
        <v>115</v>
      </c>
      <c r="B261" t="s" s="0">
        <v>78</v>
      </c>
      <c r="C261" t="s" s="0">
        <v>281</v>
      </c>
      <c r="D261" t="s" s="0">
        <v>78</v>
      </c>
      <c r="E261" t="s" s="0">
        <v>6682</v>
      </c>
      <c r="F261" t="s" s="0">
        <v>6683</v>
      </c>
      <c r="G261" t="s" s="0">
        <v>6684</v>
      </c>
      <c r="H261" t="s" s="0">
        <v>83</v>
      </c>
      <c r="I261" t="s" s="0">
        <v>84</v>
      </c>
      <c r="J261" t="s" s="0">
        <v>6685</v>
      </c>
      <c r="K261" t="s" s="0">
        <v>6686</v>
      </c>
      <c r="L261" t="s" s="0">
        <v>83</v>
      </c>
      <c r="M261" t="s" s="0">
        <v>83</v>
      </c>
      <c r="N261" t="s" s="0">
        <v>83</v>
      </c>
      <c r="O261" t="s" s="0">
        <v>6687</v>
      </c>
      <c r="P261" t="s" s="0">
        <v>6688</v>
      </c>
      <c r="Q261" t="s" s="0">
        <v>92</v>
      </c>
      <c r="R261" t="s" s="0">
        <v>83</v>
      </c>
      <c r="S261" t="s" s="0">
        <v>83</v>
      </c>
      <c r="T261" t="s" s="0">
        <v>83</v>
      </c>
      <c r="U261" t="s" s="0">
        <v>83</v>
      </c>
      <c r="V261" t="s" s="0">
        <v>6689</v>
      </c>
      <c r="W261" t="s" s="0">
        <v>4124</v>
      </c>
      <c r="X261" t="s" s="0">
        <v>83</v>
      </c>
      <c r="Y261" t="s" s="0">
        <v>83</v>
      </c>
      <c r="Z261" t="s" s="0">
        <v>95</v>
      </c>
      <c r="AA261" t="s" s="0">
        <v>96</v>
      </c>
      <c r="AB261" t="s" s="0">
        <v>83</v>
      </c>
      <c r="AC261" t="s" s="0">
        <v>83</v>
      </c>
      <c r="AD261" t="s" s="0">
        <v>83</v>
      </c>
      <c r="AE261" t="s" s="0">
        <v>83</v>
      </c>
      <c r="AF261" t="s" s="0">
        <v>83</v>
      </c>
      <c r="AG261" t="s" s="0">
        <v>6690</v>
      </c>
      <c r="AH261" t="s" s="0">
        <v>6691</v>
      </c>
      <c r="AI261" t="s" s="0">
        <v>83</v>
      </c>
      <c r="AJ261" t="s" s="0">
        <v>83</v>
      </c>
      <c r="AK261" t="s" s="0">
        <v>83</v>
      </c>
      <c r="AL261" t="s" s="0">
        <v>1652</v>
      </c>
      <c r="AM261" t="s" s="0">
        <v>120</v>
      </c>
      <c r="AN261" t="s" s="0">
        <v>310</v>
      </c>
      <c r="AO261" t="s" s="0">
        <v>78</v>
      </c>
      <c r="AP261" t="s" s="0">
        <v>545</v>
      </c>
      <c r="AQ261" t="s" s="0">
        <v>2103</v>
      </c>
      <c r="AR261" t="s" s="0">
        <v>2104</v>
      </c>
      <c r="AS261" t="s" s="0">
        <v>2105</v>
      </c>
      <c r="AT261" t="s" s="0">
        <v>4128</v>
      </c>
      <c r="AU261" t="s" s="0">
        <v>4129</v>
      </c>
      <c r="AV261" t="s" s="0">
        <v>83</v>
      </c>
      <c r="AW261" t="s" s="0">
        <v>4130</v>
      </c>
      <c r="AX261" t="s" s="0">
        <v>4131</v>
      </c>
      <c r="AY261" t="s" s="0">
        <v>4583</v>
      </c>
      <c r="AZ261" t="s" s="0">
        <v>317</v>
      </c>
      <c r="BA261" t="s" s="0">
        <v>149</v>
      </c>
      <c r="BB261" t="s" s="0">
        <v>269</v>
      </c>
      <c r="BC261" t="s" s="0">
        <v>83</v>
      </c>
      <c r="BD261" t="s" s="0">
        <v>83</v>
      </c>
      <c r="BE261" t="s" s="0">
        <v>83</v>
      </c>
      <c r="BF261" t="s" s="0">
        <v>83</v>
      </c>
      <c r="BG261" t="s" s="0">
        <v>83</v>
      </c>
      <c r="BH261" t="s" s="0">
        <v>83</v>
      </c>
      <c r="BI261" t="s" s="0">
        <v>6692</v>
      </c>
      <c r="BJ261" t="s" s="0">
        <v>6693</v>
      </c>
      <c r="BK261" t="s" s="518">
        <f>HYPERLINK("http://dx.doi.org/10.21037/atm-20-4406","http://dx.doi.org/10.21037/atm-20-4406")</f>
        <v>6694</v>
      </c>
      <c r="BL261" t="s" s="0">
        <v>83</v>
      </c>
      <c r="BM261" t="s" s="0">
        <v>83</v>
      </c>
      <c r="BN261" t="s" s="0">
        <v>310</v>
      </c>
      <c r="BO261" t="s" s="0">
        <v>4135</v>
      </c>
      <c r="BP261" t="s" s="0">
        <v>4136</v>
      </c>
      <c r="BQ261" t="s" s="0">
        <v>6695</v>
      </c>
      <c r="BR261" t="s" s="0">
        <v>6696</v>
      </c>
      <c r="BS261" t="s" s="0">
        <v>6697</v>
      </c>
      <c r="BT261" t="s" s="519">
        <f>HYPERLINK("https://www.webofscience.com/wos/woscc/full-record/WOS:000574842100001","View Record in Web of Science")</f>
        <v>126</v>
      </c>
      <c r="BU261" t="s" s="0">
        <v>210</v>
      </c>
      <c r="BV261" t="s" s="0">
        <v>83</v>
      </c>
      <c r="BW261" t="s" s="0">
        <v>83</v>
      </c>
      <c r="BX261" t="s" s="0">
        <v>130</v>
      </c>
    </row>
    <row r="262">
      <c r="A262" t="s" s="0">
        <v>78</v>
      </c>
      <c r="B262" t="s" s="0">
        <v>78</v>
      </c>
      <c r="C262" t="s" s="0">
        <v>78</v>
      </c>
      <c r="D262" t="s" s="0">
        <v>78</v>
      </c>
      <c r="E262" t="s" s="0">
        <v>6698</v>
      </c>
      <c r="F262" t="s" s="0">
        <v>6699</v>
      </c>
      <c r="G262" t="s" s="0">
        <v>6700</v>
      </c>
      <c r="H262" t="s" s="0">
        <v>83</v>
      </c>
      <c r="I262" t="s" s="0">
        <v>84</v>
      </c>
      <c r="J262" t="s" s="0">
        <v>6701</v>
      </c>
      <c r="K262" t="s" s="0">
        <v>6702</v>
      </c>
      <c r="L262" t="s" s="0">
        <v>6703</v>
      </c>
      <c r="M262" t="s" s="0">
        <v>6704</v>
      </c>
      <c r="N262" t="s" s="0">
        <v>6705</v>
      </c>
      <c r="O262" t="s" s="0">
        <v>6706</v>
      </c>
      <c r="P262" t="s" s="0">
        <v>6707</v>
      </c>
      <c r="Q262" t="s" s="0">
        <v>92</v>
      </c>
      <c r="R262" t="s" s="0">
        <v>83</v>
      </c>
      <c r="S262" t="s" s="0">
        <v>83</v>
      </c>
      <c r="T262" t="s" s="0">
        <v>83</v>
      </c>
      <c r="U262" t="s" s="0">
        <v>83</v>
      </c>
      <c r="V262" t="s" s="0">
        <v>6708</v>
      </c>
      <c r="W262" t="s" s="0">
        <v>223</v>
      </c>
      <c r="X262" t="s" s="0">
        <v>83</v>
      </c>
      <c r="Y262" t="s" s="0">
        <v>83</v>
      </c>
      <c r="Z262" t="s" s="0">
        <v>95</v>
      </c>
      <c r="AA262" t="s" s="0">
        <v>96</v>
      </c>
      <c r="AB262" t="s" s="0">
        <v>83</v>
      </c>
      <c r="AC262" t="s" s="0">
        <v>83</v>
      </c>
      <c r="AD262" t="s" s="0">
        <v>83</v>
      </c>
      <c r="AE262" t="s" s="0">
        <v>83</v>
      </c>
      <c r="AF262" t="s" s="0">
        <v>83</v>
      </c>
      <c r="AG262" t="s" s="0">
        <v>6709</v>
      </c>
      <c r="AH262" t="s" s="0">
        <v>6710</v>
      </c>
      <c r="AI262" t="s" s="0">
        <v>6711</v>
      </c>
      <c r="AJ262" t="s" s="0">
        <v>6712</v>
      </c>
      <c r="AK262" t="s" s="0">
        <v>83</v>
      </c>
      <c r="AL262" t="s" s="0">
        <v>3129</v>
      </c>
      <c r="AM262" t="s" s="0">
        <v>231</v>
      </c>
      <c r="AN262" t="s" s="0">
        <v>231</v>
      </c>
      <c r="AO262" t="s" s="0">
        <v>78</v>
      </c>
      <c r="AP262" t="s" s="0">
        <v>77</v>
      </c>
      <c r="AQ262" t="s" s="0">
        <v>233</v>
      </c>
      <c r="AR262" t="s" s="0">
        <v>234</v>
      </c>
      <c r="AS262" t="s" s="0">
        <v>311</v>
      </c>
      <c r="AT262" t="s" s="0">
        <v>236</v>
      </c>
      <c r="AU262" t="s" s="0">
        <v>237</v>
      </c>
      <c r="AV262" t="s" s="0">
        <v>83</v>
      </c>
      <c r="AW262" t="s" s="0">
        <v>238</v>
      </c>
      <c r="AX262" t="s" s="0">
        <v>239</v>
      </c>
      <c r="AY262" t="s" s="0">
        <v>1849</v>
      </c>
      <c r="AZ262" t="s" s="0">
        <v>412</v>
      </c>
      <c r="BA262" t="s" s="0">
        <v>1850</v>
      </c>
      <c r="BB262" t="s" s="0">
        <v>83</v>
      </c>
      <c r="BC262" t="s" s="0">
        <v>83</v>
      </c>
      <c r="BD262" t="s" s="0">
        <v>83</v>
      </c>
      <c r="BE262" t="s" s="0">
        <v>83</v>
      </c>
      <c r="BF262" t="s" s="0">
        <v>83</v>
      </c>
      <c r="BG262" t="s" s="0">
        <v>83</v>
      </c>
      <c r="BH262" t="s" s="0">
        <v>83</v>
      </c>
      <c r="BI262" t="s" s="0">
        <v>6713</v>
      </c>
      <c r="BJ262" t="s" s="0">
        <v>6714</v>
      </c>
      <c r="BK262" t="s" s="520">
        <f>HYPERLINK("http://dx.doi.org/10.1016/j.jclinepi.2023.10.022","http://dx.doi.org/10.1016/j.jclinepi.2023.10.022")</f>
        <v>6715</v>
      </c>
      <c r="BL262" t="s" s="0">
        <v>83</v>
      </c>
      <c r="BM262" t="s" s="0">
        <v>1189</v>
      </c>
      <c r="BN262" t="s" s="0">
        <v>310</v>
      </c>
      <c r="BO262" t="s" s="0">
        <v>249</v>
      </c>
      <c r="BP262" t="s" s="0">
        <v>249</v>
      </c>
      <c r="BQ262" t="s" s="0">
        <v>6716</v>
      </c>
      <c r="BR262" t="s" s="0">
        <v>6717</v>
      </c>
      <c r="BS262" t="s" s="0">
        <v>6718</v>
      </c>
      <c r="BT262" t="s" s="521">
        <f>HYPERLINK("https://www.webofscience.com/wos/woscc/full-record/WOS:001141756800001","View Record in Web of Science")</f>
        <v>126</v>
      </c>
      <c r="BU262" t="s" s="0">
        <v>253</v>
      </c>
      <c r="BV262" t="s" s="0">
        <v>83</v>
      </c>
      <c r="BW262" t="s" s="0">
        <v>83</v>
      </c>
      <c r="BX262" t="s" s="0">
        <v>130</v>
      </c>
    </row>
    <row r="263">
      <c r="A263" t="s" s="0">
        <v>78</v>
      </c>
      <c r="B263" t="s" s="0">
        <v>78</v>
      </c>
      <c r="C263" t="s" s="0">
        <v>78</v>
      </c>
      <c r="D263" t="s" s="0">
        <v>78</v>
      </c>
      <c r="E263" t="s" s="0">
        <v>6719</v>
      </c>
      <c r="F263" t="s" s="0">
        <v>6720</v>
      </c>
      <c r="G263" t="s" s="0">
        <v>6721</v>
      </c>
      <c r="H263" t="s" s="0">
        <v>83</v>
      </c>
      <c r="I263" t="s" s="0">
        <v>257</v>
      </c>
      <c r="J263" t="s" s="0">
        <v>2716</v>
      </c>
      <c r="K263" t="s" s="0">
        <v>6722</v>
      </c>
      <c r="L263" t="s" s="0">
        <v>6723</v>
      </c>
      <c r="M263" t="s" s="0">
        <v>6723</v>
      </c>
      <c r="N263" t="s" s="0">
        <v>6724</v>
      </c>
      <c r="O263" t="s" s="0">
        <v>6725</v>
      </c>
      <c r="P263" t="s" s="0">
        <v>6726</v>
      </c>
      <c r="Q263" t="s" s="0">
        <v>92</v>
      </c>
      <c r="R263" t="s" s="0">
        <v>83</v>
      </c>
      <c r="S263" t="s" s="0">
        <v>83</v>
      </c>
      <c r="T263" t="s" s="0">
        <v>83</v>
      </c>
      <c r="U263" t="s" s="0">
        <v>83</v>
      </c>
      <c r="V263" t="s" s="0">
        <v>6727</v>
      </c>
      <c r="W263" t="s" s="0">
        <v>3225</v>
      </c>
      <c r="X263" t="s" s="0">
        <v>83</v>
      </c>
      <c r="Y263" t="s" s="0">
        <v>83</v>
      </c>
      <c r="Z263" t="s" s="0">
        <v>95</v>
      </c>
      <c r="AA263" t="s" s="0">
        <v>96</v>
      </c>
      <c r="AB263" t="s" s="0">
        <v>83</v>
      </c>
      <c r="AC263" t="s" s="0">
        <v>83</v>
      </c>
      <c r="AD263" t="s" s="0">
        <v>83</v>
      </c>
      <c r="AE263" t="s" s="0">
        <v>83</v>
      </c>
      <c r="AF263" t="s" s="0">
        <v>83</v>
      </c>
      <c r="AG263" t="s" s="0">
        <v>6728</v>
      </c>
      <c r="AH263" t="s" s="0">
        <v>6729</v>
      </c>
      <c r="AI263" t="s" s="0">
        <v>6730</v>
      </c>
      <c r="AJ263" t="s" s="0">
        <v>6731</v>
      </c>
      <c r="AK263" t="s" s="0">
        <v>83</v>
      </c>
      <c r="AL263" t="s" s="0">
        <v>1747</v>
      </c>
      <c r="AM263" t="s" s="0">
        <v>150</v>
      </c>
      <c r="AN263" t="s" s="0">
        <v>150</v>
      </c>
      <c r="AO263" t="s" s="0">
        <v>115</v>
      </c>
      <c r="AP263" t="s" s="0">
        <v>545</v>
      </c>
      <c r="AQ263" t="s" s="0">
        <v>830</v>
      </c>
      <c r="AR263" t="s" s="0">
        <v>831</v>
      </c>
      <c r="AS263" t="s" s="0">
        <v>832</v>
      </c>
      <c r="AT263" t="s" s="0">
        <v>3228</v>
      </c>
      <c r="AU263" t="s" s="0">
        <v>83</v>
      </c>
      <c r="AV263" t="s" s="0">
        <v>83</v>
      </c>
      <c r="AW263" t="s" s="0">
        <v>3229</v>
      </c>
      <c r="AX263" t="s" s="0">
        <v>3230</v>
      </c>
      <c r="AY263" t="s" s="0">
        <v>6732</v>
      </c>
      <c r="AZ263" t="s" s="0">
        <v>412</v>
      </c>
      <c r="BA263" t="s" s="0">
        <v>309</v>
      </c>
      <c r="BB263" t="s" s="0">
        <v>83</v>
      </c>
      <c r="BC263" t="s" s="0">
        <v>83</v>
      </c>
      <c r="BD263" t="s" s="0">
        <v>83</v>
      </c>
      <c r="BE263" t="s" s="0">
        <v>83</v>
      </c>
      <c r="BF263" t="s" s="0">
        <v>83</v>
      </c>
      <c r="BG263" t="s" s="0">
        <v>83</v>
      </c>
      <c r="BH263" t="s" s="0">
        <v>83</v>
      </c>
      <c r="BI263" t="s" s="0">
        <v>6733</v>
      </c>
      <c r="BJ263" t="s" s="0">
        <v>6734</v>
      </c>
      <c r="BK263" t="s" s="522">
        <f>HYPERLINK("http://dx.doi.org/10.3389/fpsyt.2024.1408738","http://dx.doi.org/10.3389/fpsyt.2024.1408738")</f>
        <v>6735</v>
      </c>
      <c r="BL263" t="s" s="0">
        <v>83</v>
      </c>
      <c r="BM263" t="s" s="0">
        <v>83</v>
      </c>
      <c r="BN263" t="s" s="0">
        <v>211</v>
      </c>
      <c r="BO263" t="s" s="0">
        <v>864</v>
      </c>
      <c r="BP263" t="s" s="0">
        <v>864</v>
      </c>
      <c r="BQ263" t="s" s="0">
        <v>6736</v>
      </c>
      <c r="BR263" t="s" s="0">
        <v>6737</v>
      </c>
      <c r="BS263" t="s" s="0">
        <v>6738</v>
      </c>
      <c r="BT263" t="s" s="523">
        <f>HYPERLINK("https://www.webofscience.com/wos/woscc/full-record/WOS:001333088200001","View Record in Web of Science")</f>
        <v>126</v>
      </c>
      <c r="BU263" t="s" s="0">
        <v>868</v>
      </c>
      <c r="BV263" t="s" s="0">
        <v>83</v>
      </c>
      <c r="BW263" t="s" s="0">
        <v>83</v>
      </c>
      <c r="BX263" t="s" s="0">
        <v>130</v>
      </c>
    </row>
    <row r="264">
      <c r="A264" t="s" s="0">
        <v>78</v>
      </c>
      <c r="B264" t="s" s="0">
        <v>78</v>
      </c>
      <c r="C264" t="s" s="0">
        <v>77</v>
      </c>
      <c r="D264" t="s" s="0">
        <v>78</v>
      </c>
      <c r="E264" t="s" s="0">
        <v>6739</v>
      </c>
      <c r="F264" t="s" s="0">
        <v>6740</v>
      </c>
      <c r="G264" t="s" s="0">
        <v>6741</v>
      </c>
      <c r="H264" t="s" s="0">
        <v>83</v>
      </c>
      <c r="I264" t="s" s="0">
        <v>84</v>
      </c>
      <c r="J264" t="s" s="0">
        <v>6742</v>
      </c>
      <c r="K264" t="s" s="0">
        <v>6743</v>
      </c>
      <c r="L264" t="s" s="0">
        <v>83</v>
      </c>
      <c r="M264" t="s" s="0">
        <v>83</v>
      </c>
      <c r="N264" t="s" s="0">
        <v>83</v>
      </c>
      <c r="O264" t="s" s="0">
        <v>6744</v>
      </c>
      <c r="P264" t="s" s="0">
        <v>6745</v>
      </c>
      <c r="Q264" t="s" s="0">
        <v>92</v>
      </c>
      <c r="R264" t="s" s="0">
        <v>83</v>
      </c>
      <c r="S264" t="s" s="0">
        <v>83</v>
      </c>
      <c r="T264" t="s" s="0">
        <v>83</v>
      </c>
      <c r="U264" t="s" s="0">
        <v>83</v>
      </c>
      <c r="V264" t="s" s="0">
        <v>6746</v>
      </c>
      <c r="W264" t="s" s="0">
        <v>3657</v>
      </c>
      <c r="X264" t="s" s="0">
        <v>83</v>
      </c>
      <c r="Y264" t="s" s="0">
        <v>83</v>
      </c>
      <c r="Z264" t="s" s="0">
        <v>95</v>
      </c>
      <c r="AA264" t="s" s="0">
        <v>96</v>
      </c>
      <c r="AB264" t="s" s="0">
        <v>83</v>
      </c>
      <c r="AC264" t="s" s="0">
        <v>83</v>
      </c>
      <c r="AD264" t="s" s="0">
        <v>83</v>
      </c>
      <c r="AE264" t="s" s="0">
        <v>83</v>
      </c>
      <c r="AF264" t="s" s="0">
        <v>83</v>
      </c>
      <c r="AG264" t="s" s="0">
        <v>83</v>
      </c>
      <c r="AH264" t="s" s="0">
        <v>6747</v>
      </c>
      <c r="AI264" t="s" s="0">
        <v>6748</v>
      </c>
      <c r="AJ264" t="s" s="0">
        <v>6749</v>
      </c>
      <c r="AK264" t="s" s="0">
        <v>83</v>
      </c>
      <c r="AL264" t="s" s="0">
        <v>1000</v>
      </c>
      <c r="AM264" t="s" s="0">
        <v>79</v>
      </c>
      <c r="AN264" t="s" s="0">
        <v>883</v>
      </c>
      <c r="AO264" t="s" s="0">
        <v>78</v>
      </c>
      <c r="AP264" t="s" s="0">
        <v>150</v>
      </c>
      <c r="AQ264" t="s" s="0">
        <v>2640</v>
      </c>
      <c r="AR264" t="s" s="0">
        <v>2641</v>
      </c>
      <c r="AS264" t="s" s="0">
        <v>2642</v>
      </c>
      <c r="AT264" t="s" s="0">
        <v>3660</v>
      </c>
      <c r="AU264" t="s" s="0">
        <v>83</v>
      </c>
      <c r="AV264" t="s" s="0">
        <v>83</v>
      </c>
      <c r="AW264" t="s" s="0">
        <v>3661</v>
      </c>
      <c r="AX264" t="s" s="0">
        <v>3662</v>
      </c>
      <c r="AY264" t="s" s="0">
        <v>6750</v>
      </c>
      <c r="AZ264" t="s" s="0">
        <v>279</v>
      </c>
      <c r="BA264" t="s" s="0">
        <v>281</v>
      </c>
      <c r="BB264" t="s" s="0">
        <v>281</v>
      </c>
      <c r="BC264" t="s" s="0">
        <v>83</v>
      </c>
      <c r="BD264" t="s" s="0">
        <v>83</v>
      </c>
      <c r="BE264" t="s" s="0">
        <v>83</v>
      </c>
      <c r="BF264" t="s" s="0">
        <v>83</v>
      </c>
      <c r="BG264" t="s" s="0">
        <v>83</v>
      </c>
      <c r="BH264" t="s" s="0">
        <v>83</v>
      </c>
      <c r="BI264" t="s" s="0">
        <v>6751</v>
      </c>
      <c r="BJ264" t="s" s="0">
        <v>6752</v>
      </c>
      <c r="BK264" t="s" s="524">
        <f>HYPERLINK("http://dx.doi.org/10.1001/jamanetworkopen.2022.14253","http://dx.doi.org/10.1001/jamanetworkopen.2022.14253")</f>
        <v>6753</v>
      </c>
      <c r="BL264" t="s" s="0">
        <v>83</v>
      </c>
      <c r="BM264" t="s" s="0">
        <v>83</v>
      </c>
      <c r="BN264" t="s" s="0">
        <v>417</v>
      </c>
      <c r="BO264" t="s" s="0">
        <v>669</v>
      </c>
      <c r="BP264" t="s" s="0">
        <v>670</v>
      </c>
      <c r="BQ264" t="s" s="0">
        <v>6754</v>
      </c>
      <c r="BR264" t="s" s="0">
        <v>6755</v>
      </c>
      <c r="BS264" t="s" s="0">
        <v>6756</v>
      </c>
      <c r="BT264" t="s" s="525">
        <f>HYPERLINK("https://www.webofscience.com/wos/woscc/full-record/WOS:000800634900003","View Record in Web of Science")</f>
        <v>126</v>
      </c>
      <c r="BU264" t="s" s="0">
        <v>210</v>
      </c>
      <c r="BV264" t="s" s="0">
        <v>83</v>
      </c>
      <c r="BW264" t="s" s="0">
        <v>83</v>
      </c>
      <c r="BX264" t="s" s="0">
        <v>130</v>
      </c>
    </row>
    <row r="265">
      <c r="A265" t="s" s="0">
        <v>149</v>
      </c>
      <c r="B265" t="s" s="0">
        <v>78</v>
      </c>
      <c r="C265" t="s" s="0">
        <v>248</v>
      </c>
      <c r="D265" t="s" s="0">
        <v>78</v>
      </c>
      <c r="E265" t="s" s="0">
        <v>6757</v>
      </c>
      <c r="F265" t="s" s="0">
        <v>6758</v>
      </c>
      <c r="G265" t="s" s="0">
        <v>6759</v>
      </c>
      <c r="H265" t="s" s="0">
        <v>83</v>
      </c>
      <c r="I265" t="s" s="0">
        <v>257</v>
      </c>
      <c r="J265" t="s" s="0">
        <v>6760</v>
      </c>
      <c r="K265" t="s" s="0">
        <v>6761</v>
      </c>
      <c r="L265" t="s" s="0">
        <v>6762</v>
      </c>
      <c r="M265" t="s" s="0">
        <v>6763</v>
      </c>
      <c r="N265" t="s" s="0">
        <v>6764</v>
      </c>
      <c r="O265" t="s" s="0">
        <v>6765</v>
      </c>
      <c r="P265" t="s" s="0">
        <v>6766</v>
      </c>
      <c r="Q265" t="s" s="0">
        <v>92</v>
      </c>
      <c r="R265" t="s" s="0">
        <v>83</v>
      </c>
      <c r="S265" t="s" s="0">
        <v>83</v>
      </c>
      <c r="T265" t="s" s="0">
        <v>83</v>
      </c>
      <c r="U265" t="s" s="0">
        <v>83</v>
      </c>
      <c r="V265" t="s" s="0">
        <v>6767</v>
      </c>
      <c r="W265" t="s" s="0">
        <v>2038</v>
      </c>
      <c r="X265" t="s" s="0">
        <v>83</v>
      </c>
      <c r="Y265" t="s" s="0">
        <v>83</v>
      </c>
      <c r="Z265" t="s" s="0">
        <v>95</v>
      </c>
      <c r="AA265" t="s" s="0">
        <v>96</v>
      </c>
      <c r="AB265" t="s" s="0">
        <v>83</v>
      </c>
      <c r="AC265" t="s" s="0">
        <v>83</v>
      </c>
      <c r="AD265" t="s" s="0">
        <v>83</v>
      </c>
      <c r="AE265" t="s" s="0">
        <v>83</v>
      </c>
      <c r="AF265" t="s" s="0">
        <v>83</v>
      </c>
      <c r="AG265" t="s" s="0">
        <v>6768</v>
      </c>
      <c r="AH265" t="s" s="0">
        <v>6769</v>
      </c>
      <c r="AI265" t="s" s="0">
        <v>6770</v>
      </c>
      <c r="AJ265" t="s" s="0">
        <v>6771</v>
      </c>
      <c r="AK265" t="s" s="0">
        <v>83</v>
      </c>
      <c r="AL265" t="s" s="0">
        <v>2044</v>
      </c>
      <c r="AM265" t="s" s="0">
        <v>1954</v>
      </c>
      <c r="AN265" t="s" s="0">
        <v>1591</v>
      </c>
      <c r="AO265" t="s" s="0">
        <v>115</v>
      </c>
      <c r="AP265" t="s" s="0">
        <v>384</v>
      </c>
      <c r="AQ265" t="s" s="0">
        <v>2045</v>
      </c>
      <c r="AR265" t="s" s="0">
        <v>2046</v>
      </c>
      <c r="AS265" t="s" s="0">
        <v>2047</v>
      </c>
      <c r="AT265" t="s" s="0">
        <v>2048</v>
      </c>
      <c r="AU265" t="s" s="0">
        <v>2049</v>
      </c>
      <c r="AV265" t="s" s="0">
        <v>83</v>
      </c>
      <c r="AW265" t="s" s="0">
        <v>2050</v>
      </c>
      <c r="AX265" t="s" s="0">
        <v>2051</v>
      </c>
      <c r="AY265" t="s" s="0">
        <v>3640</v>
      </c>
      <c r="AZ265" t="s" s="0">
        <v>317</v>
      </c>
      <c r="BA265" t="s" s="0">
        <v>104</v>
      </c>
      <c r="BB265" t="s" s="0">
        <v>83</v>
      </c>
      <c r="BC265" t="s" s="0">
        <v>83</v>
      </c>
      <c r="BD265" t="s" s="0">
        <v>83</v>
      </c>
      <c r="BE265" t="s" s="0">
        <v>83</v>
      </c>
      <c r="BF265" t="s" s="0">
        <v>83</v>
      </c>
      <c r="BG265" t="s" s="0">
        <v>83</v>
      </c>
      <c r="BH265" t="s" s="0">
        <v>83</v>
      </c>
      <c r="BI265" t="s" s="0">
        <v>6772</v>
      </c>
      <c r="BJ265" t="s" s="0">
        <v>6773</v>
      </c>
      <c r="BK265" t="s" s="526">
        <f>HYPERLINK("http://dx.doi.org/10.1016/j.jbi.2020.103410","http://dx.doi.org/10.1016/j.jbi.2020.103410")</f>
        <v>6774</v>
      </c>
      <c r="BL265" t="s" s="0">
        <v>83</v>
      </c>
      <c r="BM265" t="s" s="0">
        <v>83</v>
      </c>
      <c r="BN265" t="s" s="0">
        <v>310</v>
      </c>
      <c r="BO265" t="s" s="0">
        <v>2057</v>
      </c>
      <c r="BP265" t="s" s="0">
        <v>2058</v>
      </c>
      <c r="BQ265" t="s" s="0">
        <v>6775</v>
      </c>
      <c r="BR265" t="s" s="0">
        <v>6776</v>
      </c>
      <c r="BS265" t="s" s="0">
        <v>6777</v>
      </c>
      <c r="BT265" t="s" s="527">
        <f>HYPERLINK("https://www.webofscience.com/wos/woscc/full-record/WOS:000535653800004","View Record in Web of Science")</f>
        <v>126</v>
      </c>
      <c r="BU265" t="s" s="0">
        <v>6778</v>
      </c>
      <c r="BV265" t="s" s="0">
        <v>83</v>
      </c>
      <c r="BW265" t="s" s="0">
        <v>83</v>
      </c>
      <c r="BX265" t="s" s="0">
        <v>130</v>
      </c>
    </row>
    <row r="266">
      <c r="A266" t="s" s="0">
        <v>78</v>
      </c>
      <c r="B266" t="s" s="0">
        <v>78</v>
      </c>
      <c r="C266" t="s" s="0">
        <v>78</v>
      </c>
      <c r="D266" t="s" s="0">
        <v>78</v>
      </c>
      <c r="E266" t="s" s="0">
        <v>6779</v>
      </c>
      <c r="F266" t="s" s="0">
        <v>6780</v>
      </c>
      <c r="G266" t="s" s="0">
        <v>6781</v>
      </c>
      <c r="H266" t="s" s="0">
        <v>83</v>
      </c>
      <c r="I266" t="s" s="0">
        <v>84</v>
      </c>
      <c r="J266" t="s" s="0">
        <v>6782</v>
      </c>
      <c r="K266" t="s" s="0">
        <v>6783</v>
      </c>
      <c r="L266" t="s" s="0">
        <v>6784</v>
      </c>
      <c r="M266" t="s" s="0">
        <v>6785</v>
      </c>
      <c r="N266" t="s" s="0">
        <v>6786</v>
      </c>
      <c r="O266" t="s" s="0">
        <v>6787</v>
      </c>
      <c r="P266" t="s" s="0">
        <v>6788</v>
      </c>
      <c r="Q266" t="s" s="0">
        <v>92</v>
      </c>
      <c r="R266" t="s" s="0">
        <v>83</v>
      </c>
      <c r="S266" t="s" s="0">
        <v>83</v>
      </c>
      <c r="T266" t="s" s="0">
        <v>83</v>
      </c>
      <c r="U266" t="s" s="0">
        <v>83</v>
      </c>
      <c r="V266" t="s" s="0">
        <v>6789</v>
      </c>
      <c r="W266" t="s" s="0">
        <v>3172</v>
      </c>
      <c r="X266" t="s" s="0">
        <v>83</v>
      </c>
      <c r="Y266" t="s" s="0">
        <v>83</v>
      </c>
      <c r="Z266" t="s" s="0">
        <v>95</v>
      </c>
      <c r="AA266" t="s" s="0">
        <v>96</v>
      </c>
      <c r="AB266" t="s" s="0">
        <v>83</v>
      </c>
      <c r="AC266" t="s" s="0">
        <v>83</v>
      </c>
      <c r="AD266" t="s" s="0">
        <v>83</v>
      </c>
      <c r="AE266" t="s" s="0">
        <v>83</v>
      </c>
      <c r="AF266" t="s" s="0">
        <v>83</v>
      </c>
      <c r="AG266" t="s" s="0">
        <v>6790</v>
      </c>
      <c r="AH266" t="s" s="0">
        <v>6791</v>
      </c>
      <c r="AI266" t="s" s="0">
        <v>6792</v>
      </c>
      <c r="AJ266" t="s" s="0">
        <v>6793</v>
      </c>
      <c r="AK266" t="s" s="0">
        <v>83</v>
      </c>
      <c r="AL266" t="s" s="0">
        <v>1395</v>
      </c>
      <c r="AM266" t="s" s="0">
        <v>150</v>
      </c>
      <c r="AN266" t="s" s="0">
        <v>150</v>
      </c>
      <c r="AO266" t="s" s="0">
        <v>115</v>
      </c>
      <c r="AP266" t="s" s="0">
        <v>150</v>
      </c>
      <c r="AQ266" t="s" s="0">
        <v>1001</v>
      </c>
      <c r="AR266" t="s" s="0">
        <v>1002</v>
      </c>
      <c r="AS266" t="s" s="0">
        <v>1003</v>
      </c>
      <c r="AT266" t="s" s="0">
        <v>83</v>
      </c>
      <c r="AU266" t="s" s="0">
        <v>3177</v>
      </c>
      <c r="AV266" t="s" s="0">
        <v>83</v>
      </c>
      <c r="AW266" t="s" s="0">
        <v>3178</v>
      </c>
      <c r="AX266" t="s" s="0">
        <v>3179</v>
      </c>
      <c r="AY266" t="s" s="0">
        <v>159</v>
      </c>
      <c r="AZ266" t="s" s="0">
        <v>159</v>
      </c>
      <c r="BA266" t="s" s="0">
        <v>120</v>
      </c>
      <c r="BB266" t="s" s="0">
        <v>83</v>
      </c>
      <c r="BC266" t="s" s="0">
        <v>83</v>
      </c>
      <c r="BD266" t="s" s="0">
        <v>83</v>
      </c>
      <c r="BE266" t="s" s="0">
        <v>83</v>
      </c>
      <c r="BF266" t="s" s="0">
        <v>83</v>
      </c>
      <c r="BG266" t="s" s="0">
        <v>83</v>
      </c>
      <c r="BH266" t="s" s="0">
        <v>83</v>
      </c>
      <c r="BI266" t="s" s="0">
        <v>6794</v>
      </c>
      <c r="BJ266" t="s" s="0">
        <v>6795</v>
      </c>
      <c r="BK266" t="s" s="528">
        <f>HYPERLINK("http://dx.doi.org/10.2196/78644","http://dx.doi.org/10.2196/78644")</f>
        <v>6796</v>
      </c>
      <c r="BL266" t="s" s="0">
        <v>83</v>
      </c>
      <c r="BM266" t="s" s="0">
        <v>83</v>
      </c>
      <c r="BN266" t="s" s="0">
        <v>374</v>
      </c>
      <c r="BO266" t="s" s="0">
        <v>3183</v>
      </c>
      <c r="BP266" t="s" s="0">
        <v>3183</v>
      </c>
      <c r="BQ266" t="s" s="0">
        <v>6797</v>
      </c>
      <c r="BR266" t="s" s="0">
        <v>6798</v>
      </c>
      <c r="BS266" t="s" s="0">
        <v>6799</v>
      </c>
      <c r="BT266" t="s" s="529">
        <f>HYPERLINK("https://www.webofscience.com/wos/woscc/full-record/WOS:001634518000002","View Record in Web of Science")</f>
        <v>126</v>
      </c>
      <c r="BU266" t="s" s="0">
        <v>210</v>
      </c>
      <c r="BV266" t="s" s="0">
        <v>83</v>
      </c>
      <c r="BW266" t="s" s="0">
        <v>83</v>
      </c>
      <c r="BX266" t="s" s="0">
        <v>130</v>
      </c>
    </row>
    <row r="267">
      <c r="A267" t="s" s="0">
        <v>78</v>
      </c>
      <c r="B267" t="s" s="0">
        <v>78</v>
      </c>
      <c r="C267" t="s" s="0">
        <v>78</v>
      </c>
      <c r="D267" t="s" s="0">
        <v>78</v>
      </c>
      <c r="E267" t="s" s="0">
        <v>6800</v>
      </c>
      <c r="F267" t="s" s="0">
        <v>6801</v>
      </c>
      <c r="G267" t="s" s="0">
        <v>6802</v>
      </c>
      <c r="H267" t="s" s="0">
        <v>83</v>
      </c>
      <c r="I267" t="s" s="0">
        <v>84</v>
      </c>
      <c r="J267" t="s" s="0">
        <v>6803</v>
      </c>
      <c r="K267" t="s" s="0">
        <v>6804</v>
      </c>
      <c r="L267" t="s" s="0">
        <v>83</v>
      </c>
      <c r="M267" t="s" s="0">
        <v>83</v>
      </c>
      <c r="N267" t="s" s="0">
        <v>6805</v>
      </c>
      <c r="O267" t="s" s="0">
        <v>6806</v>
      </c>
      <c r="P267" t="s" s="0">
        <v>6807</v>
      </c>
      <c r="Q267" t="s" s="0">
        <v>92</v>
      </c>
      <c r="R267" t="s" s="0">
        <v>83</v>
      </c>
      <c r="S267" t="s" s="0">
        <v>83</v>
      </c>
      <c r="T267" t="s" s="0">
        <v>83</v>
      </c>
      <c r="U267" t="s" s="0">
        <v>83</v>
      </c>
      <c r="V267" t="s" s="0">
        <v>6808</v>
      </c>
      <c r="W267" t="s" s="0">
        <v>3150</v>
      </c>
      <c r="X267" t="s" s="0">
        <v>83</v>
      </c>
      <c r="Y267" t="s" s="0">
        <v>83</v>
      </c>
      <c r="Z267" t="s" s="0">
        <v>95</v>
      </c>
      <c r="AA267" t="s" s="0">
        <v>96</v>
      </c>
      <c r="AB267" t="s" s="0">
        <v>83</v>
      </c>
      <c r="AC267" t="s" s="0">
        <v>83</v>
      </c>
      <c r="AD267" t="s" s="0">
        <v>83</v>
      </c>
      <c r="AE267" t="s" s="0">
        <v>83</v>
      </c>
      <c r="AF267" t="s" s="0">
        <v>83</v>
      </c>
      <c r="AG267" t="s" s="0">
        <v>6809</v>
      </c>
      <c r="AH267" t="s" s="0">
        <v>6810</v>
      </c>
      <c r="AI267" t="s" s="0">
        <v>6811</v>
      </c>
      <c r="AJ267" t="s" s="0">
        <v>83</v>
      </c>
      <c r="AK267" t="s" s="0">
        <v>83</v>
      </c>
      <c r="AL267" t="s" s="0">
        <v>4610</v>
      </c>
      <c r="AM267" t="s" s="0">
        <v>150</v>
      </c>
      <c r="AN267" t="s" s="0">
        <v>150</v>
      </c>
      <c r="AO267" t="s" s="0">
        <v>115</v>
      </c>
      <c r="AP267" t="s" s="0">
        <v>115</v>
      </c>
      <c r="AQ267" t="s" s="0">
        <v>830</v>
      </c>
      <c r="AR267" t="s" s="0">
        <v>831</v>
      </c>
      <c r="AS267" t="s" s="0">
        <v>832</v>
      </c>
      <c r="AT267" t="s" s="0">
        <v>3154</v>
      </c>
      <c r="AU267" t="s" s="0">
        <v>83</v>
      </c>
      <c r="AV267" t="s" s="0">
        <v>83</v>
      </c>
      <c r="AW267" t="s" s="0">
        <v>3155</v>
      </c>
      <c r="AX267" t="s" s="0">
        <v>3156</v>
      </c>
      <c r="AY267" t="s" s="0">
        <v>6812</v>
      </c>
      <c r="AZ267" t="s" s="0">
        <v>159</v>
      </c>
      <c r="BA267" t="s" s="0">
        <v>248</v>
      </c>
      <c r="BB267" t="s" s="0">
        <v>83</v>
      </c>
      <c r="BC267" t="s" s="0">
        <v>83</v>
      </c>
      <c r="BD267" t="s" s="0">
        <v>83</v>
      </c>
      <c r="BE267" t="s" s="0">
        <v>83</v>
      </c>
      <c r="BF267" t="s" s="0">
        <v>83</v>
      </c>
      <c r="BG267" t="s" s="0">
        <v>83</v>
      </c>
      <c r="BH267" t="s" s="0">
        <v>83</v>
      </c>
      <c r="BI267" t="s" s="0">
        <v>6813</v>
      </c>
      <c r="BJ267" t="s" s="0">
        <v>6814</v>
      </c>
      <c r="BK267" t="s" s="530">
        <f>HYPERLINK("http://dx.doi.org/10.3389/fcvm.2025.1586019","http://dx.doi.org/10.3389/fcvm.2025.1586019")</f>
        <v>6815</v>
      </c>
      <c r="BL267" t="s" s="0">
        <v>83</v>
      </c>
      <c r="BM267" t="s" s="0">
        <v>83</v>
      </c>
      <c r="BN267" t="s" s="0">
        <v>413</v>
      </c>
      <c r="BO267" t="s" s="0">
        <v>1133</v>
      </c>
      <c r="BP267" t="s" s="0">
        <v>1134</v>
      </c>
      <c r="BQ267" t="s" s="0">
        <v>6816</v>
      </c>
      <c r="BR267" t="s" s="0">
        <v>6817</v>
      </c>
      <c r="BS267" t="s" s="0">
        <v>6818</v>
      </c>
      <c r="BT267" t="s" s="531">
        <f>HYPERLINK("https://www.webofscience.com/wos/woscc/full-record/WOS:001558703300001","View Record in Web of Science")</f>
        <v>126</v>
      </c>
      <c r="BU267" t="s" s="0">
        <v>210</v>
      </c>
      <c r="BV267" t="s" s="0">
        <v>83</v>
      </c>
      <c r="BW267" t="s" s="0">
        <v>83</v>
      </c>
      <c r="BX267" t="s" s="0">
        <v>130</v>
      </c>
    </row>
    <row r="268">
      <c r="A268" t="s" s="0">
        <v>78</v>
      </c>
      <c r="B268" t="s" s="0">
        <v>78</v>
      </c>
      <c r="C268" t="s" s="0">
        <v>78</v>
      </c>
      <c r="D268" t="s" s="0">
        <v>78</v>
      </c>
      <c r="E268" t="s" s="0">
        <v>6819</v>
      </c>
      <c r="F268" t="s" s="0">
        <v>6820</v>
      </c>
      <c r="G268" t="s" s="0">
        <v>6821</v>
      </c>
      <c r="H268" t="s" s="0">
        <v>83</v>
      </c>
      <c r="I268" t="s" s="0">
        <v>174</v>
      </c>
      <c r="J268" t="s" s="0">
        <v>6822</v>
      </c>
      <c r="K268" t="s" s="0">
        <v>6823</v>
      </c>
      <c r="L268" t="s" s="0">
        <v>6824</v>
      </c>
      <c r="M268" t="s" s="0">
        <v>6825</v>
      </c>
      <c r="N268" t="s" s="0">
        <v>6826</v>
      </c>
      <c r="O268" t="s" s="0">
        <v>6827</v>
      </c>
      <c r="P268" t="s" s="0">
        <v>6828</v>
      </c>
      <c r="Q268" t="s" s="0">
        <v>92</v>
      </c>
      <c r="R268" t="s" s="0">
        <v>83</v>
      </c>
      <c r="S268" t="s" s="0">
        <v>83</v>
      </c>
      <c r="T268" t="s" s="0">
        <v>83</v>
      </c>
      <c r="U268" t="s" s="0">
        <v>83</v>
      </c>
      <c r="V268" t="s" s="0">
        <v>6829</v>
      </c>
      <c r="W268" t="s" s="0">
        <v>6830</v>
      </c>
      <c r="X268" t="s" s="0">
        <v>83</v>
      </c>
      <c r="Y268" t="s" s="0">
        <v>83</v>
      </c>
      <c r="Z268" t="s" s="0">
        <v>95</v>
      </c>
      <c r="AA268" t="s" s="0">
        <v>96</v>
      </c>
      <c r="AB268" t="s" s="0">
        <v>83</v>
      </c>
      <c r="AC268" t="s" s="0">
        <v>83</v>
      </c>
      <c r="AD268" t="s" s="0">
        <v>83</v>
      </c>
      <c r="AE268" t="s" s="0">
        <v>83</v>
      </c>
      <c r="AF268" t="s" s="0">
        <v>83</v>
      </c>
      <c r="AG268" t="s" s="0">
        <v>6831</v>
      </c>
      <c r="AH268" t="s" s="0">
        <v>6832</v>
      </c>
      <c r="AI268" t="s" s="0">
        <v>6833</v>
      </c>
      <c r="AJ268" t="s" s="0">
        <v>6834</v>
      </c>
      <c r="AK268" t="s" s="0">
        <v>83</v>
      </c>
      <c r="AL268" t="s" s="0">
        <v>2157</v>
      </c>
      <c r="AM268" t="s" s="0">
        <v>115</v>
      </c>
      <c r="AN268" t="s" s="0">
        <v>115</v>
      </c>
      <c r="AO268" t="s" s="0">
        <v>150</v>
      </c>
      <c r="AP268" t="s" s="0">
        <v>150</v>
      </c>
      <c r="AQ268" t="s" s="0">
        <v>1001</v>
      </c>
      <c r="AR268" t="s" s="0">
        <v>1002</v>
      </c>
      <c r="AS268" t="s" s="0">
        <v>1003</v>
      </c>
      <c r="AT268" t="s" s="0">
        <v>6835</v>
      </c>
      <c r="AU268" t="s" s="0">
        <v>83</v>
      </c>
      <c r="AV268" t="s" s="0">
        <v>83</v>
      </c>
      <c r="AW268" t="s" s="0">
        <v>6830</v>
      </c>
      <c r="AX268" t="s" s="0">
        <v>6836</v>
      </c>
      <c r="AY268" t="s" s="0">
        <v>159</v>
      </c>
      <c r="AZ268" t="s" s="0">
        <v>159</v>
      </c>
      <c r="BA268" t="s" s="0">
        <v>232</v>
      </c>
      <c r="BB268" t="s" s="0">
        <v>83</v>
      </c>
      <c r="BC268" t="s" s="0">
        <v>83</v>
      </c>
      <c r="BD268" t="s" s="0">
        <v>83</v>
      </c>
      <c r="BE268" t="s" s="0">
        <v>83</v>
      </c>
      <c r="BF268" t="s" s="0">
        <v>83</v>
      </c>
      <c r="BG268" t="s" s="0">
        <v>83</v>
      </c>
      <c r="BH268" t="s" s="0">
        <v>83</v>
      </c>
      <c r="BI268" t="s" s="0">
        <v>6837</v>
      </c>
      <c r="BJ268" t="s" s="0">
        <v>6838</v>
      </c>
      <c r="BK268" t="s" s="532">
        <f>HYPERLINK("http://dx.doi.org/10.2196/70275","http://dx.doi.org/10.2196/70275")</f>
        <v>6839</v>
      </c>
      <c r="BL268" t="s" s="0">
        <v>83</v>
      </c>
      <c r="BM268" t="s" s="0">
        <v>83</v>
      </c>
      <c r="BN268" t="s" s="0">
        <v>309</v>
      </c>
      <c r="BO268" t="s" s="0">
        <v>840</v>
      </c>
      <c r="BP268" t="s" s="0">
        <v>840</v>
      </c>
      <c r="BQ268" t="s" s="0">
        <v>6840</v>
      </c>
      <c r="BR268" t="s" s="0">
        <v>6841</v>
      </c>
      <c r="BS268" t="s" s="0">
        <v>6842</v>
      </c>
      <c r="BT268" t="s" s="533">
        <f>HYPERLINK("https://www.webofscience.com/wos/woscc/full-record/WOS:001525591100001","View Record in Web of Science")</f>
        <v>126</v>
      </c>
      <c r="BU268" t="s" s="0">
        <v>210</v>
      </c>
      <c r="BV268" t="s" s="0">
        <v>83</v>
      </c>
      <c r="BW268" t="s" s="0">
        <v>83</v>
      </c>
      <c r="BX268" t="s" s="0">
        <v>130</v>
      </c>
    </row>
    <row r="269">
      <c r="A269" t="s" s="0">
        <v>78</v>
      </c>
      <c r="B269" t="s" s="0">
        <v>78</v>
      </c>
      <c r="C269" t="s" s="0">
        <v>211</v>
      </c>
      <c r="D269" t="s" s="0">
        <v>78</v>
      </c>
      <c r="E269" t="s" s="0">
        <v>6843</v>
      </c>
      <c r="F269" t="s" s="0">
        <v>6844</v>
      </c>
      <c r="G269" t="s" s="0">
        <v>6845</v>
      </c>
      <c r="H269" t="s" s="0">
        <v>83</v>
      </c>
      <c r="I269" t="s" s="0">
        <v>84</v>
      </c>
      <c r="J269" t="s" s="0">
        <v>6846</v>
      </c>
      <c r="K269" t="s" s="0">
        <v>6847</v>
      </c>
      <c r="L269" t="s" s="0">
        <v>6848</v>
      </c>
      <c r="M269" t="s" s="0">
        <v>6849</v>
      </c>
      <c r="N269" t="s" s="0">
        <v>6850</v>
      </c>
      <c r="O269" t="s" s="0">
        <v>6851</v>
      </c>
      <c r="P269" t="s" s="0">
        <v>6852</v>
      </c>
      <c r="Q269" t="s" s="0">
        <v>92</v>
      </c>
      <c r="R269" t="s" s="0">
        <v>83</v>
      </c>
      <c r="S269" t="s" s="0">
        <v>83</v>
      </c>
      <c r="T269" t="s" s="0">
        <v>83</v>
      </c>
      <c r="U269" t="s" s="0">
        <v>83</v>
      </c>
      <c r="V269" t="s" s="0">
        <v>6853</v>
      </c>
      <c r="W269" t="s" s="0">
        <v>6854</v>
      </c>
      <c r="X269" t="s" s="0">
        <v>83</v>
      </c>
      <c r="Y269" t="s" s="0">
        <v>83</v>
      </c>
      <c r="Z269" t="s" s="0">
        <v>95</v>
      </c>
      <c r="AA269" t="s" s="0">
        <v>96</v>
      </c>
      <c r="AB269" t="s" s="0">
        <v>83</v>
      </c>
      <c r="AC269" t="s" s="0">
        <v>83</v>
      </c>
      <c r="AD269" t="s" s="0">
        <v>83</v>
      </c>
      <c r="AE269" t="s" s="0">
        <v>83</v>
      </c>
      <c r="AF269" t="s" s="0">
        <v>83</v>
      </c>
      <c r="AG269" t="s" s="0">
        <v>6855</v>
      </c>
      <c r="AH269" t="s" s="0">
        <v>6856</v>
      </c>
      <c r="AI269" t="s" s="0">
        <v>6857</v>
      </c>
      <c r="AJ269" t="s" s="0">
        <v>3567</v>
      </c>
      <c r="AK269" t="s" s="0">
        <v>83</v>
      </c>
      <c r="AL269" t="s" s="0">
        <v>201</v>
      </c>
      <c r="AM269" t="s" s="0">
        <v>170</v>
      </c>
      <c r="AN269" t="s" s="0">
        <v>147</v>
      </c>
      <c r="AO269" t="s" s="0">
        <v>77</v>
      </c>
      <c r="AP269" t="s" s="0">
        <v>2867</v>
      </c>
      <c r="AQ269" t="s" s="0">
        <v>271</v>
      </c>
      <c r="AR269" t="s" s="0">
        <v>272</v>
      </c>
      <c r="AS269" t="s" s="0">
        <v>273</v>
      </c>
      <c r="AT269" t="s" s="0">
        <v>6858</v>
      </c>
      <c r="AU269" t="s" s="0">
        <v>6859</v>
      </c>
      <c r="AV269" t="s" s="0">
        <v>83</v>
      </c>
      <c r="AW269" t="s" s="0">
        <v>6860</v>
      </c>
      <c r="AX269" t="s" s="0">
        <v>6861</v>
      </c>
      <c r="AY269" t="s" s="0">
        <v>6862</v>
      </c>
      <c r="AZ269" t="s" s="0">
        <v>279</v>
      </c>
      <c r="BA269" t="s" s="0">
        <v>310</v>
      </c>
      <c r="BB269" t="s" s="0">
        <v>545</v>
      </c>
      <c r="BC269" t="s" s="0">
        <v>83</v>
      </c>
      <c r="BD269" t="s" s="0">
        <v>83</v>
      </c>
      <c r="BE269" t="s" s="0">
        <v>83</v>
      </c>
      <c r="BF269" t="s" s="0">
        <v>83</v>
      </c>
      <c r="BG269" t="s" s="0">
        <v>6863</v>
      </c>
      <c r="BH269" t="s" s="0">
        <v>4014</v>
      </c>
      <c r="BI269" t="s" s="0">
        <v>83</v>
      </c>
      <c r="BJ269" t="s" s="0">
        <v>6864</v>
      </c>
      <c r="BK269" t="s" s="534">
        <f>HYPERLINK("http://dx.doi.org/10.1093/ecco-jcc/jjab155","http://dx.doi.org/10.1093/ecco-jcc/jjab155")</f>
        <v>6865</v>
      </c>
      <c r="BL269" t="s" s="0">
        <v>83</v>
      </c>
      <c r="BM269" t="s" s="0">
        <v>889</v>
      </c>
      <c r="BN269" t="s" s="0">
        <v>310</v>
      </c>
      <c r="BO269" t="s" s="0">
        <v>926</v>
      </c>
      <c r="BP269" t="s" s="0">
        <v>926</v>
      </c>
      <c r="BQ269" t="s" s="0">
        <v>6866</v>
      </c>
      <c r="BR269" t="s" s="0">
        <v>6867</v>
      </c>
      <c r="BS269" t="s" s="0">
        <v>6868</v>
      </c>
      <c r="BT269" t="s" s="535">
        <f>HYPERLINK("https://www.webofscience.com/wos/woscc/full-record/WOS:000756670200001","View Record in Web of Science")</f>
        <v>126</v>
      </c>
      <c r="BU269" t="s" s="0">
        <v>127</v>
      </c>
      <c r="BV269" t="s" s="0">
        <v>83</v>
      </c>
      <c r="BW269" t="s" s="0">
        <v>83</v>
      </c>
      <c r="BX269" t="s" s="0">
        <v>130</v>
      </c>
    </row>
    <row r="270">
      <c r="A270" t="s" s="0">
        <v>77</v>
      </c>
      <c r="B270" t="s" s="0">
        <v>78</v>
      </c>
      <c r="C270" t="s" s="0">
        <v>413</v>
      </c>
      <c r="D270" t="s" s="0">
        <v>78</v>
      </c>
      <c r="E270" t="s" s="0">
        <v>6869</v>
      </c>
      <c r="F270" t="s" s="0">
        <v>6870</v>
      </c>
      <c r="G270" t="s" s="0">
        <v>6871</v>
      </c>
      <c r="H270" t="s" s="0">
        <v>83</v>
      </c>
      <c r="I270" t="s" s="0">
        <v>257</v>
      </c>
      <c r="J270" t="s" s="0">
        <v>6872</v>
      </c>
      <c r="K270" t="s" s="0">
        <v>6873</v>
      </c>
      <c r="L270" t="s" s="0">
        <v>6874</v>
      </c>
      <c r="M270" t="s" s="0">
        <v>6874</v>
      </c>
      <c r="N270" t="s" s="0">
        <v>6875</v>
      </c>
      <c r="O270" t="s" s="0">
        <v>6876</v>
      </c>
      <c r="P270" t="s" s="0">
        <v>6877</v>
      </c>
      <c r="Q270" t="s" s="0">
        <v>92</v>
      </c>
      <c r="R270" t="s" s="0">
        <v>83</v>
      </c>
      <c r="S270" t="s" s="0">
        <v>83</v>
      </c>
      <c r="T270" t="s" s="0">
        <v>83</v>
      </c>
      <c r="U270" t="s" s="0">
        <v>83</v>
      </c>
      <c r="V270" t="s" s="0">
        <v>6878</v>
      </c>
      <c r="W270" t="s" s="0">
        <v>5930</v>
      </c>
      <c r="X270" t="s" s="0">
        <v>83</v>
      </c>
      <c r="Y270" t="s" s="0">
        <v>83</v>
      </c>
      <c r="Z270" t="s" s="0">
        <v>95</v>
      </c>
      <c r="AA270" t="s" s="0">
        <v>96</v>
      </c>
      <c r="AB270" t="s" s="0">
        <v>83</v>
      </c>
      <c r="AC270" t="s" s="0">
        <v>83</v>
      </c>
      <c r="AD270" t="s" s="0">
        <v>83</v>
      </c>
      <c r="AE270" t="s" s="0">
        <v>83</v>
      </c>
      <c r="AF270" t="s" s="0">
        <v>83</v>
      </c>
      <c r="AG270" t="s" s="0">
        <v>6879</v>
      </c>
      <c r="AH270" t="s" s="0">
        <v>6880</v>
      </c>
      <c r="AI270" t="s" s="0">
        <v>6881</v>
      </c>
      <c r="AJ270" t="s" s="0">
        <v>6882</v>
      </c>
      <c r="AK270" t="s" s="0">
        <v>83</v>
      </c>
      <c r="AL270" t="s" s="0">
        <v>631</v>
      </c>
      <c r="AM270" t="s" s="0">
        <v>571</v>
      </c>
      <c r="AN270" t="s" s="0">
        <v>1927</v>
      </c>
      <c r="AO270" t="s" s="0">
        <v>78</v>
      </c>
      <c r="AP270" t="s" s="0">
        <v>1000</v>
      </c>
      <c r="AQ270" t="s" s="0">
        <v>5484</v>
      </c>
      <c r="AR270" t="s" s="0">
        <v>5485</v>
      </c>
      <c r="AS270" t="s" s="0">
        <v>5486</v>
      </c>
      <c r="AT270" t="s" s="0">
        <v>5935</v>
      </c>
      <c r="AU270" t="s" s="0">
        <v>5936</v>
      </c>
      <c r="AV270" t="s" s="0">
        <v>83</v>
      </c>
      <c r="AW270" t="s" s="0">
        <v>5937</v>
      </c>
      <c r="AX270" t="s" s="0">
        <v>5938</v>
      </c>
      <c r="AY270" t="s" s="0">
        <v>3436</v>
      </c>
      <c r="AZ270" t="s" s="0">
        <v>785</v>
      </c>
      <c r="BA270" t="s" s="0">
        <v>6883</v>
      </c>
      <c r="BB270" t="s" s="0">
        <v>83</v>
      </c>
      <c r="BC270" t="s" s="0">
        <v>83</v>
      </c>
      <c r="BD270" t="s" s="0">
        <v>83</v>
      </c>
      <c r="BE270" t="s" s="0">
        <v>83</v>
      </c>
      <c r="BF270" t="s" s="0">
        <v>83</v>
      </c>
      <c r="BG270" t="s" s="0">
        <v>83</v>
      </c>
      <c r="BH270" t="s" s="0">
        <v>83</v>
      </c>
      <c r="BI270" t="s" s="0">
        <v>6884</v>
      </c>
      <c r="BJ270" t="s" s="0">
        <v>6885</v>
      </c>
      <c r="BK270" t="s" s="536">
        <f>HYPERLINK("http://dx.doi.org/10.1016/j.ijmedinf.2019.103957","http://dx.doi.org/10.1016/j.ijmedinf.2019.103957")</f>
        <v>6886</v>
      </c>
      <c r="BL270" t="s" s="0">
        <v>83</v>
      </c>
      <c r="BM270" t="s" s="0">
        <v>83</v>
      </c>
      <c r="BN270" t="s" s="0">
        <v>211</v>
      </c>
      <c r="BO270" t="s" s="0">
        <v>5944</v>
      </c>
      <c r="BP270" t="s" s="0">
        <v>5945</v>
      </c>
      <c r="BQ270" t="s" s="0">
        <v>6887</v>
      </c>
      <c r="BR270" t="s" s="0">
        <v>6888</v>
      </c>
      <c r="BS270" t="s" s="0">
        <v>6889</v>
      </c>
      <c r="BT270" t="s" s="537">
        <f>HYPERLINK("https://www.webofscience.com/wos/woscc/full-record/WOS:000484486600010","View Record in Web of Science")</f>
        <v>126</v>
      </c>
      <c r="BU270" t="s" s="0">
        <v>127</v>
      </c>
      <c r="BV270" t="s" s="0">
        <v>83</v>
      </c>
      <c r="BW270" t="s" s="0">
        <v>83</v>
      </c>
      <c r="BX270" t="s" s="0">
        <v>130</v>
      </c>
    </row>
    <row r="271">
      <c r="A271" t="s" s="0">
        <v>78</v>
      </c>
      <c r="B271" t="s" s="0">
        <v>78</v>
      </c>
      <c r="C271" t="s" s="0">
        <v>120</v>
      </c>
      <c r="D271" t="s" s="0">
        <v>115</v>
      </c>
      <c r="E271" t="s" s="0">
        <v>6890</v>
      </c>
      <c r="F271" t="s" s="0">
        <v>6891</v>
      </c>
      <c r="G271" t="s" s="0">
        <v>6892</v>
      </c>
      <c r="H271" t="s" s="0">
        <v>83</v>
      </c>
      <c r="I271" t="s" s="0">
        <v>174</v>
      </c>
      <c r="J271" t="s" s="0">
        <v>6893</v>
      </c>
      <c r="K271" t="s" s="0">
        <v>6894</v>
      </c>
      <c r="L271" t="s" s="0">
        <v>6895</v>
      </c>
      <c r="M271" t="s" s="0">
        <v>6896</v>
      </c>
      <c r="N271" t="s" s="0">
        <v>6897</v>
      </c>
      <c r="O271" t="s" s="0">
        <v>6898</v>
      </c>
      <c r="P271" t="s" s="0">
        <v>6899</v>
      </c>
      <c r="Q271" t="s" s="0">
        <v>92</v>
      </c>
      <c r="R271" t="s" s="0">
        <v>83</v>
      </c>
      <c r="S271" t="s" s="0">
        <v>83</v>
      </c>
      <c r="T271" t="s" s="0">
        <v>83</v>
      </c>
      <c r="U271" t="s" s="0">
        <v>83</v>
      </c>
      <c r="V271" t="s" s="0">
        <v>6900</v>
      </c>
      <c r="W271" t="s" s="0">
        <v>6901</v>
      </c>
      <c r="X271" t="s" s="0">
        <v>83</v>
      </c>
      <c r="Y271" t="s" s="0">
        <v>83</v>
      </c>
      <c r="Z271" t="s" s="0">
        <v>95</v>
      </c>
      <c r="AA271" t="s" s="0">
        <v>96</v>
      </c>
      <c r="AB271" t="s" s="0">
        <v>83</v>
      </c>
      <c r="AC271" t="s" s="0">
        <v>83</v>
      </c>
      <c r="AD271" t="s" s="0">
        <v>83</v>
      </c>
      <c r="AE271" t="s" s="0">
        <v>83</v>
      </c>
      <c r="AF271" t="s" s="0">
        <v>83</v>
      </c>
      <c r="AG271" t="s" s="0">
        <v>6902</v>
      </c>
      <c r="AH271" t="s" s="0">
        <v>6903</v>
      </c>
      <c r="AI271" t="s" s="0">
        <v>6904</v>
      </c>
      <c r="AJ271" t="s" s="0">
        <v>6905</v>
      </c>
      <c r="AK271" t="s" s="0">
        <v>83</v>
      </c>
      <c r="AL271" t="s" s="0">
        <v>2129</v>
      </c>
      <c r="AM271" t="s" s="0">
        <v>1980</v>
      </c>
      <c r="AN271" t="s" s="0">
        <v>6906</v>
      </c>
      <c r="AO271" t="s" s="0">
        <v>281</v>
      </c>
      <c r="AP271" t="s" s="0">
        <v>310</v>
      </c>
      <c r="AQ271" t="s" s="0">
        <v>271</v>
      </c>
      <c r="AR271" t="s" s="0">
        <v>272</v>
      </c>
      <c r="AS271" t="s" s="0">
        <v>273</v>
      </c>
      <c r="AT271" t="s" s="0">
        <v>83</v>
      </c>
      <c r="AU271" t="s" s="0">
        <v>6907</v>
      </c>
      <c r="AV271" t="s" s="0">
        <v>83</v>
      </c>
      <c r="AW271" t="s" s="0">
        <v>6908</v>
      </c>
      <c r="AX271" t="s" s="0">
        <v>6909</v>
      </c>
      <c r="AY271" t="s" s="0">
        <v>6910</v>
      </c>
      <c r="AZ271" t="s" s="0">
        <v>412</v>
      </c>
      <c r="BA271" t="s" s="0">
        <v>231</v>
      </c>
      <c r="BB271" t="s" s="0">
        <v>115</v>
      </c>
      <c r="BC271" t="s" s="0">
        <v>83</v>
      </c>
      <c r="BD271" t="s" s="0">
        <v>83</v>
      </c>
      <c r="BE271" t="s" s="0">
        <v>83</v>
      </c>
      <c r="BF271" t="s" s="0">
        <v>83</v>
      </c>
      <c r="BG271" t="s" s="0">
        <v>148</v>
      </c>
      <c r="BH271" t="s" s="0">
        <v>437</v>
      </c>
      <c r="BI271" t="s" s="0">
        <v>83</v>
      </c>
      <c r="BJ271" t="s" s="0">
        <v>6911</v>
      </c>
      <c r="BK271" t="s" s="538">
        <f>HYPERLINK("http://dx.doi.org/10.1093/ehjdh/ztae080","http://dx.doi.org/10.1093/ehjdh/ztae080")</f>
        <v>6912</v>
      </c>
      <c r="BL271" t="s" s="0">
        <v>83</v>
      </c>
      <c r="BM271" t="s" s="0">
        <v>6162</v>
      </c>
      <c r="BN271" t="s" s="0">
        <v>310</v>
      </c>
      <c r="BO271" t="s" s="0">
        <v>1133</v>
      </c>
      <c r="BP271" t="s" s="0">
        <v>1134</v>
      </c>
      <c r="BQ271" t="s" s="0">
        <v>6913</v>
      </c>
      <c r="BR271" t="s" s="0">
        <v>6914</v>
      </c>
      <c r="BS271" t="s" s="0">
        <v>6915</v>
      </c>
      <c r="BT271" t="s" s="539">
        <f>HYPERLINK("https://www.webofscience.com/wos/woscc/full-record/WOS:001353107400001","View Record in Web of Science")</f>
        <v>126</v>
      </c>
      <c r="BU271" t="s" s="0">
        <v>6035</v>
      </c>
      <c r="BV271" t="s" s="0">
        <v>83</v>
      </c>
      <c r="BW271" t="s" s="0">
        <v>83</v>
      </c>
      <c r="BX271" t="s" s="0">
        <v>130</v>
      </c>
    </row>
    <row r="272">
      <c r="A272" t="s" s="0">
        <v>78</v>
      </c>
      <c r="B272" t="s" s="0">
        <v>78</v>
      </c>
      <c r="C272" t="s" s="0">
        <v>165</v>
      </c>
      <c r="D272" t="s" s="0">
        <v>78</v>
      </c>
      <c r="E272" t="s" s="0">
        <v>6916</v>
      </c>
      <c r="F272" t="s" s="0">
        <v>6917</v>
      </c>
      <c r="G272" t="s" s="0">
        <v>6918</v>
      </c>
      <c r="H272" t="s" s="0">
        <v>83</v>
      </c>
      <c r="I272" t="s" s="0">
        <v>84</v>
      </c>
      <c r="J272" t="s" s="0">
        <v>6919</v>
      </c>
      <c r="K272" t="s" s="0">
        <v>6920</v>
      </c>
      <c r="L272" t="s" s="0">
        <v>6921</v>
      </c>
      <c r="M272" t="s" s="0">
        <v>6922</v>
      </c>
      <c r="N272" t="s" s="0">
        <v>6923</v>
      </c>
      <c r="O272" t="s" s="0">
        <v>6924</v>
      </c>
      <c r="P272" t="s" s="0">
        <v>6925</v>
      </c>
      <c r="Q272" t="s" s="0">
        <v>92</v>
      </c>
      <c r="R272" t="s" s="0">
        <v>83</v>
      </c>
      <c r="S272" t="s" s="0">
        <v>83</v>
      </c>
      <c r="T272" t="s" s="0">
        <v>83</v>
      </c>
      <c r="U272" t="s" s="0">
        <v>83</v>
      </c>
      <c r="V272" t="s" s="0">
        <v>6926</v>
      </c>
      <c r="W272" t="s" s="0">
        <v>6125</v>
      </c>
      <c r="X272" t="s" s="0">
        <v>83</v>
      </c>
      <c r="Y272" t="s" s="0">
        <v>83</v>
      </c>
      <c r="Z272" t="s" s="0">
        <v>95</v>
      </c>
      <c r="AA272" t="s" s="0">
        <v>96</v>
      </c>
      <c r="AB272" t="s" s="0">
        <v>83</v>
      </c>
      <c r="AC272" t="s" s="0">
        <v>83</v>
      </c>
      <c r="AD272" t="s" s="0">
        <v>83</v>
      </c>
      <c r="AE272" t="s" s="0">
        <v>83</v>
      </c>
      <c r="AF272" t="s" s="0">
        <v>83</v>
      </c>
      <c r="AG272" t="s" s="0">
        <v>6927</v>
      </c>
      <c r="AH272" t="s" s="0">
        <v>6928</v>
      </c>
      <c r="AI272" t="s" s="0">
        <v>6929</v>
      </c>
      <c r="AJ272" t="s" s="0">
        <v>6930</v>
      </c>
      <c r="AK272" t="s" s="0">
        <v>83</v>
      </c>
      <c r="AL272" t="s" s="0">
        <v>1873</v>
      </c>
      <c r="AM272" t="s" s="0">
        <v>358</v>
      </c>
      <c r="AN272" t="s" s="0">
        <v>470</v>
      </c>
      <c r="AO272" t="s" s="0">
        <v>78</v>
      </c>
      <c r="AP272" t="s" s="0">
        <v>1404</v>
      </c>
      <c r="AQ272" t="s" s="0">
        <v>1123</v>
      </c>
      <c r="AR272" t="s" s="0">
        <v>1124</v>
      </c>
      <c r="AS272" t="s" s="0">
        <v>1125</v>
      </c>
      <c r="AT272" t="s" s="0">
        <v>6130</v>
      </c>
      <c r="AU272" t="s" s="0">
        <v>6131</v>
      </c>
      <c r="AV272" t="s" s="0">
        <v>83</v>
      </c>
      <c r="AW272" t="s" s="0">
        <v>6132</v>
      </c>
      <c r="AX272" t="s" s="0">
        <v>6133</v>
      </c>
      <c r="AY272" t="s" s="0">
        <v>977</v>
      </c>
      <c r="AZ272" t="s" s="0">
        <v>241</v>
      </c>
      <c r="BA272" t="s" s="0">
        <v>1705</v>
      </c>
      <c r="BB272" t="s" s="0">
        <v>115</v>
      </c>
      <c r="BC272" t="s" s="0">
        <v>83</v>
      </c>
      <c r="BD272" t="s" s="0">
        <v>83</v>
      </c>
      <c r="BE272" t="s" s="0">
        <v>83</v>
      </c>
      <c r="BF272" t="s" s="0">
        <v>83</v>
      </c>
      <c r="BG272" t="s" s="0">
        <v>148</v>
      </c>
      <c r="BH272" t="s" s="0">
        <v>417</v>
      </c>
      <c r="BI272" t="s" s="0">
        <v>83</v>
      </c>
      <c r="BJ272" t="s" s="0">
        <v>6931</v>
      </c>
      <c r="BK272" t="s" s="540">
        <f>HYPERLINK("http://dx.doi.org/10.1111/aogs.14475","http://dx.doi.org/10.1111/aogs.14475")</f>
        <v>6932</v>
      </c>
      <c r="BL272" t="s" s="0">
        <v>83</v>
      </c>
      <c r="BM272" t="s" s="0">
        <v>5169</v>
      </c>
      <c r="BN272" t="s" s="0">
        <v>149</v>
      </c>
      <c r="BO272" t="s" s="0">
        <v>2139</v>
      </c>
      <c r="BP272" t="s" s="0">
        <v>2139</v>
      </c>
      <c r="BQ272" t="s" s="0">
        <v>6933</v>
      </c>
      <c r="BR272" t="s" s="0">
        <v>6934</v>
      </c>
      <c r="BS272" t="s" s="0">
        <v>6935</v>
      </c>
      <c r="BT272" t="s" s="541">
        <f>HYPERLINK("https://www.webofscience.com/wos/woscc/full-record/WOS:000888913000001","View Record in Web of Science")</f>
        <v>126</v>
      </c>
      <c r="BU272" t="s" s="0">
        <v>210</v>
      </c>
      <c r="BV272" t="s" s="0">
        <v>83</v>
      </c>
      <c r="BW272" t="s" s="0">
        <v>83</v>
      </c>
      <c r="BX272" t="s" s="0">
        <v>130</v>
      </c>
    </row>
    <row r="273">
      <c r="A273" t="s" s="0">
        <v>78</v>
      </c>
      <c r="B273" t="s" s="0">
        <v>78</v>
      </c>
      <c r="C273" t="s" s="0">
        <v>78</v>
      </c>
      <c r="D273" t="s" s="0">
        <v>78</v>
      </c>
      <c r="E273" t="s" s="0">
        <v>6936</v>
      </c>
      <c r="F273" t="s" s="0">
        <v>6937</v>
      </c>
      <c r="G273" t="s" s="0">
        <v>6938</v>
      </c>
      <c r="H273" t="s" s="0">
        <v>83</v>
      </c>
      <c r="I273" t="s" s="0">
        <v>84</v>
      </c>
      <c r="J273" t="s" s="0">
        <v>6939</v>
      </c>
      <c r="K273" t="s" s="0">
        <v>6940</v>
      </c>
      <c r="L273" t="s" s="0">
        <v>83</v>
      </c>
      <c r="M273" t="s" s="0">
        <v>83</v>
      </c>
      <c r="N273" t="s" s="0">
        <v>83</v>
      </c>
      <c r="O273" t="s" s="0">
        <v>6941</v>
      </c>
      <c r="P273" t="s" s="0">
        <v>6942</v>
      </c>
      <c r="Q273" t="s" s="0">
        <v>92</v>
      </c>
      <c r="R273" t="s" s="0">
        <v>83</v>
      </c>
      <c r="S273" t="s" s="0">
        <v>83</v>
      </c>
      <c r="T273" t="s" s="0">
        <v>83</v>
      </c>
      <c r="U273" t="s" s="0">
        <v>83</v>
      </c>
      <c r="V273" t="s" s="0">
        <v>6943</v>
      </c>
      <c r="W273" t="s" s="0">
        <v>6944</v>
      </c>
      <c r="X273" t="s" s="0">
        <v>83</v>
      </c>
      <c r="Y273" t="s" s="0">
        <v>83</v>
      </c>
      <c r="Z273" t="s" s="0">
        <v>95</v>
      </c>
      <c r="AA273" t="s" s="0">
        <v>96</v>
      </c>
      <c r="AB273" t="s" s="0">
        <v>83</v>
      </c>
      <c r="AC273" t="s" s="0">
        <v>83</v>
      </c>
      <c r="AD273" t="s" s="0">
        <v>83</v>
      </c>
      <c r="AE273" t="s" s="0">
        <v>83</v>
      </c>
      <c r="AF273" t="s" s="0">
        <v>83</v>
      </c>
      <c r="AG273" t="s" s="0">
        <v>6945</v>
      </c>
      <c r="AH273" t="s" s="0">
        <v>6946</v>
      </c>
      <c r="AI273" t="s" s="0">
        <v>6947</v>
      </c>
      <c r="AJ273" t="s" s="0">
        <v>6948</v>
      </c>
      <c r="AK273" t="s" s="0">
        <v>83</v>
      </c>
      <c r="AL273" t="s" s="0">
        <v>203</v>
      </c>
      <c r="AM273" t="s" s="0">
        <v>115</v>
      </c>
      <c r="AN273" t="s" s="0">
        <v>115</v>
      </c>
      <c r="AO273" t="s" s="0">
        <v>115</v>
      </c>
      <c r="AP273" t="s" s="0">
        <v>148</v>
      </c>
      <c r="AQ273" t="s" s="0">
        <v>1151</v>
      </c>
      <c r="AR273" t="s" s="0">
        <v>1152</v>
      </c>
      <c r="AS273" t="s" s="0">
        <v>1153</v>
      </c>
      <c r="AT273" t="s" s="0">
        <v>6949</v>
      </c>
      <c r="AU273" t="s" s="0">
        <v>6950</v>
      </c>
      <c r="AV273" t="s" s="0">
        <v>83</v>
      </c>
      <c r="AW273" t="s" s="0">
        <v>6944</v>
      </c>
      <c r="AX273" t="s" s="0">
        <v>6951</v>
      </c>
      <c r="AY273" t="s" s="0">
        <v>158</v>
      </c>
      <c r="AZ273" t="s" s="0">
        <v>159</v>
      </c>
      <c r="BA273" t="s" s="0">
        <v>160</v>
      </c>
      <c r="BB273" t="s" s="0">
        <v>83</v>
      </c>
      <c r="BC273" t="s" s="0">
        <v>83</v>
      </c>
      <c r="BD273" t="s" s="0">
        <v>83</v>
      </c>
      <c r="BE273" t="s" s="0">
        <v>83</v>
      </c>
      <c r="BF273" t="s" s="0">
        <v>83</v>
      </c>
      <c r="BG273" t="s" s="0">
        <v>2369</v>
      </c>
      <c r="BH273" t="s" s="0">
        <v>6952</v>
      </c>
      <c r="BI273" t="s" s="0">
        <v>83</v>
      </c>
      <c r="BJ273" t="s" s="0">
        <v>6953</v>
      </c>
      <c r="BK273" t="s" s="542">
        <f>HYPERLINK("http://dx.doi.org/10.1016/j.knee.2025.02.032","http://dx.doi.org/10.1016/j.knee.2025.02.032")</f>
        <v>6954</v>
      </c>
      <c r="BL273" t="s" s="0">
        <v>83</v>
      </c>
      <c r="BM273" t="s" s="0">
        <v>2297</v>
      </c>
      <c r="BN273" t="s" s="0">
        <v>309</v>
      </c>
      <c r="BO273" t="s" s="0">
        <v>6955</v>
      </c>
      <c r="BP273" t="s" s="0">
        <v>6955</v>
      </c>
      <c r="BQ273" t="s" s="0">
        <v>6956</v>
      </c>
      <c r="BR273" t="s" s="0">
        <v>6957</v>
      </c>
      <c r="BS273" t="s" s="0">
        <v>6958</v>
      </c>
      <c r="BT273" t="s" s="543">
        <f>HYPERLINK("https://www.webofscience.com/wos/woscc/full-record/WOS:001450432700001","View Record in Web of Science")</f>
        <v>126</v>
      </c>
      <c r="BU273" t="s" s="0">
        <v>83</v>
      </c>
      <c r="BV273" t="s" s="0">
        <v>83</v>
      </c>
      <c r="BW273" t="s" s="0">
        <v>83</v>
      </c>
      <c r="BX273" t="s" s="0">
        <v>130</v>
      </c>
    </row>
    <row r="274">
      <c r="A274" t="s" s="0">
        <v>78</v>
      </c>
      <c r="B274" t="s" s="0">
        <v>78</v>
      </c>
      <c r="C274" t="s" s="0">
        <v>1954</v>
      </c>
      <c r="D274" t="s" s="0">
        <v>115</v>
      </c>
      <c r="E274" t="s" s="0">
        <v>5545</v>
      </c>
      <c r="F274" t="s" s="0">
        <v>6959</v>
      </c>
      <c r="G274" t="s" s="0">
        <v>6960</v>
      </c>
      <c r="H274" t="s" s="0">
        <v>83</v>
      </c>
      <c r="I274" t="s" s="0">
        <v>84</v>
      </c>
      <c r="J274" t="s" s="0">
        <v>6544</v>
      </c>
      <c r="K274" t="s" s="0">
        <v>5549</v>
      </c>
      <c r="L274" t="s" s="0">
        <v>6961</v>
      </c>
      <c r="M274" t="s" s="0">
        <v>6962</v>
      </c>
      <c r="N274" t="s" s="0">
        <v>6963</v>
      </c>
      <c r="O274" t="s" s="0">
        <v>6964</v>
      </c>
      <c r="P274" t="s" s="0">
        <v>6965</v>
      </c>
      <c r="Q274" t="s" s="0">
        <v>92</v>
      </c>
      <c r="R274" t="s" s="0">
        <v>83</v>
      </c>
      <c r="S274" t="s" s="0">
        <v>83</v>
      </c>
      <c r="T274" t="s" s="0">
        <v>83</v>
      </c>
      <c r="U274" t="s" s="0">
        <v>83</v>
      </c>
      <c r="V274" t="s" s="0">
        <v>6966</v>
      </c>
      <c r="W274" t="s" s="0">
        <v>6967</v>
      </c>
      <c r="X274" t="s" s="0">
        <v>83</v>
      </c>
      <c r="Y274" t="s" s="0">
        <v>83</v>
      </c>
      <c r="Z274" t="s" s="0">
        <v>95</v>
      </c>
      <c r="AA274" t="s" s="0">
        <v>96</v>
      </c>
      <c r="AB274" t="s" s="0">
        <v>83</v>
      </c>
      <c r="AC274" t="s" s="0">
        <v>83</v>
      </c>
      <c r="AD274" t="s" s="0">
        <v>83</v>
      </c>
      <c r="AE274" t="s" s="0">
        <v>83</v>
      </c>
      <c r="AF274" t="s" s="0">
        <v>83</v>
      </c>
      <c r="AG274" t="s" s="0">
        <v>83</v>
      </c>
      <c r="AH274" t="s" s="0">
        <v>6968</v>
      </c>
      <c r="AI274" t="s" s="0">
        <v>6969</v>
      </c>
      <c r="AJ274" t="s" s="0">
        <v>6970</v>
      </c>
      <c r="AK274" t="s" s="0">
        <v>83</v>
      </c>
      <c r="AL274" t="s" s="0">
        <v>202</v>
      </c>
      <c r="AM274" t="s" s="0">
        <v>6971</v>
      </c>
      <c r="AN274" t="s" s="0">
        <v>6972</v>
      </c>
      <c r="AO274" t="s" s="0">
        <v>165</v>
      </c>
      <c r="AP274" t="s" s="0">
        <v>2044</v>
      </c>
      <c r="AQ274" t="s" s="0">
        <v>632</v>
      </c>
      <c r="AR274" t="s" s="0">
        <v>106</v>
      </c>
      <c r="AS274" t="s" s="0">
        <v>633</v>
      </c>
      <c r="AT274" t="s" s="0">
        <v>6973</v>
      </c>
      <c r="AU274" t="s" s="0">
        <v>6974</v>
      </c>
      <c r="AV274" t="s" s="0">
        <v>83</v>
      </c>
      <c r="AW274" t="s" s="0">
        <v>6975</v>
      </c>
      <c r="AX274" t="s" s="0">
        <v>6976</v>
      </c>
      <c r="AY274" t="s" s="0">
        <v>6977</v>
      </c>
      <c r="AZ274" t="s" s="0">
        <v>637</v>
      </c>
      <c r="BA274" t="s" s="0">
        <v>6978</v>
      </c>
      <c r="BB274" t="s" s="0">
        <v>83</v>
      </c>
      <c r="BC274" t="s" s="0">
        <v>83</v>
      </c>
      <c r="BD274" t="s" s="0">
        <v>83</v>
      </c>
      <c r="BE274" t="s" s="0">
        <v>83</v>
      </c>
      <c r="BF274" t="s" s="0">
        <v>83</v>
      </c>
      <c r="BG274" t="s" s="0">
        <v>83</v>
      </c>
      <c r="BH274" t="s" s="0">
        <v>83</v>
      </c>
      <c r="BI274" t="s" s="0">
        <v>6979</v>
      </c>
      <c r="BJ274" t="s" s="0">
        <v>6980</v>
      </c>
      <c r="BK274" t="s" s="544">
        <f>HYPERLINK("http://dx.doi.org/10.1136/bmj.n2281","http://dx.doi.org/10.1136/bmj.n2281")</f>
        <v>6981</v>
      </c>
      <c r="BL274" t="s" s="0">
        <v>83</v>
      </c>
      <c r="BM274" t="s" s="0">
        <v>83</v>
      </c>
      <c r="BN274" t="s" s="0">
        <v>165</v>
      </c>
      <c r="BO274" t="s" s="0">
        <v>669</v>
      </c>
      <c r="BP274" t="s" s="0">
        <v>670</v>
      </c>
      <c r="BQ274" t="s" s="0">
        <v>6982</v>
      </c>
      <c r="BR274" t="s" s="0">
        <v>6983</v>
      </c>
      <c r="BS274" t="s" s="0">
        <v>6984</v>
      </c>
      <c r="BT274" t="s" s="545">
        <f>HYPERLINK("https://www.webofscience.com/wos/woscc/full-record/WOS:000713709400016","View Record in Web of Science")</f>
        <v>126</v>
      </c>
      <c r="BU274" t="s" s="0">
        <v>253</v>
      </c>
      <c r="BV274" t="s" s="0">
        <v>128</v>
      </c>
      <c r="BW274" t="s" s="0">
        <v>129</v>
      </c>
      <c r="BX274" t="s" s="0">
        <v>130</v>
      </c>
    </row>
    <row r="275">
      <c r="A275" t="s" s="0">
        <v>78</v>
      </c>
      <c r="B275" t="s" s="0">
        <v>78</v>
      </c>
      <c r="C275" t="s" s="0">
        <v>78</v>
      </c>
      <c r="D275" t="s" s="0">
        <v>78</v>
      </c>
      <c r="E275" t="s" s="0">
        <v>6985</v>
      </c>
      <c r="F275" t="s" s="0">
        <v>6986</v>
      </c>
      <c r="G275" t="s" s="0">
        <v>6987</v>
      </c>
      <c r="H275" t="s" s="0">
        <v>83</v>
      </c>
      <c r="I275" t="s" s="0">
        <v>84</v>
      </c>
      <c r="J275" t="s" s="0">
        <v>6988</v>
      </c>
      <c r="K275" t="s" s="0">
        <v>6989</v>
      </c>
      <c r="L275" t="s" s="0">
        <v>6990</v>
      </c>
      <c r="M275" t="s" s="0">
        <v>6991</v>
      </c>
      <c r="N275" t="s" s="0">
        <v>6992</v>
      </c>
      <c r="O275" t="s" s="0">
        <v>6993</v>
      </c>
      <c r="P275" t="s" s="0">
        <v>6994</v>
      </c>
      <c r="Q275" t="s" s="0">
        <v>92</v>
      </c>
      <c r="R275" t="s" s="0">
        <v>83</v>
      </c>
      <c r="S275" t="s" s="0">
        <v>83</v>
      </c>
      <c r="T275" t="s" s="0">
        <v>83</v>
      </c>
      <c r="U275" t="s" s="0">
        <v>83</v>
      </c>
      <c r="V275" t="s" s="0">
        <v>6995</v>
      </c>
      <c r="W275" t="s" s="0">
        <v>6996</v>
      </c>
      <c r="X275" t="s" s="0">
        <v>83</v>
      </c>
      <c r="Y275" t="s" s="0">
        <v>83</v>
      </c>
      <c r="Z275" t="s" s="0">
        <v>95</v>
      </c>
      <c r="AA275" t="s" s="0">
        <v>566</v>
      </c>
      <c r="AB275" t="s" s="0">
        <v>83</v>
      </c>
      <c r="AC275" t="s" s="0">
        <v>83</v>
      </c>
      <c r="AD275" t="s" s="0">
        <v>83</v>
      </c>
      <c r="AE275" t="s" s="0">
        <v>83</v>
      </c>
      <c r="AF275" t="s" s="0">
        <v>83</v>
      </c>
      <c r="AG275" t="s" s="0">
        <v>6997</v>
      </c>
      <c r="AH275" t="s" s="0">
        <v>6998</v>
      </c>
      <c r="AI275" t="s" s="0">
        <v>6999</v>
      </c>
      <c r="AJ275" t="s" s="0">
        <v>83</v>
      </c>
      <c r="AK275" t="s" s="0">
        <v>83</v>
      </c>
      <c r="AL275" t="s" s="0">
        <v>1404</v>
      </c>
      <c r="AM275" t="s" s="0">
        <v>78</v>
      </c>
      <c r="AN275" t="s" s="0">
        <v>78</v>
      </c>
      <c r="AO275" t="s" s="0">
        <v>78</v>
      </c>
      <c r="AP275" t="s" s="0">
        <v>78</v>
      </c>
      <c r="AQ275" t="s" s="0">
        <v>1267</v>
      </c>
      <c r="AR275" t="s" s="0">
        <v>234</v>
      </c>
      <c r="AS275" t="s" s="0">
        <v>1268</v>
      </c>
      <c r="AT275" t="s" s="0">
        <v>7000</v>
      </c>
      <c r="AU275" t="s" s="0">
        <v>7001</v>
      </c>
      <c r="AV275" t="s" s="0">
        <v>83</v>
      </c>
      <c r="AW275" t="s" s="0">
        <v>7002</v>
      </c>
      <c r="AX275" t="s" s="0">
        <v>7003</v>
      </c>
      <c r="AY275" t="s" s="0">
        <v>83</v>
      </c>
      <c r="AZ275" t="s" s="0">
        <v>511</v>
      </c>
      <c r="BA275" t="s" s="0">
        <v>83</v>
      </c>
      <c r="BB275" t="s" s="0">
        <v>83</v>
      </c>
      <c r="BC275" t="s" s="0">
        <v>83</v>
      </c>
      <c r="BD275" t="s" s="0">
        <v>83</v>
      </c>
      <c r="BE275" t="s" s="0">
        <v>83</v>
      </c>
      <c r="BF275" t="s" s="0">
        <v>83</v>
      </c>
      <c r="BG275" t="s" s="0">
        <v>83</v>
      </c>
      <c r="BH275" t="s" s="0">
        <v>83</v>
      </c>
      <c r="BI275" t="s" s="0">
        <v>83</v>
      </c>
      <c r="BJ275" t="s" s="0">
        <v>7004</v>
      </c>
      <c r="BK275" t="s" s="546">
        <f>HYPERLINK("http://dx.doi.org/10.1007/s00405-026-10316-7","http://dx.doi.org/10.1007/s00405-026-10316-7")</f>
        <v>7005</v>
      </c>
      <c r="BL275" t="s" s="0">
        <v>83</v>
      </c>
      <c r="BM275" t="s" s="0">
        <v>731</v>
      </c>
      <c r="BN275" t="s" s="0">
        <v>248</v>
      </c>
      <c r="BO275" t="s" s="0">
        <v>7006</v>
      </c>
      <c r="BP275" t="s" s="0">
        <v>7006</v>
      </c>
      <c r="BQ275" t="s" s="0">
        <v>7007</v>
      </c>
      <c r="BR275" t="s" s="0">
        <v>7008</v>
      </c>
      <c r="BS275" t="s" s="0">
        <v>7009</v>
      </c>
      <c r="BT275" t="s" s="547">
        <f>HYPERLINK("https://www.webofscience.com/wos/woscc/full-record/WOS:001783096100001","View Record in Web of Science")</f>
        <v>126</v>
      </c>
      <c r="BU275" t="s" s="0">
        <v>83</v>
      </c>
      <c r="BV275" t="s" s="0">
        <v>83</v>
      </c>
      <c r="BW275" t="s" s="0">
        <v>83</v>
      </c>
      <c r="BX275" t="s" s="0">
        <v>130</v>
      </c>
    </row>
    <row r="276">
      <c r="A276" t="s" s="0">
        <v>78</v>
      </c>
      <c r="B276" t="s" s="0">
        <v>78</v>
      </c>
      <c r="C276" t="s" s="0">
        <v>78</v>
      </c>
      <c r="D276" t="s" s="0">
        <v>78</v>
      </c>
      <c r="E276" t="s" s="0">
        <v>7010</v>
      </c>
      <c r="F276" t="s" s="0">
        <v>7011</v>
      </c>
      <c r="G276" t="s" s="0">
        <v>7012</v>
      </c>
      <c r="H276" t="s" s="0">
        <v>83</v>
      </c>
      <c r="I276" t="s" s="0">
        <v>84</v>
      </c>
      <c r="J276" t="s" s="0">
        <v>7013</v>
      </c>
      <c r="K276" t="s" s="0">
        <v>7014</v>
      </c>
      <c r="L276" t="s" s="0">
        <v>83</v>
      </c>
      <c r="M276" t="s" s="0">
        <v>83</v>
      </c>
      <c r="N276" t="s" s="0">
        <v>83</v>
      </c>
      <c r="O276" t="s" s="0">
        <v>7015</v>
      </c>
      <c r="P276" t="s" s="0">
        <v>7016</v>
      </c>
      <c r="Q276" t="s" s="0">
        <v>92</v>
      </c>
      <c r="R276" t="s" s="0">
        <v>83</v>
      </c>
      <c r="S276" t="s" s="0">
        <v>83</v>
      </c>
      <c r="T276" t="s" s="0">
        <v>83</v>
      </c>
      <c r="U276" t="s" s="0">
        <v>83</v>
      </c>
      <c r="V276" t="s" s="0">
        <v>7017</v>
      </c>
      <c r="W276" t="s" s="0">
        <v>7018</v>
      </c>
      <c r="X276" t="s" s="0">
        <v>83</v>
      </c>
      <c r="Y276" t="s" s="0">
        <v>83</v>
      </c>
      <c r="Z276" t="s" s="0">
        <v>95</v>
      </c>
      <c r="AA276" t="s" s="0">
        <v>96</v>
      </c>
      <c r="AB276" t="s" s="0">
        <v>83</v>
      </c>
      <c r="AC276" t="s" s="0">
        <v>83</v>
      </c>
      <c r="AD276" t="s" s="0">
        <v>83</v>
      </c>
      <c r="AE276" t="s" s="0">
        <v>83</v>
      </c>
      <c r="AF276" t="s" s="0">
        <v>83</v>
      </c>
      <c r="AG276" t="s" s="0">
        <v>7019</v>
      </c>
      <c r="AH276" t="s" s="0">
        <v>7020</v>
      </c>
      <c r="AI276" t="s" s="0">
        <v>7021</v>
      </c>
      <c r="AJ276" t="s" s="0">
        <v>83</v>
      </c>
      <c r="AK276" t="s" s="0">
        <v>83</v>
      </c>
      <c r="AL276" t="s" s="0">
        <v>1395</v>
      </c>
      <c r="AM276" t="s" s="0">
        <v>78</v>
      </c>
      <c r="AN276" t="s" s="0">
        <v>78</v>
      </c>
      <c r="AO276" t="s" s="0">
        <v>78</v>
      </c>
      <c r="AP276" t="s" s="0">
        <v>78</v>
      </c>
      <c r="AQ276" t="s" s="0">
        <v>7022</v>
      </c>
      <c r="AR276" t="s" s="0">
        <v>7023</v>
      </c>
      <c r="AS276" t="s" s="0">
        <v>7024</v>
      </c>
      <c r="AT276" t="s" s="0">
        <v>7025</v>
      </c>
      <c r="AU276" t="s" s="0">
        <v>7026</v>
      </c>
      <c r="AV276" t="s" s="0">
        <v>83</v>
      </c>
      <c r="AW276" t="s" s="0">
        <v>7027</v>
      </c>
      <c r="AX276" t="s" s="0">
        <v>7028</v>
      </c>
      <c r="AY276" t="s" s="0">
        <v>7029</v>
      </c>
      <c r="AZ276" t="s" s="0">
        <v>511</v>
      </c>
      <c r="BA276" t="s" s="0">
        <v>2520</v>
      </c>
      <c r="BB276" t="s" s="0">
        <v>115</v>
      </c>
      <c r="BC276" t="s" s="0">
        <v>83</v>
      </c>
      <c r="BD276" t="s" s="0">
        <v>83</v>
      </c>
      <c r="BE276" t="s" s="0">
        <v>83</v>
      </c>
      <c r="BF276" t="s" s="0">
        <v>83</v>
      </c>
      <c r="BG276" t="s" s="0">
        <v>83</v>
      </c>
      <c r="BH276" t="s" s="0">
        <v>83</v>
      </c>
      <c r="BI276" t="s" s="0">
        <v>318</v>
      </c>
      <c r="BJ276" t="s" s="0">
        <v>7030</v>
      </c>
      <c r="BK276" t="s" s="548">
        <f>HYPERLINK("http://dx.doi.org/10.1007/s00701-026-06876-6","http://dx.doi.org/10.1007/s00701-026-06876-6")</f>
        <v>7031</v>
      </c>
      <c r="BL276" t="s" s="0">
        <v>83</v>
      </c>
      <c r="BM276" t="s" s="0">
        <v>3994</v>
      </c>
      <c r="BN276" t="s" s="0">
        <v>413</v>
      </c>
      <c r="BO276" t="s" s="0">
        <v>5601</v>
      </c>
      <c r="BP276" t="s" s="0">
        <v>5602</v>
      </c>
      <c r="BQ276" t="s" s="0">
        <v>7032</v>
      </c>
      <c r="BR276" t="s" s="0">
        <v>7033</v>
      </c>
      <c r="BS276" t="s" s="0">
        <v>7034</v>
      </c>
      <c r="BT276" t="s" s="549">
        <f>HYPERLINK("https://www.webofscience.com/wos/woscc/full-record/WOS:001807640000001","View Record in Web of Science")</f>
        <v>126</v>
      </c>
      <c r="BU276" t="s" s="0">
        <v>210</v>
      </c>
      <c r="BV276" t="s" s="0">
        <v>83</v>
      </c>
      <c r="BW276" t="s" s="0">
        <v>83</v>
      </c>
      <c r="BX276" t="s" s="0">
        <v>130</v>
      </c>
    </row>
    <row r="277">
      <c r="A277" t="s" s="0">
        <v>78</v>
      </c>
      <c r="B277" t="s" s="0">
        <v>78</v>
      </c>
      <c r="C277" t="s" s="0">
        <v>78</v>
      </c>
      <c r="D277" t="s" s="0">
        <v>78</v>
      </c>
      <c r="E277" t="s" s="0">
        <v>7035</v>
      </c>
      <c r="F277" t="s" s="0">
        <v>7036</v>
      </c>
      <c r="G277" t="s" s="0">
        <v>7037</v>
      </c>
      <c r="H277" t="s" s="0">
        <v>83</v>
      </c>
      <c r="I277" t="s" s="0">
        <v>84</v>
      </c>
      <c r="J277" t="s" s="0">
        <v>7038</v>
      </c>
      <c r="K277" t="s" s="0">
        <v>7039</v>
      </c>
      <c r="L277" t="s" s="0">
        <v>7040</v>
      </c>
      <c r="M277" t="s" s="0">
        <v>7041</v>
      </c>
      <c r="N277" t="s" s="0">
        <v>7042</v>
      </c>
      <c r="O277" t="s" s="0">
        <v>7043</v>
      </c>
      <c r="P277" t="s" s="0">
        <v>7044</v>
      </c>
      <c r="Q277" t="s" s="0">
        <v>92</v>
      </c>
      <c r="R277" t="s" s="0">
        <v>83</v>
      </c>
      <c r="S277" t="s" s="0">
        <v>83</v>
      </c>
      <c r="T277" t="s" s="0">
        <v>83</v>
      </c>
      <c r="U277" t="s" s="0">
        <v>83</v>
      </c>
      <c r="V277" t="s" s="0">
        <v>7045</v>
      </c>
      <c r="W277" t="s" s="0">
        <v>7046</v>
      </c>
      <c r="X277" t="s" s="0">
        <v>83</v>
      </c>
      <c r="Y277" t="s" s="0">
        <v>83</v>
      </c>
      <c r="Z277" t="s" s="0">
        <v>95</v>
      </c>
      <c r="AA277" t="s" s="0">
        <v>96</v>
      </c>
      <c r="AB277" t="s" s="0">
        <v>83</v>
      </c>
      <c r="AC277" t="s" s="0">
        <v>83</v>
      </c>
      <c r="AD277" t="s" s="0">
        <v>83</v>
      </c>
      <c r="AE277" t="s" s="0">
        <v>83</v>
      </c>
      <c r="AF277" t="s" s="0">
        <v>83</v>
      </c>
      <c r="AG277" t="s" s="0">
        <v>7047</v>
      </c>
      <c r="AH277" t="s" s="0">
        <v>7048</v>
      </c>
      <c r="AI277" t="s" s="0">
        <v>83</v>
      </c>
      <c r="AJ277" t="s" s="0">
        <v>83</v>
      </c>
      <c r="AK277" t="s" s="0">
        <v>83</v>
      </c>
      <c r="AL277" t="s" s="0">
        <v>160</v>
      </c>
      <c r="AM277" t="s" s="0">
        <v>78</v>
      </c>
      <c r="AN277" t="s" s="0">
        <v>78</v>
      </c>
      <c r="AO277" t="s" s="0">
        <v>150</v>
      </c>
      <c r="AP277" t="s" s="0">
        <v>150</v>
      </c>
      <c r="AQ277" t="s" s="0">
        <v>1267</v>
      </c>
      <c r="AR277" t="s" s="0">
        <v>234</v>
      </c>
      <c r="AS277" t="s" s="0">
        <v>1268</v>
      </c>
      <c r="AT277" t="s" s="0">
        <v>7049</v>
      </c>
      <c r="AU277" t="s" s="0">
        <v>7050</v>
      </c>
      <c r="AV277" t="s" s="0">
        <v>83</v>
      </c>
      <c r="AW277" t="s" s="0">
        <v>7051</v>
      </c>
      <c r="AX277" t="s" s="0">
        <v>7052</v>
      </c>
      <c r="AY277" t="s" s="0">
        <v>7053</v>
      </c>
      <c r="AZ277" t="s" s="0">
        <v>511</v>
      </c>
      <c r="BA277" t="s" s="0">
        <v>1747</v>
      </c>
      <c r="BB277" t="s" s="0">
        <v>115</v>
      </c>
      <c r="BC277" t="s" s="0">
        <v>83</v>
      </c>
      <c r="BD277" t="s" s="0">
        <v>83</v>
      </c>
      <c r="BE277" t="s" s="0">
        <v>83</v>
      </c>
      <c r="BF277" t="s" s="0">
        <v>83</v>
      </c>
      <c r="BG277" t="s" s="0">
        <v>83</v>
      </c>
      <c r="BH277" t="s" s="0">
        <v>83</v>
      </c>
      <c r="BI277" t="s" s="0">
        <v>202</v>
      </c>
      <c r="BJ277" t="s" s="0">
        <v>7054</v>
      </c>
      <c r="BK277" t="s" s="550">
        <f>HYPERLINK("http://dx.doi.org/10.1007/s00384-026-05083-0","http://dx.doi.org/10.1007/s00384-026-05083-0")</f>
        <v>7055</v>
      </c>
      <c r="BL277" t="s" s="0">
        <v>83</v>
      </c>
      <c r="BM277" t="s" s="0">
        <v>83</v>
      </c>
      <c r="BN277" t="s" s="0">
        <v>211</v>
      </c>
      <c r="BO277" t="s" s="0">
        <v>3522</v>
      </c>
      <c r="BP277" t="s" s="0">
        <v>3522</v>
      </c>
      <c r="BQ277" t="s" s="0">
        <v>7056</v>
      </c>
      <c r="BR277" t="s" s="0">
        <v>7057</v>
      </c>
      <c r="BS277" t="s" s="0">
        <v>7058</v>
      </c>
      <c r="BT277" t="s" s="551">
        <f>HYPERLINK("https://www.webofscience.com/wos/woscc/full-record/WOS:001665607700001","View Record in Web of Science")</f>
        <v>126</v>
      </c>
      <c r="BU277" t="s" s="0">
        <v>253</v>
      </c>
      <c r="BV277" t="s" s="0">
        <v>83</v>
      </c>
      <c r="BW277" t="s" s="0">
        <v>83</v>
      </c>
      <c r="BX277" t="s" s="0">
        <v>130</v>
      </c>
    </row>
    <row r="278">
      <c r="A278" t="s" s="0">
        <v>78</v>
      </c>
      <c r="B278" t="s" s="0">
        <v>78</v>
      </c>
      <c r="C278" t="s" s="0">
        <v>78</v>
      </c>
      <c r="D278" t="s" s="0">
        <v>78</v>
      </c>
      <c r="E278" t="s" s="0">
        <v>7059</v>
      </c>
      <c r="F278" t="s" s="0">
        <v>7060</v>
      </c>
      <c r="G278" t="s" s="0">
        <v>7061</v>
      </c>
      <c r="H278" t="s" s="0">
        <v>83</v>
      </c>
      <c r="I278" t="s" s="0">
        <v>257</v>
      </c>
      <c r="J278" t="s" s="0">
        <v>7062</v>
      </c>
      <c r="K278" t="s" s="0">
        <v>7063</v>
      </c>
      <c r="L278" t="s" s="0">
        <v>83</v>
      </c>
      <c r="M278" t="s" s="0">
        <v>83</v>
      </c>
      <c r="N278" t="s" s="0">
        <v>83</v>
      </c>
      <c r="O278" t="s" s="0">
        <v>7064</v>
      </c>
      <c r="P278" t="s" s="0">
        <v>7065</v>
      </c>
      <c r="Q278" t="s" s="0">
        <v>92</v>
      </c>
      <c r="R278" t="s" s="0">
        <v>83</v>
      </c>
      <c r="S278" t="s" s="0">
        <v>83</v>
      </c>
      <c r="T278" t="s" s="0">
        <v>83</v>
      </c>
      <c r="U278" t="s" s="0">
        <v>83</v>
      </c>
      <c r="V278" t="s" s="0">
        <v>7066</v>
      </c>
      <c r="W278" t="s" s="0">
        <v>7067</v>
      </c>
      <c r="X278" t="s" s="0">
        <v>83</v>
      </c>
      <c r="Y278" t="s" s="0">
        <v>83</v>
      </c>
      <c r="Z278" t="s" s="0">
        <v>95</v>
      </c>
      <c r="AA278" t="s" s="0">
        <v>96</v>
      </c>
      <c r="AB278" t="s" s="0">
        <v>83</v>
      </c>
      <c r="AC278" t="s" s="0">
        <v>83</v>
      </c>
      <c r="AD278" t="s" s="0">
        <v>83</v>
      </c>
      <c r="AE278" t="s" s="0">
        <v>83</v>
      </c>
      <c r="AF278" t="s" s="0">
        <v>83</v>
      </c>
      <c r="AG278" t="s" s="0">
        <v>7068</v>
      </c>
      <c r="AH278" t="s" s="0">
        <v>7069</v>
      </c>
      <c r="AI278" t="s" s="0">
        <v>83</v>
      </c>
      <c r="AJ278" t="s" s="0">
        <v>83</v>
      </c>
      <c r="AK278" t="s" s="0">
        <v>83</v>
      </c>
      <c r="AL278" t="s" s="0">
        <v>690</v>
      </c>
      <c r="AM278" t="s" s="0">
        <v>78</v>
      </c>
      <c r="AN278" t="s" s="0">
        <v>78</v>
      </c>
      <c r="AO278" t="s" s="0">
        <v>77</v>
      </c>
      <c r="AP278" t="s" s="0">
        <v>77</v>
      </c>
      <c r="AQ278" t="s" s="0">
        <v>830</v>
      </c>
      <c r="AR278" t="s" s="0">
        <v>831</v>
      </c>
      <c r="AS278" t="s" s="0">
        <v>832</v>
      </c>
      <c r="AT278" t="s" s="0">
        <v>83</v>
      </c>
      <c r="AU278" t="s" s="0">
        <v>7070</v>
      </c>
      <c r="AV278" t="s" s="0">
        <v>83</v>
      </c>
      <c r="AW278" t="s" s="0">
        <v>7071</v>
      </c>
      <c r="AX278" t="s" s="0">
        <v>7072</v>
      </c>
      <c r="AY278" t="s" s="0">
        <v>7073</v>
      </c>
      <c r="AZ278" t="s" s="0">
        <v>511</v>
      </c>
      <c r="BA278" t="s" s="0">
        <v>417</v>
      </c>
      <c r="BB278" t="s" s="0">
        <v>83</v>
      </c>
      <c r="BC278" t="s" s="0">
        <v>83</v>
      </c>
      <c r="BD278" t="s" s="0">
        <v>83</v>
      </c>
      <c r="BE278" t="s" s="0">
        <v>83</v>
      </c>
      <c r="BF278" t="s" s="0">
        <v>83</v>
      </c>
      <c r="BG278" t="s" s="0">
        <v>83</v>
      </c>
      <c r="BH278" t="s" s="0">
        <v>83</v>
      </c>
      <c r="BI278" t="s" s="0">
        <v>7074</v>
      </c>
      <c r="BJ278" t="s" s="0">
        <v>7075</v>
      </c>
      <c r="BK278" t="s" s="552">
        <f>HYPERLINK("http://dx.doi.org/10.3389/fpubh.2026.1793116","http://dx.doi.org/10.3389/fpubh.2026.1793116")</f>
        <v>7076</v>
      </c>
      <c r="BL278" t="s" s="0">
        <v>83</v>
      </c>
      <c r="BM278" t="s" s="0">
        <v>731</v>
      </c>
      <c r="BN278" t="s" s="0">
        <v>120</v>
      </c>
      <c r="BO278" t="s" s="0">
        <v>641</v>
      </c>
      <c r="BP278" t="s" s="0">
        <v>641</v>
      </c>
      <c r="BQ278" t="s" s="0">
        <v>7077</v>
      </c>
      <c r="BR278" t="s" s="0">
        <v>7078</v>
      </c>
      <c r="BS278" t="s" s="0">
        <v>7079</v>
      </c>
      <c r="BT278" t="s" s="553">
        <f>HYPERLINK("https://www.webofscience.com/wos/woscc/full-record/WOS:001795444500001","View Record in Web of Science")</f>
        <v>126</v>
      </c>
      <c r="BU278" t="s" s="0">
        <v>210</v>
      </c>
      <c r="BV278" t="s" s="0">
        <v>83</v>
      </c>
      <c r="BW278" t="s" s="0">
        <v>83</v>
      </c>
      <c r="BX278" t="s" s="0">
        <v>130</v>
      </c>
    </row>
    <row r="279">
      <c r="A279" t="s" s="0">
        <v>78</v>
      </c>
      <c r="B279" t="s" s="0">
        <v>78</v>
      </c>
      <c r="C279" t="s" s="0">
        <v>232</v>
      </c>
      <c r="D279" t="s" s="0">
        <v>78</v>
      </c>
      <c r="E279" t="s" s="0">
        <v>7080</v>
      </c>
      <c r="F279" t="s" s="0">
        <v>7081</v>
      </c>
      <c r="G279" t="s" s="0">
        <v>7082</v>
      </c>
      <c r="H279" t="s" s="0">
        <v>83</v>
      </c>
      <c r="I279" t="s" s="0">
        <v>84</v>
      </c>
      <c r="J279" t="s" s="0">
        <v>7083</v>
      </c>
      <c r="K279" t="s" s="0">
        <v>7084</v>
      </c>
      <c r="L279" t="s" s="0">
        <v>7085</v>
      </c>
      <c r="M279" t="s" s="0">
        <v>7086</v>
      </c>
      <c r="N279" t="s" s="0">
        <v>7087</v>
      </c>
      <c r="O279" t="s" s="0">
        <v>7088</v>
      </c>
      <c r="P279" t="s" s="0">
        <v>7089</v>
      </c>
      <c r="Q279" t="s" s="0">
        <v>92</v>
      </c>
      <c r="R279" t="s" s="0">
        <v>83</v>
      </c>
      <c r="S279" t="s" s="0">
        <v>83</v>
      </c>
      <c r="T279" t="s" s="0">
        <v>83</v>
      </c>
      <c r="U279" t="s" s="0">
        <v>83</v>
      </c>
      <c r="V279" t="s" s="0">
        <v>7090</v>
      </c>
      <c r="W279" t="s" s="0">
        <v>7091</v>
      </c>
      <c r="X279" t="s" s="0">
        <v>83</v>
      </c>
      <c r="Y279" t="s" s="0">
        <v>83</v>
      </c>
      <c r="Z279" t="s" s="0">
        <v>95</v>
      </c>
      <c r="AA279" t="s" s="0">
        <v>96</v>
      </c>
      <c r="AB279" t="s" s="0">
        <v>83</v>
      </c>
      <c r="AC279" t="s" s="0">
        <v>83</v>
      </c>
      <c r="AD279" t="s" s="0">
        <v>83</v>
      </c>
      <c r="AE279" t="s" s="0">
        <v>83</v>
      </c>
      <c r="AF279" t="s" s="0">
        <v>83</v>
      </c>
      <c r="AG279" t="s" s="0">
        <v>83</v>
      </c>
      <c r="AH279" t="s" s="0">
        <v>7092</v>
      </c>
      <c r="AI279" t="s" s="0">
        <v>7093</v>
      </c>
      <c r="AJ279" t="s" s="0">
        <v>7094</v>
      </c>
      <c r="AK279" t="s" s="0">
        <v>83</v>
      </c>
      <c r="AL279" t="s" s="0">
        <v>229</v>
      </c>
      <c r="AM279" t="s" s="0">
        <v>161</v>
      </c>
      <c r="AN279" t="s" s="0">
        <v>890</v>
      </c>
      <c r="AO279" t="s" s="0">
        <v>78</v>
      </c>
      <c r="AP279" t="s" s="0">
        <v>232</v>
      </c>
      <c r="AQ279" t="s" s="0">
        <v>233</v>
      </c>
      <c r="AR279" t="s" s="0">
        <v>234</v>
      </c>
      <c r="AS279" t="s" s="0">
        <v>311</v>
      </c>
      <c r="AT279" t="s" s="0">
        <v>7095</v>
      </c>
      <c r="AU279" t="s" s="0">
        <v>7096</v>
      </c>
      <c r="AV279" t="s" s="0">
        <v>83</v>
      </c>
      <c r="AW279" t="s" s="0">
        <v>7097</v>
      </c>
      <c r="AX279" t="s" s="0">
        <v>7098</v>
      </c>
      <c r="AY279" t="s" s="0">
        <v>889</v>
      </c>
      <c r="AZ279" t="s" s="0">
        <v>637</v>
      </c>
      <c r="BA279" t="s" s="0">
        <v>7099</v>
      </c>
      <c r="BB279" t="s" s="0">
        <v>211</v>
      </c>
      <c r="BC279" t="s" s="0">
        <v>83</v>
      </c>
      <c r="BD279" t="s" s="0">
        <v>83</v>
      </c>
      <c r="BE279" t="s" s="0">
        <v>83</v>
      </c>
      <c r="BF279" t="s" s="0">
        <v>83</v>
      </c>
      <c r="BG279" t="s" s="0">
        <v>7100</v>
      </c>
      <c r="BH279" t="s" s="0">
        <v>7101</v>
      </c>
      <c r="BI279" t="s" s="0">
        <v>83</v>
      </c>
      <c r="BJ279" t="s" s="0">
        <v>7102</v>
      </c>
      <c r="BK279" t="s" s="554">
        <f>HYPERLINK("http://dx.doi.org/10.1016/j.ajpath.2021.04.008","http://dx.doi.org/10.1016/j.ajpath.2021.04.008")</f>
        <v>7103</v>
      </c>
      <c r="BL279" t="s" s="0">
        <v>83</v>
      </c>
      <c r="BM279" t="s" s="0">
        <v>3543</v>
      </c>
      <c r="BN279" t="s" s="0">
        <v>149</v>
      </c>
      <c r="BO279" t="s" s="0">
        <v>1685</v>
      </c>
      <c r="BP279" t="s" s="0">
        <v>1685</v>
      </c>
      <c r="BQ279" t="s" s="0">
        <v>7104</v>
      </c>
      <c r="BR279" t="s" s="0">
        <v>7105</v>
      </c>
      <c r="BS279" t="s" s="0">
        <v>7106</v>
      </c>
      <c r="BT279" t="s" s="555">
        <f>HYPERLINK("https://www.webofscience.com/wos/woscc/full-record/WOS:000701844500009","View Record in Web of Science")</f>
        <v>126</v>
      </c>
      <c r="BU279" t="s" s="0">
        <v>253</v>
      </c>
      <c r="BV279" t="s" s="0">
        <v>83</v>
      </c>
      <c r="BW279" t="s" s="0">
        <v>83</v>
      </c>
      <c r="BX279" t="s" s="0">
        <v>130</v>
      </c>
    </row>
    <row r="280">
      <c r="A280" t="s" s="0">
        <v>150</v>
      </c>
      <c r="B280" t="s" s="0">
        <v>78</v>
      </c>
      <c r="C280" t="s" s="0">
        <v>248</v>
      </c>
      <c r="D280" t="s" s="0">
        <v>78</v>
      </c>
      <c r="E280" t="s" s="0">
        <v>7107</v>
      </c>
      <c r="F280" t="s" s="0">
        <v>7108</v>
      </c>
      <c r="G280" t="s" s="0">
        <v>7109</v>
      </c>
      <c r="H280" t="s" s="0">
        <v>83</v>
      </c>
      <c r="I280" t="s" s="0">
        <v>84</v>
      </c>
      <c r="J280" t="s" s="0">
        <v>7110</v>
      </c>
      <c r="K280" t="s" s="0">
        <v>7111</v>
      </c>
      <c r="L280" t="s" s="0">
        <v>7112</v>
      </c>
      <c r="M280" t="s" s="0">
        <v>7113</v>
      </c>
      <c r="N280" t="s" s="0">
        <v>7114</v>
      </c>
      <c r="O280" t="s" s="0">
        <v>7115</v>
      </c>
      <c r="P280" t="s" s="0">
        <v>7116</v>
      </c>
      <c r="Q280" t="s" s="0">
        <v>92</v>
      </c>
      <c r="R280" t="s" s="0">
        <v>83</v>
      </c>
      <c r="S280" t="s" s="0">
        <v>83</v>
      </c>
      <c r="T280" t="s" s="0">
        <v>83</v>
      </c>
      <c r="U280" t="s" s="0">
        <v>83</v>
      </c>
      <c r="V280" t="s" s="0">
        <v>7117</v>
      </c>
      <c r="W280" t="s" s="0">
        <v>7118</v>
      </c>
      <c r="X280" t="s" s="0">
        <v>83</v>
      </c>
      <c r="Y280" t="s" s="0">
        <v>83</v>
      </c>
      <c r="Z280" t="s" s="0">
        <v>95</v>
      </c>
      <c r="AA280" t="s" s="0">
        <v>96</v>
      </c>
      <c r="AB280" t="s" s="0">
        <v>83</v>
      </c>
      <c r="AC280" t="s" s="0">
        <v>83</v>
      </c>
      <c r="AD280" t="s" s="0">
        <v>83</v>
      </c>
      <c r="AE280" t="s" s="0">
        <v>83</v>
      </c>
      <c r="AF280" t="s" s="0">
        <v>83</v>
      </c>
      <c r="AG280" t="s" s="0">
        <v>7119</v>
      </c>
      <c r="AH280" t="s" s="0">
        <v>7120</v>
      </c>
      <c r="AI280" t="s" s="0">
        <v>7121</v>
      </c>
      <c r="AJ280" t="s" s="0">
        <v>7122</v>
      </c>
      <c r="AK280" t="s" s="0">
        <v>83</v>
      </c>
      <c r="AL280" t="s" s="0">
        <v>2129</v>
      </c>
      <c r="AM280" t="s" s="0">
        <v>280</v>
      </c>
      <c r="AN280" t="s" s="0">
        <v>1404</v>
      </c>
      <c r="AO280" t="s" s="0">
        <v>78</v>
      </c>
      <c r="AP280" t="s" s="0">
        <v>470</v>
      </c>
      <c r="AQ280" t="s" s="0">
        <v>7123</v>
      </c>
      <c r="AR280" t="s" s="0">
        <v>193</v>
      </c>
      <c r="AS280" t="s" s="0">
        <v>7124</v>
      </c>
      <c r="AT280" t="s" s="0">
        <v>7125</v>
      </c>
      <c r="AU280" t="s" s="0">
        <v>7126</v>
      </c>
      <c r="AV280" t="s" s="0">
        <v>83</v>
      </c>
      <c r="AW280" t="s" s="0">
        <v>7127</v>
      </c>
      <c r="AX280" t="s" s="0">
        <v>7128</v>
      </c>
      <c r="AY280" t="s" s="0">
        <v>1547</v>
      </c>
      <c r="AZ280" t="s" s="0">
        <v>279</v>
      </c>
      <c r="BA280" t="s" s="0">
        <v>516</v>
      </c>
      <c r="BB280" t="s" s="0">
        <v>77</v>
      </c>
      <c r="BC280" t="s" s="0">
        <v>83</v>
      </c>
      <c r="BD280" t="s" s="0">
        <v>83</v>
      </c>
      <c r="BE280" t="s" s="0">
        <v>83</v>
      </c>
      <c r="BF280" t="s" s="0">
        <v>83</v>
      </c>
      <c r="BG280" t="s" s="0">
        <v>7129</v>
      </c>
      <c r="BH280" t="s" s="0">
        <v>7130</v>
      </c>
      <c r="BI280" t="s" s="0">
        <v>83</v>
      </c>
      <c r="BJ280" t="s" s="0">
        <v>7131</v>
      </c>
      <c r="BK280" t="s" s="556">
        <f>HYPERLINK("http://dx.doi.org/10.3350/cmh.2021.0394","http://dx.doi.org/10.3350/cmh.2021.0394")</f>
        <v>7132</v>
      </c>
      <c r="BL280" t="s" s="0">
        <v>83</v>
      </c>
      <c r="BM280" t="s" s="0">
        <v>83</v>
      </c>
      <c r="BN280" t="s" s="0">
        <v>161</v>
      </c>
      <c r="BO280" t="s" s="0">
        <v>926</v>
      </c>
      <c r="BP280" t="s" s="0">
        <v>926</v>
      </c>
      <c r="BQ280" t="s" s="0">
        <v>7133</v>
      </c>
      <c r="BR280" t="s" s="0">
        <v>7134</v>
      </c>
      <c r="BS280" t="s" s="0">
        <v>7135</v>
      </c>
      <c r="BT280" t="s" s="557">
        <f>HYPERLINK("https://www.webofscience.com/wos/woscc/full-record/WOS:000880487800005","View Record in Web of Science")</f>
        <v>126</v>
      </c>
      <c r="BU280" t="s" s="0">
        <v>210</v>
      </c>
      <c r="BV280" t="s" s="0">
        <v>83</v>
      </c>
      <c r="BW280" t="s" s="0">
        <v>83</v>
      </c>
      <c r="BX280" t="s" s="0">
        <v>130</v>
      </c>
    </row>
    <row r="281">
      <c r="A281" t="s" s="0">
        <v>78</v>
      </c>
      <c r="B281" t="s" s="0">
        <v>78</v>
      </c>
      <c r="C281" t="s" s="0">
        <v>281</v>
      </c>
      <c r="D281" t="s" s="0">
        <v>78</v>
      </c>
      <c r="E281" t="s" s="0">
        <v>7136</v>
      </c>
      <c r="F281" t="s" s="0">
        <v>7137</v>
      </c>
      <c r="G281" t="s" s="0">
        <v>7138</v>
      </c>
      <c r="H281" t="s" s="0">
        <v>83</v>
      </c>
      <c r="I281" t="s" s="0">
        <v>84</v>
      </c>
      <c r="J281" t="s" s="0">
        <v>7139</v>
      </c>
      <c r="K281" t="s" s="0">
        <v>7140</v>
      </c>
      <c r="L281" t="s" s="0">
        <v>83</v>
      </c>
      <c r="M281" t="s" s="0">
        <v>83</v>
      </c>
      <c r="N281" t="s" s="0">
        <v>83</v>
      </c>
      <c r="O281" t="s" s="0">
        <v>7141</v>
      </c>
      <c r="P281" t="s" s="0">
        <v>7142</v>
      </c>
      <c r="Q281" t="s" s="0">
        <v>92</v>
      </c>
      <c r="R281" t="s" s="0">
        <v>83</v>
      </c>
      <c r="S281" t="s" s="0">
        <v>83</v>
      </c>
      <c r="T281" t="s" s="0">
        <v>83</v>
      </c>
      <c r="U281" t="s" s="0">
        <v>83</v>
      </c>
      <c r="V281" t="s" s="0">
        <v>7143</v>
      </c>
      <c r="W281" t="s" s="0">
        <v>1319</v>
      </c>
      <c r="X281" t="s" s="0">
        <v>83</v>
      </c>
      <c r="Y281" t="s" s="0">
        <v>83</v>
      </c>
      <c r="Z281" t="s" s="0">
        <v>95</v>
      </c>
      <c r="AA281" t="s" s="0">
        <v>96</v>
      </c>
      <c r="AB281" t="s" s="0">
        <v>83</v>
      </c>
      <c r="AC281" t="s" s="0">
        <v>83</v>
      </c>
      <c r="AD281" t="s" s="0">
        <v>83</v>
      </c>
      <c r="AE281" t="s" s="0">
        <v>83</v>
      </c>
      <c r="AF281" t="s" s="0">
        <v>83</v>
      </c>
      <c r="AG281" t="s" s="0">
        <v>7144</v>
      </c>
      <c r="AH281" t="s" s="0">
        <v>7145</v>
      </c>
      <c r="AI281" t="s" s="0">
        <v>83</v>
      </c>
      <c r="AJ281" t="s" s="0">
        <v>83</v>
      </c>
      <c r="AK281" t="s" s="0">
        <v>83</v>
      </c>
      <c r="AL281" t="s" s="0">
        <v>443</v>
      </c>
      <c r="AM281" t="s" s="0">
        <v>417</v>
      </c>
      <c r="AN281" t="s" s="0">
        <v>417</v>
      </c>
      <c r="AO281" t="s" s="0">
        <v>77</v>
      </c>
      <c r="AP281" t="s" s="0">
        <v>310</v>
      </c>
      <c r="AQ281" t="s" s="0">
        <v>805</v>
      </c>
      <c r="AR281" t="s" s="0">
        <v>806</v>
      </c>
      <c r="AS281" t="s" s="0">
        <v>807</v>
      </c>
      <c r="AT281" t="s" s="0">
        <v>83</v>
      </c>
      <c r="AU281" t="s" s="0">
        <v>1324</v>
      </c>
      <c r="AV281" t="s" s="0">
        <v>83</v>
      </c>
      <c r="AW281" t="s" s="0">
        <v>1319</v>
      </c>
      <c r="AX281" t="s" s="0">
        <v>1325</v>
      </c>
      <c r="AY281" t="s" s="0">
        <v>1189</v>
      </c>
      <c r="AZ281" t="s" s="0">
        <v>241</v>
      </c>
      <c r="BA281" t="s" s="0">
        <v>309</v>
      </c>
      <c r="BB281" t="s" s="0">
        <v>413</v>
      </c>
      <c r="BC281" t="s" s="0">
        <v>83</v>
      </c>
      <c r="BD281" t="s" s="0">
        <v>83</v>
      </c>
      <c r="BE281" t="s" s="0">
        <v>83</v>
      </c>
      <c r="BF281" t="s" s="0">
        <v>83</v>
      </c>
      <c r="BG281" t="s" s="0">
        <v>83</v>
      </c>
      <c r="BH281" t="s" s="0">
        <v>83</v>
      </c>
      <c r="BI281" t="s" s="0">
        <v>7146</v>
      </c>
      <c r="BJ281" t="s" s="0">
        <v>7147</v>
      </c>
      <c r="BK281" t="s" s="558">
        <f>HYPERLINK("http://dx.doi.org/10.3390/cancers15245879","http://dx.doi.org/10.3390/cancers15245879")</f>
        <v>7148</v>
      </c>
      <c r="BL281" t="s" s="0">
        <v>83</v>
      </c>
      <c r="BM281" t="s" s="0">
        <v>83</v>
      </c>
      <c r="BN281" t="s" s="0">
        <v>377</v>
      </c>
      <c r="BO281" t="s" s="0">
        <v>840</v>
      </c>
      <c r="BP281" t="s" s="0">
        <v>840</v>
      </c>
      <c r="BQ281" t="s" s="0">
        <v>7149</v>
      </c>
      <c r="BR281" t="s" s="0">
        <v>7150</v>
      </c>
      <c r="BS281" t="s" s="0">
        <v>7151</v>
      </c>
      <c r="BT281" t="s" s="559">
        <f>HYPERLINK("https://www.webofscience.com/wos/woscc/full-record/WOS:001130945500001","View Record in Web of Science")</f>
        <v>126</v>
      </c>
      <c r="BU281" t="s" s="0">
        <v>210</v>
      </c>
      <c r="BV281" t="s" s="0">
        <v>83</v>
      </c>
      <c r="BW281" t="s" s="0">
        <v>83</v>
      </c>
      <c r="BX281" t="s" s="0">
        <v>130</v>
      </c>
    </row>
    <row r="282">
      <c r="A282" t="s" s="0">
        <v>78</v>
      </c>
      <c r="B282" t="s" s="0">
        <v>78</v>
      </c>
      <c r="C282" t="s" s="0">
        <v>77</v>
      </c>
      <c r="D282" t="s" s="0">
        <v>78</v>
      </c>
      <c r="E282" t="s" s="0">
        <v>7152</v>
      </c>
      <c r="F282" t="s" s="0">
        <v>7153</v>
      </c>
      <c r="G282" t="s" s="0">
        <v>7154</v>
      </c>
      <c r="H282" t="s" s="0">
        <v>83</v>
      </c>
      <c r="I282" t="s" s="0">
        <v>84</v>
      </c>
      <c r="J282" t="s" s="0">
        <v>7155</v>
      </c>
      <c r="K282" t="s" s="0">
        <v>7156</v>
      </c>
      <c r="L282" t="s" s="0">
        <v>83</v>
      </c>
      <c r="M282" t="s" s="0">
        <v>83</v>
      </c>
      <c r="N282" t="s" s="0">
        <v>83</v>
      </c>
      <c r="O282" t="s" s="0">
        <v>7157</v>
      </c>
      <c r="P282" t="s" s="0">
        <v>7158</v>
      </c>
      <c r="Q282" t="s" s="0">
        <v>92</v>
      </c>
      <c r="R282" t="s" s="0">
        <v>83</v>
      </c>
      <c r="S282" t="s" s="0">
        <v>83</v>
      </c>
      <c r="T282" t="s" s="0">
        <v>83</v>
      </c>
      <c r="U282" t="s" s="0">
        <v>83</v>
      </c>
      <c r="V282" t="s" s="0">
        <v>7159</v>
      </c>
      <c r="W282" t="s" s="0">
        <v>3632</v>
      </c>
      <c r="X282" t="s" s="0">
        <v>83</v>
      </c>
      <c r="Y282" t="s" s="0">
        <v>83</v>
      </c>
      <c r="Z282" t="s" s="0">
        <v>95</v>
      </c>
      <c r="AA282" t="s" s="0">
        <v>96</v>
      </c>
      <c r="AB282" t="s" s="0">
        <v>83</v>
      </c>
      <c r="AC282" t="s" s="0">
        <v>83</v>
      </c>
      <c r="AD282" t="s" s="0">
        <v>83</v>
      </c>
      <c r="AE282" t="s" s="0">
        <v>83</v>
      </c>
      <c r="AF282" t="s" s="0">
        <v>83</v>
      </c>
      <c r="AG282" t="s" s="0">
        <v>7160</v>
      </c>
      <c r="AH282" t="s" s="0">
        <v>7161</v>
      </c>
      <c r="AI282" t="s" s="0">
        <v>7162</v>
      </c>
      <c r="AJ282" t="s" s="0">
        <v>7163</v>
      </c>
      <c r="AK282" t="s" s="0">
        <v>83</v>
      </c>
      <c r="AL282" t="s" s="0">
        <v>191</v>
      </c>
      <c r="AM282" t="s" s="0">
        <v>309</v>
      </c>
      <c r="AN282" t="s" s="0">
        <v>309</v>
      </c>
      <c r="AO282" t="s" s="0">
        <v>150</v>
      </c>
      <c r="AP282" t="s" s="0">
        <v>248</v>
      </c>
      <c r="AQ282" t="s" s="0">
        <v>805</v>
      </c>
      <c r="AR282" t="s" s="0">
        <v>806</v>
      </c>
      <c r="AS282" t="s" s="0">
        <v>4904</v>
      </c>
      <c r="AT282" t="s" s="0">
        <v>83</v>
      </c>
      <c r="AU282" t="s" s="0">
        <v>3637</v>
      </c>
      <c r="AV282" t="s" s="0">
        <v>83</v>
      </c>
      <c r="AW282" t="s" s="0">
        <v>3638</v>
      </c>
      <c r="AX282" t="s" s="0">
        <v>3639</v>
      </c>
      <c r="AY282" t="s" s="0">
        <v>6162</v>
      </c>
      <c r="AZ282" t="s" s="0">
        <v>412</v>
      </c>
      <c r="BA282" t="s" s="0">
        <v>120</v>
      </c>
      <c r="BB282" t="s" s="0">
        <v>890</v>
      </c>
      <c r="BC282" t="s" s="0">
        <v>83</v>
      </c>
      <c r="BD282" t="s" s="0">
        <v>83</v>
      </c>
      <c r="BE282" t="s" s="0">
        <v>83</v>
      </c>
      <c r="BF282" t="s" s="0">
        <v>83</v>
      </c>
      <c r="BG282" t="s" s="0">
        <v>83</v>
      </c>
      <c r="BH282" t="s" s="0">
        <v>83</v>
      </c>
      <c r="BI282" t="s" s="0">
        <v>7164</v>
      </c>
      <c r="BJ282" t="s" s="0">
        <v>7165</v>
      </c>
      <c r="BK282" t="s" s="560">
        <f>HYPERLINK("http://dx.doi.org/10.3390/jcm13216559","http://dx.doi.org/10.3390/jcm13216559")</f>
        <v>7166</v>
      </c>
      <c r="BL282" t="s" s="0">
        <v>83</v>
      </c>
      <c r="BM282" t="s" s="0">
        <v>83</v>
      </c>
      <c r="BN282" t="s" s="0">
        <v>417</v>
      </c>
      <c r="BO282" t="s" s="0">
        <v>669</v>
      </c>
      <c r="BP282" t="s" s="0">
        <v>670</v>
      </c>
      <c r="BQ282" t="s" s="0">
        <v>7167</v>
      </c>
      <c r="BR282" t="s" s="0">
        <v>7168</v>
      </c>
      <c r="BS282" t="s" s="0">
        <v>7169</v>
      </c>
      <c r="BT282" t="s" s="561">
        <f>HYPERLINK("https://www.webofscience.com/wos/woscc/full-record/WOS:001351312300001","View Record in Web of Science")</f>
        <v>126</v>
      </c>
      <c r="BU282" t="s" s="0">
        <v>210</v>
      </c>
      <c r="BV282" t="s" s="0">
        <v>83</v>
      </c>
      <c r="BW282" t="s" s="0">
        <v>83</v>
      </c>
      <c r="BX282" t="s" s="0">
        <v>130</v>
      </c>
    </row>
    <row r="283">
      <c r="A283" t="s" s="0">
        <v>78</v>
      </c>
      <c r="B283" t="s" s="0">
        <v>78</v>
      </c>
      <c r="C283" t="s" s="0">
        <v>165</v>
      </c>
      <c r="D283" t="s" s="0">
        <v>78</v>
      </c>
      <c r="E283" t="s" s="0">
        <v>7170</v>
      </c>
      <c r="F283" t="s" s="0">
        <v>7171</v>
      </c>
      <c r="G283" t="s" s="0">
        <v>7172</v>
      </c>
      <c r="H283" t="s" s="0">
        <v>83</v>
      </c>
      <c r="I283" t="s" s="0">
        <v>174</v>
      </c>
      <c r="J283" t="s" s="0">
        <v>7173</v>
      </c>
      <c r="K283" t="s" s="0">
        <v>7174</v>
      </c>
      <c r="L283" t="s" s="0">
        <v>7175</v>
      </c>
      <c r="M283" t="s" s="0">
        <v>7176</v>
      </c>
      <c r="N283" t="s" s="0">
        <v>7177</v>
      </c>
      <c r="O283" t="s" s="0">
        <v>7178</v>
      </c>
      <c r="P283" t="s" s="0">
        <v>7179</v>
      </c>
      <c r="Q283" t="s" s="0">
        <v>92</v>
      </c>
      <c r="R283" t="s" s="0">
        <v>83</v>
      </c>
      <c r="S283" t="s" s="0">
        <v>83</v>
      </c>
      <c r="T283" t="s" s="0">
        <v>83</v>
      </c>
      <c r="U283" t="s" s="0">
        <v>83</v>
      </c>
      <c r="V283" t="s" s="0">
        <v>7180</v>
      </c>
      <c r="W283" t="s" s="0">
        <v>7181</v>
      </c>
      <c r="X283" t="s" s="0">
        <v>83</v>
      </c>
      <c r="Y283" t="s" s="0">
        <v>83</v>
      </c>
      <c r="Z283" t="s" s="0">
        <v>95</v>
      </c>
      <c r="AA283" t="s" s="0">
        <v>96</v>
      </c>
      <c r="AB283" t="s" s="0">
        <v>83</v>
      </c>
      <c r="AC283" t="s" s="0">
        <v>83</v>
      </c>
      <c r="AD283" t="s" s="0">
        <v>83</v>
      </c>
      <c r="AE283" t="s" s="0">
        <v>83</v>
      </c>
      <c r="AF283" t="s" s="0">
        <v>83</v>
      </c>
      <c r="AG283" t="s" s="0">
        <v>7182</v>
      </c>
      <c r="AH283" t="s" s="0">
        <v>7183</v>
      </c>
      <c r="AI283" t="s" s="0">
        <v>7184</v>
      </c>
      <c r="AJ283" t="s" s="0">
        <v>7185</v>
      </c>
      <c r="AK283" t="s" s="0">
        <v>83</v>
      </c>
      <c r="AL283" t="s" s="0">
        <v>2319</v>
      </c>
      <c r="AM283" t="s" s="0">
        <v>969</v>
      </c>
      <c r="AN283" t="s" s="0">
        <v>170</v>
      </c>
      <c r="AO283" t="s" s="0">
        <v>78</v>
      </c>
      <c r="AP283" t="s" s="0">
        <v>374</v>
      </c>
      <c r="AQ283" t="s" s="0">
        <v>632</v>
      </c>
      <c r="AR283" t="s" s="0">
        <v>106</v>
      </c>
      <c r="AS283" t="s" s="0">
        <v>633</v>
      </c>
      <c r="AT283" t="s" s="0">
        <v>83</v>
      </c>
      <c r="AU283" t="s" s="0">
        <v>7186</v>
      </c>
      <c r="AV283" t="s" s="0">
        <v>83</v>
      </c>
      <c r="AW283" t="s" s="0">
        <v>7187</v>
      </c>
      <c r="AX283" t="s" s="0">
        <v>7188</v>
      </c>
      <c r="AY283" t="s" s="0">
        <v>247</v>
      </c>
      <c r="AZ283" t="s" s="0">
        <v>241</v>
      </c>
      <c r="BA283" t="s" s="0">
        <v>79</v>
      </c>
      <c r="BB283" t="s" s="0">
        <v>115</v>
      </c>
      <c r="BC283" t="s" s="0">
        <v>83</v>
      </c>
      <c r="BD283" t="s" s="0">
        <v>83</v>
      </c>
      <c r="BE283" t="s" s="0">
        <v>83</v>
      </c>
      <c r="BF283" t="s" s="0">
        <v>83</v>
      </c>
      <c r="BG283" t="s" s="0">
        <v>83</v>
      </c>
      <c r="BH283" t="s" s="0">
        <v>83</v>
      </c>
      <c r="BI283" t="s" s="0">
        <v>7189</v>
      </c>
      <c r="BJ283" t="s" s="0">
        <v>7190</v>
      </c>
      <c r="BK283" t="s" s="562">
        <f>HYPERLINK("http://dx.doi.org/10.1136/bmjhci-2023-100784","http://dx.doi.org/10.1136/bmjhci-2023-100784")</f>
        <v>7191</v>
      </c>
      <c r="BL283" t="s" s="0">
        <v>83</v>
      </c>
      <c r="BM283" t="s" s="0">
        <v>83</v>
      </c>
      <c r="BN283" t="s" s="0">
        <v>148</v>
      </c>
      <c r="BO283" t="s" s="0">
        <v>5102</v>
      </c>
      <c r="BP283" t="s" s="0">
        <v>5102</v>
      </c>
      <c r="BQ283" t="s" s="0">
        <v>7192</v>
      </c>
      <c r="BR283" t="s" s="0">
        <v>7193</v>
      </c>
      <c r="BS283" t="s" s="0">
        <v>7194</v>
      </c>
      <c r="BT283" t="s" s="563">
        <f>HYPERLINK("https://www.webofscience.com/wos/woscc/full-record/WOS:001046442600002","View Record in Web of Science")</f>
        <v>126</v>
      </c>
      <c r="BU283" t="s" s="0">
        <v>210</v>
      </c>
      <c r="BV283" t="s" s="0">
        <v>83</v>
      </c>
      <c r="BW283" t="s" s="0">
        <v>83</v>
      </c>
      <c r="BX283" t="s" s="0">
        <v>130</v>
      </c>
    </row>
    <row r="284">
      <c r="A284" t="s" s="0">
        <v>78</v>
      </c>
      <c r="B284" t="s" s="0">
        <v>78</v>
      </c>
      <c r="C284" t="s" s="0">
        <v>115</v>
      </c>
      <c r="D284" t="s" s="0">
        <v>78</v>
      </c>
      <c r="E284" t="s" s="0">
        <v>7195</v>
      </c>
      <c r="F284" t="s" s="0">
        <v>7196</v>
      </c>
      <c r="G284" t="s" s="0">
        <v>7197</v>
      </c>
      <c r="H284" t="s" s="0">
        <v>83</v>
      </c>
      <c r="I284" t="s" s="0">
        <v>84</v>
      </c>
      <c r="J284" t="s" s="0">
        <v>7198</v>
      </c>
      <c r="K284" t="s" s="0">
        <v>7199</v>
      </c>
      <c r="L284" t="s" s="0">
        <v>7200</v>
      </c>
      <c r="M284" t="s" s="0">
        <v>7201</v>
      </c>
      <c r="N284" t="s" s="0">
        <v>7202</v>
      </c>
      <c r="O284" t="s" s="0">
        <v>7203</v>
      </c>
      <c r="P284" t="s" s="0">
        <v>7204</v>
      </c>
      <c r="Q284" t="s" s="0">
        <v>92</v>
      </c>
      <c r="R284" t="s" s="0">
        <v>83</v>
      </c>
      <c r="S284" t="s" s="0">
        <v>83</v>
      </c>
      <c r="T284" t="s" s="0">
        <v>83</v>
      </c>
      <c r="U284" t="s" s="0">
        <v>83</v>
      </c>
      <c r="V284" t="s" s="0">
        <v>7205</v>
      </c>
      <c r="W284" t="s" s="0">
        <v>7206</v>
      </c>
      <c r="X284" t="s" s="0">
        <v>83</v>
      </c>
      <c r="Y284" t="s" s="0">
        <v>83</v>
      </c>
      <c r="Z284" t="s" s="0">
        <v>95</v>
      </c>
      <c r="AA284" t="s" s="0">
        <v>96</v>
      </c>
      <c r="AB284" t="s" s="0">
        <v>83</v>
      </c>
      <c r="AC284" t="s" s="0">
        <v>83</v>
      </c>
      <c r="AD284" t="s" s="0">
        <v>83</v>
      </c>
      <c r="AE284" t="s" s="0">
        <v>83</v>
      </c>
      <c r="AF284" t="s" s="0">
        <v>83</v>
      </c>
      <c r="AG284" t="s" s="0">
        <v>7207</v>
      </c>
      <c r="AH284" t="s" s="0">
        <v>7208</v>
      </c>
      <c r="AI284" t="s" s="0">
        <v>83</v>
      </c>
      <c r="AJ284" t="s" s="0">
        <v>7209</v>
      </c>
      <c r="AK284" t="s" s="0">
        <v>83</v>
      </c>
      <c r="AL284" t="s" s="0">
        <v>160</v>
      </c>
      <c r="AM284" t="s" s="0">
        <v>231</v>
      </c>
      <c r="AN284" t="s" s="0">
        <v>231</v>
      </c>
      <c r="AO284" t="s" s="0">
        <v>165</v>
      </c>
      <c r="AP284" t="s" s="0">
        <v>120</v>
      </c>
      <c r="AQ284" t="s" s="0">
        <v>378</v>
      </c>
      <c r="AR284" t="s" s="0">
        <v>106</v>
      </c>
      <c r="AS284" t="s" s="0">
        <v>379</v>
      </c>
      <c r="AT284" t="s" s="0">
        <v>83</v>
      </c>
      <c r="AU284" t="s" s="0">
        <v>7210</v>
      </c>
      <c r="AV284" t="s" s="0">
        <v>83</v>
      </c>
      <c r="AW284" t="s" s="0">
        <v>7206</v>
      </c>
      <c r="AX284" t="s" s="0">
        <v>7211</v>
      </c>
      <c r="AY284" t="s" s="0">
        <v>1433</v>
      </c>
      <c r="AZ284" t="s" s="0">
        <v>159</v>
      </c>
      <c r="BA284" t="s" s="0">
        <v>358</v>
      </c>
      <c r="BB284" t="s" s="0">
        <v>115</v>
      </c>
      <c r="BC284" t="s" s="0">
        <v>83</v>
      </c>
      <c r="BD284" t="s" s="0">
        <v>83</v>
      </c>
      <c r="BE284" t="s" s="0">
        <v>83</v>
      </c>
      <c r="BF284" t="s" s="0">
        <v>83</v>
      </c>
      <c r="BG284" t="s" s="0">
        <v>83</v>
      </c>
      <c r="BH284" t="s" s="0">
        <v>83</v>
      </c>
      <c r="BI284" t="s" s="0">
        <v>7212</v>
      </c>
      <c r="BJ284" t="s" s="0">
        <v>7213</v>
      </c>
      <c r="BK284" t="s" s="564">
        <f>HYPERLINK("http://dx.doi.org/10.1186/s12888-025-07401-2","http://dx.doi.org/10.1186/s12888-025-07401-2")</f>
        <v>7214</v>
      </c>
      <c r="BL284" t="s" s="0">
        <v>83</v>
      </c>
      <c r="BM284" t="s" s="0">
        <v>83</v>
      </c>
      <c r="BN284" t="s" s="0">
        <v>310</v>
      </c>
      <c r="BO284" t="s" s="0">
        <v>864</v>
      </c>
      <c r="BP284" t="s" s="0">
        <v>864</v>
      </c>
      <c r="BQ284" t="s" s="0">
        <v>7215</v>
      </c>
      <c r="BR284" t="s" s="0">
        <v>7216</v>
      </c>
      <c r="BS284" t="s" s="0">
        <v>7217</v>
      </c>
      <c r="BT284" t="s" s="565">
        <f>HYPERLINK("https://www.webofscience.com/wos/woscc/full-record/WOS:001589710300008","View Record in Web of Science")</f>
        <v>126</v>
      </c>
      <c r="BU284" t="s" s="0">
        <v>210</v>
      </c>
      <c r="BV284" t="s" s="0">
        <v>83</v>
      </c>
      <c r="BW284" t="s" s="0">
        <v>83</v>
      </c>
      <c r="BX284" t="s" s="0">
        <v>130</v>
      </c>
    </row>
    <row r="285">
      <c r="A285" t="s" s="0">
        <v>281</v>
      </c>
      <c r="B285" t="s" s="0">
        <v>78</v>
      </c>
      <c r="C285" t="s" s="0">
        <v>384</v>
      </c>
      <c r="D285" t="s" s="0">
        <v>78</v>
      </c>
      <c r="E285" t="s" s="0">
        <v>7218</v>
      </c>
      <c r="F285" t="s" s="0">
        <v>7219</v>
      </c>
      <c r="G285" t="s" s="0">
        <v>7220</v>
      </c>
      <c r="H285" t="s" s="0">
        <v>83</v>
      </c>
      <c r="I285" t="s" s="0">
        <v>84</v>
      </c>
      <c r="J285" t="s" s="0">
        <v>7221</v>
      </c>
      <c r="K285" t="s" s="0">
        <v>7222</v>
      </c>
      <c r="L285" t="s" s="0">
        <v>7223</v>
      </c>
      <c r="M285" t="s" s="0">
        <v>7223</v>
      </c>
      <c r="N285" t="s" s="0">
        <v>7224</v>
      </c>
      <c r="O285" t="s" s="0">
        <v>7225</v>
      </c>
      <c r="P285" t="s" s="0">
        <v>7226</v>
      </c>
      <c r="Q285" t="s" s="0">
        <v>92</v>
      </c>
      <c r="R285" t="s" s="0">
        <v>83</v>
      </c>
      <c r="S285" t="s" s="0">
        <v>83</v>
      </c>
      <c r="T285" t="s" s="0">
        <v>83</v>
      </c>
      <c r="U285" t="s" s="0">
        <v>83</v>
      </c>
      <c r="V285" t="s" s="0">
        <v>7227</v>
      </c>
      <c r="W285" t="s" s="0">
        <v>7228</v>
      </c>
      <c r="X285" t="s" s="0">
        <v>83</v>
      </c>
      <c r="Y285" t="s" s="0">
        <v>83</v>
      </c>
      <c r="Z285" t="s" s="0">
        <v>95</v>
      </c>
      <c r="AA285" t="s" s="0">
        <v>96</v>
      </c>
      <c r="AB285" t="s" s="0">
        <v>83</v>
      </c>
      <c r="AC285" t="s" s="0">
        <v>83</v>
      </c>
      <c r="AD285" t="s" s="0">
        <v>83</v>
      </c>
      <c r="AE285" t="s" s="0">
        <v>83</v>
      </c>
      <c r="AF285" t="s" s="0">
        <v>83</v>
      </c>
      <c r="AG285" t="s" s="0">
        <v>7229</v>
      </c>
      <c r="AH285" t="s" s="0">
        <v>7230</v>
      </c>
      <c r="AI285" t="s" s="0">
        <v>7231</v>
      </c>
      <c r="AJ285" t="s" s="0">
        <v>7232</v>
      </c>
      <c r="AK285" t="s" s="0">
        <v>83</v>
      </c>
      <c r="AL285" t="s" s="0">
        <v>1850</v>
      </c>
      <c r="AM285" t="s" s="0">
        <v>1030</v>
      </c>
      <c r="AN285" t="s" s="0">
        <v>1979</v>
      </c>
      <c r="AO285" t="s" s="0">
        <v>309</v>
      </c>
      <c r="AP285" t="s" s="0">
        <v>1747</v>
      </c>
      <c r="AQ285" t="s" s="0">
        <v>1151</v>
      </c>
      <c r="AR285" t="s" s="0">
        <v>1152</v>
      </c>
      <c r="AS285" t="s" s="0">
        <v>1153</v>
      </c>
      <c r="AT285" t="s" s="0">
        <v>7233</v>
      </c>
      <c r="AU285" t="s" s="0">
        <v>7234</v>
      </c>
      <c r="AV285" t="s" s="0">
        <v>83</v>
      </c>
      <c r="AW285" t="s" s="0">
        <v>7235</v>
      </c>
      <c r="AX285" t="s" s="0">
        <v>7236</v>
      </c>
      <c r="AY285" t="s" s="0">
        <v>5939</v>
      </c>
      <c r="AZ285" t="s" s="0">
        <v>159</v>
      </c>
      <c r="BA285" t="s" s="0">
        <v>883</v>
      </c>
      <c r="BB285" t="s" s="0">
        <v>148</v>
      </c>
      <c r="BC285" t="s" s="0">
        <v>83</v>
      </c>
      <c r="BD285" t="s" s="0">
        <v>83</v>
      </c>
      <c r="BE285" t="s" s="0">
        <v>83</v>
      </c>
      <c r="BF285" t="s" s="0">
        <v>83</v>
      </c>
      <c r="BG285" t="s" s="0">
        <v>7237</v>
      </c>
      <c r="BH285" t="s" s="0">
        <v>7238</v>
      </c>
      <c r="BI285" t="s" s="0">
        <v>83</v>
      </c>
      <c r="BJ285" t="s" s="0">
        <v>7239</v>
      </c>
      <c r="BK285" t="s" s="566">
        <f>HYPERLINK("http://dx.doi.org/10.1016/j.annonc.2025.03.006","http://dx.doi.org/10.1016/j.annonc.2025.03.006")</f>
        <v>7240</v>
      </c>
      <c r="BL285" t="s" s="0">
        <v>83</v>
      </c>
      <c r="BM285" t="s" s="0">
        <v>158</v>
      </c>
      <c r="BN285" t="s" s="0">
        <v>417</v>
      </c>
      <c r="BO285" t="s" s="0">
        <v>840</v>
      </c>
      <c r="BP285" t="s" s="0">
        <v>840</v>
      </c>
      <c r="BQ285" t="s" s="0">
        <v>7241</v>
      </c>
      <c r="BR285" t="s" s="0">
        <v>7242</v>
      </c>
      <c r="BS285" t="s" s="0">
        <v>7243</v>
      </c>
      <c r="BT285" t="s" s="567">
        <f>HYPERLINK("https://www.webofscience.com/wos/woscc/full-record/WOS:001514003600002","View Record in Web of Science")</f>
        <v>126</v>
      </c>
      <c r="BU285" t="s" s="0">
        <v>253</v>
      </c>
      <c r="BV285" t="s" s="0">
        <v>128</v>
      </c>
      <c r="BW285" t="s" s="0">
        <v>129</v>
      </c>
      <c r="BX285" t="s" s="0">
        <v>130</v>
      </c>
    </row>
    <row r="286">
      <c r="A286" t="s" s="0">
        <v>78</v>
      </c>
      <c r="B286" t="s" s="0">
        <v>78</v>
      </c>
      <c r="C286" t="s" s="0">
        <v>78</v>
      </c>
      <c r="D286" t="s" s="0">
        <v>78</v>
      </c>
      <c r="E286" t="s" s="0">
        <v>7244</v>
      </c>
      <c r="F286" t="s" s="0">
        <v>7245</v>
      </c>
      <c r="G286" t="s" s="0">
        <v>7246</v>
      </c>
      <c r="H286" t="s" s="0">
        <v>83</v>
      </c>
      <c r="I286" t="s" s="0">
        <v>84</v>
      </c>
      <c r="J286" t="s" s="0">
        <v>7247</v>
      </c>
      <c r="K286" t="s" s="0">
        <v>7248</v>
      </c>
      <c r="L286" t="s" s="0">
        <v>7249</v>
      </c>
      <c r="M286" t="s" s="0">
        <v>4282</v>
      </c>
      <c r="N286" t="s" s="0">
        <v>7250</v>
      </c>
      <c r="O286" t="s" s="0">
        <v>7251</v>
      </c>
      <c r="P286" t="s" s="0">
        <v>7252</v>
      </c>
      <c r="Q286" t="s" s="0">
        <v>92</v>
      </c>
      <c r="R286" t="s" s="0">
        <v>83</v>
      </c>
      <c r="S286" t="s" s="0">
        <v>83</v>
      </c>
      <c r="T286" t="s" s="0">
        <v>83</v>
      </c>
      <c r="U286" t="s" s="0">
        <v>83</v>
      </c>
      <c r="V286" t="s" s="0">
        <v>7253</v>
      </c>
      <c r="W286" t="s" s="0">
        <v>1235</v>
      </c>
      <c r="X286" t="s" s="0">
        <v>83</v>
      </c>
      <c r="Y286" t="s" s="0">
        <v>83</v>
      </c>
      <c r="Z286" t="s" s="0">
        <v>95</v>
      </c>
      <c r="AA286" t="s" s="0">
        <v>96</v>
      </c>
      <c r="AB286" t="s" s="0">
        <v>83</v>
      </c>
      <c r="AC286" t="s" s="0">
        <v>83</v>
      </c>
      <c r="AD286" t="s" s="0">
        <v>83</v>
      </c>
      <c r="AE286" t="s" s="0">
        <v>83</v>
      </c>
      <c r="AF286" t="s" s="0">
        <v>83</v>
      </c>
      <c r="AG286" t="s" s="0">
        <v>7254</v>
      </c>
      <c r="AH286" t="s" s="0">
        <v>83</v>
      </c>
      <c r="AI286" t="s" s="0">
        <v>83</v>
      </c>
      <c r="AJ286" t="s" s="0">
        <v>83</v>
      </c>
      <c r="AK286" t="s" s="0">
        <v>83</v>
      </c>
      <c r="AL286" t="s" s="0">
        <v>188</v>
      </c>
      <c r="AM286" t="s" s="0">
        <v>78</v>
      </c>
      <c r="AN286" t="s" s="0">
        <v>78</v>
      </c>
      <c r="AO286" t="s" s="0">
        <v>115</v>
      </c>
      <c r="AP286" t="s" s="0">
        <v>115</v>
      </c>
      <c r="AQ286" t="s" s="0">
        <v>830</v>
      </c>
      <c r="AR286" t="s" s="0">
        <v>831</v>
      </c>
      <c r="AS286" t="s" s="0">
        <v>832</v>
      </c>
      <c r="AT286" t="s" s="0">
        <v>83</v>
      </c>
      <c r="AU286" t="s" s="0">
        <v>1240</v>
      </c>
      <c r="AV286" t="s" s="0">
        <v>83</v>
      </c>
      <c r="AW286" t="s" s="0">
        <v>1241</v>
      </c>
      <c r="AX286" t="s" s="0">
        <v>1242</v>
      </c>
      <c r="AY286" t="s" s="0">
        <v>7255</v>
      </c>
      <c r="AZ286" t="s" s="0">
        <v>511</v>
      </c>
      <c r="BA286" t="s" s="0">
        <v>120</v>
      </c>
      <c r="BB286" t="s" s="0">
        <v>83</v>
      </c>
      <c r="BC286" t="s" s="0">
        <v>83</v>
      </c>
      <c r="BD286" t="s" s="0">
        <v>83</v>
      </c>
      <c r="BE286" t="s" s="0">
        <v>83</v>
      </c>
      <c r="BF286" t="s" s="0">
        <v>83</v>
      </c>
      <c r="BG286" t="s" s="0">
        <v>83</v>
      </c>
      <c r="BH286" t="s" s="0">
        <v>83</v>
      </c>
      <c r="BI286" t="s" s="0">
        <v>7256</v>
      </c>
      <c r="BJ286" t="s" s="0">
        <v>7257</v>
      </c>
      <c r="BK286" t="s" s="568">
        <f>HYPERLINK("http://dx.doi.org/10.3389/fmed.2026.1855638","http://dx.doi.org/10.3389/fmed.2026.1855638")</f>
        <v>7258</v>
      </c>
      <c r="BL286" t="s" s="0">
        <v>83</v>
      </c>
      <c r="BM286" t="s" s="0">
        <v>83</v>
      </c>
      <c r="BN286" t="s" s="0">
        <v>269</v>
      </c>
      <c r="BO286" t="s" s="0">
        <v>669</v>
      </c>
      <c r="BP286" t="s" s="0">
        <v>670</v>
      </c>
      <c r="BQ286" t="s" s="0">
        <v>7259</v>
      </c>
      <c r="BR286" t="s" s="0">
        <v>7260</v>
      </c>
      <c r="BS286" t="s" s="0">
        <v>7261</v>
      </c>
      <c r="BT286" t="s" s="569">
        <f>HYPERLINK("https://www.webofscience.com/wos/woscc/full-record/WOS:001835239700001","View Record in Web of Science")</f>
        <v>126</v>
      </c>
      <c r="BU286" t="s" s="0">
        <v>210</v>
      </c>
      <c r="BV286" t="s" s="0">
        <v>83</v>
      </c>
      <c r="BW286" t="s" s="0">
        <v>83</v>
      </c>
      <c r="BX286" t="s" s="0">
        <v>130</v>
      </c>
    </row>
    <row r="287">
      <c r="A287" t="s" s="0">
        <v>78</v>
      </c>
      <c r="B287" t="s" s="0">
        <v>78</v>
      </c>
      <c r="C287" t="s" s="0">
        <v>78</v>
      </c>
      <c r="D287" t="s" s="0">
        <v>78</v>
      </c>
      <c r="E287" t="s" s="0">
        <v>7262</v>
      </c>
      <c r="F287" t="s" s="0">
        <v>7263</v>
      </c>
      <c r="G287" t="s" s="0">
        <v>7264</v>
      </c>
      <c r="H287" t="s" s="0">
        <v>83</v>
      </c>
      <c r="I287" t="s" s="0">
        <v>84</v>
      </c>
      <c r="J287" t="s" s="0">
        <v>7265</v>
      </c>
      <c r="K287" t="s" s="0">
        <v>7266</v>
      </c>
      <c r="L287" t="s" s="0">
        <v>83</v>
      </c>
      <c r="M287" t="s" s="0">
        <v>83</v>
      </c>
      <c r="N287" t="s" s="0">
        <v>83</v>
      </c>
      <c r="O287" t="s" s="0">
        <v>7267</v>
      </c>
      <c r="P287" t="s" s="0">
        <v>7268</v>
      </c>
      <c r="Q287" t="s" s="0">
        <v>92</v>
      </c>
      <c r="R287" t="s" s="0">
        <v>83</v>
      </c>
      <c r="S287" t="s" s="0">
        <v>83</v>
      </c>
      <c r="T287" t="s" s="0">
        <v>83</v>
      </c>
      <c r="U287" t="s" s="0">
        <v>83</v>
      </c>
      <c r="V287" t="s" s="0">
        <v>7269</v>
      </c>
      <c r="W287" t="s" s="0">
        <v>7270</v>
      </c>
      <c r="X287" t="s" s="0">
        <v>83</v>
      </c>
      <c r="Y287" t="s" s="0">
        <v>83</v>
      </c>
      <c r="Z287" t="s" s="0">
        <v>95</v>
      </c>
      <c r="AA287" t="s" s="0">
        <v>96</v>
      </c>
      <c r="AB287" t="s" s="0">
        <v>83</v>
      </c>
      <c r="AC287" t="s" s="0">
        <v>83</v>
      </c>
      <c r="AD287" t="s" s="0">
        <v>83</v>
      </c>
      <c r="AE287" t="s" s="0">
        <v>83</v>
      </c>
      <c r="AF287" t="s" s="0">
        <v>83</v>
      </c>
      <c r="AG287" t="s" s="0">
        <v>7271</v>
      </c>
      <c r="AH287" t="s" s="0">
        <v>7272</v>
      </c>
      <c r="AI287" t="s" s="0">
        <v>83</v>
      </c>
      <c r="AJ287" t="s" s="0">
        <v>83</v>
      </c>
      <c r="AK287" t="s" s="0">
        <v>83</v>
      </c>
      <c r="AL287" t="s" s="0">
        <v>969</v>
      </c>
      <c r="AM287" t="s" s="0">
        <v>115</v>
      </c>
      <c r="AN287" t="s" s="0">
        <v>115</v>
      </c>
      <c r="AO287" t="s" s="0">
        <v>545</v>
      </c>
      <c r="AP287" t="s" s="0">
        <v>545</v>
      </c>
      <c r="AQ287" t="s" s="0">
        <v>4704</v>
      </c>
      <c r="AR287" t="s" s="0">
        <v>4705</v>
      </c>
      <c r="AS287" t="s" s="0">
        <v>4706</v>
      </c>
      <c r="AT287" t="s" s="0">
        <v>7273</v>
      </c>
      <c r="AU287" t="s" s="0">
        <v>7274</v>
      </c>
      <c r="AV287" t="s" s="0">
        <v>83</v>
      </c>
      <c r="AW287" t="s" s="0">
        <v>7275</v>
      </c>
      <c r="AX287" t="s" s="0">
        <v>7276</v>
      </c>
      <c r="AY287" t="s" s="0">
        <v>7277</v>
      </c>
      <c r="AZ287" t="s" s="0">
        <v>159</v>
      </c>
      <c r="BA287" t="s" s="0">
        <v>413</v>
      </c>
      <c r="BB287" t="s" s="0">
        <v>77</v>
      </c>
      <c r="BC287" t="s" s="0">
        <v>83</v>
      </c>
      <c r="BD287" t="s" s="0">
        <v>83</v>
      </c>
      <c r="BE287" t="s" s="0">
        <v>83</v>
      </c>
      <c r="BF287" t="s" s="0">
        <v>83</v>
      </c>
      <c r="BG287" t="s" s="0">
        <v>2136</v>
      </c>
      <c r="BH287" t="s" s="0">
        <v>7278</v>
      </c>
      <c r="BI287" t="s" s="0">
        <v>83</v>
      </c>
      <c r="BJ287" t="s" s="0">
        <v>7279</v>
      </c>
      <c r="BK287" t="s" s="570">
        <f>HYPERLINK("http://dx.doi.org/10.1016/j.clcc.2025.09.003","http://dx.doi.org/10.1016/j.clcc.2025.09.003")</f>
        <v>7280</v>
      </c>
      <c r="BL287" t="s" s="0">
        <v>83</v>
      </c>
      <c r="BM287" t="s" s="0">
        <v>1826</v>
      </c>
      <c r="BN287" t="s" s="0">
        <v>417</v>
      </c>
      <c r="BO287" t="s" s="0">
        <v>840</v>
      </c>
      <c r="BP287" t="s" s="0">
        <v>840</v>
      </c>
      <c r="BQ287" t="s" s="0">
        <v>7281</v>
      </c>
      <c r="BR287" t="s" s="0">
        <v>7282</v>
      </c>
      <c r="BS287" t="s" s="0">
        <v>7283</v>
      </c>
      <c r="BT287" t="s" s="571">
        <f>HYPERLINK("https://www.webofscience.com/wos/woscc/full-record/WOS:001628910500003","View Record in Web of Science")</f>
        <v>126</v>
      </c>
      <c r="BU287" t="s" s="0">
        <v>83</v>
      </c>
      <c r="BV287" t="s" s="0">
        <v>83</v>
      </c>
      <c r="BW287" t="s" s="0">
        <v>83</v>
      </c>
      <c r="BX287" t="s" s="0">
        <v>130</v>
      </c>
    </row>
    <row r="288">
      <c r="A288" t="s" s="0">
        <v>78</v>
      </c>
      <c r="B288" t="s" s="0">
        <v>78</v>
      </c>
      <c r="C288" t="s" s="0">
        <v>77</v>
      </c>
      <c r="D288" t="s" s="0">
        <v>78</v>
      </c>
      <c r="E288" t="s" s="0">
        <v>7284</v>
      </c>
      <c r="F288" t="s" s="0">
        <v>7285</v>
      </c>
      <c r="G288" t="s" s="0">
        <v>7286</v>
      </c>
      <c r="H288" t="s" s="0">
        <v>83</v>
      </c>
      <c r="I288" t="s" s="0">
        <v>84</v>
      </c>
      <c r="J288" t="s" s="0">
        <v>7287</v>
      </c>
      <c r="K288" t="s" s="0">
        <v>7288</v>
      </c>
      <c r="L288" t="s" s="0">
        <v>7289</v>
      </c>
      <c r="M288" t="s" s="0">
        <v>7290</v>
      </c>
      <c r="N288" t="s" s="0">
        <v>83</v>
      </c>
      <c r="O288" t="s" s="0">
        <v>7291</v>
      </c>
      <c r="P288" t="s" s="0">
        <v>7292</v>
      </c>
      <c r="Q288" t="s" s="0">
        <v>92</v>
      </c>
      <c r="R288" t="s" s="0">
        <v>83</v>
      </c>
      <c r="S288" t="s" s="0">
        <v>7293</v>
      </c>
      <c r="T288" t="s" s="0">
        <v>83</v>
      </c>
      <c r="U288" t="s" s="0">
        <v>83</v>
      </c>
      <c r="V288" t="s" s="0">
        <v>7294</v>
      </c>
      <c r="W288" t="s" s="0">
        <v>7295</v>
      </c>
      <c r="X288" t="s" s="0">
        <v>83</v>
      </c>
      <c r="Y288" t="s" s="0">
        <v>83</v>
      </c>
      <c r="Z288" t="s" s="0">
        <v>95</v>
      </c>
      <c r="AA288" t="s" s="0">
        <v>96</v>
      </c>
      <c r="AB288" t="s" s="0">
        <v>83</v>
      </c>
      <c r="AC288" t="s" s="0">
        <v>83</v>
      </c>
      <c r="AD288" t="s" s="0">
        <v>83</v>
      </c>
      <c r="AE288" t="s" s="0">
        <v>83</v>
      </c>
      <c r="AF288" t="s" s="0">
        <v>83</v>
      </c>
      <c r="AG288" t="s" s="0">
        <v>83</v>
      </c>
      <c r="AH288" t="s" s="0">
        <v>7296</v>
      </c>
      <c r="AI288" t="s" s="0">
        <v>7297</v>
      </c>
      <c r="AJ288" t="s" s="0">
        <v>7298</v>
      </c>
      <c r="AK288" t="s" s="0">
        <v>83</v>
      </c>
      <c r="AL288" t="s" s="0">
        <v>1902</v>
      </c>
      <c r="AM288" t="s" s="0">
        <v>413</v>
      </c>
      <c r="AN288" t="s" s="0">
        <v>413</v>
      </c>
      <c r="AO288" t="s" s="0">
        <v>78</v>
      </c>
      <c r="AP288" t="s" s="0">
        <v>165</v>
      </c>
      <c r="AQ288" t="s" s="0">
        <v>233</v>
      </c>
      <c r="AR288" t="s" s="0">
        <v>234</v>
      </c>
      <c r="AS288" t="s" s="0">
        <v>311</v>
      </c>
      <c r="AT288" t="s" s="0">
        <v>7299</v>
      </c>
      <c r="AU288" t="s" s="0">
        <v>7300</v>
      </c>
      <c r="AV288" t="s" s="0">
        <v>83</v>
      </c>
      <c r="AW288" t="s" s="0">
        <v>7301</v>
      </c>
      <c r="AX288" t="s" s="0">
        <v>7302</v>
      </c>
      <c r="AY288" t="s" s="0">
        <v>6162</v>
      </c>
      <c r="AZ288" t="s" s="0">
        <v>412</v>
      </c>
      <c r="BA288" t="s" s="0">
        <v>358</v>
      </c>
      <c r="BB288" t="s" s="0">
        <v>232</v>
      </c>
      <c r="BC288" t="s" s="0">
        <v>83</v>
      </c>
      <c r="BD288" t="s" s="0">
        <v>83</v>
      </c>
      <c r="BE288" t="s" s="0">
        <v>83</v>
      </c>
      <c r="BF288" t="s" s="0">
        <v>83</v>
      </c>
      <c r="BG288" t="s" s="0">
        <v>7303</v>
      </c>
      <c r="BH288" t="s" s="0">
        <v>7304</v>
      </c>
      <c r="BI288" t="s" s="0">
        <v>83</v>
      </c>
      <c r="BJ288" t="s" s="0">
        <v>7305</v>
      </c>
      <c r="BK288" t="s" s="572">
        <f>HYPERLINK("http://dx.doi.org/10.1016/S1470-2045(24)00316-4","http://dx.doi.org/10.1016/S1470-2045(24)00316-4")</f>
        <v>7306</v>
      </c>
      <c r="BL288" t="s" s="0">
        <v>83</v>
      </c>
      <c r="BM288" t="s" s="0">
        <v>6602</v>
      </c>
      <c r="BN288" t="s" s="0">
        <v>149</v>
      </c>
      <c r="BO288" t="s" s="0">
        <v>840</v>
      </c>
      <c r="BP288" t="s" s="0">
        <v>840</v>
      </c>
      <c r="BQ288" t="s" s="0">
        <v>7307</v>
      </c>
      <c r="BR288" t="s" s="0">
        <v>7308</v>
      </c>
      <c r="BS288" t="s" s="0">
        <v>7309</v>
      </c>
      <c r="BT288" t="s" s="573">
        <f>HYPERLINK("https://www.webofscience.com/wos/woscc/full-record/WOS:001351613600001","View Record in Web of Science")</f>
        <v>126</v>
      </c>
      <c r="BU288" t="s" s="0">
        <v>127</v>
      </c>
      <c r="BV288" t="s" s="0">
        <v>83</v>
      </c>
      <c r="BW288" t="s" s="0">
        <v>83</v>
      </c>
      <c r="BX288" t="s" s="0">
        <v>130</v>
      </c>
    </row>
    <row r="289">
      <c r="A289" t="s" s="0">
        <v>78</v>
      </c>
      <c r="B289" t="s" s="0">
        <v>78</v>
      </c>
      <c r="C289" t="s" s="0">
        <v>78</v>
      </c>
      <c r="D289" t="s" s="0">
        <v>78</v>
      </c>
      <c r="E289" t="s" s="0">
        <v>7310</v>
      </c>
      <c r="F289" t="s" s="0">
        <v>7311</v>
      </c>
      <c r="G289" t="s" s="0">
        <v>7312</v>
      </c>
      <c r="H289" t="s" s="0">
        <v>83</v>
      </c>
      <c r="I289" t="s" s="0">
        <v>84</v>
      </c>
      <c r="J289" t="s" s="0">
        <v>7313</v>
      </c>
      <c r="K289" t="s" s="0">
        <v>7314</v>
      </c>
      <c r="L289" t="s" s="0">
        <v>7315</v>
      </c>
      <c r="M289" t="s" s="0">
        <v>7315</v>
      </c>
      <c r="N289" t="s" s="0">
        <v>7316</v>
      </c>
      <c r="O289" t="s" s="0">
        <v>7317</v>
      </c>
      <c r="P289" t="s" s="0">
        <v>7318</v>
      </c>
      <c r="Q289" t="s" s="0">
        <v>92</v>
      </c>
      <c r="R289" t="s" s="0">
        <v>83</v>
      </c>
      <c r="S289" t="s" s="0">
        <v>83</v>
      </c>
      <c r="T289" t="s" s="0">
        <v>83</v>
      </c>
      <c r="U289" t="s" s="0">
        <v>83</v>
      </c>
      <c r="V289" t="s" s="0">
        <v>7319</v>
      </c>
      <c r="W289" t="s" s="0">
        <v>7320</v>
      </c>
      <c r="X289" t="s" s="0">
        <v>83</v>
      </c>
      <c r="Y289" t="s" s="0">
        <v>83</v>
      </c>
      <c r="Z289" t="s" s="0">
        <v>95</v>
      </c>
      <c r="AA289" t="s" s="0">
        <v>96</v>
      </c>
      <c r="AB289" t="s" s="0">
        <v>83</v>
      </c>
      <c r="AC289" t="s" s="0">
        <v>83</v>
      </c>
      <c r="AD289" t="s" s="0">
        <v>83</v>
      </c>
      <c r="AE289" t="s" s="0">
        <v>83</v>
      </c>
      <c r="AF289" t="s" s="0">
        <v>83</v>
      </c>
      <c r="AG289" t="s" s="0">
        <v>7321</v>
      </c>
      <c r="AH289" t="s" s="0">
        <v>7322</v>
      </c>
      <c r="AI289" t="s" s="0">
        <v>7323</v>
      </c>
      <c r="AJ289" t="s" s="0">
        <v>83</v>
      </c>
      <c r="AK289" t="s" s="0">
        <v>83</v>
      </c>
      <c r="AL289" t="s" s="0">
        <v>79</v>
      </c>
      <c r="AM289" t="s" s="0">
        <v>78</v>
      </c>
      <c r="AN289" t="s" s="0">
        <v>78</v>
      </c>
      <c r="AO289" t="s" s="0">
        <v>78</v>
      </c>
      <c r="AP289" t="s" s="0">
        <v>78</v>
      </c>
      <c r="AQ289" t="s" s="0">
        <v>151</v>
      </c>
      <c r="AR289" t="s" s="0">
        <v>152</v>
      </c>
      <c r="AS289" t="s" s="0">
        <v>153</v>
      </c>
      <c r="AT289" t="s" s="0">
        <v>7324</v>
      </c>
      <c r="AU289" t="s" s="0">
        <v>7325</v>
      </c>
      <c r="AV289" t="s" s="0">
        <v>83</v>
      </c>
      <c r="AW289" t="s" s="0">
        <v>7326</v>
      </c>
      <c r="AX289" t="s" s="0">
        <v>7327</v>
      </c>
      <c r="AY289" t="s" s="0">
        <v>580</v>
      </c>
      <c r="AZ289" t="s" s="0">
        <v>511</v>
      </c>
      <c r="BA289" t="s" s="0">
        <v>1567</v>
      </c>
      <c r="BB289" t="s" s="0">
        <v>77</v>
      </c>
      <c r="BC289" t="s" s="0">
        <v>83</v>
      </c>
      <c r="BD289" t="s" s="0">
        <v>83</v>
      </c>
      <c r="BE289" t="s" s="0">
        <v>83</v>
      </c>
      <c r="BF289" t="s" s="0">
        <v>83</v>
      </c>
      <c r="BG289" t="s" s="0">
        <v>83</v>
      </c>
      <c r="BH289" t="s" s="0">
        <v>83</v>
      </c>
      <c r="BI289" t="s" s="0">
        <v>7328</v>
      </c>
      <c r="BJ289" t="s" s="0">
        <v>7329</v>
      </c>
      <c r="BK289" t="s" s="574">
        <f>HYPERLINK("http://dx.doi.org/10.1016/j.rbmo.2025.105362","http://dx.doi.org/10.1016/j.rbmo.2025.105362")</f>
        <v>7330</v>
      </c>
      <c r="BL289" t="s" s="0">
        <v>83</v>
      </c>
      <c r="BM289" t="s" s="0">
        <v>83</v>
      </c>
      <c r="BN289" t="s" s="0">
        <v>120</v>
      </c>
      <c r="BO289" t="s" s="0">
        <v>1164</v>
      </c>
      <c r="BP289" t="s" s="0">
        <v>1164</v>
      </c>
      <c r="BQ289" t="s" s="0">
        <v>7331</v>
      </c>
      <c r="BR289" t="s" s="0">
        <v>7332</v>
      </c>
      <c r="BS289" t="s" s="0">
        <v>7333</v>
      </c>
      <c r="BT289" t="s" s="575">
        <f>HYPERLINK("https://www.webofscience.com/wos/woscc/full-record/WOS:001709339400001","View Record in Web of Science")</f>
        <v>126</v>
      </c>
      <c r="BU289" t="s" s="0">
        <v>357</v>
      </c>
      <c r="BV289" t="s" s="0">
        <v>83</v>
      </c>
      <c r="BW289" t="s" s="0">
        <v>83</v>
      </c>
      <c r="BX289" t="s" s="0">
        <v>130</v>
      </c>
    </row>
    <row r="290">
      <c r="A290" t="s" s="0">
        <v>78</v>
      </c>
      <c r="B290" t="s" s="0">
        <v>78</v>
      </c>
      <c r="C290" t="s" s="0">
        <v>78</v>
      </c>
      <c r="D290" t="s" s="0">
        <v>78</v>
      </c>
      <c r="E290" t="s" s="0">
        <v>7334</v>
      </c>
      <c r="F290" t="s" s="0">
        <v>7335</v>
      </c>
      <c r="G290" t="s" s="0">
        <v>7336</v>
      </c>
      <c r="H290" t="s" s="0">
        <v>83</v>
      </c>
      <c r="I290" t="s" s="0">
        <v>84</v>
      </c>
      <c r="J290" t="s" s="0">
        <v>7337</v>
      </c>
      <c r="K290" t="s" s="0">
        <v>7338</v>
      </c>
      <c r="L290" t="s" s="0">
        <v>7339</v>
      </c>
      <c r="M290" t="s" s="0">
        <v>7340</v>
      </c>
      <c r="N290" t="s" s="0">
        <v>7341</v>
      </c>
      <c r="O290" t="s" s="0">
        <v>7342</v>
      </c>
      <c r="P290" t="s" s="0">
        <v>7343</v>
      </c>
      <c r="Q290" t="s" s="0">
        <v>92</v>
      </c>
      <c r="R290" t="s" s="0">
        <v>83</v>
      </c>
      <c r="S290" t="s" s="0">
        <v>83</v>
      </c>
      <c r="T290" t="s" s="0">
        <v>83</v>
      </c>
      <c r="U290" t="s" s="0">
        <v>83</v>
      </c>
      <c r="V290" t="s" s="0">
        <v>7344</v>
      </c>
      <c r="W290" t="s" s="0">
        <v>1563</v>
      </c>
      <c r="X290" t="s" s="0">
        <v>83</v>
      </c>
      <c r="Y290" t="s" s="0">
        <v>83</v>
      </c>
      <c r="Z290" t="s" s="0">
        <v>95</v>
      </c>
      <c r="AA290" t="s" s="0">
        <v>96</v>
      </c>
      <c r="AB290" t="s" s="0">
        <v>83</v>
      </c>
      <c r="AC290" t="s" s="0">
        <v>83</v>
      </c>
      <c r="AD290" t="s" s="0">
        <v>83</v>
      </c>
      <c r="AE290" t="s" s="0">
        <v>83</v>
      </c>
      <c r="AF290" t="s" s="0">
        <v>83</v>
      </c>
      <c r="AG290" t="s" s="0">
        <v>7345</v>
      </c>
      <c r="AH290" t="s" s="0">
        <v>7346</v>
      </c>
      <c r="AI290" t="s" s="0">
        <v>83</v>
      </c>
      <c r="AJ290" t="s" s="0">
        <v>83</v>
      </c>
      <c r="AK290" t="s" s="0">
        <v>83</v>
      </c>
      <c r="AL290" t="s" s="0">
        <v>882</v>
      </c>
      <c r="AM290" t="s" s="0">
        <v>115</v>
      </c>
      <c r="AN290" t="s" s="0">
        <v>115</v>
      </c>
      <c r="AO290" t="s" s="0">
        <v>150</v>
      </c>
      <c r="AP290" t="s" s="0">
        <v>150</v>
      </c>
      <c r="AQ290" t="s" s="0">
        <v>378</v>
      </c>
      <c r="AR290" t="s" s="0">
        <v>106</v>
      </c>
      <c r="AS290" t="s" s="0">
        <v>379</v>
      </c>
      <c r="AT290" t="s" s="0">
        <v>83</v>
      </c>
      <c r="AU290" t="s" s="0">
        <v>1568</v>
      </c>
      <c r="AV290" t="s" s="0">
        <v>83</v>
      </c>
      <c r="AW290" t="s" s="0">
        <v>1569</v>
      </c>
      <c r="AX290" t="s" s="0">
        <v>1570</v>
      </c>
      <c r="AY290" t="s" s="0">
        <v>7347</v>
      </c>
      <c r="AZ290" t="s" s="0">
        <v>511</v>
      </c>
      <c r="BA290" t="s" s="0">
        <v>114</v>
      </c>
      <c r="BB290" t="s" s="0">
        <v>115</v>
      </c>
      <c r="BC290" t="s" s="0">
        <v>83</v>
      </c>
      <c r="BD290" t="s" s="0">
        <v>83</v>
      </c>
      <c r="BE290" t="s" s="0">
        <v>83</v>
      </c>
      <c r="BF290" t="s" s="0">
        <v>83</v>
      </c>
      <c r="BG290" t="s" s="0">
        <v>83</v>
      </c>
      <c r="BH290" t="s" s="0">
        <v>83</v>
      </c>
      <c r="BI290" t="s" s="0">
        <v>1567</v>
      </c>
      <c r="BJ290" t="s" s="0">
        <v>7348</v>
      </c>
      <c r="BK290" t="s" s="576">
        <f>HYPERLINK("http://dx.doi.org/10.1186/s12891-025-09385-2","http://dx.doi.org/10.1186/s12891-025-09385-2")</f>
        <v>7349</v>
      </c>
      <c r="BL290" t="s" s="0">
        <v>83</v>
      </c>
      <c r="BM290" t="s" s="0">
        <v>83</v>
      </c>
      <c r="BN290" t="s" s="0">
        <v>120</v>
      </c>
      <c r="BO290" t="s" s="0">
        <v>1575</v>
      </c>
      <c r="BP290" t="s" s="0">
        <v>1575</v>
      </c>
      <c r="BQ290" t="s" s="0">
        <v>7350</v>
      </c>
      <c r="BR290" t="s" s="0">
        <v>7351</v>
      </c>
      <c r="BS290" t="s" s="0">
        <v>7352</v>
      </c>
      <c r="BT290" t="s" s="577">
        <f>HYPERLINK("https://www.webofscience.com/wos/woscc/full-record/WOS:001669051200001","View Record in Web of Science")</f>
        <v>126</v>
      </c>
      <c r="BU290" t="s" s="0">
        <v>210</v>
      </c>
      <c r="BV290" t="s" s="0">
        <v>83</v>
      </c>
      <c r="BW290" t="s" s="0">
        <v>83</v>
      </c>
      <c r="BX290" t="s" s="0">
        <v>130</v>
      </c>
    </row>
    <row r="291">
      <c r="A291" t="s" s="0">
        <v>78</v>
      </c>
      <c r="B291" t="s" s="0">
        <v>78</v>
      </c>
      <c r="C291" t="s" s="0">
        <v>78</v>
      </c>
      <c r="D291" t="s" s="0">
        <v>78</v>
      </c>
      <c r="E291" t="s" s="0">
        <v>7353</v>
      </c>
      <c r="F291" t="s" s="0">
        <v>7354</v>
      </c>
      <c r="G291" t="s" s="0">
        <v>7355</v>
      </c>
      <c r="H291" t="s" s="0">
        <v>83</v>
      </c>
      <c r="I291" t="s" s="0">
        <v>84</v>
      </c>
      <c r="J291" t="s" s="0">
        <v>7356</v>
      </c>
      <c r="K291" t="s" s="0">
        <v>7357</v>
      </c>
      <c r="L291" t="s" s="0">
        <v>83</v>
      </c>
      <c r="M291" t="s" s="0">
        <v>83</v>
      </c>
      <c r="N291" t="s" s="0">
        <v>83</v>
      </c>
      <c r="O291" t="s" s="0">
        <v>7358</v>
      </c>
      <c r="P291" t="s" s="0">
        <v>7359</v>
      </c>
      <c r="Q291" t="s" s="0">
        <v>92</v>
      </c>
      <c r="R291" t="s" s="0">
        <v>83</v>
      </c>
      <c r="S291" t="s" s="0">
        <v>83</v>
      </c>
      <c r="T291" t="s" s="0">
        <v>83</v>
      </c>
      <c r="U291" t="s" s="0">
        <v>83</v>
      </c>
      <c r="V291" t="s" s="0">
        <v>7360</v>
      </c>
      <c r="W291" t="s" s="0">
        <v>1449</v>
      </c>
      <c r="X291" t="s" s="0">
        <v>83</v>
      </c>
      <c r="Y291" t="s" s="0">
        <v>83</v>
      </c>
      <c r="Z291" t="s" s="0">
        <v>95</v>
      </c>
      <c r="AA291" t="s" s="0">
        <v>96</v>
      </c>
      <c r="AB291" t="s" s="0">
        <v>83</v>
      </c>
      <c r="AC291" t="s" s="0">
        <v>83</v>
      </c>
      <c r="AD291" t="s" s="0">
        <v>83</v>
      </c>
      <c r="AE291" t="s" s="0">
        <v>83</v>
      </c>
      <c r="AF291" t="s" s="0">
        <v>83</v>
      </c>
      <c r="AG291" t="s" s="0">
        <v>7361</v>
      </c>
      <c r="AH291" t="s" s="0">
        <v>7362</v>
      </c>
      <c r="AI291" t="s" s="0">
        <v>7363</v>
      </c>
      <c r="AJ291" t="s" s="0">
        <v>7364</v>
      </c>
      <c r="AK291" t="s" s="0">
        <v>83</v>
      </c>
      <c r="AL291" t="s" s="0">
        <v>1266</v>
      </c>
      <c r="AM291" t="s" s="0">
        <v>115</v>
      </c>
      <c r="AN291" t="s" s="0">
        <v>115</v>
      </c>
      <c r="AO291" t="s" s="0">
        <v>150</v>
      </c>
      <c r="AP291" t="s" s="0">
        <v>545</v>
      </c>
      <c r="AQ291" t="s" s="0">
        <v>805</v>
      </c>
      <c r="AR291" t="s" s="0">
        <v>806</v>
      </c>
      <c r="AS291" t="s" s="0">
        <v>807</v>
      </c>
      <c r="AT291" t="s" s="0">
        <v>83</v>
      </c>
      <c r="AU291" t="s" s="0">
        <v>1452</v>
      </c>
      <c r="AV291" t="s" s="0">
        <v>83</v>
      </c>
      <c r="AW291" t="s" s="0">
        <v>1453</v>
      </c>
      <c r="AX291" t="s" s="0">
        <v>1454</v>
      </c>
      <c r="AY291" t="s" s="0">
        <v>7365</v>
      </c>
      <c r="AZ291" t="s" s="0">
        <v>511</v>
      </c>
      <c r="BA291" t="s" s="0">
        <v>310</v>
      </c>
      <c r="BB291" t="s" s="0">
        <v>150</v>
      </c>
      <c r="BC291" t="s" s="0">
        <v>83</v>
      </c>
      <c r="BD291" t="s" s="0">
        <v>83</v>
      </c>
      <c r="BE291" t="s" s="0">
        <v>83</v>
      </c>
      <c r="BF291" t="s" s="0">
        <v>83</v>
      </c>
      <c r="BG291" t="s" s="0">
        <v>83</v>
      </c>
      <c r="BH291" t="s" s="0">
        <v>83</v>
      </c>
      <c r="BI291" t="s" s="0">
        <v>7366</v>
      </c>
      <c r="BJ291" t="s" s="0">
        <v>7367</v>
      </c>
      <c r="BK291" t="s" s="578">
        <f>HYPERLINK("http://dx.doi.org/10.3390/app16020771","http://dx.doi.org/10.3390/app16020771")</f>
        <v>7368</v>
      </c>
      <c r="BL291" t="s" s="0">
        <v>83</v>
      </c>
      <c r="BM291" t="s" s="0">
        <v>83</v>
      </c>
      <c r="BN291" t="s" s="0">
        <v>358</v>
      </c>
      <c r="BO291" t="s" s="0">
        <v>1459</v>
      </c>
      <c r="BP291" t="s" s="0">
        <v>1460</v>
      </c>
      <c r="BQ291" t="s" s="0">
        <v>7369</v>
      </c>
      <c r="BR291" t="s" s="0">
        <v>83</v>
      </c>
      <c r="BS291" t="s" s="0">
        <v>7370</v>
      </c>
      <c r="BT291" t="s" s="579">
        <f>HYPERLINK("https://www.webofscience.com/wos/woscc/full-record/WOS:001670121200001","View Record in Web of Science")</f>
        <v>126</v>
      </c>
      <c r="BU291" t="s" s="0">
        <v>210</v>
      </c>
      <c r="BV291" t="s" s="0">
        <v>83</v>
      </c>
      <c r="BW291" t="s" s="0">
        <v>83</v>
      </c>
      <c r="BX291" t="s" s="0">
        <v>130</v>
      </c>
    </row>
    <row r="29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T184" r:id="rId365"/>
    <hyperlink ref="BK185" r:id="rId366"/>
    <hyperlink ref="BT185" r:id="rId367"/>
    <hyperlink ref="BK186" r:id="rId368"/>
    <hyperlink ref="BT186" r:id="rId369"/>
    <hyperlink ref="BK187" r:id="rId370"/>
    <hyperlink ref="BT187" r:id="rId371"/>
    <hyperlink ref="BK188" r:id="rId372"/>
    <hyperlink ref="BT188" r:id="rId373"/>
    <hyperlink ref="BK189" r:id="rId374"/>
    <hyperlink ref="BT189" r:id="rId375"/>
    <hyperlink ref="BK190" r:id="rId376"/>
    <hyperlink ref="BT190" r:id="rId377"/>
    <hyperlink ref="BK191" r:id="rId378"/>
    <hyperlink ref="BT191" r:id="rId379"/>
    <hyperlink ref="BK192" r:id="rId380"/>
    <hyperlink ref="BT192" r:id="rId381"/>
    <hyperlink ref="BK193" r:id="rId382"/>
    <hyperlink ref="BT193" r:id="rId383"/>
    <hyperlink ref="BK194" r:id="rId384"/>
    <hyperlink ref="BT194" r:id="rId385"/>
    <hyperlink ref="BK195" r:id="rId386"/>
    <hyperlink ref="BT195" r:id="rId387"/>
    <hyperlink ref="BK196" r:id="rId388"/>
    <hyperlink ref="BT196" r:id="rId389"/>
    <hyperlink ref="BK197" r:id="rId390"/>
    <hyperlink ref="BT197" r:id="rId391"/>
    <hyperlink ref="BK198" r:id="rId392"/>
    <hyperlink ref="BT198" r:id="rId393"/>
    <hyperlink ref="BK199" r:id="rId394"/>
    <hyperlink ref="BT199" r:id="rId395"/>
    <hyperlink ref="BK200" r:id="rId396"/>
    <hyperlink ref="BT200" r:id="rId397"/>
    <hyperlink ref="BK201" r:id="rId398"/>
    <hyperlink ref="BT201" r:id="rId399"/>
    <hyperlink ref="BK202" r:id="rId400"/>
    <hyperlink ref="BT202" r:id="rId401"/>
    <hyperlink ref="BK203" r:id="rId402"/>
    <hyperlink ref="BT203" r:id="rId403"/>
    <hyperlink ref="BK204" r:id="rId404"/>
    <hyperlink ref="BT204" r:id="rId405"/>
    <hyperlink ref="BK205" r:id="rId406"/>
    <hyperlink ref="BT205" r:id="rId407"/>
    <hyperlink ref="BK206" r:id="rId408"/>
    <hyperlink ref="BT206" r:id="rId409"/>
    <hyperlink ref="BK207" r:id="rId410"/>
    <hyperlink ref="BT207" r:id="rId411"/>
    <hyperlink ref="BK208" r:id="rId412"/>
    <hyperlink ref="BT208" r:id="rId413"/>
    <hyperlink ref="BK209" r:id="rId414"/>
    <hyperlink ref="BT209" r:id="rId415"/>
    <hyperlink ref="BK210" r:id="rId416"/>
    <hyperlink ref="BT210" r:id="rId417"/>
    <hyperlink ref="BK211" r:id="rId418"/>
    <hyperlink ref="BT211" r:id="rId419"/>
    <hyperlink ref="BK212" r:id="rId420"/>
    <hyperlink ref="BT212" r:id="rId421"/>
    <hyperlink ref="BK213" r:id="rId422"/>
    <hyperlink ref="BT213" r:id="rId423"/>
    <hyperlink ref="BK214" r:id="rId424"/>
    <hyperlink ref="BT214" r:id="rId425"/>
    <hyperlink ref="BK215" r:id="rId426"/>
    <hyperlink ref="BT215" r:id="rId427"/>
    <hyperlink ref="BK216" r:id="rId428"/>
    <hyperlink ref="BT216" r:id="rId429"/>
    <hyperlink ref="BK217" r:id="rId430"/>
    <hyperlink ref="BT217" r:id="rId431"/>
    <hyperlink ref="BK218" r:id="rId432"/>
    <hyperlink ref="BT218" r:id="rId433"/>
    <hyperlink ref="BK219" r:id="rId434"/>
    <hyperlink ref="BT219" r:id="rId435"/>
    <hyperlink ref="BK220" r:id="rId436"/>
    <hyperlink ref="BT220" r:id="rId437"/>
    <hyperlink ref="BK221" r:id="rId438"/>
    <hyperlink ref="BT221" r:id="rId439"/>
    <hyperlink ref="BK222" r:id="rId440"/>
    <hyperlink ref="BT222" r:id="rId441"/>
    <hyperlink ref="BK223" r:id="rId442"/>
    <hyperlink ref="BT223" r:id="rId443"/>
    <hyperlink ref="BK224" r:id="rId444"/>
    <hyperlink ref="BT224" r:id="rId445"/>
    <hyperlink ref="BK225" r:id="rId446"/>
    <hyperlink ref="BT225" r:id="rId447"/>
    <hyperlink ref="BK226" r:id="rId448"/>
    <hyperlink ref="BT226" r:id="rId449"/>
    <hyperlink ref="BK227" r:id="rId450"/>
    <hyperlink ref="BT227" r:id="rId451"/>
    <hyperlink ref="BK228" r:id="rId452"/>
    <hyperlink ref="BT228" r:id="rId453"/>
    <hyperlink ref="BK229" r:id="rId454"/>
    <hyperlink ref="BT229" r:id="rId455"/>
    <hyperlink ref="BK230" r:id="rId456"/>
    <hyperlink ref="BT230" r:id="rId457"/>
    <hyperlink ref="BK231" r:id="rId458"/>
    <hyperlink ref="BT231" r:id="rId459"/>
    <hyperlink ref="BK232" r:id="rId460"/>
    <hyperlink ref="BT232" r:id="rId461"/>
    <hyperlink ref="BK233" r:id="rId462"/>
    <hyperlink ref="BT233" r:id="rId463"/>
    <hyperlink ref="BK234" r:id="rId464"/>
    <hyperlink ref="BT234" r:id="rId465"/>
    <hyperlink ref="BK235" r:id="rId466"/>
    <hyperlink ref="BT235" r:id="rId467"/>
    <hyperlink ref="BK236" r:id="rId468"/>
    <hyperlink ref="BT236" r:id="rId469"/>
    <hyperlink ref="BK237" r:id="rId470"/>
    <hyperlink ref="BT237" r:id="rId471"/>
    <hyperlink ref="BK238" r:id="rId472"/>
    <hyperlink ref="BT238" r:id="rId473"/>
    <hyperlink ref="BK239" r:id="rId474"/>
    <hyperlink ref="BT239" r:id="rId475"/>
    <hyperlink ref="BK240" r:id="rId476"/>
    <hyperlink ref="BT240" r:id="rId477"/>
    <hyperlink ref="BK241" r:id="rId478"/>
    <hyperlink ref="BT241" r:id="rId479"/>
    <hyperlink ref="BK242" r:id="rId480"/>
    <hyperlink ref="BT242" r:id="rId481"/>
    <hyperlink ref="BK243" r:id="rId482"/>
    <hyperlink ref="BT243" r:id="rId483"/>
    <hyperlink ref="BK244" r:id="rId484"/>
    <hyperlink ref="BT244" r:id="rId485"/>
    <hyperlink ref="BK245" r:id="rId486"/>
    <hyperlink ref="BT245" r:id="rId487"/>
    <hyperlink ref="BK246" r:id="rId488"/>
    <hyperlink ref="BT246" r:id="rId489"/>
    <hyperlink ref="BK247" r:id="rId490"/>
    <hyperlink ref="BT247" r:id="rId491"/>
    <hyperlink ref="BK248" r:id="rId492"/>
    <hyperlink ref="BT248" r:id="rId493"/>
    <hyperlink ref="BK249" r:id="rId494"/>
    <hyperlink ref="BT249" r:id="rId495"/>
    <hyperlink ref="BK250" r:id="rId496"/>
    <hyperlink ref="BT250" r:id="rId497"/>
    <hyperlink ref="BK251" r:id="rId498"/>
    <hyperlink ref="BT251" r:id="rId499"/>
    <hyperlink ref="BK252" r:id="rId500"/>
    <hyperlink ref="BT252" r:id="rId501"/>
    <hyperlink ref="BK253" r:id="rId502"/>
    <hyperlink ref="BT253" r:id="rId503"/>
    <hyperlink ref="BK254" r:id="rId504"/>
    <hyperlink ref="BT254" r:id="rId505"/>
    <hyperlink ref="BK255" r:id="rId506"/>
    <hyperlink ref="BT255" r:id="rId507"/>
    <hyperlink ref="BK256" r:id="rId508"/>
    <hyperlink ref="BT256" r:id="rId509"/>
    <hyperlink ref="BK257" r:id="rId510"/>
    <hyperlink ref="BT257" r:id="rId511"/>
    <hyperlink ref="BK258" r:id="rId512"/>
    <hyperlink ref="BT258" r:id="rId513"/>
    <hyperlink ref="BK259" r:id="rId514"/>
    <hyperlink ref="BT259" r:id="rId515"/>
    <hyperlink ref="BK260" r:id="rId516"/>
    <hyperlink ref="BT260" r:id="rId517"/>
    <hyperlink ref="BK261" r:id="rId518"/>
    <hyperlink ref="BT261" r:id="rId519"/>
    <hyperlink ref="BK262" r:id="rId520"/>
    <hyperlink ref="BT262" r:id="rId521"/>
    <hyperlink ref="BK263" r:id="rId522"/>
    <hyperlink ref="BT263" r:id="rId523"/>
    <hyperlink ref="BK264" r:id="rId524"/>
    <hyperlink ref="BT264" r:id="rId525"/>
    <hyperlink ref="BK265" r:id="rId526"/>
    <hyperlink ref="BT265" r:id="rId527"/>
    <hyperlink ref="BK266" r:id="rId528"/>
    <hyperlink ref="BT266" r:id="rId529"/>
    <hyperlink ref="BK267" r:id="rId530"/>
    <hyperlink ref="BT267" r:id="rId531"/>
    <hyperlink ref="BK268" r:id="rId532"/>
    <hyperlink ref="BT268" r:id="rId533"/>
    <hyperlink ref="BK269" r:id="rId534"/>
    <hyperlink ref="BT269" r:id="rId535"/>
    <hyperlink ref="BK270" r:id="rId536"/>
    <hyperlink ref="BT270" r:id="rId537"/>
    <hyperlink ref="BK271" r:id="rId538"/>
    <hyperlink ref="BT271" r:id="rId539"/>
    <hyperlink ref="BK272" r:id="rId540"/>
    <hyperlink ref="BT272" r:id="rId541"/>
    <hyperlink ref="BK273" r:id="rId542"/>
    <hyperlink ref="BT273" r:id="rId543"/>
    <hyperlink ref="BK274" r:id="rId544"/>
    <hyperlink ref="BT274" r:id="rId545"/>
    <hyperlink ref="BK275" r:id="rId546"/>
    <hyperlink ref="BT275" r:id="rId547"/>
    <hyperlink ref="BK276" r:id="rId548"/>
    <hyperlink ref="BT276" r:id="rId549"/>
    <hyperlink ref="BK277" r:id="rId550"/>
    <hyperlink ref="BT277" r:id="rId551"/>
    <hyperlink ref="BK278" r:id="rId552"/>
    <hyperlink ref="BT278" r:id="rId553"/>
    <hyperlink ref="BK279" r:id="rId554"/>
    <hyperlink ref="BT279" r:id="rId555"/>
    <hyperlink ref="BK280" r:id="rId556"/>
    <hyperlink ref="BT280" r:id="rId557"/>
    <hyperlink ref="BK281" r:id="rId558"/>
    <hyperlink ref="BT281" r:id="rId559"/>
    <hyperlink ref="BK282" r:id="rId560"/>
    <hyperlink ref="BT282" r:id="rId561"/>
    <hyperlink ref="BK283" r:id="rId562"/>
    <hyperlink ref="BT283" r:id="rId563"/>
    <hyperlink ref="BK284" r:id="rId564"/>
    <hyperlink ref="BT284" r:id="rId565"/>
    <hyperlink ref="BK285" r:id="rId566"/>
    <hyperlink ref="BT285" r:id="rId567"/>
    <hyperlink ref="BK286" r:id="rId568"/>
    <hyperlink ref="BT286" r:id="rId569"/>
    <hyperlink ref="BK287" r:id="rId570"/>
    <hyperlink ref="BT287" r:id="rId571"/>
    <hyperlink ref="BK288" r:id="rId572"/>
    <hyperlink ref="BT288" r:id="rId573"/>
    <hyperlink ref="BK289" r:id="rId574"/>
    <hyperlink ref="BT289" r:id="rId575"/>
    <hyperlink ref="BK290" r:id="rId576"/>
    <hyperlink ref="BT290" r:id="rId577"/>
    <hyperlink ref="BK291" r:id="rId578"/>
    <hyperlink ref="BT291" r:id="rId579"/>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2026-08-26T12:18:10Z</dcterms:created>
  <dc:creator>Apache POI</dc:creator>
</cp:coreProperties>
</file>
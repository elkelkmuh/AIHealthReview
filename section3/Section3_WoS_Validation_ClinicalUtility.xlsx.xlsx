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ublications" r:id="rId3" sheetId="1"/>
  </sheets>
</workbook>
</file>

<file path=xl/sharedStrings.xml><?xml version="1.0" encoding="utf-8"?>
<sst xmlns="http://schemas.openxmlformats.org/spreadsheetml/2006/main" count="9426" uniqueCount="3380">
  <si>
    <t>Times Cited, CSCD</t>
  </si>
  <si>
    <t>Times Cited, ARCI</t>
  </si>
  <si>
    <t>Times Cited, BCI</t>
  </si>
  <si>
    <t>Times Cited, SCIELO</t>
  </si>
  <si>
    <t>Authors</t>
  </si>
  <si>
    <t>Abstract</t>
  </si>
  <si>
    <t>Author Full Names</t>
  </si>
  <si>
    <t>Book Author Full Names</t>
  </si>
  <si>
    <t>Web of Science Index</t>
  </si>
  <si>
    <t>Reprint Addresses</t>
  </si>
  <si>
    <t>Email Addresses</t>
  </si>
  <si>
    <t>Funding Orgs</t>
  </si>
  <si>
    <t>Funding Name Preferred</t>
  </si>
  <si>
    <t>Funding Text</t>
  </si>
  <si>
    <t>Addresses</t>
  </si>
  <si>
    <t>Affiliations</t>
  </si>
  <si>
    <t>Publication Type</t>
  </si>
  <si>
    <t>Book Authors</t>
  </si>
  <si>
    <t>Group Authors</t>
  </si>
  <si>
    <t>Book Group Authors</t>
  </si>
  <si>
    <t>Book Editors</t>
  </si>
  <si>
    <t>Article Title</t>
  </si>
  <si>
    <t>Source Title</t>
  </si>
  <si>
    <t>Book Series Title</t>
  </si>
  <si>
    <t>Book Series Subtitle</t>
  </si>
  <si>
    <t>Language</t>
  </si>
  <si>
    <t>Document Type</t>
  </si>
  <si>
    <t>Conference Title</t>
  </si>
  <si>
    <t>Conference Date</t>
  </si>
  <si>
    <t>Conference Location</t>
  </si>
  <si>
    <t>Conference Sponsor</t>
  </si>
  <si>
    <t>Conference Host</t>
  </si>
  <si>
    <t>Author Keywords</t>
  </si>
  <si>
    <t>Keywords Plus</t>
  </si>
  <si>
    <t>Researcher Ids</t>
  </si>
  <si>
    <t>ORCIDs</t>
  </si>
  <si>
    <t>Cited References</t>
  </si>
  <si>
    <t>Cited Reference Count</t>
  </si>
  <si>
    <t>Times Cited, WoS Core</t>
  </si>
  <si>
    <t>Times Cited, All Databases</t>
  </si>
  <si>
    <t>180 Day Usage Count</t>
  </si>
  <si>
    <t>Since 2013 Usage Count</t>
  </si>
  <si>
    <t>Publisher</t>
  </si>
  <si>
    <t>Publisher City</t>
  </si>
  <si>
    <t>Publisher Address</t>
  </si>
  <si>
    <t>ISSN</t>
  </si>
  <si>
    <t>eISSN</t>
  </si>
  <si>
    <t>ISBN</t>
  </si>
  <si>
    <t>Journal Abbreviation</t>
  </si>
  <si>
    <t>Journal ISO Abbreviation</t>
  </si>
  <si>
    <t>Publication Date</t>
  </si>
  <si>
    <t>Publication Year</t>
  </si>
  <si>
    <t>Volume</t>
  </si>
  <si>
    <t>Issue</t>
  </si>
  <si>
    <t>Special Issue</t>
  </si>
  <si>
    <t>Part Number</t>
  </si>
  <si>
    <t>Supplement</t>
  </si>
  <si>
    <t>Meeting Abstract</t>
  </si>
  <si>
    <t>Start Page</t>
  </si>
  <si>
    <t>End Page</t>
  </si>
  <si>
    <t>Article Number</t>
  </si>
  <si>
    <t>DOI</t>
  </si>
  <si>
    <t>DOI Link</t>
  </si>
  <si>
    <t>Book DOI</t>
  </si>
  <si>
    <t>Early Access Date</t>
  </si>
  <si>
    <t>Number of Pages</t>
  </si>
  <si>
    <t>WoS Categories</t>
  </si>
  <si>
    <t>Research Areas</t>
  </si>
  <si>
    <t>IDS Number</t>
  </si>
  <si>
    <t>Pubmed Id</t>
  </si>
  <si>
    <t>UT (Unique WOS ID)</t>
  </si>
  <si>
    <t>Web of Science Record</t>
  </si>
  <si>
    <t>Open Access Designations</t>
  </si>
  <si>
    <t>Hot Paper Status</t>
  </si>
  <si>
    <t>Highly Cited Status</t>
  </si>
  <si>
    <t>Date of Export</t>
  </si>
  <si>
    <t xml:space="preserve">  </t>
  </si>
  <si>
    <t>0</t>
  </si>
  <si>
    <t>1</t>
  </si>
  <si>
    <t>Rees, CA; Haggie, S; Florin, TA</t>
  </si>
  <si>
    <t>Community acquired pneumonia (CAP) is a disease experienced by children the world over, though CAP-related morbidity and mortality differ markedly between low-and middle-income countries (LMICs) and high-income countries (HICs). Thus, setting-specific clinical prediction models are needed to identify children at risk for CAP-related morbidity and mortality. Here, we outline published clinical prediction models from LMICs and HICs for pediatric CAP-related outcomes. To date, there have been four clinical prediction models to predict treatment failure, two to predict a composite outcome of poor outcomes, and eight models for mortality prediction for CAP in LMICs. No prediction models developed in LMICs had publications that described their impact on clinical care through implementation. In HICs, to date there are three published clinical prediction models evaluating disease severity and one examining the need for major medical interventions. While clinical prediction models described in this review provide a strong foundation for risk stratification for children with CAP in HICs, there is a need for widespread external validation and implementation of optimally performing models. (c) 2025 Elsevier Ltd. All rights are reserved, including those for text and data mining, AI training, and similar technologies.</t>
  </si>
  <si>
    <t>Rees, Chris A.; Haggie, Stuart; Florin, Todd A.</t>
  </si>
  <si>
    <t/>
  </si>
  <si>
    <t>Science Citation Index Expanded (SCI-EXPANDED)</t>
  </si>
  <si>
    <t>Florin, TA (corresponding author), Ann &amp; Robert H Lurie Childrens Hosp, Div Emergency Med, Chicago, IL 60611 USA.; Florin, TA (corresponding author), Northwestern Univ, Feinberg Sch Med, Dept Pediat, Chicago, IL 60611 USA.</t>
  </si>
  <si>
    <t>taflorin@luriechildrens.org</t>
  </si>
  <si>
    <t>United States National Institutes of Health [K23HL173694]</t>
  </si>
  <si>
    <t>United States National Institutes of Health (United States Department of Health &amp; Human Services, National Institutes of Health (NIH) - USA)</t>
  </si>
  <si>
    <t>The authors declare the following financial interests/personal relationships which may be considered as potential competing interests: Dr. Rees was supported by the United States National Institutes of Health (K23HL173694) . The funder played no part in this study's design and execution, data collection, management, analysis, or interpretation, nor in the preparation, review, or approval of this manuscript. Furthermore, the decision to submit this manuscript for publication was independent of any influence from the funder.</t>
  </si>
  <si>
    <t>[Rees, Chris A.] Emory Univ, Sch Med, Div Pediat Emergency Med, Atlanta, GA USA; [Haggie, Stuart] Childrens Healthcare Atlanta, Dept Emergency Med, Atlanta, GA USA; [Haggie, Stuart] Childrens Hosp Westmead, Dept Resp Med, Sydney, Australia; [Florin, Todd A.] Univ Wollongong, Grad Sch Med, Wollongong, Australia; [Florin, Todd A.] Ann &amp; Robert H Lurie Childrens Hosp, Div Emergency Med, Chicago, IL 60611 USA; [Florin, Todd A.] Northwestern Univ, Feinberg Sch Med, Dept Pediat, Chicago, IL 60611 USA</t>
  </si>
  <si>
    <t>Emory University; Children's Healthcare of Atlanta (CHOA); University of Sydney; NSW Health; The Children's Hospital at Westmead; University of Wollongong; Ann &amp; Robert H. Lurie Children's Hospital of Chicago; Northwestern University; Feinberg School of Medicine</t>
  </si>
  <si>
    <t>J</t>
  </si>
  <si>
    <t>Narrative review of clinical prediction models for paediatric community acquired pneumonia</t>
  </si>
  <si>
    <t>PAEDIATRIC RESPIRATORY REVIEWS</t>
  </si>
  <si>
    <t>English</t>
  </si>
  <si>
    <t>Review</t>
  </si>
  <si>
    <t>Paediatric; Community acquired pneumonia; Clinical prediction model; Prognosis</t>
  </si>
  <si>
    <t>CHILDREN; RISK</t>
  </si>
  <si>
    <t>Florin, Todd/J-6637-2019</t>
  </si>
  <si>
    <t>Florin, Todd/0000-0002-4387-2605</t>
  </si>
  <si>
    <t>46</t>
  </si>
  <si>
    <t>7</t>
  </si>
  <si>
    <t>8</t>
  </si>
  <si>
    <t>2</t>
  </si>
  <si>
    <t>ELSEVIER SCI LTD</t>
  </si>
  <si>
    <t>London</t>
  </si>
  <si>
    <t>125 London Wall, London, ENGLAND</t>
  </si>
  <si>
    <t>1526-0542</t>
  </si>
  <si>
    <t>1526-0550</t>
  </si>
  <si>
    <t>PAEDIATR RESPIR REV</t>
  </si>
  <si>
    <t>Paediatr. Respir. Rev.</t>
  </si>
  <si>
    <t>JUN 2025</t>
  </si>
  <si>
    <t>2025</t>
  </si>
  <si>
    <t>54</t>
  </si>
  <si>
    <t>19</t>
  </si>
  <si>
    <t>27</t>
  </si>
  <si>
    <t>10.1016/j.prrv.2025.01.002</t>
  </si>
  <si>
    <t>http://dx.doi.org/10.1016/j.prrv.2025.01.002</t>
  </si>
  <si>
    <t>MAY 2025</t>
  </si>
  <si>
    <t>9</t>
  </si>
  <si>
    <t>Pediatrics; Respiratory System</t>
  </si>
  <si>
    <t>3JP1A</t>
  </si>
  <si>
    <t>39965990</t>
  </si>
  <si>
    <t>WOS:001501899200004</t>
  </si>
  <si>
    <t>View Record in Web of Science</t>
  </si>
  <si>
    <t>Green Submitted</t>
  </si>
  <si>
    <t>2026-08-26</t>
  </si>
  <si>
    <t>Shanmugaraj, A; Khalid, B; Kumar, MV; Kunze, KN; Sheth, U</t>
  </si>
  <si>
    <t>Background: This study aimed to synthesize the applications, performance, and methodological conduct of artificial intelligence (AI) prediction models for total shoulder arthroplasty (TSA) outcomes. Methods: PUBMED, MEDLINE, EMBASE, and CENTRAL were searched on November 2, 2025 for all articles that utilized AI to develop prognostic or diagnostic prediction models utilizing TSA populations. Methodological quality was assessed using the TRIPOD statement and PROBAST tool. Results: Twenty-four studies comprising outcomes of 497,365 patients (35.6% female; 69.6 +/- 0.9 years) were included. Of these patients, 31.0% underwent rTSA, 29.1% aTSA, and 2.8% hemiarthroplasty. The remaining patients received a mix of aTSA and rTSA, but the exact proportions were not reported in their respective studies. Nine studies applied AI to clinical outcomes (AUC 0.85, 0.65-0.96), seven to adverse events (AUC 0.73, 0.52-0.92), and six to resource utilization (AUC 0.78, 0.59-0.91). All twelve studies comparing AI to traditional regression reported that AI models demonstrated superior performance. The need and caution for external validation was reported in 15 studies (62.5%). The mean TRIPOD adherence was 11.6 items (range 9-15); 19 studies (82.3%) met &gt;50% of criteria, and 6 (26.1%) met &gt;66%. PROBAST rated 16 studies (66.7%) at high risk of bias. Conclusion: AI prediction models in TSA show poor methodology, especially in calibration, sample size, missing data, and validation, warranting cautious interpretation and clearer direction for future research.</t>
  </si>
  <si>
    <t>Shanmugaraj, Ajaykumar; Khalid, Bushra; Kumar, Mithilesh, V; Kunze, Kyle N.; Sheth, Ujash</t>
  </si>
  <si>
    <t>Emerging Sources Citation Index (ESCI)</t>
  </si>
  <si>
    <t>Shanmugaraj, A (corresponding author), Scarborough Hlth Network Gen Site, Temerty Fac Med, Dept Family &amp; Community Med, 410-3030 Lawrence Ave East, Toronto, ON M1P 2T7, Canada.</t>
  </si>
  <si>
    <t>ajay.shanmugaraj@mail.utoronto.ca</t>
  </si>
  <si>
    <t>[Shanmugaraj, Ajaykumar; Khalid, Bushra] Univ British Columbia, Fac Med, Vancouver, BC, Canada; [Kumar, Mithilesh, V] Univ Ottawa, Fac Med, Ottawa, ON, Canada; [Kunze, Kyle N.] Hosp Special Surg, Sports Med &amp; Shoulder Inst, New York, NY USA; [Sheth, Ujash] Univ Toronto, Sunnybrook Hlth Sci Ctr, Sunnybrook Orthopaed Upper Limb SOUL, Div Orthopaed Surg,Dept Surg, Toronto, ON, Canada</t>
  </si>
  <si>
    <t>University of British Columbia; University of Ottawa; University of Toronto; Sunnybrook Health Science Center; Sunnybrook Research Institute</t>
  </si>
  <si>
    <t>Transparency of reporting and methodological conduct of prognostic and diagnostic clinical prediction models developed using machine learning in total shoulder arthroplasty: A systematic review and critical appraisal</t>
  </si>
  <si>
    <t>SHOULDER &amp; ELBOW</t>
  </si>
  <si>
    <t>Artificial intelligence; supervised machine learning; algorithm; deep learning; predictive modelling; shoulder; arthroplasty; total shoulder arthroplasty</t>
  </si>
  <si>
    <t>ARTIFICIAL-INTELLIGENCE; INDIVIDUAL PROGNOSIS; PATIENT EXPECTATIONS; OUTCOMES; RISK; APPLICABILITY; EXPLANATION; PROBAST; TRIPOD; BIAS</t>
  </si>
  <si>
    <t>Khalid, Bushra/JQW-0641-2023</t>
  </si>
  <si>
    <t>Shanmugaraj, Ajaykumar/0000-0002-9531-9385</t>
  </si>
  <si>
    <t>50</t>
  </si>
  <si>
    <t>SAGE PUBLICATIONS INC</t>
  </si>
  <si>
    <t>THOUSAND OAKS</t>
  </si>
  <si>
    <t>2455 TELLER RD, THOUSAND OAKS, CA 91320 USA</t>
  </si>
  <si>
    <t>1758-5732</t>
  </si>
  <si>
    <t>1758-5740</t>
  </si>
  <si>
    <t>SHOULDER ELBOW</t>
  </si>
  <si>
    <t>Shoulder Elbow</t>
  </si>
  <si>
    <t>OCT 2026</t>
  </si>
  <si>
    <t>2026</t>
  </si>
  <si>
    <t>18</t>
  </si>
  <si>
    <t>4</t>
  </si>
  <si>
    <t>680</t>
  </si>
  <si>
    <t>700</t>
  </si>
  <si>
    <t>10.1177/17585732251412368</t>
  </si>
  <si>
    <t>http://dx.doi.org/10.1177/17585732251412368</t>
  </si>
  <si>
    <t>JAN 2026</t>
  </si>
  <si>
    <t>21</t>
  </si>
  <si>
    <t>Orthopedics</t>
  </si>
  <si>
    <t>LC3XY</t>
  </si>
  <si>
    <t>41614064</t>
  </si>
  <si>
    <t>WOS:001672300300001</t>
  </si>
  <si>
    <t>hybrid; Green Submitted</t>
  </si>
  <si>
    <t>Yang, C; Kors, JA; Ioannou, S; John, LH; Markus, AF; Rekkas, A; de Ridder, MAJ; Seinen, TM; Williams, RD; Rijnbeek, PR</t>
  </si>
  <si>
    <t>Objectives This systematic review aims to provide further insights into the conduct and reporting of clinical prediction model development and validation over time. We focus on assessing the reporting of information necessary to enable external validation by other investigators. Materials and Methods We searched Embase, Medline, Web-of-Science, Cochrane Library, and Google Scholar to identify studies that developed 1 or more multivariable prognostic prediction models using electronic health record (EHR) data published in the period 2009-2019. Results We identified 422 studies that developed a total of 579 clinical prediction models using EHR data. We observed a steep increase over the years in the number of developed models. The percentage of models externally validated in the same paper remained at around 10%. Throughout 2009-2019, for both the target population and the outcome definitions, code lists were provided for less than 20% of the models. For about half of the models that were developed using regression analysis, the final model was not completely presented. Discussion Overall, we observed limited improvement over time in the conduct and reporting of clinical prediction model development and validation. In particular, the prediction problem definition was often not clearly reported, and the final model was often not completely presented. Conclusion Improvement in the reporting of information necessary to enable external validation by other investigators is still urgently needed to increase clinical adoption of developed models.</t>
  </si>
  <si>
    <t>Yang, Cynthia; Kors, Jan A.; Ioannou, Solomon; John, Luis H.; Markus, Aniek F.; Rekkas, Alexandros; de Ridder, Maria A. J.; Seinen, Tom M.; Williams, Ross D.; Rijnbeek, Peter R.</t>
  </si>
  <si>
    <t>Science Citation Index Expanded (SCI-EXPANDED); Social Science Citation Index (SSCI)</t>
  </si>
  <si>
    <t>Yang, C (corresponding author), Erasmus Univ, Dept Med Informat, Med Ctr, Dr Molewaterpl 40, NL-3015 GD Rotterdam, Netherlands.</t>
  </si>
  <si>
    <t>c.yang@erasmusmc.nl</t>
  </si>
  <si>
    <t>European Health Data &amp; Evidence Network (EHDEN) project; Innovative Medicines Initiative 2 Joint Undertaking (JU) [806968]; European Union; EFPIA</t>
  </si>
  <si>
    <t>European Health Data &amp; Evidence Network (EHDEN) project; Innovative Medicines Initiative 2 Joint Undertaking (JU); European Union (European Union (EU)); EFPIA</t>
  </si>
  <si>
    <t>This work has received support from the European Health Data &amp; Evidence Network (EHDEN) project. EHDEN has received funding from the Innovative Medicines Initiative 2 Joint Undertaking (JU) under grant agreement no 806968. The JU receives support from the European Union's Horizon 2020 research and innovation program and EFPIA.</t>
  </si>
  <si>
    <t>[Yang, Cynthia; Kors, Jan A.; Ioannou, Solomon; John, Luis H.; Markus, Aniek F.; Rekkas, Alexandros; de Ridder, Maria A. J.; Seinen, Tom M.; Williams, Ross D.; Rijnbeek, Peter R.] Erasmus Univ, Dept Med Informat, Med Ctr, Dr Molewaterpl 40, NL-3015 GD Rotterdam, Netherlands</t>
  </si>
  <si>
    <t>Erasmus University Rotterdam; Erasmus MC</t>
  </si>
  <si>
    <t>Trends in the conduct and reporting of clinical prediction model development and validation: a systematic review</t>
  </si>
  <si>
    <t>JOURNAL OF THE AMERICAN MEDICAL INFORMATICS ASSOCIATION</t>
  </si>
  <si>
    <t>clinical prediction model; electronic health record; external validation; machine learning; clinical decision support</t>
  </si>
  <si>
    <t>Rijnbeek, Peter/0000-0003-0621-1979; Williams, Ross/0000-0001-7723-417X; Yang, Cynthia/0000-0001-6769-3153; Ioannou, Solomon/0000-0003-1715-288X; Rekkas, Alexandros/0000-0002-5352-943X; Seinen, Tom/0000-0001-5369-8260; Markus, Aniek/0000-0001-5779-4794</t>
  </si>
  <si>
    <t>17</t>
  </si>
  <si>
    <t>59</t>
  </si>
  <si>
    <t>OXFORD UNIV PRESS</t>
  </si>
  <si>
    <t>OXFORD</t>
  </si>
  <si>
    <t>GREAT CLARENDON ST, OXFORD OX2 6DP, ENGLAND</t>
  </si>
  <si>
    <t>1067-5027</t>
  </si>
  <si>
    <t>1527-974X</t>
  </si>
  <si>
    <t>J AM MED INFORM ASSN</t>
  </si>
  <si>
    <t>J. Am. Med. Inf. Assoc.</t>
  </si>
  <si>
    <t>APR 13 2022</t>
  </si>
  <si>
    <t>2022</t>
  </si>
  <si>
    <t>29</t>
  </si>
  <si>
    <t>5</t>
  </si>
  <si>
    <t>983</t>
  </si>
  <si>
    <t>989</t>
  </si>
  <si>
    <t>10.1093/jamia/ocac002</t>
  </si>
  <si>
    <t>http://dx.doi.org/10.1093/jamia/ocac002</t>
  </si>
  <si>
    <t>JAN 2022</t>
  </si>
  <si>
    <t>Computer Science, Information Systems; Computer Science, Interdisciplinary Applications; Health Care Sciences &amp; Services; Information Science &amp; Library Science; Medical Informatics</t>
  </si>
  <si>
    <t>Computer Science; Health Care Sciences &amp; Services; Information Science &amp; Library Science; Medical Informatics</t>
  </si>
  <si>
    <t>0M5HY</t>
  </si>
  <si>
    <t>35045179</t>
  </si>
  <si>
    <t>WOS:000782186000028</t>
  </si>
  <si>
    <t>hybrid; Green Accepted; Green Submitted</t>
  </si>
  <si>
    <t>Battle, C; Cole, E; Carter, K; Baker, E</t>
  </si>
  <si>
    <t>BackgroundThe aim of this systematic review was to investigate how clinical prediction models compare in terms of their methodological development, validation, and predictive capabilities, for patients with blunt chest trauma presenting to the Emergency Department.MethodsA systematic review was conducted across databases from 1st Jan 2000 until 1st April 2024. Studies were categorised into three types of multivariable prediction research and data extracted regarding methodological issues and the predictive capabilities of each model. Risk of bias and applicability were assessed.Results41 studies were included that discussed 22 different models. The most commonly observed study design was a single-centre, retrospective, chart review. The most widely externally validated clinical prediction models with moderate to good discrimination were the Thoracic Trauma Severity Score and the STUMBL Score.DiscussionThis review demonstrates that the predictive ability of some of the existing clinical prediction models is acceptable, but high risk of bias and lack of subsequent external validation limits the extensive application of the models. The Thoracic Trauma Severity Score and STUMBL Score demonstrate better predictive accuracy in both development and external validation studies than the other models, but require recalibration and / or update and evaluation of their clinical and cost effectiveness.Review registrationPROSPERO database (https://www.crd.york.ac.uk/PROSPERO/display_record.php?RecordID=351638).</t>
  </si>
  <si>
    <t>Battle, Ceri; Cole, Elaine; Carter, Kym; Baker, Edward</t>
  </si>
  <si>
    <t>Battle, C (corresponding author), Swansea Bay Univ Hlth Board, Morriston Hosp, Physiotherapy Dept, Swansea SA6 6NL, Wales.; Battle, C (corresponding author), Swansea Univ, Med Sch, Swansea Trials Unit, Swansea, Wales.</t>
  </si>
  <si>
    <t>Ceri.battle@Wales.nhs.uk</t>
  </si>
  <si>
    <t>HCRW_ [RFPPB-16-1193] Funding Source: Medline; Health and Care Research Wales [RfPPB-16-1193] Funding Source: researchfish</t>
  </si>
  <si>
    <t>HCRW_; Health and Care Research Wales</t>
  </si>
  <si>
    <t>[Battle, Ceri] Swansea Bay Univ Hlth Board, Morriston Hosp, Physiotherapy Dept, Swansea SA6 6NL, Wales; [Battle, Ceri; Carter, Kym] Swansea Univ, Med Sch, Swansea Trials Unit, Swansea, Wales; [Cole, Elaine] Queen Mary Univ London, Blizard Inst, Ctr Trauma Sci, London, England; [Baker, Edward] Kings Coll Hosp London, Emergency Dept, London, England</t>
  </si>
  <si>
    <t>Morriston Hospital; Swansea University; University of London; Queen Mary University London; King's College Hospital NHS Foundation Trust; King's College Hospital</t>
  </si>
  <si>
    <t>Clinical prediction models for the management of blunt chest trauma in the emergency department: a systematic review</t>
  </si>
  <si>
    <t>BMC EMERGENCY MEDICINE</t>
  </si>
  <si>
    <t>Blunt chest trauma; Clinical prediction models; Systematic review</t>
  </si>
  <si>
    <t>SCORING SYSTEMS; THORACIC TRAUMA; SEVERITY SCORE; RISK-FACTORS; OUTCOMES; COMPLICATIONS; VALIDATION; ADMISSION; INJURY; MORTALITY</t>
  </si>
  <si>
    <t>Battle, Ceri/AAK-5856-2021</t>
  </si>
  <si>
    <t>Battle, Ceri/0000-0002-7503-1931; Baker, Edward/0000-0002-2633-0871</t>
  </si>
  <si>
    <t>61</t>
  </si>
  <si>
    <t>BMC</t>
  </si>
  <si>
    <t>LONDON</t>
  </si>
  <si>
    <t>CAMPUS, 4 CRINAN ST, LONDON N1 9XW, ENGLAND</t>
  </si>
  <si>
    <t>1471-227X</t>
  </si>
  <si>
    <t>BMC EMERG MED</t>
  </si>
  <si>
    <t>BMC Emerg. Med.</t>
  </si>
  <si>
    <t>OCT 12 2024</t>
  </si>
  <si>
    <t>2024</t>
  </si>
  <si>
    <t>24</t>
  </si>
  <si>
    <t>189</t>
  </si>
  <si>
    <t>10.1186/s12873-024-01107-6</t>
  </si>
  <si>
    <t>http://dx.doi.org/10.1186/s12873-024-01107-6</t>
  </si>
  <si>
    <t>14</t>
  </si>
  <si>
    <t>Emergency Medicine</t>
  </si>
  <si>
    <t>J3W8W</t>
  </si>
  <si>
    <t>39395934</t>
  </si>
  <si>
    <t>WOS:001336411100002</t>
  </si>
  <si>
    <t>gold; Green Submitted</t>
  </si>
  <si>
    <t>Oliver, D; Arribas, M; Perry, BI; Whiting, D; Blackman, G; Krakowski, K; Seyedsalehi, A; Osimo, EF; Griff, SL; Stahl, D; Cipriani, A; Fazel, S; Fusar-Poli, P; McGuire, P</t>
  </si>
  <si>
    <t>The use of clinical prediction models to produce individualized risk estimates can facilitate the implementation of precision psychiatry. As a source of data from large, clinically representative patient samples, electronic health records (EHRs) provide a platform to develop and validate clinical prediction models, as well as potentially implement them in routine clinical care. The current review describes promising use cases for the application of precision psychiatry to EHR data and considers their performance in terms of discrimination (ability to separate individuals with and without the outcome) and calibration (extent to which predicted risk estimates correspond to observed outcomes), as well as their potential clinical utility (weighing benefits and costs associated with the model compared to different approaches across different assumptions of the number needed to test). We review 4 externally validated clinical prediction models designed to predict psychosis onset, psychotic relapse, cardiometabolic morbidity, and suicide risk. We then discuss the prospects for clinically implementing these models and the potential added value of integrating data from evidence syntheses, standardized psychometric assessments, and biological data into EHRs. Clinical prediction models can utilize routinely collected EHR data in an innovative way, representing a unique opportunity to inform real-world clinical decision making. Combining data from other sources (e.g., meta-analyses) or enhancing EHR data with information from research studies (clinical and biomarker data) may enhance our abilities to improve the performance of clinical prediction models.</t>
  </si>
  <si>
    <t>Oliver, Dominic; Arribas, Maite; Perry, Benjamin I.; Whiting, Daniel; Blackman, Graham; Krakowski, Kamil; Seyedsalehi, Aida; Osimo, Emanuele F.; Griff, Sian Lowri; Stahl, Daniel; Cipriani, Andrea; Fazel, Seena; Fusar-Poli, Paolo; McGuire, Philip</t>
  </si>
  <si>
    <t>Oliver, D (corresponding author), Univ Oxford, Dept Psychiat, Oxford, England.; Oliver, D (corresponding author), NIHR Oxford Hlth Biomed Res Ctr, Oxford, England.; Oliver, D (corresponding author), Oxford Hlth NHS Fdn Trust, OPEN Early Detect Serv, Oxford, England.; Oliver, D (corresponding author), Kings Coll London, Inst Psychiat Psychol &amp; Neurosci, Dept Psychosis Studies, Early Psychosis Intervent &amp; Clin Detect EP Lab, London, England.</t>
  </si>
  <si>
    <t>dominic.oliver@psych.ox.ac.uk</t>
  </si>
  <si>
    <t>Lundbeck; Angelini Pharma; Janssen</t>
  </si>
  <si>
    <t>Lundbeck (Lundbeck Corporation); Angelini Pharma; Janssen (Johnson &amp; Johnson, Johnson &amp; Johnson USA, Janssen Biotech Inc)</t>
  </si>
  <si>
    <t>MA is supported by the U.K. Medical Research Council (Grant No. MR/N013700/1) and King's College London member of the MRC Doctoral Training Partnership in Biomedical Sciences. AS is supported by a Department of Psychiatry Studentship (University of Oxford) , the Clarendon Fund, and the Robert Oxlade Scholarship (St John's College, Oxford) . DS and PF-P were partially funded by the National Institute for Health Research (NIHR) Maudsley Biomedical Research Centre at South London and Maudsley NHS Foundation Trust and King's College London. AC is sup-ported by the NIHR Oxford Cognitive Health Clinical Research Facility, by an NIHR Research Professorship (Grant No. RP-2017-08-ST2-006) , by the NIHR Oxford and Thames Valley Applied Research Collaboration, and by the NIHR Oxford Health Biomedical Research Centre (Grant No. NIHR203316) . The views expressed are those of the author (s) and not necessarily those of the NIHR or the Department of Health and Social Care. MA has been employed by F. Hoffmann-La Roche AG outside of the current work. AC has received research, educational, and consultancy fees from INCiPiT (Italian Network for Paediatric Trials) , Cariplo Foundation,Lundbeck, and Angelini Pharma; he is the principal investigator of one trial about seltorexant in adolescent depression, sponsored by Janssen. SF was part of the team that developed OxMIS. PF-P has received research fees from Lundbeck and received honoraria from Lundbeck, Angelini, Menarini, and Boehringer Ingelheim outside of the current work. All other authors report no biomedical financial interests or potential conflicts of interest.r Lundbeck, and Angelini Pharma; he is the principal investigator of one trial about seltorexant in adolescent depression, sponsored by Janssen. SF was part of the team that developed OxMIS. PF-P has received research fees from Lundbeck and received honoraria from Lundbeck, Angelini, Menarini, and Boehringer Ingelheim outside of the current work. All other authors report no biomedical financial interests or potential conflicts of interest.</t>
  </si>
  <si>
    <t>[Oliver, Dominic; Blackman, Graham; Seyedsalehi, Aida; Cipriani, Andrea; Fazel, Seena; McGuire, Philip] Univ Oxford, Dept Psychiat, Oxford, England; [Oliver, Dominic; Blackman, Graham; Cipriani, Andrea; Fazel, Seena; McGuire, Philip] NIHR Oxford Hlth Biomed Res Ctr, Oxford, England; [Oliver, Dominic; McGuire, Philip] Oxford Hlth NHS Fdn Trust, OPEN Early Detect Serv, Oxford, England; [Oliver, Dominic; Arribas, Maite; Krakowski, Kamil; Fusar-Poli, Paolo] Kings Coll London, Inst Psychiat Psychol &amp; Neurosci, Dept Psychosis Studies, Early Psychosis Intervent &amp; Clin Detect EP Lab, London, England; [Perry, Benjamin I.; Osimo, Emanuele F.] Univ Cambridge, Dept Psychiat, Cambridge, England; [Perry, Benjamin I.; Osimo, Emanuele F.] Cambridgeshire &amp; Peterborough NHS Fdn Trust, Cambridge, England; [Whiting, Daniel] Univ Nottingham, Inst Mental Hlth, Nottingham, England; [Krakowski, Kamil; Fusar-Poli, Paolo] Univ Pavia, Dept Brain &amp; Behav Sci, Pavia, Italy; [Osimo, Emanuele F.] Hammersmith Hosp Campus, Imperial Coll London Inst Clin Sci, London, England; [Osimo, Emanuele F.] Hammersmith Hosp Campus, UK Res &amp; Innovat MRC London Inst Med Sci, London, England; [Griff, Sian Lowri] Univ Birmingham, Inst Mental Hlth, Birmingham, England; [Griff, Sian Lowri] Univ Birmingham, Ctr Human Brain Hlth, Birmingham, England; [Stahl, Daniel] Inst Psychiat Psychol &amp; Neurosci, Dept Biostat &amp; Hlth Informat, London, England; [Cipriani, Andrea] Warneford Hosp, Oxford Hlth NHS Fdn Trust, Oxford, England; [Osimo, Emanuele F.; Fusar-Poli, Paolo] South London &amp; Maudsley Natl Hlth Serv Fdn Trust, London, England; [Fusar-Poli, Paolo] Ludwig Maximilian Univ Munich, Dept Psychiat &amp; Psychotherapy, Munich, Germany</t>
  </si>
  <si>
    <t>University of Oxford; Oxford Health NHS Foundation Trust; Oxford Health NHS Foundation Trust; University of London; King's College London; University of Cambridge; University of Nottingham; University of Pavia; University of Birmingham; University of Birmingham; Oxford Health NHS Foundation Trust; South London &amp; Maudsley NHS Trust; University of Munich</t>
  </si>
  <si>
    <t>Using Electronic Health Records to Facilitate Precision Psychiatry</t>
  </si>
  <si>
    <t>BIOLOGICAL PSYCHIATRY</t>
  </si>
  <si>
    <t>1ST EPISODE PSYCHOSIS; SEVERE MENTAL-ILLNESS; RISK CALCULATOR; TRANSDIAGNOSTIC PREDICTION; EXTERNAL VALIDATION; EARLY INTERVENTION; PROGNOSTIC MODELS; SUICIDE; PEOPLE; STATE</t>
  </si>
  <si>
    <t>Fusar-Poli, Paolo/D-8605-2011; Stahl, Daniel/B-9713-2011; Oliver, Dominic/I-8725-2019; Fazel, Seena/B-5307-2008; Osimo, Emanuele Felice/AAJ-6959-2020; McGuire, Philip/AFJ-9527-2022; Cipriani, Andrea/P-6944-2015</t>
  </si>
  <si>
    <t>Fusar-Poli, Paolo/0000-0003-3582-6788; Stahl, Daniel/0000-0001-7987-6619; Krakowski, Kamil/0009-0006-1414-0321; Perry, Benjamin I/0000-0002-1533-026X; Oliver, Dominic/0000-0002-8920-3407; Fazel, Seena/0000-0002-5383-5365; Osimo, Emanuele Felice/0000-0001-6239-5691; Whiting, Daniel/0000-0001-5323-364X; Blackman, Graham/0000-0001-7025-8670</t>
  </si>
  <si>
    <t>105</t>
  </si>
  <si>
    <t>22</t>
  </si>
  <si>
    <t>ELSEVIER SCIENCE INC</t>
  </si>
  <si>
    <t>NEW YORK</t>
  </si>
  <si>
    <t>STE 800, 230 PARK AVE, NEW YORK, NY 10169 USA</t>
  </si>
  <si>
    <t>0006-3223</t>
  </si>
  <si>
    <t>1873-2402</t>
  </si>
  <si>
    <t>BIOL PSYCHIAT</t>
  </si>
  <si>
    <t>Biol. Psychiatry</t>
  </si>
  <si>
    <t>OCT 1 2024</t>
  </si>
  <si>
    <t>96</t>
  </si>
  <si>
    <t>532</t>
  </si>
  <si>
    <t>542</t>
  </si>
  <si>
    <t>10.1016/j.biopsych.2024.02.1006</t>
  </si>
  <si>
    <t>http://dx.doi.org/10.1016/j.biopsych.2024.02.1006</t>
  </si>
  <si>
    <t>SEP 2024</t>
  </si>
  <si>
    <t>11</t>
  </si>
  <si>
    <t>Neurosciences; Psychiatry</t>
  </si>
  <si>
    <t>Neurosciences &amp; Neurology; Psychiatry</t>
  </si>
  <si>
    <t>F8W3D</t>
  </si>
  <si>
    <t>38408535</t>
  </si>
  <si>
    <t>WOS:001312547300001</t>
  </si>
  <si>
    <t>van Calster, B; van Smeden, M; van Amsterdam, W; Coemans, M; Wynants, L; Steyerberg, EW</t>
  </si>
  <si>
    <t>The current status of applied clinical prediction modeling is poor. Many models are developed with suboptimal methods and are not evaluated, and hence have little impact on clinical care. We review 12 challenges-provocatively labeled enemies-that jeopardize the creation of prediction models that make it to clinical practice to improve treatment decisions and clinical outcomes for individual patients. The challenges cover four areas: context, data, design and analysis, and scientific culture. We provide negative examples and recommendations for improvement, but also highlight positive examples and developments. Greater awareness of the complexities surrounding clinical prediction modeling is needed among researchers, funding agencies, health professionals as end users, and all of us as potential patients. To improve the utility of prediction models for healthcare and society, we need fewer but better models as well as more resources for model validation, impact assessment, and implementation.</t>
  </si>
  <si>
    <t>van Calster, Ben; van Smeden, Maarten; van Amsterdam, Wouter; Coemans, Maarten; Wynants, Laure; Steyerberg, Ewout W.</t>
  </si>
  <si>
    <t>van Calster, B (corresponding author), Katholieke Univ Leuven, Leuven Unit Hlth Technol Assessment Res LUHTAR, Leuven, Belgium.</t>
  </si>
  <si>
    <t>w.a.c.vanamsterdam-3@umcutrecht.nl; m.vansmeden@umcutrecht.nl; maarten.coemans@kuleuven.be; e.w.steyerberg@umcutrecht.nl; ben.vancalster@kuleuven.be; laure.wynants@maastrichtuniversity.nl</t>
  </si>
  <si>
    <t>Research Foundation - Flanders (FWO) [G097322N]; Internal Funds KU Leuven [C24M/20/064]; University Hospitals Leuven</t>
  </si>
  <si>
    <t>Research Foundation - Flanders (FWO) (FWO); Internal Funds KU Leuven; University Hospitals Leuven</t>
  </si>
  <si>
    <t>This work was made possible through funding from Research Foundation - Flanders (FWO) grant G097322N, Internal Funds KU Leuven grant C24M/20/064, and University Hospitals Leuven grant COPREDICT.</t>
  </si>
  <si>
    <t>[van Calster, Ben; Wynants, Laure] Katholieke Univ Leuven, Leuven Unit Hlth Technol Assessment Res LUHTAR, Leuven, Belgium; [van Calster, Ben; Wynants, Laure] Katholieke Univ Leuven, Dept Dev &amp; Regenerat, Leuven, Belgium; [van Smeden, Maarten; van Amsterdam, Wouter; Steyerberg, Ewout W.] Univ Med Ctr Utrecht, Julius Ctr Hlth Sci &amp; Primary Care, Utrecht, Netherlands; [Coemans, Maarten] Katholieke Univ Leuven, Dept Microbiol Immunol &amp; Transplantat, Leuven, Belgium; [Wynants, Laure] Maastricht Univ, CAPHRI Care &amp; Publ Hlth Res Inst, Dept Epidemiol, Maastricht, Netherlands</t>
  </si>
  <si>
    <t>KU Leuven; KU Leuven; Utrecht University; Utrecht University Medical Center; KU Leuven; Maastricht University</t>
  </si>
  <si>
    <t>The Enemies of Reliable and Useful Clinical Prediction Models: A Review of Statistical and Scientific Challenges</t>
  </si>
  <si>
    <t>ANNUAL REVIEW OF STATISTICS AND ITS APPLICATION</t>
  </si>
  <si>
    <t>clinical prediction models; methodology; model development; external validation; impact studies; model deployment</t>
  </si>
  <si>
    <t>DECISION-SUPPORT-SYSTEMS; LEARNING-METHODS; MISSING DATA; RISK MODELS; VALIDATION; BIAS; CARE; GENERALIZABILITY; IMPLEMENTATION; EXPLANATION</t>
  </si>
  <si>
    <t>Steyerberg, Ewout/C-1509-2018; Van Calster, Ben/F-9150-2010; van Amsterdam, Wouter/K-6699-2016; Coemans, Maarten/G-5544-2018; Wynants, Laure/AAA-2723-2020; van Smeden, Maarten/Y-7034-2019</t>
  </si>
  <si>
    <t>Wynants, Laure/0000-0002-3037-122X</t>
  </si>
  <si>
    <t>176</t>
  </si>
  <si>
    <t>6</t>
  </si>
  <si>
    <t>ANNUAL REVIEWS</t>
  </si>
  <si>
    <t>PALO ALTO</t>
  </si>
  <si>
    <t>4139 EL CAMINO WAY, PO BOX 10139, PALO ALTO, CA 94303-0139 USA</t>
  </si>
  <si>
    <t>2326-8298</t>
  </si>
  <si>
    <t>2326-831X</t>
  </si>
  <si>
    <t>ANNU REV STAT APPL</t>
  </si>
  <si>
    <t>Annu. Rev. Stat. Application</t>
  </si>
  <si>
    <t>MAR 9 2026</t>
  </si>
  <si>
    <t>13</t>
  </si>
  <si>
    <t>465</t>
  </si>
  <si>
    <t>492</t>
  </si>
  <si>
    <t>10.1146/annurev-statistics-042324-123749</t>
  </si>
  <si>
    <t>http://dx.doi.org/10.1146/annurev-statistics-042324-123749</t>
  </si>
  <si>
    <t>28</t>
  </si>
  <si>
    <t>Mathematics, Interdisciplinary Applications; Statistics &amp; Probability</t>
  </si>
  <si>
    <t>Mathematics</t>
  </si>
  <si>
    <t>EU4XA</t>
  </si>
  <si>
    <t>WOS:001710034200002</t>
  </si>
  <si>
    <t>hybrid; Green Published; Green Accepted</t>
  </si>
  <si>
    <t>Gillett, G; Tomlinson, A; Efthimiou, O; Cipriani, A</t>
  </si>
  <si>
    <t>There is increasing interest in clinical prediction models in psychiatry, which focus on developing multivariate algorithms to guide personalized diagnostic or management decisions. The main target of these models is the prediction of treatment response to different antidepressant therapies. This is because the ability to predict response based on patients' personal data may allow clinicians to make improved treatment decisions, and to provide more efficacious or more tolerable medications to the right patient. We searched the literature for systematic reviews about treatment prediction in the context of existing treatment modalities for adult unipolar depression, until July 2019. Treatment effect is defined broadly to include efficacy, safety, tolerability and acceptability outcomes. We first focused on the identification of individual predictor variables that might predict treatment response, and second, we considered multivariate clinical prediction models. Our meta-review included a total of 10 systematic reviews; seven (from 2014 to 2018) focusing on individual predictor variables and three focusing on clinical prediction models. These identified a number of sociodemographic, phenomenological, clinical, neuroimaging, remote monitoring, genetic and serum marker variables as possible predictor variables for treatment response, alongside statistical and machine-learning approaches to clinical prediction model development. Effect sizes for individual predictor variables were generally small and clinical prediction models had generally not been validated in external populations. There is a need for rigorous model validation in large external data-sets to prove the clinical utility of models. We also discuss potential future avenues in the field of personalized psychiatry, particularly the combination of multiple sources of data and the emerging field of artificial intelligence and digital mental health to identify new individual predictor variables. (C) 2020 Elsevier Inc. All rights reserved.</t>
  </si>
  <si>
    <t>Gillett, George; Tomlinson, Anneka; Efthimiou, Orestis; Cipriani, Andrea</t>
  </si>
  <si>
    <t>Tomlinson, A (corresponding author), Univ Oxford, Warneford Hosp, Dept Psychiat, Oxford OX3 7JX, England.</t>
  </si>
  <si>
    <t>anneka.tomlinson@psych.ox.ac.uk</t>
  </si>
  <si>
    <t>National Institute for Health Research (NIHR) Oxford Health Biomedical Research Centre [BRC-121520005]</t>
  </si>
  <si>
    <t>National Institute for Health Research (NIHR) Oxford Health Biomedical Research Centre (National Institutes of Health Research (NIHR))</t>
  </si>
  <si>
    <t>The study was funded by the National Institute for Health Research (NIHR) Oxford Health Biomedical Research Centre (grant BRC-121520005). The views expressed are those of the authors and not necessarily those of the UK National Health Service, the NIHR, or the UK Department of Health.</t>
  </si>
  <si>
    <t>[Gillett, George] Univ Oxford, Clin Acad Grad Sch, John Radcliffe Hosp, Oxford OX3 9DU, England; [Gillett, George; Tomlinson, Anneka; Cipriani, Andrea] Univ Oxford, Dept Psychiat, Oxford OX3 7JX, England; [Efthimiou, Orestis] Univ Bern, Inst Social &amp; Prevent Med, Bern, Switzerland; [Tomlinson, Anneka; Cipriani, Andrea] Oxford Hlth NHS Fdn Trust, Warneford Hosp, Oxford OX3 7JX, England</t>
  </si>
  <si>
    <t>University of Oxford; University of Oxford; University of Bern; Oxford Health NHS Foundation Trust</t>
  </si>
  <si>
    <t>Predicting treatment effects in unipolar depression: A meta-review</t>
  </si>
  <si>
    <t>PHARMACOLOGY &amp; THERAPEUTICS</t>
  </si>
  <si>
    <t>Antidepressant drugs; Prediction; Unipolar depression; Treatment response; Clinical prediction model; Precision psychiatry; Personalized medicine</t>
  </si>
  <si>
    <t>TRANSCRANIAL MAGNETIC STIMULATION; COGNITIVE-BEHAVIOR THERAPY; ANTIDEPRESSANT TREATMENT; ADULT DEPRESSION; MAJOR DEPRESSION; ELECTROCONVULSIVE-THERAPY; DOUBLE-BLIND; ATYPICAL DEPRESSION; METAANALYSIS; PSYCHOTHERAPY</t>
  </si>
  <si>
    <t>Gillett, George/HKV-1635-2023; Efthimiou, Orestis/AFM-8181-2022; Cipriani, Andrea/P-6944-2015</t>
  </si>
  <si>
    <t>Gillett, George/0000-0002-0270-9369; Efthimiou, Orestis/0000-0002-0955-7572; Tomlinson, Anneka/0000-0002-4721-2006; Cipriani, Andrea/0000-0001-5179-8321</t>
  </si>
  <si>
    <t>103</t>
  </si>
  <si>
    <t>26</t>
  </si>
  <si>
    <t>34</t>
  </si>
  <si>
    <t>PERGAMON-ELSEVIER SCIENCE LTD</t>
  </si>
  <si>
    <t>THE BOULEVARD, LANGFORD LANE, KIDLINGTON, OXFORD OX5 1GB, ENGLAND</t>
  </si>
  <si>
    <t>0163-7258</t>
  </si>
  <si>
    <t>1879-016X</t>
  </si>
  <si>
    <t>PHARMACOL THERAPEUT</t>
  </si>
  <si>
    <t>Pharmacol. Ther.</t>
  </si>
  <si>
    <t>AUG 2020</t>
  </si>
  <si>
    <t>2020</t>
  </si>
  <si>
    <t>212</t>
  </si>
  <si>
    <t>107557</t>
  </si>
  <si>
    <t>10.1016/j.pharmthera.2020.107557</t>
  </si>
  <si>
    <t>http://dx.doi.org/10.1016/j.pharmthera.2020.107557</t>
  </si>
  <si>
    <t>20</t>
  </si>
  <si>
    <t>Pharmacology &amp; Pharmacy</t>
  </si>
  <si>
    <t>LZ2SZ</t>
  </si>
  <si>
    <t>32437828</t>
  </si>
  <si>
    <t>WOS:000541079600004</t>
  </si>
  <si>
    <t>45</t>
  </si>
  <si>
    <t>Han, K; Song, K; Choi, BW</t>
  </si>
  <si>
    <t>Clinical prediction models are developed to calculate estimates of the probability of the presence/occurrence or future course of a particular prognostic or diagnostic outcome from multiple clinical or non-clinical parameters. Radiologic imaging techniques are being developed for accurate detection and early diagnosis of disease, which will eventually affect patient outcomes. Hence, results obtained by radiological means, especially diagnostic imaging, are frequently incorporated into a clinical prediction model as important predictive parameters, and the performance of the prediction model may improve in both diagnostic and prognostic settings. This article explains in a conceptual manner the overall process of developing and validating a clinical prediction model involving radiological parameters in relation to the study design and statistical methods. Collection of a raw dataset; selection of an appropriate statistical model; predictor selection; evaluation of model performance using a calibration plot, Hosmer-Lemeshow test and c-index; internal and external validation; comparison of different models using c-index, net reclassification improvement, and integrated discrimination improvement; and a method to create an easy-to-use prediction score system will be addressed. This article may serve as a practical methodological reference for clinical researchers.</t>
  </si>
  <si>
    <t>Han, Kyunghwa; Song, Kijun; Choi, Byoung Wook</t>
  </si>
  <si>
    <t>Song, K (corresponding author), Yonsei Univ, Coll Med, Dept Biostat &amp; Med Informat, 50-1 Yonsei Ro, Seoul 03722, South Korea.</t>
  </si>
  <si>
    <t>biostat@yuhs.ac</t>
  </si>
  <si>
    <t>[Han, Kyunghwa; Choi, Byoung Wook] Yonsei Univ, Coll Med, Severance Hosp, Dept Radiol, Seoul 03722, South Korea; [Han, Kyunghwa; Choi, Byoung Wook] Yonsei Univ, Coll Med, Severance Hosp, Res Inst Radiol Sci, Seoul 03722, South Korea; [Song, Kijun] Yonsei Univ, Coll Med, Dept Biostat &amp; Med Informat, 50-1 Yonsei Ro, Seoul 03722, South Korea</t>
  </si>
  <si>
    <t>Yonsei University; Severance Hospital; Yonsei University Health System; Yonsei University; Severance Hospital; Yonsei University Health System; Yonsei University; Yonsei University Health System</t>
  </si>
  <si>
    <t>How to Develop, Validate, and Compare Clinical Prediction Models Involving Radiological Parameters: Study Design and Statistical Methods</t>
  </si>
  <si>
    <t>KOREAN JOURNAL OF RADIOLOGY</t>
  </si>
  <si>
    <t>Prediction model; Prognosis; Diagnosis; Patient outcome</t>
  </si>
  <si>
    <t>EXTERNAL VALIDATION; INTEGRATED DISCRIMINATION; INDIVIDUAL PROGNOSIS; INCREMENTAL VALUE; DIAGNOSIS TRIPOD; RISK SCORE; ROC CURVE; REGRESSION; EVENTS; PERFORMANCE</t>
  </si>
  <si>
    <t>Song, Ki Jun/0000-0003-2505-4112; Choi, Byoung Wook/0000-0002-8873-5444; Han, Kyunghwa/0000-0002-5687-7237</t>
  </si>
  <si>
    <t>58</t>
  </si>
  <si>
    <t>139</t>
  </si>
  <si>
    <t>152</t>
  </si>
  <si>
    <t>KOREAN SOCIETY OF RADIOLOGY</t>
  </si>
  <si>
    <t>SEOUL</t>
  </si>
  <si>
    <t>71, YANGJAECHEON-RO, SEOCHO-GU, SEOUL, SOUTH KOREA</t>
  </si>
  <si>
    <t>1229-6929</t>
  </si>
  <si>
    <t>2005-8330</t>
  </si>
  <si>
    <t>KOREAN J RADIOL</t>
  </si>
  <si>
    <t>Korean J. Radiol.</t>
  </si>
  <si>
    <t>MAY-JUN 2016</t>
  </si>
  <si>
    <t>2016</t>
  </si>
  <si>
    <t>3</t>
  </si>
  <si>
    <t>339</t>
  </si>
  <si>
    <t>350</t>
  </si>
  <si>
    <t>10.3348/kjr.2016.17.3.339</t>
  </si>
  <si>
    <t>http://dx.doi.org/10.3348/kjr.2016.17.3.339</t>
  </si>
  <si>
    <t>12</t>
  </si>
  <si>
    <t>Radiology, Nuclear Medicine &amp; Medical Imaging</t>
  </si>
  <si>
    <t>DL8JZ</t>
  </si>
  <si>
    <t>27134523</t>
  </si>
  <si>
    <t>WOS:000375889600004</t>
  </si>
  <si>
    <t>Shao, YB; Yang, XY; Shi, Q; Xu, ZH; Liang, QQ</t>
  </si>
  <si>
    <t>Osteoporosis (OP) is a prevalent and serious comorbidity in rheumatoid arthritis (RA), significantly increasing the fracture burden. Although early detection is crucial, OP screening in RA is often delayed, representing an unmet clinical need. Clinical prediction models (CPMs) offer a solution for early risk stratification, yet a synthesis that integrates RA-OP risk factors and evaluates existing CPMs is lacking. This review addresses this gap by delineating the multidimensional risk network for RA-OP and evaluating the development, performance, and applicability of current CPMs. We find that despite evolution from basic to sophisticated biomarker-integrated algorithms, most CPMs are constrained by modest sample sizes, insufficient external validation, and suboptimal clinical translatability. The current paradigm focuses predominantly on diagnosis rather than prognosis. To address these limitations, future research should aim to enhance the methodological rigor and generalizability of models, expand their predictive scope to encompass future risk of OP and fractures, and develop RA-specific fracture prediction tools that incorporate disease-specific pathophysiology, with performance rigorously benchmarked against established tools such as the fracture risk assessment tool (FRAX). Progress along these lines may help shift the management paradigm toward more proactive and personalized prevention, with the potential to improve long-term skeletal health outcomes in RA.</t>
  </si>
  <si>
    <t>Shao, Yubo; Yang, XiaoYu; Shi, Qi; Xu, Zihang; Liang, Qianqian</t>
  </si>
  <si>
    <t>Liang, QQ (corresponding author), Shanghai Univ Tradit Chinese Med, Longhua Hosp, Shanghai 200032, Peoples R China.; Xu, ZH (corresponding author), Shanghai Univ Tradit Chinese Med, Sch Tradit Chinese Med, Shanghai 201203, Peoples R China.; Xu, ZH (corresponding author), Shanghai Univ Tradit Chinese Med, Sch Tradit Chinese Med, Shanghai Key Lab Hlth Identificat &amp; Assessment, Shanghai 201203, Peoples R China.</t>
  </si>
  <si>
    <t>xuzihang6207@shutcm.edu.cn; liangqianqian@shutcm.edu.cn</t>
  </si>
  <si>
    <t>Science and Technology Commission of Shanghai Municipality [25Y12800800]; National Natural Science Foundation of China [82474534]</t>
  </si>
  <si>
    <t>Science and Technology Commission of Shanghai Municipality (Science &amp; Technology Commission of Shanghai Municipality (STCSM)); National Natural Science Foundation of China (National Natural Science Foundation of China (NSFC))</t>
  </si>
  <si>
    <t>This study was supported by the National Natural Science Foundation of China (Grant No. 82474534), Key projects of the Shanghai Municipal Science and Technology Commission (Grant Nos. 25Y12800800 and 25Y12800801), and Shanghai's Dongfang Yingcai Program Leading Project.</t>
  </si>
  <si>
    <t>[Shao, Yubo; Shi, Qi; Liang, Qianqian] Shanghai Univ Tradit Chinese Med, Longhua Hosp, Shanghai 200032, Peoples R China; [Yang, XiaoYu] Shanghai Univ Tradit Chinese Med, Shanghai Municipal Hosp Tradit Chinese Med, Shanghai 200071, Peoples R China; [Xu, Zihang] Shanghai Univ Tradit Chinese Med, Sch Tradit Chinese Med, Shanghai 201203, Peoples R China; [Xu, Zihang] Shanghai Univ Tradit Chinese Med, Sch Tradit Chinese Med, Shanghai Key Lab Hlth Identificat &amp; Assessment, Shanghai 201203, Peoples R China</t>
  </si>
  <si>
    <t>Shanghai University of Traditional Chinese Medicine; Shanghai University of Traditional Chinese Medicine; Shanghai University of Traditional Chinese Medicine; Shanghai University of Traditional Chinese Medicine</t>
  </si>
  <si>
    <t>Osteoporosis in rheumatoid arthritis: a new perspective on risk factors and clinical prediction models</t>
  </si>
  <si>
    <t>OSTEOPOROSIS INTERNATIONAL</t>
  </si>
  <si>
    <t>Review; Early Access</t>
  </si>
  <si>
    <t>Biomarkers; Clinical prediction models; Osteoporosis; Pathogenesis; Rheumatoid arthritis; Risk factors</t>
  </si>
  <si>
    <t>WOMEN</t>
  </si>
  <si>
    <t>Shao, Yubo/MYV-5974-2025; Liang, Qianqian/AFO-7779-2022</t>
  </si>
  <si>
    <t>Shao, Yubo/0009-0003-4632-5759</t>
  </si>
  <si>
    <t>81</t>
  </si>
  <si>
    <t>SPRINGER LONDON LTD</t>
  </si>
  <si>
    <t>236 GRAYS INN RD, 6TH FLOOR, LONDON WC1X 8HL, ENGLAND</t>
  </si>
  <si>
    <t>0937-941X</t>
  </si>
  <si>
    <t>1433-2965</t>
  </si>
  <si>
    <t>OSTEOPOROSIS INT</t>
  </si>
  <si>
    <t>Osteoporosis Int.</t>
  </si>
  <si>
    <t>10.1007/s00198-026-08059-6</t>
  </si>
  <si>
    <t>http://dx.doi.org/10.1007/s00198-026-08059-6</t>
  </si>
  <si>
    <t>APR 2026</t>
  </si>
  <si>
    <t>Endocrinology &amp; Metabolism</t>
  </si>
  <si>
    <t>HE0TD</t>
  </si>
  <si>
    <t>42049891</t>
  </si>
  <si>
    <t>WOS:001751842500001</t>
  </si>
  <si>
    <t>hybrid</t>
  </si>
  <si>
    <t>Martin, GP; Riley, RD; Ensor, J; Grant, SW</t>
  </si>
  <si>
    <t>Clinical prediction models are statistical models or machine learning algorithms that combine information on a set of predictor variables about an individual to estimate their risk of a given clinical outcome. It is crucial to ensure that the sample size of the data used to develop or validate a clinical prediction model is large enough. If the data are inadequate, developed models can be unstable and estimates of predictive performance imprecise. This can lead to models that are unfit or even harmful for clinical practice. Recently, there have been a series of sample size formulae developed to estimate the minimum required sample size for prediction model development or external validation. The aim of this statistical primer is to provide an overview of these criteria, describe what information is required to make the calculations and illustrate their implementation through worked examples. The software that is available to implement the sample size criteria is reviewed, and code is provided for all the worked examples.Clinical prediction models (CPMs) are statistical models or machine learning algorithms that combine information on a set of predictor variables about an individual to estimate their risk or expected value of a given clinical outcome [1, 2].</t>
  </si>
  <si>
    <t>Martin, Glen P.; Riley, Richard D.; Ensor, Joie; Grant, Stuart W.</t>
  </si>
  <si>
    <t>Grant, SW (corresponding author), James Cook Univ Hosp, South Tees Hosp NHS Fdn Trust, Acad Cardiovasc Unit, Marton Rd, Middlesbrough TS4 3BW, England.</t>
  </si>
  <si>
    <t>stuart.grant@manchester.ac.uk</t>
  </si>
  <si>
    <t>MRC-NIHR Methodology Research Programme [MR/T025085/1]; EPSRC [EP/Y018516/1]; NIHR Birmingham Biomedical Research Centre at the University Hospitals Birmingham NHS Foundation Trust; University of Birmingham</t>
  </si>
  <si>
    <t>MRC-NIHR Methodology Research Programme; EPSRC (UK Research &amp; Innovation (UKRI), Engineering &amp; Physical Sciences Research Council (EPSRC)); NIHR Birmingham Biomedical Research Centre at the University Hospitals Birmingham NHS Foundation Trust; University of Birmingham (University of Birmingham)</t>
  </si>
  <si>
    <t>Glen P. Martin and Richard D. Riley are partially supported by funding from the MRC-NIHR Methodology Research Programme [grant number: MR/T025085/1]. Richard D. Riley and Joie Ensor are supported by an EPSRC grant (number: EP/Y018516/1) and the NIHR Birmingham Biomedical Research Centre at the University Hospitals Birmingham NHS Foundation Trust and the University of Birmingham. The views expressed are those of the author(s) and not necessarily those of the NHS, the NIHR or the Department of Health and Social Care.</t>
  </si>
  <si>
    <t>[Martin, Glen P.] Univ Manchester, Fac Biol Med &amp; Hlth, Div Informat Imaging &amp; Data Sci, Manchester, England; [Riley, Richard D.; Ensor, Joie] Univ Birmingham, Inst Appl Hlth Res, Coll Med &amp; Dent Sci, Birmingham, England; [Riley, Richard D.; Ensor, Joie] Natl Inst Hlth &amp; Care Res NIHR, Birmingham Biomed Res Ctr, Birmingham, England; [Grant, Stuart W.] James Cook Univ Hosp, South Tees Hosp NHS Fdn Trust, Acad Cardiovasc Unit, Marton Rd, Middlesbrough TS4 3BW, England; [Grant, Stuart W.] Univ Manchester, Div Cardiovasc Sci, Manchester, England</t>
  </si>
  <si>
    <t>University of Manchester; University of Birmingham; James Cook University Hospital; University of Manchester</t>
  </si>
  <si>
    <t>Statistical primer: sample size considerations for developing and validating clinical prediction models</t>
  </si>
  <si>
    <t>EUROPEAN JOURNAL OF CARDIO-THORACIC SURGERY</t>
  </si>
  <si>
    <t>Risk prediction; Sample size; Development; Validation; Overfitting; Evaluation</t>
  </si>
  <si>
    <t>EXTERNAL VALIDATION; REGRESSION-ANALYSIS; RISK MODELS; EVENTS; APPLICABILITY; EXPLANATION; SIMULATION; PROGNOSIS; PROBAST; BIAS</t>
  </si>
  <si>
    <t>Riley, Richard/G-2406-2011; Ensor, Joie/AAE-9109-2019; Martin, Glen Philip/I-7824-2019</t>
  </si>
  <si>
    <t>Ensor, Joie/0000-0001-7481-0282; Grant, Stuart/0000-0003-3468-591X; Martin, Glen Philip/0000-0002-3410-9472</t>
  </si>
  <si>
    <t>49</t>
  </si>
  <si>
    <t>16</t>
  </si>
  <si>
    <t>OXFORD UNIV PRESS INC</t>
  </si>
  <si>
    <t>CARY</t>
  </si>
  <si>
    <t>JOURNALS DEPT, 2001 EVANS RD, CARY, NC 27513 USA</t>
  </si>
  <si>
    <t>1010-7940</t>
  </si>
  <si>
    <t>1873-734X</t>
  </si>
  <si>
    <t>EUR J CARDIO-THORAC</t>
  </si>
  <si>
    <t>Eur. J. Cardio-Thorac. Surg.</t>
  </si>
  <si>
    <t>67</t>
  </si>
  <si>
    <t>ezaf142</t>
  </si>
  <si>
    <t>10.1093/ejcts/ezaf142</t>
  </si>
  <si>
    <t>http://dx.doi.org/10.1093/ejcts/ezaf142</t>
  </si>
  <si>
    <t>Cardiac &amp; Cardiovascular Systems; Respiratory System; Surgery</t>
  </si>
  <si>
    <t>Cardiovascular System &amp; Cardiology; Respiratory System; Surgery</t>
  </si>
  <si>
    <t>3AC9N</t>
  </si>
  <si>
    <t>40279277</t>
  </si>
  <si>
    <t>WOS:001495450500001</t>
  </si>
  <si>
    <t>Costa, R; de Sousa, B; Kneib, T; Martins, R; Mayr, A</t>
  </si>
  <si>
    <t>Clinical prediction models play a crucial role in advancing personalized care for mental health disorders, providing essential insights for diagnosis, prognosis and intervention planning. This work examines the current methodological approaches used to develop such models, emphasizing their application to mental health problems, including depression. To illustrate these concepts, we used data on prenatal depression from a multinational observational study of 5,372 pregnant women. The goal is to develop an individual prognostic model for depressive symptoms that can be used already at the beginning of pregnancy. Our analysis explores variable selection strategies, validation methodologies and the integration of clinical expertise with data-driven approaches. Particular attention is given to addressing challenges such as population heterogeneity, overfitting and the importance of external validation for generalizability across diverse settings. We distinguish between statistical regression models and machine learning techniques, discussing their respective strengths and limitations in terms of interpretability, predictive accuracy and clinical usability. This work offers practical guidance for researchers and clinicians, focusing on the critical steps for model development and implementation. We highlight best practices to avoid common pitfalls, advocate for interdisciplinary collaboration and address challenges of integrating advanced statistical and machine learning tools into clinical practice. By providing practical guidance and addressing these issues, our aim is to support the development of robust and clinically relevant prediction models.</t>
  </si>
  <si>
    <t>Costa, Raquel; de Sousa, Bruno; Kneib, Thomas; Martins, Rui; Mayr, Andreas</t>
  </si>
  <si>
    <t>Mayr, A (corresponding author), Marburg Univ, Inst Med Biometry &amp; Stat, Marburg, Germany.</t>
  </si>
  <si>
    <t>andreas.mayr@uni-marburg.de</t>
  </si>
  <si>
    <t>European Social Fund [2023.06934.CEECIND]; Faculdade de Cincias e Tecnologia, Universidade Nova de Lisboa [UID/PPR/05380/2025; UID/PRR2/05380/2025; UID/05380/2025]</t>
  </si>
  <si>
    <t>European Social Fund (European Social Fund (ESF)); Faculdade de Cincias e Tecnologia, Universidade Nova de Lisboa</t>
  </si>
  <si>
    <t>This publication is based upon work from COST Action Research Innovation and Sustainable Pan-European Network in Peripartum Depression Disorder (Riseup-PPD), CA18138, as well as the COST Action TREASURE (Maternal Perinatal Stress and Adverse Outcomes in the Offspring: Maximising infants' development), CA22114, supported by COST (European Cooperation in Science and Technology).</t>
  </si>
  <si>
    <t>[Costa, Raquel] Lusofona Univ, HEI LAB Digital Human Environm Interact Labs, Campo Grande 376, P-1749024 Lisbon, Portugal; [de Sousa, Bruno] Univ Coimbra, Fac Psychol &amp; Educ Sci, CINEICC, Coimbra, Portugal; [Kneib, Thomas] Georg August Univ Gottingen, Campus Inst Data Sci, Fac Business &amp; Econ Sci, Chair Stat, Gottingen, Germany; [Martins, Rui] Univ Coimbra, Dept Math, Coimbra, Portugal; [Mayr, Andreas] Marburg Univ, Inst Med Biometry &amp; Stat, Marburg, Germany</t>
  </si>
  <si>
    <t>Lusofona University; Universidade de Coimbra; University of Gottingen; Universidade de Coimbra</t>
  </si>
  <si>
    <t>Methodological guidance on clinical prediction models in mental health research</t>
  </si>
  <si>
    <t>PSYCHOLOGICAL MEDICINE</t>
  </si>
  <si>
    <t>depression; mental health; clinical prediction models; prognostic models; personalized carer; diagnosis; prognosis; external validation; data-driven approaches; predictive accuracy; machine learning; AI-driven decision</t>
  </si>
  <si>
    <t>POSTNATAL DEPRESSION SCALE; BOOSTING ALGORITHMS; VALIDATION; REGRESSION; DIAGNOSIS; IMPACT</t>
  </si>
  <si>
    <t>Mayr, Andreas/IQR-8777-2023; Costa, Raquel/LEN-1129-2024; Martins, Rui/K-4635-2013</t>
  </si>
  <si>
    <t>114</t>
  </si>
  <si>
    <t>CAMBRIDGE UNIV PRESS</t>
  </si>
  <si>
    <t>CAMBRIDGE</t>
  </si>
  <si>
    <t>EDINBURGH BLDG, SHAFTESBURY RD, CB2 8RU CAMBRIDGE, ENGLAND</t>
  </si>
  <si>
    <t>0033-2917</t>
  </si>
  <si>
    <t>1469-8978</t>
  </si>
  <si>
    <t>PSYCHOL MED</t>
  </si>
  <si>
    <t>Psychol. Med.</t>
  </si>
  <si>
    <t>JUN 9 2026</t>
  </si>
  <si>
    <t>56</t>
  </si>
  <si>
    <t>e190</t>
  </si>
  <si>
    <t>10.1017/S003329172610378X</t>
  </si>
  <si>
    <t>http://dx.doi.org/10.1017/S003329172610378X</t>
  </si>
  <si>
    <t>JUN 2026</t>
  </si>
  <si>
    <t>Psychology, Clinical; Psychiatry; Psychology</t>
  </si>
  <si>
    <t>Psychology; Psychiatry</t>
  </si>
  <si>
    <t>JE2CN</t>
  </si>
  <si>
    <t>42261225</t>
  </si>
  <si>
    <t>WOS:001787215500001</t>
  </si>
  <si>
    <t>Ardila, CM; Pineda-Vélez, E; Vivares-Builes, AM</t>
  </si>
  <si>
    <t>Peri-implantitis is a chronic inflammatory condition driven by dysregulated host immune responses, yet clinical risk assessment continues to rely on routinely collected clinical indicators. Clinical prediction models, including machine learning-based and conventional approaches, have been proposed to integrate these indicators for peri-implantitis risk stratification, but their conceptualization of immunopathological risk has not been systematically examined. This systematic review and functional meta-synthesis were conducted according to PRISMA 2020. Six eligible studies were included, comprising 1316 patients and 2438 dental implants. Four studies employed machine learning-based models, and two used conventional clinical prediction approaches. A functional meta-synthesis was performed to interpret how models integrate clinical predictors as surrogate manifestations of immune dysregulation. Additionally, an exploratory random-effects meta-analysis of area under the receiver operating characteristic curve (AUC) values was conducted where applicable. Discriminative performance ranged from moderate to high across studies, with overlapping AUC estimates between modeling paradigms. Despite methodological differences, both machine learning and conventional models converged on shared immunopathological constructs related to inflammatory burden, prior periodontal disease, plaque-related factors, and host systemic conditions. These findings support the clinical utility of immunopathologically informed prediction models for peri-implantitis and highlight the need for future studies incorporating external validation.</t>
  </si>
  <si>
    <t>Ardila, Carlos M.; Pineda-Velez, Eliana; Vivares-Builes, Anny M.</t>
  </si>
  <si>
    <t>Ardila, CM (corresponding author), Saveetha Univ, Saveetha Dent Coll &amp; Hosp, Saveetha Inst Med &amp; Tech Sci, Dept Periodont, Chennai 600077, India.; Ardila, CM (corresponding author), Univ Antioquia UA, Fac Dent, Basic Sci Dept, Biomed Stomatol Res Grp, Medellin 050010, Colombia.</t>
  </si>
  <si>
    <t>martin.ardila@udea.edu.co; eliana.pineda@uam.edu.co; anny.vivares@uam.edu.co</t>
  </si>
  <si>
    <t>[Ardila, Carlos M.] Saveetha Univ, Saveetha Dent Coll &amp; Hosp, Saveetha Inst Med &amp; Tech Sci, Dept Periodont, Chennai 600077, India; [Ardila, Carlos M.; Pineda-Velez, Eliana; Vivares-Builes, Anny M.] Univ Antioquia UA, Fac Dent, Basic Sci Dept, Biomed Stomatol Res Grp, Medellin 050010, Colombia; [Pineda-Velez, Eliana; Vivares-Builes, Anny M.] Inst Univ Vis Amer, Fac Dent, Medellin 050040, Colombia</t>
  </si>
  <si>
    <t>Saveetha Institute of Medical &amp; Technical Science; Saveetha Dental College &amp; Hospital; Universidad de Antioquia</t>
  </si>
  <si>
    <t>Clinical Prediction Models for Peri-Implantitis Through an Immunopathological Lens: A Systematic Review and Functional Meta-Synthesis of Machine Learning and Conventional Approaches</t>
  </si>
  <si>
    <t>IMMUNO</t>
  </si>
  <si>
    <t>peri-implantitis; clinical prediction models; machine learning; artificial intelligence; immunopathology; inflammation; risk assessment</t>
  </si>
  <si>
    <t>ARTIFICIAL-INTELLIGENCE; DIAGNOSIS; RISK</t>
  </si>
  <si>
    <t>Ardila, Carlos/AAH-2083-2019</t>
  </si>
  <si>
    <t>30</t>
  </si>
  <si>
    <t>MDPI</t>
  </si>
  <si>
    <t>BASEL</t>
  </si>
  <si>
    <t>MDPI AG, Grosspeteranlage 5, CH-4052 BASEL, SWITZERLAND</t>
  </si>
  <si>
    <t>2673-5601</t>
  </si>
  <si>
    <t>IMMUNO-BASEL</t>
  </si>
  <si>
    <t>Immuno</t>
  </si>
  <si>
    <t>MAR 16 2026</t>
  </si>
  <si>
    <t>10.3390/immuno6010019</t>
  </si>
  <si>
    <t>http://dx.doi.org/10.3390/immuno6010019</t>
  </si>
  <si>
    <t>Immunology</t>
  </si>
  <si>
    <t>FR3HE</t>
  </si>
  <si>
    <t>WOS:001725547700001</t>
  </si>
  <si>
    <t>Burghoorn, DG; Booij, SH; Schoevers, RA; Riese, H</t>
  </si>
  <si>
    <t>Background Suboptimal treatment outcomes contribute to the high disease burden of mood, anxiety or psychotic disorders. Clinical prediction models could optimise treatment allocation, which may result in better outcomes. Whereas ample research on prediction models is performed, model performance in other clinical contexts (i.e. external validation) is rarely examined. This gap hampers generalisability and as such implementation in clinical practice.Aims Systematically appraise studies on externally validated clinical prediction models for estimated treatment outcomes for mood, anxiety and psychotic disorders by (1) reviewing methodological quality and applicability of studies and (2) investigating how model properties relate to differences in model performance.Method The review and meta-analysis protocol was prospectively registered with PROSPERO (registration number CRD42022307987). A search was conducted on 8 November 2021 in the databases PubMED, PsycINFO and EMBASE. Random-effects meta-analysis and meta-regression were conducted to examine between-study heterogeneity in discriminative performance and its relevant influencing factors.Results Twenty-eight studies were included. The majority of studies (n = 16) validated models for mood disorders. Clinical predictors (e.g. symptom severity) were most frequently included (n = 25). Low methodological and applicability concerns were found for two studies. The overall discrimination performance of the meta-analysis was fair with wide prediction intervals (0.72 [0.46; 0.89]). The between-study heterogeneity was not explained by number or type of predictors but by disorder diagnosis.Conclusions Few models seem ready for further implementation in clinical practice to aid treatment allocation. Besides the need for more external validation studies, we recommend close examination of the clinical setting before model implementation.</t>
  </si>
  <si>
    <t>Burghoorn, Desi G.; Booij, Sanne H.; Schoevers, Robert A.; Riese, Harriette</t>
  </si>
  <si>
    <t>Burghoorn, DG (corresponding author), Univ Groningen, Univ Med Ctr Groningen, Interdisciplinary Ctr Psychopathol &amp; Emot Regulat, Dept Psychiat, Groningen, Netherlands.</t>
  </si>
  <si>
    <t>d.g.burghoorn@umcg.nl</t>
  </si>
  <si>
    <t>[Burghoorn, Desi G.; Booij, Sanne H.; Schoevers, Robert A.; Riese, Harriette] Univ Groningen, Univ Med Ctr Groningen, Interdisciplinary Ctr Psychopathol &amp; Emot Regulat, Dept Psychiat, Groningen, Netherlands</t>
  </si>
  <si>
    <t>University of Groningen</t>
  </si>
  <si>
    <t>Externally validated clinical prediction models for estimating treatment outcomes for patients with a mood, anxiety or psychotic disorder: systematic review and meta-analysis</t>
  </si>
  <si>
    <t>BJPSYCH OPEN</t>
  </si>
  <si>
    <t>Anxiety or fear-related disorders; depressive disorders; psychotic disorders/schizophrenia; systematic review; meta-analysis</t>
  </si>
  <si>
    <t>RISK CALCULATOR; DEPRESSION; ALGORITHM; TOOL</t>
  </si>
  <si>
    <t>Riese, Harriëtte/E-7234-2012; Booij, Sanne/MCI-6714-2025</t>
  </si>
  <si>
    <t>Riese, Harriëtte/0000-0003-3661-3151; Schoevers, Robert A/0000-0003-0760-9866; Booij, Sanne/0000-0002-0611-4784; B, Desi/0000-0003-1524-4123</t>
  </si>
  <si>
    <t>60</t>
  </si>
  <si>
    <t>2056-4724</t>
  </si>
  <si>
    <t>BJPsych Open</t>
  </si>
  <si>
    <t>DEC 5 2024</t>
  </si>
  <si>
    <t>10</t>
  </si>
  <si>
    <t>e221</t>
  </si>
  <si>
    <t>10.1192/bjo.2024.789</t>
  </si>
  <si>
    <t>http://dx.doi.org/10.1192/bjo.2024.789</t>
  </si>
  <si>
    <t>Psychiatry</t>
  </si>
  <si>
    <t>O3U2R</t>
  </si>
  <si>
    <t>39635739</t>
  </si>
  <si>
    <t>WOS:001370413500001</t>
  </si>
  <si>
    <t>gold; Green Submitted; Green Published</t>
  </si>
  <si>
    <t>Li, QS; Zeng, ML; Liang, DM; Zheng, XM; Zhang, XX; Martin-Payo, R</t>
  </si>
  <si>
    <t>Background Machine learning (ML) has emerged as a transformative approach for developing high-performance clinical prediction models (CPMs). By leveraging multidimensional patient data, ML enables more accurate disease risk stratification, prognostic assessment, and clinical decision-making. In recent years, research on CPMs has expanded rapidly, with nearly 250,000 publications indexed as of 2024. Despite this remarkable growth, a comprehensive bibliometric analysis of the field is currently lacking. Objective This study aimed to analyze the global research status, evolutionary trends, and thematic hotspots of machine learning-based clinical prediction models (ML-CPMs) through bibliometric and visualization techniques. Methods Publications related to ML-CPMs were retrieved from the Web of Science Core Collection and the Scopus database (up to May 9, 2025). Bibliometric analyses were performed using various tools, including R, VOSviewer, and CiteSpace, to generate annual publication trends, collaboration networks, and journal distributions, as well as co-citation, clustering, and keyword analyses. Results A total of 8,619 publications (8,000 original articles and 619 reviews) from 118 countries were identified. Since 2015, annual publications have grown exponentially (R &amp; sup2; = 0.9919). While China led in total publication volume, the United States maintained the highest academic influence (H-index = 105; Total Citations = 66,788). Harvard University and BMC Medical Informatics and Decision Making emerged as the most productive institution and journal, respectively. Tian J from the Chinese Academy of Sciences led in publication count, while Wynants L from KU Leuven in Belgium recorded the highest citation frequency. Key research hotspots include algorithm optimization, multimodal data integration, and model interpretability, with clinical applications primarily focused on oncology, cardiovascular diseases, and critical care medicine. Conclusion Research on ML-CPMs has experienced rapid global growth over the past decade, forming extensive international collaboration networks. However, challenges such as limited interpretability, data heterogeneity, and privacy concerns persist. Future studies should prioritize external validation, clinical applicability, and the integration of human-AI collaborative decision-making to ensure robust implementation in real-world clinical settings.</t>
  </si>
  <si>
    <t>Li, Qinshan; Zeng, Mingli; Liang, Danmei; Zheng, Xuemei; Zhang, Xiaoxia; Martin-Payo, Ruben</t>
  </si>
  <si>
    <t>Zhang, XX (corresponding author), Sichuan Univ, West China Sch Nursing, Chengdu, Peoples R China.; Zhang, XX (corresponding author), Sichuan Univ, West China Hosp, Canc Ctr, Chengdu, Peoples R China.</t>
  </si>
  <si>
    <t>zhangxiaoxia@scu.edu.cn</t>
  </si>
  <si>
    <t>The author(s) declared that financial support was not received for this work and/or its publication.</t>
  </si>
  <si>
    <t>[Li, Qinshan; Liang, Danmei; Zhang, Xiaoxia] Sichuan Univ, West China Sch Nursing, Chengdu, Peoples R China; [Li, Qinshan; Zheng, Xuemei] Sichuan Univ, West China Hosp, Canc Ctr, Div Head &amp; Neck Tumor Multimodal Treatment, Chengdu, Peoples R China; [Zeng, Mingli; Zhang, Xiaoxia] Sichuan Univ, West China Hosp, Canc Ctr, Chengdu, Peoples R China; [Zeng, Mingli] Shangjin Nanfu Hosp, West China Hosp, Canc Ctr, Chengdu, Peoples R China; [Martin-Payo, Ruben] Univ Oviedo, Fac Med &amp; Ciencias Salud, Oviedo, Spain; [Martin-Payo, Ruben] Inst Invest Sanitaria Principado Asturias ISPA, Precam Res Grp, Oviedo, Spain</t>
  </si>
  <si>
    <t>Sichuan University; Sichuan University; Sichuan University; Instituto de Investigacion Sanitaria del Principado de Asturias (ISPA)</t>
  </si>
  <si>
    <t>Research on machine learning-based clinical prediction models: a bibliometric analysis</t>
  </si>
  <si>
    <t>FRONTIERS IN ONCOLOGY</t>
  </si>
  <si>
    <t>bibliometric analysis; CiteSpace; clinical prediction models; machine learning; VOSviewer</t>
  </si>
  <si>
    <t>LOGISTIC-REGRESSION; RADIOMICS; DIAGNOSIS; CANCER</t>
  </si>
  <si>
    <t>Martin-Payo, Ruben/K-3760-2017</t>
  </si>
  <si>
    <t>64</t>
  </si>
  <si>
    <t>FRONTIERS MEDIA SA</t>
  </si>
  <si>
    <t>LAUSANNE</t>
  </si>
  <si>
    <t>AVENUE DU TRIBUNAL FEDERAL 34, LAUSANNE, CH-1015, SWITZERLAND</t>
  </si>
  <si>
    <t>2234-943X</t>
  </si>
  <si>
    <t>FRONT ONCOL</t>
  </si>
  <si>
    <t>Front. Oncol.</t>
  </si>
  <si>
    <t>APR 1 2026</t>
  </si>
  <si>
    <t>1786176</t>
  </si>
  <si>
    <t>10.3389/fonc.2026.1786176</t>
  </si>
  <si>
    <t>http://dx.doi.org/10.3389/fonc.2026.1786176</t>
  </si>
  <si>
    <t>Oncology</t>
  </si>
  <si>
    <t>GN0RK</t>
  </si>
  <si>
    <t>41994643</t>
  </si>
  <si>
    <t>WOS:001740298500001</t>
  </si>
  <si>
    <t>Yang, HL; Lu, SY; Yang, L</t>
  </si>
  <si>
    <t>BackgroundObstructive sleep apnea (OSA) is a common sleep disorder characterized by repetitive cessation or reduction in airflow during sleep. Stroke patients have a higher risk of OSA, which can worsen their cognitive and functional disabilities, prolong their hospitalization, and increase their mortality rates.MethodsWe conducted a comprehensive literature search in the databases of PubMed, CINAHL, Embase, PsycINFO, Cochrane Library, and CNKI, using a combination of keywords and MeSH words in both English and Chinese. Studies published up to March 1, 2022, which reported the development and/or validation of clinical prediction models for OSA diagnosis in stroke patients.ResultsWe identified 11 studies that met our inclusion criteria. Most of the studies used logistic regression models and machine learning approaches to predict the incidence of OSA in stroke patients. The most frequently selected predictors included body mass index, sex, neck circumference, snoring, and blood pressure. However, the predictive performance of these models ranged from poor to moderate, with the area under the receiver operating characteristic curve varying from 0.55 to 0.82. All the studies have a high overall risk of bias, mainly due to the small sample size and lack of external validation.ConclusionAlthough clinical prediction models have shown the potential for diagnosing OSA in stroke patients, their limited accuracy and high risk of bias restrict their implications. Future studies should focus on developing advanced algorithms that incorporate more predictors from larger and representative samples and externally validating their performance to enhance their clinical applicability and accuracy.</t>
  </si>
  <si>
    <t>Yang, Hualu; Lu, Shuya; Yang, Lin</t>
  </si>
  <si>
    <t>Yang, L (corresponding author), Hong Kong Polytech Univ, Sch Nursing, Hong Kong 999077, Peoples R China.</t>
  </si>
  <si>
    <t>l.yang@polyu.edu.hk</t>
  </si>
  <si>
    <t>Research fund of Shenzhen Nanshan District [NS2022025]</t>
  </si>
  <si>
    <t>Research fund of Shenzhen Nanshan District</t>
  </si>
  <si>
    <t>This study was supported by the research fund of Shenzhen Nanshan District (reference number NS2022025).</t>
  </si>
  <si>
    <t>[Yang, Hualu] Huazhong Univ Sci &amp; Technol, Union Shenzhen Hosp, Dept Rehabil, Shenzhen 581052, Peoples R China; [Yang, Hualu; Lu, Shuya; Yang, Lin] Hong Kong Polytech Univ, Sch Nursing, Hong Kong 999077, Peoples R China</t>
  </si>
  <si>
    <t>Huazhong University of Science &amp; Technology; Hong Kong Polytechnic University</t>
  </si>
  <si>
    <t>Clinical prediction models for the early diagnosis of obstructive sleep apnea in stroke patients: a systematic review</t>
  </si>
  <si>
    <t>SYSTEMATIC REVIEWS</t>
  </si>
  <si>
    <t>Obstructive sleep apnea; Stroke; Prediction models; Systematic review</t>
  </si>
  <si>
    <t>ISCHEMIC-STROKE; RISK-FACTOR; TOOL; INFLAMMATION; DYSFUNCTION; PREVALENCE; VALIDATION; BIOMARKERS; GUIDELINES; DYSPHAGIA</t>
  </si>
  <si>
    <t>Yang, Lin/F-9601-2014</t>
  </si>
  <si>
    <t>Yang, Lin/0000-0002-5964-3233</t>
  </si>
  <si>
    <t>2046-4053</t>
  </si>
  <si>
    <t>SYST REV-LONDON</t>
  </si>
  <si>
    <t>Syst. Rev.</t>
  </si>
  <si>
    <t>JAN 24 2024</t>
  </si>
  <si>
    <t>38</t>
  </si>
  <si>
    <t>10.1186/s13643-024-02449-9</t>
  </si>
  <si>
    <t>http://dx.doi.org/10.1186/s13643-024-02449-9</t>
  </si>
  <si>
    <t>Medicine, General &amp; Internal</t>
  </si>
  <si>
    <t>General &amp; Internal Medicine</t>
  </si>
  <si>
    <t>FU2F7</t>
  </si>
  <si>
    <t>38268059</t>
  </si>
  <si>
    <t>WOS:001148296800001</t>
  </si>
  <si>
    <t>Riley, S; Zhang, Q; Tse, WY; Connor, A; Wei, YH</t>
  </si>
  <si>
    <t>Statistical models that can predict graft and patient survival outcomes following kidney transplantation could be of great clinical utility. We sought to appraise existing clinical prediction models for kidney transplant survival outcomes that could guide kidney donor acceptance decision-making. We searched for clinical prediction models for survival outcomes in adult recipients with single kidney-only transplants. Models that require information anticipated to become available only after the time of transplantation were excluded as, by that time, the kidney donor acceptance decision would have already been made. The outcomes of interest were all-cause and death-censored graft failure, and death. We summarised the methodological characteristics of the prediction models, predictive performance and risk of bias. We retrieved 4,026 citations from which 23 articles describing 74 models met the inclusion criteria. Discrimination was moderate for all-cause graft failure (C-statistic: 0.570-0.652; Harrell's C: 0.580-0.660; AUC: 0.530-0.742), death-censored graft failure (C-statistic: 0.540-0.660; Harrell's C: 0.590-0.700; AUC: 0.450-0.810) and death (C-statistic: 0.637-0.770; Harrell's C: 0.570-0.735). Calibration was seldom reported. Risk of bias was high in 49 of the 74 models, primarily due to methods for handling missing data. The currently available prediction models using pre-transplantation information show moderate discrimination and varied calibration. Further model development is needed to improve predictions for the purpose of clinical decision-making.</t>
  </si>
  <si>
    <t>Riley, Stephanie; Zhang, Qing; Tse, Wai-Yee; Connor, Andrew; Wei, Yinghui</t>
  </si>
  <si>
    <t>Wei, YH (corresponding author), Univ Plymouth, Ctr Math Sci, Sch Engn Comp &amp; Math, Plymouth, England.</t>
  </si>
  <si>
    <t>yinghui.wei@plymouth.ac.uk</t>
  </si>
  <si>
    <t>EPSRC DTP; University Hospitals Plymouth NHS Trust Renal Research Trust Funds [EP/T518153/1:243290]</t>
  </si>
  <si>
    <t>EPSRC DTP (UK Research &amp; Innovation (UKRI), Engineering &amp; Physical Sciences Research Council (EPSRC)); University Hospitals Plymouth NHS Trust Renal Research Trust Funds</t>
  </si>
  <si>
    <t>This research is funded by EPSRC DTP (EP/T518153/1:243290) and University Hospitals Plymouth NHS Trust Renal Research Trust Funds (1374).</t>
  </si>
  <si>
    <t>[Riley, Stephanie; Zhang, Qing; Wei, Yinghui] Univ Plymouth, Ctr Math Sci, Sch Engn Comp &amp; Math, Plymouth, England; [Tse, Wai-Yee; Connor, Andrew] Univ Hosp Plymouth NHS Trust, South West Transplant Ctr, Dept Renal Med, Plymouth, England</t>
  </si>
  <si>
    <t>University of Plymouth</t>
  </si>
  <si>
    <t>Using Information Available at the Time of Donor Offer to Predict Kidney Transplant Survival Outcomes: A Systematic Review of Prediction Models</t>
  </si>
  <si>
    <t>TRANSPLANT INTERNATIONAL</t>
  </si>
  <si>
    <t>kidney transplantation; prognosis; systematic review; clinical prediction model; decision-making; kidney transplant outcomes; prediction tool</t>
  </si>
  <si>
    <t>AGGREGATE PATHOLOGY INDEX; SCORING SYSTEM; RISK INDEX; VALIDATION; TOOL</t>
  </si>
  <si>
    <t>Wei, Yinghui/N-4516-2013</t>
  </si>
  <si>
    <t>Zhang, Qing/0000-0002-3990-1979; Riley, Stephanie/0000-0002-7429-6655; Wei, Yinghui/0000-0002-7873-0009</t>
  </si>
  <si>
    <t>0934-0874</t>
  </si>
  <si>
    <t>1432-2277</t>
  </si>
  <si>
    <t>TRANSPL INT</t>
  </si>
  <si>
    <t>Transpl. Int.</t>
  </si>
  <si>
    <t>JUN 23 2022</t>
  </si>
  <si>
    <t>35</t>
  </si>
  <si>
    <t>10397</t>
  </si>
  <si>
    <t>10.3389/ti.2022.10397</t>
  </si>
  <si>
    <t>http://dx.doi.org/10.3389/ti.2022.10397</t>
  </si>
  <si>
    <t>Surgery; Transplantation</t>
  </si>
  <si>
    <t>6I4AU</t>
  </si>
  <si>
    <t>35812156</t>
  </si>
  <si>
    <t>WOS:000886070100001</t>
  </si>
  <si>
    <t>Archer, R; Hock, E; Hamilton, J; Stevens, J; Essat, M; Poku, E; Clowes, M; Pandor, A; Stevenson, M</t>
  </si>
  <si>
    <t>Background: Rheumatoid arthritis (RA) is a chronic, debilitating disease associated with reduced quality of life and substantial costs. It is unclear which tests and assessment tools allow the best assessment of prognosis in people with early RA and whether or not variables predict the response of patients to different drug treatments.Objective: To systematically review evidence on the use of selected tests and assessment tools in patients with early RA (1) in the evaluation of a prognosis (review 1) and (2) as predictive markers of treatment response (review 2).Data sources: Electronic databases (e.g. MEDLINE, EMBASE, The Cochrane Library, Web of Science Conference Proceedings; searched to September 2016), registers, key websites, hand-searching of reference lists of included studies and key systematic reviews and contact with experts.Study selection: Review 1 - primary studies on the development, external validation and impact of clinical prediction models for selected outcomes in adult early RA patients. Review 2 -primary studies on the interaction between selected baseline covariates and treatment (conventional and biological disease-modifying antirheumatic drugs) on salient outcomes in adult early RA patients.Results: Review 1 - 22 model development studies and one combined model development/external validation study reporting 39 clinical prediction models were included. Five external validation studies evaluating eight clinical prediction models for radiographic joint damage were also included. c-statistics from internal validation ranged from 0.63 to 0.87 for radiographic progression (different definitions, six studies) and 0.78 to 0.82 for the Health Assessment Questionnaire (HAQ). Predictive performance in external validations varied considerably. Three models [(1) Active controlled Study of Patients receiving Infliximab for the treatment of Rheumatoid arthritis of Early onset (ASPIRE) C-reactive protein (ASPIRE CRP), (2) ASPIRE erythrocyte sedimentation rate (ASPIRE ESR) and (3) Behandelings Strategie (BeSt)] were externally validated using the same outcome definition in more than one population. Results of the random-effects meta-analysis suggested substantial uncertainty in the expected predictive performance of models in a new sample of patients. Review 2 - 12 studies were identified. Covariates examined included anti-citrullinated protein/peptide anti-body (ACPA) status, smoking status, erosions, rheumatoid factor status, C-reactive protein level, erythrocyte sedimentation rate, swollen joint count (SJC), body mass index and vascularity of synovium on power Doppler ultrasound (PDUS). Outcomes examined included erosions/radiographic progression, disease activity, physical function and Disease Activity Score-28 remission. There was statistical evidence to suggest that ACPA status, SJC and PDUS status at baseline may be treatment effect modifiers, but not necessarily that they are prognostic of response for all treatments. Most of the results were subject to considerable uncertainty and were not statistically significant.Limitations: The meta-analysis in review 1 was limited by the availability of only a small number of external validation studies. Studies rarely investigated the interaction between predictors and treatment.Suggested research priorities: Collaborative research (including the use of individual participant data) is needed to further develop and externally validate the clinical prediction models. The clinical prediction models should be validated with respect to individual treatments. Future assessments of treatment by covariate interactions should follow good statistical practice.Conclusions: Review 1 - uncertainty remains over the optimal prediction model(s) for use in clinical practice. Review 2 - in general, there was insufficient evidence that the effect of treatment depended on baseline characteristics.</t>
  </si>
  <si>
    <t>Archer, Rachel; Hock, Emma; Hamilton, Jean; Stevens, John; Essat, Munira; Poku, Edith; Clowes, Mark; Pandor, Abdullah; Stevenson, Matt</t>
  </si>
  <si>
    <t>Archer, R (corresponding author), Univ Sheffield, Sch Hlth &amp; Related Res ScHARR, Sheffield, S Yorkshire, England.</t>
  </si>
  <si>
    <t>National Institute for Health Research Health Technology Assessment programme</t>
  </si>
  <si>
    <t>National Institute for Health Research Health Technology Assessment programme (National Institutes of Health Research (NIHR))</t>
  </si>
  <si>
    <t>The National Institute for Health Research Health Technology Assessment programme.</t>
  </si>
  <si>
    <t>[Archer, Rachel; Hock, Emma; Hamilton, Jean; Stevens, John; Essat, Munira; Poku, Edith; Clowes, Mark; Pandor, Abdullah; Stevenson, Matt] Univ Sheffield, Sch Hlth &amp; Related Res ScHARR, Sheffield, S Yorkshire, England</t>
  </si>
  <si>
    <t>University of Sheffield</t>
  </si>
  <si>
    <t>Assessing prognosis and prediction of treatment response in early rheumatoid arthritis: systematic reviews</t>
  </si>
  <si>
    <t>HEALTH TECHNOLOGY ASSESSMENT</t>
  </si>
  <si>
    <t>TUMOR-NECROSIS-FACTOR; DISEASE-ACTIVITY SCORE; RAPID RADIOGRAPHIC PROGRESSION; BODY-MASS INDEX; CITRULLINATED PEPTIDE ANTIBODIES; HEALTH-ASSESSMENT QUESTIONNAIRE; MODIFYING ANTIRHEUMATIC DRUGS; C-REACTIVE PROTEIN; RANDOMIZED CONTROLLED-TRIAL; SUSTAINED CLINICAL REMISSION</t>
  </si>
  <si>
    <t>Everson-Hock, Emma/A-3783-2010; Pandor, Abdullah/E-4643-2010; Clowes, Mark/KYQ-7472-2024</t>
  </si>
  <si>
    <t>Poku, Edith/0000-0001-6549-5081; Stevens, John/0000-0002-9867-7209; Hock, Emma/0000-0002-8617-8875; Stevenson, Matt/0000-0002-3099-9877; Essat, Munira/0000-0003-2397-402X; Pandor, Abdullah/0000-0003-2552-5260; Hamilton, Jean/0000-0003-3326-9842; Clowes, Mark/0000-0002-5582-9946</t>
  </si>
  <si>
    <t>819</t>
  </si>
  <si>
    <t>25</t>
  </si>
  <si>
    <t>15</t>
  </si>
  <si>
    <t>NIHR JOURNALS LIBRARY</t>
  </si>
  <si>
    <t>SOUTHAMPTON</t>
  </si>
  <si>
    <t>UNIV SOUTHAMPTON, EVALUATION, TRIALS &amp; STUDIES COORDINATING CENTRE, ALPHA HOUSE, ENTERPRISE RD, SOUTHAMPTON, SO16 7NS, ENGLAND</t>
  </si>
  <si>
    <t>1366-5278</t>
  </si>
  <si>
    <t>2046-4924</t>
  </si>
  <si>
    <t>HEALTH TECHNOL ASSES</t>
  </si>
  <si>
    <t>Health Technol. Assess.</t>
  </si>
  <si>
    <t>NOV 2018</t>
  </si>
  <si>
    <t>2018</t>
  </si>
  <si>
    <t>66</t>
  </si>
  <si>
    <t>+</t>
  </si>
  <si>
    <t>10.3310/hta22660</t>
  </si>
  <si>
    <t>http://dx.doi.org/10.3310/hta22660</t>
  </si>
  <si>
    <t>295</t>
  </si>
  <si>
    <t>Health Care Sciences &amp; Services</t>
  </si>
  <si>
    <t>HC9NC</t>
  </si>
  <si>
    <t>30501821</t>
  </si>
  <si>
    <t>WOS:000452132100001</t>
  </si>
  <si>
    <t>Veronese, N; Bolzetta, F; Gallo, L; Durante, G; Vernuccio, L; Saccaro, C; Gambino, CM; Custodero, C; Portincasa, P; Morotti, A; Galli, A; Trasciatti, C; Padovani, A; Pilotto, A; Barbagallo, M</t>
  </si>
  <si>
    <t>BackgroundWhile nearly half of all dementia cases are potentially preventable, early detection and targeted interventions are critical. Artificial intelligence (AI)-enhanced clinical prediction models offer promising tools to improve diagnostic and prognostic accuracy by leveraging machine learning (ML) to integrate diverse data sources. This systematic review evaluates the development, performance, and clinical applicability of AI-based prediction models in dementia.MethodsSearches of PubMed, Embase, and Web of Science identified peer-reviewed studies up to October 2024, focusing on AI-based models predicting dementia onset. Included studies were assessed for model accuracy, bias, and generalizability using the PROBAST tool. Data extraction adhered to the TRIPOD and CHARMS frameworks, capturing study design, participant demographics, predictor variables, and performance metrics.ResultsAmong 2699 articles initially screened, 21 studies were included, encompassing over 1 million participants. AI models, extremely heterogenous for their nature, demonstrated good predictive accuracy, with a mean area under the curve of 0.845. While internal validation was conducted in all studies, external validation was limited. Models incorporating ML methods like random forests and support vector machines outperformed traditional approaches. The most used parameters were clinical and cognitive data, whilst data about biomarkers were the less used. Risk of bias was generally low, though calibration and generalizability remained challenges.ConclusionsAI-based prediction models show strong potential for early dementia detection and personalized care. However, their integration into clinical practice requires addressing issues of external validation, data representativeness, and model interpretability. Further research should focus on robust validation and ethical implementation to optimize their utility in dementia care.</t>
  </si>
  <si>
    <t>Veronese, Nicola; Bolzetta, Francesco; Gallo, Livia; Durante, Giorgia; Vernuccio, Laura; Saccaro, Carlo; Gambino, Caterina Maria; Custodero, Carlo; Portincasa, Piero; Morotti, Andrea; Galli, Alice; Trasciatti, Chiara; Padovani, Alessandro; Pilotto, Andrea; Barbagallo, Mario</t>
  </si>
  <si>
    <t>Veronese, N (corresponding author), Univ Palermo, Dept Internal Med &amp; Geriatr, Geriatr Unit, Via Vespro 141, I-90127 Palermo, Italy.; Veronese, N (corresponding author), Azienda Osped Univ Policlin P Giaccone, Geriatr Sect, Palermo, Italy.; Veronese, N (corresponding author), St Camillus Univ, Fac Med, Rome, Italy.</t>
  </si>
  <si>
    <t>nicola.veronese@unipa.it</t>
  </si>
  <si>
    <t>European Union [PNRR-MCNT1-2023-12378321, CUP I73C23000440006]</t>
  </si>
  <si>
    <t>European Union (European Union (EU))</t>
  </si>
  <si>
    <t>The project has funded by the European Union-Next Generation EU-NRRP M6C2-Investment 2.1 Enhancement and strengthening of biomedical research in the NHS, under the project identification number PNRR-MCNT1-2023-12378321, CUP I73C23000440006. The funder had no role in the design of the study; in the collection, analysis, and interpretation of data; and in writing the manuscript.</t>
  </si>
  <si>
    <t>[Veronese, Nicola; Saccaro, Carlo; Barbagallo, Mario] Univ Palermo, Dept Internal Med &amp; Geriatr, Geriatr Unit, Via Vespro 141, I-90127 Palermo, Italy; [Veronese, Nicola; Vernuccio, Laura; Gambino, Caterina Maria; Barbagallo, Mario] Azienda Osped Univ Policlin P Giaccone, Geriatr Sect, Palermo, Italy; [Veronese, Nicola] St Camillus Univ, Fac Med, Rome, Italy; [Bolzetta, Francesco; Gallo, Livia; Durante, Giorgia] Azienda Unita Locale Socio Sanitaria 3, Venice, Italy; [Custodero, Carlo; Portincasa, Piero] Univ Bari Aldo Moro, Dept Precis &amp; Regenerat Med &amp; Ionian Area DiMePre, Clin Med Augusto Murri, Bari, Italy; [Morotti, Andrea; Galli, Alice; Trasciatti, Chiara; Padovani, Alessandro; Pilotto, Andrea] Univ Brescia, Dept Clin &amp; Expt Sci, SC Neurol, Brescia, Italy; [Morotti, Andrea; Padovani, Alessandro; Pilotto, Andrea] ASST Spedali Civili Hosp, Dept Continu Care &amp; Frailty, SC Neurol, Brescia, Italy; [Galli, Alice; Trasciatti, Chiara; Padovani, Alessandro; Pilotto, Andrea] Univ Brescia, Neurobiorepository &amp; Lab Adv Biol Markers, Brescia, Italy; [Padovani, Alessandro] Univ Brescia, Brain Hlth Ctr, Brescia, Italy; [Pilotto, Andrea] Karolinska Inst, Div Clin Geriatr, Dept Neurobiol Care Sci &amp; Soc NVS, Ctr Alzheimer Res, Stockholm, Sweden</t>
  </si>
  <si>
    <t>University of Palermo; University of Palermo; Policlinico Paolo Giaccone; Universita degli Studi di Bari Aldo Moro; University of Brescia; University of Brescia; University of Brescia; Karolinska Institutet</t>
  </si>
  <si>
    <t>Clinical prediction models using artificial intelligence approaches in dementia</t>
  </si>
  <si>
    <t>AGING CLINICAL AND EXPERIMENTAL RESEARCH</t>
  </si>
  <si>
    <t>Dementia; Artificial intelligence; Machine learning; Clinical prediction models</t>
  </si>
  <si>
    <t>RISK</t>
  </si>
  <si>
    <t>Galli, Alice/IAP-0801-2023; Padovani, Alessandro/ABI-7312-2020; Custodero, Carlo/AAS-4723-2021; Veronese, Nicola/K-4343-2018; portincasa, piero/J-7245-2018; GAMBINO, CATERINA/AAC-2871-2019; Pilotto, Andrea/J-6852-2018</t>
  </si>
  <si>
    <t>Padovani, Alessandro/0000-0002-0119-3639; Custodero, Carlo/0000-0003-1549-6451; Vernuccio, Laura/0009-0009-1444-5565</t>
  </si>
  <si>
    <t>47</t>
  </si>
  <si>
    <t>SPRINGER</t>
  </si>
  <si>
    <t>ONE NEW YORK PLAZA, SUITE 4600, NEW YORK, NY, UNITED STATES</t>
  </si>
  <si>
    <t>1594-0667</t>
  </si>
  <si>
    <t>1720-8319</t>
  </si>
  <si>
    <t>AGING CLIN EXP RES</t>
  </si>
  <si>
    <t>Aging Clin. Exp. Res.</t>
  </si>
  <si>
    <t>JUL 25 2025</t>
  </si>
  <si>
    <t>37</t>
  </si>
  <si>
    <t>233</t>
  </si>
  <si>
    <t>10.1007/s40520-025-03112-6</t>
  </si>
  <si>
    <t>http://dx.doi.org/10.1007/s40520-025-03112-6</t>
  </si>
  <si>
    <t>Geriatrics &amp; Gerontology</t>
  </si>
  <si>
    <t>5IN8A</t>
  </si>
  <si>
    <t>40715606</t>
  </si>
  <si>
    <t>WOS:001536516000003</t>
  </si>
  <si>
    <t>Binuya, MAE; Engelhardt, EG; Schats, W; Schmidt, MK; Steyerberg, EW</t>
  </si>
  <si>
    <t>Background: Clinical prediction models are often not evaluated properly in specific settings or updated, for instance, with information from new markers. These key steps are needed such that models are fit for purpose and remain relevant in the long-term. We aimed to present an overview of methodological guidance for the evaluation (i.e., validation and impact assessment) and updating of clinical prediction models. Methods: We systematically searched nine databases from January 2000 to January 2022 for articles in English with methodological recommendations for the post-derivation stages of interest. Qualitative analysis was used to summarize the 70 selected guidance papers. Results: Key aspects for validation are the assessment of statistical performance using measures for discrimination (e.g., C-statistic) and calibration (e.g., calibration-in-the-large and calibration slope). For assessing impact or usefulness in clinical decision-making, recent papers advise using decision-analytic measures (e.g., the Net Benefit) over simplistic classification measures that ignore clinical consequences (e.g., accuracy, overall Net Reclassification Index). Commonly recommended methods for model updating are recalibration (i.e., adjustment of intercept or baseline hazard and/or slope), revision (i.e., re-estimation of individual predictor effects), and extension (i.e., addition of new markers). Additional methodological guidance is needed for newer types of updating (e.g., meta-model and dynamic updating) and machine learning-based models. Conclusion: Substantial guidance was found for model evaluation and more conventional updating of regression-based models. An important development in model evaluation is the introduction of a decision-analytic framework for assessing clinical usefulness. Consensus is emerging on methods for model updating.</t>
  </si>
  <si>
    <t>Binuya, M. A. E.; Engelhardt, E. G.; Schats, W.; Schmidt, M. K.; Steyerberg, E. W.</t>
  </si>
  <si>
    <t>Binuya, MAE (corresponding author), Leiden Univ, Dept Clin Genet, Med Ctr, Leiden, Netherlands.</t>
  </si>
  <si>
    <t>m.binuya@nki.nl</t>
  </si>
  <si>
    <t>Health~Holland grant</t>
  </si>
  <si>
    <t>This work was financially supported by Health~Holland grant number LSHM19121 (https:// www. health- holla nd. com) received by MKS. The funder had no role in study design, data collection and analysis, decision to publish, or preparation of the manuscript.</t>
  </si>
  <si>
    <t>[Binuya, M. A. E.; Engelhardt, E. G.; Schmidt, M. K.] Antoni van Leeuwenhoek Hosp, Netherlands Canc Inst, Div Mol Pathol, Plesmanlaan 121, NL-1066 CX Amsterdam, Netherlands; [Binuya, M. A. E.; Steyerberg, E. W.] Leiden Univ, Dept Biomed Data Sci, Med Ctr, Leiden, Netherlands; [Binuya, M. A. E.; Schmidt, M. K.] Leiden Univ, Dept Clin Genet, Med Ctr, Leiden, Netherlands; [Engelhardt, E. G.] Antoni van Leeuwenhoek Hosp, Netherlands Canc Inst, Div Psychosocial Res &amp; Epidemiol, Amsterdam, Netherlands; [Schats, W.] Antoni van Leeuwenhoek Hosp, Netherlands Canc Inst, Sci Informat Serv, Amsterdam, Netherlands</t>
  </si>
  <si>
    <t>Netherlands Cancer Institute; Leiden University; Leiden University - Excl LUMC; Leiden University Medical Center (LUMC); Leiden University - Excl LUMC; Leiden University; Leiden University Medical Center (LUMC); Netherlands Cancer Institute; Netherlands Cancer Institute</t>
  </si>
  <si>
    <t>Methodological guidance for the evaluation and updating of clinical prediction models: a systematic review</t>
  </si>
  <si>
    <t>BMC MEDICAL RESEARCH METHODOLOGY</t>
  </si>
  <si>
    <t>Prediction model; Model evaluation; Validation; Impact assessment; Discrimination; Calibration; Clinical usefulness; Model updating</t>
  </si>
  <si>
    <t>NET RECLASSIFICATION IMPROVEMENT; INDIVIDUAL PARTICIPANT DATA; EXTERNAL VALIDATION; REGRESSION-MODELS; PROGNOSTIC MODELS; FRAMEWORK; IMPACT; RULES; PERFORMANCE; CALIBRATION</t>
  </si>
  <si>
    <t>Schmidt, Marjanka/HPE-6946-2023; Steyerberg, Ewout/C-1509-2018</t>
  </si>
  <si>
    <t>Binuya, Mary Ann/0000-0001-8682-8690; Schats, Winnie/0000-0003-1470-9515</t>
  </si>
  <si>
    <t>119</t>
  </si>
  <si>
    <t>179</t>
  </si>
  <si>
    <t>198</t>
  </si>
  <si>
    <t>1471-2288</t>
  </si>
  <si>
    <t>BMC MED RES METHODOL</t>
  </si>
  <si>
    <t>BMC Med. Res. Methodol.</t>
  </si>
  <si>
    <t>DEC 12 2022</t>
  </si>
  <si>
    <t>316</t>
  </si>
  <si>
    <t>10.1186/s12874-022-01801-8</t>
  </si>
  <si>
    <t>http://dx.doi.org/10.1186/s12874-022-01801-8</t>
  </si>
  <si>
    <t>7A5MJ</t>
  </si>
  <si>
    <t>36510134</t>
  </si>
  <si>
    <t>WOS:000898499700001</t>
  </si>
  <si>
    <t>N</t>
  </si>
  <si>
    <t>Y</t>
  </si>
  <si>
    <t>Collins, GS; Chester-Jones, M; Gerry, S; Ma, J; Matos, J; Sehjal, J; Tsegaye, B; Dhiman, P</t>
  </si>
  <si>
    <t>Clinical prediction models are widely developed in the field of oncology, providing individualised risk estimates to aid diagnosis and prognosis. Machine learning methods are increasingly being used to develop prediction models, yet many suffer from methodological flaws limiting clinical implementation. This review outlines key considerations for developing robust, equitable prediction models in cancer care. Critical steps include systematic review of existing models, protocol development, registration, end-user engagement, sample size calculations and ensuring data representativeness across target populations. Technical challenges encompass handling missing data, addressing fairness across demographic groups and managing complex data structures, including censored observations, competing risks or clustering effects. Comprehensive internal and external evaluation requires assessment of both statistical performance (discrimination and calibration) and clinical utility. Implementation barriers include limited stakeholder engagement, insufficient clinical utility evidence, a lack of consideration of workflow integration and the absence of post-deployment monitoring plans. Despite significant potential for personalising cancer care, most prediction models remain unimplemented due to these methodological and translational challenges. Addressing these considerations from study design through post implementation monitoring is essential for developing trustworthy tools that bridge the gap between model development and clinical practice in oncology.</t>
  </si>
  <si>
    <t>Collins, Gary S.; Chester-Jones, Mae; Gerry, Stephen; Ma, Jie; Matos, Joao; Sehjal, Jyoti; Tsegaye, Biruk; Dhiman, Paula</t>
  </si>
  <si>
    <t>Collins, GS (corresponding author), Univ Birmingham, Dept Appl Hlth Sci, Birmingham, England.</t>
  </si>
  <si>
    <t>biruk.tsegaye@ndorms.ox.ac.uk; mae.chester-jones@ndorms.ox.ac.uk; jie.ma@csm.ox.ac.uk; jyoti.sehjal@st-hughs.ox.ac.uk; joao.matos@ndorms.ox.ac.uk; g.s.collins@bham.ac.uk; stephen.gerry@csm.ox.ac.uk; paula.dhiman@ndorms.ox.ac.uk</t>
  </si>
  <si>
    <t>Cancer Research UK [CANCTA-2023/100008, PRCPJT-Nov21\100021]; Medical Research Council [MR/Z503873/1]; National Institute for Health and Care Research [NIHR302985]; Engineering and Physical Sciences Research Council [EP/Y018516/1]; National Institutes of Health Research (NIHR) [NIHR302985] Funding Source: National Institutes of Health Research (NIHR)</t>
  </si>
  <si>
    <t>Cancer Research UK (Cancer Research UK); Medical Research Council (UK Research &amp; Innovation (UKRI), Medical Research Council UK (MRC)); National Institute for Health and Care Research; Engineering and Physical Sciences Research Council (UK Research &amp; Innovation (UKRI), Engineering &amp; Physical Sciences Research Council (EPSRC)); National Institutes of Health Research (NIHR) (National Institutes of Health Research (NIHR))</t>
  </si>
  <si>
    <t>GSC is supported by the EPSRC (Engineering and Physical Sciences Research Council) grant for Artificial intelligence innovation to accelerate health research (EP/Y018516/1) and MRC-NIHR Better Methods Better Research grant (MR/Z503873/1). JMat is funded by a Clarendon Fund Scholarship at University of Oxford. PD and BT are supported by CRUK (project grant: PRCPJT-Nov21\100021). MC-J is funded by a National Institute for Health Research (NIHR) doctoral research fellowship (NIHR302985). JS is funded by Cancer Research UK (CANCTA-2023/100008). The funders had no role in considering the study design or in the collection, analysis, interpretation of data, writing of the report or decision to submit the article for publication.</t>
  </si>
  <si>
    <t>[Collins, Gary S.] Univ Birmingham, Dept Appl Hlth Sci, Birmingham, England; [Chester-Jones, Mae; Gerry, Stephen; Ma, Jie; Matos, Joao; Sehjal, Jyoti; Tsegaye, Biruk; Dhiman, Paula] Univ Oxford, Oxford, England</t>
  </si>
  <si>
    <t>University of Birmingham; University of Oxford</t>
  </si>
  <si>
    <t>Clinical prediction models using machine learning in oncology: challenges and recommendations</t>
  </si>
  <si>
    <t>BMJ ONCOLOGY</t>
  </si>
  <si>
    <t>Epidemiology</t>
  </si>
  <si>
    <t>CANCER; RISK; VALIDATION; DECISION; DISPARITIES; BIAS</t>
  </si>
  <si>
    <t>van Smeden, Maarten/Y-7034-2019; Collins, Gary/A-2258-2014</t>
  </si>
  <si>
    <t>Chester-Jones, Mae/0000-0002-9710-5866; Ma, Jie/0000-0002-3900-1903</t>
  </si>
  <si>
    <t>85</t>
  </si>
  <si>
    <t>23</t>
  </si>
  <si>
    <t>BMJ PUBLISHING GROUP</t>
  </si>
  <si>
    <t>BRITISH MED ASSOC HOUSE, TAVISTOCK SQUARE, LONDON WC1H 9JR, ENGLAND</t>
  </si>
  <si>
    <t>2752-7948</t>
  </si>
  <si>
    <t>BMJ ONCOL</t>
  </si>
  <si>
    <t>BMJ Oncol.</t>
  </si>
  <si>
    <t>OCT 7 2025</t>
  </si>
  <si>
    <t>e000914</t>
  </si>
  <si>
    <t>10.1136/bmjonc-2025-000914</t>
  </si>
  <si>
    <t>http://dx.doi.org/10.1136/bmjonc-2025-000914</t>
  </si>
  <si>
    <t>GC1PK</t>
  </si>
  <si>
    <t>41070156</t>
  </si>
  <si>
    <t>WOS:001732886400001</t>
  </si>
  <si>
    <t>Razaghizad, A; Oulousian, E; Randhawa, VK; Ferreira, JP; Brophy, JM; Greene, SJ; Guida, J; Felker, GM; Fudim, M; Tsoukas, M; Peters, TM; Mavrakanas, TA; Giannetti, N; Ezekowitz, J; Sharma, A</t>
  </si>
  <si>
    <t>Background Clinical prediction models have been developed for hospitalization for heart failure in type 2 diabetes. However, a systematic evaluation of these models' performance, applicability, and clinical impact is absent. Methods and Results We searched Embase, MEDLINE, Web of Science, Google Scholar, and Tufts' clinical prediction registry through February 2021. Studies needed to report the development, validation, clinical impact, or update of a prediction model for hospitalization for heart failure in type 2 diabetes with measures of model performance and sufficient information for clinical use. Model assessment was done with the Prediction Model Risk of Bias Assessment Tool, and meta-analyses of model discrimination were performed. We included 15 model development and 3 external validation studies with data from 999 167 people with type 2 diabetes. Of the 15 models, 6 had undergone external validation and only 1 had low concern for risk of bias and applicability (Risk Equations for Complications of Type 2 Diabetes). Seven models were presented in a clinically useful manner (eg, risk score, online calculator) and 2 models were classified as the most suitable for clinical use based on study design, external validity, and point-of-care usability. These were Risk Equations for Complications of Type 2 Diabetes (meta-analyzed c-statistic, 0.76) and the Thrombolysis in Myocardial Infarction Risk Score for Heart Failure in Diabetes (meta-analyzed c-statistic, 0.78), which was the simplest model with only 5 variables. No studies reported clinical impact. Conclusions Most prediction models for hospitalization for heart failure in patients with type 2 diabetes have potential concerns with risk of bias or applicability, and uncertain external validity and clinical impact. Future research is needed to address these knowledge gaps.</t>
  </si>
  <si>
    <t>Razaghizad, Amir; Oulousian, Emily; Randhawa, Varinder Kaur; Ferreira, Joao Pedro; Brophy, James M.; Greene, Stephen J.; Guida, Julian; Felker, G. Michael; Fudim, Marat; Tsoukas, Michael; Peters, Tricia M.; Mavrakanas, Thomas A.; Giannetti, Nadia; Ezekowitz, Justin; Sharma, Abhinav</t>
  </si>
  <si>
    <t>Sharma, A (corresponding author), McGill Univ, Div Cardiol, 1001 Decarie Blvrd, Montreal, PQ H4A 3J1, Canada.; Sharma, A (corresponding author), McGill Univ, Div Expt Med, 1001 Decarie Blvrd, Montreal, PQ H4A 3J1, Canada.</t>
  </si>
  <si>
    <t>abhinav.sharma@mcgill.ca</t>
  </si>
  <si>
    <t>National Heart Lung and Blood Institute [K23HL151744] Funding Source: NIH RePORTER; NHLBI NIH HHS [K23 HL151744] Funding Source: Medline</t>
  </si>
  <si>
    <t>National Heart Lung and Blood Institute (United States Department of Health &amp; Human Services, National Institutes of Health (NIH) - USA, NIH National Heart Lung &amp; Blood Institute (NHLBI)); NHLBI NIH HHS (United States Department of Health &amp; Human Services, National Institutes of Health (NIH) - USA, NIH National Heart Lung &amp; Blood Institute (NHLBI))</t>
  </si>
  <si>
    <t>[Razaghizad, Amir; Brophy, James M.; Sharma, Abhinav] McGill Univ, Hlth Ctr, Res Inst, Ctr Outcomes Res &amp; Evaluat, Montreal, PQ, Canada; [Razaghizad, Amir; Brophy, James M.; Giannetti, Nadia; Sharma, Abhinav] McGill Univ, Ctr Hlth, Div Cardiol, Montreal, PQ, Canada; [Razaghizad, Amir; Oulousian, Emily; Guida, Julian; Sharma, Abhinav] McGill Univ, Hlth Ctr, DREAM CV Lab, Montreal, PQ, Canada; [Randhawa, Varinder Kaur] Cleveland Clin, Heart Vasc &amp; Thorac Inst, Kaufman Ctr Heart Failure &amp; Recovery, Dept Cardiovasc Med, Cleveland, OH 44106 USA; [Ferreira, Joao Pedro] Univ Porto, Dept Surg &amp; Physiol, Cardiovasc Res &amp; Dev Ctr, Fac Med, Porto, Portugal; [Greene, Stephen J.; Felker, G. Michael; Fudim, Marat] Duke Clin Res Inst, Div Cardiol, Durham, NC USA; [Tsoukas, Michael; Peters, Tricia M.] McGill Univ, Dept Med, Div Endocrinol, Montreal, PQ, Canada; [Peters, Tricia M.] Lady Davis Inst Med Res, Ctr Clin Epidemiol, Montreal, PQ, Canada; [Mavrakanas, Thomas A.] McGill Univ, Ctr Hlth, Div Nephrol, Dept Med, Montreal, PQ, Canada; [Mavrakanas, Thomas A.] McGill Univ, Ctr Hlth, Res Inst, Montreal, PQ, Canada; [Ezekowitz, Justin] Univ Alberta, Div Cardiol, Edmonton, AB, Canada</t>
  </si>
  <si>
    <t>McGill University; McGill University; McGill University; Cleveland Clinic Foundation; Universidade do Porto; Duke University; McGill University; Lady Davis Institute; McGill University; McGill University; University of Alberta</t>
  </si>
  <si>
    <t>Clinical Prediction Models for Heart Failure Hospitalization in Type 2 Diabetes: A Systematic Review and Meta-Analysis</t>
  </si>
  <si>
    <t>JOURNAL OF THE AMERICAN HEART ASSOCIATION</t>
  </si>
  <si>
    <t>clinical prediction models; diabetes; heart failure; meta-analysis; prognostication; risk evaluation; systematic review</t>
  </si>
  <si>
    <t>INDIVIDUAL PARTICIPANT DATA; EXTERNAL VALIDATION; CARDIOVASCULAR RISK; SURVIVAL-DATA; COMPLICATIONS; CALIBRATION; EQUATIONS; IMPACT</t>
  </si>
  <si>
    <t>Ferreira, João Pedro/AAB-2489-2022; Razaghizad, Amir/ACD-3824-2022; Brophy, James/H-6673-2019; Greene, Stephen/PXB-3780-2026; Mavrakanas, Thomas/ABE-9023-2020</t>
  </si>
  <si>
    <t>Ferreira, João Pedro/0000-0002-2304-6138; Felker, Gary/0000-0002-5931-1239; Fudim, Marat/0000-0002-8671-7007; Razaghizad, Amir/0000-0001-8397-7949; Brophy, James/0000-0001-8049-6875; Mavrakanas, Thomas/0000-0002-3368-247X; Sharma, Abhinav/0000-0002-2346-8330</t>
  </si>
  <si>
    <t>WILEY</t>
  </si>
  <si>
    <t>HOBOKEN</t>
  </si>
  <si>
    <t>111 RIVER ST, HOBOKEN 07030-5774, NJ USA</t>
  </si>
  <si>
    <t>2047-9980</t>
  </si>
  <si>
    <t>J AM HEART ASSOC</t>
  </si>
  <si>
    <t>J. Am. Heart Assoc.</t>
  </si>
  <si>
    <t>MAY 17 2022</t>
  </si>
  <si>
    <t>e024833</t>
  </si>
  <si>
    <t>10.1161/JAHA.121.024833</t>
  </si>
  <si>
    <t>http://dx.doi.org/10.1161/JAHA.121.024833</t>
  </si>
  <si>
    <t>31</t>
  </si>
  <si>
    <t>Cardiac &amp; Cardiovascular Systems</t>
  </si>
  <si>
    <t>Cardiovascular System &amp; Cardiology</t>
  </si>
  <si>
    <t>1H6FM</t>
  </si>
  <si>
    <t>35574959</t>
  </si>
  <si>
    <t>WOS:000796637400014</t>
  </si>
  <si>
    <t>Gupta, P; Richards, S; Farid, SD; Paul, G</t>
  </si>
  <si>
    <t>Objectives: Artificial intelligence (AI) applications are being increasingly explored in pain medicine due to AI's ability to handle multidimensional data and analyze complex, nonlinear relationships. There is a need to identify and understand the advances that have been made in developing AI-based clinical prediction models in interventional pain medicine for spine disorders. Therefore, the purpose of this study is to conduct a systematic review of AI-based prediction models for clinical outcomes in interventional spine medicine with a focus on model field of application, performance, and generalizability. Methods: A systematic review evaluating AI-based clinical prediction models in interventional pain medicine for spine disorders was conducted using the PubMed/MEDLINE and Scopus databases in February of 2025. Articles meeting eligibility criteria had standardized data extracted and were assessed for their application, performance (primarily based on area under the receiver operating characteristic curve [AUROC] and accuracy), and generalizability (internal and/or external validation). Results: A final total of nine studies were included in this systematic review. Of these nine, four of the studies were pertaining to epidural steroid injections and five of the studies were pertaining to spinal cord stimulators. Two studies (22.2%) out of nine achieved an excellent (&gt; 0.90) AUROC or accuracy for their AI-based prediction models. One study (11.1%) externally validated their AI-based prediction model. Discussion: AI-based clinical prediction models are limited to epidural steroid injections and spinal cord stimulators. Additionally, there is a need to improve model performance and generalizability through external validation prior to clinical translation.</t>
  </si>
  <si>
    <t>Gupta, Puneet; Richards, Stephen; Farid, Sina Davari; Paul, Geet</t>
  </si>
  <si>
    <t>Gupta, P (corresponding author), George Washington Univ, Sch Med &amp; Hlth Sci, Dept Anesthesiol &amp; Crit Care Med, Washington, DC 20052 USA.</t>
  </si>
  <si>
    <t>guptap14@gwu.edu</t>
  </si>
  <si>
    <t>[Gupta, Puneet; Richards, Stephen; Farid, Sina Davari; Paul, Geet] George Washington Univ, Sch Med &amp; Hlth Sci, Dept Anesthesiol &amp; Crit Care Med, Washington, DC 20052 USA</t>
  </si>
  <si>
    <t>George Washington University</t>
  </si>
  <si>
    <t>Artificial Intelligence for Predicting Clinical Outcomes in Interventional Pain Medicine for Spine Disorders: A Systematic Review</t>
  </si>
  <si>
    <t>PAIN PRACTICE</t>
  </si>
  <si>
    <t>artificial intelligence; chronic back pain; interventional spine; prediction models</t>
  </si>
  <si>
    <t>EPIDURAL STEROID INJECTION; SUCCESS</t>
  </si>
  <si>
    <t>1530-7085</t>
  </si>
  <si>
    <t>1533-2500</t>
  </si>
  <si>
    <t>PAIN PRACT</t>
  </si>
  <si>
    <t>Pain Pract.</t>
  </si>
  <si>
    <t>MAR 2026</t>
  </si>
  <si>
    <t>e70129</t>
  </si>
  <si>
    <t>10.1111/papr.70129</t>
  </si>
  <si>
    <t>http://dx.doi.org/10.1111/papr.70129</t>
  </si>
  <si>
    <t>Anesthesiology; Clinical Neurology</t>
  </si>
  <si>
    <t>Anesthesiology; Neurosciences &amp; Neurology</t>
  </si>
  <si>
    <t>FA3XG</t>
  </si>
  <si>
    <t>41728639</t>
  </si>
  <si>
    <t>WOS:001714039900014</t>
  </si>
  <si>
    <t>Chen, JW; Zhong, XP; Zhai, YJ; Zhao, CX; Lan, JJ; Chen, LP; Xia, ZL</t>
  </si>
  <si>
    <t>BackgroundPostoperative blood transfusion remains a significant concern following total knee arthroplasty. Clinical prediction models can facilitate early identification of patients at risk, enabling targeted blood management to reduce unnecessary transfusions and related complications. However, the predictive performance, methodological quality, and clinical applicability of these models remain uncertain. Therefore, we systematically reviewed existing models for predicting postoperative transfusion in total knee arthroplasty.MethodsTen English and Chinese databases were comprehensively searched from database inception to February 2025 to identify relevant studies. Two reviewers independently extracted data based on the checklist for Critical Appraisal and Data Extraction for Systematic Reviews of Prediction Modelling Studies (CHARMS). The risk of bias and the applicability of each study was evaluated applying the Prediction model Risk Of Bias Assessment Tool (PROBAST). Extracted AUC of included models were pooled and analyzed utilizing a random-effects meta-analysis. A leave-one-out sensitivity analysis and an exploratory subgroup meta-analysis by modelling approach were also conducted to explore the sources of heterogeneity. All statistical analyses were performed in Stata 17.0 software.ResultsTwelve studies involving eighteen models were incorporated in this review. All studies established the prediction models employing logistic regression or machine learning methods. The most commonly used predictors were preoperative hemoglobin, age, body mass index, surgery duration, and the use of tranexamic acid. The pooled AUC for the six internally validated models was 0.83 (95% CI: 0.74-0.92), demonstrating a relatively high predictive discrimination. Sensitivity analysis did not materially change the estimates, and the subgroup meta-analyses showed that the modelling approach alone could not explain the heterogeneity (p = 0.406). However, all model were considered as having a high risk of bias, mainly owing to the unsuitable study design and poor reporting within the analysis domain.ConclusionsDespite the included studies demonstrating moderate to excellent discrimination for predicting postoperative transfusion after total knee arthroplasty, all studies were considered as having a high risk of bias following the PROBAST due to some methodological shortcomings and inadequate external validation. Future research should focus on improving methodological quality and performing multicenter external validation to ensure clinical applicability.Clinical trial numberNot applicable.</t>
  </si>
  <si>
    <t>Chen, Jingwen; Zhong, Xiaoping; Zhai, Yaojie; Zhao, Cuixian; Lan, Jingjing; Chen, Liping; Xia, Zhenlan</t>
  </si>
  <si>
    <t>Xia, ZL (corresponding author), Guangzhou Med Univ, Guangdong Prov Clin Res Ctr Obstet &amp; Gynecol, Guangdong Prov Key Lab Major Obstet Dis, Dept Orthopaed Surg,Affiliated Hosp 3, Guangzhou, Peoples R China.; Chen, LP (corresponding author), Guangzhou Med Univ, Guangdong Prov Clin Res Ctr Obstet &amp; Gynecol, Guangdong Prov Key Lab Major Obstet Dis, Dept Nursing,Affiliated Hosp 3, Guangzhou, Peoples R China.</t>
  </si>
  <si>
    <t>clp202306@163.com; 421170624@qq.com</t>
  </si>
  <si>
    <t>[Chen, Jingwen; Zhong, Xiaoping; Zhai, Yaojie; Zhao, Cuixian] Guangzhou Med Univ, Clin Coll 3, Nursing Coll, Guangzhou, Peoples R China; [Lan, Jingjing; Xia, Zhenlan] Guangzhou Med Univ, Guangdong Prov Clin Res Ctr Obstet &amp; Gynecol, Guangdong Prov Key Lab Major Obstet Dis, Dept Orthopaed Surg,Affiliated Hosp 3, Guangzhou, Peoples R China; [Chen, Liping] Guangzhou Med Univ, Guangdong Prov Clin Res Ctr Obstet &amp; Gynecol, Guangdong Prov Key Lab Major Obstet Dis, Dept Nursing,Affiliated Hosp 3, Guangzhou, Peoples R China</t>
  </si>
  <si>
    <t>Guangzhou Medical University; Guangzhou Medical University; Guangzhou Medical University</t>
  </si>
  <si>
    <t>Clinical prediction models for postoperative blood transfusion after total knee arthroplasty: a systematic review and meta-analysis</t>
  </si>
  <si>
    <t>BMC MUSCULOSKELETAL DISORDERS</t>
  </si>
  <si>
    <t>Blood transfusion; Total knee arthroplasty; Clinical prediction model; Systematic reviews; Meta-Analyses</t>
  </si>
  <si>
    <t>TOTAL HIP; RISK; APPLICABILITY; MANAGEMENT; PROBAST; BIAS; TOOL</t>
  </si>
  <si>
    <t>Xiaoping, Zhong/ADX-6497-2022</t>
  </si>
  <si>
    <t>52</t>
  </si>
  <si>
    <t>1471-2474</t>
  </si>
  <si>
    <t>BMC MUSCULOSKEL DIS</t>
  </si>
  <si>
    <t>BMC Musculoskelet. Disord.</t>
  </si>
  <si>
    <t>OCT 1 2025</t>
  </si>
  <si>
    <t>892</t>
  </si>
  <si>
    <t>10.1186/s12891-025-09164-z</t>
  </si>
  <si>
    <t>http://dx.doi.org/10.1186/s12891-025-09164-z</t>
  </si>
  <si>
    <t>Orthopedics; Rheumatology</t>
  </si>
  <si>
    <t>8EH1E</t>
  </si>
  <si>
    <t>41034914</t>
  </si>
  <si>
    <t>WOS:001586608500006</t>
  </si>
  <si>
    <t>Han, J; Vlieg, AV; Rosendaal, FR</t>
  </si>
  <si>
    <t>Venous thromboembolism (VTE) refers to abnormal blood clots in veins occurring in 1 to 2 per 1000 individuals every year. While anticoagulant treatment can prevent VTE, it increases the risk of bleeding. This emphasizes the importance of identifying individuals with a high risk of VTE and providing prophylactic interventions to these individuals to reduce both VTE and bleeding risks. Current risk assessment of VTE is based on the combination of mainly clinical risk factors. With the identification of an increasing number of genetic variants associated with the risk of VTE, the addition of genetic findings to clinical prediction models can improve risk prediction for VTE. Especially for individuals in high-risk situations, the added value of genetic findings to clinical prediction models may have benefits such as better prophylaxis of VTE and the reduced side effects of bleeding from unnecessary treatment. Nevertheless, the question of whether these models will eventually have clinical utility remains to be proven. Here, we review the current state of knowledge on genetic risk factors for VTE, explore genetic prediction models for VTE, and discuss their clinical implications and challenges.</t>
  </si>
  <si>
    <t>Han, Jihee; Vlieg, Astrid van Hylckama; Rosendaal, Frits R.</t>
  </si>
  <si>
    <t>Rosendaal, FR (corresponding author), Leiden Univ, Med Ctr, Dept Clin Epidemiol, C7 P, NL-2300 RC Leiden, Netherlands.</t>
  </si>
  <si>
    <t>f.r.rosendaal@lumc.nl</t>
  </si>
  <si>
    <t>[Han, Jihee; Vlieg, Astrid van Hylckama; Rosendaal, Frits R.] Leiden Univ, Med Ctr, Dept Clin Epidemiol, Leiden, Netherlands; [Rosendaal, Frits R.] Leiden Univ, Med Ctr, Dept Clin Epidemiol, C7 P, NL-2300 RC Leiden, Netherlands</t>
  </si>
  <si>
    <t>Leiden University - Excl LUMC; Leiden University; Leiden University Medical Center (LUMC); Leiden University; Leiden University - Excl LUMC; Leiden University Medical Center (LUMC)</t>
  </si>
  <si>
    <t>Genomic science of risk prediction for venous thromboembolic disease: convenient clarification or compounding complexity</t>
  </si>
  <si>
    <t>JOURNAL OF THROMBOSIS AND HAEMOSTASIS</t>
  </si>
  <si>
    <t>genetic risk prediction; genetics; prediction; review; venous thromboembolism</t>
  </si>
  <si>
    <t>ACTIVATED PROTEIN-C; FACTOR-V-LEIDEN; POOR ANTICOAGULANT RESPONSE; GENETIC-VARIATION; WIDE ASSOCIATION; ANTIGEN LEVELS; THROMBOSIS; DEFICIENCY; SUSCEPTIBILITY; VARIANTS</t>
  </si>
  <si>
    <t>Han, Jihee/ADK-2697-2022; van Hylckama Vlieg, Astrid/A-3323-2017; Rosendaal, Frits/Q-3842-2017</t>
  </si>
  <si>
    <t>89</t>
  </si>
  <si>
    <t>1538-7933</t>
  </si>
  <si>
    <t>1538-7836</t>
  </si>
  <si>
    <t>J THROMB HAEMOST</t>
  </si>
  <si>
    <t>J. Thromb. Haemost.</t>
  </si>
  <si>
    <t>DEC 2023</t>
  </si>
  <si>
    <t>2023</t>
  </si>
  <si>
    <t>3292</t>
  </si>
  <si>
    <t>3303</t>
  </si>
  <si>
    <t>10.1016/j.jtha.2023.09.006</t>
  </si>
  <si>
    <t>http://dx.doi.org/10.1016/j.jtha.2023.09.006</t>
  </si>
  <si>
    <t>NOV 2023</t>
  </si>
  <si>
    <t>Hematology; Peripheral Vascular Disease</t>
  </si>
  <si>
    <t>Hematology; Cardiovascular System &amp; Cardiology</t>
  </si>
  <si>
    <t>CG8Z6</t>
  </si>
  <si>
    <t>37838557</t>
  </si>
  <si>
    <t>WOS:001124205800001</t>
  </si>
  <si>
    <t>Bronze</t>
  </si>
  <si>
    <t>Cheng, LD; Pan, YX; Wo, PK; Zheng, YH; Yi, YT; Park, JW; Xiong, X</t>
  </si>
  <si>
    <t>ObjectivesAs machine learning and prediction model research grows in popularity, researchers may be tempted to exaggerate the value of their models through misleading reporting (spin) or statistical manipulation (hacking). This study assessed spin and potential hacking in machine learning-based prediction model studies in dentistry.MethodsSix databases were searched to identify studies published up to October 12, 2024. 2780 eligible studies were identified, and 1206 AUC values were extracted from abstracts for hacking analysis. For spin assessment, 209 studies were selected and evaluated based on the SPIN-PM framework.ResultsThe histogram of AUC values showed fluctuations near thresholds (0.7 and 0.8), suggesting potential AUC-hacking evidence. Spin practices were identified in 37.3% (n = 78) assessed studies, mainly through unjustified use of optimistic or positive words to describe model performance and claims of clinical applicability without external validation. Facilitators of spin were found in 39.2% (n = 82) of studies, with the most frequent being the reporting of performance measures without confidence intervals.ConclusionsThe spin practices and facilitators were prevalent, and some evidence of hacking was found. We suggest considering the 'TRIAL' (Transparency, Reporting, Integrity, Adjustment, and Learning) principles to guide machine learning prediction model studies in dentistry, thereby minimizing spin and hacking.</t>
  </si>
  <si>
    <t>Cheng, Liandi; Pan, Yixuan; Wo, Po-Kam; Zheng, Yunhao; Yi, Yating; Park, Ji Woon; Xiong, Xin</t>
  </si>
  <si>
    <t>Xiong, X (corresponding author), Sichuan Univ, West China Hosp Stomatol, State Key Lab Oral Dis, Chengdu, Sichuan, Peoples R China.</t>
  </si>
  <si>
    <t>drxiongxin@scu.edu.cn</t>
  </si>
  <si>
    <t>Clinical Research Project of West China Hospital of Stomatology, Sichuan University; National Natural Science Foundation of China [82301129]; Natural Science Foundation of Sichuan Province of China [2025ZNSFSC1586]</t>
  </si>
  <si>
    <t>Clinical Research Project of West China Hospital of Stomatology, Sichuan University; National Natural Science Foundation of China (National Natural Science Foundation of China (NSFC)); Natural Science Foundation of Sichuan Province of China</t>
  </si>
  <si>
    <t>This work was supported by National Natural Science Foundation of China (82301129), Clinical Research Project of West China Hospital of Stomatology, Sichuan University (LCYJ-2023-YY-2), and Natural Science Foundation of Sichuan Province of China (2025ZNSFSC1586).</t>
  </si>
  <si>
    <t>[Cheng, Liandi; Pan, Yixuan; Wo, Po-Kam; Zheng, Yunhao; Yi, Yating; Xiong, Xin] Sichuan Univ, West China Hosp Stomatol, State Key Lab Oral Dis, Chengdu, Sichuan, Peoples R China; [Cheng, Liandi; Pan, Yixuan; Wo, Po-Kam; Zheng, Yunhao; Yi, Yating; Xiong, Xin] Sichuan Univ, West China Hosp Stomatol, Natl Ctr Stomatol, Chengdu, Sichuan, Peoples R China; [Cheng, Liandi; Pan, Yixuan; Wo, Po-Kam; Zheng, Yunhao; Yi, Yating; Xiong, Xin] Sichuan Univ, West China Hosp Stomatol, Natl Clin Res Ctr Oral Dis, Chengdu, Sichuan, Peoples R China; [Park, Ji Woon] Seoul Natl Univ, Sch Dent, Seoul, South Korea; [Park, Ji Woon] Seoul Natl Univ, Dent Res Inst, Seoul, South Korea; [Park, Ji Woon] Seoul Natl Univ Dent Hosp, Seoul, South Korea</t>
  </si>
  <si>
    <t>Sichuan University; Sichuan University; Sichuan University; Seoul National University (SNU); Seoul National University (SNU); Seoul National University (SNU); Seoul National University Hospital</t>
  </si>
  <si>
    <t>Spin and Hacking in Machine Learning Prediction Model Studies in Dentistry: A Systematic Review</t>
  </si>
  <si>
    <t>ORAL DISEASES</t>
  </si>
  <si>
    <t>dentistry; machine learning; misleading reporting; prediction model; statistical manipulation</t>
  </si>
  <si>
    <t>CONFIDENCE-INTERVALS; DIAGNOSIS</t>
  </si>
  <si>
    <t>Cheng, Liandi/KFQ-2481-2024; Zheng, Yunhao/LMQ-0924-2024; Xiong, Xin/GZL-7036-2022; Park, Ji Woon/AAS-7375-2020</t>
  </si>
  <si>
    <t>Zheng, Yunhao/0000-0002-4906-2830; Xiong, Xin/0000-0003-2175-0970</t>
  </si>
  <si>
    <t>1354-523X</t>
  </si>
  <si>
    <t>1601-0825</t>
  </si>
  <si>
    <t>ORAL DIS</t>
  </si>
  <si>
    <t>Oral Dis.</t>
  </si>
  <si>
    <t>DEC 2025</t>
  </si>
  <si>
    <t>3282</t>
  </si>
  <si>
    <t>3293</t>
  </si>
  <si>
    <t>10.1111/odi.70023</t>
  </si>
  <si>
    <t>http://dx.doi.org/10.1111/odi.70023</t>
  </si>
  <si>
    <t>JUL 2025</t>
  </si>
  <si>
    <t>Dentistry, Oral Surgery &amp; Medicine</t>
  </si>
  <si>
    <t>FP3MM</t>
  </si>
  <si>
    <t>40626371</t>
  </si>
  <si>
    <t>WOS:001523827100001</t>
  </si>
  <si>
    <t>Jarrah, MM; Al-Shamsi, HO; Abuhelwa, Z; Bustanji, Y; Semreen, MH; Mckinnon, RA; Sorich, MJ; Hopkins, AM; Abuhelwa, AY</t>
  </si>
  <si>
    <t>Background and Objectives Multiple myeloma (MM) is characterized by substantial clinical heterogeneity, leading to wide variability in treatment response and toxicity. Although numerous prognostic tools exist, relatively few models estimate outcomes conditional on a specific therapeutic regimen. Treatment-specific prediction models are an important step toward individualized therapy selection. This review synthesizes the current landscape of treatment-specific clinical prediction models in MM.Methods A structured search of PubMed and Embase/Scopus identified multivariable clinical prediction models developed within a static treatment framework, evaluating treatment-specific therapeutic or toxicity-related outcomes in MM. Information was extracted on treatment regimens, predictors, modeling methods, validation strategies, and reporting of clinical utility.Results Thirteen models were identified, evaluating therapeutic (n = 10) or toxicity-related (n = 3) outcomes across regimens including bortezomib-based induction, daratumumab-containing combinations, ixazomib-based triplets, and CAR-T therapy. Predictors were mainly routine clinical and laboratory variables, with limited integration of cytogenetics or patient-reported outcomes. Most models used traditional regression methods; calibration was inconsistently reported, and external validation was performed in seven studies. Decision curve analysis was included in only two models.Conclusions Methodological and translational gaps remain, including limited transparency, scarce external validation, and lack of patient-reported or longitudinal predictors. None of the models have been implemented as online calculators or integrated into electronic decision-support systems, limiting real-world uptake. Addressing these gaps is essential for developing clinically meaningful prediction tools to support personalized treatment in MM.</t>
  </si>
  <si>
    <t>Jarrah, Mays M.; Al-shamsi, Humaid O.; Abuhelwa, Ziad; Bustanji, Yasser; Semreen, Mohammad H.; Mckinnon, Ross A.; Sorich, Michael J.; Hopkins, Ashley M.; Abuhelwa, Ahmad Y.</t>
  </si>
  <si>
    <t>Abuhelwa, AY (corresponding author), Univ Sharjah, Coll Pharm, Sharjah, U Arab Emirates.; Abuhelwa, AY (corresponding author), Univ Sharjah, Res Inst Med &amp; Hlth Sci, Sharjah, U Arab Emirates.</t>
  </si>
  <si>
    <t>ahmad.abuhelwa@sharjah.ac.ae</t>
  </si>
  <si>
    <t>National Health and Medical Research Council (NHMRC) [APP2008119]; University of Sharjah [2301110392]; Tour De Cure [RSP-117-FY2023]</t>
  </si>
  <si>
    <t>National Health and Medical Research Council (NHMRC) (National Health &amp; Medical Research Council (NHMRC) of Australia); University of Sharjah (University of Sharjah); Tour De Cure</t>
  </si>
  <si>
    <t>This study was supported by the University of Sharjah Targeted Research Grant No. 2301110392. Ashley M. Hopkins is a National Health and Medical Research Council (NHMRC) Fellow (APP2008119) who is supported by research funding from Tour De Cure (RSP-117-FY2023).</t>
  </si>
  <si>
    <t>[Jarrah, Mays M.; Semreen, Mohammad H.; Abuhelwa, Ahmad Y.] Univ Sharjah, Coll Pharm, Sharjah, U Arab Emirates; [Jarrah, Mays M.; Semreen, Mohammad H.; Abuhelwa, Ahmad Y.] Univ Sharjah, Res Inst Med &amp; Hlth Sci, Sharjah, U Arab Emirates; [Al-shamsi, Humaid O.] Burjeel Canc Inst, Dept Oncol, Abu Dhabi, U Arab Emirates; [Al-shamsi, Humaid O.] Ras Al Khaimah Med &amp; Hlth Sci, Coll Med, Ras Al Khaymah, U Arab Emirates; [Al-shamsi, Humaid O.] Harvard Med Sch, Dana Farber Canc Inst, Dept Med Oncol, Boston, MA USA; [Abuhelwa, Ziad] Univ S Florida, H Lee Moffitt Canc Ctr &amp; Res Inst, Dept Hematol &amp; Med Oncol, Tampa, FL USA; [Bustanji, Yasser] Univ Sharjah, Coll Med, Sharjah, U Arab Emirates; [Bustanji, Yasser] Univ Jordan, Sch Pharm, Amman, Jordan; [Mckinnon, Ross A.; Sorich, Michael J.; Hopkins, Ashley M.] Flinders Univ S Australia, Coll Med &amp; Publ Hlth, Bedford Pk, SA, Australia</t>
  </si>
  <si>
    <t>University of Sharjah; University of Sharjah; RAK Medical &amp; Health Sciences University; Harvard University; Harvard Medical School; Harvard University Medical Affiliates; Dana-Farber Cancer Institute; State University System of Florida; H Lee Moffitt Cancer Center &amp; Research Institute; University of South Florida; University of Sharjah; University of Jordan; Flinders University</t>
  </si>
  <si>
    <t>Treatment-Specific Prediction Models in Multiple Myeloma: A Critical Review of Current Evidence and Future Directions</t>
  </si>
  <si>
    <t>EUROPEAN JOURNAL OF HAEMATOLOGY</t>
  </si>
  <si>
    <t>machine learning; multiple myeloma; personalized medicine; prediction models; prognostic modelling; risk stratification; toxicity prediction; treatment-specific outcomes</t>
  </si>
  <si>
    <t>Hopkins, Ashley/W-9551-2019; Abuhelwa, Ahmad/K-1093-2015; Bustanji, Yasser/C-2626-2015; Sorich, Michael Joseph/A-1210-2011; McKinnon, Ross/B-9340-2009</t>
  </si>
  <si>
    <t>Sorich, Michael Joseph/0000-0003-1999-866X; McKinnon, Ross/0000-0002-3725-793X</t>
  </si>
  <si>
    <t>43</t>
  </si>
  <si>
    <t>0902-4441</t>
  </si>
  <si>
    <t>1600-0609</t>
  </si>
  <si>
    <t>EUR J HAEMATOL</t>
  </si>
  <si>
    <t>Eur. J. Haematol.</t>
  </si>
  <si>
    <t>JUL 2026</t>
  </si>
  <si>
    <t>117</t>
  </si>
  <si>
    <t>100</t>
  </si>
  <si>
    <t>116</t>
  </si>
  <si>
    <t>10.1111/ejh.70177</t>
  </si>
  <si>
    <t>http://dx.doi.org/10.1111/ejh.70177</t>
  </si>
  <si>
    <t>Hematology</t>
  </si>
  <si>
    <t>IZ6UZ</t>
  </si>
  <si>
    <t>41909977</t>
  </si>
  <si>
    <t>WOS:001727852400001</t>
  </si>
  <si>
    <t>Haq, MU; Pritchard, DM; Myint, AS; Javed, MA; Duckworth, CA; Than, NW; Bonnett, LJ; Hughes, DM</t>
  </si>
  <si>
    <t>Background: Currently, there are no clinically predictive models that can prognosticate the response of rectal cancers to Contact X-ray brachytherapy (CXB). This review aims to critically evaluate existing models that have attempted to predict the response of rectal cancer to external beam radiotherapy, with the objective of laying the foundation for the development of a CXB-specific prediction model. Methods: A random-effects meta-analysis was employed to calculate pooled estimates of the discriminative ability of published models. Using the Prediction Model Risk Of Bias Assessment Tool (PROBAST), each model was evaluated for its risk of bias and applicability. Additionally, the frequency of commonly utilised predictive factors was documented. Results: Twelve papers discussed fifteen models based on pre-treatment factors. Models predicting response based on the Tumour regression grade (TRG) classified responders as patients who achieved a complete response or near complete response and achieved a pooled AUC of 0.82 (95% CI 0.74-0.89). Models that predicted pathologic complete response (pCR) had a pooled AUC of 0.76 (95% CI 0.71-0.82). The most utilised predictive parameters were age, tumour grade and T stage. However, these models were prone to significant risk of bias and had limited applicability to the general population. Conclusions: Although the existing models were statistically robust, they lacked broad applicability. This was primarily due to a lack of external validation, which limits their clinical utility. A future CXB-specific model should prioritise dedicated data collection based on pre-calculated sample size and include the predictive factors identified in this review.</t>
  </si>
  <si>
    <t>Haq, Muneeb Ul; Pritchard, D. Mark; Myint, Arthur Sun; Javed, Muhammad Ahsan; Duckworth, Carrie A.; Than, Ngu Wah; Bonnett, Laura J.; Hughes, David M.</t>
  </si>
  <si>
    <t>Haq, MU (corresponding author), Univ Liverpool, Inst Syst Mol &amp; Integrat Biol, Liverpool, England.; Haq, MU (corresponding author), Clatterbridge Canc Ctr NHS Fdn Trust, Liverpool, England.</t>
  </si>
  <si>
    <t>muneeb.haq@liverpool.ac.uk</t>
  </si>
  <si>
    <t>European Union [857894-CAST]</t>
  </si>
  <si>
    <t>This project has received funding from the European Union's Horizon 2020 research and innovation programme under the Marie Sklodowska- Curie grant agreement No 857894-CAST.</t>
  </si>
  <si>
    <t>[Haq, Muneeb Ul; Pritchard, D. Mark; Duckworth, Carrie A.; Than, Ngu Wah] Univ Liverpool, Inst Syst Mol &amp; Integrat Biol, Liverpool, England; [Haq, Muneeb Ul; Myint, Arthur Sun; Than, Ngu Wah] Clatterbridge Canc Ctr NHS Fdn Trust, Liverpool, England; [Pritchard, D. Mark; Javed, Muhammad Ahsan] Liverpool Univ Hosp NHS Fdn Trust, Liverpool, England; [Javed, Muhammad Ahsan] Univ Liverpool, Inst Life Course &amp; Med Sci, Liverpool, England; [Bonnett, Laura J.; Hughes, David M.] Univ Liverpool, Inst Populat Hlth, Dept Hlth Data Sci, Liverpool, England</t>
  </si>
  <si>
    <t>University of Liverpool; University of Liverpool; University of Liverpool</t>
  </si>
  <si>
    <t>Clinical Prediction Models for Contact X-Ray Brachytherapy in Managing Rectal Cancers: A Scoping Review</t>
  </si>
  <si>
    <t>CANCER MEDICINE</t>
  </si>
  <si>
    <t>brachytherapy; clinical prediction models; rectal cancers</t>
  </si>
  <si>
    <t>ORGAN PRESERVATION; NEOADJUVANT CHEMORADIOTHERAPY; CHEMORADIATION THERAPY; ADENOCARCINOMA; RADIOTHERAPY; REGRESSION; METAANALYSIS; PERFORMANCE; OUTCOMES; WATCH</t>
  </si>
  <si>
    <t>Sun Myint, Arthur/L-2714-2019; Bonnett, Laura/A-2159-2015; Duckworth, Carrie/K-7302-2014</t>
  </si>
  <si>
    <t>Ul Haq, Muneeb/0000-0002-2303-7469; Than, Ngu/0000-0003-4991-5431; Sun Myint, Arthur/0000-0001-5323-5696; Pritchard, David Mark/0000-0001-7971-3561; Javed, Muhammad Ahsan/0000-0003-0402-2285; Bonnett, Laura/0000-0002-6981-9212</t>
  </si>
  <si>
    <t>2045-7634</t>
  </si>
  <si>
    <t>CANCER MED-US</t>
  </si>
  <si>
    <t>Cancer Med.</t>
  </si>
  <si>
    <t>APR 3 2025</t>
  </si>
  <si>
    <t>e70697</t>
  </si>
  <si>
    <t>10.1002/cam4.70697</t>
  </si>
  <si>
    <t>http://dx.doi.org/10.1002/cam4.70697</t>
  </si>
  <si>
    <t>0XP9F</t>
  </si>
  <si>
    <t>40178039</t>
  </si>
  <si>
    <t>WOS:001458446100001</t>
  </si>
  <si>
    <t>Howard, HR; Hasanova, M; Tiwari, A; Ghose, A; Winayak, R; Nahar, T; Chauhan, V; Arun, S; Palmer, K; Houston, A; Kumar, NS; Lalwani, S; Januszewski, A; Conibear, J; Jain, A; Cortellini, A; Passaro, A; Addeo, A; Noronha, V; Banna, GL; Boussios, S</t>
  </si>
  <si>
    <t>Globally, lung cancer remains the most common cause of cancer mortality, with non-small-cell lung cancer (NSCLC) being the most common subtype of lung cancer diagnosed. This review paper provides a comprehensive landscape of clinical prediction models (CPMs) in NSCLC, including in early-stage and metastatic disease, and the recent acceleration of artificial intelligence integration. Prediction models are developed using multimodal patient data to allow oncologists to make evidence-based decisions regarding patient treatment options. Despite these models in early-stage and metastatic NSCLC showing promise, their clinical application provides challenges, involving an unmet need for external validation, alongside a lack of prospective modelling. However, the continued advancements in this field, comprising production and accessibility of large-scale pathology databases and external validation of developed models, allow for continued research and progress. These models have potential to assist in personalised treatment selection, supporting oncologists in perceiving future risk factors or issues associated with a specific targeted therapy for an individual patient, ultimately optimising treatment to precise, personalised options for individuals diagnosed with NSCLC.</t>
  </si>
  <si>
    <t>Howard, H. R.; Hasanova, M.; Tiwari, A.; Ghose, A.; Winayak, R.; Nahar, T.; Chauhan, V.; Arun, S.; Palmer, K.; Houston, A.; Kumar, N. S.; Lalwani, S.; Januszewski, A.; Conibear, J.; Jain, A.; Cortellini, A.; Passaro, A.; Addeo, A.; Noronha, V.; Banna, G. L.; Boussios, S.</t>
  </si>
  <si>
    <t>Ghose, A (corresponding author), OncoFlowTM, London, England.; Ghose, A (corresponding author), Queen Mary Univ London, Barts Canc Inst, London, England.; Ghose, A (corresponding author), Barts Hlth NHS Trust, St Bartholomews Hosp, Barts Canc Ctr, London EC1A 7BE, England.; Ghose, A (corresponding author), European Canc Org, Hlth Syst &amp; Treatment Optimisat Network, Brussels, Belgium.; Ghose, A (corresponding author), Medway NHS Fdn Trust, Dept Res &amp; Innovat, Med Oncol, Gillingham, England.; Ghose, A (corresponding author), European Canc Org, Hlth Syst &amp; Treatment Optimisat Network, Brussels, Belgium.; Ghose, A (corresponding author), Royal Soc Med, Oncol Council, London, England.</t>
  </si>
  <si>
    <t>aruni.ghose1@gmail.com</t>
  </si>
  <si>
    <t>[Howard, H. R.] UCL, Canc Inst, London, England; [Hasanova, M.] UCL, Div Biosci, London, England; [Hasanova, M.; Ghose, A.] OncoFlowTM, London, England; [Tiwari, A.] Princess Alexandra Hosp NHS Trust, Canc Serv, Harlow, England; [Tiwari, A.; Ghose, A.; Chauhan, V.; Lalwani, S.; Januszewski, A.; Conibear, J.] Queen Mary Univ London, Barts Canc Inst, London, England; [Ghose, A.; Lalwani, S.; Januszewski, A.; Conibear, J.] Barts Hlth NHS Trust, St Bartholomews Hosp, Barts Canc Ctr, London EC1A 7BE, England; [Ghose, A.; Boussios, S.] Medway NHS Fdn Trust, Dept Res &amp; Innovat, Gillingham, England; [Ghose, A.] European Canc Org, Hlth Syst &amp; Treatment Optimisat Network, Brussels, Belgium; [Winayak, R.] Maidstone &amp; Tunbridge Wells NHS Trust, Kent Oncol Ctr, Maidstone, England; [Nahar, T.] Queens Univ, Sch Med Dent &amp; Biomed Sci, Belfast, North Ireland; [Chauhan, V.] NHS Lothian, Royal Infirm Edinburgh, Dept Gen Internal Med, Edinburgh, Scotland; [Arun, S.] Queen Mary Univ London, Wolfson Inst Populat Hlth, Ctr Canc Screening Prevent &amp; Early Diag, London, England; [Palmer, K.] Univ Coll London Hosp NHS Fdn Trust, Dept Clin Oncol, London, England; [Houston, A.] Barts Hlth NHS Trust, Barts Life Sci, London, England; [Houston, A.] Queen Mary Univ London, Digital Environm Res Inst, London, England; [Kumar, N. S.] Univ Leicester, Coll Life Sci, Leicester, England; [Kumar, N. S.] Natl Med Res Assoc, London, England; [Jain, A.] Indraprastha Apollo Hosp, Apollo Canc Ctr, New Delhi, India; [Jain, A.] Royal Wolverhampton NHS Trust, New Cross Hosp, Deanesly Ctr Canc Serv, Wolverhampton, England; [Cortellini, A.] Fdn Policlin Univ Campus Biomed, Operat Res Unit Med Oncol, Rome, Italy; [Cortellini, A.] Univ Campus Biomed Roma, Dept Med &amp; Surg, Rome, Italy; [Cortellini, A.] Imperial Coll London, Dept Surg &amp; Canc, Hammersmith Hosp Campus, London, England; [Passaro, A.] European Inst Oncol IRCCS, Div Thorac Oncol, Milan, Italy; [Addeo, A.] Geneva Univ Hosp, Oncol Serv, Geneva, Switzerland; [Noronha, V.] Tata Mem Hosp, Homi Bhabha Natl Inst, Dept Med Oncol, Mumbai, India; [Banna, G. L.] Portsmouth Hosp Univ NHS Trust, Dept Med Oncol, Portsmouth, England; [Banna, G. L.] Univ Portsmouth, Fac Sci &amp; Hlth, Sch Pharm &amp; Biomed Sci, Portsmouth, England; [Boussios, S.] Ioannina Univ Hosp, Dept Med Oncol, Ioannina, Greece; [Boussios, S.] Univ Ioannina, Fac Med, Sch Hlth Sci, Ioannina, Greece; [Boussios, S.] AELIA Org, Thessaloniki, Greece; [Boussios, S.] Univ Kent, Kent &amp; Medway Med Sch, Canterbury, England; [Boussios, S.] Canterbury Christ Church Univ, Fac Med Hlth &amp; Social Care, Canterbury, England; [Boussios, S.] Kings Coll London, Fac Life Sci &amp; Med, Sch Canc &amp; Pharmaceut Sci, London, England; [Ghose, A.] Barts Hlth NHS Trust, Barts Canc Ctr, St Bartholomews Hosp, London EC1A 7BE, England</t>
  </si>
  <si>
    <t>University of London; University College London; University of London; University College London; Princess Alexandra Hospital NHS Trust; University of London; Queen Mary University London; Barts Health NHS Trust; University of London; Queen Mary University London; Queens University Belfast; Royal Infirmary of Edinburgh; University of London; Queen Mary University London; University of London; University College London Hospitals NHS Foundation Trust; University College London; Barts Health NHS Trust; University of London; Queen Mary University London; University of Leicester; New Cross Hospital; Fondazione Policlinico Universitario Campus Bio-Medico; University Campus Bio-Medico - Rome Italy; Imperial College London; IRCCS European Institute of Oncology (IEO); University of Geneva; Tata Memorial Centre (TMC); Homi Bhabha National Institute; Tata Memorial Hospital; University of Portsmouth; University Hospital Ioannina; University of Ioannina; University of Kent; Canterbury Christ Church University; University of London; King's College London; Barts Health NHS Trust; University of London; Queen Mary University London</t>
  </si>
  <si>
    <t>The landscape of conventional and artificial intelligence-based clinical prediction models in non-small-cell lung cancer: from development to real-world validation</t>
  </si>
  <si>
    <t>ESMO OPEN</t>
  </si>
  <si>
    <t>clinical prediction; predictive model; lung cancer; cancer prognosis; artificial intelligence; NSCLC</t>
  </si>
  <si>
    <t>TO-LYMPHOCYTE RATIO; TNM CLASSIFICATION; PROGNOSTIC-FACTORS; SURVIVAL; IMPACT; MULTICENTER; BIOMARKERS; PROPOSALS; SIGNATURE; EDITION</t>
  </si>
  <si>
    <t>Cortellini, Alessio/AAB-8609-2019; Banna, Giuseppe/AEN-7940-2022; Boussios, Stergios/AAH-2933-2019; Addeo, Alfredo/AAE-2064-2020</t>
  </si>
  <si>
    <t>GHOSE, ARUNI/0000-0001-8332-8033; Kukreja, Niraj/0000-0003-1843-0028; Houston, Anew/0000-0001-9973-3818; Nahar, Tulika/0000-0001-8766-1765; Boussios, Stergios/0000-0002-2512-6131; Howard, Harriet Rose/0009-0000-0963-8471; Palmer, Kieran/0000-0003-3710-1588; Winayak, Rahul/0009-0005-7952-9904</t>
  </si>
  <si>
    <t>ELSEVIER</t>
  </si>
  <si>
    <t>AMSTERDAM</t>
  </si>
  <si>
    <t>RADARWEG 29, 1043 NX AMSTERDAM, NETHERLANDS</t>
  </si>
  <si>
    <t>2059-7029</t>
  </si>
  <si>
    <t>ESMO Open</t>
  </si>
  <si>
    <t>SEP 2025</t>
  </si>
  <si>
    <t>105557</t>
  </si>
  <si>
    <t>10.1016/j.esmoop.2025.105557</t>
  </si>
  <si>
    <t>http://dx.doi.org/10.1016/j.esmoop.2025.105557</t>
  </si>
  <si>
    <t>JAN 2025</t>
  </si>
  <si>
    <t>8EQ8O</t>
  </si>
  <si>
    <t>40840236</t>
  </si>
  <si>
    <t>WOS:001586862100001</t>
  </si>
  <si>
    <t>Battle, C; Cole, E; Whelan, R; Baker, E</t>
  </si>
  <si>
    <t>Introduction: The STUMBL Score clinical prediction model was originally developed and externally validated to support clinical decision-making of patients with blunt chest wall trauma in the Emergency Department. The aim of this scoping review was to understand the extent and type of evidence in relation to the STUMBL Score clinical prediction model as a component of the management of patients with blunt chest wall trauma managed in the Emergency Care setting.Methods: A systematic search was conducted across databases, including Medline, Embase and the Cochrane Central Register of Controlled Trials from Jan 2014 to Feb 2023. In addition, a search of the grey literature was undertaken along with citation searching of relevant studies. Published and non-published sources of all research designs were included. Data extracted included specific details about the participants, concept, context, study methods and key findings relevant to the review question. Data extraction followed the JBI guidance and results presented in tabular format accompanied with a narrative summary.Results: A total of 44 sources originating from eight countries were identified, 28 were published and 16 grey literature. Sources were grouped into four separate categories: 1) external validation studies, 2) guidance doc-uments, 3) practice reviews and educational resources 3) research studies and quality improvement projects, 4) grey literature unpublished resources. This body of evidence describes the clinical utility of the STUMBL Score and has identify how the score is being implemented and used differently in different settings including analgesic selection and participant eligibility for including in chest wall injury research studies.Discussion: This review demonstrates how the STUMBL Score has evolved from solely predicting risk of respi-ratory complications to a measure which supports clinical decision making for the use of complex analgesic modes and as a guide for eligibility in chest wall injury trauma research studies. Despite external validation of the STUMBL Score, there is a need for further calibration and evaluation, particularly relating to these repurposed functions of the score. Overall, the clinical benefit of the score remains clear and its wide usage demonstrates the impact it has on clinical care, patient experience and clinician decision making.</t>
  </si>
  <si>
    <t>Battle, Ceri; Cole, Elaine; Whelan, Rhys; Baker, Edward</t>
  </si>
  <si>
    <t>Battle, C (corresponding author), Swansea Bay Univ Hlth Board, Morriston Hosp, Physiotherapy Dept, Swansea SA6 6NL, Wales.</t>
  </si>
  <si>
    <t>edwardbaker@nhs.net; Ceri.battle@Wales.nhs.uk; Rhys.whelan@wales.nhs.uk; e.cole@qmul.ac.uk</t>
  </si>
  <si>
    <t>[Battle, Ceri] Swansea Bay Univ Hlth Board, Morriston Hosp, Physiotherapy Dept, Swansea SA6 6NL, Wales; [Cole, Elaine] Queen Mary Univ London, Blizard Inst, Ctr Trauma Sci, London, England; [Whelan, Rhys] Swansea Bay Univ Hlth Board, Morriston Hosp, Lib &amp; Knowledge Serv, Swansea, Wales; [Baker, Edward] Kings Coll Hosp London, Emergency Dept, London, England</t>
  </si>
  <si>
    <t>Morriston Hospital; University of London; Queen Mary University London; Morriston Hospital; King's College Hospital NHS Foundation Trust; King's College Hospital</t>
  </si>
  <si>
    <t>Scoping review of the literature to ascertain how the STUMBL Score clinical prediction model is used to manage patients with blunt chest wall trauma in emergency care</t>
  </si>
  <si>
    <t>INJURY-INTERNATIONAL JOURNAL OF THE CARE OF THE INJURED</t>
  </si>
  <si>
    <t>Blunt chest wall trauma; Clinical practice; Emergency care; Evidence synthesis; Risk stratification</t>
  </si>
  <si>
    <t>Whelan, Rhys/0000-0001-6722-7726; Battle, Ceri/0000-0002-7503-1931; Cole, Elaine/0000-0002-3642-3537; Baker, Edward/0000-0002-2633-0871</t>
  </si>
  <si>
    <t>41</t>
  </si>
  <si>
    <t>0020-1383</t>
  </si>
  <si>
    <t>1879-0267</t>
  </si>
  <si>
    <t>INJURY</t>
  </si>
  <si>
    <t>Injury-Int. J. Care Inj.</t>
  </si>
  <si>
    <t>JUL 2023</t>
  </si>
  <si>
    <t>110796</t>
  </si>
  <si>
    <t>10.1016/j.injury.2023.05.027</t>
  </si>
  <si>
    <t>http://dx.doi.org/10.1016/j.injury.2023.05.027</t>
  </si>
  <si>
    <t>JUN 2023</t>
  </si>
  <si>
    <t>Critical Care Medicine; Emergency Medicine; Orthopedics; Surgery</t>
  </si>
  <si>
    <t>General &amp; Internal Medicine; Emergency Medicine; Orthopedics; Surgery</t>
  </si>
  <si>
    <t>K5CS1</t>
  </si>
  <si>
    <t>37208252</t>
  </si>
  <si>
    <t>WOS:001016622800001</t>
  </si>
  <si>
    <t>Lim, SMS; Wong, PL; Sulaiman, H; Atiya, N; Shunmugam, RH; Liew, SM</t>
  </si>
  <si>
    <t>Background: beta-Lactamase resistance among certain Gram-negative bacteria has been associated with increased mortality, length of hospitalization, and hospital costs.Aim: To identify and critically appraise existing clinical prediction models of extended-spectrum beta-lactamase-producing Enterobacteriaceae (ESBL-EKP) infection or colonization.Methods: Electronic databases, reference lists, and citations were searched from inception to April 2018. Papers were included in any language describing the development or validation, or both, of models and scores to predict the risk of ESBL-EKP infection or colonization.Findings: In all, 1795 references were screened, of which four articles were included in the review. The included studies were carried out in different geographical locations with differing study designs, and inclusion and exclusion criteria. Most if not all studies lacked external validation and blinding of reviewers during the evaluation of the predictor variables and outcome. All studies excluded missing data and most studies did not report the number of patients excluded due to missing data. Fifteen predictors of infection or colonization with ESBL-EKP were identified. Commonly included predictors were previous antibiotic use, previous hospitalization, transfer from another healthcare facility, and previous procedures (urinary catheterization and invasive procedures).Conclusion: Due to limitations and variations in the study design, clinicians would have to take these differences into consideration when deciding on how to use these models in clinical practice. Due to lack of external validation, the generalizability of these models remains a question. Therefore, further external validation in local settings is needed to confirm the usefulness of these models in supporting decision-making. (C) 2019 The Healthcare Infection Society. Published by Elsevier Ltd. All rights reserved.</t>
  </si>
  <si>
    <t>Lim, S. Mohd Sazlly; Wong, P. L.; Sulaiman, H.; Atiya, N.; Shunmugam, R. Hisham; Liew, S. M.</t>
  </si>
  <si>
    <t>Lim, SMS (corresponding author), Univ Putra Malaysia, Dept Med, Fac Med &amp; Hlth Sci, Serdang 434000, Selangor, Malaysia.</t>
  </si>
  <si>
    <t>sazlyna@upm.edu.my</t>
  </si>
  <si>
    <t>[Lim, S. Mohd Sazlly] Univ Putra Malaysia, Dept Med, Fac Med &amp; Hlth Sci, Serdang 434000, Selangor, Malaysia; [Wong, P. L.; Sulaiman, H.] Univ Malaya, Dept Med, Fac Med, Infect Dis Unit, Jalan Univ, Kuala Lumpur, Malaysia; [Atiya, N.] Univ Malaya, Fac Med, Dept Med Microbiol, Jalan Univ, Kuala Lumpur, Malaysia; [Shunmugam, R. Hisham] Univ Malaya, Univ Malaya Lib, Jalan Univ, Kuala Lumpur, Malaysia; [Liew, S. M.] Univ Malaya, Dept Primary Care Med, Fac Med, Jalan Univ, Kuala Lumpur, Malaysia</t>
  </si>
  <si>
    <t>Universiti Putra Malaysia; Universiti Malaya; Universiti Malaya; Universiti Malaya; Universiti Malaya</t>
  </si>
  <si>
    <t>Clinical prediction models for ESBL-Enterobacteriaceae colonization or infection: a systematic review</t>
  </si>
  <si>
    <t>JOURNAL OF HOSPITAL INFECTION</t>
  </si>
  <si>
    <t>ESBL; Extended-spectrum beta-lactamases score; Prediction; Risk stratification</t>
  </si>
  <si>
    <t>LACTAMASE-PRODUCING ENTEROBACTERIACEAE; ESCHERICHIA-COLI; ECONOMIC-IMPACT; BACTEREMIA; MORTALITY; COSTS</t>
  </si>
  <si>
    <t>Liew, Su May/B-8852-2010; Atiya, Nadia/HJA-9420-2022; /AAN-3407-2021; Wong, Pui Li/PFR-3777-2026; hisham, ranita/F-5073-2011; Sulaiman, Helmi/GOV-4850-2022</t>
  </si>
  <si>
    <t>Liew, Su May/0000-0003-2865-7955; Atiya, Nadia/0000-0002-2547-4996; hisham, ranita/0000-0002-3356-2291; Sulaiman, Helmi/0000-0001-7541-6615</t>
  </si>
  <si>
    <t>W B SAUNDERS CO LTD</t>
  </si>
  <si>
    <t>32 JAMESTOWN RD, LONDON NW1 7BY, ENGLAND</t>
  </si>
  <si>
    <t>0195-6701</t>
  </si>
  <si>
    <t>1532-2939</t>
  </si>
  <si>
    <t>J HOSP INFECT</t>
  </si>
  <si>
    <t>J. Hosp. Infect.</t>
  </si>
  <si>
    <t>MAY 2019</t>
  </si>
  <si>
    <t>2019</t>
  </si>
  <si>
    <t>102</t>
  </si>
  <si>
    <t>10.1016/j.jhin.2019.01.012</t>
  </si>
  <si>
    <t>http://dx.doi.org/10.1016/j.jhin.2019.01.012</t>
  </si>
  <si>
    <t>Public, Environmental &amp; Occupational Health; Infectious Diseases</t>
  </si>
  <si>
    <t>HU4ZQ</t>
  </si>
  <si>
    <t>30653999</t>
  </si>
  <si>
    <t>WOS:000465285500002</t>
  </si>
  <si>
    <t>Strandberg, R; Jepsen, P; Hagström, H</t>
  </si>
  <si>
    <t>Prediction models are everywhere in clinical medicine. We use them to assign a diagnosis or a prognosis, and there have been continuous efforts to develop better prediction models. It is important to understand the fundamentals of prediction modelling, thus, we herein describe nine steps to develop and validate a clinical prediction model with the intention of implementing it in clinical practice: Determine if there is a need for a new prediction model; define the purpose and intended use of the model; assess the quality and quantity of the data you wish to develop the model on; develop the model using sound statistical methods; generate risk predictions on the probability scale (0-100%); evaluate the performance of the model in terms of discrimination, calibration, and clinical utility; validate the model using bootstrapping to correct for the apparent optimism in performance; validate the model on external datasets to assess the generalisability and transportability of the model; and finally publish the model so that it can be implemented or validated by others. (c) 2024 The Author(s). Published by Elsevier B.V. on behalf of European Association for the Study of the Liver. This is an open access article under the CC BY license (http://creativecommons.org/licenses/by/4.0/).</t>
  </si>
  <si>
    <t>Strandberg, Rickard; Jepsen, Peter; Hagstrom, Hannes</t>
  </si>
  <si>
    <t>Strandberg, R (corresponding author), Karolinska Univ Hosp, Div Hepatol, C1 77, S-14186 Stockholm, Sweden.</t>
  </si>
  <si>
    <t>rickard.strandberg@ki.se</t>
  </si>
  <si>
    <t>Novo Nordisk Foundation [NNF19OC0054612]; Astra Zeneca; EchoSens; Gilead; Intercept; MSD; Novo Nordisk; Pfizer</t>
  </si>
  <si>
    <t>Novo Nordisk Foundation (Novo Nordisk Foundation); Astra Zeneca (AstraZeneca); EchoSens; Gilead (Gilead Sciences); Intercept; MSD; Novo Nordisk (Novo Nordisk, Novo Nordisk Foundation); Pfizer (Pfizer)</t>
  </si>
  <si>
    <t>Conflicts of interest PJ's research is supported by a grant from the Novo Nordisk Foundation (NNF19OC0054612). HH:s institutions have received research funding from Astra Zeneca, EchoSens, Gilead, Intercept, MSD, Novo Nordisk and Pfizer. He has served as consultant or on advisory boards for Astra Zeneca, Bristol Myers-Squibb, MSD and Novo Nordisk and has been part of hepatic events adjudication committees for Boehringer Ingelheim, KOWA and GW Pharma. All unrelated to the current manuscript.Please refer to the accompanying ICMJE disclosure forms for further details.</t>
  </si>
  <si>
    <t>[Strandberg, Rickard; Hagstrom, Hannes] Karolinska Inst, Dept Med, Stockholm, Sweden; [Jepsen, Peter] Aarhus Univ Hosp, Dept Hepatol &amp; Gastroenterol, Aarhus, Denmark; [Jepsen, Peter] Aarhus Univ Hosp, Dept Clin Epidemiol, Aarhus, Denmark; [Hagstrom, Hannes] Karolinska Univ Hosp, Dept Upper GI, Div Hepatol, Stockholm, Sweden</t>
  </si>
  <si>
    <t>Karolinska Institutet; Aarhus University; Aarhus University; Karolinska Institutet; Karolinska University Hospital</t>
  </si>
  <si>
    <t>Developing and validating clinical prediction models in hepatology - An overview for clinicians</t>
  </si>
  <si>
    <t>JOURNAL OF HEPATOLOGY</t>
  </si>
  <si>
    <t>Diagnosis; Prognosis; Hepatology; Modeling; Prediction; Discrimination; Calibration; Validation; Utility</t>
  </si>
  <si>
    <t>PROPORTIONAL-HAZARDS; PROGNOSTIC MODELS; LIVER-DISEASE; REGRESSION; CALIBRATION; DIAGNOSIS; SURVIVAL; LASSO</t>
  </si>
  <si>
    <t>Hagström, Hannes/I-2036-2019</t>
  </si>
  <si>
    <t>Jepsen, Peter/0000-0002-6641-1430; Hagström, Hannes/0000-0002-8474-1759</t>
  </si>
  <si>
    <t>32</t>
  </si>
  <si>
    <t>0168-8278</t>
  </si>
  <si>
    <t>1600-0641</t>
  </si>
  <si>
    <t>J HEPATOL</t>
  </si>
  <si>
    <t>J. Hepatol.</t>
  </si>
  <si>
    <t>JUL 2024</t>
  </si>
  <si>
    <t>149</t>
  </si>
  <si>
    <t>162</t>
  </si>
  <si>
    <t>10.1016/j.jhep.2024.03.030</t>
  </si>
  <si>
    <t>http://dx.doi.org/10.1016/j.jhep.2024.03.030</t>
  </si>
  <si>
    <t>JUN 2024</t>
  </si>
  <si>
    <t>Gastroenterology &amp; Hepatology</t>
  </si>
  <si>
    <t>D1G7M</t>
  </si>
  <si>
    <t>38531493</t>
  </si>
  <si>
    <t>WOS:001293745500001</t>
  </si>
  <si>
    <t>Papadomanolakis-Pakis, N; Uhrbrand, P; Haroutounian, S; Nikolajsen, L</t>
  </si>
  <si>
    <t>Chronic postsurgical pain (CPSP) affects an estimated 10% to 50% of adults depending on the type of surgical procedure. Clinical prediction models can help clinicians target preventive strategies towards patients at high risk for CPSP. Therefore, the objective of this systematic review was to identify and describe existing prediction models for CPSP in adults. A systematic search was performed in MEDLINE, Embase, PsychINFO, and the Cochrane Database of Systematic Reviews in March 2020 for English peer-reviewed studies that used data collected between 2000 and 2020. Studies that developed, validated, or updated a prediction model in adult patients who underwent any surgical procedure were included. Two reviewers independently screened titles, abstracts, and full texts for eligibility; extracted data; and assessed risk of bias using the Prediction model Risk of Bias Assessment Tool. The search identified 2037 records; 28 articles were reviewed in full text. Fifteen studies reporting on 19 prediction models were included; all were at high risk of bias. Model discrimination, measured by the area under receiver operating curves or c-statistic, ranged from 0.690 to 0.816. The most common predictors identified in final prediction models included preoperative pain in the surgical area, preoperative pain in other areas, age, sex or gender, and acute postsurgical pain. Clinical prediction models may support prevention and management of CPSP, but existing models are at high risk of bias that affects their reliability to inform practice and generalizability to wider populations. Adherence to standardized guidelines for clinical prediction model development is necessary to derive a prediction model of value to clinicians.</t>
  </si>
  <si>
    <t>Papadomanolakis-Pakis, Nicholas; Uhrbrand, Peter; Haroutounian, Simon; Nikolajsen, Lone</t>
  </si>
  <si>
    <t>Papadomanolakis-Pakis, N (corresponding author), Aarhus Univ, Dept Clin Med, Aarhus Univ Hosp, Denmark Res C319,Palle Juul Jensens Blvd 99, DK-8200 Aarhus N, Denmark.</t>
  </si>
  <si>
    <t>nicholas.pakis@clin.au.dk</t>
  </si>
  <si>
    <t>Department of Clinical Medicine at Aarhus University</t>
  </si>
  <si>
    <t>Acknowledgement of technical help. The authors thank Aarhus University Librarian, Karen Rodriguez Sigaard, for assisting with the development of our database search strategy. This research was funded by the Department of Clinical Medicine at Aarhus University in the form of PhD salary for N. PapadomanolakisPakis.</t>
  </si>
  <si>
    <t>[Papadomanolakis-Pakis, Nicholas; Uhrbrand, Peter; Nikolajsen, Lone] Aarhus Univ, Dept Clin Med, Aarhus, Denmark; [Haroutounian, Simon] Washington Univ, Dept Anesthesiol, Sch Med St Louis, St Louis, MO USA; [Nikolajsen, Lone] Aarhus Univ Hosp, Dept Anaesthesiol &amp; Intens Care, Aarhus, Denmark</t>
  </si>
  <si>
    <t>Aarhus University; Washington University (WUSTL); Saint Louis University; Aarhus University</t>
  </si>
  <si>
    <t>Prognostic prediction models for chronic postsurgical pain in adults: a systematic review</t>
  </si>
  <si>
    <t>PAIN</t>
  </si>
  <si>
    <t>Systematic review; Chronic postsurgical pain; Chronic; Post; Surgical; Pain; Surgery; Clinical; Risk prediction; Prediction; Prognostic; Models; Prognosis; Postoperative pain; Model development; Validation; Adults</t>
  </si>
  <si>
    <t>INGUINAL-HERNIA REPAIR; NUMERIC RATING-SCALE; PERSISTENT PAIN; POSTOPERATIVE PAIN; RISK-FACTORS; SAMPLE-SIZE; EXTERNAL VALIDATION; BACK-PAIN; SURGERY; CANCER</t>
  </si>
  <si>
    <t>Papadomanolakis-Pakis, Nicholas/AAC-4569-2021</t>
  </si>
  <si>
    <t>Haroutounian, Simon/0000-0003-2231-5452; Papadomanolakis-Pakis, Nicholas/0000-0002-9624-6552; Nikolajsen, Lone/0000-0002-2705-7088</t>
  </si>
  <si>
    <t>109</t>
  </si>
  <si>
    <t>74</t>
  </si>
  <si>
    <t>88</t>
  </si>
  <si>
    <t>LIPPINCOTT WILLIAMS &amp; WILKINS</t>
  </si>
  <si>
    <t>PHILADELPHIA</t>
  </si>
  <si>
    <t>TWO COMMERCE SQ, 2001 MARKET ST, PHILADELPHIA, PA 19103 USA</t>
  </si>
  <si>
    <t>0304-3959</t>
  </si>
  <si>
    <t>1872-6623</t>
  </si>
  <si>
    <t>Pain</t>
  </si>
  <si>
    <t>NOV 2021</t>
  </si>
  <si>
    <t>2021</t>
  </si>
  <si>
    <t>2644</t>
  </si>
  <si>
    <t>2657</t>
  </si>
  <si>
    <t>10.1097/j.pain.0000000000002261</t>
  </si>
  <si>
    <t>http://dx.doi.org/10.1097/j.pain.0000000000002261</t>
  </si>
  <si>
    <t>Anesthesiology; Clinical Neurology; Neurosciences</t>
  </si>
  <si>
    <t>WH0ZL</t>
  </si>
  <si>
    <t>34652320</t>
  </si>
  <si>
    <t>WOS:000707417300006</t>
  </si>
  <si>
    <t>Studerus, E; Ramyead, A; Riecher-Rössler, A</t>
  </si>
  <si>
    <t>Background. To enhance indicated prevention in patients with a clinical high risk (CHR) for psychosis, recent research efforts have been increasingly directed towards estimating the risk of developing psychosis on an individual level using multivariable clinical prediction models. The aim of this study was to systematically review the methodological quality and reporting of studies developing or validating such models.Method. A systematic literature search was carried out (up to 14 March 2016) to find all studies that developed or validated a clinical prediction model predicting the transition to psychosis in CHR patients. Data were extracted using a comprehensive item list which was based on current methodological recommendations.Results. A total of 91 studies met the inclusion criteria. None of the retrieved studies performed a true external validation of an existing model. Only three studies (3.5%) had an event per variable ratio of at least 10, which is the recommended minimum to avoid overfitting. Internal validation was performed in only 14 studies (15%) and seven of these used biased internal validation strategies. Other frequently observed modeling approaches not recommended by methodologists included univariable screening of candidate predictors, stepwise variable selection, categorization of continuous variables, and poor handling and reporting of missing data.Conclusions. Our systematic review revealed that poor methods and reporting are widespread in prediction of psychosis research. Since most studies relied on small sample sizes, did not perform internal or external cross-validation, and used poor model development strategies, most published models are probably overfitted and their reported predictive accuracy is likely to be overoptimistic.</t>
  </si>
  <si>
    <t>Studerus, E.; Ramyead, A.; Riecher-Rossler, A.</t>
  </si>
  <si>
    <t>Riecher-Rössler, A (corresponding author), Univ Basel, Psychiat Clin, Ctr Gender Res &amp; Early Detect, Kornhausgasse 7, CH-4051 Basel, Switzerland.</t>
  </si>
  <si>
    <t>anita.riecher@upkbs.ch</t>
  </si>
  <si>
    <t>Swiss National Science Foundation [P2BSP3-165392]; Swiss National Science Foundation (SNF) [P2BSP3_165392] Funding Source: Swiss National Science Foundation (SNF)</t>
  </si>
  <si>
    <t>Swiss National Science Foundation (Swiss National Science Foundation (SNSF)); Swiss National Science Foundation (SNF) (Swiss National Science Foundation (SNSF))</t>
  </si>
  <si>
    <t>This work was supported by the Swiss National Science Foundation (P2BSP3-165392).</t>
  </si>
  <si>
    <t>[Studerus, E.; Riecher-Rossler, A.] Univ Basel, Psychiat Hosp, Ctr Gender Res &amp; Early Detect, Basel, Switzerland; [Ramyead, A.] Univ Calif San Francisco, Dept Psychiat, Weill Inst Neurosci, San Francisco, CA 94143 USA</t>
  </si>
  <si>
    <t>University of Basel; University of California System; University of California San Francisco</t>
  </si>
  <si>
    <t>Prediction of transition to psychosis in patients with a clinical high risk for psychosis: a systematic review of methodology and reporting</t>
  </si>
  <si>
    <t>Clinical high risk; prediction; prognostic models; psychosis; schizophrenia</t>
  </si>
  <si>
    <t>ULTRA-HIGH-RISK; MODERN MODELING TECHNIQUES; 1ST EPISODE PSYCHOSIS; FOLLOW-UP; INDIVIDUALS; REGRESSION; CONVERSION; SELECTION; DISEASE; ONSET</t>
  </si>
  <si>
    <t>Studerus, Erich/AAB-1632-2020; Riecher-Rössler, Anita/ABF-5752-2020</t>
  </si>
  <si>
    <t>Studerus, Erich/0000-0003-4233-0182; Riecher-Rössler, Anita/0000-0001-6361-8789</t>
  </si>
  <si>
    <t>77</t>
  </si>
  <si>
    <t>80</t>
  </si>
  <si>
    <t>MAY 2017</t>
  </si>
  <si>
    <t>2017</t>
  </si>
  <si>
    <t>1163</t>
  </si>
  <si>
    <t>1178</t>
  </si>
  <si>
    <t>10.1017/S0033291716003494</t>
  </si>
  <si>
    <t>http://dx.doi.org/10.1017/S0033291716003494</t>
  </si>
  <si>
    <t>ER4UO</t>
  </si>
  <si>
    <t>28091343</t>
  </si>
  <si>
    <t>WOS:000398797100001</t>
  </si>
  <si>
    <t>Green Accepted</t>
  </si>
  <si>
    <t>Fahey, M; Crayton, E; Wolfe, C; Douiri, A</t>
  </si>
  <si>
    <t>ObjectiveWe aim to identify and critically appraise clinical prediction models of mortality and function following ischaemic stroke.MethodsElectronic databases, reference lists, citations were searched from inception to September 2015. Studies were selected for inclusion, according to pre-specified criteria and critically appraised by independent, blinded reviewers. The discrimination of the prediction models was measured by the area under the curve receiver operating characteristic curve or c-statistic in random effects meta-analysis. Heterogeneity was measured using I2. Appropriate appraisal tools and reporting guidelines were used in this review.Results31395 references were screened, of which 109 articles were included in the review. These articles described 66 different predictive risk models. Appraisal identified poor methodological quality and a high risk of bias for most models. However, all models precede the development of reporting guidelines for prediction modelling studies. Generalisability of models could be improved, less than half of the included models have been externally validated(n = 27/66). 152 predictors of mortality and 192 predictors and functional outcome were identified. No studies assessing ability to improve patient outcome (model impact studies) were identified.ConclusionsFurther external validation and model impact studies to confirm the utility of existing models in supporting decision-making is required. Existing models have much potential. Those wishing to predict stroke outcome are advised to build on previous work, to update and adapt validated models to their specific contexts opposed to designing new ones.</t>
  </si>
  <si>
    <t>Fahey, Marion; Crayton, Elise; Wolfe, Charles; Douiri, Abdel</t>
  </si>
  <si>
    <t>Fahey, M (corresponding author), Kings Coll London, Fac Life Sci &amp; Med, Div Hlth &amp; Social Care Res, London, England.</t>
  </si>
  <si>
    <t>marion.fahey@kcl.ac.uk</t>
  </si>
  <si>
    <t>National Institute for Health Research Biomedical Research Centre at Guy's and St Thomas' National Health Service (NHS) Foundation Trust and King's College London; NIHR Collaboration for Leadership in Applied Health Research and Care South London; Division of Health and Social Care Research, Faculty of Life Sciences and Medicine, Kings College London; Stroke Association [TSA2009/02] Funding Source: researchfish</t>
  </si>
  <si>
    <t>National Institute for Health Research Biomedical Research Centre at Guy's and St Thomas' National Health Service (NHS) Foundation Trust and King's College London (King's College London); NIHR Collaboration for Leadership in Applied Health Research and Care South London; Division of Health and Social Care Research, Faculty of Life Sciences and Medicine, Kings College London (King's College London); Stroke Association</t>
  </si>
  <si>
    <t>We wish to thank all the patients, their families, and the health care professionals involved. Particular thanks to all the fieldworkers and the whole team who have collected data since 1995 for the South London Stroke Register. MF and EC acknowledge PhD Studentship at Division of Health and Social Care Research, Faculty of Life Sciences and Medicine, Kings College London. CW and AD acknowledge financial support from the National Institute for Health Research Biomedical Research Centre at Guy's and St Thomas' National Health Service (NHS) Foundation Trust and King's College London. CW also acknowledges support from the NIHR Collaboration for Leadership in Applied Health Research and Care South London. The views expressed are those of the authors and not necessarily those of the NHS, the NIHR or the Department of Health.</t>
  </si>
  <si>
    <t>[Fahey, Marion; Crayton, Elise; Wolfe, Charles; Douiri, Abdel] Kings Coll London, Fac Life Sci &amp; Med, Div Hlth &amp; Social Care Res, London, England</t>
  </si>
  <si>
    <t>King's College London; University of London; King's College London</t>
  </si>
  <si>
    <t>Clinical prediction models for mortality and functional outcome following ischemic stroke: A systematic review and meta-analysis</t>
  </si>
  <si>
    <t>PLOS ONE</t>
  </si>
  <si>
    <t>RISK PREDICTION; SCORE; VALIDATION; DISEASE; EVENTS; THROMBOLYSIS; DRAGON; MARKER</t>
  </si>
  <si>
    <t>Crayton, Elisa/AAA-2945-2021; Douiri, Abdel/HQY-8025-2023; Crayton, Elise/AAA-2945-2021</t>
  </si>
  <si>
    <t>Crayton, Elisa/0009-0002-2056-5351; Douiri, Abdel/0000-0002-4354-4433; Crayton, Elise/0000-0002-9266-1302</t>
  </si>
  <si>
    <t>76</t>
  </si>
  <si>
    <t>84</t>
  </si>
  <si>
    <t>PUBLIC LIBRARY SCIENCE</t>
  </si>
  <si>
    <t>SAN FRANCISCO</t>
  </si>
  <si>
    <t>1160 BATTERY STREET, STE 100, SAN FRANCISCO, CA 94111 USA</t>
  </si>
  <si>
    <t>1932-6203</t>
  </si>
  <si>
    <t>PLoS One</t>
  </si>
  <si>
    <t>JAN 29 2018</t>
  </si>
  <si>
    <t>e0185402</t>
  </si>
  <si>
    <t>10.1371/journal.pone.0185402</t>
  </si>
  <si>
    <t>http://dx.doi.org/10.1371/journal.pone.0185402</t>
  </si>
  <si>
    <t>Multidisciplinary Sciences</t>
  </si>
  <si>
    <t>Science &amp; Technology - Other Topics</t>
  </si>
  <si>
    <t>FU0AV</t>
  </si>
  <si>
    <t>29377923</t>
  </si>
  <si>
    <t>WOS:000423514700001</t>
  </si>
  <si>
    <t>Huang, L; Feng, LH; Lu, Y; Hu, BB; Liang, HQ; Ren, AL; Wang, H; He, WM; Deng, CF; Su, MH; Jiang, JN</t>
  </si>
  <si>
    <t>Objectives Chronic viral hepatitis B (CHB) is a prevalent liver disease with primary hepatic carcinoma (HCC) as a severe complication. Clinical prediction models have gained attention for predicting HBV-related HCC (HBV-HCC). This study aimed to evaluate the predictive value of existing models for HBV-HCC through meta-analysis. Design Meta-analysis. Data sources Embase, PubMed, the Chinese Biomedical Literature Service System, and the Cochrane database were used for searches between 1970 and 2022. Methods A meta-analysis was conducted to assess original studies on HBV-HCC prediction models. The REACH-B, GAGHCC, and CUHCC models were externally validated in a Guangxi cohort. The C-index and calibration curve evaluated 5 years predictive performance, with subgroup analysis by region and risk bias. Results After screening, 27 research articles were included, covering the GAGHCC, REACH-B, PAGE-B, CU-HCC, CAMD, and mPAGE-B models. The meta-analysis indicated that these models had moderate discrimination in predicting HCC risk in HBV-infected patients, with C-index values from 0.75 to 0.82. The mPAGE-B (0.79, 95% CI: 0.79-0.80), GAG-HCC (0.80, 95% CI: 0.78-0.82), and CAMD (0.80, 95% CI: 0.78-0.81) models demonstrated better discrimination than others (P &lt; 0.05), but most studies did not report model calibration. Subgroup analysis suggested that ethnicity and research bias might contribute to differences in model discrimination. Sensitivity analysis indicated stable meta-analysis results. The REACH-B, GAGHCC, CUHCC, PAGE-B, and mPAGE-B models had average predictive performance in Guangxi, with medium to low 3 and 5 years HCC risk prediction discrimination. Conclusion Existing models have predictive value for HBV-infected patients but show geographical limitations and reduced effectiveness in Guangxi.</t>
  </si>
  <si>
    <t>Huang, Long; Feng, Luhuai; Lu, Yang; Hu, Bobin; Liang, Hongqian; Ren, Aoli; Wang, Hang; He, Wenming; Deng, Caifang; Su, Minghua; Jiang, Jianning</t>
  </si>
  <si>
    <t>Su, MH; Jiang, JN (corresponding author), Guangxi Med Univ, Affiliated Hosp 1, Dept Infect Dis, Nanning, Guangxi, Peoples R China.; Jiang, JN (corresponding author), Guangxi Med Univ, Key Lab Early Prevent &amp; Treatment Reg High Frequen, Minist Educ, Nanning, Guangxi, Peoples R China.</t>
  </si>
  <si>
    <t>smh9292@163.com; gxjjianning@163.com</t>
  </si>
  <si>
    <t>National Natural Science Foundation of China10.13039/501100001809</t>
  </si>
  <si>
    <t>National Natural Science Foundation of China10.13039/501100001809 (National Natural Science Foundation of China (NSFC))</t>
  </si>
  <si>
    <t>We would like to extend our heartfelt appreciation to the patients and their families for their invaluable contributions to this study.</t>
  </si>
  <si>
    <t>[Huang, Long; Feng, Luhuai; Lu, Yang; Hu, Bobin; Liang, Hongqian; Ren, Aoli; Wang, Hang; He, Wenming; Deng, Caifang; Su, Minghua; Jiang, Jianning] Guangxi Med Univ, Affiliated Hosp 1, Dept Infect Dis, Nanning, Guangxi, Peoples R China; [Jiang, Jianning] Guangxi Med Univ, Key Lab Early Prevent &amp; Treatment Reg High Frequen, Minist Educ, Nanning, Guangxi, Peoples R China</t>
  </si>
  <si>
    <t>Guangxi Medical University; Guangxi Medical University</t>
  </si>
  <si>
    <t>Evaluating the predictive value of clinical models for HBV-related hepatocellular carcinoma: A meta-analysis</t>
  </si>
  <si>
    <t>FRONTIERS IN MEDICINE</t>
  </si>
  <si>
    <t>clinical prediction model; external validation; full management; chronic HBV infection; hepatic carcinoma</t>
  </si>
  <si>
    <t>CHRONIC HEPATITIS-B; SCORING SYSTEM; RISK SCORE; VALIDATION; HCC</t>
  </si>
  <si>
    <t>2296-858X</t>
  </si>
  <si>
    <t>FRONT MED-LAUSANNE</t>
  </si>
  <si>
    <t>Front. Med.</t>
  </si>
  <si>
    <t>FEB 21 2025</t>
  </si>
  <si>
    <t>1529201</t>
  </si>
  <si>
    <t>10.3389/fmed.2025.1529201</t>
  </si>
  <si>
    <t>http://dx.doi.org/10.3389/fmed.2025.1529201</t>
  </si>
  <si>
    <t>Z4S1I</t>
  </si>
  <si>
    <t>40061381</t>
  </si>
  <si>
    <t>WOS:001438815100001</t>
  </si>
  <si>
    <t>Wynants, L; Collins, GS; Van Calster, B</t>
  </si>
  <si>
    <t>Models for estimating an individual's risk of having or developing a disease are abundant in the medical literature, yet many do not meet the methodological standards that have been set to maximise generalisability and utility. This paper presents an overview of ten steps from the conception of the study to the implementation of the risk model and discusses common pitfalls. We discuss crucial aspects of study design, data collection, model development and performance evaluation, and discuss how to bring the model to clinical practice.</t>
  </si>
  <si>
    <t>Wynants, L.; Collins, G. S.; Van Calster, B.</t>
  </si>
  <si>
    <t>Van Calster, B (corresponding author), Katholieke Univ Leuven, Dept Dev &amp; Regenerat, Herestr 49 Box 805, B-3000 Leuven, Belgium.</t>
  </si>
  <si>
    <t>ben.vancalster@kuleuven.be</t>
  </si>
  <si>
    <t>KU Leuven [C24/15/037]; Research Foundation Flanders (FWO) [G049312N]; Flanders' Agency for Innovation by Science and Technology (IWT Vlaanderen) [IWT-TBM 070706-IOTA3]; Medical Research Council [G1100513]; MRC [G0902418, G1100513] Funding Source: UKRI; Medical Research Council [G1100513, G0902418] Funding Source: researchfish</t>
  </si>
  <si>
    <t>KU Leuven (KU Leuven); Research Foundation Flanders (FWO) (FWO); Flanders' Agency for Innovation by Science and Technology (IWT Vlaanderen) (Institute for the Promotion of Innovation by Science and Technology in Flanders (IWT)); Medical Research Council (UK Research &amp; Innovation (UKRI), Medical Research Council UK (MRC)); MRC (UK Research &amp; Innovation (UKRI), Medical Research Council UK (MRC)); Medical Research Council (UK Research &amp; Innovation (UKRI), Medical Research Council UK (MRC))</t>
  </si>
  <si>
    <t>This work was supported by KU Leuven (grant C24/15/037), Research Foundation Flanders (FWO grant G049312N), Flanders' Agency for Innovation by Science and Technology (IWT Vlaanderen, grant IWT-TBM 070706-IOTA3) and the Medical Research Council (grant number G1100513). L.W. is a PhD fellow of IWT Vlaanderen.</t>
  </si>
  <si>
    <t>[Wynants, L.] Katholieke Univ Leuven, Dept Elect Engn ESAT, STADIUS Ctr Dynam Syst Signal Proc &amp; Data Analyt, iMinds Med IT Dept, Leuven, Belgium; [Collins, G. S.] Univ Oxford, Ctr Stat Med, Nuffield Dept Orthopaed Rheumatol &amp; Musculoskelet, Oxford, England; [Van Calster, B.] Katholieke Univ Leuven, Dept Dev &amp; Regenerat, Herestr 49 Box 805, B-3000 Leuven, Belgium</t>
  </si>
  <si>
    <t>KU Leuven; Interuniversity Microelectronics Centre; University of Oxford; KU Leuven</t>
  </si>
  <si>
    <t>Key steps and common pitfalls in developing and validating risk models</t>
  </si>
  <si>
    <t>BJOG-AN INTERNATIONAL JOURNAL OF OBSTETRICS AND GYNAECOLOGY</t>
  </si>
  <si>
    <t>Clinical prediction model; logistic regression; model development; model reporting; model validation; risk model</t>
  </si>
  <si>
    <t>MISSING PREDICTOR VALUES; NET RECLASSIFICATION IMPROVEMENT; DEVELOPING PROGNOSTIC MODELS; LOGISTIC-REGRESSION MODELS; EXTERNAL VALIDATION; CESAREAN-SECTION; INDIVIDUAL PROGNOSIS; CLINICAL-PRACTICE; MEASUREMENT ERROR; DIAGNOSIS TRIPOD</t>
  </si>
  <si>
    <t>Van Calster, Ben/F-9150-2010; Wynants, Laure/AAA-2723-2020; Collins, Gary/A-2258-2014</t>
  </si>
  <si>
    <t>Van Calster, Ben/0000-0003-1613-7450; Wynants, Laure/0000-0002-3037-122X; Collins, Gary/0000-0002-2772-2316</t>
  </si>
  <si>
    <t>111</t>
  </si>
  <si>
    <t>86</t>
  </si>
  <si>
    <t>1470-0328</t>
  </si>
  <si>
    <t>1471-0528</t>
  </si>
  <si>
    <t>BJOG-INT J OBSTET GY</t>
  </si>
  <si>
    <t>BJOG</t>
  </si>
  <si>
    <t>FEB 2017</t>
  </si>
  <si>
    <t>124</t>
  </si>
  <si>
    <t>423</t>
  </si>
  <si>
    <t>432</t>
  </si>
  <si>
    <t>10.1111/1471-0528.14170</t>
  </si>
  <si>
    <t>http://dx.doi.org/10.1111/1471-0528.14170</t>
  </si>
  <si>
    <t>Obstetrics &amp; Gynecology</t>
  </si>
  <si>
    <t>EO9KL</t>
  </si>
  <si>
    <t>27362778</t>
  </si>
  <si>
    <t>WOS:000397007500013</t>
  </si>
  <si>
    <t>van den Boorn, HG; Engelhardt, EG; van Kleef, J; Sprangers, MAG; van Oijen, MGH; Abu-Hanna, A; Zwinderman, AH; Coupé, VMH; van Laarhoven, HWM</t>
  </si>
  <si>
    <t>BackgroundClinical prediction models are increasingly used to predict outcomes such as survival in cancer patients. The aim of this study was threefold. First, to perform a systematic review to identify available clinical prediction models for patients with esophageal and/or gastric cancer. Second, to evaluate sources of bias in the included studies. Third, to investigate the predictive performance of the prediction models using meta-analysis.MethodsMEDLINE, EMBASE, PsycINFO, CINAHL, and The Cochrane Library were searched for publications from the year 2000 onwards. Studies describing models predicting survival, adverse events and/or health-related quality of life (HRQoL) for esophageal or gastric cancer patients were included. Potential sources of bias were assessed and a meta-analysis, pooled per prediction model, was performed on the discriminative abilities (c-indices).ResultsA total of 61 studies were included (45 development and 16 validation studies), describing 47 prediction models. Most models predicted survival after a curative resection. Nearly 75% of the studies exhibited bias in at least 3 areas and model calibration was rarely reported. The meta-analysis showed that the averaged c-index of the models is fair (0.75) and ranges from 0.65 to 0.85.ConclusionMost available prediction models only focus on survival after a curative resection, which is only relevant to a limited patient population. Few models predicted adverse events after resection, and none focused on patient's HRQoL, despite its relevance. Generally, the quality of reporting is poor and external model validation is limited. We conclude that there is a need for prediction models that better meet patients' information needs, and provide information on both the benefits and harms of the various treatment options in terms of survival, adverse events and HRQoL.</t>
  </si>
  <si>
    <t>van den Boorn, H. G.; Engelhardt, E. G.; van Kleef, J.; Sprangers, M. A. G.; van Oijen, M. G. H.; Abu-Hanna, A.; Zwinderman, A. H.; Coupe, V. M. H.; van Laarhoven, H. W. M.</t>
  </si>
  <si>
    <t>van den Boorn, HG (corresponding author), Canc Ctr Amsterdam, Amsterdam, Netherlands.; van den Boorn, HG (corresponding author), Univ Amsterdam, Acad Med Ctr, Dept Med Oncol, Amsterdam, Netherlands.</t>
  </si>
  <si>
    <t>h.g.vandenboorn@amc.uva.nl</t>
  </si>
  <si>
    <t>Dutch Cancer Society (KWF) [UVA 2014-7000]</t>
  </si>
  <si>
    <t>Dutch Cancer Society (KWF) (KWF Kankerbestrijding)</t>
  </si>
  <si>
    <t>This project is supported by a grant of the Dutch Cancer Society (KWF), https://www.kwf.nl/english/pages/default.aspx, grant number UVA 2014-7000 to Hanneke van Laarhoven.</t>
  </si>
  <si>
    <t>[van den Boorn, H. G.; van Kleef, J.; van Oijen, M. G. H.; van Laarhoven, H. W. M.] Canc Ctr Amsterdam, Amsterdam, Netherlands; [van den Boorn, H. G.; van Kleef, J.; van Oijen, M. G. H.; van Laarhoven, H. W. M.] Univ Amsterdam, Acad Med Ctr, Dept Med Oncol, Amsterdam, Netherlands; [Engelhardt, E. G.; Sprangers, M. A. G.] Amsterdam Publ Hlth Res Inst, Amsterdam, Netherlands; [Engelhardt, E. G.; Coupe, V. M. H.] Vrije Univ Amsterdam, Med Ctr, Dept Epidemiol &amp; Biostat, Amsterdam, Netherlands; [Sprangers, M. A. G.] Univ Amsterdam, Acad Med Ctr, Dept Med Psychol, Amsterdam, Netherlands; [Abu-Hanna, A.] Univ Amsterdam, Acad Med Ctr, Dept Med Informat, Amsterdam, Netherlands; [Zwinderman, A. H.] Univ Amsterdam, Acad Med Ctr, Dept Clin Epidemiol Biostat &amp; Bioinformat, Amsterdam, Netherlands</t>
  </si>
  <si>
    <t>University of Amsterdam; Vrije Universiteit Amsterdam; University of Amsterdam; Academic Medical Center Amsterdam; Vrije Universiteit Amsterdam; Amsterdam University Medical Center; Vrije Universiteit Amsterdam; University of Amsterdam; Academic Medical Center Amsterdam; University of Amsterdam; Academic Medical Center Amsterdam; University of Amsterdam; Academic Medical Center Amsterdam</t>
  </si>
  <si>
    <t>Prediction models for patients with esophageal or gastric cancer: A systematic review and meta-analysis</t>
  </si>
  <si>
    <t>DISEASE-SPECIFIC SURVIVAL; RISK-ADJUSTMENT MODELS; QUALITY-OF-LIFE; PROGNOSTIC NOMOGRAM; EXTERNAL VALIDATION; CURATIVE RESECTION; R0 RESECTION; NEOADJUVANT CHEMORADIOTHERAPY; INDIVIDUAL SURVIVAL; DECISION-MAKING</t>
  </si>
  <si>
    <t>van Laarhoven, H.W.M/AAW-3464-2021; van Kleef, Jessy/L-2465-2019</t>
  </si>
  <si>
    <t>van Laarhoven, H.W.M/0000-0003-1274-5643; Abu-Hanna, Ameen/0000-0003-4324-7954; Coupé, Veerle/0000-0002-9553-9791; Engelhardt, Ellen/0000-0003-0016-4972</t>
  </si>
  <si>
    <t>55</t>
  </si>
  <si>
    <t>FEB 8 2018</t>
  </si>
  <si>
    <t>e0192310</t>
  </si>
  <si>
    <t>10.1371/journal.pone.0192310</t>
  </si>
  <si>
    <t>http://dx.doi.org/10.1371/journal.pone.0192310</t>
  </si>
  <si>
    <t>FV4BG</t>
  </si>
  <si>
    <t>29420636</t>
  </si>
  <si>
    <t>WOS:000424517900065</t>
  </si>
  <si>
    <t>Deawjaroen, K; Sillabutra, J; Poolsup, N; Stewart, D; Suksomboon, N</t>
  </si>
  <si>
    <t>Aims This study aimed to review systematically all available prediction tools identifying adult hospitalized patients at risk of drug-related problems, and to synthesize the evidence on performance and clinical usefulness. Methods PubMed, Scopus, Web of Science, Embase, and CINAHL databases were searched for relevant studies. Titles, abstracts and full-text studies were sequentially screened for inclusion by two independent reviewers. The Prediction Model Risk of Bias Assessment Tool (PROBAST) and the Revised Quality Assessment of Diagnostic Accuracy Studies (QUADAS-2) checklists were used to assess risk of bias and applicability of prediction tools. A narrative synthesis was performed. Results A total of 21 studies were included, 14 of which described the development of new prediction tools (four risk assessment tools and ten clinical prediction models) and six studies were validation based and one an impact study. There were variations in tool development processes, outcome measures and included predictors. Overall, tool performance had limitations in reporting and consistency, with the discriminatory ability based on area under the curve receiver operating characteristics (AUROC) ranging from poor to good (0.62-0.81), sensitivity and specificity ranging from 57.0% to 89.9% and 30.2% to 88.0%, respectively. The Medicines Optimisation Assessment tool and Assessment of Risk tool were prediction tools with the lowest risk of bias and low concern for applicability. Studies reporting external validation and impact on patient outcomes were scarce. Conclusion Most prediction tools have limitations in development and validation processes, as well as scarce evidence of clinical usefulness. Future studies should attempt to either refine currently available tools or apply a rigorous process capturing evidence of acceptance, usefulness, performance and outcomes.</t>
  </si>
  <si>
    <t>Deawjaroen, Kulchalee; Sillabutra, Jutatip; Poolsup, Nalinee; Stewart, Derek; Suksomboon, Naeti</t>
  </si>
  <si>
    <t>Suksomboon, N (corresponding author), Mahidol Univ, Fac Pharm, Dept Pharm, Bangkok, Thailand.</t>
  </si>
  <si>
    <t>naeti.suk@mahidol.ac.th</t>
  </si>
  <si>
    <t>Royal Golden Jubilee [PHD/0214/2559]; National Research Council of Thailand; Thailand Research Fund</t>
  </si>
  <si>
    <t>Royal Golden Jubilee; National Research Council of Thailand (National Research Council of Thailand (NRCT)); Thailand Research Fund (Thailand Research Fund (TRF))</t>
  </si>
  <si>
    <t>Royal Golden Jubilee, Grant/Award Number: PHD/0214/2559; National Research Council of Thailand; Thailand Research Fund</t>
  </si>
  <si>
    <t>[Deawjaroen, Kulchalee; Suksomboon, Naeti] Mahidol Univ, Fac Pharm, Dept Pharm, Bangkok, Thailand; [Sillabutra, Jutatip] Mahidol Univ, Fac Publ Hlth, Bangkok, Thailand; [Poolsup, Nalinee] Samrejvittaya Sch, Aranyaprathet, Sakaeo, Thailand; [Stewart, Derek] Qatar Univ, Coll Pharm, QU Hlth, Doha, Qatar</t>
  </si>
  <si>
    <t>Mahidol University; Mahidol University; Qatar University</t>
  </si>
  <si>
    <t>Clinical usefulness of prediction tools to identify adult hospitalized patients at risk of drug-related problems: A systematic review of clinical prediction models and risk assessment tools</t>
  </si>
  <si>
    <t>BRITISH JOURNAL OF CLINICAL PHARMACOLOGY</t>
  </si>
  <si>
    <t>adverse drug event; hospitalized patient; drug-related problem; prediction tool; risk assessment</t>
  </si>
  <si>
    <t>VALIDATION; MEDICATION; EVENTS; SCORE; PRIORITIZATION; INPATIENTS; PHARMACIST; CONSENSUS; IMPACT; ERRORS</t>
  </si>
  <si>
    <t>SILLABUTRA, JUTATIP/JGD-2461-2023</t>
  </si>
  <si>
    <t>Suksomboon, Naeti/0000-0002-0641-5878; Stewart, Derek/0000-0001-7360-8592</t>
  </si>
  <si>
    <t>68</t>
  </si>
  <si>
    <t>0306-5251</t>
  </si>
  <si>
    <t>1365-2125</t>
  </si>
  <si>
    <t>BRIT J CLIN PHARMACO</t>
  </si>
  <si>
    <t>Br. J. Clin. Pharmacol.</t>
  </si>
  <si>
    <t>FEB 2022</t>
  </si>
  <si>
    <t>1613</t>
  </si>
  <si>
    <t>1629</t>
  </si>
  <si>
    <t>10.1111/bcp.15104</t>
  </si>
  <si>
    <t>http://dx.doi.org/10.1111/bcp.15104</t>
  </si>
  <si>
    <t>OCT 2021</t>
  </si>
  <si>
    <t>ZX4MF</t>
  </si>
  <si>
    <t>34626130</t>
  </si>
  <si>
    <t>WOS:000712887300001</t>
  </si>
  <si>
    <t>Silva, FG; Costa, LOP; Hancock, MJ; Palomo, GA; Costa, LCM; da Silva, T</t>
  </si>
  <si>
    <t>Objective: What model development and external validation studies exist that focus on the prognosis of patients with recent-onset low back pain (LBP)? What is the performance (in terms of discrimination and calibration) of these clinical prediction models? Methods: Systematic searches on MEDLINE, Embase and CINAHL were conducted. Model development and/or external validation studies of patients with recent onset LBP were selected. Models predicting outcomes of pain, disability, sick leave, work absence and self reported recovery, with at least 12 weeks of follow-up, were included. Risk of bias was assessed using the PROBAST instrument. Results: We identified 17 prognostic models developed to predict outcomes in people with recent-onset LBP: six models were in the development phase and 11 were in the validation phase. The most assessed prediction model was the Original Orebro Musculoskeletal Pain Questionnaire. The Da Silva Clinical Prediction Model was the only model, from a study with low risk of bias, that presented acceptable discrimination, demonstrating 'good' performance in predicting recovery from pain (C-statistic 0.71, 95% CI 0.63 to 0.78) and overall acceptable agreement in calibration. Conclusion: Most prediction models for prognosis of patients with recent-onset LBP did not perform well at discrimination, few studies reported calibration and their performance varied across studies. It seems premature to advocate use of the available models, at their current state of development and validation, for low back pain in primary care, considering their generally poor methods and performance. Registration: CRD42020160988. [Silva FG, Costa LOP, Hancock MJ, Palomo GA, Costa LCM, da Silva T (2022) No prognostic model for people with recent-onset low back pain has yet been demonstrated to be suitable for use in clinical practice: a systematic review. Journal of Physiotherapy 68:99-109] (c) 2022 Australian Physiotherapy Association. Published by Elsevier B.V. This is an open access article under the CC BY-NC-ND license (http://creativecommons.org/licenses/by-nc-nd/4.0/).</t>
  </si>
  <si>
    <t>Silva, Fernanda G.; Costa, Leonardo O. P.; Hancock, Mark J.; Palomo, Gabriele A.; Costa, Luciola C. M.; da Silva, Tatiane</t>
  </si>
  <si>
    <t>Silva, FG (corresponding author), Univ Cidade Sao Paulo, Masters &amp; Doctoral Programs Phys Therapy, Sao Paulo, Brazil.</t>
  </si>
  <si>
    <t>nanda_fgs94@hotmail.com</t>
  </si>
  <si>
    <t>Coordination for the Improvement of Higher Education Personnel (CAPES), Ministry of Education of Brazil; FAPESP (Sao Paulo Research Foundation) [2020/07802-9, 2019/18187-6, 2018/20035-7]</t>
  </si>
  <si>
    <t>Coordination for the Improvement of Higher Education Personnel (CAPES), Ministry of Education of Brazil; FAPESP (Sao Paulo Research Foundation) (Fundacao de Amparo a Pesquisa do Estado de Sao Paulo (FAPESP))</t>
  </si>
  <si>
    <t>FGS received a scholarship from Coordination for the Improvement of Higher Education Personnel (CAPES), Ministry of Education of Brazil and FAPESP (Sao Paulo Research Foundation) with grant number: 2020/07802-9. The study received a grant from FAPESP (Sao Paulo Research Foundation) with number: 2019/18187-6. TS received a fellowship from FAPESP (Sao Paulo Research Foundation) with grant number: 2018/20035-7. The funding agencies had no role in the design of the study, collection, analysis, interpretation of data, writing the manuscript and in decision to publish.</t>
  </si>
  <si>
    <t>[Silva, Fernanda G.; Costa, Leonardo O. P.; Palomo, Gabriele A.; Costa, Luciola C. M.; da Silva, Tatiane] Univ Cidade Sao Paulo, Masters &amp; Doctoral Programs Phys Therapy, Sao Paulo, Brazil; [Hancock, Mark J.] Macquarie Univ, Fac Med Hlth &amp; Human Sci, Sydney, NSW, Australia</t>
  </si>
  <si>
    <t>Universidade Cidade de Sao Paulo; Macquarie University</t>
  </si>
  <si>
    <t>No prognostic model for people with recent-onset low back pain has yet been demonstrated to be suitable for use in clinical practice: a systematic review</t>
  </si>
  <si>
    <t>JOURNAL OF PHYSIOTHERAPY</t>
  </si>
  <si>
    <t>Systematic review; Low back pain; Clinical prediction model; Prognosis; Physical therapy</t>
  </si>
  <si>
    <t>MULTIVARIABLE PREDICTION MODEL; INDIVIDUAL PROGNOSIS; PHYSICAL-THERAPY; DIAGNOSIS TRIPOD; DISABILITY RISK; SCREENING TOOL; SHORT-FORM; GUIDELINES; RECOVERY; PROBAST</t>
  </si>
  <si>
    <t>Silva, Fernanda/AAS-2971-2021; /B-4844-2013; Hancock, Mark/B-6999-2013; Costa, Leonardo/B-7224-2011; da Silva Munhoz, Tatiane/E-9183-2018</t>
  </si>
  <si>
    <t>Hancock, Mark/0000-0002-9277-5377; Costa, Leonardo/0000-0003-3309-5619; da Silva Munhoz, Tatiane/0000-0001-6882-8785</t>
  </si>
  <si>
    <t>AUSTRALIAN PHYSIOTHERAPY ASSOC</t>
  </si>
  <si>
    <t>ST KILDA</t>
  </si>
  <si>
    <t>LEVEL 3, 201 FITZROY ST, ST KILDA, 3182, AUSTRALIA</t>
  </si>
  <si>
    <t>1836-9553</t>
  </si>
  <si>
    <t>1836-9561</t>
  </si>
  <si>
    <t>J PHYSIOTHER</t>
  </si>
  <si>
    <t>J. Physiother.</t>
  </si>
  <si>
    <t>APR 2022</t>
  </si>
  <si>
    <t>99</t>
  </si>
  <si>
    <t>10.1016/j.jphys.2022.03.009</t>
  </si>
  <si>
    <t>http://dx.doi.org/10.1016/j.jphys.2022.03.009</t>
  </si>
  <si>
    <t>Orthopedics; Rehabilitation</t>
  </si>
  <si>
    <t>1R9SW</t>
  </si>
  <si>
    <t>35400608</t>
  </si>
  <si>
    <t>WOS:000803702600007</t>
  </si>
  <si>
    <t>Seinen, TM; Fridgeirsson, EA; Ioannou, S; Jeannetot, D; John, LH; Kors, JA; Markus, AF; Pera, V; Rekkas, A; Williams, RD; Yang, C; van Mulligen, EM; Rijnbeek, PR</t>
  </si>
  <si>
    <t>Objective This systematic review aims to assess how information from unstructured text is used to develop and validate clinical prognostic prediction models. We summarize the prediction problems and methodological landscape and determine whether using text data in addition to more commonly used structured data improves the prediction performance. Materials and Methods We searched Embase, MEDLINE, Web of Science, and Google Scholar to identify studies that developed prognostic prediction models using information extracted from unstructured text in a data-driven manner, published in the period from January 2005 to March 2021. Data items were extracted, analyzed, and a meta-analysis of the model performance was carried out to assess the added value of text to structured-data models. Results We identified 126 studies that described 145 clinical prediction problems. Combining text and structured data improved model performance, compared with using only text or only structured data. In these studies, a wide variety of dense and sparse numeric text representations were combined with both deep learning and more traditional machine learning methods. External validation, public availability, and attention for the explainability of the developed models were limited. Conclusion The use of unstructured text in the development of prognostic prediction models has been found beneficial in addition to structured data in most studies. The text data are source of valuable information for prediction model development and should not be neglected. We suggest a future focus on explainability and external validation of the developed models, promoting robust and trustworthy prediction models in clinical practice.</t>
  </si>
  <si>
    <t>Seinen, Tom M.; Fridgeirsson, Egill A.; Ioannou, Solomon; Jeannetot, Daniel; John, Luis H.; Kors, Jan A.; Markus, Aniek F.; Pera, Victor; Rekkas, Alexandros; Williams, Ross D.; Yang, Cynthia; van Mulligen, Erik M.; Rijnbeek, Peter R.</t>
  </si>
  <si>
    <t>Seinen, TM (corresponding author), Erasmus MC, Dept Med Informat, Molewaterpl 40, NL-3015 GD Rotterdam, Netherlands.</t>
  </si>
  <si>
    <t>t.seinen@erasmusmc.nl</t>
  </si>
  <si>
    <t>This work has received support from the European Health Data &amp; Evidence Network (EHDEN) project. EHDEN has received funding from the Innovative Medicines Initiative 2 Joint Undertaking (JU) under grant agreement No. 806968. The JU receives support from the European Union's Horizon 2020 research and innovation program and EFPIA.</t>
  </si>
  <si>
    <t>[Seinen, Tom M.; Fridgeirsson, Egill A.; Ioannou, Solomon; Jeannetot, Daniel; John, Luis H.; Kors, Jan A.; Markus, Aniek F.; Pera, Victor; Rekkas, Alexandros; Williams, Ross D.; Yang, Cynthia; van Mulligen, Erik M.; Rijnbeek, Peter R.] Erasmus MC, Dept Med Informat, Molewaterpl 40, NL-3015 GD Rotterdam, Netherlands</t>
  </si>
  <si>
    <t>Use of unstructured text in prognostic clinical prediction models: a systematic review</t>
  </si>
  <si>
    <t>clinical prediction model; prognostic prediction; natural language processing; machine learning; electronic health records</t>
  </si>
  <si>
    <t>VALIDATION; RECORDS; TRENDS; UMLS</t>
  </si>
  <si>
    <t>van Mulligen, Erik/MBG-3080-2025; Pera, Victor/JYP-8151-2024</t>
  </si>
  <si>
    <t>van Mulligen, Erik/0000-0003-1377-9386; Seinen, Tom/0000-0001-5369-8260; Fridgeirsson, Egill A/0000-0001-9085-9369; Rekkas, Alexandros/0000-0002-5352-943X; Ioannou, Solomon/0000-0003-1715-288X; Pera, Victor/0000-0002-0786-4712; Williams, Ross/0000-0001-7723-417X</t>
  </si>
  <si>
    <t>33</t>
  </si>
  <si>
    <t>70</t>
  </si>
  <si>
    <t>10.1093/jamia/ocac058</t>
  </si>
  <si>
    <t>http://dx.doi.org/10.1093/jamia/ocac058</t>
  </si>
  <si>
    <t>0U7XG</t>
  </si>
  <si>
    <t>35475536</t>
  </si>
  <si>
    <t>WOS:000787860800001</t>
  </si>
  <si>
    <t>Niznick, N; Sadeghirad, B; Rochwerg, B; Tran, A; Jung, RG; Fantaneanu, TA; Boyd, JG; Sekhon, MS; Hirsch, KG; Nolan, JP; Sandroni, C; Fernando, SM</t>
  </si>
  <si>
    <t>Objectives: Summarize the prognostic performance of existing clinical prediction models (CPMs) for neuroprognostication after out-of-hospital cardiac arrest (OHCA).Data Sources: We searched Medline and Embase databases from inception to June 1, 2025.Study Selection: We selected English-language studies that included adults with OHCA and evaluated a CPM for the prediction of poor functional outcome. We excluded derivation cohorts for prognostic scores and excluded models without at least two external validation cohorts.Data Extraction: Two authors performed citation screening and data extraction. Where possible, we pooled the sensitivity and specificity of poor functional outcome, and the area under the receiver operating characteristic curve (AUROC) values for each CPM. We assessed risk of bias using the Prediction model study Risk of Bias Assessment Tool, and rated the certainty of evidence using the Grading of Recommendations, Assessment, Development, and Evaluation.Data Synthesis: We included 39 observational cohorts (95,037 patients) evaluating 11 different CPMs, with the two most common scores being the OHCA and Cardiac Arrest Hospital Prognosis (CAHP) scores. An OHCA score greater than or equal to 17 had a pooled sensitivity of 81.8% (95% CI, 65.8-91.4%) and specificity of 74.2% (95% CI, 58.8-85.3%), while a score of greater than or equal to 32 had a pooled sensitivity of 64.9% (95% CI, 44.0-81.3%) and specificity of 89.5% (95% CI, 75.9-95.8%) for poor functional outcome (low certainty). A CAHP score greater than or equal to 150 had a pooled sensitivity of 81.3% (95% CI, 77.7-84.4%) and specificity of 77.0% (95% CI, 70.6-82.4%) for poor functional outcome (moderate certainty). Pooled AUROCs across the 11 CPMs varied from 0.75 to 0.88, with substantial heterogeneity.Conclusions: CPMs for neuroprognostication after OHCA demonstrate only moderate accuracy, with substantial heterogeneity across validation cohorts. These limitations restrict their clinical utility, particularly for irreversible decisions such as withdrawal of life-sustaining therapy.</t>
  </si>
  <si>
    <t>Niznick, Naomi; Sadeghirad, Behnam; Rochwerg, Bram; Tran, Alexandre; Jung, Richard G.; Fantaneanu, Tadeu A.; Boyd, J. Gordon; Sekhon, Mypinder S.; Hirsch, Karen G.; Nolan, Jerry P.; Sandroni, Claudio; Fernando, Shannon M.</t>
  </si>
  <si>
    <t>Fernando, SM (corresponding author), Queens Univ, Dept Crit Care Med, Kingston, ON, Canada.; Fernando, SM (corresponding author), Lakeridge Hlth, Dept Crit Care, Oshawa, ON, Canada.</t>
  </si>
  <si>
    <t>alexandre.tran@medportal.ca; gordon.boyd@kingstonhsc.ca; tfantaneanu@toh.ca; jerrynolan@me.com; khirsch@stanford.edu; rochwerg@mcmaster.ca; rjung@ottawaheart.ca; mypindersekhon@gmail.com; claudio.sandroni@unicatt.it; sadeghb@mcmaster.ca; sfernando@qmed.ca</t>
  </si>
  <si>
    <t>[Niznick, Naomi; Tran, Alexandre] Univ Ottawa, Dept Med, Div Crit Care, Ottawa, ON, Canada; [Niznick, Naomi; Fantaneanu, Tadeu A.] Univ Ottawa, Dept Med, Div Neurol, Ottawa, ON, Canada; [Sadeghirad, Behnam] McMaster Univ, Dept Anesthesia, Hamilton, ON, Canada; [Sadeghirad, Behnam; Rochwerg, Bram] McMaster Univ, Dept Hlth Res Methods Evidence &amp; Impact, Hamilton, ON, Canada; [Rochwerg, Bram] McMaster Univ, Dept Med, Div Crit Care, Hamilton, ON, Canada; [Rochwerg, Bram] Hamilton Hlth Sci, Knowledge Ctr, Hamilton, ON, Canada; [Tran, Alexandre; Fantaneanu, Tadeu A.] Ottawa Hosp Res Inst, Ottawa, ON, Canada; [Jung, Richard G.] Univ Ottawa, Div Cardiol, Heart Inst, Ottawa, ON, Canada; [Boyd, J. Gordon] Queens Univ, Dept Med, Div Neurol, Kingston, ON, Canada; [Boyd, J. Gordon; Fernando, Shannon M.] Queens Univ, Dept Crit Care Med, Kingston, ON, Canada; [Sekhon, Mypinder S.] Univ British Columbia, Dept Med, Div Crit Care Med, Vancouver, BC, Canada; [Hirsch, Karen G.] Stanford Univ, Dept Psychol, Stanford, CA USA; [Nolan, Jerry P.] Royal United Hosp, Dept Anaesthesia &amp; Intens Care Med, Bath, England; [Sandroni, Claudio] Univ Cattolica Sacro Cuore, Inst Anesthesiol &amp; Intens Care Med, Rome, Italy; [Sandroni, Claudio] Fdn Policlin Univ Agostino Gemelli, Dept Intens Care Emergency Med &amp; Anesthesiol, IRCCS, Rome, Italy; [Fernando, Shannon M.] Lakeridge Hlth, Dept Crit Care, Oshawa, ON, Canada</t>
  </si>
  <si>
    <t>University of Ottawa; University of Ottawa; McMaster University; McMaster University; McMaster University; McMaster University; University of Ottawa; Ottawa Hospital Research Institute; University of Ottawa; University of Ottawa Heart Institute; Queens University - Canada; Queens University - Canada; University of British Columbia; Stanford University; Catholic University of the Sacred Heart; IRCCS Policlinico Gemelli; Catholic University of the Sacred Heart; IRCCS Policlinico Gemelli</t>
  </si>
  <si>
    <t>Clinical Prediction Models for Prognostication After Out-of-Hospital Cardiac Arrest: A Systematic Review and Meta-Analysis</t>
  </si>
  <si>
    <t>CRITICAL CARE MEDICINE</t>
  </si>
  <si>
    <t>hypoxemic-ischemic brain injury; out-of-hospital cardiac arrest; prediction scores; prognosis</t>
  </si>
  <si>
    <t>NULL-PLEASE; OHCA SCORE; SURVIVAL; RISK; PROGNOSIS; TOOL; RESUSCITATION; ASSOCIATION; SPECIFICITY; SENSITIVITY</t>
  </si>
  <si>
    <t>0090-3493</t>
  </si>
  <si>
    <t>1530-0293</t>
  </si>
  <si>
    <t>CRIT CARE MED</t>
  </si>
  <si>
    <t>Crit. Care Med.</t>
  </si>
  <si>
    <t>AUG 2026</t>
  </si>
  <si>
    <t>2112</t>
  </si>
  <si>
    <t>2123</t>
  </si>
  <si>
    <t>10.1097/CCM.0000000000007206</t>
  </si>
  <si>
    <t>http://dx.doi.org/10.1097/CCM.0000000000007206</t>
  </si>
  <si>
    <t>Critical Care Medicine</t>
  </si>
  <si>
    <t>MH5XP</t>
  </si>
  <si>
    <t>42274294</t>
  </si>
  <si>
    <t>WOS:001842424800014</t>
  </si>
  <si>
    <t>Dhana, A; Gupta, RK; Hamada, Y; Kengne, AP; Kerkhoff, AD; Yoon, C; Cattamanchi, A; Reeve, BWP; Theron, G; Ndlangalavu, G; Wood, R; Drain, PK; Calderwood, CJ; Noursadeghi, M; Boyles, T; Meintjes, G; Maartens, G; Barr, DA</t>
  </si>
  <si>
    <t>Background: The World Health Organization (WHO) recommends that outpatient people living with HIV (PLHIV) undergo tuberculosis screening with the WHO four-symptom screen (W4SS) or C-reactive protein (CRP) (5 mg &amp; BULL;L-1 cut-off) followed by confirmatory testing if screen positive. We conducted an individual participant data meta-analysis to determine the performance of WHO-recommended screening tools and two newly developed clinical prediction models (CPMs).Methods: Following a systematic review, we identified studies that recruited adult outpatient PLHIV irrespective of tuberculosis signs and symptoms or with a positive W4SS, evaluated CRP and collected sputum for culture. We used logistic regression to develop an extended CPM (which included CRP and other predictors) and a CRP-only CPM. We used internal-external cross-validation to evaluate performance.Results: We pooled data from eight cohorts (n=4315 participants). The extended CPM had excellent discrimination (C-statistic 0.81); the CRP-only CPM had similar discrimination. The C-statistics for WHO -recommended tools were lower. Both CPMs had equivalent or higher net benefit compared with the WHO-recommended tools. Compared with both CPMs, CRP (5 mg &amp; BULL;L-1 cut-off) had equivalent net benefit across a clinically useful range of threshold probabilities, while the W4SS had a lower net benefit. The W4SS would capture 91% of tuberculosis cases and require confirmatory testing for 78% of participants. CRP (5 mg &amp; BULL;L-1 cut-off), the extended CPM (4.2% threshold) and the CRP-only CPM (3.6% threshold) would capture similar percentages of cases but reduce confirmatory tests required by 24, 27 and 36%, respectively.Conclusions: CRP sets the standard for tuberculosis screening among outpatient PLHIV. The choice between using CRP at 5 mg &amp; BULL;L-1 cut-off or in a CPM depends on available resources.</t>
  </si>
  <si>
    <t>Dhana, Ashar; Gupta, Rishi K.; Hamada, Yohhei; Kengne, Andre P.; Kerkhoff, Andrew D.; Yoon, Christina; Cattamanchi, Adithya; Reeve, Byron W. P.; Theron, Grant; Ndlangalavu, Gcobisa; Wood, Robin; Drain, Paul K.; Calderwood, Claire J.; Noursadeghi, Mahdad; Boyles, Tom; Meintjes, Graeme; Maartens, Gary; Barr, David A.</t>
  </si>
  <si>
    <t>Dhana, A (corresponding author), Univ Cape Town, Dept Med, Cape Town, South Africa.</t>
  </si>
  <si>
    <t>ashardhana@live.com</t>
  </si>
  <si>
    <t>Fogarty International Center of the National Institutes of Health; Eunice Kennedy Shriver National Institute of Child Health amp; Human Development (NICHD) [D43 TW010559]; National Research Foundation (NRF); Harry Crossley Foundation - National Institute for Health Research [DRF-2018 - 11-ST2-004]; Wellcome Centre for Infectious Diseases Research in Africa [203135/Z/16/Z]; Wellcome Trust [207511/Z/17/Z, 214321/Z/18/Z]; South African Research Chairs Initiative of the Department of Science and Technology and NRF of South Africa [64787]; European Union [SF1401, RIA2020I-3305]; National Institutes of Health [U01AI152087, U54EB027049, D43TW010350]; South African Medical Research Council through its Division of Research Capacity Development under the SAMRC Internship Scholarship Programme; National Institute for Health Research Biomedical Research Funding to University College London; University College London Hospitals; National Institutes of Health Research (NIHR) [DRF-2018-11-ST2-004] Funding Source: National Institutes of Health Research (NIHR); Wellcome Trust [207511/Z/17/Z] Funding Source: researchfish</t>
  </si>
  <si>
    <t>Fogarty International Center of the National Institutes of Health (United States Department of Health &amp; Human Services, National Institutes of Health (NIH) - USA, NIH Fogarty International Center (FIC)); Eunice Kennedy Shriver National Institute of Child Health amp; Human Development (NICHD); National Research Foundation (NRF); Harry Crossley Foundation - National Institute for Health Research; Wellcome Centre for Infectious Diseases Research in Africa (Wellcome Trust); Wellcome Trust (Wellcome Trust); South African Research Chairs Initiative of the Department of Science and Technology and NRF of South Africa; European Union (European Union (EU)); National Institutes of Health (United States Department of Health &amp; Human Services, National Institutes of Health (NIH) - USA); South African Medical Research Council through its Division of Research Capacity Development under the SAMRC Internship Scholarship Programme; National Institute for Health Research Biomedical Research Funding to University College London; University College London Hospitals; National Institutes of Health Research (NIHR) (National Institutes of Health Research (NIHR)); Wellcome Trust (Wellcome Trust)</t>
  </si>
  <si>
    <t>A. Dhana received training in research that was supported by the Fogarty International Center of the National Institutes of Health and the Eunice Kennedy Shriver National Institute of Child Health &amp; Human Development (NICHD) under Award Number D43 TW010559, National Research Foundation (NRF) , and the Harry Crossley Foundation. R.K. Gupta is funded by the National Institute for Health Research (DRF-2018 - 11-ST2-004) . G. Meintjes and G. Maartens were supported by core funding from the Wellcome Centre for Infectious Diseases Research in Africa (203135/Z/16/Z) . G. Meintjes was supported by the Wellcome Trust (214321/Z/18/Z) and the South African Research Chairs Initiative of the Department of Science and Technology and NRF of South Africa (Grant No 64787) . G. Theron acknowledges funding from the EDCTP2 programme supported by the European Union (SF1401, OPTIMAL DIAGNOSIS; RIA2020I-3305, CAGE -TB) and the National Institutes of Health (U01AI152087; U54EB027049; D43TW010350) . G. Ndlangalavu acknowledges the SAMRC for funding: " The work reported herein was made possible through funding by the South African Medical Research Council through its Division of Research Capacity Development under the SAMRC Internship Scholarship Programme. The content hereof is the sole responsibility of the authors and does not necessarily represent the official views of the SAMRC " . M. Noursadeghi is supported by the Wellcome Trust (207511/Z/17/Z) and by National Institute for Health Research Biomedical Research Funding to University College London and University College London Hospitals. The opinions, findings and conclusions expressed in this manuscript reflect those of the authors alone.</t>
  </si>
  <si>
    <t>[Dhana, Ashar; Meintjes, Graeme; Maartens, Gary] Univ Cape Town, Dept Med, Cape Town, South Africa; [Gupta, Rishi K.; Hamada, Yohhei; Calderwood, Claire J.] UCL, Inst Global Hlth, London, England; [Hamada, Yohhei] Japan AntiTB Assoc, Res Inst TB, Ctr Int Cooperat &amp; Global TB Informat, Tokyo, Japan; [Kengne, Andre P.] South African Med Res Council, Noncommunicable Dis Res Unit, Cape Town, South Africa; [Kerkhoff, Andrew D.] Univ Calif San Francisco, Zuckerberg San Francisco Gen Hosp &amp; Trauma Ctr, Div HIV Infect Dis &amp; Global Med, San Francisco, CA USA; [Yoon, Christina; Cattamanchi, Adithya] Univ Calif San Francisco, Dept Med, Div Pulm &amp; Crit Care Med, San Francisco, CA USA; [Yoon, Christina; Cattamanchi, Adithya] Univ Calif San Francisco, Ctr TB, San Francisco, CA USA; [Reeve, Byron W. P.; Theron, Grant; Ndlangalavu, Gcobisa] Stellenbosch Univ, Fac Med &amp; Hlth Sci, DSI NRF Ctr Excellence Biomed TB Res, South African Med Res Council Ctr TB Res,Div Mol B, Cape Town, South Africa; [Wood, Robin] Univ Cape Town, Inst Infect Dis &amp; Mol Med IDM, Fac Hlth Sci, Cape Town, South Africa; [Drain, Paul K.] Univ Washington, Dept Global Hlth Med &amp; Epidemiol, Seattle, WA USA; [Calderwood, Claire J.] London Sch Hyg &amp; Trop Med, Fac Infect &amp; Trop Dis, Clin Res Dept, London, England; Biomed Res &amp; Training Inst, Res Unit Zimbabwe, Harare, Zimbabwe; UCL, Div Infect &amp; Immun, London, England; Helen Joseph Hosp, Johannesburg, South Africa; Univ Cape Town, Inst Infect Dis &amp; Mol Med, Wellcome Ctr Infect Dis Res Afr CIDRI Afr, Cape Town, South Africa; Univ Liverpool, Inst Infect &amp; Global Hlth, Liverpool, England</t>
  </si>
  <si>
    <t>University of Cape Town; University of London; University College London; South African Medical Research Council; University of California System; University of California San Francisco; University of California System; University of California San Francisco; University of California System; University of California San Francisco; Stellenbosch University; University of Cape Town; University of Washington; University of Washington Seattle; University of London; London School of Hygiene &amp; Tropical Medicine; Biomedical Research Training Institute; University of London; University College London; University of Cape Town; University of Liverpool</t>
  </si>
  <si>
    <t>Clinical utility of WHO-recommended screening tools and development and validation of novel clinical prediction models for pulmonary tuberculosis screening among outpatients living with HIV: an individual participant data meta-analysis</t>
  </si>
  <si>
    <t>EUROPEAN RESPIRATORY REVIEW</t>
  </si>
  <si>
    <t>C-REACTIVE PROTEIN</t>
  </si>
  <si>
    <t>Theron, Grant/QDL-9809-2026; Kengne, Andre Pascal/ABB-3696-2020; Maartens, Gary/S-2788-2019; Noursadeghi, Mahdad/C-2639-2008</t>
  </si>
  <si>
    <t>Gupta, Rishi/0000-0002-6257-1285; Theron, Grant/0000-0002-9216-2415; Meintjes, Graeme/0000-0003-1196-4414; Kengne, Andre Pascal/0000-0002-5183-131X; Maartens, Gary/0000-0003-3080-6606; Ndlangalavu, Gcobisa/0000-0001-8450-6460; Calderwood, Claire/0000-0002-1926-7464</t>
  </si>
  <si>
    <t>EUROPEAN RESPIRATORY SOC JOURNALS LTD</t>
  </si>
  <si>
    <t>SHEFFIELD</t>
  </si>
  <si>
    <t>442 GLOSSOP RD, SHEFFIELD S10 2PX, ENGLAND</t>
  </si>
  <si>
    <t>0905-9180</t>
  </si>
  <si>
    <t>1600-0617</t>
  </si>
  <si>
    <t>EUR RESPIR REV</t>
  </si>
  <si>
    <t>Eur. Respir. Rev.</t>
  </si>
  <si>
    <t>JUN 30 2023</t>
  </si>
  <si>
    <t>168</t>
  </si>
  <si>
    <t>230021</t>
  </si>
  <si>
    <t>10.1183/16000617.0021-2023</t>
  </si>
  <si>
    <t>http://dx.doi.org/10.1183/16000617.0021-2023</t>
  </si>
  <si>
    <t>Respiratory System</t>
  </si>
  <si>
    <t>K2RI7</t>
  </si>
  <si>
    <t>37286216</t>
  </si>
  <si>
    <t>WOS:001014958900003</t>
  </si>
  <si>
    <t>Guo, XR; Xu, HM; Zhang, JT; Hao, B; Yang, T</t>
  </si>
  <si>
    <t>Objective: This systematic review and meta-analysis aimed to systematically evaluate the prediction models for the risk of post-thrombotic syndrome (PTS) in deep vein thrombosis (DVT) patients. Methods: This systematic review and meta-analysis was guided by the Preferred Reporting Items for Systematic Reviews and Meta-analyses (PRISMA). A systematic search on the following electronic database: PubMed/MEDLINE, EMBASE, and Cochrane Library, and Chinese databases such as WANFANG and CNKI was conducted to look for relevant articles based on the research question. The risk of bias for each studies included was carried out based on Prediction Model Risk of Bias Assessment Tool (PROBAST).Results: We identified 10 studies that developed a total of 13 clinical prediction models for PTS risk in DVT patients, 3 models were externally validated, 2 models were temporally validated. The top 5 predictors were: BMI (N = 9), Varicose vein (N = 6), Baseline Villalta Score (N = 6), Iliofemoral thrombosis (N = 5), and Age (N = 4). The high risk of bias was from the analysis domain, which the number of participants and selection of predictors often did not meet the requirements of PROBAST. A random-effects meta-analysis of C-statistics was conducted, the pooled discrimination was C-statistic 0.75, 95%CI (0.69, 0.81).Conclusion: Among the 13 PTS risk prediction models reported in this study, no prediction model has been applied to clinical practice due to the lack of external validation. In the development of prediction models, most models were not standardized in data analysis. It is recommended that future studies on the design and implementation of prediction models refer to Transparent reporting of a multivariable prediction model for individual prognosis or diagnosis (TRIPOD) and PROBAST.</t>
  </si>
  <si>
    <t>Guo, Xiaorong; Xu, Huimin; Zhang, Jiantao; Hao, Bin; Yang, Tao</t>
  </si>
  <si>
    <t>Hao, B; Yang, T (corresponding author), Shanxi Med Univ, Shanxi Bethune Hosp, Shanxi Acad Med Sci, Dept Gen Surg,Hosp 3, 99 Longcheng St, Taiyuan 030032, Shanxi, Peoples R China.; Hao, B; Yang, T (corresponding author), Tongji Shanxi Hosp, Tongji Med Coll HUST, 99 Longcheng St, Taiyuan 030032, Shanxi, Peoples R China.</t>
  </si>
  <si>
    <t>tao646808009@gmail.com; haobin63@163.com</t>
  </si>
  <si>
    <t>Shanxi Province "136 Revitalization Medical Project Construction Funds"</t>
  </si>
  <si>
    <t>This study was funded by Shanxi Province "136 Revitalization Medical Project Construction Funds".</t>
  </si>
  <si>
    <t>[Guo, Xiaorong; Xu, Huimin; Zhang, Jiantao; Hao, Bin; Yang, Tao] Shanxi Med Univ, Shanxi Bethune Hosp, Shanxi Acad Med Sci, Dept Gen Surg,Hosp 3, 99 Longcheng St, Taiyuan 030032, Shanxi, Peoples R China; [Hao, Bin; Yang, Tao] Tongji Shanxi Hosp, Tongji Med Coll HUST, 99 Longcheng St, Taiyuan 030032, Shanxi, Peoples R China</t>
  </si>
  <si>
    <t>Shanxi Medical University</t>
  </si>
  <si>
    <t>A systematic review and meta-analysis of risk prediction models for post-thrombotic syndrome in patients with deep vein thrombosis</t>
  </si>
  <si>
    <t>HELIYON</t>
  </si>
  <si>
    <t>Post-thrombotic syndrome; Deep vein thrombosis; Clinical prediction model</t>
  </si>
  <si>
    <t>EXTERNAL VALIDATION; IMPACT</t>
  </si>
  <si>
    <t>CELL PRESS</t>
  </si>
  <si>
    <t>50 HAMPSHIRE ST, FLOOR 5, CAMBRIDGE, MA 02139 USA</t>
  </si>
  <si>
    <t>2405-8440</t>
  </si>
  <si>
    <t>Heliyon</t>
  </si>
  <si>
    <t>NOV 13 2023</t>
  </si>
  <si>
    <t>e22226</t>
  </si>
  <si>
    <t>10.1016/j.heliyon.2023.e22226</t>
  </si>
  <si>
    <t>http://dx.doi.org/10.1016/j.heliyon.2023.e22226</t>
  </si>
  <si>
    <t>AW2Z4</t>
  </si>
  <si>
    <t>38045217</t>
  </si>
  <si>
    <t>WOS:001121435300001</t>
  </si>
  <si>
    <t>73</t>
  </si>
  <si>
    <t>Fusar-Poli, P; Hijazi, Z; Stahl, D; Steyerberg, EW</t>
  </si>
  <si>
    <t>IMPORTANCE Prognosis is a venerable component of medical knowledge introduced by Hippocrates (460-377 BC). This educational review presents a contemporary evidence-based approach for how to incorporate clinical risk prediction models in modern psychiatry. The article is organized around key methodological themes most relevant for the science of prognosis in psychiatry. Within each theme, the article highlights key challenges and makes pragmatic recommendations to improve scientific understanding of prognosis in psychiatry.OBSERVATIONS The initial step to building clinical risk prediction models that can affect psychiatric care involves designing the model: preparation of the protocol and definition of the outcomes and of the statistical methods (theme 1). Further initial steps involve carefully selecting the predictors, preparing the data, and developing the model in these data. A subsequent step is the validation of the model to accurately test its generalizability (theme 2). The next consideration is that the accuracy of the clinical prediction model is affected by the incidence of the psychiatric condition under investigation (theme 3). Eventually, clinical prediction models need to be implemented in real-world clinical routine, and this is usually the most challenging step (theme 4). Advanced methods such as machine learning approaches can overcome some problems that undermine the previous steps (theme 5). The relevance of each of these themes to current clinical risk prediction modeling in psychiatry is discussed and recommendations are given.CONCLUSIONS AND RELEVANCE Together, these perspectives intend to contribute to an integrative, evidence-based science of prognosis in psychiatry. By focusing on the outcome of the individuals, rather than on the disease, clinical risk prediction modeling can become the cornerstone for a scientific and personalized psychiatry.</t>
  </si>
  <si>
    <t>Fusar-Poli, Paolo; Hijazi, Ziad; Stahl, Daniel; Steyerberg, Ewout W.</t>
  </si>
  <si>
    <t>Fusar-Poli, P (corresponding author), Inst Psychiat Psychol &amp; Neurosci, Dept Psychosis Studies, Main Bldg,5th Floor,PO63,16 De Crespigny Pk, London SE5 8AF, England.</t>
  </si>
  <si>
    <t>paolo.fusar-poli@kcl.ac.uk</t>
  </si>
  <si>
    <t>Medical Research Council [MC_PC_16048]; National Institute for Health Research Biomedical Research Centre at South London and Maudsley National Health Service Foundation Trust and King's College London; Patient-Centered Outcomes Research Institute award [ME-160635555]; Medical Research Council [MC_PC_16048] Funding Source: researchfish; MRC [MC_PC_16048] Funding Source: UKRI</t>
  </si>
  <si>
    <t>Medical Research Council (UK Research &amp; Innovation (UKRI), Medical Research Council UK (MRC)); National Institute for Health Research Biomedical Research Centre at South London and Maudsley National Health Service Foundation Trust and King's College London (King's College London); Patient-Centered Outcomes Research Institute award (Patient-Centered Outcomes Research Institute (PCORI)); Medical Research Council (UK Research &amp; Innovation (UKRI), Medical Research Council UK (MRC)); MRC (UK Research &amp; Innovation (UKRI), Medical Research Council UK (MRC))</t>
  </si>
  <si>
    <t>This work is supported in part by a King's College London Confidence in Concept award (MC_PC_16048) from the Medical Research Council (Dr Fusar-Poli). Dr Stahl was partly funded by the National Institute for Health Research Biomedical Research Centre at South London and Maudsley National Health Service Foundation Trust and King's College London. Dr Steyerberg was partially supported through a Patient-Centered Outcomes Research Institute award (ME-160635555).</t>
  </si>
  <si>
    <t>[Fusar-Poli, Paolo] Kings Coll London, Inst Psychiat Psychol &amp; Neurosci, Dept Psychosis Studies, Early Psychosis Intervent &amp; Clin Detect EPIC Lab, London, England; [Fusar-Poli, Paolo] South London &amp; Maudsley Natl Hlth Serv Fdn Trust, OASIS Serv, London, England; [Fusar-Poli, Paolo] Univ Pavia, Dept Brain &amp; Behav Sci, Pavia, Italy; [Hijazi, Ziad] Uppsala Univ, Univ Uppsala Hosp, Dept Med Sci, Cardiol, Uppsala, Sweden; [Hijazi, Ziad] Uppsala Univ, Univ Uppsala Hosp, Uppsala Clin Res Ctr, Uppsala, Sweden; [Stahl, Daniel] Kings Coll London, Inst Psychiat Psychol &amp; Neurosci, Dept Biostat &amp; Hlth Informat, London, England; [Steyerberg, Ewout W.] Leiden Univ, Med Ctr, Dept Biomed Data Sci Med Stat &amp; Med Decis Making, Leiden, Netherlands</t>
  </si>
  <si>
    <t>University of London; King's College London; South London &amp; Maudsley NHS Trust; University of Pavia; Uppsala University; Uppsala University Hospital; Uppsala University; Uppsala University Hospital; University of London; King's College London; Leiden University - Excl LUMC; Leiden University; Leiden University Medical Center (LUMC)</t>
  </si>
  <si>
    <t>The Science of Prognosis in Psychiatry A Review</t>
  </si>
  <si>
    <t>JAMA PSYCHIATRY</t>
  </si>
  <si>
    <t>CLINICAL HIGH-RISK; ULTRA-HIGH RISK; PREDICTION MODELS; EXTERNAL VALIDATION; SAMPLE-SIZE; PSYCHOSIS RISK; INDIVIDUALS; CALCULATOR; DIAGNOSIS; ALGORITHM</t>
  </si>
  <si>
    <t>Hijazi, Ziad/KTI-6910-2024; Stahl, Daniel/B-9713-2011; Fusar-Poli, Paolo/D-8605-2011; Steyerberg, Ewout/C-1509-2018</t>
  </si>
  <si>
    <t>Hijazi, Ziad/0000-0002-7420-743X; Stahl, Daniel/0000-0001-7987-6619; Fusar-Poli, Paolo/0000-0003-3582-6788</t>
  </si>
  <si>
    <t>95</t>
  </si>
  <si>
    <t>164</t>
  </si>
  <si>
    <t>175</t>
  </si>
  <si>
    <t>AMER MEDICAL ASSOC</t>
  </si>
  <si>
    <t>CHICAGO</t>
  </si>
  <si>
    <t>330 N WABASH AVE, STE 39300, CHICAGO, IL 60611-5885 USA</t>
  </si>
  <si>
    <t>2168-622X</t>
  </si>
  <si>
    <t>2168-6238</t>
  </si>
  <si>
    <t>JAMA PSYCHIAT</t>
  </si>
  <si>
    <t>JAMA Psychiatry</t>
  </si>
  <si>
    <t>DEC 2018</t>
  </si>
  <si>
    <t>75</t>
  </si>
  <si>
    <t>1289</t>
  </si>
  <si>
    <t>1297</t>
  </si>
  <si>
    <t>10.1001/jamapsychiatry.2018.2530</t>
  </si>
  <si>
    <t>http://dx.doi.org/10.1001/jamapsychiatry.2018.2530</t>
  </si>
  <si>
    <t>HD6TS</t>
  </si>
  <si>
    <t>30347013</t>
  </si>
  <si>
    <t>WOS:000452682200013</t>
  </si>
  <si>
    <t>Domenico, HJ; Tillman, BF; Just, SL; Ko, YJ; Mixon, AS; Weitkamp, A; Schildcrout, JS; Walsh, C; Ortel, T; French, B</t>
  </si>
  <si>
    <t>BackgroundHospital-acquired venous thromboembolism (HA-VTE) is a leading cause of morbidity and mortality among hospitalized adults. Numerous prognostic models have been developed to identify those patients with elevated risk of HA-VTE. None, however, has met the necessary criteria to guide clinical decision-making. This study outlines a protocol for refining and validating a general-purpose prognostic model for HA-VTE, designed for real-time automation within the electronic health record (EHR) system.MethodsA retrospective cohort of 132,561 inpatient encounters (89,586 individual patients) at a large academic medical center will be collected, along with clinical and demographic data available as part of routine care. Data for temporal, geographic, and domain external validation cohorts will also be collected. Logistic regression will be used to predict occurrence of HA-VTE during an inpatient encounter. Variables considered for model inclusion will be based on prior demonstrated association with HA-VTE and their availability in both retrospective EHR data and routine clinical care. Least absolute shrinkage and selection operator (LASSO) with tenfold cross-validation will be used for initial variable selection. Variables selected by the LASSO procedure, along with those deemed necessary by clinicians, will be used in an unpenalized multivariable logistic regression model. Discrimination and calibration will be reported for the derivation and validation cohorts. Discrimination will be measured using Harrell's C statistic. Calibration will be measured using calibration intercept, calibration slope, Brier score, integrated calibration index, and visual examination of non-linear calibration curve. Model reporting will adhere to the Transparent Reporting of a multivariable prediction model for Individual Prognosis Or Diagnosis guidelines for clinical prediction models using machine learning methods (TRIPOD + AI).DiscussionWe describe methods for developing, evaluating, and validating a prognostic model for HA-VTE using routinely collected EHR data. By combining best practices in statistical development and validation, knowledge engineering, and clinical domain knowledge, the resulting model should be well suited for real-time clinical implementation. Although this protocol describes our development of a model for HA-VTE, the general approach can be applied to other clinical outcomes.</t>
  </si>
  <si>
    <t>Domenico, Henry J.; Tillman, Benjamin F.; Just, Shari L.; Ko, Yeji; Mixon, Amanda S.; Weitkamp, Asli; Schildcrout, Jonathan S.; Walsh, Colin; Ortel, Thomas; French, Benjamin</t>
  </si>
  <si>
    <t>Domenico, HJ (corresponding author), Vanderbilt Univ, Med Ctr, Dept Biostat, Nashville, TN 37235 USA.</t>
  </si>
  <si>
    <t>henry.domenico@vumc.org</t>
  </si>
  <si>
    <t>National Heart, Lung, and Blood Institute [R01-HL164482]</t>
  </si>
  <si>
    <t>National Heart, Lung, and Blood Institute (United States Department of Health &amp; Human Services, National Institutes of Health (NIH) - USA, NIH National Heart Lung &amp; Blood Institute (NHLBI))</t>
  </si>
  <si>
    <t>This work was supported by the National Heart, Lung, and Blood Institute (award number R01-HL164482).</t>
  </si>
  <si>
    <t>[Domenico, Henry J.; Ko, Yeji; Schildcrout, Jonathan S.; French, Benjamin] Vanderbilt Univ, Med Ctr, Dept Biostat, Nashville, TN 37235 USA; [Tillman, Benjamin F.] Vanderbilt Univ, Med Ctr, Dept Med, Div Hematol Oncol, Nashville, TN USA; [Just, Shari L.] Vanderbilt Univ, Knowledge Engn, Hlth IT, Med Ctr, Nashville, TN USA; [Mixon, Amanda S.] VA Tennessee Valley Healthcare Syst, Geriatr Res &amp; Educ Clin Ctr, Nashville, TN USA; [Mixon, Amanda S.] Vanderbilt Univ, Med Ctr, Dept Med, Div Gen Internal Med &amp; Publ Hlth, Nashville, TN USA; [Ortel, Thomas] Duke Univ, Sch Med, Dept Med, Durham, NC USA; [Weitkamp, Asli; Walsh, Colin] Vanderbilt Univ, Med Ctr, Dept Biomed Informat, Nashville, TN USA; [Walsh, Colin] Vanderbilt Univ, Med Ctr, Dept Med, Nashville, TN USA; [Walsh, Colin] Vanderbilt Univ, Med Ctr, Dept Psychiat, Nashville, TN USA</t>
  </si>
  <si>
    <t>Vanderbilt University; Vanderbilt University; Vanderbilt University; US Department of Veterans Affairs; Veterans Health Administration (VHA); VA Tennessee Valley Healthcare System; Geriatric Research Education &amp; Clinical Center; Vanderbilt University; Duke University; Vanderbilt University; Vanderbilt University; Vanderbilt University</t>
  </si>
  <si>
    <t>Predicting venous thromboembolism among hospitalized adults: a protocol for development and validation of an implementable real-time prognostic model</t>
  </si>
  <si>
    <t>DIAGNOSTIC AND PROGNOSTIC RESEARCH</t>
  </si>
  <si>
    <t>Clinical prediction model; Model development; External validation; Venous thromboembolism; Electronic health record</t>
  </si>
  <si>
    <t>RISK; EPIDEMIOLOGY</t>
  </si>
  <si>
    <t>French, Benjamin/KUD-3506-2024; Schildcrout, Jonathan/KQV-1579-2024; /AEB-2278-2022; Walsh, Colin/QQY-3777-2026; Mixon, Amanda/AFS-7850-2022</t>
  </si>
  <si>
    <t>Schildcrout, Jonathan/0000-0003-2276-2551; Ko, Yeji/0000-0001-5162-2756</t>
  </si>
  <si>
    <t>SPRINGERNATURE</t>
  </si>
  <si>
    <t>CAMPUS, 4 CRINAN ST, LONDON, N1 9XW, ENGLAND</t>
  </si>
  <si>
    <t>2397-7523</t>
  </si>
  <si>
    <t>DIAGN PROGN RES</t>
  </si>
  <si>
    <t>Diagn. Progn. Res.</t>
  </si>
  <si>
    <t>SEP 8 2025</t>
  </si>
  <si>
    <t>10.1186/s41512-025-00205-8</t>
  </si>
  <si>
    <t>http://dx.doi.org/10.1186/s41512-025-00205-8</t>
  </si>
  <si>
    <t>6YM5P</t>
  </si>
  <si>
    <t>40916049</t>
  </si>
  <si>
    <t>WOS:001565038200001</t>
  </si>
  <si>
    <t>Wessler, BS; Nelson, J; Park, JG; McGinnes, H; Gulati, G; Brazil, R; Van Calster, B; van Klaveren, D; Venema, E; Steyerberg, E; Paulus, JK; Kent, DM</t>
  </si>
  <si>
    <t>Background: There are many clinical prediction models (CPMs) available to inform treatment decisions for patients with cardiovascular disease. However, the extent to which they have been externally tested, and how well they generally perform has not been broadly evaluated. Methods: A SCOPUS citation search was run on March 22, 2017 to identify external validations of cardiovascular CPMs in the Tufts Predictive Analytics and Comparative Effectiveness CPM Registry. We assessed the extent of external validation, performance heterogeneity across databases, and explored factors associated with model performance, including a global assessment of the clinical relatedness between the derivation and validation data. Results: We identified 2030 external validations of 1382 CPMs. Eight hundred seven (58%) of the CPMs in the Registry have never been externally validated. On average, there were 1.5 validations per CPM (range, 0-94). The median external validation area under the receiver operating characteristic curve was 0.73 (25th-75th percentile [interquartile range (IQR)], 0.66-0.79), representing a median percent decrease in discrimination of -11.1% (IQR, -32.4% to +2.7%) compared with performance on derivation data. 81% (n=1333) of validations reporting area under the receiver operating characteristic curve showed discrimination below that reported in the derivation dataset. 53% (n=983) of the validations report some measure of CPM calibration. For CPMs evaluated more than once, there was typically a large range of performance. Of 1702 validations classified by relatedness, the percent change in discrimination was -3.7% (IQR, -13.2 to 3.1) for closely related validations (n=123), -9.0 (IQR, -27.6 to 3.9) for related validations (n=862), and -17.2% (IQR, -42.3 to 0) for distantly related validations (n=717; P&lt;0.001). Conclusions: Many published cardiovascular CPMs have never been externally validated, and for those that have, apparent performance during development is often overly optimistic. A single external validation appears insufficient to broadly understand the performance heterogeneity across different settings.</t>
  </si>
  <si>
    <t>Wessler, Benjamin S.; Nelson, Jason; Park, Jinny G.; McGinnes, Hannah; Gulati, Gaurav; Brazil, Riley; Van Calster, Ben; van Klaveren, David; Venema, Esmee; Steyerberg, Ewout; Paulus, Jessica K.; Kent, David M.</t>
  </si>
  <si>
    <t>Wessler, BS (corresponding author), Tufts Med Ctr, Predict Analyt &amp; Comparat Effectiveness PACE, 35 Kneeland St,Box 63, Boston, MA 02111 USA.</t>
  </si>
  <si>
    <t>e.steyerberg@erasmusmc.nl; Riley.Brazil@tufts.edu; jpark4@tuftsmedicalcenter.org; hlmcginnes@gmail.com; ggulati@tuftsmedicalcenter.org; ben.vancalster@kuleuven.be; bwessler@tuftsmedicalcenter.org; jess.paulus@gmail.com; jnelson2@tuftsmedicalcenter.org; e.venema@erasmusmc.nl; d.vanklaveren@erasmusmc.nl; dkent1@tuftsmedicalcenter.org</t>
  </si>
  <si>
    <t>Patient-Centered Outcomes Research Institute (PCORI) Award [ME-1606-35555]; National Institutes of Health (NIH)-National Institute on Aging (NIA) [K23AG055667]; NIH-NIA. [R03AG056447]; National Institute on Aging [K23AG055667] Funding Source: NIH RePORTER</t>
  </si>
  <si>
    <t>Patient-Centered Outcomes Research Institute (PCORI) Award (Patient-Centered Outcomes Research Institute (PCORI)); National Institutes of Health (NIH)-National Institute on Aging (NIA) (United States Department of Health &amp; Human Services, National Institutes of Health (NIH) - USA, NIH National Institute on Aging (NIA)); NIH-NIA. (United States Department of Health &amp; Human Services, National Institutes of Health (NIH) - USA, NIH National Institute on Aging (NIA)); National Institute on Aging (United States Department of Health &amp; Human Services, National Institutes of Health (NIH) - USA, NIH National Institute on Aging (NIA))</t>
  </si>
  <si>
    <t>Research reported in this work was funded through a Patient-Centered Outcomes Research Institute (PCORI) Award (ME-1606-35555). The views, statements, opinions presented in this work are solely the responsibility of the author(s) and do not necessarily represent the views of the PCORI, its Board of Governors, or Methodology Committee. Dr Wessler is supported by K23AG055667 from National Institutes of Health (NIH)-National Institute on Aging (NIA) and R03AG056447 from NIH-NIA.</t>
  </si>
  <si>
    <t>[Wessler, Benjamin S.; Nelson, Jason; Park, Jinny G.; McGinnes, Hannah; Gulati, Gaurav; Brazil, Riley; van Klaveren, David; Paulus, Jessica K.; Kent, David M.] Tufts Med Ctr, Predict Analyt &amp; Comparat Effectiveness PACE, 35 Kneeland St,Box 63, Boston, MA 02111 USA; [Wessler, Benjamin S.; Gulati, Gaurav] Tufts Med Ctr, Div Cardiol, Boston, MA 02111 USA; [Van Calster, Ben] Katholieke Univ Leuven, Dept Dev &amp; Regenerat, Leuven, Belgium; [van Klaveren, David; Steyerberg, Ewout] Leiden Univ, Med Ctr, Dept Biomed Data Sci, Leiden, Netherlands; [Venema, Esmee; Steyerberg, Ewout] Erasmus MC, Univ Med Ctr, Dept Publ Hlth, Rotterdam, Netherlands; [Venema, Esmee] Erasmus MC, Univ Med Ctr, Dept Neurol, Rotterdam, Netherlands</t>
  </si>
  <si>
    <t>Tufts Medical Center; Tufts Medical Center; KU Leuven; Leiden University; Leiden University - Excl LUMC; Leiden University Medical Center (LUMC); Erasmus University Rotterdam; Erasmus MC; Erasmus University Rotterdam; Erasmus MC</t>
  </si>
  <si>
    <t>External Validations of Cardiovascular Clinical Prediction Models: A Large-Scale Review of the Literature</t>
  </si>
  <si>
    <t>CIRCULATION-CARDIOVASCULAR QUALITY AND OUTCOMES</t>
  </si>
  <si>
    <t>calibration; cardiovascular disease; decision making; literature review</t>
  </si>
  <si>
    <t>ASSOCIATION TASK-FORCE; RISK MODELS; LONGITUDINAL DATA; AMERICAN-COLLEGE; CALIBRATION; GUIDELINE; MORTALITY; REGISTRY; STROKE; TRIALS</t>
  </si>
  <si>
    <t>Steyerberg, Ewout/C-1509-2018; van Klaveren, David/ABF-3020-2021; Van Calster, Ben/F-9150-2010</t>
  </si>
  <si>
    <t>Steyerberg, Ewout/0000-0002-7787-0122; Kent, David M/0000-0002-9205-5070; Wessler, Benjamin/0000-0002-8652-1426; Park, Jinny/0000-0001-8537-5749; Nelson, Jason/0000-0003-1113-9326; van Klaveren, David/0000-0002-2096-606X; Gulati, Gaurav/0000-0002-7701-0878; Venema, Esmee/0000-0003-1631-6635; Van Calster, Ben/0000-0003-1613-7450</t>
  </si>
  <si>
    <t>42</t>
  </si>
  <si>
    <t>62</t>
  </si>
  <si>
    <t>1941-7705</t>
  </si>
  <si>
    <t>1941-7713</t>
  </si>
  <si>
    <t>CIRC-CARDIOVASC QUAL</t>
  </si>
  <si>
    <t>Circ.-Cardiovasc. Qual. Outcomes</t>
  </si>
  <si>
    <t>AUG 2021</t>
  </si>
  <si>
    <t>e007858</t>
  </si>
  <si>
    <t>10.1161/CIRCOUTCOMES.121.007858</t>
  </si>
  <si>
    <t>http://dx.doi.org/10.1161/CIRCOUTCOMES.121.007858</t>
  </si>
  <si>
    <t>UA9LD</t>
  </si>
  <si>
    <t>34340529</t>
  </si>
  <si>
    <t>WOS:000685474900006</t>
  </si>
  <si>
    <t>hybrid; Green Submitted; Green Accepted</t>
  </si>
  <si>
    <t>Tseregounis, IE; Henry, SG</t>
  </si>
  <si>
    <t>Drug, and specifically opioid-related, overdoses remain a major public health problem in the United States. Multiple studies have examined individual risk factors associated with overdose risk, but research developing clinical risk prediction tools for overdose has only emerged in the last few years. We conducted a comprehensive review of the literature on patient-level factors associated with opioid-related overdose risk, with an emphasis on clinical risk prediction models for opioid-related overdose in the United States. Studies that developed and/or validated clinical prediction models were closely reviewed and evaluated to determine the state of the field. We identified 12 studies that reported risk prediction models for opioid-related overdose risk. Published models were developed from a variety of data sources, including Veterans Health Administration data, Medicare data, commercial insurance data, and statewide linked datasets. Studies reported model performance using measures of discrimination, usually at good-to-excellent levels, though they did not always assess calibration. C-statistics were better for models that included clinical predictors (c-statistics: 0.75-0.95) compared to models without them (c-statistics: 0.69-0.82). External validation of models was rare, and we found no studies evaluating implementation of models or risk prediction tools into clinical practice. A common feature of these models was a high rate of false positives, largely because opioid-related overdose is rare in the general population. Thus, efforts to implement prediction models into practice should take into account that published models overestimate overdose risk for many low-risk patients. Future prediction models assessing overdose risk should employ external validation and address model calibration. In order to translate findings from prediction models into clinical public health benefit, future studies should focus on developing clinical prediction tools based on prediction models, implementing these tools into clinical practice, and evaluating the impact of these models on treatment decisions, patient outcomes, and, ultimately, opioid overdose rates.</t>
  </si>
  <si>
    <t>Tseregounis, Iraklis Erik; Henry, Stephen G.</t>
  </si>
  <si>
    <t>Henry, SG (corresponding author), 4150 St Suite 2400, Sacramento, CA 95817 USA.</t>
  </si>
  <si>
    <t>sghenry@ucdavis.edu</t>
  </si>
  <si>
    <t>National Institute on Drug Abuse [R01DA044282]</t>
  </si>
  <si>
    <t>National Institute on Drug Abuse (United States Department of Health &amp; Human Services, National Institutes of Health (NIH) - USA, NIH National Institute on Drug Abuse (NIDA))</t>
  </si>
  <si>
    <t>This work was supported by the National Institute on Drug Abuse (R01DA044282).</t>
  </si>
  <si>
    <t>Univ Calif Davis, Ctr Healthcare Policy &amp; Res, Sacramento, CA 95817 USA; Univ Calif Davis, Dept Internal Med, Sacramento, CA 95817 USA</t>
  </si>
  <si>
    <t>University of California System; University of California Davis; University of California System; University of California Davis</t>
  </si>
  <si>
    <t>Assessing opioid overdose risk: a review of clinical prediction models utilizing patient-level data</t>
  </si>
  <si>
    <t>TRANSLATIONAL RESEARCH</t>
  </si>
  <si>
    <t>INDUCED RESPIRATORY DEPRESSION; UNITED-STATES; CHRONIC PAIN; DEATHS; ASSOCIATION; DRUG; BENZODIAZEPINES; PRESCRIPTIONS; INCREASES; PATTERNS</t>
  </si>
  <si>
    <t>Henry, Stephen/0000-0002-5643-0881</t>
  </si>
  <si>
    <t>83</t>
  </si>
  <si>
    <t>1931-5244</t>
  </si>
  <si>
    <t>1878-1810</t>
  </si>
  <si>
    <t>TRANSL RES</t>
  </si>
  <si>
    <t>Transl. Res.</t>
  </si>
  <si>
    <t>234</t>
  </si>
  <si>
    <t>87</t>
  </si>
  <si>
    <t>10.1016/j.trsl.2021.03.012</t>
  </si>
  <si>
    <t>http://dx.doi.org/10.1016/j.trsl.2021.03.012</t>
  </si>
  <si>
    <t>JUN 2021</t>
  </si>
  <si>
    <t>Medical Laboratory Technology; Medicine, General &amp; Internal; Medicine, Research &amp; Experimental</t>
  </si>
  <si>
    <t>Medical Laboratory Technology; General &amp; Internal Medicine; Research &amp; Experimental Medicine</t>
  </si>
  <si>
    <t>SS3XT</t>
  </si>
  <si>
    <t>33762186</t>
  </si>
  <si>
    <t>WOS:000661683600006</t>
  </si>
  <si>
    <t>Meehan, AJ; Lewis, SJ; Fazel, S; Fusar-Poli, P; Steyerberg, EW; Stahl, D; Danese, A</t>
  </si>
  <si>
    <t>Recent years have seen the rapid proliferation of clinical prediction models aiming to support risk stratification and individualized care within psychiatry. Despite growing interest, attempts to synthesize current evidence in the nascent field of precision psychiatry have remained scarce. This systematic review therefore sought to summarize progress towards clinical implementation of prediction modeling for psychiatric outcomes. We searched MEDLINE, PubMed, Embase, and PsychINFO databases from inception to September 30, 2020, for English-language articles that developed and/or validated multivariable models to predict (at an individual level) onset, course, or treatment response for non-organic psychiatric disorders (PROSPERO: CRD42020216530). Individual prediction models were evaluated based on three key criteria: (i) mitigation of bias and overfitting; (ii) generalizability, and (iii) clinical utility. The Prediction model Risk Of Bias ASsessment Tool (PROBAST) was used to formally appraise each study's risk of bias. 228 studies detailing 308 prediction models were ultimately eligible for inclusion. 94.5% of developed prediction models were deemed to be at high risk of bias, largely due to inadequate or inappropriate analytic decisions. Insufficient internal validation efforts (within the development sample) were also observed, while only one-fifth of models underwent external validation in an independent sample. Finally, our search identified just one published model whose potential utility in clinical practice was formally assessed. Our findings illustrated significant growth in precision psychiatry with promising progress towards real-world application. Nevertheless, these efforts have been inhibited by a preponderance of bias and overfitting, while the generalizability and clinical utility of many published models has yet to be formally established. Through improved methodological rigor during initial development, robust evaluations of reproducibility via independent validation, and evidence-based implementation frameworks, future research has the potential to generate risk prediction tools capable of enhancing clinical decision-making in psychiatric care.</t>
  </si>
  <si>
    <t>Meehan, Alan J.; Lewis, Stephanie J.; Fazel, Seena; Fusar-Poli, Paolo; Steyerberg, Ewout W.; Stahl, Daniel; Danese, Andrea</t>
  </si>
  <si>
    <t>Danese, A (corresponding author), Kings Coll London, Inst Psychiat Psychol &amp; Neurosci, Social Genet &amp; Dev Psychiat Ctr, London, England.; Danese, A (corresponding author), Kings Coll London, Inst Psychiat Psychol &amp; Neurosci, Dept Child &amp; Adolescent Psychiat, London, England.; Danese, A (corresponding author), South London &amp; Maudsley NHS Fdn Trust, Natl &amp; Specialist CAMHS Clin Trauma Anxiety &amp; Dep, London, England.</t>
  </si>
  <si>
    <t>andrea.danese@kcl.ac.uk</t>
  </si>
  <si>
    <t>Yale Child Study Center, Yale University; MRC Clinical Research Training Fellowship; Wellcome Trust [202836/Z/16/Z]; UK Medical Research Council [MR/P005918/1]; National Institute for Health Research (NIHR) Biomedical Research Centre at South London and Maudsley National Health Service Foundation Trust and King's College London; MRC [MR/P005918/1] Funding Source: UKRI; Medical Research Council [MR/P005918/1] Funding Source: researchfish; Wellcome Trust [202836/Z/16/Z] Funding Source: researchfish</t>
  </si>
  <si>
    <t>Yale Child Study Center, Yale University (Yale University); MRC Clinical Research Training Fellowship (UK Research &amp; Innovation (UKRI), Medical Research Council UK (MRC)); Wellcome Trust (Wellcome Trust); UK Medical Research Council (UK Research &amp; Innovation (UKRI), Medical Research Council UK (MRC)); National Institute for Health Research (NIHR) Biomedical Research Centre at South London and Maudsley National Health Service Foundation Trust and King's College London (King's College London); MRC (UK Research &amp; Innovation (UKRI), Medical Research Council UK (MRC)); Medical Research Council (UK Research &amp; Innovation (UKRI), Medical Research Council UK (MRC)); Wellcome Trust (Wellcome Trust)</t>
  </si>
  <si>
    <t>AJM acknowledges financial support from Yale Child Study Center, Yale University. SJL is supported by an MRC Clinical Research Training Fellowship. This research was funded in whole, or in part, by a Wellcome Trust grant to SF (202836/Z/16/Z). AD is funded by grant MR/P005918/1 from the UK Medical Research Council. DS and AD are part funded by the National Institute for Health Research (NIHR) Biomedical Research Centre at South London and Maudsley National Health Service Foundation Trust and King's College London. The views expressed are those of the authors and not necessarily those of the UK National Health Service, NIHR, MRC, Wellcome Trust, or King's College London.</t>
  </si>
  <si>
    <t>[Meehan, Alan J.] Kings Coll London, Inst Psychiat Psychol &amp; Neurosci, Dept Psychol, London, England; [Meehan, Alan J.; Danese, Andrea] Kings Coll London, Inst Psychiat Psychol &amp; Neurosci, Social Genet &amp; Dev Psychiat Ctr, London, England; [Meehan, Alan J.] Yale Sch Med, Yale Child Study Ctr, New Haven, CT 06520 USA; [Lewis, Stephanie J.; Danese, Andrea] Kings Coll London, Inst Psychiat Psychol &amp; Neurosci, Dept Child &amp; Adolescent Psychiat, London, England; [Fazel, Seena] Univ Oxford, Dept Psychiat, Oxford, England; [Fusar-Poli, Paolo] Kings Coll London, Early Psychosis Intervent &amp; Clin Detect EPIC Lab, Dept Psychosis Studies, Inst Psychiat Psychol &amp; Neurosci, London, England; [Fusar-Poli, Paolo] South London &amp; Maudsley NHS Fdn Trust, OASIS Serv, London, England; [Fusar-Poli, Paolo] Univ Pavia, Dept Brain &amp; Behav Sci, Pavia, Italy; [Fusar-Poli, Paolo] South London &amp; Maudsley NHS Fdn Trust, Maudsley Biomed Res Ctr, Natl Inst Hlth Res, London, England; [Steyerberg, Ewout W.] Leiden Univ Med Ctr, Dept Biomed Data Sci, Leiden, Netherlands; [Steyerberg, Ewout W.] Erasmus MC, Dept Publ Hlth, Rotterdam, Netherlands; [Stahl, Daniel] Kings Coll London, Inst Psychiat Psychol &amp; Neurosci, Dept Biostatist &amp; Hlth Informat, London, England; [Danese, Andrea] South London &amp; Maudsley NHS Fdn Trust, Natl &amp; Specialist CAMHS Clin Trauma Anxiety &amp; Dep, London, England</t>
  </si>
  <si>
    <t>University of London; King's College London; University of London; King's College London; Yale University; University of London; King's College London; University of Oxford; University of London; King's College London; South London &amp; Maudsley NHS Trust; University of Pavia; South London &amp; Maudsley NHS Trust; Leiden University; Leiden University Medical Center (LUMC); Erasmus University Rotterdam; Erasmus MC; University of London; King's College London; South London &amp; Maudsley NHS Trust</t>
  </si>
  <si>
    <t>Clinical prediction models in psychiatry: a systematic review of two decades of progress and challenges</t>
  </si>
  <si>
    <t>MOLECULAR PSYCHIATRY</t>
  </si>
  <si>
    <t>AGE-OF-ONSET; SAMPLE-SIZE; RISK; VALIDATION; DISORDERS</t>
  </si>
  <si>
    <t>Stahl, Daniel/B-9713-2011; Danese, Andrea/ABF-1471-2020; Fazel, Seena/B-5307-2008; Steyerberg, Ewout/C-1509-2018; Fusar-Poli, Paolo/D-8605-2011</t>
  </si>
  <si>
    <t>Stahl, Daniel/0000-0001-7987-6619; Meehan, Alan/0000-0001-7169-997X; Lewis, Stephanie/0000-0002-4153-5728; Danese, Andrea/0000-0001-8718-5412; Fazel, Seena/0000-0002-5383-5365; Fusar-Poli, Paolo/0000-0003-3582-6788</t>
  </si>
  <si>
    <t>154</t>
  </si>
  <si>
    <t>1359-4184</t>
  </si>
  <si>
    <t>1476-5578</t>
  </si>
  <si>
    <t>MOL PSYCHIATR</t>
  </si>
  <si>
    <t>Mol. Psychiatr.</t>
  </si>
  <si>
    <t>JUN 2022</t>
  </si>
  <si>
    <t>2700</t>
  </si>
  <si>
    <t>2708</t>
  </si>
  <si>
    <t>10.1038/s41380-022-01528-4</t>
  </si>
  <si>
    <t>http://dx.doi.org/10.1038/s41380-022-01528-4</t>
  </si>
  <si>
    <t>Biochemistry &amp; Molecular Biology; Neurosciences; Psychiatry</t>
  </si>
  <si>
    <t>Biochemistry &amp; Molecular Biology; Neurosciences &amp; Neurology; Psychiatry</t>
  </si>
  <si>
    <t>1S5OE</t>
  </si>
  <si>
    <t>35365801</t>
  </si>
  <si>
    <t>WOS:000777289500002</t>
  </si>
  <si>
    <t>Bridge, J; Blakey, JD; Bonnett, LJ</t>
  </si>
  <si>
    <t>Background Clinical prediction models are widely used to guide medical advice and therapeutic interventions. Asthma is one of the most common chronic diseases globally and is characterised by acute deteriorations. These exacerbations are largely preventable, so there is interest in using clinical prediction models in this area. The objective of this review was to identify studies which have developed such models, determine whether consistent and appropriate methodology was used and whether statistically reliable prognostic models exist. Methods We searched online databases MEDLINE (1948 onwards), CINAHL Plus (1937 onwards), The Cochrane Library, Web of Science (1898 onwards) and , using index terms relating to asthma and prognosis. Data was extracted and assessment of quality was based on GRADE and an early version of PROBAST (Prediction study Risk of Bias Assessment Tool). A meta-analysis of the discrimination and calibration measures was carried out to determine overall performance across models. Results Ten unique prognostic models were identified. GRADE identified moderate risk of bias in two of the studies, but more detailed quality assessment via PROBAST highlighted that most models were developed using highly selected and small datasets, incompletely recorded predictors and outcomes, and incomplete methodology. None of the identified models modelled recurrent exacerbations, instead favouring either presence/absence of an event, or time to first or specified event. Preferred methodologies were logistic regression and Cox proportional hazards regression. The overall pooled c-statistic was 0.77 (95% confidence interval 0.73 to 0.80), though individually some models performed no better than chance. The meta-analysis had an I-2 value of 99.75% indicating a high amount of heterogeneity between studies. The majority of studies were small and did not include internal or external validation, therefore the individual performance measures are likely to be optimistic. Conclusions Current prognostic models for asthma exacerbations are heterogeneous in methodology, but reported c-statistics suggest a clinically useful model could be created. Studies were consistent in lacking robust validation and in not modelling serial events. Further research is required with respect to incorporating recurrent events, and to externally validate tools in large representative populations to demonstrate the generalizability of published results.</t>
  </si>
  <si>
    <t>Bridge, Joshua; Blakey, John D.; Bonnett, Laura J.</t>
  </si>
  <si>
    <t>Bonnett, LJ (corresponding author), Univ Liverpool, Dept Biostat, Liverpool, Merseyside, England.</t>
  </si>
  <si>
    <t>L.J.Bonnett@liverpool.ac.uk</t>
  </si>
  <si>
    <t>National Institute for Health Research [PDF-2015-08-044]; National Institutes of Health Research (NIHR) [PDF-2015-08-044] Funding Source: National Institutes of Health Research (NIHR); National Institute for Health Research [PDF-2015-08-044] Funding Source: researchfish</t>
  </si>
  <si>
    <t>National Institute for Health Research (National Institutes of Health Research (NIHR)); National Institutes of Health Research (NIHR) (National Institutes of Health Research (NIHR)); National Institute for Health Research (National Institutes of Health Research (NIHR))</t>
  </si>
  <si>
    <t>LJB was funded by a Post-Doctoral Fellowship (PDF-2015-08-044) from the National Institute for Health Research. The views expressed in this publication are those of the authors and not necessarily those of the NHS, or the National Institute for Health Research. The funding body had no role in the design of the study, in collecting, analysis and interpreting the data, and in writing the manuscript.</t>
  </si>
  <si>
    <t>[Bridge, Joshua] Univ Liverpool, Dept Eye &amp; Vis, Liverpool, Merseyside, England; [Blakey, John D.] Sir Charles Gairdner Hosp, Resp Med, Perth, WA, Australia; [Blakey, John D.] Curtin Univ, Sch Med, Perth, WA, Australia; [Bonnett, Laura J.] Univ Liverpool, Dept Biostat, Liverpool, Merseyside, England</t>
  </si>
  <si>
    <t>University of Liverpool; Sir Charles Gairdner Hospital; Curtin University; University of Liverpool</t>
  </si>
  <si>
    <t>A systematic review of methodology used in the development of prediction models for future asthma exacerbation</t>
  </si>
  <si>
    <t>Asthma; Exacerbation; Prognostic models; Clinical prediction; Risk; Systematic review</t>
  </si>
  <si>
    <t>LUNG-FUNCTION; EXTERNAL VALIDATION; LOGISTIC-REGRESSION; RISK; DECLINE; MANAGEMENT; HEALTH; ATTACK; TIME</t>
  </si>
  <si>
    <t>Bonnett, Laura/A-2159-2015</t>
  </si>
  <si>
    <t>Bridge, Joshua/0000-0001-8798-4134</t>
  </si>
  <si>
    <t>FEB 5 2020</t>
  </si>
  <si>
    <t>10.1186/s12874-020-0913-7</t>
  </si>
  <si>
    <t>http://dx.doi.org/10.1186/s12874-020-0913-7</t>
  </si>
  <si>
    <t>KL8WR</t>
  </si>
  <si>
    <t>32024484</t>
  </si>
  <si>
    <t>WOS:000513699400003</t>
  </si>
  <si>
    <t>gold; Green Published</t>
  </si>
  <si>
    <t>Hassan, N; Slight, R; Morgan, G; Bates, DW; Gallier, S; Sapey, E; Slight, S</t>
  </si>
  <si>
    <t>BackgroundPredictive models have been used in clinical care for decades. They can determine the risk of a patient developing a particular condition or complication and inform the shared decision-making process. Developing artificial intelligence (AI) predictive models for use in clinical practice is challenging; even if they have good predictive performance, this does not guarantee that they will be used or enhance decision-making. We describe nine stages of developing and evaluating a predictive AI model, recognising the challenges that clinicians might face at each stage and providing practical tips to help manage them. FindingsThe nine stages included clarifying the clinical question or outcome(s) of interest (output), identifying appropriate predictors (features selection), choosing relevant datasets, developing the AI predictive model, validating and testing the developed model, presenting and interpreting the model prediction(s), licensing and maintaining the AI predictive model and evaluating the impact of the AI predictive model. The introduction of an AI prediction model into clinical practice usually consists of multiple interacting components, including the accuracy of the model predictions, physician and patient understanding and use of these probabilities, expected effectiveness of subsequent actions or interventions and adherence to these. Much of the difference in whether benefits are realised relates to whether the predictions are given to clinicians in a timely way that enables them to take an appropriate action. ConclusionThe downstream effects on processes and outcomes of AI prediction models vary widely, and it is essential to evaluate the use in clinical practice using an appropriate study design.</t>
  </si>
  <si>
    <t>Hassan, Nehal; Slight, Robert; Morgan, Graham; Bates, David W.; Gallier, Suzy; Sapey, Elizabeth; Slight, Sarah</t>
  </si>
  <si>
    <t>Slight, S (corresponding author), Newcastle Univ, Sch Pharm, Newcastle Upon Tyne, England.; Slight, S (corresponding author), Newcastle Univ, Populat Hlth Sci Inst, Fac Med Sci, Newcastle Upon Tyne, England.</t>
  </si>
  <si>
    <t>Sarah.Slight@newcastle.ac.uk</t>
  </si>
  <si>
    <t>Newcastle University; MRC [MC_PC_21055, MC_PC_21015] Funding Source: UKRI</t>
  </si>
  <si>
    <t>Newcastle University (Newcastle University - UK, University of Newcastle); MRC (UK Research &amp; Innovation (UKRI), Medical Research Council UK (MRC))</t>
  </si>
  <si>
    <t>The first author (NH) was awarded NUORS scholarship by Newcastle University, which covers tuition fees; this project is a part of a doctorate degree</t>
  </si>
  <si>
    <t>[Hassan, Nehal; Slight, Sarah] Newcastle Univ, Sch Pharm, Newcastle Upon Tyne, England; [Hassan, Nehal; Slight, Robert; Slight, Sarah] Newcastle Univ, Populat Hlth Sci Inst, Fac Med Sci, Newcastle Upon Tyne, England; [Slight, Robert] Newcastle Tyne Hosp NHS Fdn Trust, Freeman Hosp, Newcastle Upon Tyne, England; [Morgan, Graham] Newcastle Univ, Sch Comp, Newcastle Upon Tyne, England; [Bates, David W.] Harvard Med Sch, Dept Gen Internal Med, Boston, MA USA; [Gallier, Suzy; Sapey, Elizabeth] Univ Hosp Birmingham NHS Fdn Trust, PIONEER Hlth Data Res Hub, Birmingham, England; [Gallier, Suzy; Sapey, Elizabeth] Univ Hosp Birmingham NHS Fdn Trust, Dept Hlth Informat, PIONEER Hlth Data Res Hub, Birmingham, England</t>
  </si>
  <si>
    <t>Newcastle University - UK; Newcastle University - UK; Newcastle Freeman Hospital; Newcastle Upon Tyne Hospitals NHS Foundation Trust; Newcastle University - UK; Harvard University; Harvard Medical School; University of Birmingham; University of Birmingham</t>
  </si>
  <si>
    <t>Road map for clinicians to develop and evaluate AI predictive models to inform clinical decision-making</t>
  </si>
  <si>
    <t>BMJ HEALTH &amp; CARE INFORMATICS</t>
  </si>
  <si>
    <t>artificial intelligence; decision support systems; clinical; preventive medicine</t>
  </si>
  <si>
    <t>INDIVIDUAL PROGNOSIS; EXTERNAL VALIDATION; DIAGNOSIS TRIPOD; SEPSIS; HEALTH; BIAS</t>
  </si>
  <si>
    <t>Bates, David/AAE-7283-2019; Morgan, Graham/AAF-9579-2020</t>
  </si>
  <si>
    <t>Gallier, Suzy/0000-0003-1026-4125; Morgan, Graham/0000-0002-0089-0395; Hassan, Nehal/0000-0002-8302-5769; Sapey, Elizabeth/0000-0003-3454-5482</t>
  </si>
  <si>
    <t>2632-1009</t>
  </si>
  <si>
    <t>BMJ HEALTH CARE INFO</t>
  </si>
  <si>
    <t>BMJ Health Care Inform.</t>
  </si>
  <si>
    <t>AUG 2023</t>
  </si>
  <si>
    <t>e100784</t>
  </si>
  <si>
    <t>10.1136/bmjhci-2023-100784</t>
  </si>
  <si>
    <t>http://dx.doi.org/10.1136/bmjhci-2023-100784</t>
  </si>
  <si>
    <t>Health Care Sciences &amp; Services; Medical Informatics</t>
  </si>
  <si>
    <t>O8RV7</t>
  </si>
  <si>
    <t>37558245</t>
  </si>
  <si>
    <t>WOS:001046442600002</t>
  </si>
  <si>
    <t>Sheehy, J; Gallanagh, M; Sullivan, C; Lane, S</t>
  </si>
  <si>
    <t>PurposeFebrile neutropenia (FN) is a life-threatening complication of chemotherapy. Although practice guidelines suggest the use of existing prediction models when making decisions to prevent and treat FN, recent evidence suggests that these models are limited in their discriminative ability. This study aims to systematically review and critically evaluate the recent literature to assess the question: what evidence-based clinical prediction models can be used to predict FN or its outcomes?MethodsPubMed, EMBASE, Web of Science, and SCOPUS were searched for primary journal articles that developed or validated models that predicted FN or outcomes in patients with FN. Risk of bias was critically evaluated using the Prediction model Risk of Bias Assessment Tool (PROBAST).ResultsFive thousand nine hundred nineteen articles were identified, of which 90 met inclusion criteria. Twenty-five studies predicted FN, and 65 studies predicted outcomes in patients with FN, including 28 that predicted mortality, 35 that predicted microbiological outcomes, and 35 that predicted other complications. Eight studies used machine learning methods in their development, and few studies were externally validated. All 90 studies were graded as high risk of bias using PROBAST.ConclusionPrediction models for FN and its outcomes demonstrate promising discriminatory ability; however, several limitations have prevented these from translating clinically. These limitations include variable FN definitions, high ROB in current models, limited external validation, and heterogeneous cohorts. Future work is needed to further develop and validate robust, well-evidenced models that can translate into clinical practice. This may best be achieved through machine learning and electronic medical record integration.</t>
  </si>
  <si>
    <t>Sheehy, Joshua; Gallanagh, Marianne; Sullivan, Clair; Lane, Steven</t>
  </si>
  <si>
    <t>Sheehy, J (corresponding author), Royal Brisbane &amp; Womens Hosp, Haematol &amp; Bone Marrow Transplant Dept, Canc Care Serv, Brisbane, Qld, Australia.; Sheehy, J (corresponding author), Univ Queensland, Fac Med, Brisbane, Qld, Australia.; Sheehy, J (corresponding author), QIMR Berghofer Med Res Inst, Brisbane, Qld, Australia.</t>
  </si>
  <si>
    <t>clair.sullivan@health.qld.gov.au; Joshua.sheehy@uq.net.au; marianne.gallanagh@health.qld.gov.au; steven.lane@qimrberghofer.edu.au</t>
  </si>
  <si>
    <t>CAUL</t>
  </si>
  <si>
    <t>Open Access funding enabled and organized by CAUL and its Member Institutions.</t>
  </si>
  <si>
    <t>[Sheehy, Joshua; Gallanagh, Marianne; Lane, Steven] Royal Brisbane &amp; Womens Hosp, Haematol &amp; Bone Marrow Transplant Dept, Canc Care Serv, Brisbane, Qld, Australia; [Sheehy, Joshua; Lane, Steven] Univ Queensland, Fac Med, Brisbane, Qld, Australia; [Sheehy, Joshua; Lane, Steven] QIMR Berghofer Med Res Inst, Brisbane, Qld, Australia; [Sullivan, Clair] Queensland Govt, Metro North Hosp &amp; Hlth Serv, Dept Hlth, Brisbane, Qld, Australia; [Sullivan, Clair] Univ Queensland, Fac Med, Queensland Digital Hlth Ctr, Brisbane, Qld, Australia</t>
  </si>
  <si>
    <t>Royal Brisbane &amp; Women's Hospital; University of Queensland; QIMR Berghofer Medical Research Institute; Queensland Health; University of Queensland</t>
  </si>
  <si>
    <t>Clinical prediction models for febrile neutropenia and its outcomes: a systematic review</t>
  </si>
  <si>
    <t>SUPPORTIVE CARE IN CANCER</t>
  </si>
  <si>
    <t>Febrile neutropenia; Prediction model; Risk score</t>
  </si>
  <si>
    <t>C-REACTIVE PROTEIN; MASCC RISK-INDEX; INFECTIOUS-DISEASES SOCIETY; ADULT CANCER-PATIENTS; NON-HODGKIN-LYMPHOMA; MULTINATIONAL-ASSOCIATION; OUTPATIENT MANAGEMENT; PRACTICE GUIDELINE; DIAGNOSTIC-VALUE; SUPPORTIVE-CARE</t>
  </si>
  <si>
    <t>Lane, Steven/C-3215-2012; Sullivan, Clair/J-2466-2015</t>
  </si>
  <si>
    <t>Lane, Steven/0000-0002-8050-6209; Sullivan, Clair/0000-0003-2475-9989; Gallanagh, Marianne/0000-0002-8687-8230</t>
  </si>
  <si>
    <t>0941-4355</t>
  </si>
  <si>
    <t>1433-7339</t>
  </si>
  <si>
    <t>SUPPORT CARE CANCER</t>
  </si>
  <si>
    <t>Support. Care Cancer</t>
  </si>
  <si>
    <t>JUN 4 2025</t>
  </si>
  <si>
    <t>537</t>
  </si>
  <si>
    <t>10.1007/s00520-025-09562-y</t>
  </si>
  <si>
    <t>http://dx.doi.org/10.1007/s00520-025-09562-y</t>
  </si>
  <si>
    <t>Oncology; Health Care Sciences &amp; Services; Rehabilitation</t>
  </si>
  <si>
    <t>3KV6C</t>
  </si>
  <si>
    <t>40467900</t>
  </si>
  <si>
    <t>WOS:001502753300001</t>
  </si>
  <si>
    <t>Naufal, E; Shadbolt, C; Wouthuyzen-Bakker, M; Rele, S; Sahebjada, S; Thuraisingam, S; Babazadeh, S; Choong, PF; Dowsey, MM</t>
  </si>
  <si>
    <t>Background: Several clinical prediction models that aim to guide decisions about the management of periprosthetic joint infections (PJIs) have been developed. While some models have been recommended for use in clinical settings, their suitability remains uncertain. Methods: We systematically reviewed and critically appraised all multi-variable prediction models for the treatment of PJI. We searched MEDLINE, EMBASE, Web of Science, and Google Scholar from inception until 1st March 2024 and included studies that developed or validated models that predict the outcome of PJI. We used PROBAST (Prediction model Risk Of Bias ASsessment Tool) to assess the risk of bias and applicability. Model performance estimates were pooled via random effect meta-analysis. Results: Thirteen predictive models and seven external validations were identified. Methodological issues were identified in all studies. Pooled estimates indicated that the KLIC (Kidney, Liver, Index surgery, Cemented prosthesis, C-reactive protein) score had fair discriminative performance (pooled c-statistic 0.62, 95% CI 0.55-0.69). Both the s2 (0.02) and I2 (33.4) estimates indicated that between-study heterogeneity was minimal. Meta-analysis indicated Shohat et al.'s model had good discriminative performance (pooled cstatistic 0.74, 95% CI 0.57-0.85). Both the s2 (0.0) and I2 (0.0) indicated that between study heterogeneity was minimal. Conclusions: Clinicians should be aware of limitations in the methods used to develop available models to predict outcomes of PJI. As no models have consistently demonstrated adequate performance across external validation studies, it remains unclear whether any available models would provide reliable information if used to guide clinical decision making. &lt;feminine ordinal indicator&gt; 2025 The Author(s). Published by Elsevier Ltd on behalf of The Healthcare Infection Society. This is an open access article under the CC BY license (http://creativecommons.org/licenses/by/4.0/).</t>
  </si>
  <si>
    <t>Naufal, E.; Shadbolt, C.; Wouthuyzen-Bakker, M.; Rele, S.; Sahebjada, S.; Thuraisingam, S.; Babazadeh, S.; Choong, P. F.; Dowsey, M. M.</t>
  </si>
  <si>
    <t>Dowsey, MM (corresponding author), Level 2,Clin Sci Bldg,29 Regent St, Fitzroy, Vic 3065, Australia.</t>
  </si>
  <si>
    <t>mmdowsey@unimelb.edu.au</t>
  </si>
  <si>
    <t>Australian Commonwealth Government through a Research Training Scheme Scholarship; University of Melbourne Dame Kate Campbell Fellowship</t>
  </si>
  <si>
    <t>No direct funding was received. Elise Naufal acknowledges the support of the Australian Commonwealth Government through a Research Training Scheme Scholarship and Stipend. Michelle Maree Dowsey is the recipient of a University of Melbourne Dame Kate Campbell Fellowship.</t>
  </si>
  <si>
    <t>[Naufal, E.; Shadbolt, C.; Rele, S.; Thuraisingam, S.; Babazadeh, S.; Choong, P. F.; Dowsey, M. M.] Univ Melbourne, St Vincents Hosp Melbourne, Dept Surg, Fitzroy, Vic, Australia; [Wouthuyzen-Bakker, M.] Univ Groningen, Univ Med Ctr Groningen, Dept Med Microbiol &amp; Infect Prevent, Groningen, Netherlands; [Sahebjada, S.] Ctr Eye Res Australia, Corneal Res Unit, East Melbourne, Vic, Australia; [Babazadeh, S.; Choong, P. F.] St Vincents Hosp Melbourne, Dept Orthopaed, Fitzroy, Vic, Australia</t>
  </si>
  <si>
    <t>St Vincent's Health; University of Melbourne; St Vincent's Hospital Melbourne; University of Groningen; Centre for Eye Research Australia; St Vincent's Health; St Vincent's Hospital Melbourne</t>
  </si>
  <si>
    <t>Clinical prediction models to guide treatment of periprosthetic joint infections: a systematic review and meta-analysis</t>
  </si>
  <si>
    <t>Systematic review; Clinical predictive model; Prosthetic joint infection</t>
  </si>
  <si>
    <t>EXTERNAL VALIDATION; PREOPERATIVE PREDICTION; PROGNOSTIC MODEL; RISK-FACTORS; DEBRIDEMENT; IRRIGATION; FAILURE; HIP; ANTIBIOTICS; CALCULATOR</t>
  </si>
  <si>
    <t>Choong, Peter/F-1109-2014; Shadbolt, Cade/PLR-6259-2026; Dowsey, Michelle/J-4162-2012; Wouthuyzen-Bakker, Marjan/ABH-8646-2020</t>
  </si>
  <si>
    <t>Wouthuyzen-Bakker, Marjan/0000-0001-7866-2467</t>
  </si>
  <si>
    <t>AUG 2025</t>
  </si>
  <si>
    <t>53</t>
  </si>
  <si>
    <t>10.1016/j.jhin.2025.04.035</t>
  </si>
  <si>
    <t>http://dx.doi.org/10.1016/j.jhin.2025.04.035</t>
  </si>
  <si>
    <t>7DL0O</t>
  </si>
  <si>
    <t>40398684</t>
  </si>
  <si>
    <t>WOS:001568392100002</t>
  </si>
  <si>
    <t>hybrid; Green Submitted; Green Published</t>
  </si>
  <si>
    <t>Arshi, B; Wynants, L; Rijnhart, E; Reeve, K; Cowley, LE; Smits, LJ</t>
  </si>
  <si>
    <t>Background: Concerns have been expressed about the abundance of new clinical prediction models (CPMs) proposed in the literature. However, the extent of this proliferation in prediction research remains unclear. Objective: This study aimed to estimate the total and annual number of CPM development-related publications available across all medical fields. Methods: Using a validated search strategy, we conducted a systematic search of literature for prediction model studies published in Pubmed and Embase between 1995 and the end of 2020. By taking random samples for each year, we identified eligible studies that developed a multivariable model (ie, diagnostic or prognostic) for individual-level prediction of a health outcome across all medical fields. Exclusion criteria included development of models with a single predictor, studies not involving humans, methodological studies, conference abstracts, articles with unavailable full text, and those not available in English. We estimated the total and annual number of published regression-based multivariable CPM development articles, based on the total number of publications, proportion of included articles, and the search sensitivity. Furthermore, we used an adjusted Poisson regression to extrapolate our results to the period 1950-2024. Additionally, we estimated the number of articles that developed CPMs using techniques other than regression (eg, machine learning). Results: From a random sample of 10,660 articles published between 1995 and 2020, 109 regression-based CPM development articles were included. We estimated that 82,772 (95% CI 65,313-100,231) CPM development articles using regression were published, with an acceleration in model development from 2010 onward. With the addition of articles that developed non-regression-based CPMs, the number increased to 147,714 (95% CI 125,201-170,226). After extrapolation to the years Conclusions: Based on a representative sample of publications from the literature, we estimated that nearly 250,000 articles tions continue to increase in number. To prevent research waste and close the gap between research and clinical practice, existing CPMs. Limitations of this study include restriction of search to articles available in English and development of the validated search strategy prior to the popularity of artificial intelligence and machine learning models.</t>
  </si>
  <si>
    <t>Arshi, Banafsheh; Wynants, Laure; Rijnhart, Eline; Reeve, Kelly; Cowley, Laura Elizabeth; Smits, Luc J.</t>
  </si>
  <si>
    <t>Smits, LJ (corresponding author), Maastricht Univ, CAPHRI Care &amp; Publ Hlth Res Inst, Fac Hlth Med &amp; Life Sci, Dept Epidemiol, Peter Debyepl 1,POB 616, NL-6200 MD Maastricht, Netherlands.</t>
  </si>
  <si>
    <t>luc.smits@maastrichtuniversity.nl</t>
  </si>
  <si>
    <t>[Arshi, Banafsheh; Wynants, Laure; Rijnhart, Eline; Smits, Luc J.] Maastricht Univ, CAPHRI Care &amp; Publ Hlth Res Inst, Fac Hlth Med &amp; Life Sci, Dept Epidemiol, Peter Debyepl 1,POB 616, NL-6200 MD Maastricht, Netherlands; [Arshi, Banafsheh] Univ Utrecht, Inst Risk Assessment Sci IRAS, Utrecht, Netherlands; [Wynants, Laure] Katholieke Univ Leuven, Dept Dev &amp; Regenerat, Leuven, Belgium; [Wynants, Laure] Katholieke Univ Leuven, Leuven Unit Hlth Technol Assessment Res LUHTAR, Leuven, Belgium; [Reeve, Kelly] Univ Zurich, Epidemiol Biostat &amp; Prevent Inst, Zurich, Switzerland; [Cowley, Laura Elizabeth] Swansea Univ, Med Sch, Populat Data Sci, Swansea, Wales</t>
  </si>
  <si>
    <t>Maastricht University; Maastricht University Medical Centre (MUMC); Utrecht University; KU Leuven; KU Leuven; University of Zurich; Swiss School of Public Health (SSPH+); Swansea University</t>
  </si>
  <si>
    <t>Number of Publications on New Clinical Prediction Models: A Bibliometric Review</t>
  </si>
  <si>
    <t>JMIR MEDICAL INFORMATICS</t>
  </si>
  <si>
    <t>prediction modeling; model development; external validation; public health; research waste; clinical prediction; clinical practice; online databases; health outcomes; publication records; publication</t>
  </si>
  <si>
    <t>EXTERNAL VALIDATION; RISK</t>
  </si>
  <si>
    <t>Cowley, Laura/ABN-8667-2022; Wynants, Laure/AAA-2723-2020; Smits, Luc/C-5331-2008</t>
  </si>
  <si>
    <t>Rijnhart, Eline/0000-0001-5300-998X; Cowley, Laura/0000-0002-7757-4219; Reeve, Kelly/0000-0001-9325-6467; Wynants, Laure/0000-0002-3037-122X; Smits, Luc/0000-0003-0785-1345</t>
  </si>
  <si>
    <t>JMIR PUBLICATIONS, INC</t>
  </si>
  <si>
    <t>TORONTO</t>
  </si>
  <si>
    <t>130 QUEENS QUAY East, Unit 1100, TORONTO, ON M5A 0P6, CANADA</t>
  </si>
  <si>
    <t>2291-9694</t>
  </si>
  <si>
    <t>JMIR MED INF</t>
  </si>
  <si>
    <t>JMIR Med. Inf.</t>
  </si>
  <si>
    <t>e62710</t>
  </si>
  <si>
    <t>10.2196/62710</t>
  </si>
  <si>
    <t>http://dx.doi.org/10.2196/62710</t>
  </si>
  <si>
    <t>Medical Informatics</t>
  </si>
  <si>
    <t>4YN9Z</t>
  </si>
  <si>
    <t>40614260</t>
  </si>
  <si>
    <t>WOS:001529728100001</t>
  </si>
  <si>
    <t>Jing, CY; Zhang, L; Feng, L; Li, JC; Liang, LR; Hu, J; Liao, X</t>
  </si>
  <si>
    <t>Background: This study aimed to synthesize the recommendations for prediction models in cardiovascular clinical practice guidelines (CPGs) and assess the methodological quality of the relevant primary modeling studies. Methods: We performed a systematic literature search of all available cardiovascular CPGs published between 2018 and 2023 that presented specific recommendations (whether in support or non-support) for at least one multivariable clinical prediction model. For the guideline-recommended models, the assessment of the methodological quality of their primary modeling studies was conducted using the Prediction model Risk Of Bias ASsessment Tool (PROBAST). Results: In total, 46 qualified cardiovascular CPGs were included, with 69 prediction models and 80 specific recommendations. Of the 80 specific recommendations, 74 supported 57 models (53 were fully recommended and 4 were conditionally recommended) in cardiovascular practice with moderate to strong strength. Most of the guideline-recommended models were focused on predicting prognosis outcomes (53/57, 93%) in primary and tertiary prevention, focusing primarily on long-term risk stratification and prognosis management. A total of 10 conditions and 7 types of target population were involved in the 57 models, while heart failure (14/57, 25%) and a general population with or without cardiovascular risk factor(s) (12/57, 21%) received the most attention from the guidelines. The assessment of the methodological quality of 57 primary studies on the development of the guideline-recommended models revealed that only 40% of the modeling studies had a low risk of bias (ROB). The causes of high ROB were mainly in the analysis and participant domains. Conclusions: Global cardiovascular CPGs presented an unduly positive appraisal of the existing prediction models in terms of ROB, leading to stronger recommendations than were warranted. Future cardiovascular practice may benefit from well-established clinical prediction models with better methodological quality and extensive external validation.</t>
  </si>
  <si>
    <t>Jing, Cheng-yang; Zhang, Le; Feng, Lin; Li, Jia-chen; Liang, Li-rong; Hu, Jing; Liao, Xing</t>
  </si>
  <si>
    <t>Liao, X (corresponding author), China Acad Chinese Med Sci, Inst Basic Res Clin Med, Ctr Evidence Based Chinese Med, Beijing, Peoples R China.</t>
  </si>
  <si>
    <t>okfrom2008@hotmail.com</t>
  </si>
  <si>
    <t>China Academy of Chinese Medical Sciences Innovation Fund [CI2021A00701-3, CI2021A05503]; National Natural Science Foundation of China [82174239]; China Center for Evidence Based Traditional Chinese Medicine [2020YJSZX-2]</t>
  </si>
  <si>
    <t>China Academy of Chinese Medical Sciences Innovation Fund; National Natural Science Foundation of China (National Natural Science Foundation of China (NSFC)); China Center for Evidence Based Traditional Chinese Medicine</t>
  </si>
  <si>
    <t>The author(s) declare financial support was received for the research, authorship, and/or publication of this article. This study was funded by China Academy of Chinese Medical Sciences Innovation Fund (No. CI2021A00701-3; No. CI2021A05503),National Natural Science Foundation of China (No. 82174239),and China Center for Evidence Based Traditional Chinese Medicine (No. 2020YJSZX-2). The funders had no role in the design and conduct of the study; collection, management, analysis, and interpretation of the data; preparation, review, or approval of the manuscript; and decision to submit the manuscript for publication.</t>
  </si>
  <si>
    <t>[Jing, Cheng-yang; Zhang, Le; Liao, Xing] China Acad Chinese Med Sci, Inst Basic Res Clin Med, Ctr Evidence Based Chinese Med, Beijing, Peoples R China; [Feng, Lin; Li, Jia-chen; Liang, Li-rong] Capital Med Univ, Beijing Inst Resp Med, Dept Clin Epidemiol, Beijing, Peoples R China; [Feng, Lin; Li, Jia-chen; Liang, Li-rong] Capital Med Univ, Beijing Chao Yang Hosp, Beijing, Peoples R China; [Hu, Jing] Capital Med Univ, Beijing Hosp Tradit Chinese Med, Beijing Inst Tradit Chinese Med, Beijing, Peoples R China</t>
  </si>
  <si>
    <t>China Academy of Chinese Medical Sciences; Institute of Basic Research In Clinical Medicine, CACMS; Capital Medical University; Capital Medical University; Capital Medical University</t>
  </si>
  <si>
    <t>Recommendations for prediction models in clinical practice guidelines for cardiovascular diseases are over-optimistic: a global survey utilizing a systematic literature search</t>
  </si>
  <si>
    <t>FRONTIERS IN CARDIOVASCULAR MEDICINE</t>
  </si>
  <si>
    <t>prediction model; recommendation; clinical practice guideline; cardiovascular diseases; methodological quality; risk of bias</t>
  </si>
  <si>
    <t>VENOUS THROMBOEMBOLISM; ATRIAL-FIBRILLATION; EUROPEAN ASSOCIATION; RISK-ASSESSMENT; MANAGEMENT; SOCIETY; CARDIOLOGY; DIAGNOSIS; PREVENTION; APPLICABILITY</t>
  </si>
  <si>
    <t>JIANG, MIAO/JYP-9894-2024; Jing, Chengyang/ACD-7000-2022; Li, JC/ITT-9495-2023</t>
  </si>
  <si>
    <t>79</t>
  </si>
  <si>
    <t>2297-055X</t>
  </si>
  <si>
    <t>FRONT CARDIOVASC MED</t>
  </si>
  <si>
    <t>Front. Cardiovasc. Med.</t>
  </si>
  <si>
    <t>OCT 17 2024</t>
  </si>
  <si>
    <t>1449058</t>
  </si>
  <si>
    <t>10.3389/fcvm.2024.1449058</t>
  </si>
  <si>
    <t>http://dx.doi.org/10.3389/fcvm.2024.1449058</t>
  </si>
  <si>
    <t>K7U6Q</t>
  </si>
  <si>
    <t>39484015</t>
  </si>
  <si>
    <t>WOS:001345900900001</t>
  </si>
  <si>
    <t>Abou Ghayda, R; Kalout, K; Eter, J; Abdelnour, M; Ghadieh, HE; Azar, S; Harb, F</t>
  </si>
  <si>
    <t>Osteosarcoma is the most frequent cause of primary malignant bone tumors in childhood and adolescence. It is aggressive and may be associated with early metastasis, making patient management difficult. In this research, modern AI models for the diagnosis and prognosis of osteosarcoma were screened and analyzed. Our review searched for articles that used AI for the diagnosis and prognosis of osteosarcoma over the past 10 years, including AI in predicting the staging of tumors, predicting chemotherapy response, identifying prognostic biomarkers and assessing risk of metastasis. The models performed well based on AUC and C-index, with considerable discriminatory power, and were superior to the classical clinical methods analyzed. Through the identification of already existing deficiencies in the literature, this review pointed out a need for future research trends to explore with respect to prospective validation, multimodal data fusion and translation of AI tools into clinical routine.</t>
  </si>
  <si>
    <t>Abou Ghayda, Ralph; Kalout, Karim; Eter, Joudy; Abdelnour, Mario; Ghadieh, Hilda E.; Azar, Sami; Harb, Frederic</t>
  </si>
  <si>
    <t>Harb, F (corresponding author), Univ Balamand, Fac Med &amp; Med Sci, POB 100, Tripoli, Lebanon.</t>
  </si>
  <si>
    <t>frederic.harb@balamand.edu.lb; karim.kalout@std.balamand.edu.lb; hilda.ghadieh@balamand.edu.lb</t>
  </si>
  <si>
    <t>[Abou Ghayda, Ralph; Kalout, Karim; Eter, Joudy; Abdelnour, Mario; Ghadieh, Hilda E.; Azar, Sami; Harb, Frederic] Univ Balamand, Fac Med &amp; Med Sci, POB 100, Tripoli, Lebanon</t>
  </si>
  <si>
    <t>University Balamand</t>
  </si>
  <si>
    <t>Artificial Intelligence in the Diagnosis and Prognosis of Osteosarcoma: A Decade of Progress and Future Directions</t>
  </si>
  <si>
    <t>TECHNOLOGIES</t>
  </si>
  <si>
    <t>osteosarcoma; artificial intelligence; machine learning; deep learning; prognostic biomarkers; radiomics; genomics; histopathology; clinical prediction models; survival prediction</t>
  </si>
  <si>
    <t>PREDICTION; SURVIVAL; BONE</t>
  </si>
  <si>
    <t>Harb, Frederic/O-4587-2019</t>
  </si>
  <si>
    <t>69</t>
  </si>
  <si>
    <t>2227-7080</t>
  </si>
  <si>
    <t>Technologies</t>
  </si>
  <si>
    <t>MAR 19 2026</t>
  </si>
  <si>
    <t>184</t>
  </si>
  <si>
    <t>10.3390/technologies14030184</t>
  </si>
  <si>
    <t>http://dx.doi.org/10.3390/technologies14030184</t>
  </si>
  <si>
    <t>Engineering, Multidisciplinary</t>
  </si>
  <si>
    <t>Engineering</t>
  </si>
  <si>
    <t>FQ8MY</t>
  </si>
  <si>
    <t>WOS:001725224400001</t>
  </si>
  <si>
    <t>Huang, YX; Li, WT; Macheret, F; Gabriel, RA; Ohno-Machado, L</t>
  </si>
  <si>
    <t>Our primary objective is to provide the clinical informatics community with an introductory tutorial on calibration measurements and calibration models for predictive models using existing R packages and custom implemented code in R on real and simulated data. Clinical predictive model performance is commonly published based on discrimination measures, but use of models for individualized predictions requires adequate model calibration. This tutorial is intended for clinical researchers who want to evaluate predictive models in terms of their applicability to a particular population. It is also for informaticians and for software engineers who want to understand the role that calibration plays in the evaluation of a clinical predictive model, and to provide them with a solid starting point to consider incorporating calibration evaluation and calibration models in their work. Covered topics include (1) an introduction to the importance of calibration in the clinical setting, (2) an illustration of the distinct roles that discrimination and calibration play in the assessment of clinical predictive models, (3) a tutorial and demonstration of selected calibration measurements, (4) a tutorial and demonstration of selected calibration models, and (5) a brief discussion of limitations of these methods and practical suggestions on how to use them in practice.</t>
  </si>
  <si>
    <t>Huang, Yingxiang; Li, Wentao; Macheret, Fima; Gabriel, Rodney A.; Ohno-Machado, Lucila</t>
  </si>
  <si>
    <t>Huang, YX (corresponding author), Univ Calif San Diego, Hlth Sci Biomed Res Facil 2, UCSD Hlth Dept Biomed Informat, La Jolla, CA 92093 USA.</t>
  </si>
  <si>
    <t>yih108@eng.ucsd.edu</t>
  </si>
  <si>
    <t>National Institutes of Health [R01GM118609, R01HL136835]; National Heart Lung and Blood Institute [R01HL136835] Funding Source: NIH RePORTER</t>
  </si>
  <si>
    <t>National Institutes of Health (United States Department of Health &amp; Human Services, National Institutes of Health (NIH) - USA); National Heart Lung and Blood Institute (United States Department of Health &amp; Human Services, National Institutes of Health (NIH) - USA, NIH National Heart Lung &amp; Blood Institute (NHLBI))</t>
  </si>
  <si>
    <t>This work was supported by National Institutes of Health grants R01GM118609 (to YH and LO-M) and R01HL136835 (to YH and LO-M).</t>
  </si>
  <si>
    <t>[Huang, Yingxiang; Li, Wentao; Macheret, Fima; Ohno-Machado, Lucila] Univ Calif San Diego, Dept Biomed Informat, UC San Diego Hlth, La Jolla, CA USA; [Macheret, Fima] Univ Calif San Diego, Div Hosp Med, Dept Med, La Jolla, CA 92093 USA; [Gabriel, Rodney A.] Univ Calif San Diego, Dept Anesthesiol, La Jolla, CA 92093 USA; [Ohno-Machado, Lucila] VA San Diego Healthcare Syst, Div Hlth Serv Res &amp; Dev, San Diego, CA USA</t>
  </si>
  <si>
    <t>University of California System; University of California San Diego; University of California System; University of California San Diego; University of California System; University of California San Diego; US Department of Veterans Affairs; Veterans Health Administration (VHA); VA San Diego Healthcare System</t>
  </si>
  <si>
    <t>A tutorial on calibration measurements and calibration models for clinical prediction models</t>
  </si>
  <si>
    <t>tutorial; calibration; predictive models</t>
  </si>
  <si>
    <t>HOSMER-LEMESHOW TEST; GOODNESS-OF-FIT; EXTERNAL VALIDATION; BINARY; RISK; DISCRIMINATION; TESTS; POWER</t>
  </si>
  <si>
    <t>LI, WENTAO/JEP-6027-2023</t>
  </si>
  <si>
    <t>Ohno-Machado, Lucila/0000-0002-8005-7327</t>
  </si>
  <si>
    <t>381</t>
  </si>
  <si>
    <t>425</t>
  </si>
  <si>
    <t>51</t>
  </si>
  <si>
    <t>APR 2020</t>
  </si>
  <si>
    <t>621</t>
  </si>
  <si>
    <t>633</t>
  </si>
  <si>
    <t>10.1093/jamia/ocz228</t>
  </si>
  <si>
    <t>http://dx.doi.org/10.1093/jamia/ocz228</t>
  </si>
  <si>
    <t>MJ7YY</t>
  </si>
  <si>
    <t>32106284</t>
  </si>
  <si>
    <t>WOS:000548306200016</t>
  </si>
  <si>
    <t>Lu, JH; Callahan, A; Patel, BS; Morse, KE; Dash, D; Pfeffer, MA; Shah, NH</t>
  </si>
  <si>
    <t>IMPORTANCE Various model reporting guidelines have been proposed to ensure clinical prediction models are reliable and fair. However, no consensus exists about which model details are essential to report, and commonalities and differences among reporting guidelines have not been characterized. Furthermore, how well documentation of deployed models adheres to these guidelines has not been studied.OBJECTIVES To assess information requested by model reporting guidelines and whether the documentation for commonly used machine learning models developed by a single vendor provides the information requested.EVIDENCE REVIEW MEDLINE was queried using machine learning model card and reporting machine learning from November 4 to December 6, 2020. References were reviewed to find additional publications, and publications without specific reporting recommendations were excluded. Similar elements requested for reporting were merged into representative items. Four independent reviewers and 1 adjudicator assessed how often documentation for the most commonly used models developed by a single vendor reported the items.FINDINGS From 15 model reporting guidelines, 220 unique items were identified that represented the collective reporting requirements. Although 12 items were commonly requested (requested by 10 or more guidelines), 77 items were requested by just 1 guideline. Documentation for 12 commonly used models from a single vendor reported a median of 39% (IQR, 37%-43%; range. 31%-47%) of items from the collective reporting requirements. Many of the commonly requested items had 100% reporting rates, including items concerning outcome definition, area under the receiver operating characteristics curve, internal validation, and intended clinical use. Several items reported half the time or less related to reliability, such as external validation, uncertainty measures, and strategy for handling missing data. Other frequently unreported items related to fairness (summary statistics and subgroup analyses, including for race and ethnicity or sex).CONCLUSIONS AND RELEVANCE These findings suggest that consistent reporting recommendations for clinical predictive models are needed for model developers to share necessary information for model deployment. The many published guidelines would, collectively, require reporting more than 200 items. Model documentation from 1 vendor reported the most commonly requested items from model reporting guidelines. However, areas for improvement were identified in reporting items related to model reliability and fairness. This analysis led to feedback to the vendor, which motivated updates to the documentation for future users.</t>
  </si>
  <si>
    <t>Lu, Jonathan H.; Callahan, Alison; Patel, Birju S.; Morse, Keith E.; Dash, Dev; Pfeffer, Michael A.; Shah, Nigam H.</t>
  </si>
  <si>
    <t>Lu, JH (corresponding author), Stanford Univ, Ctr Biomed Informat Res, Sch Med, 121 Campus Dr,Apt 1316A, Stanford, CA 94305 USA.</t>
  </si>
  <si>
    <t>jhlu@stanford.edu</t>
  </si>
  <si>
    <t>Stanford University School of Medicine MedScholars grant; Stanford Medicine Program for AI in Healthcare - Debra; Department of Medicine and Stanford Healthcare</t>
  </si>
  <si>
    <t>This study was supported by a Stanford University School of Medicine MedScholars grant (Mr Lu) and the Stanford Medicine Program for AI in Healthcare, which is funded by a gift from Debra and Mark Leslie as well as the Department of Medicine and Stanford Healthcare.</t>
  </si>
  <si>
    <t>[Lu, Jonathan H.; Callahan, Alison; Patel, Birju S.; Dash, Dev; Pfeffer, Michael A.; Shah, Nigam H.] Stanford Univ, Ctr Biomed Informat Res, Sch Med, 121 Campus Dr,Apt 1316A, Stanford, CA 94305 USA; [Morse, Keith E.] Stanford Univ, Sch Med, Dept Pediat, Stanford, CA 94305 USA; [Morse, Keith E.] Lucile Packard Childrens Hosp, Dept Clin Informat, Palo Alto, CA USA; [Pfeffer, Michael A.; Shah, Nigam H.] Stanford Med, Technol &amp; Digital Solut, Stanford, CA USA; [Shah, Nigam H.] Stanford Med, Clin Excellence Res Ctr, Stanford, CA USA</t>
  </si>
  <si>
    <t>Stanford University; Stanford Medicine; Stanford Medicine; Stanford University; Lucile Packard Children's Hospital (LPCH)</t>
  </si>
  <si>
    <t>Assessment of Adherence to Reporting Guidelines by Commonly Used Clinical Prediction Models From a Single Vendor A Systematic Review</t>
  </si>
  <si>
    <t>JAMA NETWORK OPEN</t>
  </si>
  <si>
    <t>ARTIFICIAL-INTELLIGENCE; INDIVIDUAL PROGNOSIS; DIAGNOSIS TRIPOD; SPIRIT 2013; RISK; BIAS; STATEMENT; HEALTH; APPLICABILITY; EXPLANATION</t>
  </si>
  <si>
    <t>Pfeffer, Michael/0000-0002-8958-0843; Morse, Keith/0000-0002-8307-1642; Dash, Debadutta/0000-0002-0223-1641; Lu, Jonathan/0000-0002-1302-4875</t>
  </si>
  <si>
    <t>2574-3805</t>
  </si>
  <si>
    <t>JAMA NETW OPEN</t>
  </si>
  <si>
    <t>JAMA Netw. Open</t>
  </si>
  <si>
    <t>AUG 19 2022</t>
  </si>
  <si>
    <t>e2227779</t>
  </si>
  <si>
    <t>10.1001/jamanetworkopen.2022.27779</t>
  </si>
  <si>
    <t>http://dx.doi.org/10.1001/jamanetworkopen.2022.27779</t>
  </si>
  <si>
    <t>3V8OC</t>
  </si>
  <si>
    <t>35984654</t>
  </si>
  <si>
    <t>WOS:000841917800010</t>
  </si>
  <si>
    <t>Bonsdorff, A; Sallinen, V</t>
  </si>
  <si>
    <t>Background and objective: Postoperative pancreatic fistula (POPF) is the leading cause of morbidity and early mortality in patients undergoing pancreatic resection. In addition, recent studies have identified postoperative acute pancreatitis (POAP) as an independent contributor to morbidity. Most perioperative mitigation strategies experimented for POPF have been shown to be in vain with no consensus on the best perioperative management. Clinical prediction models have been developed with the hope of identifying high POPF risk patients with the leading idea of finding subpopulations possibly benefiting from pre-existing or novel mitigation strategies. The aim of this review was to map out the existing prediction modeling studies to better understand the current stage of POPF prediction modeling, and the methodology behind them. Methods: A narrative review of the existing POPF prediction model studies was performed. Studies published before September 2022 were included. Results: While the number of POPF prediction models for pancreatoduodenectomy has increased, none of the currently existing models stand out from the crowd. For distal pancreatectomy, two unique POPF prediction models exist, but due to their freshness, no further external validation or adoption in clinics or research has been reported. There seems to be a lack of adherence to correct methodology or reporting guidelines in most of the studies, which has rendered external validity-if assessed-low. Few of the most recent studies have demonstrated preoperative assessment of pancreatic aspects from computed tomography (CT) scans to provide relatively strong predictors of POPF. Conclusions: Main goal for the future would be to reach a consensus on the most important POPF predictors and prediction model. At their current state, few models have demonstrated adequate transportability and generalizability to be up to the task. Better understanding of POPF pathophysiology and the possible driving force of acute inflammation and POAP might be required before such a prediction model can be accessed.</t>
  </si>
  <si>
    <t>Bonsdorff, Akseli; Sallinen, Ville</t>
  </si>
  <si>
    <t>Sallinen, V (corresponding author), Helsinki Univ Hosp, Dept Gastroenterol Surg, Helsinki 400029, Finland.; Sallinen, V (corresponding author), Helsinki Univ Hosp, Dept Transplantat &amp; Liver Surg, Helsinki 400029, Finland.; Sallinen, V (corresponding author), Univ Helsinki, Helsinki 400029, Finland.</t>
  </si>
  <si>
    <t>ville.sallinen@helsinki.fi</t>
  </si>
  <si>
    <t>Helsinki Research Funds</t>
  </si>
  <si>
    <t>The author(s) disclosed receipt of the following financial support for the research, authorship, and/or publication of this article: Helsinki Research Funds.</t>
  </si>
  <si>
    <t>[Bonsdorff, Akseli] Helsinki Univ Hosp, Dept Gastroenterol Surg, Helsinki, Finland; [Bonsdorff, Akseli] Univ Helsinki, Helsinki, Finland; [Sallinen, Ville] Helsinki Univ Hosp, Dept Gastroenterol Surg, Helsinki 400029, Finland; [Sallinen, Ville] Helsinki Univ Hosp, Dept Transplantat &amp; Liver Surg, Helsinki 400029, Finland; [Sallinen, Ville] Univ Helsinki, Helsinki 400029, Finland</t>
  </si>
  <si>
    <t>University of Helsinki; Helsinki University Central Hospital; University of Helsinki; University of Helsinki; Helsinki University Central Hospital; University of Helsinki; Helsinki University Central Hospital; University of Helsinki</t>
  </si>
  <si>
    <t>Prediction of postoperative pancreatic fistula and pancreatitis after pancreatoduodenectomy or distal pancreatectomy: A review</t>
  </si>
  <si>
    <t>SCANDINAVIAN JOURNAL OF SURGERY</t>
  </si>
  <si>
    <t>Postoperative pancreatic fistula; postoperative pancreatitis; prediction; clinical prediction model; risk score; review</t>
  </si>
  <si>
    <t>POSTPANCREATECTOMY ACUTE-PANCREATITIS; PREOPERATIVE RISK STRATIFICATION; INTERNATIONAL STUDY-GROUP; ISGPS DEFINITION; SCORE; COMPLICATIONS; SURGERY; MODEL; HYPERAMYLASEMIA; MORTALITY</t>
  </si>
  <si>
    <t>Bonsdorff, Akseli/GZG-9056-2022; Sallinen, Ville/AAG-2285-2021</t>
  </si>
  <si>
    <t>Bonsdorff, Akseli/0000-0002-2096-6131</t>
  </si>
  <si>
    <t>SAGE PUBLICATIONS LTD</t>
  </si>
  <si>
    <t>1 OLIVERS YARD, 55 CITY ROAD, LONDON EC1Y 1SP, ENGLAND</t>
  </si>
  <si>
    <t>1457-4969</t>
  </si>
  <si>
    <t>1799-7267</t>
  </si>
  <si>
    <t>SCAND J SURG</t>
  </si>
  <si>
    <t>Scand. J. Surg.</t>
  </si>
  <si>
    <t>112</t>
  </si>
  <si>
    <t>126</t>
  </si>
  <si>
    <t>134</t>
  </si>
  <si>
    <t>10.1177/14574969231167781</t>
  </si>
  <si>
    <t>http://dx.doi.org/10.1177/14574969231167781</t>
  </si>
  <si>
    <t>APR 2023</t>
  </si>
  <si>
    <t>Surgery</t>
  </si>
  <si>
    <t>K1DA7</t>
  </si>
  <si>
    <t>37083016</t>
  </si>
  <si>
    <t>WOS:000972957200001</t>
  </si>
  <si>
    <t>Szerlip, HM; Chawla, LS</t>
  </si>
  <si>
    <t>Purpose of reviewThe incidence of acute kidney injury has been steadily increasing. The development of any degree of kidney injury is associated with worse outcomes. Therefore, the ability to risk stratify patients and to predict prognosis is essential to properly educate the patient and family, appropriately utilize healthcare resources, and provide therapeutic interventions that may improve outcomes.Recent findingsNumerous biomarkers and clinical prediction models have been developed that improve our ability to predict which patients will progress to higher stages of chronic kidney disease, require dialysis, or survive. The integration of biomarkers in predictive models will likely provide the best information. Further investigation will be required to validate the utility of these tools.SummaryEarly risk stratification for acute kidney injury can aid clinical decision making. The use of various biomarkers and predictive clinical models will improve the ability to appropriately utilize resources and provide useful prognostic information.</t>
  </si>
  <si>
    <t>Szerlip, Harold M.; Chawla, Lakhmir S.</t>
  </si>
  <si>
    <t>Chawla, LS (corresponding author), Vet Affairs Med Ctr, Dept Med, 50 Irving St, Washington, DC 20037 USA.</t>
  </si>
  <si>
    <t>minkchawla@gmail.com</t>
  </si>
  <si>
    <t>[Szerlip, Harold M.] Baylor Univ, Med Ctr, Dallas, TX USA; [Chawla, Lakhmir S.] Vet Affairs Med Ctr, Dept Med, 50 Irving St, Washington, DC 20037 USA</t>
  </si>
  <si>
    <t>Baylor University Medical Center; Baylor University; US Department of Veterans Affairs; Veterans Health Administration (VHA)</t>
  </si>
  <si>
    <t>Predicting acute kidney injury prognosis</t>
  </si>
  <si>
    <t>CURRENT OPINION IN NEPHROLOGY AND HYPERTENSION</t>
  </si>
  <si>
    <t>acute kidney injury; biomarkers; clinical predictive models; risk stratification</t>
  </si>
  <si>
    <t>CRITICALLY-ILL PATIENTS; ACUTE-RENAL-FAILURE; INTENSIVE-CARE-UNIT; LONG-TERM OUTCOMES; EXTERNAL VALIDATION; AKIN CRITERIA; MORTALITY; EPIDEMIOLOGY; DIALYSIS; MULTICENTER</t>
  </si>
  <si>
    <t>Chawla, Lakhmir/0000-0001-5987-8318</t>
  </si>
  <si>
    <t>1062-4821</t>
  </si>
  <si>
    <t>1473-6543</t>
  </si>
  <si>
    <t>CURR OPIN NEPHROL HY</t>
  </si>
  <si>
    <t>Curr. Opin. Nephrol. Hypertens.</t>
  </si>
  <si>
    <t>MAY 2016</t>
  </si>
  <si>
    <t>226</t>
  </si>
  <si>
    <t>231</t>
  </si>
  <si>
    <t>10.1097/MNH.0000000000000223</t>
  </si>
  <si>
    <t>http://dx.doi.org/10.1097/MNH.0000000000000223</t>
  </si>
  <si>
    <t>Urology &amp; Nephrology; Peripheral Vascular Disease</t>
  </si>
  <si>
    <t>Urology &amp; Nephrology; Cardiovascular System &amp; Cardiology</t>
  </si>
  <si>
    <t>DK2JG</t>
  </si>
  <si>
    <t>27023837</t>
  </si>
  <si>
    <t>WOS:000374739900011</t>
  </si>
  <si>
    <t>Choi, HK; Ghobrial, M; Mazzone, PJ</t>
  </si>
  <si>
    <t>Pulmonary nodules are a common clinical problem. The goals of their evaluation are to expedite the diagnosis and treatment of patients with malignant nodules and to minimize testing in patients with benign nodules. The approach to lung nodule evaluation is directed by the probability that the nodule is malignant. Estimation of the probability of malignancy can be performed subjectively with intuition and clinical experience or by using validated probability models that combine patient clinical characteristics with nodule imaging features to estimate a probability of malignancy. The accuracy and the generalizability of probability models depend on the clinical profile and the prevalence of malignancy in the population in which they were derived. In this article, we review available validated models to estimate the probability of malignancy in patients with pulmonary nodules and outline how they were derived, their limitations, and how they compare with each other and physician judgment. We conclude with a brief discussion of advances in probability models.</t>
  </si>
  <si>
    <t>Choi, Humberto K.; Ghobrial, Michael; Mazzone, Peter J.</t>
  </si>
  <si>
    <t>Choi, HK (corresponding author), Cleveland Clin, 9500 Euclid Ave, Cleveland, OH 44195 USA.</t>
  </si>
  <si>
    <t>choih@ccf.org</t>
  </si>
  <si>
    <t>[Choi, Humberto K.; Ghobrial, Michael; Mazzone, Peter J.] Cleveland Clin, Resp Inst, Cleveland, OH 44106 USA</t>
  </si>
  <si>
    <t>Cleveland Clinic Foundation</t>
  </si>
  <si>
    <t>Models to Estimate the Probability of Malignancy in Patients with Pulmonary Nodules</t>
  </si>
  <si>
    <t>ANNALS OF THE AMERICAN THORACIC SOCIETY</t>
  </si>
  <si>
    <t>pulmonary nodule; lung cancer; probability; model</t>
  </si>
  <si>
    <t>MULTICENTER EXTERNAL VALIDATION; CLINICAL-PREDICTION MODEL; LUNG-CANCER; PRETEST PROBABILITY; BAYESIAN-ANALYSIS; RISK; GUIDELINES; MANAGEMENT; LIKELIHOOD; ACCURACY</t>
  </si>
  <si>
    <t>Mazzone, Peter/AAW-5401-2021</t>
  </si>
  <si>
    <t>Choi, Humberto/0000-0001-9494-6056</t>
  </si>
  <si>
    <t>63</t>
  </si>
  <si>
    <t>AMER THORACIC SOC</t>
  </si>
  <si>
    <t>25 BROADWAY, 18 FL, NEW YORK, NY 10004 USA</t>
  </si>
  <si>
    <t>2329-6933</t>
  </si>
  <si>
    <t>2325-6621</t>
  </si>
  <si>
    <t>ANN AM THORAC SOC</t>
  </si>
  <si>
    <t>Ann. Am. Thoracic Society</t>
  </si>
  <si>
    <t>OCT 2018</t>
  </si>
  <si>
    <t>1117</t>
  </si>
  <si>
    <t>1126</t>
  </si>
  <si>
    <t>10.1513/AnnalsATS.201803-173CME</t>
  </si>
  <si>
    <t>http://dx.doi.org/10.1513/AnnalsATS.201803-173CME</t>
  </si>
  <si>
    <t>GX7WG</t>
  </si>
  <si>
    <t>30272500</t>
  </si>
  <si>
    <t>WOS:000447989900001</t>
  </si>
  <si>
    <t>Naufal, E; Wouthuyzen-Bakker, M; Babazadeh, S; Stevens, J; Choong, PFM; Dowsey, MM</t>
  </si>
  <si>
    <t>The management of periprosthetic joint infection (PJI) generally requires both surgical intervention and targeted antimicrobial therapy. Decisions regarding surgical management-whether it be irrigation and debridement, one-stage revision, or two-stage revision-must take into consideration an array of factors. These include the timing and duration of symptoms, clinical characteristics of the patient, and antimicrobial susceptibilities of the microorganism(s) involved. Moreover, decisions relating to surgical management must consider clinical factors associated with the health of the patient, alongside the patient's preferences. These decisions are further complicated by concerns beyond mere eradication of the infection, such as the level of improvement in quality of life related to management strategies. To better understand the probability of successful surgical treatment of a PJI, several predictive tools have been developed over the past decade. This narrative review provides an overview of available clinical prediction models that aim to guide treatment decisions for patients with periprosthetic joint infection, and highlights key challenges to reliably implementing these tools in clinical practice.</t>
  </si>
  <si>
    <t>Naufal, Elise; Wouthuyzen-Bakker, Marjan; Babazadeh, Sina; Stevens, Jarrad; Choong, Peter F. M.; Dowsey, Michelle M.</t>
  </si>
  <si>
    <t>Naufal, E (corresponding author), Univ Melbourne, St Vincents Hosp Melbourne, Dept Surg, Fitzroy, Vic, Australia.</t>
  </si>
  <si>
    <t>elise.naufal@unimelb.edu.au</t>
  </si>
  <si>
    <t>Australian Commonwealth Government; University of Melbourne Dame Kate Campbell Fellowship; NHMRC Practitioner Fellowship; NHMRC Career Development Fellowship</t>
  </si>
  <si>
    <t>Australian Commonwealth Government (Australian Government); University of Melbourne Dame Kate Campbell Fellowship; NHMRC Practitioner Fellowship (National Health &amp; Medical Research Council (NHMRC) of Australia); NHMRC Career Development Fellowship (National Health &amp; Medical Research Council (NHMRC) of Australia)</t>
  </si>
  <si>
    <t>EN acknowledges the support of the Australian Commonwealth Government through a Research Training Scheme Scholarship and Stipend. PC holds a NHMRC Practitioner Fellowship (APP1154203). MD holds a NHMRC Career Development Fellowship (APP1122526) and University of Melbourne Dame Kate Campbell Fellowship.</t>
  </si>
  <si>
    <t>[Naufal, Elise; Babazadeh, Sina; Stevens, Jarrad; Choong, Peter F. M.; Dowsey, Michelle M.] Univ Melbourne, St Vincents Hosp Melbourne, Dept Surg, Fitzroy, Vic, Australia; [Wouthuyzen-Bakker, Marjan] Univ Groningen, Univ Med Ctr Groningen, Dept Med Microbiol &amp; Infect Prevent, Groningen, Netherlands; [Babazadeh, Sina; Stevens, Jarrad; Choong, Peter F. M.] St Vincents Hosp Melbourne, Dept Orthopaed, Fitzroy, Vic, Australia</t>
  </si>
  <si>
    <t>University of Melbourne; St Vincent's Health; St Vincent's Hospital Melbourne; University of Groningen; St Vincent's Health; St Vincent's Hospital Melbourne</t>
  </si>
  <si>
    <t>Methodological Challenges in Predicting Periprosthetic Joint Infection Treatment Outcomes: A Narrative Review</t>
  </si>
  <si>
    <t>FRONTIERS IN REHABILITATION SCIENCES</t>
  </si>
  <si>
    <t>periprosthetic joint infection (PJI); arthroplasty; risk prediction; prognostic models; predictive models</t>
  </si>
  <si>
    <t>EXTERNAL VALIDATION; PREOPERATIVE PREDICTION; DEBRIDEMENT; MODELS; RISK; ANTIBIOTICS; IRRIGATION; RETENTION; REVISION; ARTHROPLASTY</t>
  </si>
  <si>
    <t>Dowsey, Michelle/J-4162-2012; Choong, Peter/F-1109-2014; Wouthuyzen-Bakker, Marjan/ABH-8646-2020</t>
  </si>
  <si>
    <t>2673-6861</t>
  </si>
  <si>
    <t>FRONT REHABIL SCI</t>
  </si>
  <si>
    <t>Front. Rehabil. Sci.</t>
  </si>
  <si>
    <t>JUL 11 2022</t>
  </si>
  <si>
    <t>824281</t>
  </si>
  <si>
    <t>10.3389/fresc.2022.824281</t>
  </si>
  <si>
    <t>http://dx.doi.org/10.3389/fresc.2022.824281</t>
  </si>
  <si>
    <t>Rehabilitation</t>
  </si>
  <si>
    <t>J3JS2</t>
  </si>
  <si>
    <t>36188976</t>
  </si>
  <si>
    <t>WOS:001008612900001</t>
  </si>
  <si>
    <t>Wildes, D; Corley, L; O'Sullivan, D; Selewski, DT; Costigan, C; Awan, A; Quinlan, C; Boyle, MA</t>
  </si>
  <si>
    <t>Aims Acute kidney injury (AKI) affects up to one-third of neonates admitted to neonatal intensive care units (NICUs). NICUs are highly data-rich environments, offering opportunities to develop clinical prediction rules (CPRs) that use clinical and demographic data to estimate AKI risk. We sought to identify and critically appraise existing CPRs for predicting neonatal AKI.Methods A systematic search of PubMed and OVID-MEDLINE was conducted for literature published from 1946 to Q2-2025. Eligible studies reported the development or validation of CPRs for neonatal AKI in NICU populations. The review followed PRISMA guidelines and was prospectively registered with PROSPERO (CRD420250653606). Data extraction followed the CHARMS checklist, and risk of bias was assessed using the PROBAST tool.Results From 685 identified articles, 11 underwent full-text review and three met inclusion criteria. Sample sizes ranged from 276 to 706 participants. One CPR was derived from multi-centre data; two used prospectively collected datasets. The number of predictor variables ranged between 4 and 10. Internal validation methods varied, with those who reported commenting on apparent performance only and none performing external validation. Hosmer-Lemeshow testing and calibration plots were the most commonly used forms of analysis.Conclusions Current CPRs for neonatal AKI show potential but remain underdeveloped and poorly validated. Rigorous research, including external validation prior to integration into clinical workflows, is essential to enable effective early detection of neonatal AKI.</t>
  </si>
  <si>
    <t>Wildes, Dermot; Corley, Lisa; O'Sullivan, Deirdre; Selewski, David T.; Costigan, Caoimhe; Awan, Atif; Quinlan, Catherine; Boyle, Michael A.</t>
  </si>
  <si>
    <t>Wildes, D (corresponding author), RCSI Univ Med &amp; Hlth Sci, Dept Paediat, Dublin, Ireland.; Wildes, D (corresponding author), Rotunda Hosp, Dept Neonatol, Dublin, Ireland.; Wildes, D (corresponding author), Childrens Hlth Ireland, Dept Paediat Nephrol, Dublin, Ireland.</t>
  </si>
  <si>
    <t>dermotwildes@rcsi.com</t>
  </si>
  <si>
    <t>Research Ireland [GOIPG 2024/3145]</t>
  </si>
  <si>
    <t>Research Ireland</t>
  </si>
  <si>
    <t>Dr. Wildes is in receipt of funding from Taighde Eireann-Research Ireland (Grant GOIPG 2024/3145). The funder was not involved in this study at any stage.</t>
  </si>
  <si>
    <t>[Wildes, Dermot; Awan, Atif; Boyle, Michael A.] RCSI Univ Med &amp; Hlth Sci, Dept Paediat, Dublin, Ireland; [Wildes, Dermot; Corley, Lisa; Boyle, Michael A.] Rotunda Hosp, Dept Neonatol, Dublin, Ireland; [Wildes, Dermot; Costigan, Caoimhe; Awan, Atif; Quinlan, Catherine] Childrens Hlth Ireland, Dept Paediat Nephrol, Dublin, Ireland; [O'Sullivan, Deirdre] NHS Fdn Trust, Great Ormond St Hosp Children, Dept Paediat Nephrol, London, England; [Selewski, David T.] Univ Arkansas Med Sci, Little Rock, AR USA</t>
  </si>
  <si>
    <t>University of Arkansas System; University of Arkansas Medical Sciences</t>
  </si>
  <si>
    <t>Clinical Prediction Models for Acute Kidney Injury in Neonatology-A Systematic Review and Modelling Analysis</t>
  </si>
  <si>
    <t>JOURNAL OF PAEDIATRICS AND CHILD HEALTH</t>
  </si>
  <si>
    <t>Wildes, Dermot/HKO-9658-2023; Quinlan, Catherine/AAY-1240-2020</t>
  </si>
  <si>
    <t>Quinlan, Catherine/0000-0003-2746-6903</t>
  </si>
  <si>
    <t>1034-4810</t>
  </si>
  <si>
    <t>1440-1754</t>
  </si>
  <si>
    <t>J PAEDIATR CHILD H</t>
  </si>
  <si>
    <t>J. Paediatr. Child Health</t>
  </si>
  <si>
    <t>10.1111/jpc.70429</t>
  </si>
  <si>
    <t>http://dx.doi.org/10.1111/jpc.70429</t>
  </si>
  <si>
    <t>MAY 2026</t>
  </si>
  <si>
    <t>Pediatrics</t>
  </si>
  <si>
    <t>HQ6JV</t>
  </si>
  <si>
    <t>42108540</t>
  </si>
  <si>
    <t>WOS:001760371100001</t>
  </si>
  <si>
    <t>Ebrahimi, R; Rahmani, M; Fallahtafti, P; Ghaseminejad-Raeini, A; Azarboo, A; Jalali, A; Mehrani, M</t>
  </si>
  <si>
    <t>Background: The no-reflow (NRF) phenomenon is the "Achilles heel" of interventionists after performing percutaneous coronary intervention (PCI) in patients with ST-segment elevation myocardial infarction (STEMI). No definitive treatment has been proposed for NRF, and preventive strategies are central to improving care for patients who develop NRF.Objectives: In this study, we aim to investigate the clinical prediction models developed to predict NRF in STEMI patients undergoing primary PCI.Design: Systematic review.Data sources and methods: Preferred Reporting Items for Systematic Reviews and Meta-Analyses (PRISMA) guidelines were observed. Studies that developed clinical prediction modeling for NRF after primary PCI in STEMI patients were included. Data extraction was performed using the Checklist for Critical Appraisal and Data Extraction for Systematic Reviews of Prediction Modeling Studies (CHARMS) checklist. The Prediction Model Risk of Bias Assessment Tool (PROBAST) tool was used for critical appraisal of the included studies.Results: The three most common predictors were age, total ischemic time, and preoperative thrombolysis in myocardial infarction flow grade. Most of the included studies internally validated their developed model via various methods: random split, bootstrapping, and cross-validation. Only three studies (18%) externally validated their model. Six studies (37%) reported a calibration plot with or without the Hosmer-Lemeshow test. The reported area under the curve ranged from 0.648 to 0.925. The most common biases were in the statistical domain.Conclusion: Clinical prediction models aid in individualizing care for STEMI patients with NRF after primary PCI. Of the 16 included studies, we report four to have a low risk of bias and low concern with regard to our research question, which should undergo external validation with or without updating in future studies.Introduction: Heart attacks, or acute myocardial infarctions (MI), are severe consequences of coronary artery disease. One type, ST-segment elevation myocardial infarction (STEMI), requires prompt treatment to restore blood flow and prevent severe complications. The preferred treatment is primary percutaneous coronary intervention (PCI). However, sometimes blood flow remains poor despite successful PCI, a condition known as the no-reflow (NRF) phenomenon, which can lead to worse outcomes.Study Goal: This study reviews and evaluates existing models that predict NRF in STEMI patients undergoing PCI to help doctors identify and prevent this complication.Methods: We systematically searched databases for studies on NRF prediction models in STEMI patients. We included studies that developed these models and evaluated their risk of bias and applicability.Key Findings: - Search Results: Out of 7,095 citations, 16 studies were reviewed. - Study Locations: Studies were mainly conducted in China, Turkey, and a few other countries. - Predictors: Common predictors of NRF included age, total ischemic time, and preoperative blood flow. The models used various data like patient demographics, lab results, and clinical observations. - Model Performance: Models showed varying levels of accuracy in predicting NRF. Most models used logistic regression for development. Internal validation was done in several studies, but external validation was limited.Key Findings: - Search Results: Out of 7,095 citations, 16 studies were reviewed. - Study Locations: Studies were mainly conducted in China, Turkey, and a few other countries. - Predictors: Common predictors of NRF included age, total ischemic time, and preoperative blood flow. The models used various data like patient demographics, lab results, and clinical observations. - Model Performance: Models showed varying levels of accuracy in predicting NRF. Most models used logistic regression for development. Internal validation was done in several studies, but external validation was limited.Key Findings: - Search Results: Out of 7,095 citations, 16 studies were reviewed. - Study Locations: Studies were mainly conducted in China, Turkey, and a few other countries. - Predictors: Common predictors of NRF included age, total ischemic time, and preoperative blood flow. The models used various data like patient demographics, lab results, and clinical observations. - Model Performance: Models showed varying levels of accuracy in predicting NRF. Most models used logistic regression for development. Internal validation was done in several studies, but external validation was limited.Key Findings: - Search Results: Out of 7,095 citations, 16 studies were reviewed. - Study Locations: Studies were mainly conducted in China, Turkey, and a few other countries. - Predictors: Common predictors of NRF included age, total ischemic time, and preoperative blood flow. The models used various data like patient demographics, lab results, and clinical observations. - Model Performance: Models showed varying levels of accuracy in predicting NRF. Most models used logistic regression for development. Internal validation was done in several studies, but external validation was limited.Implications: - Clinical Use: Predictive models can help in timely decision-making during PCI. However, current models need more validation and improvement in their design to be widely accepted in clinical practice.- Future Research: More robust, prospective studies are needed, especially in diverse populations, to develop and validate better prediction models.Implications: - Clinical Use: Predictive models can help in timely decision-making during PCI. However, current models need more validation and improvement in their design to be widely accepted in clinical practice. - Future Research: More robust, prospective studies are needed, especially in diverse populations, to develop and validate better prediction models.Conclusion: This review highlights the need for better predictive models for NRF in STEMI patients. Existing models show promise but require further refinement and validation to improve their clinical utility.</t>
  </si>
  <si>
    <t>Ebrahimi, Reza; Rahmani, Mahdi; Fallahtafti, Parisa; Ghaseminejad-Raeini, Amirhossein; Azarboo, Alireza; Jalali, Arash; Mehrani, Mehdi</t>
  </si>
  <si>
    <t>Mehrani, M (corresponding author), Univ Tehran Med Sci, Cardiovasc Dis Res Inst, Tehran Heart Ctr, Tehran 1419733141, Iran.</t>
  </si>
  <si>
    <t>mehdi.mehrani78@gmail.com</t>
  </si>
  <si>
    <t>[Ebrahimi, Reza; Rahmani, Mahdi; Fallahtafti, Parisa; Ghaseminejad-Raeini, Amirhossein; Azarboo, Alireza] Univ Tehran Med Sci, Sch Med, Tehran, Iran; [Fallahtafti, Parisa; Jalali, Arash; Mehrani, Mehdi] Univ Tehran Med Sci, Cardiovasc Dis Res Inst, Tehran Heart Ctr, Tehran 1419733141, Iran</t>
  </si>
  <si>
    <t>Tehran University of Medical Sciences; Tehran University of Medical Sciences</t>
  </si>
  <si>
    <t>Predicting the no-reflow phenomenon in ST-elevation myocardial infarction patients undergoing primary percutaneous coronary intervention: a systematic review of clinical prediction models</t>
  </si>
  <si>
    <t>THERAPEUTIC ADVANCES IN CARDIOVASCULAR DISEASE</t>
  </si>
  <si>
    <t>no-reflow phenomenon; percutaneous coronary intervention; prediction model; STEMI; systematic review</t>
  </si>
  <si>
    <t>SEGMENT ELEVATION; MICROVASCULAR OBSTRUCTION; RISK SCORE; PERFORMANCE; VALIDATION; MANAGEMENT; APPLICABILITY; NOMOGRAM; PROBAST; PLAQUE</t>
  </si>
  <si>
    <t>Azarboo, Alireza/AGC-6975-2022; Mehrani, Mehdi/KHE-2794-2024; Jalali, Arash/JAX-8619-2023; Ghaseminejad-Raeini, Amirhossein/JRY-9307-2023</t>
  </si>
  <si>
    <t>Ebrahimi, Reza/0009-0006-2660-6176; Fallahtafti, Parisa/0009-0002-9618-0108; Ghaseminejad-Raeini, Amirhossein/0000-0002-4322-0236</t>
  </si>
  <si>
    <t>1753-9447</t>
  </si>
  <si>
    <t>1753-9455</t>
  </si>
  <si>
    <t>THER ADV CARDIO DIS</t>
  </si>
  <si>
    <t>Ther. Adv. Cardiovasc. Dis.</t>
  </si>
  <si>
    <t>17539447241290438</t>
  </si>
  <si>
    <t>10.1177/17539447241290438</t>
  </si>
  <si>
    <t>http://dx.doi.org/10.1177/17539447241290438</t>
  </si>
  <si>
    <t>K6I3W</t>
  </si>
  <si>
    <t>39470690</t>
  </si>
  <si>
    <t>WOS:001344888300001</t>
  </si>
  <si>
    <t>Shen, Y; Wu, YL; Qiu, YW; Wu, JX</t>
  </si>
  <si>
    <t>Difficult airway management causes significant anesthesia-related morbidity, yet traditional assessments lack sensitivity (30%-50%) and consistency. This review (2010-2025) examines artificial intelligence (AI) decision models for airway assessment, focusing on performance, limitations, and clinical translation. AI demonstrates significant statistical superiority: facial image analysis achieves 80%-90% sensitivity (vs. Mallampati's 39%), and deep learning models yield a pooled AUC of 0.84. Key techniques include convolutional neural networks, semi-supervised learning, and multimodal integration. Despite high predictive performance, widespread adoption faces fundamental barriers. Current studies are predominantly single-center and retrospective, lacking external validation, algorithmic fairness, standardized outcomes, and proven workflow integration. Furthermore, research heavily favors upper airway evaluation. Thoracic anesthesia, utilizing routine preoperative CTs, offers an immediate pathway for comprehensive whole-airway assessment. Ultimately, bridging the translational gap requires rigorous, prospective multicenter validation demonstrating tangible patient safety improvements, rather than relying solely on algorithmic sophistication.</t>
  </si>
  <si>
    <t>Shen, Yang; Wu, Yulan; Qiu, Yuwei; Wu, Jingxiang</t>
  </si>
  <si>
    <t>Wu, JX (corresponding author), Shanghai Jiao Tong Univ, Sch Med, Shanghai Chest Hosp, Dept Anesthesiol, Shanghai, Peoples R China.</t>
  </si>
  <si>
    <t>wu_jingxiang@sjtu.edu.cn</t>
  </si>
  <si>
    <t>Elite Project of Shanghai Medical Innovation Development Foundation [SMIDF-155-3, RCLX2315002]</t>
  </si>
  <si>
    <t>Elite Project of Shanghai Medical Innovation Development Foundation</t>
  </si>
  <si>
    <t>The author(s) declared that financial support was received for this work and/or its publication. This work was supported by the Elite Project of Shanghai Medical Innovation Development Foundation (SMIDF-155-3) for Yuwei Qiu and the Beijing Huikang Charity Foundation (RCLX2315002) for Jingxiang Wu.</t>
  </si>
  <si>
    <t>[Shen, Yang] Univ Shanghai Sci &amp; Technol, Sch Hlth Sci &amp; Engn, Shanghai, Peoples R China; [Shen, Yang; Wu, Yulan; Qiu, Yuwei; Wu, Jingxiang] Shanghai Jiao Tong Univ, Sch Med, Shanghai Chest Hosp, Dept Anesthesiol, Shanghai, Peoples R China</t>
  </si>
  <si>
    <t>University of Shanghai for Science &amp; Technology; Shanghai Jiao Tong University</t>
  </si>
  <si>
    <t>AI-based decision models for difficult airway assessment: from research innovation to clinical implementation-a narrative review</t>
  </si>
  <si>
    <t>artificial intelligence; clinical prediction models; difficult airway; machine learning; perioperative medicine</t>
  </si>
  <si>
    <t>TRACHEAL INTUBATION; MANAGEMENT; COMPLICATIONS; PREDICTION; ANESTHESIA; FAILURE; COHORT; SCORE</t>
  </si>
  <si>
    <t>Wu, Jingxiang/GON-5965-2022</t>
  </si>
  <si>
    <t>MAY 13 2026</t>
  </si>
  <si>
    <t>1818061</t>
  </si>
  <si>
    <t>10.3389/fmed.2026.1818061</t>
  </si>
  <si>
    <t>http://dx.doi.org/10.3389/fmed.2026.1818061</t>
  </si>
  <si>
    <t>IO9NX</t>
  </si>
  <si>
    <t>42210958</t>
  </si>
  <si>
    <t>WOS:001776864100001</t>
  </si>
  <si>
    <t>Nadesan, P; Gandhi, B; Schwalm, JD; Petch, J; Sibbald, M; Khemani, E</t>
  </si>
  <si>
    <t>Purpose: Myocardial injury after non-cardiac surgery (MINS) is common and often under detected. Machine learning (ML) has been proposed as a tool for perioperative risk stratification and to support targeted postoperative troponin monitoring. This scoping review summarizes current evidence on ML models developed to predict MINS. Source: Five databases were searched in January 2025. Eligible studies applied at least one ML method to predict MINS in adult surgical patients and reported at least one performance metric. Findings were synthesized narratively. Principal findings: Of 2463 records screened, nine studies met inclusion criteria. Six reported internal validation and three external validation. Median AUROC was 0.777 (IQR 0.770-0.788) for internally validated models and 0.805 (range 0.790-0.821) for externally validated models. Common predictors included age, hemoglobin, renal function markers, perioperative biomarkers, and intraoperative hemodynamic variables. Conclusion: Available supervised prediction models for MINS show variable discrimination, but the evidence base is small, heterogeneous, and largely at high risk of bias. Current studies do not establish clinical readiness or superiority of more complex ML approaches over regression-based models. Standardized outcome ascertainment, transparent reporting, clinically meaningful performance evaluation, and robust external validation are needed before implementation can be considered.</t>
  </si>
  <si>
    <t>Nadesan, Praveen; Gandhi, Bhavya; Schwalm, Jon-David; Petch, Jeremy; Sibbald, Matthew; Khemani, Ekta</t>
  </si>
  <si>
    <t>Nadesan, P (corresponding author), McMaster Univ, Dept Anesthesia &amp; Pain Management, 1280 Main St W, Hamilton, ON L8S 4L8, Canada.</t>
  </si>
  <si>
    <t>praveen.nadesan@medportal.ca</t>
  </si>
  <si>
    <t>[Nadesan, Praveen; Gandhi, Bhavya] McMaster Univ, Michael G DeGroote Sch Med, Hamilton, ON, Canada; [Schwalm, Jon-David; Petch, Jeremy; Sibbald, Matthew] Hamilton Hlth Sci, Dept Med, Div Cardiol, Hamilton, ON, Canada; [Schwalm, Jon-David; Petch, Jeremy] Populat Hlth Res Inst, Hamilton, ON, Canada; [Schwalm, Jon-David; Khemani, Ekta] Hamilton Hlth Sci, Knowledge Ctr, Hamilton, ON, Canada; [Petch, Jeremy] Hamilton Hlth Sci, Ctr Data Sci &amp; Digital Hlth, Hamilton, ON, Canada; [Petch, Jeremy] Univ Toronto, Inst Hlth Policy Management &amp; Evaluat, Toronto, ON, Canada; [Nadesan, Praveen; Khemani, Ekta] McMaster Univ, Dept Anesthesia &amp; Pain Management, 1280 Main St W, Hamilton, ON L8S 4L8, Canada</t>
  </si>
  <si>
    <t>McMaster University; McMaster University; Population Health Research Institute; McMaster University; McMaster University; University of Toronto; McMaster University</t>
  </si>
  <si>
    <t>Machine learning prediction models for myocardial injury after non-cardiac surgery: A scoping review</t>
  </si>
  <si>
    <t>TRENDS IN ANAESTHESIA AND CRITICAL CARE</t>
  </si>
  <si>
    <t>Myocardial injury after noncardiac surgery; (MINS); Machine learning; Risk prediction; Perioperative medicine; Troponin; Postoperative complications</t>
  </si>
  <si>
    <t>ARTIFICIAL-INTELLIGENCE; RISK; COMPLICATIONS; DIAGNOSIS; COHORT</t>
  </si>
  <si>
    <t>Sibbald, Matthew/LYP-2773-2024</t>
  </si>
  <si>
    <t>44</t>
  </si>
  <si>
    <t>2210-8440</t>
  </si>
  <si>
    <t>2210-8467</t>
  </si>
  <si>
    <t>TRENDS ANAESTH CRIT</t>
  </si>
  <si>
    <t>Trends Anaesth. Crit. Care</t>
  </si>
  <si>
    <t>101662</t>
  </si>
  <si>
    <t>10.1016/j.tacc.2026.101662</t>
  </si>
  <si>
    <t>http://dx.doi.org/10.1016/j.tacc.2026.101662</t>
  </si>
  <si>
    <t>Anesthesiology</t>
  </si>
  <si>
    <t>IW0DC</t>
  </si>
  <si>
    <t>WOS:001781651400001</t>
  </si>
  <si>
    <t>Groot, OQ; Bindels, BJJ; Ogink, PT; Kapoor, ND; Twining, PK; Collins, AK; Bongers, MER; Lans, A; Oosterhoff, JHF; Karhade, AV; Verlaan, JJ; Schwab, JH</t>
  </si>
  <si>
    <t>Background and purpose - External validation of machine learning (ML) prediction models is an essential step before clinical application. We assessed the proportion, performance, and transparent reporting of externally validated ML prediction models in orthopedic surgery, using the Transparent Reporting for Individual Prognosis or Diagnosis (TRIPOD) guidelines.Material and methods - We performed a systematic search using synonyms for every orthopedic specialty, ML, and external validation. The proportion was determined by using 59 ML prediction models with only internal validation in orthopedic surgical outcome published up until June 18, 2020, previously identified by our group. Model performance was evaluated using discrimination, calibration, and decision-curve analysis. The TRIPOD guidelines assessed transparent reporting.Results - We included 18 studies externally validating 10 different ML prediction models of the 59 available ML models after screening 4,682 studies. All external validations identified in this review retained good discrimination. Other key performance measures were provided in only 3 studies, rendering overall performance evaluation difficult. The overall median TRIPOD completeness was 61% (IQR 43-89), with 6 items being reported in less than 4/18 of the studies.Interpretation - Most current predictive ML models are not externally validated. The 18 available external validation studies were characterized by incomplete reporting of performance measures, limiting a transparent examination of model performance. Further prospective studies are needed to validate or refute the myriad of predictive ML models in orthopedics while adhering to existing guidelines. This ensures clinicians can take full advantage of validated and clinically implementable ML decision tools.</t>
  </si>
  <si>
    <t>Groot, Olivier Q.; Bindels, Bas J. J.; Ogink, Paul T.; Kapoor, Neal D.; Twining, Peter K.; Collins, Austin K.; Bongers, Michiel E. R.; Lans, Amanda; Oosterhoff, Jacobsen H. F.; Karhade, Aditya, V; Verlaan, Jorrit-Jan; Schwab, Joseph H.</t>
  </si>
  <si>
    <t>Groot, OQ (corresponding author), Harvard Med Sch, Massachusetts Gen Hosp, Orthoped Oncol Serv, Boston, MA 02115 USA.; Groot, OQ (corresponding author), Univ Utrecht, Univ Med Ctr Utrecht, Dept Orthoped Surg, Utrecht, Netherlands.</t>
  </si>
  <si>
    <t>oqgroot@gmail.com</t>
  </si>
  <si>
    <t>[Groot, Olivier Q.; Kapoor, Neal D.; Twining, Peter K.; Collins, Austin K.; Bongers, Michiel E. R.; Lans, Amanda; Oosterhoff, Jacobsen H. F.; Karhade, Aditya, V; Schwab, Joseph H.] Harvard Med Sch, Massachusetts Gen Hosp, Orthoped Oncol Serv, Boston, MA 02115 USA; [Groot, Olivier Q.; Bindels, Bas J. J.; Ogink, Paul T.; Lans, Amanda; Verlaan, Jorrit-Jan] Univ Utrecht, Univ Med Ctr Utrecht, Dept Orthoped Surg, Utrecht, Netherlands</t>
  </si>
  <si>
    <t>Harvard University; Harvard Medical School; Harvard University Medical Affiliates; Massachusetts General Hospital; Utrecht University; Utrecht University Medical Center</t>
  </si>
  <si>
    <t>Availability and reporting quality of external validations of machine-learning prediction models with orthopedic surgical outcomes: a systematic review</t>
  </si>
  <si>
    <t>ACTA ORTHOPAEDICA</t>
  </si>
  <si>
    <t>SURVIVAL; RISK; CHONDROSARCOMA; SURGERY</t>
  </si>
  <si>
    <t>Bindels, Bas/AAS-9713-2020</t>
  </si>
  <si>
    <t>HUITRON, EFREN/0009-0008-2046-3359; Collins, Austin/0000-0001-5730-8864; Schwab, Joseph/0000-0002-2059-7559</t>
  </si>
  <si>
    <t>39</t>
  </si>
  <si>
    <t>Medical Journal Sweden AB</t>
  </si>
  <si>
    <t>Uppsala</t>
  </si>
  <si>
    <t>Kungsngsvgen 27St, Uppsala, SWEDEN</t>
  </si>
  <si>
    <t>1745-3674</t>
  </si>
  <si>
    <t>1745-3682</t>
  </si>
  <si>
    <t>ACTA ORTHOP</t>
  </si>
  <si>
    <t>Acta Orthop.</t>
  </si>
  <si>
    <t>JUL 4 2021</t>
  </si>
  <si>
    <t>92</t>
  </si>
  <si>
    <t>385</t>
  </si>
  <si>
    <t>393</t>
  </si>
  <si>
    <t>10.1080/17453674.2021.1910448</t>
  </si>
  <si>
    <t>http://dx.doi.org/10.1080/17453674.2021.1910448</t>
  </si>
  <si>
    <t>APR 2021</t>
  </si>
  <si>
    <t>UC8RA</t>
  </si>
  <si>
    <t>33870837</t>
  </si>
  <si>
    <t>WOS:000641410500001</t>
  </si>
  <si>
    <t>He, T; Liu, X; Xu, NN; Li, Y; Wu, QY; Liu, ML; Yuan, H</t>
  </si>
  <si>
    <t>A comprehensive search of PubMed and Embase was performed in January 2015 to examine the available literature on validated diagnostic models of the pre-test probability of stable coronary artery disease and to describe the characteristics of the models. Studies that were designed to develop and validate diagnostic models of pre-test probability for stable coronary artery disease were included. Data regarding baseline patient characteristics, procedural characteristics, modeling methods, metrics of model performance, risk of bias, and clinical usefulness were extracted. Ten studies involving the development of 12 models and two studies focusing on external validation were identified. Seven models were validated internally, and seven models were validated externally. Discrimination varied between studies that were validated internally (C statistic 0.66-0.81) and externally (0.49-0.87). Only one study presented reclassification indices. The majority of better performing models included sex, age, symptoms, diabetes, smoking, and hyperlipidemia as variables. Only two diagnostic models evaluated the effects on clinical decision making processes or patient outcomes. Most diagnostic models of the pre-test probability of stable coronary artery disease have had modest success, and very few present data regarding the effects of these models on clinical decision making processes or patient outcomes.</t>
  </si>
  <si>
    <t>He, Ting; Liu, Xing; Xu, Nana; Li, Ying; Wu, Qiaoyu; Liu, Meilin; Yuan, Hong</t>
  </si>
  <si>
    <t>Yuan, H (corresponding author), Cent South Univ, Xiangya Hosp 3, Dept Cardiol, Changsha 410013, Hunan, Peoples R China.; Yuan, H (corresponding author), Cent South Univ, Xiangya Hosp 3, Ctr Clin Pharmacol, Changsha 410013, Hunan, Peoples R China.</t>
  </si>
  <si>
    <t>yuanhongxy3@163.com</t>
  </si>
  <si>
    <t>Fundamental Research Funds of Central South University [2016zzts565]; National Science Foundation of China [81273594]; National Key Technology RD Program [2012BAI37B05]</t>
  </si>
  <si>
    <t>Fundamental Research Funds of Central South University; National Science Foundation of China (National Natural Science Foundation of China (NSFC)); National Key Technology RD Program</t>
  </si>
  <si>
    <t>This study was supported by the Fundamental Research Funds of Central South University (no. 2016zzts565), the National Science Foundation of China (no. 81273594), and the National Key Technology R&amp;D Program (no. 2012BAI37B05).</t>
  </si>
  <si>
    <t>[He, Ting; Liu, Xing; Wu, Qiaoyu; Yuan, Hong] Cent South Univ, Xiangya Hosp 3, Dept Cardiol, Changsha 410013, Hunan, Peoples R China; [Xu, Nana; Li, Ying; Yuan, Hong] Cent South Univ, Xiangya Hosp 3, Ctr Clin Pharmacol, Changsha 410013, Hunan, Peoples R China; [Liu, Meilin] Beijing Univ, Hosp 1, Dept Gerontol, Beijing, Peoples R China</t>
  </si>
  <si>
    <t>Central South University; Central South University; Peking University</t>
  </si>
  <si>
    <t>Diagnostic models of the pre-test probability of stable coronary artery disease: A systematic review</t>
  </si>
  <si>
    <t>CLINICS</t>
  </si>
  <si>
    <t>Coronary Artery Disease; Risk Assessment; Pre-Test Probability; Systematic Review; Diagnosis</t>
  </si>
  <si>
    <t>CLINICAL-PREDICTION MODELS; CHEST-PAIN; SYMPTOMATIC WOMEN; RISK; VALIDATION; MANAGEMENT; GUIDELINE; SCORE</t>
  </si>
  <si>
    <t>Liu, Meilin/0000-0002-5188-0242</t>
  </si>
  <si>
    <t>ELSEVIER ESPANA</t>
  </si>
  <si>
    <t>MADRID</t>
  </si>
  <si>
    <t>CALLE DE ZURBANO, 76-4TH FLR LEFT, MADRID, 28010, SPAIN</t>
  </si>
  <si>
    <t>1807-5932</t>
  </si>
  <si>
    <t>1980-5322</t>
  </si>
  <si>
    <t>Clinics</t>
  </si>
  <si>
    <t>MAR 2017</t>
  </si>
  <si>
    <t>72</t>
  </si>
  <si>
    <t>188</t>
  </si>
  <si>
    <t>196</t>
  </si>
  <si>
    <t>10.6061/clinics/2017(03)10</t>
  </si>
  <si>
    <t>http://dx.doi.org/10.6061/clinics/2017(03)10</t>
  </si>
  <si>
    <t>EQ2CC</t>
  </si>
  <si>
    <t>28355366</t>
  </si>
  <si>
    <t>WOS:000397874900010</t>
  </si>
  <si>
    <t>Gallagher, J; McCormack, D; Zhou, SW; Ryan, F; Watson, C; McDonald, K; Ledwidge, MT</t>
  </si>
  <si>
    <t>Aims This study sought to review the literature for clinical prediction models for the diagnosis of patients with chronic heart failure in the community and to validate the models in a novel cohort of patients with a suspected diagnosis of chronic heart failure. Methods and results MEDLINE and Embase were searched from 1946 to Q4 2017. Studies were eligible if they contained at least one multivariable model for the diagnosis of chronic heart failure applicable to the primary care setting. The CHARMS checklist was used to evaluate models. We also validated models, where possible, in a novel cohort of patients with a suspected diagnosis of heart failure referred to a rapid access diagnostic clinic. In total, 5310 articles were identified with nine articles subsequently meeting the eligibility criteria. Three models had undergone internal validation, and four had undergone external validation. No clinical impact studies have been completed to date. Area under the curve (AUC) varied from 0.74 to 0.93 and from 0.60 to 0.65 in the novel cohort for clinical models alone with AUC up to 0.89 in combination with electrocardiogram and B-type natriuretic peptide (BNP). The AUC for BNP was 0.86 (95% confidence interval 83.3-88.6%). Conclusions This review demonstrates that there are a number of clinical prediction rules relevant to the diagnosis of chronic heart failure in the literature. Clinical impact studies are required to compare the use of clinical prediction rules and biomarker strategies in this setting.</t>
  </si>
  <si>
    <t>Gallagher, Joe; McCormack, Darren; Zhou, Shuaiwei; Ryan, Fiona; Watson, Chris; McDonald, Kenneth; Ledwidge, Mark T.</t>
  </si>
  <si>
    <t>Gallagher, J (corresponding author), Univ Coll Dublin, Sch Med &amp; Med Sci, Dublin 4, Ireland.</t>
  </si>
  <si>
    <t>jgallagher@ucd.ie</t>
  </si>
  <si>
    <t>Health Research Board of Ireland [R13307]</t>
  </si>
  <si>
    <t>Health Research Board of Ireland (Health Research Board - Ireland)</t>
  </si>
  <si>
    <t>This work was supported by the Health Research Board of Ireland, grant number R13307.</t>
  </si>
  <si>
    <t>[Gallagher, Joe; McDonald, Kenneth; Ledwidge, Mark T.] Univ Coll Dublin, Sch Med &amp; Med Sci, Dublin 4, Ireland; [Gallagher, Joe] Irish Coll Gen Practitioners, Lincoln Pl, Dublin, Ireland; [Zhou, Shuaiwei; Ryan, Fiona] Heartbeat Trust, Crofton Terrace, Dun Laoghaire, Dublin, Ireland; [McCormack, Darren] Univ Coll Dublin, gHlth Res Grp, Dublin 4, Ireland; [Watson, Chris] Queens Univ, Ctr Expt Med, Belfast, Antrim, North Ireland</t>
  </si>
  <si>
    <t>University College Dublin; University College Dublin; Queens University Belfast</t>
  </si>
  <si>
    <t>A systematic review of clinical prediction rules for the diagnosis of chronic heart failure</t>
  </si>
  <si>
    <t>ESC HEART FAILURE</t>
  </si>
  <si>
    <t>Heart failure; Clinical prediction rules; Diagnosis; Models</t>
  </si>
  <si>
    <t>VENTRICULAR SYSTOLIC DYSFUNCTION; PRIMARY-CARE; ELDERLY-PATIENTS; VALIDATION</t>
  </si>
  <si>
    <t>Gallagher, Joseph/L-6810-2013</t>
  </si>
  <si>
    <t>Ledwidge, Mark/0000-0001-7391-2949; Mc Cormack, Darren/0000-0002-0037-5609; McDonald, Kenneth/0000-0001-8011-3301; Gallagher, Joseph/0000-0002-5564-2890; , The Heartbeat Trust/0000-0002-4020-6754</t>
  </si>
  <si>
    <t>2055-5822</t>
  </si>
  <si>
    <t>ESC HEART FAIL</t>
  </si>
  <si>
    <t>ESC Heart Fail.</t>
  </si>
  <si>
    <t>JUN 2019</t>
  </si>
  <si>
    <t>499</t>
  </si>
  <si>
    <t>508</t>
  </si>
  <si>
    <t>10.1002/ehf2.12426</t>
  </si>
  <si>
    <t>http://dx.doi.org/10.1002/ehf2.12426</t>
  </si>
  <si>
    <t>HY7OB</t>
  </si>
  <si>
    <t>30854781</t>
  </si>
  <si>
    <t>WOS:000468324300005</t>
  </si>
  <si>
    <t>Kimani, L; Howitt, S; Tennyson, C; Templeton, R; McCollum, C; Grant, SW</t>
  </si>
  <si>
    <t>Readmission to the cardiac intensive care unit after cardiac surgery has significant implications for both patients and healthcare providers. Identifying patients at risk of readmission potentially could improve outcomes. The objective of this systematic review was to identify risk factors and clinical prediction models for readmission within a single hospitalization to intensive care after cardiac surgery. PubMed, MEDLINE, and EMBASE databases were searched to identify candidate articles. Only studies that used multivariate analyses to identify independent predictors were included.There were 25 studies and five risk prediction models identified. The overall rate of readmission pooled across the included studies was 4.9%. In all 25 studies, in-hospital mortality and duration of hospital stay were higher in patients who experienced readmission. Recurring predictors for readmission were preoperative renal failure, age &gt;70, diabetes, chronic obstructive pulmonary disease, preoperative left ventricular ejection fraction &lt;30%, type and urgency of surgery, prolonged cardiopulmonary bypass time, prolonged postoperative ventilation, postoperative anemia, and neurologic dysfunction. The majority of readmissions occurred due to respiratory and cardiac complications. Four models were identified for predicting readmission, with one external validation study. As all models developed to date had limitations, further work on larger datasets is required to develop clinically useful models to identify patients at risk of readmission to the cardiac intensive care unit after cardiac surgery. (C) 2021 Elsevier Inc. All rights reserved.</t>
  </si>
  <si>
    <t>Kimani, Linda; Howitt, Samuel; Tennyson, Charlene; Templeton, Richard; McCollum, Charles; Grant, Stuart W.</t>
  </si>
  <si>
    <t>Kimani, L (corresponding author), Wythenshawe Hosp, Acad Surg Unit, ERC, Manchester M23 9LT, Lancs, England.</t>
  </si>
  <si>
    <t>linda.kimani@manchester.ac.uk</t>
  </si>
  <si>
    <t>British Heart Foundation [PG/16/80/32411]; British Heart Foundation [PG/16/80/32411] Funding Source: researchfish</t>
  </si>
  <si>
    <t>British Heart Foundation (British Heart Foundation); British Heart Foundation (British Heart Foundation)</t>
  </si>
  <si>
    <t>This work was supported by the British Heart Foundation grant number PG/16/80/32411.</t>
  </si>
  <si>
    <t>[Kimani, Linda; Howitt, Samuel; McCollum, Charles; Grant, Stuart W.] Univ Manchester, Manchester Univ Hosp Fdn Trust, ERC, Div Cardiovasc Sci, Manchester, Lancs, England; [Templeton, Richard] Manchester Univ Hosp Fdn Trust, Wythenshawe Hosp, Dept Cardiothorac Anaesthesia &amp; Crit Care, Manchester, Lancs, England; [Tennyson, Charlene] Blackpool Victoria Hosp, Dept Cardiothorac Surg, Blackpool, England</t>
  </si>
  <si>
    <t>University of Manchester; Wythenshawe Hospital NHS Foundation Trust; Wythenshawe Hospital</t>
  </si>
  <si>
    <t>Predicting Readmission to Intensive Care After Cardiac Surgery Within Index Hospitalization: A Systematic Review</t>
  </si>
  <si>
    <t>JOURNAL OF CARDIOTHORACIC AND VASCULAR ANESTHESIA</t>
  </si>
  <si>
    <t>cardiac surgery; readmission to intensive care; risk prediction model</t>
  </si>
  <si>
    <t>SINGLE-CENTER EXPERIENCE; RISK-FACTORS; ICU READMISSION; UNIT; FAILURE; RESCUE; PATIENT; RECIDIVISM; OUTCOMES; SOCIETY</t>
  </si>
  <si>
    <t>Kimani, Linda/0000-0003-0112-0576; Grant, Stuart/0000-0003-3468-591X</t>
  </si>
  <si>
    <t>W B SAUNDERS CO-ELSEVIER INC</t>
  </si>
  <si>
    <t>1600 JOHN F KENNEDY BOULEVARD, STE 1800, PHILADELPHIA, PA 19103-2899 USA</t>
  </si>
  <si>
    <t>1053-0770</t>
  </si>
  <si>
    <t>1532-8422</t>
  </si>
  <si>
    <t>J CARDIOTHOR VASC AN</t>
  </si>
  <si>
    <t>J. Cardiothorac. Vasc. Anesth.</t>
  </si>
  <si>
    <t>JUL 2021</t>
  </si>
  <si>
    <t>2166</t>
  </si>
  <si>
    <t>2179</t>
  </si>
  <si>
    <t>10.1053/j.jvca.2021.02.056</t>
  </si>
  <si>
    <t>http://dx.doi.org/10.1053/j.jvca.2021.02.056</t>
  </si>
  <si>
    <t>MAY 2021</t>
  </si>
  <si>
    <t>Anesthesiology; Cardiac &amp; Cardiovascular Systems; Respiratory System; Peripheral Vascular Disease</t>
  </si>
  <si>
    <t>Anesthesiology; Cardiovascular System &amp; Cardiology; Respiratory System</t>
  </si>
  <si>
    <t>SJ4MB</t>
  </si>
  <si>
    <t>33773889</t>
  </si>
  <si>
    <t>WOS:000655505900038</t>
  </si>
  <si>
    <t>Zhao, Y; Coppola, A; Karamchandani, U; Amiras, D; Gupte, CM</t>
  </si>
  <si>
    <t>ObjectivesTo review and compare the accuracy of convolutional neural networks (CNN) for the diagnosis of meniscal tears in the current literature and analyze the decision-making processes utilized by these CNN algorithms.Materials and methodsPubMed, MEDLINE, EMBASE, and Cochrane databases up to December 2022 were searched in accordance with the Preferred Reporting Items for Systematic Reviews and Meta-analysis (PRISMA) statement. Risk of analysis was used for all identified articles. Predictive performance values, including sensitivity and specificity, were extracted for quantitative analysis. The meta-analysis was divided between AI prediction models identifying the presence of meniscus tears and the location of meniscus tears.ResultsEleven articles were included in the final review, with a total of 13,467 patients and 57,551 images. Heterogeneity was statistically significantly large for the sensitivity of the tear identification analysis (I2 = 79%). A higher level of accuracy was observed in identifying the presence of a meniscal tear over locating tears in specific regions of the meniscus (AUC, 0.939 vs 0.905). Pooled sensitivity and specificity were 0.87 (95% confidence interval (CI) 0.80-0.91) and 0.89 (95% CI 0.83-0.93) for meniscus tear identification and 0.88 (95% CI 0.82-0.91) and 0.84 (95% CI 0.81-0.85) for locating the tears.ConclusionsAI prediction models achieved favorable performance in the diagnosis, but not location, of meniscus tears. Further studies on the clinical utilities of deep learning should include standardized reporting, external validation, and full reports of the predictive performances of these models, with a view to localizing tears more accurately.Clinical relevance statementMeniscus tears are hard to diagnose in the knee magnetic resonance images. AI prediction models may play an important role in improving the diagnostic accuracy of clinicians and radiologists.Key Points center dot Artificial intelligence (AI) provides great potential in improving the diagnosis of meniscus tears.center dot The pooled diagnostic performance for artificial intelligence (AI) in identifying meniscus tears was better (sensitivity 87%, specificity 89%) than locating the tears (sensitivity 88%, specificity 84%).center dot AI is good at confirming the diagnosis of meniscus tears, but future work is required to guide the management of the disease.Key Points center dot Artificial intelligence (AI) provides great potential in improving the diagnosis of meniscus tears.center dot The pooled diagnostic performance for artificial intelligence (AI) in identifying meniscus tears was better (sensitivity 87%, specificity 89%) than locating the tears (sensitivity 88%, specificity 84%).center dot AI is good at confirming the diagnosis of meniscus tears, but future work is required to guide the management of the disease.Key Points center dot Artificial intelligence (AI) provides great potential in improving the diagnosis of meniscus tears.center dot The pooled diagnostic performance for artificial intelligence (AI) in identifying meniscus tears was better (sensitivity 87%, specificity 89%) than locating the tears (sensitivity 88%, specificity 84%).center dot AI is good at confirming the diagnosis of meniscus tears, but future work is required to guide the management of the disease.</t>
  </si>
  <si>
    <t>Zhao, Yi; Coppola, Andrew; Karamchandani, Urvi; Amiras, Dimitri; Gupte, Chinmay M.</t>
  </si>
  <si>
    <t>Zhao, Y (corresponding author), Imperial Coll London, Sch Med, Exhibit Rd,South Kensington Campus, London SW7 2BU, England.</t>
  </si>
  <si>
    <t>Yi.zhao18@ic.ac.uk</t>
  </si>
  <si>
    <t>Imperial College London</t>
  </si>
  <si>
    <t>The authors' contribution includes, but is not limited to, the following: YZ, AC, and CMG drafted the manuscript and created the study concept. UK, DA, and CMG provided supervision and guidance during the study. All authors reviewed and approved the manuscript in its current form. YZ is the guarantor of this work.</t>
  </si>
  <si>
    <t>[Zhao, Yi; Coppola, Andrew; Amiras, Dimitri; Gupte, Chinmay M.] Imperial Coll London, Sch Med, Exhibit Rd,South Kensington Campus, London SW7 2BU, England; [Karamchandani, Urvi; Amiras, Dimitri; Gupte, Chinmay M.] Imperial Coll London NHS Trust, London, England</t>
  </si>
  <si>
    <t>Artificial intelligence applied to magnetic resonance imaging reliably detects the presence, but not the location, of meniscus tears: a systematic review and meta-analysis</t>
  </si>
  <si>
    <t>EUROPEAN RADIOLOGY</t>
  </si>
  <si>
    <t>Artificial intelligence; Deep learning; Magnetic resonance imaging; Meniscus tear; Diagnosis</t>
  </si>
  <si>
    <t>DIAGNOSIS; CURVE; AREA; MRI</t>
  </si>
  <si>
    <t>Coppola, Andrew/MGU-4697-2025</t>
  </si>
  <si>
    <t>Coppola, Andrew/0000-0002-6757-9876; Gupte, Chinmay/0000-0003-1317-4512; Zhao, Yi/0000-0002-4563-4344</t>
  </si>
  <si>
    <t>0938-7994</t>
  </si>
  <si>
    <t>1432-1084</t>
  </si>
  <si>
    <t>EUR RADIOL</t>
  </si>
  <si>
    <t>Eur. Radiol.</t>
  </si>
  <si>
    <t>5954</t>
  </si>
  <si>
    <t>5964</t>
  </si>
  <si>
    <t>10.1007/s00330-024-10625-7</t>
  </si>
  <si>
    <t>http://dx.doi.org/10.1007/s00330-024-10625-7</t>
  </si>
  <si>
    <t>FEB 2024</t>
  </si>
  <si>
    <t>I6E6T</t>
  </si>
  <si>
    <t>38386028</t>
  </si>
  <si>
    <t>WOS:001169722300003</t>
  </si>
  <si>
    <t>Jensen, SB; Rudolf, F; Wejse, C</t>
  </si>
  <si>
    <t>Introduction: Tuberculosis (TB) is among the 10 most common causes of death worldwide and it is the leading cause of mortality in people with human immunodeficiency virus (HIV). Clinical scoring systems have the potential to improve case finding and to prioritize patients for TB testing.Areas covered: This systematic review investigated the utility of prediction models to improve pulmonary tuberculosis (pTB) case finding. Studies were searched through PubMed until 15th of August 2018 and 20 studies were eligible according to the inclusion criteria. Data on study population, outcome measurements, predictors, and performance were extracted. Many studies showed promising results but lacked external validation. Furthermore, head-to-head studies are needed to compare the different prediction models. Sensitivities of the prediction models ranged from 26% to 96% and specificities from 18% to 92%, negative likelihood ratios (LR-) from 0.22 to 0.8 and positive likelihood ratios(LR+) 1.07 to 7.32. Composite scores including paraclinical measures added to sensitivity.Expert opinion: TB case finding is of utmost importance to advance the quest for global TB elimination, and simple measures to identify high-risk populations or persons to undergo further diagnostic evaluation are highly needed. A number of clinical scores are available and could be implemented in practice to improve case finding.</t>
  </si>
  <si>
    <t>Jensen, Signe Bernth; Rudolf, Frauke; Wejse, Christian</t>
  </si>
  <si>
    <t>Wejse, C (corresponding author), Aarhus Univ, Dept Publ Hlth, Ctr Global Hlth, GloHAU, Aarhus, Denmark.</t>
  </si>
  <si>
    <t>wejse@dadlnet.dk</t>
  </si>
  <si>
    <t>Novo Nordisk Foundation [NNF15OC0018034]; Novo Nordisk Fonden [NNF15OC0018034] Funding Source: researchfish</t>
  </si>
  <si>
    <t>Novo Nordisk Foundation (Novo Nordisk Foundation); Novo Nordisk Fonden (Novo Nordisk Foundation)</t>
  </si>
  <si>
    <t>C Wejse and F Rudolf were supported with a grant from the Novo Nordisk Foundation (NNF15OC0018034).</t>
  </si>
  <si>
    <t>[Jensen, Signe Bernth; Wejse, Christian] Aarhus Univ, Dept Publ Hlth, Ctr Global Hlth, GloHAU, Aarhus, Denmark; [Rudolf, Frauke; Wejse, Christian] Aarhus Univ Hosp, Dept Infect Dis, Aarhus, Denmark; [Rudolf, Frauke; Wejse, Christian] Statens Serum Inst, Bandim Hlth Project, Bissau, Guinea Bissau</t>
  </si>
  <si>
    <t>Aarhus University; Aarhus University; Statens Serum Institut</t>
  </si>
  <si>
    <t>Utility of a clinical scoring system in prioritizing TB investigations - a systematic review</t>
  </si>
  <si>
    <t>EXPERT REVIEW OF ANTI-INFECTIVE THERAPY</t>
  </si>
  <si>
    <t>Clinical prediction model; clinical prediction rule; clinical score; case finding; pulmonary tuberculosis</t>
  </si>
  <si>
    <t>HIV-INFECTED INDIVIDUALS; PULMONARY TUBERCULOSIS; MYCOBACTERIUM-TUBERCULOSIS; ANTIRETROVIRAL THERAPY; DIAGNOSIS; SYMPTOM; PEOPLE; SMEAR; PERFORMANCE; SENSITIVITY</t>
  </si>
  <si>
    <t>Wejse, Christian Morberg/C-8468-2014; Rudolf, Frauke/I-5385-2018</t>
  </si>
  <si>
    <t>Wejse, Christian Morberg/0000-0002-2534-2942; Rudolf, Frauke/0000-0003-4629-5679</t>
  </si>
  <si>
    <t>TAYLOR &amp; FRANCIS LTD</t>
  </si>
  <si>
    <t>ABINGDON</t>
  </si>
  <si>
    <t>2-4 PARK SQUARE, MILTON PARK, ABINGDON OR14 4RN, OXON, ENGLAND</t>
  </si>
  <si>
    <t>1478-7210</t>
  </si>
  <si>
    <t>1744-8336</t>
  </si>
  <si>
    <t>EXPERT REV ANTI-INFE</t>
  </si>
  <si>
    <t>Expert Rev. Anti-Infect. Ther.</t>
  </si>
  <si>
    <t>JUL 3 2019</t>
  </si>
  <si>
    <t>475</t>
  </si>
  <si>
    <t>488</t>
  </si>
  <si>
    <t>10.1080/14787210.2019.1625770</t>
  </si>
  <si>
    <t>http://dx.doi.org/10.1080/14787210.2019.1625770</t>
  </si>
  <si>
    <t>Infectious Diseases; Microbiology; Pharmacology &amp; Pharmacy</t>
  </si>
  <si>
    <t>IM1MF</t>
  </si>
  <si>
    <t>31159621</t>
  </si>
  <si>
    <t>WOS:000477753200003</t>
  </si>
  <si>
    <t>Lee, TC; Shah, NU; Haack, A; Baxter, SL</t>
  </si>
  <si>
    <t>Predictive analytics using electronic health record (EHR) data have rapidly advanced over the last decade. While model performance metrics have improved considerably, best practices for implementing predictive models into clinical settings for point-of-care risk stratification are still evolving. Here, we conducted a systematic review of articles describing predictive models integrated into EHR systems and implemented in clinical practice. We conducted an exhaustive database search and extracted data encompassing multiple facets of implementation. We assessed study quality and level of evidence. We obtained an initial 3393 articles for screening, from which a final set of 44 articles was included for data extraction and analysis. The most common clinical domains of implemented predictive models were related to thrombotic disorders/anticoagulation (25%) and sepsis (16%). The majority of studies were conducted in inpatient academic settings. Implementation challenges included alert fatigue, lack of training, and increased work burden on the care team. Of 32 studies that reported effects on clinical outcomes, 22 (69%) demonstrated improvement after model implementation. Overall, EHR-based predictive models offer promising results for improving clinical outcomes, although several gaps in the literature remain, and most study designs were observational. Future studies using randomized controlled trials may help improve the generalizability of findings.</t>
  </si>
  <si>
    <t>Lee, Terrence C.; Shah, Neil U.; Haack, Alyssa; Baxter, Sally L.</t>
  </si>
  <si>
    <t>Baxter, SL (corresponding author), Univ Calif San Diego, Viterbi Family Dept Ophthalmol, La Jolla, CA 92093 USA.; Baxter, SL (corresponding author), Univ Calif San Diego, Shiley Eye Inst, La Jolla, CA 92093 USA.; Baxter, SL (corresponding author), Univ Calif San Diego, Dept Med, Div Biomed Informat, La Jolla, CA 92093 USA.</t>
  </si>
  <si>
    <t>tcl023@health.ucsd.edu; s1baxter@health.ucsd.edu; nushah@ucsd.edu; a1haack@ucsd.edu</t>
  </si>
  <si>
    <t>National Institutes of Health/National Library of Medicine [T15LM011271]; Heed Ophthalmic Foundation; National Library of Medicine [T15LM011271] Funding Source: NIH RePORTER</t>
  </si>
  <si>
    <t>National Institutes of Health/National Library of Medicine (United States Department of Health &amp; Human Services, National Institutes of Health (NIH) - USA, NIH National Library of Medicine (NLM)); Heed Ophthalmic Foundation; National Library of Medicine (United States Department of Health &amp; Human Services, National Institutes of Health (NIH) - USA, NIH National Library of Medicine (NLM))</t>
  </si>
  <si>
    <t>The research was supported by the National Institutes of Health/National Library of Medicine, grant number T15LM011271, and the Heed Ophthalmic Foundation.</t>
  </si>
  <si>
    <t>[Lee, Terrence C.; Shah, Neil U.; Haack, Alyssa; Baxter, Sally L.] Univ Calif San Diego, Viterbi Family Dept Ophthalmol, La Jolla, CA 92093 USA; [Lee, Terrence C.; Shah, Neil U.; Haack, Alyssa; Baxter, Sally L.] Univ Calif San Diego, Shiley Eye Inst, La Jolla, CA 92093 USA; [Lee, Terrence C.; Shah, Neil U.; Haack, Alyssa; Baxter, Sally L.] Univ Calif San Diego, Dept Med, Div Biomed Informat, La Jolla, CA 92093 USA</t>
  </si>
  <si>
    <t>University of California System; University of California San Diego; University of California System; University of California San Diego; University of California System; University of California San Diego</t>
  </si>
  <si>
    <t>Clinical Implementation of Predictive Models Embedded within Electronic Health Record Systems: A Systematic Review</t>
  </si>
  <si>
    <t>INFORMATICS-BASEL</t>
  </si>
  <si>
    <t>electronic health records; predictive models; predictive analytics; risk prediction; clinical prediction model; precision medicine; clinical informatics; clinical decision support; artificial intelligence</t>
  </si>
  <si>
    <t>RISK-ASSESSMENT SYSTEM; DECISION-SUPPORT; VENOUS THROMBOEMBOLISM; EMERGENCY-DEPARTMENT; REAL-TIME; PROSPECTIVE VALIDATION; CARE; ANALYTICS; SEPSIS; IMPACT</t>
  </si>
  <si>
    <t>Shah, Neil/0000-0001-7622-093X; Baxter, Sally/0000-0002-5271-7690; Lee, Terrence/0000-0001-8560-250X</t>
  </si>
  <si>
    <t>2227-9709</t>
  </si>
  <si>
    <t>Informatics-Basel</t>
  </si>
  <si>
    <t>SEP 2020</t>
  </si>
  <si>
    <t>10.3390/informatics7030025</t>
  </si>
  <si>
    <t>http://dx.doi.org/10.3390/informatics7030025</t>
  </si>
  <si>
    <t>Computer Science, Interdisciplinary Applications</t>
  </si>
  <si>
    <t>Computer Science</t>
  </si>
  <si>
    <t>OC1UM</t>
  </si>
  <si>
    <t>33274178</t>
  </si>
  <si>
    <t>WOS:000578947400001</t>
  </si>
  <si>
    <t>Aghakhani, A; Yousefi, M; Yekaninejad, MS</t>
  </si>
  <si>
    <t>Background: Machine Learning models have been applied in various healthcare fields, including Audiology, to predict disease outcomes. The prognosis of sudden sensorineural hearing loss is difficult to predict due to the variable course of the disease. Hence, researchers have attempted to utilize ML models to predict the outcome of patients with sudden sensorineural hearing loss. The objectives of this study were to review the performance of these machine learning models and assess their applicability in real-world settings.Methods: A systematic search was conducted in PubMed, Web of Science and Scopus. Only studies that built machine learning prediction models were included, and studies that used algorithms such as logistic regression only for the purpose of adjusting for confounding variables were excluded. The risk of bias was assessed using the Prediction model Risk of Bias Assessment Tool (PROBAST).Results: After screening, a total of 7 papers were eligible for synthesis. In total, these studies built 48 ML models. The most common utilized algorithms were Logistic Regression, Support Vector Machine (SVM) and boosting. The area under the curve of the receiver operating characteristic curve ranged between 0.59 and 0.915. All of the included studies had a high risk of bias; hence there are concerns regarding their applicability.Conclusion: Although these models showed great performance and promising results, future studies are still needed before these models can be applied in a real-world setting. Future studies should employ multiple cohorts, different feature selection methods, and external validation to further validate the models' applicability.</t>
  </si>
  <si>
    <t>Aghakhani, Amirhossein; Yousefi, Milad; Yekaninejad, Mir Saeed</t>
  </si>
  <si>
    <t>Yekaninejad, MS (corresponding author), Univ Tehran Med Sci, Sch Publ Hlth, Poursina Ave, Tehran 1416753955, Iran.</t>
  </si>
  <si>
    <t>yekaninejad@yahoo.com</t>
  </si>
  <si>
    <t>[Aghakhani, Amirhossein; Yekaninejad, Mir Saeed] Univ Tehran Med Sci, Sch Publ Hlth, Dept Epidemiol &amp; Biostat, Tehran, Iran; [Yousefi, Milad] Univ Tehran Med Sci, Sch Rehabil, Dept Audiol, Tehran, Iran; [Yekaninejad, Mir Saeed] Univ Tehran Med Sci, Sch Publ Hlth, Poursina Ave, Tehran 1416753955, Iran</t>
  </si>
  <si>
    <t>Tehran University of Medical Sciences; Tehran University of Medical Sciences; Tehran University of Medical Sciences</t>
  </si>
  <si>
    <t>Machine Learning Models for Predicting Sudden Sensorineural Hearing Loss Outcome: A Systematic Review</t>
  </si>
  <si>
    <t>ANNALS OF OTOLOGY RHINOLOGY AND LARYNGOLOGY</t>
  </si>
  <si>
    <t>machine learning; sudden hearing loss; systematic review; audiology</t>
  </si>
  <si>
    <t>RISK-FACTORS; CALIBRATION</t>
  </si>
  <si>
    <t>Aghakhani, Amirhossein/ADM-9687-2022; Yekaninejad, Mir/L-6752-2016</t>
  </si>
  <si>
    <t>Yousefi, Milad/0009-0009-2893-6592; Aghakhani, Amirhossein/0000-0003-1804-6034</t>
  </si>
  <si>
    <t>0003-4894</t>
  </si>
  <si>
    <t>1943-572X</t>
  </si>
  <si>
    <t>ANN OTO RHINOL LARYN</t>
  </si>
  <si>
    <t>Ann. Otol. Rhinol. Laryngol.</t>
  </si>
  <si>
    <t>MAR 2024</t>
  </si>
  <si>
    <t>133</t>
  </si>
  <si>
    <t>268</t>
  </si>
  <si>
    <t>276</t>
  </si>
  <si>
    <t>10.1177/00034894231206902</t>
  </si>
  <si>
    <t>http://dx.doi.org/10.1177/00034894231206902</t>
  </si>
  <si>
    <t>OCT 2023</t>
  </si>
  <si>
    <t>Otorhinolaryngology</t>
  </si>
  <si>
    <t>HT2L5</t>
  </si>
  <si>
    <t>37864312</t>
  </si>
  <si>
    <t>WOS:001087641200001</t>
  </si>
  <si>
    <t>Pozzi, J; D'Argenzio, J; Carriero, S; Cè, M; D'Arrigo, D; Biondetti, P; Lanza, CRLA; Angileri, SA; Pavan, M; Catona, R; Carrafiello, G</t>
  </si>
  <si>
    <t>Radiomics has produced tens of thousands of publications yet almost no handcrafted radiomic signatures in routine clinical use, and the reasons are increasingly understood to be problems of reproducibility and clinical translation rather than of algorithms. This critical narrative review argues that the field systematically generates paper-grade evidence-findings sufficient to publish-far faster than decision-grade evidence-findings sufficient to change clinical practice. Drawing on meta-scientific research, we describe seven fragility mechanisms (publication bias, analytical flexibility, underpowering, HARKing [hypothesizing after the results are known], citation distortion, cognitive bias, and misaligned incentives) and show why radiomics is structurally exposed to all of them simultaneously: high-dimensional feature spaces, acquisition-dependent measurement instability, segmentation variability, retrospective single-centre data, small samples, and leakage-prone validation. We then summarise empirical evidence on the radiomics literature, which remains pervaded by suboptimal methodological quality, near-absent negative results, limited external validation, sparse calibration and clinical-utility assessment, low data and code sharing, and a measurable retraction signal. We interpret these patterns as the output of a self-reinforcing system rather than isolated errors, and argue that better algorithms alone cannot resolve them. Finally, we argue that closing this gap requires not better models but evidentiary discipline: the consistent, enforceable application of standards the field already has, and the calibration of published claims to the strength of the underlying evidence.</t>
  </si>
  <si>
    <t>Pozzi, Jacopo; D'Argenzio, Jacopo; Carriero, Serena; Ce, Maurizio; D'Arrigo, Dario; Biondetti, Pierpaolo; Lanza, Carolina; Angileri, Salvatore Alessio; Pavan, Matilde; Catona, Rossella; Carrafiello, Gianpaolo</t>
  </si>
  <si>
    <t>Pozzi, J (corresponding author), Univ Milan, Postgrad Sch Radiodiagnost, I-20122 Milan, Italy.</t>
  </si>
  <si>
    <t>jacopo.dargenzio@unimi.it; dario.darrigo@unimi.it; gianpaolo.carrafiello@unimi.it; pierpaolo.biondetti@policlinico.mi.it; serena.carriero@gmail.com; carolina.lanza@unimi.it; alessioangileri@gmail.com; maurizioce.md1@gmail.com; matilde.pavan@unimi.it; jacopo.pozzi@unimi.it; rossella.catona@unimi.it</t>
  </si>
  <si>
    <t>This research received no external funding.</t>
  </si>
  <si>
    <t>[Pozzi, Jacopo; D'Argenzio, Jacopo; D'Arrigo, Dario; Pavan, Matilde; Catona, Rossella] Univ Milan, Postgrad Sch Radiodiagnost, I-20122 Milan, Italy; [Carriero, Serena; Ce, Maurizio; Biondetti, Pierpaolo; Lanza, Carolina; Angileri, Salvatore Alessio; Carrafiello, Gianpaolo] Fdn IRCCS Ca Granda Osped Maggiore Policlin, Dept Diagnost &amp; Intervent Radiol, Via Francesco Sforza 35, I-20122 Milan, Italy; [Carrafiello, Gianpaolo] Univ Milan, Dept Oncol &amp; Hematooncol, I-20122 Milan, Italy</t>
  </si>
  <si>
    <t>University of Milan; IRCCS Ca Granda Ospedale Maggiore Policlinico; University of Milan</t>
  </si>
  <si>
    <t>Why Radiomics Rarely Reaches the Clinic: Reproducibility, Validation, and Evidence Gap-A Critical Narrative Review</t>
  </si>
  <si>
    <t>DIAGNOSTICS</t>
  </si>
  <si>
    <t>radiomics; reproducibility; clinical translation; external validation; methodological quality; meta-research; data leakage; reporting guidelines; clinical prediction models; evidence-based radiology</t>
  </si>
  <si>
    <t>QUESTIONABLE RESEARCH PRACTICES; PUBLICATION; INCENTIVES; MODELS; VARIABILITY; RELIABILITY; STABILITY; TRUTH; BIAS</t>
  </si>
  <si>
    <t>Angileri, Salvatore/AAA-4464-2020</t>
  </si>
  <si>
    <t>163</t>
  </si>
  <si>
    <t>2075-4418</t>
  </si>
  <si>
    <t>Diagnostics</t>
  </si>
  <si>
    <t>JUL 20 2026</t>
  </si>
  <si>
    <t>2266</t>
  </si>
  <si>
    <t>10.3390/diagnostics16142266</t>
  </si>
  <si>
    <t>http://dx.doi.org/10.3390/diagnostics16142266</t>
  </si>
  <si>
    <t>LU1PZ</t>
  </si>
  <si>
    <t>42510129</t>
  </si>
  <si>
    <t>WOS:001833299600001</t>
  </si>
  <si>
    <t>Crisan, DN; Cut, TG; Herlo, LF; Ivanovic, N; Herlo, A; Alexandrescu, L; Salcudean, A; Dumache, R</t>
  </si>
  <si>
    <t>Venous thromboembolism (VTE), which includes deep vein thrombosis and pulmonary embolism, is a significant and preventable cause of morbidity and mortality worldwide. Despite the existence of clinical prediction models, biomarker-based risk assessments, and imaging techniques, gaps remain in accurately identifying and managing high-risk patients. In recent years, artificial intelligence has emerged as a transformative tool in healthcare, offering promising applications for enhancing VTE prevention strategies. This narrative review synthesizes current evidence on the use of artificial intelligence (AI) technologies including machine learning (ML), deep learning (DL), and natural language processing (NLP). We explore how supervised ML algorithms, such as random forests, support vector machines, and gradient boosting, improve predictive performance compared to traditional models by capturing complex, nonlinear relationships within electronic health record data. We also examine the role of DL models, particularly convolutional neural networks, in interpreting imaging data, achieving diagnostic accuracies comparable to expert radiologists. Additionally, the review highlights NLP applications in extracting risk-relevant information from unstructured clinical notes and the emerging integration of wearable device data and time-series analysis for dynamic risk assessment. We argue that the successful integration of AI into routine VTE prevention workflows requires rigorous prospective validation, cross-institutional collaboration, and thoughtful implementation into clinical decision support systems.</t>
  </si>
  <si>
    <t>Crisan, Daniela Nicoleta; Cut, Talida Georgiana; Herlo, Lucian-Flavius; Ivanovic, Nina; Herlo, Alexandra; Alexandrescu, Luana; Salcudean, Andreea; Dumache, Raluca</t>
  </si>
  <si>
    <t>Herlo, A (corresponding author), Victor Babes Univ Med &amp; Pharm Timisoara, Dept Discipline Infect Dis 13, 2 Eftimie Murgu Sq, Timisoara 300041, Romania.; Alexandrescu, L (corresponding author), Sf Apostol Andrei Emergency Cty Hosp, Gastroenterol Dept, 145 Tomis Blvd, Constanta 900591, Romania.</t>
  </si>
  <si>
    <t>daniela.crisan@umft.ro; flavius.herlo@umft.ro; raluca.dumache@umft.ro; luana.alexandrescu@365.univ-ovidius.ro; nina.ivanovic@umft.ro; alexandra.mocanu@umft.ro; andreea.salcudean@umfst.ro; talida.cut@umft.ro</t>
  </si>
  <si>
    <t>"Victor Babes" University of Medicine and Pharmacy</t>
  </si>
  <si>
    <t>This research received no external funding. The Victor Babes University of Medicine and Pharmacy provided support in covering the publication costs for this research paper.</t>
  </si>
  <si>
    <t>[Crisan, Daniela Nicoleta; Herlo, Lucian-Flavius; Ivanovic, Nina] Victor Babes Univ Med &amp; Pharm Timisoara, Doctoral Sch, Timisoara 300041, Romania; [Cut, Talida Georgiana; Herlo, Alexandra] Victor Babes Univ Med &amp; Pharm Timisoara, Dept Discipline Infect Dis 13, 2 Eftimie Murgu Sq, Timisoara 300041, Romania; [Ivanovic, Nina] Victor Babes Univ Med &amp; Pharm Timisoara, Dept Dermatol, E Murgu Sq 2, Timisoara 300041, Romania; [Ivanovic, Nina; Salcudean, Andreea] George Emil Palade Univ Med Pharm Sci &amp; Technol Ta, Dept Eth &amp; Social Sci, Targu Mures 540139, Romania; [Alexandrescu, Luana] Sf Apostol Andrei Emergency Cty Hosp, Gastroenterol Dept, 145 Tomis Blvd, Constanta 900591, Romania; [Dumache, Raluca] Victor Babes Univ Med &amp; Pharm Timisoara, Dept Forens Med Bioeth Med Eth &amp; Med Law, Timisoara 300041, Romania; [Dumache, Raluca] Victor Babes Univ Med &amp; Pharm Timisoara, Ctr Eth Human Genet Identificat, E Murgu Sq 2, Timisoara 300041, Romania</t>
  </si>
  <si>
    <t>Victor Babes University of Medicine &amp; Pharmacy, Timisoara; Victor Babes University of Medicine &amp; Pharmacy, Timisoara; George Emil Palade University of Medicine, Pharmacy, Science, &amp; Technology of Targu Mures; Victor Babes University of Medicine &amp; Pharmacy, Timisoara; Victor Babes University of Medicine &amp; Pharmacy, Timisoara</t>
  </si>
  <si>
    <t>Artificial Intelligence in Venous Thromboembolism Prevention: A Narrative Review of Machine Learning, Deep Learning, and Natural Language Processing</t>
  </si>
  <si>
    <t>JOURNAL OF CARDIOVASCULAR DEVELOPMENT AND DISEASE</t>
  </si>
  <si>
    <t>venous thromboembolism; deep vein thrombosis; pulmonary embolism; VTE prevention; artificial intelligence; machine learning; deep learning; neural networks</t>
  </si>
  <si>
    <t>Alexandrescu, Luana/IYS-8725-2023; Salcudean, Andreea/KDO-5230-2024; Cut, Talida Georgiana/ABF-6558-2021; Ivanovic, Nina/LVS-6814-2024</t>
  </si>
  <si>
    <t>Ivanovic, Nina/0009-0005-2187-289X</t>
  </si>
  <si>
    <t>2308-3425</t>
  </si>
  <si>
    <t>J CARDIOVASC DEV DIS</t>
  </si>
  <si>
    <t>J. Cardiovasc. Dev. Dis.</t>
  </si>
  <si>
    <t>MAR 6 2026</t>
  </si>
  <si>
    <t>10.3390/jcdd13030119</t>
  </si>
  <si>
    <t>http://dx.doi.org/10.3390/jcdd13030119</t>
  </si>
  <si>
    <t>FR5NZ</t>
  </si>
  <si>
    <t>41892708</t>
  </si>
  <si>
    <t>WOS:001725700600001</t>
  </si>
  <si>
    <t>Li, WL; Wang, HS; Dong, ST; Tang, ZR; Chen, LH; Cai, XT; Hu, ZH; Yin, CL</t>
  </si>
  <si>
    <t>Purpose The aim of this work was to investigate the risk factors for cement leakage and new-onset OVCF after Percutaneous vertebroplasty (PVP) and to develop and validate a clinical prediction model (Nomogram). Methods Patients with Osteoporotic VCF (OVCF) treated with PVP at Liuzhou People's Hospital from June 2016 to June 2018 were reviewed and met the inclusion criteria. Relevant data affecting bone cement leakage and new onset of OVCF were collected. Predictors were screened using univariate and multi-factor logistic analysis to construct Nomogram and web calculators. The consistency of the prediction models was assessed using calibration plots, and their predictive power was assessed by tenfold cross-validation. Clinical value was assessed using Decision curve analysis (DCA) and clinical impact plots. Results Higher BMI was associated with lower bone mineral density (BMD). Higher BMI, lower BMD, multiple vertebral fractures, no previous anti-osteoporosis treatment, and steroid use were independent risk factors for new vertebral fractures. Cement injection volume, time to surgery, and multiple vertebral fractures were risk factors for cement leakage after PVP. The development and validation of the Nomogram also demonstrated the predictive ability and clinical value of the model. Conclusions The established Nomogram and web calculator (https://dr-lee.shinyapps.io/RefractureApp/) (https://dr-lee.shinyapps.io/LeakageApp/) can effectively predict the occurrence of cement leakage and new OVCF after PVP.</t>
  </si>
  <si>
    <t>Li, Wenle; Wang, Haosheng; Dong, Shengtao; Tang, Zhi-Ri; Chen, Longhao; Cai, Xintian; Hu, Zhaohui; Yin, Chengliang</t>
  </si>
  <si>
    <t>Hu, ZH (corresponding author), Liuzhou Peoples Hosp, Dept Spinal Surg, Liuzhou 545000, Peoples R China.; Yin, CL (corresponding author), Chinese Peoples Liberat Army Gen Hosp, Natl Engn Lab Med Big Data Applicat Technol, Beijing 1000853, Peoples R China.; Yin, CL (corresponding author), Chinese Peoples Liberat Army Gen Hosp, Med Big Data Res Ctr, Med Innovat Res Div, Beijing 1000853, Peoples R China.; Yin, CL (corresponding author), Macau Univ Sci &amp; Technol, Fac Med, Taipa 999078, Macau, Peoples R China.</t>
  </si>
  <si>
    <t>gerintang@163.com; 278996834@qq.com; 981800749@qq.com; keguyixin@163.com; 962921098@qq.com; drlee0910@163.com; 329870376@qq.com; chengliangyin@163.com</t>
  </si>
  <si>
    <t>Medical Big Data and AI R&amp;D Project of Chinese PLA General Hospital [2019MBD-001]; National Natural Science Foundation of China [81260274]; Science and Technology Research and Development Program of Liuzhou City [2014J030405]</t>
  </si>
  <si>
    <t>Medical Big Data and AI R&amp;D Project of Chinese PLA General Hospital; National Natural Science Foundation of China (National Natural Science Foundation of China (NSFC)); Science and Technology Research and Development Program of Liuzhou City</t>
  </si>
  <si>
    <t>This study was supported by the Medical Big Data and AI R&amp;D Project of Chinese PLA General Hospital (2019MBD-001), the National Natural Science Foundation of China (81260274) and the Science and Technology Research and Development Program of Liuzhou City (2014J030405).</t>
  </si>
  <si>
    <t>[Li, Wenle] Xianyang Cent Hosp, Dept Orthoped, Xianyang 712000, Peoples R China; [Li, Wenle] Xianyang Cent Hosp, Clin Med Res Ctr, Xianyang 712000, Peoples R China; [Wang, Haosheng] Second Hosp Jilin Univ, Orthopaed Med Ctr, Changchun 130000, Peoples R China; [Dong, Shengtao] Dalian Med Univ, Dept Spine Surg, Affiliated Hosp 2, Dalian 116000, Peoples R China; [Tang, Zhi-Ri] Wuhan Univ, Sch Phys &amp; Technol, Wuhan 430072, Peoples R China; [Chen, Longhao] Guangxi Univ Chinese Med, Grad Sch, Nanning 530000, Peoples R China; [Cai, Xintian] Peoples Hosp Xinjiang Uygur Autonomous Reg, Hypertens Ctr, Urumqi 830001, Peoples R China; [Hu, Zhaohui] Liuzhou Peoples Hosp, Dept Spinal Surg, Liuzhou 545000, Peoples R China; [Yin, Chengliang] Chinese Peoples Liberat Army Gen Hosp, Natl Engn Lab Med Big Data Applicat Technol, Beijing 1000853, Peoples R China; [Yin, Chengliang] Chinese Peoples Liberat Army Gen Hosp, Med Big Data Res Ctr, Med Innovat Res Div, Beijing 1000853, Peoples R China; [Yin, Chengliang] Macau Univ Sci &amp; Technol, Fac Med, Taipa 999078, Macau, Peoples R China</t>
  </si>
  <si>
    <t>Jilin University; Dalian Medical University; Wuhan University; Guangxi University of Chinese Medicine; Chinese People's Liberation Army General Hospital; Chinese People's Liberation Army General Hospital; Macau University of Science and Technology</t>
  </si>
  <si>
    <t>Establishment and validation of a nomogram and web calculator for the risk of new vertebral compression fractures and cement leakage after percutaneous vertebroplasty in patients with osteoporotic vertebral compression fractures</t>
  </si>
  <si>
    <t>EUROPEAN SPINE JOURNAL</t>
  </si>
  <si>
    <t>Osteoporotic compression fractures; Percutaneous vertebroplasty; Bone cement leakage; Risk factors; Nomogram; Web calculator</t>
  </si>
  <si>
    <t>POSTMENOPAUSAL CHINESE WOMEN; CONSERVATIVE TREATMENT; BALLOON KYPHOPLASTY; COMPLICATIONS; METAANALYSIS; SECONDARY; MULTIPLE</t>
  </si>
  <si>
    <t>LI, WENLE/GWU-4985-2022; yin, chengliang/ADP-5778-2022; Tang, Zhiri/KMA-6367-2024</t>
  </si>
  <si>
    <t>Cai, Xintian/0000-0003-3172-1540; LI, WENLE/0000-0002-2933-646X; 陈, 龙豪/0000-0002-3563-4666</t>
  </si>
  <si>
    <t>0940-6719</t>
  </si>
  <si>
    <t>1432-0932</t>
  </si>
  <si>
    <t>EUR SPINE J</t>
  </si>
  <si>
    <t>Eur. Spine J.</t>
  </si>
  <si>
    <t>MAY 2022</t>
  </si>
  <si>
    <t>1108</t>
  </si>
  <si>
    <t>1121</t>
  </si>
  <si>
    <t>10.1007/s00586-021-07064-z</t>
  </si>
  <si>
    <t>http://dx.doi.org/10.1007/s00586-021-07064-z</t>
  </si>
  <si>
    <t>Clinical Neurology; Orthopedics</t>
  </si>
  <si>
    <t>Neurosciences &amp; Neurology; Orthopedics</t>
  </si>
  <si>
    <t>1I9UB</t>
  </si>
  <si>
    <t>34822018</t>
  </si>
  <si>
    <t>WOS:000722477200001</t>
  </si>
  <si>
    <t>Liu, RF; Arena, R; Santos-de-Araújo, AD; Borghi-Silva, A; Popovic, D</t>
  </si>
  <si>
    <t>Background: Atherosclerotic cardiovascular disease remains a leading cause of morbidity and mortality worldwide. Established risk equations guide prevention but rely mainly on static, clinicbased variables and incompletely capture physical activity, sedentary behavior, and cardiorespiratory fitness. Methods: This narrative review synthesizes evidence from epidemiological studies, clinical trials, and methodological frameworks on the roles of physical activity, sedentary behavior, and cardiorespiratory fitness in cardiovascular risk prediction, with emphasis on digital phenotyping, mechanistic exercise physiology, and multimodal clinical prediction models. Results: Cardiorespiratory fitness reflects integrated physiological reserve and is strongly associated with cardiovascular and all-cause outcomes. Cardiopulmonary exercise testing extends fitness assessment by identifying mechanisms of exercise limitation, including cardiac, ventilatory, autonomic, pulmonary vascular, and peripheral contributors. Wearable technologies provide longitudinal, real-world measures of physical activity and sedentary behavior that complement static clinical risk factors. Multimodal models integrating electronic health records, electrocardiography, imaging, wearable signals, and exercise testing may support more personalized and actionable risk stratification. However, the current evidence base remains limited by insufficient external and prospective validation, incomplete calibration reporting, limited decision-analytic evaluation, and inadequate assessment of subgroup performance and equity. Conclusions: Physical activity and cardiorespiratory fitness should be considered clinically relevant and modifiable phenotypes in contemporary cardiovascular risk prediction. Future models should prioritize standardized measurement, mechanistic validation of digital phenotypes, calibration, external validation, subgroup evaluation, workflow feasibility, and prospective evidence of clinical utility before widespread implementation.</t>
  </si>
  <si>
    <t>Liu, Ruifeng; Arena, Ross; Santos-de-Araujo, Aldair Darlan; Borghi-Silva, Audrey; Popovic, Dejana</t>
  </si>
  <si>
    <t>Popovic, D (corresponding author), Mayo Clin, Dept Cardiovasc Med, 200 First St SW, Rochester, MN 55905 USA.</t>
  </si>
  <si>
    <t>popovic.dejana@mayo.edu</t>
  </si>
  <si>
    <t>[Liu, Ruifeng] Capital Med Univ, Beijing Friendship Hosp, Dept Cardiol, 95 Yongan Rd, Beijing 100050, Peoples R China; [Arena, Ross] Univ Illinois, Dept Phys Therapy, 1919W Taylor St, Chicago, IL 60612 USA; [Arena, Ross] HealthPartners Inst, 8170 33rd Ave S, Bloomington, MN 55425 USA; [Santos-de-Araujo, Aldair Darlan; Borghi-Silva, Audrey] Univ Paranaense, Francisco Beltrao Campus,Av Julio Assis Cavalheiro, BR-85601000 Francisco Beltrao, PR, Brazil; [Borghi-Silva, Audrey] Fed Univ Sao Carlos UFSCar, Ctr Biol &amp; Hlth Sci, Dept Phys Therapy, Cardiopulm Phys Therapy Lab LACAP, Rodovia Washington Luis km 235, BR-13565905 Sao Carlos, SP, Brazil; [Popovic, Dejana] Mayo Clin, Dept Cardiovasc Med, 200 First St SW, Rochester, MN 55905 USA</t>
  </si>
  <si>
    <t>Capital Medical University; University of Illinois System; University of Illinois Chicago; University of Illinois Chicago Hospital; HealthPartners Institute for Education &amp; Research; Mayo Clinic</t>
  </si>
  <si>
    <t>Physical activity and cardiorespiratory fitness in atherosclerotic cardiovascular disease risk prediction: integrating digital phenotyping, mechanistic insights, and multimodal clinical prediction for actionable stratification</t>
  </si>
  <si>
    <t>CURRENT PROBLEMS IN CARDIOLOGY</t>
  </si>
  <si>
    <t>Atherosclerotic cardiovascular disease; Cardiopulmonary exercise testing; Cardiorespiratory fitness; Digital phenotyping; Physical activity; Risk prediction</t>
  </si>
  <si>
    <t>OXYGEN-CONSUMPTION; EXERCISE; MORTALITY; MODELS; SEVERITY; CANCER; ADULTS; HEALTH; CURVE; BIAS</t>
  </si>
  <si>
    <t>Arena, Ross/A-3141-2008; Borghi, Audrey/F-5702-2012; Santos-de-Araújo, Aldair/T-2197-2019</t>
  </si>
  <si>
    <t>57</t>
  </si>
  <si>
    <t>MOSBY-ELSEVIER</t>
  </si>
  <si>
    <t>360 PARK AVENUE SOUTH, NEW YORK, NY 10010-1710 USA</t>
  </si>
  <si>
    <t>0146-2806</t>
  </si>
  <si>
    <t>1535-6280</t>
  </si>
  <si>
    <t>CURR PROB CARDIOLOGY</t>
  </si>
  <si>
    <t>Curr. Probl. Cardiol.</t>
  </si>
  <si>
    <t>103399</t>
  </si>
  <si>
    <t>10.1016/j.cpcardiol.2026.103399</t>
  </si>
  <si>
    <t>http://dx.doi.org/10.1016/j.cpcardiol.2026.103399</t>
  </si>
  <si>
    <t>LX0TN</t>
  </si>
  <si>
    <t>42471101</t>
  </si>
  <si>
    <t>WOS:001835274100001</t>
  </si>
  <si>
    <t>Santos, R; Coleman, HG; Cairnduff, V; Kunzmann, AT</t>
  </si>
  <si>
    <t>INTRODUCTION:Identifying high-risk individuals using a risk prediction model could be a crucial first stage of screening pathways to improve the early detection of pancreatic cancer. A systematic review was conducted to critically evaluate the published primary literature on the development or validation of clinical risk prediction models for pancreatic cancer risk.METHODS:MEDLINE, Embase, and Web of Science were searched for relevant articles from the inception of each database up to November 2021. Study selection and data extraction were conducted by 2 independent reviewers. The Prediction model Risk Of Bias Assessment Tool (PROBAST) was applied to assess risk of bias.RESULTS:In total, 33 studies were included, describing 38 risk prediction models. Excluding studies with an overlapping population, this study consist of 15,848,100 participants, of which 58,313 were diagnosed with pancreatic cancer. Eight studies externally validated their model, and 13 performed internal validation. The studies described risk prediction models for pancreatic cancer in the general population (n = 14), patients with diabetes (n = 8), and individuals with gastrointestinal (and other) symptoms (symptoms included abdominal pain, unexplained weight loss, jaundice, and change in bowel habits and indigestion; n = 11). The commonly used clinical risk factors in the model were cigarette smoking (n = 27), age (n = 25), diabetes history (n = 22), chronic pancreatitis (n = 18), and body mass index (n = 14). In the 25 studies that assessed model performance, C-statistics ranged from 0.61 to 0.98. Of the 33 studies included, 6 were rated as being at a low risk of bias based on PROBAST.DISCUSSION:Many clinical risk prediction models for pancreatic cancer had been developed for different target populations. Although low risk-of-bias studies were identified, these require external validation and implementation studies to ensure that these will benefit clinical decision making.</t>
  </si>
  <si>
    <t>Santos, Ralph; Coleman, Helen G.; Cairnduff, Victoria; Kunzmann, Andrew T.</t>
  </si>
  <si>
    <t>Santos, R (corresponding author), Queens Univ Belfast, Ctr Publ Hlth, Belfast, North Ireland.</t>
  </si>
  <si>
    <t>victoria.cairnduff@qub.ac.uk; A.Kunzmann@qub.ac.uk; rsantos03@qub.ac.uk; h.coleman@qub.ac.uk</t>
  </si>
  <si>
    <t>[Santos, Ralph; Coleman, Helen G.; Cairnduff, Victoria; Kunzmann, Andrew T.] Queens Univ Belfast, Ctr Publ Hlth, Belfast, North Ireland; [Coleman, Helen G.] Queens Univ Belfast, Patrick G Johnston Ctr Canc Res, Belfast, North Ireland</t>
  </si>
  <si>
    <t>Queens University Belfast; Queens University Belfast</t>
  </si>
  <si>
    <t>Clinical Prediction Models for Pancreatic Cancer in General and At-Risk Populations: A Systematic Review</t>
  </si>
  <si>
    <t>AMERICAN JOURNAL OF GASTROENTEROLOGY</t>
  </si>
  <si>
    <t>DECISION-SUPPORT TOOLS; PRIMARY-CARE; LOGISTIC-REGRESSION; DIAGNOSIS; VALIDATION; RECORDS; ADENOCARCINOMA; METAANALYSIS; EXPLANATION; MANAGEMENT</t>
  </si>
  <si>
    <t>Coleman, Helen/G-3373-2011</t>
  </si>
  <si>
    <t>Santos, Ralph/0000-0002-5740-5151</t>
  </si>
  <si>
    <t>0002-9270</t>
  </si>
  <si>
    <t>1572-0241</t>
  </si>
  <si>
    <t>AM J GASTROENTEROL</t>
  </si>
  <si>
    <t>Am. J. Gastroenterol.</t>
  </si>
  <si>
    <t>JAN 2023</t>
  </si>
  <si>
    <t>118</t>
  </si>
  <si>
    <t>40</t>
  </si>
  <si>
    <t>10.14309/ajg.0000000000002022</t>
  </si>
  <si>
    <t>http://dx.doi.org/10.14309/ajg.0000000000002022</t>
  </si>
  <si>
    <t>8C9SH</t>
  </si>
  <si>
    <t>36148840</t>
  </si>
  <si>
    <t>WOS:000917940200014</t>
  </si>
  <si>
    <t>Allen, DW; Ma, B; Leung, KC; Graham, MM; Pannu, N; Traboulsi, M; Goodhart, D; Knudtson, ML; James, MT</t>
  </si>
  <si>
    <t>Background: Identification of patients at risk of contrast-induced acute kidney injury (CI-AKI) is valuable for targeted prevention strategies accompanying cardiac catheterization.Methods: We searched MedLine and EMBASE for articles that developed or validated a clinical prediction model for CI-AKI or dialysis after angiography or percutaneous coronary intervention. Random effects meta-analysis was used to pool c-statistics of models. Heterogeneity was explored using stratified analyses and meta-regression.Results: We identified 75 articles describing 74 models predicting CI-AKI, 10 predicting CI-AKI and dialysis, and 1 predicting dialysis. Sixty-three developed a new risk model whereas 20 articles reported external validation of previously developed models. Thirty models included sufficient information to obtain individual patient risk estimates; 9 using only preprocedure variables whereas 21 included preprocedural and postprocedure variables. There was heterogeneity in the discrimination of CI-AKI prediction models (median [total range] in c-statistic 0.78 [0.57-0.95]; I-2 = 95.8%, Cochran Q-statistic P &lt; 0.001). However, there was no difference in the discrimination of models using only preprocedure variables compared with models that included postprocedural variables (P = 0.868). Models predicting dialysis had good discrimination without heterogeneity (median [total range] c-statistic: 0.88 [0.87-0.89]; I-2 = 0.0%, Cochran Q-statistic P = 0.981). Seven prediction models were externally validated; however, 2 of these models showed heterogeneous discriminative performance and 2 others lacked information on calibration in external cohorts.Conclusions: Three published models were identified that produced generalizable risk estimates for predicting CI-AKI. Further research is needed to evaluate the effect of their implementation in clinical care.</t>
  </si>
  <si>
    <t>Allen, David W.; Ma, Bryan; Leung, Kelvin C.; Graham, Michelle M.; Pannu, Neesh; Traboulsi, Mouhieddin; Goodhart, David; Knudtson, Merril L.; James, Matthew T.</t>
  </si>
  <si>
    <t>James, MT (corresponding author), Univ Calgary, Div Nephrol, Dept Med, Calgary, AB T2N 2T9, Canada.; James, MT (corresponding author), Univ Calgary, Div Nephrol, Dept Community Hlth Sci, Calgary, AB T2N 2T9, Canada.</t>
  </si>
  <si>
    <t>mjames@ucalgary.ca</t>
  </si>
  <si>
    <t>Alberta Innovates - Health Solutions, Alberta, Canada; Canadian Institutes for Health Research New Investigator Award</t>
  </si>
  <si>
    <t>Alberta Innovates - Health Solutions, Alberta, Canada; Canadian Institutes for Health Research New Investigator Award (Canadian Institutes of Health Research (CIHR))</t>
  </si>
  <si>
    <t>Bryan Ma received funding for a summer research studentship from Alberta Innovates - Health Solutions, Alberta, Canada. Matthew T. James is supported by Canadian Institutes for Health Research New Investigator Award.</t>
  </si>
  <si>
    <t>[Allen, David W.; Traboulsi, Mouhieddin; Goodhart, David; Knudtson, Merril L.; James, Matthew T.] Univ Calgary, Cumming Sch Med, Dept Cardiac Sci, Calgary, AB, Canada; [Ma, Bryan; Leung, Kelvin C.; Traboulsi, Mouhieddin; Goodhart, David; Knudtson, Merril L.; James, Matthew T.] Univ Calgary, Cumming Sch Med, Dept Med, Calgary, AB, Canada; [Graham, Michelle M.; Pannu, Neesh] Univ Alberta, Dept Med, Fac Med, Edmonton, AB, Canada; [James, Matthew T.] Univ Calgary, Libin Cardiovasc Inst Alberta, Cumming Sch Med, Edmonton, AB, Canada; [James, Matthew T.] Univ Calgary, Cumming Sch Med, Dept Community Hlth Sci, Edmonton, AB, Canada</t>
  </si>
  <si>
    <t>University of Calgary; University of Calgary</t>
  </si>
  <si>
    <t>Risk Prediction Models for Contrast-Induced Acute Kidney Injury Accompanying Cardiac Catheterization: Systematic Review and Meta-analysis</t>
  </si>
  <si>
    <t>CANADIAN JOURNAL OF CARDIOLOGY</t>
  </si>
  <si>
    <t>PERCUTANEOUS CORONARY INTERVENTION; INDUCED NEPHROPATHY; ANGIOGRAPHY; SCORE</t>
  </si>
  <si>
    <t>Pannu, Neesh/0000-0002-8626-8504</t>
  </si>
  <si>
    <t>0828-282X</t>
  </si>
  <si>
    <t>1916-7075</t>
  </si>
  <si>
    <t>CAN J CARDIOL</t>
  </si>
  <si>
    <t>Can. J. Cardiol.</t>
  </si>
  <si>
    <t>JUN 2017</t>
  </si>
  <si>
    <t>724</t>
  </si>
  <si>
    <t>736</t>
  </si>
  <si>
    <t>10.1016/j.cjca.2017.01.018</t>
  </si>
  <si>
    <t>http://dx.doi.org/10.1016/j.cjca.2017.01.018</t>
  </si>
  <si>
    <t>EW4HE</t>
  </si>
  <si>
    <t>28545621</t>
  </si>
  <si>
    <t>WOS:000402461800008</t>
  </si>
  <si>
    <t>Huang, XY; Gan, YW; Guo, XY; Li, YN; Wang, L; Qin, JR; Sun, CR; Yin, YH; Chen, M; Xie, YM; Guo, Y; Wei, X; Zhang, YL</t>
  </si>
  <si>
    <t>Purpose Early clinical recognition of postmenopausal osteoporosis (PMOP) can be challenging. With the advancement of machine learning, several prediction models for PMOP have been developed. This study assessed their performance by carrying out a systematic review and meta-analysis.MethodsThe PubMed, Embase, Cochrane Library, Web of Science, China National Knowledge Infrastructure (CNKI), WanFang database and China Science and Technology Journal Database (VIP) were systematically searched. Studies with a sample size of at least 100 and involving postmenopausal women were included Included models were descriptively summarized, and meta-analyses were conducted to derive discrimination estimates. Homogeneous results from different studies were pooled using MedCalc software.ResultsOut of 37,115 identified studies, 21 were included. Most of the models were developed using data from cross-sectional studies and the sample size of included models ranged from 103 to 12,175, totaling 45,383 participants with 16,008 positive events. Several models contained some similar predictors, including age, prior fractures, and body mass index (BMI). We also conducted a meta-analysis that included 22 models with reported AUC and its 95% confidence interval (95% CI), which demonstrated that the prediction models have good discriminative performance. The most frequently observed predictive variables include age, weight, body mass index (BMI), menopause status, height, fracture history, lower limb cramps, fatigue, waist circumference,diabetes mellitus,hyperlipidemia and glucocorticoids.ConclusionsWe found that the PMOP prediction models demonstrated promising performance. However, this review also highlights several potential limitations of current approaches, including a high risk of bias and limited external validation. Future research should aim to refine these models using larger and more diverse populations, as well as by incorporating additional risk factors to improve their clinical applicability.</t>
  </si>
  <si>
    <t>Huang, Xinyi; Gan, Yiwen; Guo, Xiangyun; Li, Yunning; Wang, Liang; Qin, Jinran; Sun, Chuanrui; Yin, Yuhui; Chen, Ming; Xie, Yanming; Guo, Yang; Wei, Xu; Zhang, Yili</t>
  </si>
  <si>
    <t>Guo, Y; Zhang, YL (corresponding author), Nanjing Univ Chinese Med, Sch Integrated Chinese &amp; Western Med, Nanjing 210023, Peoples R China.; Wei, X (corresponding author), China Acad Chinese Med Sci, Wangjing Hosp, Beijing 100102, Peoples R China.; Guo, Y (corresponding author), Nanjing Univ Chinese Med, Jiangsu CM Clin Innovat Ctr Degenerat Bone &amp; Joint, Wuxi TCM Hosp, Wuxi 214071, Peoples R China.</t>
  </si>
  <si>
    <t>drguoyang@njucm.edu.cn; tcmzyl@njucm.edu.cn; weixu.007@163.com</t>
  </si>
  <si>
    <t>the Young Talent Lifting Project of the Chinese Society of Traditional Chinese Medicine [CACM-2022-QNRC2-B28]; the Foundation of Jiangsu CM Clinical Innovation Centre of Degenerative Bone &amp; Joint Disease (Jiangsu science and education of traditional Chinese medicine) [2021-No. 4]; the Fundamental Research Funds for the Central Public Welfare Research Institutes [2020YJSZX-4]; the Natural Science Foundation of Jiangsu Province [BK20220468]; Beijing Municipal Science &amp; Technology Commission, Administrative Commission of Zhongguancun Science Park [Z221100007422074]</t>
  </si>
  <si>
    <t>the Young Talent Lifting Project of the Chinese Society of Traditional Chinese Medicine; the Foundation of Jiangsu CM Clinical Innovation Centre of Degenerative Bone &amp; Joint Disease (Jiangsu science and education of traditional Chinese medicine); the Fundamental Research Funds for the Central Public Welfare Research Institutes; the Natural Science Foundation of Jiangsu Province (Natural Science Foundation of Jiangsu Province); Beijing Municipal Science &amp; Technology Commission, Administrative Commission of Zhongguancun Science Park</t>
  </si>
  <si>
    <t>This study was funded by Natural Science Foundation of Jiangsu Province (BK20220468), the National Natural Science Foundation of China (T2341023), the Young Talent Lifting Project of the Chinese Society of Traditional Chinese Medicine (CACM-2022-QNRC2-B28), Beijing Municipal Science &amp; Technology Commission (Z221100007422074), the Fundamental Research Funds for the Central Public Welfare Research Institutes (2020YJSZX-4), and the Foundation of Jiangsu CM Clinical Innovation Centre of Degenerative Bone &amp; Joint Disease (Jiangsu science and education of traditional Chinese medicine) (2021-No. 4).</t>
  </si>
  <si>
    <t>[Huang, Xinyi; Gan, Yiwen; Guo, Xiangyun; Wang, Liang; Qin, Jinran; Guo, Yang; Zhang, Yili] Nanjing Univ Chinese Med, Sch Integrated Chinese &amp; Western Med, Nanjing 210023, Peoples R China; [Huang, Xinyi] Nanjing Med Univ, Sch Publ Hlth, Nanjing 210029, Peoples R China; [Li, Yunning] Nanjing Univ Chinese Med, Sch Med, Nanjing 210023, Peoples R China; [Sun, Chuanrui; Yin, Yuhui; Chen, Ming; Wei, Xu] China Acad Chinese Med Sci, Wangjing Hosp, Beijing 100102, Peoples R China; [Xie, Yanming] China Acad Chinese Med Sci, Inst Basic Res Clin Med, Beijing 100700, Peoples R China; [Guo, Yang] Nanjing Univ Chinese Med, Jiangsu CM Clin Innovat Ctr Degenerat Bone &amp; Joint, Wuxi TCM Hosp, Wuxi 214071, Peoples R China</t>
  </si>
  <si>
    <t>Nanjing University of Chinese Medicine; Nanjing Medical University; Nanjing University of Chinese Medicine; China Academy of Chinese Medical Sciences; Wang Jing Hospital, CACMS; China Academy of Chinese Medical Sciences; Institute of Basic Research In Clinical Medicine, CACMS; Nanjing University of Chinese Medicine</t>
  </si>
  <si>
    <t>Performance of clinical prediction models for identifying postmenopausal osteoporosis: a systematic review and meta-analysis</t>
  </si>
  <si>
    <t>Prediction model; Machine learning; Osteoporosis; Meta-analysis</t>
  </si>
  <si>
    <t>RISK; DIAGNOSIS; EXPLANATION; LIMITATIONS; VALIDATION; WOMEN; TOOL</t>
  </si>
  <si>
    <t>Guo, Yang/QAX-6444-2026; guo, xiangyun/OYD-5159-2025; Sun, Chuanrui/MIK-4968-2025</t>
  </si>
  <si>
    <t>Arabi, Hossein/0000-0001-7201-9518</t>
  </si>
  <si>
    <t>JAN 3 2026</t>
  </si>
  <si>
    <t>10.1186/s12891-025-09389-y</t>
  </si>
  <si>
    <t>http://dx.doi.org/10.1186/s12891-025-09389-y</t>
  </si>
  <si>
    <t>CT9OU</t>
  </si>
  <si>
    <t>41484858</t>
  </si>
  <si>
    <t>WOS:001674363500001</t>
  </si>
  <si>
    <t>Saelmans, A; Seinen, T; Pera, V; Markus, AF; Fridgeirsson, E; John, LH; Schiphof-Godart, L; Rijnbeek, P; Reps, J; Williams, R</t>
  </si>
  <si>
    <t>Objective: To summarize the implementation approaches and updating methods of clinically implemented models and consecutively advise researchers on the implementation and updating. Patients and Methods: We included studies describing the implementation of prognostic binary prediction models in a clinical setting. We retrieved articles from Embase, Medline, and Web of Science from January 1, 2010, to January 1, 2024. We performed data extraction, based on Transparent Reporting of a Multivariable Prediction Model for Individual Prognosis or Diagnosis and Prediction Model Risk of Bias Assessment guidelines, and summarized. Results: The search yielded 1872 articles. Following screening, 37 articles, describing 56 prediction models, were eligible for inclusion. The overall risk of bias was high in 86% of publications. In model development and internal validation, 32% of the models was assessed for calibration. External validation was performed for 27% of the models. Most models were implemented into the hospital information system (63%), followed by a web application (32%) and a patient decision aid tool (5%). Moreover, 13% of models have been updated following implementation. Conclusion: Impact assessments generally showed successful model implementation and the ability to improve patient care, despite not fully adhering to prediction modeling best practice. Both impact assessment and updating could play a key role in identifying and lowering bias in models. (c) 2025 THE AUTHORS. Published by Elsevier Inc on behalf of Mayo Foundation for Medical Education and Research. This is an open access article under the CC BY license (http://creativecommons.org/licenses/by/4.0/) &lt;black square&gt; Mayo Clin Proc Digital Health 2025;3(3):100228</t>
  </si>
  <si>
    <t>Saelmans, Alexander; Seinen, Tom; Pera, Victor; Markus, Aniek F.; Fridgeirsson, Egill; John, Luis H.; Schiphof-Godart, Lieke; Rijnbeek, Peter; Reps, Jenna; Williams, Ross</t>
  </si>
  <si>
    <t>Saelmans, A (corresponding author), Erasmus Univ, Med Ctr, Dept Med Informat, NL-3000 CA Rotterdam, Netherlands.</t>
  </si>
  <si>
    <t>a.saelmans@erasmusmc.nl</t>
  </si>
  <si>
    <t>[Saelmans, Alexander; Seinen, Tom; Pera, Victor; Markus, Aniek F.; Fridgeirsson, Egill; John, Luis H.; Schiphof-Godart, Lieke; Rijnbeek, Peter; Reps, Jenna; Williams, Ross] Erasmus Univ, Med Ctr, Dept Med Informat, NL-3000 CA Rotterdam, Netherlands; [Reps, Jenna] Janssen Res &amp; Dev, Titusville, NJ USA</t>
  </si>
  <si>
    <t>Erasmus University Rotterdam; Erasmus MC; Johnson &amp; Johnson; Janssen Pharmaceuticals</t>
  </si>
  <si>
    <t>Implementation and Updating of Clinical Prediction Models: A Systematic Review</t>
  </si>
  <si>
    <t>MAYO CLINIC PROCEEDINGS: DIGITAL HEALTH</t>
  </si>
  <si>
    <t>RISK PREDICTION; VALIDATION; PERFORMANCE; INPATIENT; ADMISSION</t>
  </si>
  <si>
    <t>Pera, Victor/JYP-8151-2024</t>
  </si>
  <si>
    <t>Williams, Ross/0000-0001-7723-417X; Pera, Victor/0000-0002-0786-4712; Saelmans, Alexander/0000-0003-1949-9799</t>
  </si>
  <si>
    <t>2949-7612</t>
  </si>
  <si>
    <t>MAYO CLIN P DIGIT H</t>
  </si>
  <si>
    <t>Mayo Clin. Proc. Digit. Health</t>
  </si>
  <si>
    <t>100228</t>
  </si>
  <si>
    <t>10.1016/j.mcpdig.2025.100228</t>
  </si>
  <si>
    <t>http://dx.doi.org/10.1016/j.mcpdig.2025.100228</t>
  </si>
  <si>
    <t>5VP1A</t>
  </si>
  <si>
    <t>40599890</t>
  </si>
  <si>
    <t>WOS:001545381600001</t>
  </si>
  <si>
    <t>Dalil, D; Esmaeili, S; Safaee, E; Asgari, S; Kejani, N</t>
  </si>
  <si>
    <t>Background: Venous thromboembolism (VTE), including deep vein thrombosis and pulmonary embolism, is a common and serious complication following lower extremity arthroplasty, such as total hip and knee arthroplasty. Due to the increasing number of these surgeries, accurately predicting VTE risk is crucial. Traditional clinical prediction models often fall short due to their complexity and limited accuracy. Methods: This Preferred Reporting Items for Systematic Review and Meta-Analyseseguided systematic review summarized the application of artificial intelligence (AI) and machine learning models in predicting VTE after total joint arthroplasty. Databases including PubMed, Scopus, Web of Science, and Embase were searched for relevant studies published up to January 2024. Eligible studies focused on the predictive accuracy of AI algorithms for VTE post arthroplasty and were assessed for quality using the Newcastle-Ottawa Scale. Results: A total of 7 retrospective cohort studies, encompassing 579,454 patients, met the inclusion criteria. These studies primarily employed the extreme gradient boosting model, which generally demonstrated strong predictive performance with area under the curve values ranging from 0.71 to 0.982. Models like random forest and support vector machines also performed well. However, only 1 study included external validation, critical for assessing generalizability. Conclusions: AI and machine learning models, particularly extreme gradient boosting, exhibit significant potential in predicting VTE after lower extremity arthroplasty, outperforming traditional clinical prediction tools. Yet, the need for external validation and high-quality, generalizable datasets remains critical before these models can be widely implemented in clinical practice. The study underscores the role of AI in preoperative planning to enhance patient outcomes in orthopaedic surgery. (c) 2025 The Authors. Published by Elsevier Inc. on behalf of The American Association of Hip and Knee Surgeons. This is an open access article under the CC BY license (http://creativecommons.org/licenses/by/ 4.0/).</t>
  </si>
  <si>
    <t>Dalil, Davood; Esmaeili, Sina; Safaee, Ehsan; Asgari, Sajad; Kejani, Nooshin</t>
  </si>
  <si>
    <t>Safaee, E (corresponding author), Shahed Univ, Res Comm, Fac Med, Keshavarz Blvrd, Tehran, Iran.</t>
  </si>
  <si>
    <t>ehsansafaee2002@gmail.com</t>
  </si>
  <si>
    <t>[Dalil, Davood] Shahed Univ, Fac Med, Tehran, Iran; [Esmaeili, Sina; Safaee, Ehsan; Asgari, Sajad] Shahed Univ, Student Res Comm, Fac Med, Tehran, Iran; [Kejani, Nooshin] Islamic Azad Univ, Dept Biomed Engn, Sci &amp; Res Branch, Tehran, Iran</t>
  </si>
  <si>
    <t>Shahed University; Shahed University; Islamic Azad University</t>
  </si>
  <si>
    <t>The Prediction of Venous Thromboembolism Using Artificial Intelligence and Machine Learning in Lower Extremity Arthroplasty: A Systematic Review</t>
  </si>
  <si>
    <t>ARTHROPLASTY TODAY</t>
  </si>
  <si>
    <t>Artificial intelligence; Machine learning; Venous thromboembolism; Total hip arthroplasty; Total knee arthroplasty; Deep vein thrombosis</t>
  </si>
  <si>
    <t>RISK-ASSESSMENT; KNEE REPLACEMENT; RADIOGRAPHS; VALIDATION; MORTALITY; IMPLANTS; QUALITY; MODELS; DVT; HIP</t>
  </si>
  <si>
    <t>, Ehsan Safaee/0009-0009-6581-6346; Esmaeili, Sina/0000-0002-5335-3235</t>
  </si>
  <si>
    <t>2352-3441</t>
  </si>
  <si>
    <t>ARTHROPLAST TODAY</t>
  </si>
  <si>
    <t>Arthroplast. Today</t>
  </si>
  <si>
    <t>101672</t>
  </si>
  <si>
    <t>10.1016/j.artd.2025.101672</t>
  </si>
  <si>
    <t>http://dx.doi.org/10.1016/j.artd.2025.101672</t>
  </si>
  <si>
    <t>0XV2P</t>
  </si>
  <si>
    <t>40226789</t>
  </si>
  <si>
    <t>WOS:001458585200001</t>
  </si>
  <si>
    <t>Moriarty, AS; Meader, N; Snell, KIE; Riley, RD; Paton, LW; Dawson, S; Hendon, J; Chew-Graham, CA; Gilbody, S; Churchill, R; Phillips, RS; Ali, S; McMillan, D</t>
  </si>
  <si>
    <t>Background Relapse and recurrence of depression are common, contributing to the overall burden of depression globally. Accurate prediction of relapse or recurrence while patients are well would allow the identification of high-risk individuals and may effectively guide the allocation of interventions to prevent relapse and recurrence. Aims To review prognostic models developed to predict the risk of relapse, recurrence, sustained remission, or recovery in adults with remitted major depressive disorder. Method We searched the Cochrane Library (current issue); Ovid MEDLINE (1946 onwards); Ovid Embase (1980 onwards); Ovid PsycINFO (1806 onwards); and Web of Science (1900 onwards) up to May 2021. We included development and external validation studies of multivariable prognostic models. We assessed risk of bias of included studies using the Prediction model risk of bias assessment tool (PROBAST). Results We identified 12 eligible prognostic model studies (11 unique prognostic models): 8 model development-only studies, 3 model development and external validation studies and 1 external validation-only study. Multiple estimates of performance measures were not available and meta-analysis was therefore not necessary. Eleven out of the 12 included studies were assessed as being at high overall risk of bias and none examined clinical utility. Conclusions Due to high risk of bias of the included studies, poor predictive performance and limited external validation of the models identified, presently available clinical prediction models for relapse and recurrence of depression are not yet sufficiently developed for deploying in clinical settings. There is a need for improved prognosis research in this clinical area and future studies should conform to best practice methodological and reporting guidelines.</t>
  </si>
  <si>
    <t>Moriarty, Andrew S.; Meader, Nicholas; Snell, Kym I. E.; Riley, Richard D.; Paton, Lewis W.; Dawson, Sarah; Hendon, Jessica; Chew-Graham, Carolyn A.; Gilbody, Simon; Churchill, Rachel; Phillips, Robert S.; Ali, Shehzad; McMillan, Dean</t>
  </si>
  <si>
    <t>Moriarty, AS (corresponding author), Univ York, Dept Hlth Sci, Mental Hlth &amp; Addict Res Grp, York, N Yorkshire, England.; Moriarty, AS (corresponding author), Univ York, Hull York Med Sch, York, N Yorkshire, England.</t>
  </si>
  <si>
    <t>andrew.moriarty@york.ac.uk</t>
  </si>
  <si>
    <t>NIHR Doctoral Research Fellowship [DRF-2018-11-ST2-044]; NIHR School for Primary Care Research (SPCR Launching Fellowship); NIHR; Medical Research Council [G0800472] Funding Source: researchfish; National Institute for Health Research [PDF-2014-07-072] Funding Source: researchfish; National Institutes of Health Research (NIHR) [DRF-2018-11-ST2-044] Funding Source: National Institutes of Health Research (NIHR)</t>
  </si>
  <si>
    <t>NIHR Doctoral Research Fellowship; NIHR School for Primary Care Research (SPCR Launching Fellowship); NIHR (National Institutes of Health Research (NIHR)); Medical Research Council (UK Research &amp; Innovation (UKRI), Medical Research Council UK (MRC)); National Institute for Health Research (National Institutes of Health Research (NIHR)); National Institutes of Health Research (NIHR) (National Institutes of Health Research (NIHR))</t>
  </si>
  <si>
    <t>A.S.M. is funded by a NIHR Doctoral Research Fellowship for this research project (NIHR Doctoral Research Fellowship, Dr Andrew Moriarty, DRF-2018-11-ST2-044). K.I.E.S. is funded by the NIHR School for Primary Care Research (SPCR Launching Fellowship). This publication presents independent research funded by the NIHR. The views expressed are those of the authors and not necessarily those of the NHS, the NIHR or the Department of Health and Social Care.</t>
  </si>
  <si>
    <t>[Moriarty, Andrew S.; Paton, Lewis W.; Gilbody, Simon; Ali, Shehzad; McMillan, Dean] Univ York, Dept Hlth Sci, Mental Hlth &amp; Addict Res Grp, York, N Yorkshire, England; [Moriarty, Andrew S.; Gilbody, Simon; McMillan, Dean] Univ York, Hull York Med Sch, York, N Yorkshire, England; [Meader, Nicholas; Hendon, Jessica; Churchill, Rachel] Univ York, Ctr Reviews &amp; Disseminat, York, N Yorkshire, England; [Meader, Nicholas; Dawson, Sarah; Hendon, Jessica] Univ York, Cochrane Common Mental Disorders, York, N Yorkshire, England; [Snell, Kym I. E.; Riley, Richard D.] Keele Univ, Sch Med, Ctr Prognosis Res, Keele, Staffs, England; [Dawson, Sarah] Univ Bristol, Bristol Med Sch, Bristol, Avon, England; [Chew-Graham, Carolyn A.] Keele Univ, Sch Med, Keele, Staffs, England; [Ali, Shehzad] Western Univ, Schulich Sch Med Dent, Dept Epidemiol &amp; Biostat, London, ON, Canada</t>
  </si>
  <si>
    <t>University of York - UK; University of York - UK; University of Hull; University of York - UK; University of York - UK; Keele University; University of Bristol; Keele University; Western University (University of Western Ontario)</t>
  </si>
  <si>
    <t>Predicting relapse or recurrence of depression: systematic review of prognostic models</t>
  </si>
  <si>
    <t>BRITISH JOURNAL OF PSYCHIATRY</t>
  </si>
  <si>
    <t>Depressive disorders; epidemiology; statistical methodology; risk assessment; primary care</t>
  </si>
  <si>
    <t>COGNITIVE THERAPY; MAJOR DEPRESSION; RISK-FACTORS; VALIDATION; PREVENTION; REMISSION; DISORDER; OUTCOMES; ALGORITHM; TOOL</t>
  </si>
  <si>
    <t>Riley, Richard D/G-2406-2011; Gilbody, Simon/AAY-3720-2021; Snell, Kym/L-1918-2015</t>
  </si>
  <si>
    <t>CHEW-GRAHAM, CAROLYN/0000-0002-9722-9981; Churchill, Rachel/0000-0002-1751-0512; Riley, Richard D/0000-0001-8699-0735; Gilbody, Simon/0000-0002-8236-6983; Moriarty, Anew/0000-0003-0770-3262; Meader, Nick/0000-0001-9332-6605; Paton, Lewis William/0000-0002-3328-5634; Hendon, Jess/0009-0005-4850-1968; Ali, Shehzad/0000-0002-8042-3630; Snell, Kym/0000-0001-9373-6591</t>
  </si>
  <si>
    <t>0007-1250</t>
  </si>
  <si>
    <t>1472-1465</t>
  </si>
  <si>
    <t>BRIT J PSYCHIAT</t>
  </si>
  <si>
    <t>Br. J. Psychiatry</t>
  </si>
  <si>
    <t>AUG 2022</t>
  </si>
  <si>
    <t>221</t>
  </si>
  <si>
    <t>448</t>
  </si>
  <si>
    <t>458</t>
  </si>
  <si>
    <t>PII S000712502100218X</t>
  </si>
  <si>
    <t>10.1192/bjp.2021.218</t>
  </si>
  <si>
    <t>http://dx.doi.org/10.1192/bjp.2021.218</t>
  </si>
  <si>
    <t>2Z4GR</t>
  </si>
  <si>
    <t>35048843</t>
  </si>
  <si>
    <t>WOS:000741165900001</t>
  </si>
  <si>
    <t>Ramazanian, T; Fu, SY; Sohn, S; Taunton, MJ; Kremers, HM</t>
  </si>
  <si>
    <t>Background: Knee osteoarthritis (OA) is a prevalent joint disease. Clinical prediction models consider a wide range of risk factors for knee OA. This review aimed to evaluate published prediction models for knee OA and identify opportunities for future model development.Methods: We searched Scopus, PubMed, and Google Scholar using the terms knee osteoarthritis, prediction model, deep learning, and machine learning. All the identified articles were reviewed by one of the researchers and we recorded information on methodological characteristics and findings. We only included articles that were published after 2000 and reported a knee OA incidence or progression prediction model.Results: We identified 26 models of which 16 employed traditional regression-based models and 10 machine learning (ML) models. Four traditional and five ML models relied on data from the Osteoarthritis Initiative. There was significant variation in the number and type of risk factors. The median sample size for traditional and ML models was 780 and 295, respectively. The reported Area Under the Curve (AUC) ranged between 0.6 and 1.0. Regarding external validation, 6 of the 16 traditional models and only 1 of the 10 ML models validated their results in an external data set.Conclusion: Diverse use of knee OA risk factors, small, non-representative cohorts, and use of magnetic resonance imaging which is not a routine evaluation tool of knee OA in daily clinical practice are some of the main limitations of current knee OA prediction models.Level of evidence: III</t>
  </si>
  <si>
    <t>Ramazanian, Taghi; Fu, Sunyang; Sohn, Sunghwan; Taunton, Michael J.; Kremers, Hilal Maradit</t>
  </si>
  <si>
    <t>Kremers, HM (corresponding author), Mayo Clin, Dept Hlth Sci Res, 200 First St SW, Rochester, MN 55902 USA.</t>
  </si>
  <si>
    <t>maradit@mayo.edu</t>
  </si>
  <si>
    <t>[Ramazanian, Taghi; Fu, Sunyang; Sohn, Sunghwan; Kremers, Hilal Maradit] Res performed Mayo Clin, Rochester, MN USA; [Kremers, Hilal Maradit] Mayo Clin, Dept Hlth Sci Res, 200 First St SW, Rochester, MN 55902 USA</t>
  </si>
  <si>
    <t>Mayo Clinic</t>
  </si>
  <si>
    <t>Prediction Models for Knee Osteoarthritis: Review of Current Models and Future Directions</t>
  </si>
  <si>
    <t>ARCHIVES OF BONE AND JOINT SURGERY-ABJS</t>
  </si>
  <si>
    <t>Artificial intelligence; Knee osteoarthritis; Machine learning; Prediction models</t>
  </si>
  <si>
    <t>RADIOGRAPHIC OSTEOARTHRITIS; SYMPTOMATIC OSTEOARTHRITIS; OARSI RECOMMENDATIONS; PROGRESSION; RISK; HIP; MANAGEMENT; PAIN; PREVALENCE; OVERWEIGHT</t>
  </si>
  <si>
    <t>Maradit Kremers, Hilal/AAZ-9376-2021; Taunton, Michael/I-4346-2013; Fu, Sunyang/JAO-5130-2023</t>
  </si>
  <si>
    <t>MASHHAD UNIV MED SCIENCES</t>
  </si>
  <si>
    <t>MASHHAD</t>
  </si>
  <si>
    <t>VICE-CHANCELLOR FOR RES CTR OFF IJBMS, DANESHGAH ST, PO BOX 9138813944 - 445, MASHHAD, 00000, IRAN</t>
  </si>
  <si>
    <t>2345-4644</t>
  </si>
  <si>
    <t>2345-461X</t>
  </si>
  <si>
    <t>ARCH BONE JT SURG-AB</t>
  </si>
  <si>
    <t>Arch. Bone Jt. Surg.-ABJS</t>
  </si>
  <si>
    <t>10.22038/ABJS.2022.58485.2897</t>
  </si>
  <si>
    <t>http://dx.doi.org/10.22038/ABJS.2022.58485.2897</t>
  </si>
  <si>
    <t>7S6YU</t>
  </si>
  <si>
    <t>36793660</t>
  </si>
  <si>
    <t>WOS:000910900400001</t>
  </si>
  <si>
    <t>Oliveira, CC; Jongen, CAM; Mikolic, A; Incrocci, L; Lingsma, HF; Roobol, MJ; Korfage, I; Heemsbergen, WD; van Klaveren, D</t>
  </si>
  <si>
    <t>Background: Predicting risks of urinary, bowel, sexual, and other adverse effects following prostate cancer curative radiotherapy (PCa-RT) is essential for treatment personalization and patient counseling. Several clinical prediction models (CPMs) have been published; however, their methodological quality remains unclear. Methods: We systematically reviewed studies developing or validating CPMs for adverse events after PCa-RT. Embase and Medline were searched for CPM studies for patient- or clinician-reported outcomes (PROs/ClinROs), published between January 1, 2004, and August 6, 2024. To focus the appraisal on methodologically more robust models, models were pre-selected based on events per variable &gt;= 10 or the reporting of optimism-corrected performance metrics or effect estimates. We appraised models based on performance and ROB, using a six-item short form of the Prediction model Risk Of Bias ASsessment Tool (SF-PROBAST). Results: Of 3606 records screened, 136 CPM studies were identified, and 35 were included, yielding 107 CPMs. Most models (n = 87) were developed in external beam radiation therapy populations. 22 models were externally validated. Only two models (AUC= 0.59 and 0.80) - developed in two different studies - were classified as low risk of bias (fulfilled all the SF-PROBAST criteria). 32 models, from 13 studies, met at least four SF-PROBAST criteria and showed at least moderate discrimination (AUC &gt;= 0.70) at internal (n = 25) and/or external (n = 11) validation. Conclusion: Ready-to-use CPMs in PCa-RT remain scarce due to methodological limitations, miscalibration, and lack of external validation. Future efforts should prioritize validation and refinement of existing models rather than development of new ones.</t>
  </si>
  <si>
    <t>Oliveira, Claudia Cruz; Jongen, Christian A. M.; Mikolic, Ana; Incrocci, Luca; Lingsma, Hester F.; Roobol, Monique J.; Korfage, Ida; Heemsbergen, Wilma D.; van Klaveren, David</t>
  </si>
  <si>
    <t>Oliveira, CC (corresponding author), Erasmus MC Univ, Med Ctr, Dept Publ Hlth, Dr Molewaterpl 40, NL-3015 GD Rotterdam, Rotterdam, Netherlands.</t>
  </si>
  <si>
    <t>c.cruzoliveira@erasmusmc.nl</t>
  </si>
  <si>
    <t>European Union [101057332]; Innovate UK Horizon Europe Guarantee Programme [10041120]; UKRI [10041120]</t>
  </si>
  <si>
    <t>European Union (European Union (EU)); Innovate UK Horizon Europe Guarantee Programme; UKRI</t>
  </si>
  <si>
    <t>CCO and DvK are funded by the European Union under Horizon Europe Work Programme 101057332. Views and opinions expressed are however those of the author (s) only and do not necessarily reflect those of the European Union or the European Health and Digital Executive Agency (HaDEA). Neither the European Union nor the granting authority can be held responsible for them. The UK team are funded under the Innovate UK Horizon Europe Guarantee Programme, UKRI Reference Number: 10041120.</t>
  </si>
  <si>
    <t>[Oliveira, Claudia Cruz; Mikolic, Ana; Lingsma, Hester F.; Korfage, Ida; van Klaveren, David] Erasmus MC Univ, Med Ctr, Dept Publ Hlth, Dr Molewaterpl 40, NL-3015 GD Rotterdam, Rotterdam, Netherlands; [Jongen, Christian A. M.; Incrocci, Luca; Heemsbergen, Wilma D.] Erasmus Univ, Erasmus MC Canc Inst, Med Ctr, Dept Radiotherapy, Rotterdam, Netherlands; [Roobol, Monique J.] Univ Med Ctr Rotterdam, Erasmus MC Canc Inst, Dept Urol, Rotterdam, Netherlands</t>
  </si>
  <si>
    <t>Erasmus University Rotterdam - Excl Erasmus MC; Erasmus University Rotterdam; Erasmus MC; Erasmus MC Cancer Institute; Erasmus University Rotterdam; Erasmus MC; Erasmus MC Cancer Institute</t>
  </si>
  <si>
    <t>4D PICTURE Consortium</t>
  </si>
  <si>
    <t>Prediction models for adverse events from prostate cancer curative radiotherapy: a systematic review of methodological quality</t>
  </si>
  <si>
    <t>TRANSLATIONAL ONCOLOGY</t>
  </si>
  <si>
    <t>Prostate cancer; Radiotherapy; Complications; Radiation injuries; NTCP; Statistical models; Machine learning</t>
  </si>
  <si>
    <t>PATIENT-REPORTED OUTCOMES; INTENSITY-MODULATED RADIOTHERAPY; COMPLICATION PROBABILITY-MODELS; ACUTE URINARY RETENTION; RADIATION-THERAPY; EXTERNAL VALIDATION; PRETREATMENT NOMOGRAM; MULTIVARIABLE MODELS; INTESTINAL TOXICITY; ERECTILE FUNCTION</t>
  </si>
  <si>
    <t>101 Park Avenue, 24th Floor, NEW YORK, NY, UNITED STATES</t>
  </si>
  <si>
    <t>1936-5233</t>
  </si>
  <si>
    <t>TRANSL ONCOL</t>
  </si>
  <si>
    <t>Transl. Oncol.</t>
  </si>
  <si>
    <t>102961</t>
  </si>
  <si>
    <t>10.1016/j.tranon.2026.102961</t>
  </si>
  <si>
    <t>http://dx.doi.org/10.1016/j.tranon.2026.102961</t>
  </si>
  <si>
    <t>MO7NP</t>
  </si>
  <si>
    <t>42570550</t>
  </si>
  <si>
    <t>WOS:001847280400001</t>
  </si>
  <si>
    <t>gold</t>
  </si>
  <si>
    <t>Shah, KV; Gadelrab, M; Brennan, EA; Westfal, ML; Donahue, CA; Gaizo, JD; Kilic, A; Curran, T</t>
  </si>
  <si>
    <t>Venous thromboembolism (VTE), including deep vein thrombosis (DVT) and pulmonary embolism (PE), is a significant complication in surgical patients. Artificial intelligence (AI) and machine learning (ML) may enhance VTE risk stratification by leveraging novel parameters in electronic medical records (EMRs). We aim to systematically review the role of AI and ML in stratifying the risk of postoperative VTE in surgical patients. A systematic literature search was conducted in PubMed, Scopus, and CINAHL Complete through May 24, 2024, and registered in PROSPERO (CRD420250522393). Eligible studies included primary research on postoperative adult patients undergoing any surgery that reported VTE risk assessment using the area under the receiver operating characteristic curve (AUC). Risk of bias was assessed, and the Wilcoxon signed-rank test was used to compare AUCs. 34 studies met the inclusion criteria, of which 22 directly compared AI models with non-AI models and were used for analysis. AI models showed higher discrimination than non-AI comparators within the same cohorts, with a median Delta AUC of + 0.10 (IQR 0.03-0.21; Wilcoxon signed-rank test, n = 22, p &lt; 0.001). 31 studies were found to have a high risk of bias in model development, with only 12 reporting calibration metrics. Studies were limited to the United States (17) and China (17), with substantial surgical heterogeneity. Across head-to-head studies, AI models consistently showed higher discrimination than their non-AI comparators within the same cohorts. Future research should prioritize external validation, standardized reporting of calibration metrics, and generalizability.[GRAPHICS]</t>
  </si>
  <si>
    <t>Shah, Kavin; Gadelrab, Michael; Brennan, Emily A.; Westfal, Maggie L.; Donahue, Colleen A.; Gaizo, John Del; Kilic, Arman; Curran, Thomas</t>
  </si>
  <si>
    <t>Shah, KV (corresponding author), Med Univ South Carolina, Coll Med, Charleston, SC 29425 USA.</t>
  </si>
  <si>
    <t>shahkav@musc.edu</t>
  </si>
  <si>
    <t>Medical University of South Carolina</t>
  </si>
  <si>
    <t>Open access funding provided by the Carolinas Consortium.</t>
  </si>
  <si>
    <t>[Shah, Kavin; Gadelrab, Michael] Med Univ South Carolina, Coll Med, Charleston, SC 29425 USA; [Brennan, Emily A.] Med Univ South Carolina, MUSC Lib, MLIS, Charleston, SC USA; [Westfal, Maggie L.; Donahue, Colleen A.; Gaizo, John Del; Kilic, Arman; Curran, Thomas] Med Univ South Carolina, Dept Surg, Charleston, SC USA</t>
  </si>
  <si>
    <t>Medical University of South Carolina; Medical University of South Carolina; Medical University of South Carolina</t>
  </si>
  <si>
    <t>Artificial intelligence for venous thromboembolism risk stratification in surgical patients: a systematic review</t>
  </si>
  <si>
    <t>JOURNAL OF THROMBOSIS AND THROMBOLYSIS</t>
  </si>
  <si>
    <t>Artificial intelligence; Machine learning; Venous thromboembolism; Surgical patients; Risk stratification; Systematic review</t>
  </si>
  <si>
    <t>DEEP-VEIN THROMBOSIS; CLINICAL-PREDICTION MODEL; MACHINE LEARNING-MODELS; VALIDATION; COMPLICATIONS; MULTICENTER; EVENTS</t>
  </si>
  <si>
    <t>Westfal, Maggie/JTT-8067-2023</t>
  </si>
  <si>
    <t>Brennan, Emily A/0000-0001-8463-1499</t>
  </si>
  <si>
    <t>DORDRECHT</t>
  </si>
  <si>
    <t>VAN GODEWIJCKSTRAAT 30, 3311 GZ DORDRECHT, NETHERLANDS</t>
  </si>
  <si>
    <t>0929-5305</t>
  </si>
  <si>
    <t>1573-742X</t>
  </si>
  <si>
    <t>J THROMB THROMBOLYS</t>
  </si>
  <si>
    <t>J. Thromb. Thrombolysis</t>
  </si>
  <si>
    <t>1298</t>
  </si>
  <si>
    <t>1312</t>
  </si>
  <si>
    <t>10.1007/s11239-026-03257-9</t>
  </si>
  <si>
    <t>http://dx.doi.org/10.1007/s11239-026-03257-9</t>
  </si>
  <si>
    <t>Cardiac &amp; Cardiovascular Systems; Hematology; Peripheral Vascular Disease</t>
  </si>
  <si>
    <t>Cardiovascular System &amp; Cardiology; Hematology</t>
  </si>
  <si>
    <t>KM9IE</t>
  </si>
  <si>
    <t>41790327</t>
  </si>
  <si>
    <t>WOS:001712540600001</t>
  </si>
  <si>
    <t>Caragata, R; Wyssusek, KH; Kruger, R</t>
  </si>
  <si>
    <t>Acute kidney injury (AKI) is a frequent postoperative complication amongst liver transplant recipients and is associated with increased morbidity and mortality. This systematic review analysed the existing predictive models, in order to solidify current understanding. Articles were selected for inclusion if they described the primary development of a clinical prediction model (either an algorithm or risk score) to predict AKI post liver transplantation. The database search yielded a total of seven studies describing the primary development of a prediction model or risk score for the development of AKI following liver transplantation. The models span thirteen years of clinical. research and highlight a gradual change in the definitions of AKI, emphasising the need to employ standardised definitions for subsequent studies. Collectively, the models identify a diverse range of predictive factors with several common trends. They emphasise the impact of preoperative renal dysfunction, liver disease severity and aetiology, metabolic risk factors as well as intraoperative variables including measures of haemodynamic instability and graft quality. Although several of the models address postoperative parameters, their utility in predictive modelling seems to be of questionable relevance. The common risk factors identified within this systematic review provide a minimum list of variables, which future studies should address. Research in this area would benefit from prospective, multi site studies with larger cohorts as well as the subsequent internal and external validation of predictive models. Ultimately, the ability to identify patients at high risk of post-transplant AKI may enable early intervention and perhaps prevention.</t>
  </si>
  <si>
    <t>Caragata, R.; Wyssusek, K. H.; Kruger, R.</t>
  </si>
  <si>
    <t>Wyssusek, KH (corresponding author), Princess Alexandra Hosp, Dept Anaesthesia, Brisbane, Qld 4102, Australia.; Wyssusek, KH (corresponding author), Univ Queensland, Sch Med, Brisbane, Qld, Australia.</t>
  </si>
  <si>
    <t>kwyssusek@gmail.com</t>
  </si>
  <si>
    <t>[Caragata, R.; Wyssusek, K. H.] Princess Alexandra Hosp, Dept Anaesthesia, Brisbane, Qld 4102, Australia; [Caragata, R.; Wyssusek, K. H.; Kruger, R.] Univ Queensland, Sch Med, Brisbane, Qld, Australia; [Kruger, R.] Princess Alexandra Hosp, Dept Intens Care Med, Brisbane, Qld, Australia</t>
  </si>
  <si>
    <t>Princess Alexandra Hospital; University of Queensland; Princess Alexandra Hospital</t>
  </si>
  <si>
    <t>Acute kidney injury following liver transplantation: a systematic review of published predictive models</t>
  </si>
  <si>
    <t>ANAESTHESIA AND INTENSIVE CARE</t>
  </si>
  <si>
    <t>acute kidney injury; liver transplantation; prediction model; risk score</t>
  </si>
  <si>
    <t>ACUTE-RENAL-FAILURE; GELATINASE-ASSOCIATED LIPOCALIN; RISK-FACTORS; REPLACEMENT THERAPY; RIFLE CRITERIA; CYSTATIN-C; PERIOPERATIVE PREDICTORS; CONSENSUS CONFERENCE; IMPACT; DISEASE</t>
  </si>
  <si>
    <t>Wyssusek, Kerstin/A-8290-2012; Caragata, Rebecca/GNP-4653-2022</t>
  </si>
  <si>
    <t>Wyssusek, Kerstin/0000-0003-1709-4958; Caragata, Rebecca/0000-0002-6439-8615</t>
  </si>
  <si>
    <t>0310-057X</t>
  </si>
  <si>
    <t>1448-0271</t>
  </si>
  <si>
    <t>ANAESTH INTENS CARE</t>
  </si>
  <si>
    <t>Anaesth. Intensive Care</t>
  </si>
  <si>
    <t>MAR 2016</t>
  </si>
  <si>
    <t>251</t>
  </si>
  <si>
    <t>261</t>
  </si>
  <si>
    <t>10.1177/0310057X1604400212</t>
  </si>
  <si>
    <t>http://dx.doi.org/10.1177/0310057X1604400212</t>
  </si>
  <si>
    <t>Anesthesiology; Critical Care Medicine</t>
  </si>
  <si>
    <t>Anesthesiology; General &amp; Internal Medicine</t>
  </si>
  <si>
    <t>DJ8AW</t>
  </si>
  <si>
    <t>27029658</t>
  </si>
  <si>
    <t>WOS:000374435500010</t>
  </si>
  <si>
    <t>Navarro, CLA; Damen, JAA; Takada, T; Nijman, SWJ; Dhiman, P; Ma, J; Collins, GS; Bajpai, R; Riley, RD; Moons, KGM; Hooft, L</t>
  </si>
  <si>
    <t>Objectives: We evaluated the presence and frequency of spin practices and poor reporting standards in studies that developed and/or validated clinical prediction models using supervised machine learning techniques. Study Design and Setting: We systematically searched PubMed from 01/2018 to 12/2019 to identify diagnostic and prognostic prediction model studies using supervised machine learning. No restrictions were placed on data source, outcome, or clinical specialty. Results: We included 152 studies: 38% reported diagnostic models and 62% prognostic models. When reported, discrimination was described without precision estimates in 53/71 abstracts (74.6% [95% CI 63.4-83.3]) and 53/81 main texts (65.4% [95% CI 54.6-74.9]). Of the 21 abstracts that recommended the model to be used in daily practice, 20 (95.2% [95% CI 77.3-99.8]) lacked any external validation of the developed models. Likewise, 74/133 (55.6% [95% CI 47.2-63.8]) studies made recommendations for clinical use in their main text without any external validation. Reporting guidelines were cited in 13/152 (8.6% [95% CI 5.1-14.1]) studies. Conclusion: Spin practices and poor reporting standards are also present in studies on prediction models using machine learning techniques. A tailored framework for the identification of spin will enhance the sound reporting of prediction model studies. (c) 2023 The Author(s). Published by Elsevier Inc. This is an open access article under the CC BY license (http://creativecommons.org/licenses/by/4.0/).</t>
  </si>
  <si>
    <t>Navarro, Constanza L. Andaur; Damen, Johanna A. A.; Takada, Toshihiko; Nijman, Steven W. J.; Dhiman, Paula; Ma, Jie; Collins, Gary S.; Bajpai, Ram; Riley, Richard D.; Moons, Karel G. M.; Hooft, Lotty</t>
  </si>
  <si>
    <t>Navarro, CLA (corresponding author), Julius Ctr Hlth Sci &amp; Primary Care, POB 85500, Univ Weg 100, NL-3508 Utrecht, Netherlands.</t>
  </si>
  <si>
    <t>c.l.andaurnavarro@umcutrecht.nl</t>
  </si>
  <si>
    <t>Cancer Research UK [27294] Funding Source: Medline</t>
  </si>
  <si>
    <t>Cancer Research UK (Cancer Research UK)</t>
  </si>
  <si>
    <t>[Navarro, Constanza L. Andaur; Damen, Johanna A. A.; Takada, Toshihiko; Nijman, Steven W. J.; Moons, Karel G. M.; Hooft, Lotty] Univ Utrecht, Univ Med Ctr Utrecht, Julius Ctr Hlth Sci &amp; Primary Care, Utrecht, Netherlands; [Navarro, Constanza L. Andaur; Damen, Johanna A. A.; Moons, Karel G. M.; Hooft, Lotty] Univ Utrecht, Univ Med Ctr Utrecht, Cochrane Netherlands, Utrecht, Netherlands; [Dhiman, Paula; Ma, Jie; Collins, Gary S.] Univ Oxford, Ctr Stat Med, NDORMS, Oxford, England; [Dhiman, Paula; Collins, Gary S.] Oxford Univ Hosp NHS Fdn Trust, NIHR Oxford Biomed Res Ctr, Oxford, England; [Riley, Richard D.] Keele Univ, Ctr Prognosis Res, Sch Med, Keele, England; [Navarro, Constanza L. Andaur] Julius Ctr Hlth Sci &amp; Primary Care, POB 85500, Univ Weg 100, NL-3508 Utrecht, Netherlands</t>
  </si>
  <si>
    <t>Utrecht University; Utrecht University Medical Center; Utrecht University; Utrecht University Medical Center; University of Oxford; University of Oxford; Oxford University Hospitals NHS Foundation Trust; Keele University</t>
  </si>
  <si>
    <t>Systematic review finds "spin"practices and poor reporting standards in studies on machine learning-based prediction models</t>
  </si>
  <si>
    <t>JOURNAL OF CLINICAL EPIDEMIOLOGY</t>
  </si>
  <si>
    <t>Diagnosis; Prognosis; Development; Validation; Misinterpretation; Overinterpretation; Overextrapolation; Spin</t>
  </si>
  <si>
    <t>SPIN; MANUSCRIPTS; ABSTRACTS; CANCER; IMPACT</t>
  </si>
  <si>
    <t>Collins, Gary/A-2258-2014; Moons, Karel GM/JPA-4011-2023; Bajpai, Ram/I-1038-2016; Hooft, Lotty/PCC-6420-2025; Riley, Richard D/G-2406-2011</t>
  </si>
  <si>
    <t>Collins, Gary/0000-0002-2772-2316; Damen, Johanna/0000-0001-7401-4593; Takada, Toshihiko/0000-0002-8032-6224; Bajpai, Ram/0000-0002-1227-2703; Andaur Navarro, Constanza L/0000-0002-7745-2887; Hooft, Lotty/0000-0002-7950-2980; Dhiman, Paula/0000-0002-0989-0623; Riley, Richard D/0000-0001-8699-0735; Ma, Jie/0000-0002-3900-1903; Nijman, Steven/0000-0001-6798-2078</t>
  </si>
  <si>
    <t>0895-4356</t>
  </si>
  <si>
    <t>1878-5921</t>
  </si>
  <si>
    <t>J CLIN EPIDEMIOL</t>
  </si>
  <si>
    <t>J. Clin. Epidemiol.</t>
  </si>
  <si>
    <t>158</t>
  </si>
  <si>
    <t>110</t>
  </si>
  <si>
    <t>10.1016/j.jclinepi.2023.03.024</t>
  </si>
  <si>
    <t>http://dx.doi.org/10.1016/j.jclinepi.2023.03.024</t>
  </si>
  <si>
    <t>Health Care Sciences &amp; Services; Public, Environmental &amp; Occupational Health</t>
  </si>
  <si>
    <t>G6ES9</t>
  </si>
  <si>
    <t>37024020</t>
  </si>
  <si>
    <t>WOS:000990073300001</t>
  </si>
  <si>
    <t>Wang, SY; Shi, MP; Zhou, X; Yu, JN; Han, MZ; Zhang, XS; Li, ZH; Chen, XH</t>
  </si>
  <si>
    <t>BackgroundPatients with vertebral compression fractures may experience unpredictable residual pain following vertebral augmentation. Clinical prediction models have shown potential for early prevention and intervention of such residual pain. However, studies focusing on the quality and accuracy of these prediction models are lacking. Therefore, we systematically reviewed and critically evaluated prediction models for residual pain following vertebral augmentation.MethodsWe systematically searched eight databases (PubMed, Embase, Web of Science, CNKI, WanFang, VIP, and SinoMed) for studies that developed and/or validated risk prediction models for residual pain after vertebral augmentation. The limitations of existing models were critically assessed using the PROBAST tool. We performed a descriptive analysis of the models' characteristics and predictors. Extracted C-statistics were combined using a weighted approach based on the Restricted Maximum Likelihood (REML) method to represent the models' average performance. All statistical analyses were performed using R 4.3.1 and STATA 17 software.ResultsFifteen models were evaluated, involving 4802 patients with vertebral compression fractures post-vertebral augmentation. The overall pooled C-statistic was 0.87, with a 95% CI of 0.83 to 0.89 and a prediction interval ranging from 0.72 to 0.94. The models included 35 different predictors, with posterior fascia injury (PFI), bone mineral density (BMD), and intravertebral vacuum cleft (IVC) being the most common. Most models were rated high risk due to concerns about population selection and modeling methodology, yet their clinical applicability remains promising.ConclusionThe development and validation of current models exhibit a certain risk of bias, and our study highlights these existing flaws and limitations. Although these models demonstrate satisfactory predictive performance and clinical applicability, further external validation is needed to confirm their accuracy in clinical practice. Clinicians can utilize these models alongside relevant risk factors to predict and prevent residual pain after vertebral augmentation, or to formulate personalized treatment plans.</t>
  </si>
  <si>
    <t>Wang, Siyi; Shi, Mingpeng; Zhou, Xue; Yu, Jianan; Han, Mingze; Zhang, Xianshuai; Li, Zhenhua; Chen, Xinhua</t>
  </si>
  <si>
    <t>Li, ZH (corresponding author), Changchun Univ Chinese Med, Dept Orthoped, Affiliated Hosp, Changchun, Peoples R China.; Chen, XH (corresponding author), Changchun Univ Chinese Med, Dept Acupuncture &amp; Moxibust, Affiliated Hosp, Changchun, Peoples R China.</t>
  </si>
  <si>
    <t>187098190@qq.com; lizhenhua1972@163.com</t>
  </si>
  <si>
    <t>[Wang, Siyi; Zhou, Xue] Changchun Univ Chinese Med, Coll Acupuncture &amp; Massage, Changchun, Peoples R China; [Shi, Mingpeng; Yu, Jianan; Han, Mingze] Changchun Univ Chinese Med, Coll Tradit Chinese Med, Changchun, Peoples R China; [Zhang, Xianshuai; Li, Zhenhua] Changchun Univ Chinese Med, Dept Orthoped, Affiliated Hosp, Changchun, Peoples R China; [Chen, Xinhua] Changchun Univ Chinese Med, Dept Acupuncture &amp; Moxibust, Affiliated Hosp, Changchun, Peoples R China</t>
  </si>
  <si>
    <t>Changchun University of Chinese Medicine; Changchun University of Chinese Medicine; Changchun University of Chinese Medicine; Changchun University of Chinese Medicine</t>
  </si>
  <si>
    <t>Predicting residual pain after vertebral augmentation in vertebral compression fractures: a systematic review and critical appraisal of risk prediction models</t>
  </si>
  <si>
    <t>Residual pain; Prediction model; Vertebral augmentation; Vertebral compression fractures; Systematic review</t>
  </si>
  <si>
    <t>BACK-PAIN; MANAGEMENT; KYPHOPLASTY; DIAGNOSIS; PROBAST; BIAS; TOOL</t>
  </si>
  <si>
    <t>JAN 27 2025</t>
  </si>
  <si>
    <t>10.1186/s12891-025-08338-z</t>
  </si>
  <si>
    <t>http://dx.doi.org/10.1186/s12891-025-08338-z</t>
  </si>
  <si>
    <t>T9B8L</t>
  </si>
  <si>
    <t>39871243</t>
  </si>
  <si>
    <t>WOS:001407881400002</t>
  </si>
  <si>
    <t>Dhiman, P; Ma, J; Gibbs, VN; Rampotas, A; Kamal, H; Arshad, SS; Kirtley, S; Doree, C; Murphy, MF; Collins, GS; Palmer, AJR</t>
  </si>
  <si>
    <t>Background: Blood transfusion can be a lifesaving intervention after perioperative blood loss. Many prediction models have been developed to identify patients most likely to require blood transfusion during elective surgery, but it is unclear whether any are suitable for clinical practice.Study Design and Setting: We conducted a systematic review, searching MEDLINE, Embase, PubMed, The Cochrane Library, Transfusion Evidence Library, Scopus, and Web of Science databases for studies reporting the development or validation of a blood transfusion prediction model in elective surgery patients between January 1, 2000 and June 30, 2021. We extracted study characteristics, discrimination performance (c-statistics) of final models, and data, which we used to perform risk of bias assessment using the Prediction model risk of bias assessment tool (PROBAST). Results: We reviewed 66 studies (72 developed and 48 externally validated models). Pooled c-statistics of externally validated models ranged from 0.67 to 0.78. Most developed and validated models were at high risk of bias due to handling of predictors, validation methods, and too small sample sizes. Conclusion: Most blood transfusion prediction models are at high risk of bias and suffer from poor reporting and methodological qual-ity, which must be addressed before they can be safely used in clinical practice. &amp; COPY; 2023 The Author(s). Published by Elsevier Inc. This is an open access article under the CC BY license (http://creativecommons.org/licenses/by/4.0/).</t>
  </si>
  <si>
    <t>Dhiman, Paula; Ma, Jie; Gibbs, Victoria N.; Rampotas, Alexandros; Kamal, Hassan; Arshad, Sahar S.; Kirtley, Shona; Doree, Carolyn; Murphy, Michael F.; Collins, Gary S.; Palmer, Antony J. R.</t>
  </si>
  <si>
    <t>Dhiman, P (corresponding author), Univ Oxford, Ctr Stat Med, Nuffield Dept Orthopaed Rheumatol &amp; Musculoskeleta, Oxford OX3 7LD, England.</t>
  </si>
  <si>
    <t>paula.dhiman@csm.ox.ac.uk</t>
  </si>
  <si>
    <t>NIHR Biomedical Research Centre, Oxford; Cancer Research UK [C49297/A27294]; NIHR Academic Clinical Fellowship [ACF-2018-13-011]; VNG; NHS Blood amp; Transplant; Oxford University Hospitals NHS Foundation Trust; NIHR Blood and Transplant Research Unit in Data Driven Transfusion Practice [NIHR203334]</t>
  </si>
  <si>
    <t>NIHR Biomedical Research Centre, Oxford (National Institutes of Health Research (NIHR)); Cancer Research UK (Cancer Research UK); NIHR Academic Clinical Fellowship; VNG; NHS Blood amp; Transplant; Oxford University Hospitals NHS Foundation Trust (University of Oxford); NIHR Blood and Transplant Research Unit in Data Driven Transfusion Practice</t>
  </si>
  <si>
    <t>This study did not receive any funding. PD and GSC are supported by the NIHR Biomedical Research Centre, Oxford. GSC, SK, and JM are supported by Cancer Research UK (programme grant: C49297/A27294) . AR is funded by a NIHR Academic Clinical Fellowship (grant number: ACF-2018-13-011) . MFM, VNG and CD are employed by NHS Blood &amp; Transplant and the Oxford University Hospitals NHS Foundation Trust. AJRP is employed by the Oxford University Hospitals NHS Foundation Trust and supported by the NIHR Blood and Transplant Research Unit in Data Driven Transfusion Practice (NIHR203334) . The views expressed are those of the author (s) and not necessarily those of the Cancer Research UK, the NHS, the NIHR or the of Health and Social Care.</t>
  </si>
  <si>
    <t>[Dhiman, Paula; Ma, Jie; Kamal, Hassan; Arshad, Sahar S.; Kirtley, Shona; Collins, Gary S.] Univ Oxford, Ctr Stat Med, Nuffield Dept Orthopaed Rheumatol &amp; Musculoskeleta, Oxford OX3 7LD, England; [Dhiman, Paula; Murphy, Michael F.; Collins, Gary S.] Oxford Univ Hosp NHS Fdn Trust, NIHR Oxford Biomed Res Ctr, Oxford, England; [Gibbs, Victoria N.; Palmer, Antony J. R.] Univ Oxford, Nuffield Dept Orthopaed Rheumatol &amp; Musculoskeleta, Oxford, England; [Rampotas, Alexandros; Doree, Carolyn; Murphy, Michael F.] John Radcliffe Hosp, Systemat Review Initiat, NHS Blood &amp; Transplant, Oxford, England; [Kamal, Hassan] Univ Dundee, Ninewells Hosp &amp; Med Sch, Sch Med, Dundee DD1 9SY, Scotland; [Murphy, Michael F.; Palmer, Antony J. R.] Univ Oxford, Radcliffe Dept Med, Nuffield Div Clin Lab Sci, NIHR Blood &amp; Transplant Res Unit Data Driven Trans, Oxford, England; [Palmer, Antony J. R.] Oxford Univ Hosp, Nuffield Orthopaed Ctr, Windmill Rd, Oxford OX3 7HE, England</t>
  </si>
  <si>
    <t>University of Oxford; University of Oxford; Oxford University Hospitals NHS Foundation Trust; University of Oxford; University of Oxford; University of Dundee; University of Oxford; Nuffield Orthopaedic Centre</t>
  </si>
  <si>
    <t>Systematic review highlights high risk of bias of clinical prediction models for blood transfusion in patients undergoing elective surgery</t>
  </si>
  <si>
    <t>Blood transfusion; Prediction model; Risk of bias; Systematic review; Meta-analysis; Surgery</t>
  </si>
  <si>
    <t>PERIOPERATIVE TRANSFUSION; LIVER-TRANSPLANTATION; EXTERNAL VALIDATION; CELL TRANSFUSION; CARDIAC-SURGERY; HEPATOCELLULAR-CARCINOMA; INDIVIDUAL PROGNOSIS; IDENTIFYING PATIENTS; DIAGNOSIS TRIPOD; SCORE</t>
  </si>
  <si>
    <t>Doree, Carolyn/JXW-7143-2024; Arshad, Sahar/HZL-1226-2023; Collins, Gary/A-2258-2014; Rampotas, Alexandros/AAM-4305-2020</t>
  </si>
  <si>
    <t>Dhiman, Paula/0000-0002-0989-0623; Gib, Victoria Naomi/0009-0003-7888-4993; Doree, Carolyn/0000-0001-6955-7497; Palmer, Antony/0000-0003-4616-7482; Ma, Jie/0000-0002-3900-1903; Murphy, Michael/0000-0002-2375-7503; Collins, Gary/0000-0002-2772-2316; Rampotas, Alexandros/0000-0002-2681-5860</t>
  </si>
  <si>
    <t>123</t>
  </si>
  <si>
    <t>159</t>
  </si>
  <si>
    <t>10.1016/j.jclinepi.2023.05.002</t>
  </si>
  <si>
    <t>http://dx.doi.org/10.1016/j.jclinepi.2023.05.002</t>
  </si>
  <si>
    <t>MAY 2023</t>
  </si>
  <si>
    <t>K1YI3</t>
  </si>
  <si>
    <t>37156342</t>
  </si>
  <si>
    <t>WOS:001014464100001</t>
  </si>
  <si>
    <t>Wang, JK; Zhang, JR; Zhu, XY; Chen, ZY; Zhou, J; Liu, L; Li, B</t>
  </si>
  <si>
    <t>Background Metabolic and bariatric surgery is one of the treatments for obesity, yet postoperative weight loss outcomes vary significantly among patients. Accurate prediction of these outcomes is crucial for personalized clinical decision-making. Machine learning (ML) models offer potential advantages over traditional methods by capturing complex, non-linear patterns in data. However, the performance and clinical utility of ML models for predicting weight loss after metabolic and bariatric surgery remain understudied. This study aims to examine the use of ML models to predict weight loss outcomes after metabolic and bariatric surgery. Methods We conducted a systematic review and meta-analysis to assess the performance and quality of predictive models for weight loss outcomes after metabolic and bariatric surgery. We searched PubMed, Web of Science, Embase, and Cochrane Library up to June 1, 2025. The quality assessment was performed using PROBAST + AI tool and adherence to reporting standards was assessed with the TRIPOD + AI checklist. Meta-analysis of area under the curve (AUC) values was conducted using a random-effects model. Results Twelve studies met the inclusion criteria, and eight were included in a quantitative synthesis. The pooled AUC was 0.846 (95% CI: 0.755-0.908), indicating good discriminative performance, but with high heterogeneity (I &amp; sup2;= 75.4%, p = 0.0021). However, the included studies generally had a high risk of bias, particularly in the analysis domain, as assessed by the PROBAST + AI tool. Adherence to TRIPOD + AI reporting guidelines was suboptimal, with key methodological details often omitted. Conclusion This review demonstrates the potential of ML models in predicting weight loss outcomes after metabolic and bariatric surgery. However, the clinical applicability is limited by the high risk of bias, significant heterogeneity, and reporting gaps. Future research should prioritize rigorous validation, standardized reporting, and multicentre collaborations to enhance model reliability and generalizability.</t>
  </si>
  <si>
    <t>Wang, Jinkun; Zhang, Jiarun; Zhu, Xiaoyun; Chen, Zhaoyi; Zhou, Jun; Liu, Lu; Li, Bin</t>
  </si>
  <si>
    <t>Li, B (corresponding author), Beijing Hosp Tradit Chinese Med, Dept Acupuncture &amp; Moxibust, Beijing, Peoples R China.</t>
  </si>
  <si>
    <t>lululalavictor1985@126.com; 872696154@qq.com; zhoujun@bjzhongyi.com; lblswjk@163.com; zjr_637@163.com; qiebenben@163.com; 3247700796@qq.com</t>
  </si>
  <si>
    <t>Outstanding Young Talents Program of Capital Medial University [B2207]; the fifth batch of national TCM clinical outstanding talents project; Capital's Funds for Health Improvement and Research [2024-1-2232]; Beijing Hospital Management Center "peak" talent training plan team [DFL20241001]; Beijing Natural Science Foundation [7232271]</t>
  </si>
  <si>
    <t>Outstanding Young Talents Program of Capital Medial University; the fifth batch of national TCM clinical outstanding talents project; Capital's Funds for Health Improvement and Research; Beijing Hospital Management Center "peak" talent training plan team; Beijing Natural Science Foundation (Beijing Natural Science Foundation)</t>
  </si>
  <si>
    <t>This work was supported by the Capital's Funds for Health Improvement and Research (2024-1-2232), Beijing Natural Science Foundation (7232271), Beijing Hospital Management Center "peak" talent training plan team (DFL20241001), the fifth batch of national TCM clinical outstanding talents project, Outstanding Young Talents Program of Capital Medial University (B2207).</t>
  </si>
  <si>
    <t>[Wang, Jinkun; Zhang, Jiarun; Chen, Zhaoyi; Zhou, Jun; Liu, Lu; Li, Bin] Beijing Hosp Tradit Chinese Med, Dept Acupuncture &amp; Moxibust, Beijing, Peoples R China; [Wang, Jinkun] Beijing Univ Chinese Med, Dept Grad Sch, Beijing, Peoples R China; [Zhu, Xiaoyun] Guanganmen Hosp, Dept Lab Diabet, Beijing, Peoples R China</t>
  </si>
  <si>
    <t>Beijing University of Chinese Medicine; Guang'anmen Hospital, CACMS</t>
  </si>
  <si>
    <t>Machine Learning Prediction Models for Weight Loss Outcomes after Metabolic and Bariatric Surgery: a Systematic Review and Meta-Analysis</t>
  </si>
  <si>
    <t>OBESITY SURGERY</t>
  </si>
  <si>
    <t>Metabolic and bariatric surgery; Weight loss prediction; Machine learning; Meta-analysis; Systematic review</t>
  </si>
  <si>
    <t>Y GASTRIC BYPASS; CLINICAL FACTORS; META-REGRESSION; MANAGEMENT; REDUCTION; REMISSION</t>
  </si>
  <si>
    <t>Wang, Jinkun/AEE-4226-2022</t>
  </si>
  <si>
    <t>0960-8923</t>
  </si>
  <si>
    <t>1708-0428</t>
  </si>
  <si>
    <t>OBES SURG</t>
  </si>
  <si>
    <t>Obes. Surg.</t>
  </si>
  <si>
    <t>36</t>
  </si>
  <si>
    <t>3301</t>
  </si>
  <si>
    <t>3311</t>
  </si>
  <si>
    <t>10.1007/s11695-026-08686-2</t>
  </si>
  <si>
    <t>http://dx.doi.org/10.1007/s11695-026-08686-2</t>
  </si>
  <si>
    <t>JG6YM</t>
  </si>
  <si>
    <t>42012596</t>
  </si>
  <si>
    <t>WOS:001745344700001</t>
  </si>
  <si>
    <t>Li, Y; Lu, GY; Liu, XL; Lu, J; Song, W; Cui, JW</t>
  </si>
  <si>
    <t>Low-dose CT (LDCT) lung cancer screening significantly reduces mortality but has dramatically increased the detection of pulmonary nodules. Most of these nodules are benign, leading to a high false-positive rate that triggers unnecessary invasive procedures and patient anxiety, underscoring the need for more precise noninvasive diagnostic tools. Critically, single-modality liquid biopsy biomarkers, including circulating tumor cells, cell-free DNA mutations, or individual microRNAs, have demonstrated insufficient sensitivity or specificity for independent clinical deployment when used in isolation. This necessitates a paradigm shift toward multimodal molecular integration, wherein complementary biomarker classes are combined to overcome the inherent limitations of any single analyte. Traditional clinical prediction models (Mayo, VA, Brock, Herder) assist in estimating malignancy risk, yet their accuracy remains modest. Emerging approaches harness radiomics and artificial intelligence (AI) to extract high-dimensional imaging features from chest CT scans, improving risk stratification beyond human assessment alone. In parallel, minimally invasive liquid biopsy biomarkers offer complementary avenues to detect occult malignancy signals. Additionally, bronchial airway gene expression classifiers leverage the "field-of-injury" effect in normal respiratory epithelium to help identify lung cancer even when the nodule itself cannot be directly sampled via biopsy. Integrating these radiologic and molecular data streams into a multi-omics framework has the potential to enhance diagnostic precision for indeterminate pulmonary nodules, enabling more confident discrimination between benign and malignant lesions. However, most of these emerging tools have not yet been validated in large prospective trials and face technological barriers as well as challenges in real-world implementation. This review focuses primarily on LDCT screening detected pulmonary nodules, while incorporating evidence from incidentally detected and other indeterminate nodule cohorts when relevant to broader CT based management. By synthesizing advances in radiomics, AI, liquid biopsy, airway classifiers, and multi-omics integration, we highlight the need for prospective validation and multidisciplinary collaboration to translate these approaches into clinically useful pathways that improve early lung cancer detection, reduce unnecessary interventions, and enhance patient outcomes.</t>
  </si>
  <si>
    <t>Li, Yan; Lu, Guanyu; Liu, Xiangliang; Lu, Jin; Song, Wei; Cui, Jiuwei</t>
  </si>
  <si>
    <t>Cui, JW (corresponding author), First Hosp Jilin Univ, Canc Ctr, 1 Xinmin St, Changchun 130061, Jilin, Peoples R China.</t>
  </si>
  <si>
    <t>cuijw@jlu.edu.cn</t>
  </si>
  <si>
    <t>National Natural Science Foundation of China [82303211, 82541026]</t>
  </si>
  <si>
    <t>National Natural Science Foundation of China (National Natural Science Foundation of China (NSFC))</t>
  </si>
  <si>
    <t>This work was supported by the National Natural Science Foundation of China (82303211, 82541026) .</t>
  </si>
  <si>
    <t>[Li, Yan; Lu, Guanyu; Liu, Xiangliang; Lu, Jin; Song, Wei; Cui, Jiuwei] First Hosp Jilin Univ, Canc Ctr, 1 Xinmin St, Changchun 130061, Jilin, Peoples R China</t>
  </si>
  <si>
    <t>Jilin University</t>
  </si>
  <si>
    <t>Pulmonary nodule prediction in the multi-omics era: Integrating radiomics, AI, liquid biopsy, and airway classifiers</t>
  </si>
  <si>
    <t>CRITICAL REVIEWS IN ONCOLOGY HEMATOLOGY</t>
  </si>
  <si>
    <t>pulmonary nodules; lung cancer; prediction model; liquid biopsy; artificial intelligence; multi-omics</t>
  </si>
  <si>
    <t>CIRCULATING TUMOR-CELLS; LUNG-CANCER; COMPUTED-TOMOGRAPHY; MODEL; MALIGNANCY; BIOMARKERS; CLASSIFICATION; PROBABILITY; VALIDATION; BENIGN</t>
  </si>
  <si>
    <t>1040-8428</t>
  </si>
  <si>
    <t>1879-0461</t>
  </si>
  <si>
    <t>CRIT REV ONCOL HEMAT</t>
  </si>
  <si>
    <t>Crit. Rev. Oncol./Hematol.</t>
  </si>
  <si>
    <t>SEP 2026</t>
  </si>
  <si>
    <t>225</t>
  </si>
  <si>
    <t>105483</t>
  </si>
  <si>
    <t>10.1016/j.critrevonc.2026.105483</t>
  </si>
  <si>
    <t>http://dx.doi.org/10.1016/j.critrevonc.2026.105483</t>
  </si>
  <si>
    <t>Oncology; Hematology</t>
  </si>
  <si>
    <t>LM2ST</t>
  </si>
  <si>
    <t>42431477</t>
  </si>
  <si>
    <t>WOS:001827943500001</t>
  </si>
  <si>
    <t>Upshaw, JN</t>
  </si>
  <si>
    <t>Patients with breast cancer have higher rates of cardiovascular disease than age-matched controls. Anthracyclines and trastuzumab increase the risk of heart failure (HF) and radiation increases the risk of ischemic heart disease, valvular disease and HF. Older age, low normal ejection fraction, history of coronary artery disease (CAD), cardiac risk factors, higher cumulative anthracycline exposure, combination anthracycline and trastuzumab and/or radiation all increase the risk of cardiac events post treatment. Clinical prediction models (CPMs) and/or genetic testing may be useful in guiding treatment decisions but further external validation is necessary. Screening for asymptomatic cardiotoxicity using echocardiography after completion of therapy is reasonable in patients receiving anthracyclines and/or radiation, especially in those with traditional cardiac risk factors such as hypertension, diabetes, hyperlipidemia, and obesity or with low normal baseline left ventricular ejection fraction (LVEF). Elevated cardiac troponins during anthracycline therapy and early reductions in myocardial deformation may predict subsequent reductions in LVEF but further research is needed to demonstrate clinical benefit to routine screening and early treatment. Neurohormonal antagonist therapy with ACEi/ARBs and beta-blockers are indicated in patients with reduced ejection fraction and ongoing research will clarify the role for neurohormonal antagonists and statins for the prevention of breast cancer therapy cardiotoxicity. Patients treated for breast cancer should be educated on the evidence for optimal lifestyle behaviors such as not smoking, regular exercise, healthy diet and maintaining a healthy weight in reducing the risk of cardiovascular disease. Traditional cardiac risk factors such as hypertension, diabetes and hyperlipidemia should be optimally managed to reduce the risk of cardiovascular events in patients treated for breast cancer.</t>
  </si>
  <si>
    <t>Upshaw, Jenica N.</t>
  </si>
  <si>
    <t>Upshaw, JN (corresponding author), Tufts Med Ctr, Div Cardiol, 800 Washington St, Boston, MA 02111 USA.</t>
  </si>
  <si>
    <t>jupshaw@tuftsmedicalcenter.org</t>
  </si>
  <si>
    <t>[Upshaw, Jenica N.] Tufts Med Ctr, Div Cardiol, 800 Washington St, Boston, MA 02111 USA</t>
  </si>
  <si>
    <t>Tufts Medical Center</t>
  </si>
  <si>
    <t>Cardio-oncology: protecting the heart from curative breast cancer treatment</t>
  </si>
  <si>
    <t>GLAND SURGERY</t>
  </si>
  <si>
    <t>Breast cancer; heart failure (HF); coronary artery disease (CAD); prevention; screening</t>
  </si>
  <si>
    <t>LEFT-VENTRICULAR DYSFUNCTION; ANTHRACYCLINE-INDUCED CARDIOTOXICITY; TRIAL COMPARING DOXORUBICIN; 2013 ACCF/AHA GUIDELINE; ASSOCIATION TASK-FORCE; CARDIOVASCULAR-DISEASE; FOLLOW-UP; ADJUVANT TRASTUZUMAB; RANDOMIZED-TRIAL; MYOCARDIAL-INFARCTION</t>
  </si>
  <si>
    <t>98</t>
  </si>
  <si>
    <t>AME PUBLISHING COMPANY</t>
  </si>
  <si>
    <t>SHATIN</t>
  </si>
  <si>
    <t>FLAT-RM C 16F, KINGS WING PLAZA 1, NO 3 KWAN ST, SHATIN, HONG KONG 00000, PEOPLES R CHINA</t>
  </si>
  <si>
    <t>2227-684X</t>
  </si>
  <si>
    <t>2227-8575</t>
  </si>
  <si>
    <t>GLAND SURG</t>
  </si>
  <si>
    <t>Gland Surg.</t>
  </si>
  <si>
    <t>AUG 2018</t>
  </si>
  <si>
    <t>SI</t>
  </si>
  <si>
    <t>365</t>
  </si>
  <si>
    <t>10.21037/gs.2017.11.09</t>
  </si>
  <si>
    <t>http://dx.doi.org/10.21037/gs.2017.11.09</t>
  </si>
  <si>
    <t>GQ0XE</t>
  </si>
  <si>
    <t>30175052</t>
  </si>
  <si>
    <t>WOS:000441342900002</t>
  </si>
  <si>
    <t>Liu, A; Varathan, KD; Ramoo, V; Gunarathne, TGNS</t>
  </si>
  <si>
    <t>Objectives To systematically review machine learning-based prediction models for deep vein thrombosis (DVT) in hospitalized patients and to evaluate their methodological quality, predictive performance, and clinical applicability. Methods This systematic review was conducted in accordance with PRISMA and registered in PROSPERO (CRD420251069584). PubMed, Embase, Web of Science, and CINAHL were searched from November 1, 2015, to November 1, 2025. Studies developing, validating, or updating machine learning-based prediction models for DVT in hospitalized adults were included. Data were extracted on study characteristics, data sources, predictors, modeling methods, validation strategies, and model performance. Risk of bias and applicability were assessed using PROBAST. A meta-analysis of validation AUCs was performed in R, and heterogeneity was explored using the Cochrane Q test, I2 statistic, subgroup analysis, and sensitivity analysis. Results A total of 983 studies were initially identified through database searches. Following screening, 17 studies met the inclusion criteria, of which 10 were included in the meta-analysis. D-dimer, surgery, and age emerged as the most frequently reported predictors across models. Six studies were judged to be at high risk of bias, mainly because of limitations in the analysis domain, including inadequate reporting of missing-data handling, calibration, and validation procedures. The pooled AUC of the 10 validated models was 0.85 (95% CI: 0.81-0.90), indicating good overall discrimination; however, heterogeneity was substantial and remained high in subgroup and sensitivity analyses. Conclusion Machine learning-based models for predicting DVT in hospitalized patients show promising discriminative performance, but their clinical applicability remains limited by methodological weaknesses, poor reporting, substantial heterogeneity, and insufficient external validation. Future studies should prioritize multicenter external validation, transparent reporting, and head-to-head comparison with established clinical risk assessment tools.</t>
  </si>
  <si>
    <t>Liu, An; Varathan, Kasturi Dewi; Ramoo, Vimala; Gunarathne, Thalwaththe Gedara Nadeeka Shayamalie</t>
  </si>
  <si>
    <t>Gunarathne, TGNS (corresponding author), Univ Malaya, Fac Med, Dept Nursing Sci, Kuala Lumpur, Malaysia.</t>
  </si>
  <si>
    <t>nadeeka.tgns@um.edu.my</t>
  </si>
  <si>
    <t>[Liu, An; Ramoo, Vimala; Gunarathne, Thalwaththe Gedara Nadeeka Shayamalie] Univ Malaya, Fac Med, Dept Nursing Sci, Kuala Lumpur, Malaysia; [Varathan, Kasturi Dewi] Univ Malaya, Fac Comp Sci &amp; Informat Technol, Dept Informat Syst, Kuala Lumpur, Malaysia</t>
  </si>
  <si>
    <t>Universiti Malaya; Universiti Malaya</t>
  </si>
  <si>
    <t>Machine learning prediction models for deep vein thrombosis in hospitalized patients: a systematic review and meta-analysis</t>
  </si>
  <si>
    <t>deep vein thrombosis; machine learning; meta-analysis; prediction model; systematic review</t>
  </si>
  <si>
    <t>RISK-ASSESSMENT MODEL; VENOUS THROMBOEMBOLISM; VALIDATION</t>
  </si>
  <si>
    <t>VARATHAN, KASTURI DEWI/B-8756-2010; Gunarathne, Thalwaththe Gedara Nadeeka/KYQ-1366-2024; Ramoo, Vimala/C-1002-2010</t>
  </si>
  <si>
    <t>MAY 26 2026</t>
  </si>
  <si>
    <t>1849096</t>
  </si>
  <si>
    <t>10.3389/fmed.2026.1849096</t>
  </si>
  <si>
    <t>http://dx.doi.org/10.3389/fmed.2026.1849096</t>
  </si>
  <si>
    <t>JE7NC</t>
  </si>
  <si>
    <t>42272673</t>
  </si>
  <si>
    <t>WOS:001787582300001</t>
  </si>
  <si>
    <t>Jian, QL; Mu, FX; Wang, KX; Wang, F</t>
  </si>
  <si>
    <t>Objective Recurrent pregnancy loss (RPL) is a significant clinical challenge, with many cases remaining unexplained, and existing risk prediction models often lacking objective evaluation. This study aims to systematically review and evaluate the published risk prediction models for pregnancy outcomes in RPL. Methods Literature search was conducted in August 2024 using PubMed, Embase, Web of Science, CNKI, and CMAJ databases to identify studies that reported the development and/or validation of clinical prediction models for RPL pregnancy outcomes. Pregnancy outcomes included pregnancy loss, ongoing pregnancy, and live birth. Data were extracted using the CHARMS checklist. Risk of bias and applicability were evaluated with PROBAST. Results A total of 1,112 records were identified, with 15 studies ultimately included, encompassing 22 risk prediction models for evaluating RPL patients' pregnancy outcomes. The majority were retrospective cohort studies (13/15), and logistic regression was the predominant modeling method (14/15). Sample sizes ranged from 85 to 789, with the number of predictors per model varying from 2 to 18 (median=5). In total, 65 distinct predictors were identified, including five categories: patient-related, imaging-related, thrombophilia-related, metabolic/endocrinologic, and immunological factors, most frequently maternal age (n=10) and number of previous pregnancy losses (n=9). Among the 20 models that reported discriminative performance by the area under the receiver operating characteristics (ROC) curve (AUC), 13 achieved AUC above 0.80 (range: 0.809-0.97). Notably, 7 studies did not perform any form of validation, and only 3 studies conducted external validation. Despite the models reported a good predictive performance, they were all appraised to have high risk of bias in applicability due to methodological deficiencies. Conclusion The findings suggest that current risk prediction models for RPL pregnancy outcomes have a high risk of bias in clinical applications, primarily due to methodological flaws in development and validation processes. Future research should focus on data quality, sample diversity, and model transparency to ensure broad applicability across different populations, providing more reliable and effective tools for clinical practice.</t>
  </si>
  <si>
    <t>Jian, Qiliang; Mu, Fangxiang; Wang, Kexin; Wang, Fang</t>
  </si>
  <si>
    <t>Wang, F (corresponding author), Lanzhou Univ Second Hosp, Dept Reprod Med, Lanzhou, Peoples R China.</t>
  </si>
  <si>
    <t>ery_fwang@lzu.edu.cn</t>
  </si>
  <si>
    <t>[Jian, Qiliang; Mu, Fangxiang; Wang, Kexin; Wang, Fang] Lanzhou Univ Second Hosp, Dept Reprod Med, Lanzhou, Peoples R China</t>
  </si>
  <si>
    <t>Risk prediction models for pregnancy outcomes in recurrent pregnancy loss: a narrative systematic review</t>
  </si>
  <si>
    <t>FRONTIERS IN ENDOCRINOLOGY</t>
  </si>
  <si>
    <t>recurrent pregnancy loss; prediction model; pregnancy outcomes; systematic review; general practice</t>
  </si>
  <si>
    <t>COUPLES; EVENTS; APPLICABILITY; DIAGNOSIS; PROBAST; BIAS; TOOL</t>
  </si>
  <si>
    <t>1664-2392</t>
  </si>
  <si>
    <t>FRONT ENDOCRINOL</t>
  </si>
  <si>
    <t>Front. Endocrinol.</t>
  </si>
  <si>
    <t>MAY 29 2025</t>
  </si>
  <si>
    <t>1582156</t>
  </si>
  <si>
    <t>10.3389/fendo.2025.1582156</t>
  </si>
  <si>
    <t>http://dx.doi.org/10.3389/fendo.2025.1582156</t>
  </si>
  <si>
    <t>3QU5Q</t>
  </si>
  <si>
    <t>40510467</t>
  </si>
  <si>
    <t>WOS:001506800900001</t>
  </si>
  <si>
    <t>Wang, X; Sun, M; Cui, JX; Liu, YY; Liu, F; Li, J</t>
  </si>
  <si>
    <t>Objective: The postpartum depression (PPD) risk prediction model is an effective risk stratification tool and is expected to play a significant role in the early detection and intervention of PPD. This study aims to summarize the existing evidence on PPD risk prediction models and provide references for their development, validation, and clinical application. Methods: We searched PubMed, EMBASE, and Web of Science databases for original articles published in English up to November 9, 2025. Our primary analysis included studies developing or validating risk prediction models for PPD. Additionally, we identified and appraised independent studies that conducted external evaluation of existing models. Studies developing or validating risk prediction models for PPD were included. Two reviewers independently extracted study characteristics, including predictors, model performance, and methodology, and assessed the risk of bias and applicability using PROBAST+AI (Prediction model Risk Of Bias Assessment Tool). Results: The primary analysis included 13 model development/validation studies, encompassing 64 original prediction models. The most frequently incorporated predictors included maternal age, race/ethnicity, marital status, education level, economic status, history of mental disorders during pregnancy, pre-pregnancy body mass index (BMI), and pregnancy complications. PROBAST+AI assessment revealed a high risk of bias in 10 of 13 model development studies and 12 of 13 model validation studies, primarily due to issues with participant representativeness, predictor handling, and analytical methods. All studies have low applicability concerns. Conclusions: While several models have undergone independent evaluation, the majority of existing AI-based PPD prediction models in the development and validation phase suffer from significant methodological limitations, resulting in a high risk of bias. This critically restricts their current clinical utility. Future work should prioritize methodological quality, external validation, and usability to enable real-world implementation.</t>
  </si>
  <si>
    <t>Wang, Xi; Sun, Min; Cui, Jiaxuan; Liu, Yiyi; Liu, Fang; Li, Jia</t>
  </si>
  <si>
    <t>Li, J (corresponding author), Zunyi Med Univ, Dept Nursing, Zhuhai Campus, Zhuhai, Guangdong, Peoples R China.</t>
  </si>
  <si>
    <t>lj_070508@163.com</t>
  </si>
  <si>
    <t>Key Discipline Construction Project of Zunyi Medical University Zhuhai Campus' [ZHPY2024-1]; Guangdong Provincial Special Innovation Program for Regular Higher Education Institutions' [2025WTSCX119]</t>
  </si>
  <si>
    <t>Key Discipline Construction Project of Zunyi Medical University Zhuhai Campus'; Guangdong Provincial Special Innovation Program for Regular Higher Education Institutions'</t>
  </si>
  <si>
    <t>This study was funded by The 'Key Discipline Construction Project of Zunyi Medical University Zhuhai Campus' (No. ZHPY2024-1) , and '2025 Guangdong Provincial Special Innovation Program for Regular Higher Education Institutions' (No. 2025WTSCX119) .</t>
  </si>
  <si>
    <t>[Wang, Xi; Cui, Jiaxuan; Liu, Yiyi; Li, Jia] Zunyi Med Univ, Dept Nursing, Zhuhai Campus, Zhuhai, Guangdong, Peoples R China; [Sun, Min] Zunyi Med Univ, Affiliated Zhuhai Hosp 5, Dept Nursing, Zhuhai, Guangdong, Peoples R China; [Liu, Fang] Kiang Wu Nursing Coll Macau, Dept Nursing, Macau, Peoples R China</t>
  </si>
  <si>
    <t>Zunyi Medical University; Zunyi Medical University; Kiang Wu Nursing College of Macau</t>
  </si>
  <si>
    <t>Risk-prediction models for postpartum depression: Assessment of risk of bias using PROBAST plus AI</t>
  </si>
  <si>
    <t>MIDWIFERY</t>
  </si>
  <si>
    <t>Postpartum depression; Prediction model; Artificial intelligence; Risk factors; Systematic review</t>
  </si>
  <si>
    <t>ADULTS</t>
  </si>
  <si>
    <t>0266-6138</t>
  </si>
  <si>
    <t>1532-3099</t>
  </si>
  <si>
    <t>Midwifery</t>
  </si>
  <si>
    <t>104778</t>
  </si>
  <si>
    <t>10.1016/j.midw.2026.104778</t>
  </si>
  <si>
    <t>http://dx.doi.org/10.1016/j.midw.2026.104778</t>
  </si>
  <si>
    <t>Nursing</t>
  </si>
  <si>
    <t>HN9QE</t>
  </si>
  <si>
    <t>42048745</t>
  </si>
  <si>
    <t>WOS:001758557500001</t>
  </si>
  <si>
    <t>de Jong, Y; Ramspek, CL; Zoccali, C; Jager, KJ; Dekker, FW; van Diepen, M</t>
  </si>
  <si>
    <t>Over the past few years, a large number of prediction models have been published, often of poor methodological quality. Seemingly objective and straightforward, prediction models provide a risk estimate for the outcome of interest, usually based on readily available clinical information. Yet, using models of substandard methodological rigour, especially without external validation, may result in incorrect risk estimates and consequently misclassification. To assess and combat bias in prediction research the prediction model risk of bias assessment tool (PROBAST) was published in 2019. This risk of bias (ROB) tool includes four domains and 20 signalling questions highlighting methodological flaws, and provides guidance in assessing the applicability of the model. In this paper, the PROBAST will be discussed, along with an in-depth review of two commonly encountered pitfalls in prediction modelling that may induce bias: overfitting and composite endpoints. We illustrate the prevalence of potential bias in prediction models with a meta-review of 50 systematic reviews that used the PROBAST to appraise their included studies, thus including 1510 different studies on 2104 prediction models. All domains showed an unclear or high ROB; these results were markedly stable over time, highlighting the urgent need for attention on bias in prediction research. This article aims to do just that by providing (1) the clinician with tools to evaluate the (methodological) quality of a clinical prediction model, (2) the researcher working on a review with methods to appraise the included models, and (3) the researcher developing a model with suggestions to improve model quality.</t>
  </si>
  <si>
    <t>de Jong, Ype; Ramspek, Chava L.; Zoccali, Carmine; Jager, Kitty J.; Dekker, Friedo W.; van Diepen, Merel</t>
  </si>
  <si>
    <t>de Jong, Y (corresponding author), Leiden Univ Med Ctr, Dept Clin Epidemiol, Leiden, Netherlands.; de Jong, Y (corresponding author), Leiden Univ Med Ctr, Dept Internal Med, Leiden, Netherlands.; de Jong, Y (corresponding author), Renal Res Inst, New York, NY 10065 USA.; de Jong, Y (corresponding author), Hypertens Associat Renal Transplant Nephrol, Reggio Emilia, Italy.; de Jong, Y (corresponding author), Univ Amsterdam, Amsterdam Publ Hlth Inst, ERA EDTA Registry, Dept Med Informat, Amsterdam, Netherlands.</t>
  </si>
  <si>
    <t>y.de_jong@lumc.nl</t>
  </si>
  <si>
    <t>Dutch Kidney Foundation [16OKG12]</t>
  </si>
  <si>
    <t>Dutch Kidney Foundation</t>
  </si>
  <si>
    <t>Dutch Kidney Foundation, Grant/Award Number: 16OKG12</t>
  </si>
  <si>
    <t>[de Jong, Ype; Ramspek, Chava L.; Dekker, Friedo W.; van Diepen, Merel] Leiden Univ Med Ctr, Dept Clin Epidemiol, Leiden, Netherlands; [de Jong, Ype] Leiden Univ Med Ctr, Dept Internal Med, Leiden, Netherlands; [de Jong, Ype; Zoccali, Carmine] Renal Res Inst, New York, NY 10065 USA; [de Jong, Ype; Zoccali, Carmine] Hypertens Associat Renal Transplant Nephrol, Reggio Emilia, Italy; [de Jong, Ype; Jager, Kitty J.] Univ Amsterdam, Amsterdam Publ Hlth Inst, ERA EDTA Registry, Dept Med Informat, Amsterdam, Netherlands</t>
  </si>
  <si>
    <t>Leiden University; Leiden University Medical Center (LUMC); Leiden University; Leiden University Medical Center (LUMC); Renal Research Institute; University of Amsterdam</t>
  </si>
  <si>
    <t>Appraising prediction research: a guide and meta-review on bias and applicability assessment using the Prediction model Risk Of Bias ASsessment Tool (PROBAST)</t>
  </si>
  <si>
    <t>NEPHROLOGY</t>
  </si>
  <si>
    <t>clinical epidemiology; epidemiology; evidence-based medicine; medical education; meta-analysis</t>
  </si>
  <si>
    <t>EXTERNAL VALIDATION; STROKE</t>
  </si>
  <si>
    <t>de Jong, Ype/AGT-0541-2022; Dekker, Friedo/B-6452-2011</t>
  </si>
  <si>
    <t>de Jong, Ype/0000-0002-7805-1508</t>
  </si>
  <si>
    <t>1320-5358</t>
  </si>
  <si>
    <t>1440-1797</t>
  </si>
  <si>
    <t>Nephrology</t>
  </si>
  <si>
    <t>DEC 2021</t>
  </si>
  <si>
    <t>939</t>
  </si>
  <si>
    <t>947</t>
  </si>
  <si>
    <t>10.1111/nep.13913</t>
  </si>
  <si>
    <t>http://dx.doi.org/10.1111/nep.13913</t>
  </si>
  <si>
    <t>Urology &amp; Nephrology</t>
  </si>
  <si>
    <t>WS9KH</t>
  </si>
  <si>
    <t>34138495</t>
  </si>
  <si>
    <t>WOS:000670742600001</t>
  </si>
  <si>
    <t>Wang, Y; Xiao, YY; Yang, QD; Wang, F; Wang, Y; Yuan, C</t>
  </si>
  <si>
    <t>Introduction Multidrug-resistant organisms (MDROs) are pathogenic bacteria that are the leading cause of hospital-acquired infection which is associated with high morbidity and mortality rates in intensive care units, increasing hospitalisation duration and cost. Predicting the risk of MDRO colonisation or infection for critically ill patients supports clinical decision-making. Several models predicting MDRO colonisation or infection have been developed; however, owing to different disease scenarios, bacterial species and few externally validated cohorts in different prediction models; the stability and applicability of these models for MDRO colonisation or infection in critically ill patients are controversial. In addition, there are currently no standardised risk scoring systems to predict MDRO colonisation or infection in critically ill patients. The aim of this systematic review is to summarise and assess models predicting MDRO colonisation or infection in critically ill patients and to compare their predictive performance. Methods and analysis We will perform a systematic search of PubMed, Cochrane Library, CINAHL, Embase, Web of science, China National Knowledge Infrastructure and Wanfang databases to identify all studies describing the development and/or external validation of models predicting MDRO colonisation or infection in critically ill patients. Two reviewers will independently extract and review the data using the Data Extraction for Systematic Reviews of Prediction Modelling Studies checklist; they will also assess the risk of bias using the Prediction Model Risk of Bias Assessment Tool. Quantitative data on model predictive performance will be synthesised in meta-analyses, as applicable. Ethics and dissemination Ethical permissions will not be required because all data will be extracted from published studies. We intend to publish our results in peer-reviewed scientific journals and to present them at international conferences on critical care. PROSPERO registration number CRD42022274175.</t>
  </si>
  <si>
    <t>Wang, Yi; Xiao, Yanyan; Yang, Qidi; Wang, Fang; Wang, Ying; Yuan, Cui</t>
  </si>
  <si>
    <t>Yuan, C (corresponding author), Peking Univ First Hosp, Intens Care Unit, Beijing, Peoples R China.</t>
  </si>
  <si>
    <t>yuancui2013@sina.com</t>
  </si>
  <si>
    <t>[Wang, Yi; Xiao, Yanyan; Yang, Qidi; Wang, Fang; Wang, Ying; Yuan, Cui] Peking Univ First Hosp, Intens Care Unit, Beijing, Peoples R China</t>
  </si>
  <si>
    <t>Clinical prediction models for multidrug-resistant organism colonisation or infection in critically ill patients: a systematic review protocol</t>
  </si>
  <si>
    <t>BMJ OPEN</t>
  </si>
  <si>
    <t>Protocols &amp; guidelines; Risk management; Infection control; Adult intensive &amp; critical care</t>
  </si>
  <si>
    <t>INTENSIVE-CARE-UNIT; RISK; APPLICABILITY; MORTALITY; PROBAST; BIAS; TOOL</t>
  </si>
  <si>
    <t>Xiao, Yanyan/PII-5167-2026</t>
  </si>
  <si>
    <t>2044-6055</t>
  </si>
  <si>
    <t>BMJ Open</t>
  </si>
  <si>
    <t>SEP 2022</t>
  </si>
  <si>
    <t>e064566</t>
  </si>
  <si>
    <t>10.1136/bmjopen-2022-064566</t>
  </si>
  <si>
    <t>http://dx.doi.org/10.1136/bmjopen-2022-064566</t>
  </si>
  <si>
    <t>5B2PO</t>
  </si>
  <si>
    <t>36175101</t>
  </si>
  <si>
    <t>WOS:000863416400038</t>
  </si>
  <si>
    <t>gold; Green Submitted; Green Accepted</t>
  </si>
  <si>
    <t>Ismail, SR; Khalil, MKN; Mohamad, MSF; Shah, SA</t>
  </si>
  <si>
    <t>Background: The cultural and genetic diversity of the Southeast Asian population has contributed to distinct cardiovascular disease risks, incidence, and prognosis compared to the Western population, thereby raising concerns about the accuracy of predicted risks of existing prognostic models. Objectives: We aimed to evaluate the predictive performances of validated, recalibrated, and developed prognostic risk prediction tools used in the Southeast Asian population with acute myocardial infarction (AMI) events for secondary events Methods: We searched MEDLINE and Cochrane Central databases until March 2022. We included prospective and retrospective cohort studies that exclusively evaluated populations in the Southeast Asian region with a confirmed diagnosis of an AMI event and evaluated for risk of secondary events such as mortality, recurrent AMI, and heart failure admission. The CHARMS and PRISMA checklists and PROBAST for risk of bias assessment were used in this review. Results: We included 7 studies with 11 external validations, 3 recalibrations, and 3 new models from 4 countries. Both short- and long-term outcomes were assessed. Overall, we observed that the external validation studies provided a good predictive accuracy of the models in the respective populations. The pooled estimate of the C-statistic in the Southeast Asian population for GRACE risk score is 0.83 (95%CI 0.72-0.90, n = 6 validations) and for the TIMI risk score is 0.80 (95%CI: 0.772-0.83, n = 5 validations). Recalibrated and new models demonstrated marginal improvements in discriminative values. However, the method of predictive accuracy measurement in most studies was insufficient thereby contributing to the mixed accuracy effect. The evidence synthesis was limited due to the relatively low quality and heterogeneity of the available studies. Conclusion: Both TIMI and GRACE risk scores demonstrated good predictive accuracies in the population. However, with the limited strength of evidence, these results should be interpreted with caution. Future higher-quality studies spanning various parts of the Asian region will help to understand the prognostic utility of these models better.Systematic review registration.</t>
  </si>
  <si>
    <t>Ismail, Sophia Rasheeqa; Khalil, Muhamad Khairul Nazrin; Mohamad, Mohd Shawal Faizal; Shah, Shamsul Azhar</t>
  </si>
  <si>
    <t>Shah, SA (corresponding author), Natl Univ Malaysia, Fac Med, Dept Community Hlth, Kuala Lumpur, Malaysia.</t>
  </si>
  <si>
    <t>drsham@ppukm.ukm.edu.my</t>
  </si>
  <si>
    <t>[Ismail, Sophia Rasheeqa; Khalil, Muhamad Khairul Nazrin] Natl Inst Hlth, Inst Med Res, Nutr Metab &amp; Cardiovasc Res Ctr, Shah Alam, Malaysia; [Ismail, Sophia Rasheeqa; Shah, Shamsul Azhar] Natl Univ Malaysia, Fac Med, Dept Community Hlth, Kuala Lumpur, Malaysia; [Mohamad, Mohd Shawal Faizal] Hosp Canselor Tuanku Muhriz, Dept Cardiol, Kuala Lumpur, Malaysia</t>
  </si>
  <si>
    <t>Kementerian Kesihatan Malaysia; Universiti Kebangsaan Malaysia</t>
  </si>
  <si>
    <t>Systematic review and meta-analysis of prognostic models in Southeast Asian populations with acute myocardial infarction</t>
  </si>
  <si>
    <t>risk prediction model; prognostic model; acute myocardial infarction; validation; Southeast Asia</t>
  </si>
  <si>
    <t>GRACE RISK SCORE; CLINICAL-PREDICTION MODELS; ACUTE CORONARY SYNDROMES; ADVERSE CARDIAC EVENTS; IN-HOSPITAL MORTALITY; CARDIOVASCULAR RISK; CHINESE PATIENTS; GLOBAL REGISTRY; UNSTABLE ANGINA; TIMI</t>
  </si>
  <si>
    <t>Shah, Shamsul Azhar/IXN-9583-2023; Khalil, Muhamad khairul nazrin/KBA-6696-2024; Ismail, Sophia Rasheeqa/AAE-1089-2022</t>
  </si>
  <si>
    <t>Ismail, Sophia Rasheeqa/0000-0002-4271-0241</t>
  </si>
  <si>
    <t>JUL 26 2022</t>
  </si>
  <si>
    <t>921044</t>
  </si>
  <si>
    <t>10.3389/fcvm.2022.921044</t>
  </si>
  <si>
    <t>http://dx.doi.org/10.3389/fcvm.2022.921044</t>
  </si>
  <si>
    <t>3Q6WM</t>
  </si>
  <si>
    <t>35958391</t>
  </si>
  <si>
    <t>WOS:000838368900001</t>
  </si>
  <si>
    <t>Feller, D; Wingbermuhle, R; Berg, B; Vigdal, ON; Innocenti, T; Grotle, M; Ostelo, R; Chiarotto, A</t>
  </si>
  <si>
    <t>This metaresearch study aimed to evaluate the completeness of reporting of prediction model studies in patients with spinal pain or osteoarthritis (OA) in terms of adherence to the transparent reporting of a multivariable prediction model for individual prognosis or diagnosis (TRIPOD) statement. We searched for prognostic and diagnostic prediction models in patients with spinal pain or OA in MEDLINE, Embase, Web of Science, and CINAHL. Using a standardized assessment form, we assessed the adherence to the TRIPOD of the included studies. Two independent reviewers performed the study selection and data extraction phases. We included 66 studies. Approximately 35% of the studies declared to have used the TRIPOD. The median adherence to the TRIPOD was 59% overall (interquartile range (IQR): 21.8), with the items of the methods and results sections having the worst reporting. Studies on neck pain had better adherence to the TRIPOD than studies on back pain and OA (medians of 76.5%, 59%, and 53%, respectively). External validation studies had the highest total adherence (median: 79.5%, IQR: 12.8) of all the study types. The median overall adherence was 4 points higher in studies that declared TRIPOD use than those that did not. Finally, we did not observe any improvement in adherence over the years. The adherence to the TRIPOD of prediction models in the spinal and OA fields is low, with the methods and results sections being the most poorly reported. Future studies on prediction models in spinal pain and OA should follow the TRIPOD to improve their reporting completeness. Perspective: This article provides data about adherence to the TRIPOD statement in 66 prediction model studies for spinal pain or OA. The adherence to the TRIPOD statement was found to be low (median adherence of 59%). This inadequate reporting may negatively impact the effective use of the models in clinical practice. (c) 2024 The Author(s). Published by Elsevier Inc. on behalf of United States Association for the Study of Pain, Inc This is an open access article under the CC BY license (http://creativecommons.org/licenses/by/4.0/).</t>
  </si>
  <si>
    <t>Feller, Daniel; Wingbermuhle, Roel; Berg, Bjornar; Vigdal, Orjan Nesse; Innocenti, Tiziano; Grotle, Margreth; Ostelo, Raymond; Chiarotto, Alessandro</t>
  </si>
  <si>
    <t>Feller, D (corresponding author), Via Lungo Leno 27, I-38068 Trento, Italy.</t>
  </si>
  <si>
    <t>d.feller@erasmusmc.nl</t>
  </si>
  <si>
    <t>[Feller, Daniel] Prov Agcy Hlth Autonomous Prov Trento, Dept Rehabil, Trento, Italy; [Feller, Daniel] Prov Agcy Hlth Autonomous Prov Trento, Dept Human Resources, Trento, Italy; [Feller, Daniel; Wingbermuhle, Roel; Chiarotto, Alessandro] Univ Med Ctr, Dept Gen Practice, Erasmus MC, Rotterdam, Netherlands; [Wingbermuhle, Roel] SOMT Univ Physiotherapy, Dept Physiotherapy &amp; Rehabil Sci, Amersfoort, Netherlands; [Berg, Bjornar] Oslo Metropolitan Univ, Fac Hlth Sci, Ctr Intelligent Musculoskeletal Hlth, Oslo, Norway; [Vigdal, Orjan Nesse] OsloMet Oslo Metropolitan Univ, Fac Hlth Sci, Dept Rehabil Sci &amp; Hlth Technol, Oslo, Norway; [Innocenti, Tiziano; Ostelo, Raymond] Vrije Univ Amsterdam, Fac Sci, Dept Hlth Sci, Amsterdam Movement Sci, Amsterdam, Netherlands; [Innocenti, Tiziano] GIMBE Fdn, Bologna, Italy; [Grotle, Margreth] Oslo Univ Hosp, Dept Res &amp; Innovat, Div Clin Neurosci, Oslo, Norway; [Ostelo, Raymond] Locat Vrije Univ, Amsterdam Movement Sci, Amsterdam UMC, Amsterdam, Netherlands; [Ostelo, Raymond] Amsterdam Movement Sci, Musculoskeletal Hlth, Amsterdam, Netherlands</t>
  </si>
  <si>
    <t>Erasmus University Rotterdam; Erasmus MC; Oslo Metropolitan University (OsloMet); Oslo Metropolitan University (OsloMet); Vrije Universiteit Amsterdam; University of Oslo; University of Amsterdam; Vrije Universiteit Amsterdam; Vrije Universiteit Amsterdam</t>
  </si>
  <si>
    <t>Improvements Are Needed in the Adherence to the TRIPOD Statement for Clinical Prediction Models for Patients With Spinal Pain or Osteoarthritis: A Metaresearch Study</t>
  </si>
  <si>
    <t>JOURNAL OF PAIN</t>
  </si>
  <si>
    <t>Reporting guidelines; machine learning; reporting; prognosis; diagnosis</t>
  </si>
  <si>
    <t>REPORTING GUIDELINES; PROGNOSTIC MODELS; PRIMARY-CARE; DIAGNOSIS</t>
  </si>
  <si>
    <t>Chiarotto, Alessandro/X-5526-2019; Innocenti, Tiziano/AGG-6047-2022; Feller, Daniel/ACB-3822-2022; Ostelo, Raymond/GSE-2602-2022</t>
  </si>
  <si>
    <t>Berg, Bjørnar/0000-0002-9017-5562; Chiarotto, Alessandro/0000-0003-2350-9945; Innocenti, Tiziano/0000-0003-4696-6989; Feller, Daniel/0000-0001-9853-3486; Ostelo, Raymond/0000-0001-7679-7210</t>
  </si>
  <si>
    <t>CHURCHILL LIVINGSTONE</t>
  </si>
  <si>
    <t>EDINBURGH</t>
  </si>
  <si>
    <t>JOURNAL PRODUCTION DEPT, ROBERT STEVENSON HOUSE, 1-3 BAXTERS PLACE, LEITH WALK, EDINBURGH EH1 3AF, MIDLOTHIAN, SCOTLAND</t>
  </si>
  <si>
    <t>1526-5900</t>
  </si>
  <si>
    <t>1528-8447</t>
  </si>
  <si>
    <t>J PAIN</t>
  </si>
  <si>
    <t>J. Pain</t>
  </si>
  <si>
    <t>NOV 2024</t>
  </si>
  <si>
    <t>104624</t>
  </si>
  <si>
    <t>10.1016/j.jpain.2024.104624</t>
  </si>
  <si>
    <t>http://dx.doi.org/10.1016/j.jpain.2024.104624</t>
  </si>
  <si>
    <t>Clinical Neurology; Neurosciences</t>
  </si>
  <si>
    <t>Neurosciences &amp; Neurology</t>
  </si>
  <si>
    <t>J4B8Q</t>
  </si>
  <si>
    <t>39002741</t>
  </si>
  <si>
    <t>WOS:001336543300001</t>
  </si>
  <si>
    <t>Li, P; Bai, Y; Yuan, X; Zhang, H; Li, F; Liu, J; Du, J; Xing, Y</t>
  </si>
  <si>
    <t>Multi-drug-resistant organism (MDRO) infections pose a significant threat to patient safety in intensive care units (ICUs). Risk prediction models (RPMs) are promising tools for early identification, but their stability and generalizability remain uncertain. This systematic review aimed to evaluate the status, methodological quality, and performance of RPMs for MDRO infection in adult ICU patients. We searched five databases for studies published up to 30th July, 2025. Studies that developed or validated a prediction model were included. Data on characteristics, predictors, methods, and performance were extracted. Quality was assessed using the Prediction model Risk Of Bias Assessment Tool (PROBAST). Sixtytwo studies, comprising 100 prediction models, were included in the analysis. Most were single-centre, retrospective studies from mainland China. Predictors were categorized into ten domains, with antibiotic use, comorbidities, and invasive procedures being the most frequent. Logistic regression was the most common technique. Model validation was insufficient: 37 studies did not report detailed validation, and only 17 performed external validation. PROBAST indicated a high risk of bias in 87.1% of studies, primarily due to analytical shortcomings like inappropriate predictor handling, suboptimal variable selection, and lack of proper validation. The systematic review reveals that existing RPMs have methodological limitations and constrained generalizability, hindering clinical application. Future efforts should focus on integrating dynamic predictors, conducting rigorous external validation, and developing models based on large-scale, prospective, multi-centre data. (c) 2026 The Author(s). Published by Elsevier Ltd on behalf of The Healthcare Infection Society. This is an open access article under the CC BY-NC-ND license (http://creativecommons.org/licenses/by-nc-nd/4.0/).</t>
  </si>
  <si>
    <t>Li, P.; Bai, Y.; Yuan, X.; Zhang, H.; Li, F.; Liu, J.; Du, J.; Xing, Y.</t>
  </si>
  <si>
    <t>Xing, Y (corresponding author), Peking Univ Third Hosp, Dept Nosocomial Infect Management, Huayuanbeilu 49, Beijing 100191, Peoples R China.</t>
  </si>
  <si>
    <t>xingyan@bjmu.edu.cn</t>
  </si>
  <si>
    <t>Capital's Funds for Health Improvement and Research [CFH 2024-2G-40916]; Peking University Third Hospital Clinical Cohort Construction Project [BYSYDL2022008]; Peking University Third Hospital Innovation and Transformation Fund Project [BYSYZHKC126]</t>
  </si>
  <si>
    <t>Capital's Funds for Health Improvement and Research; Peking University Third Hospital Clinical Cohort Construction Project; Peking University Third Hospital Innovation and Transformation Fund Project</t>
  </si>
  <si>
    <t>This work was supported by Capital's Funds for Health Improvement and Research (CFH 2024-2G-40916), Peking University Third Hospital Clinical Cohort Construction Project (BYSYDL2022008) , and Peking University Third Hospital Innovation and Transformation Fund Project (BYSYZHKC126).</t>
  </si>
  <si>
    <t>[Li, P.; Bai, Y.; Yuan, X.; Zhang, H.; Du, J.; Xing, Y.] Peking Univ Third Hosp, Dept Nosocomial Infect Management, Huayuanbeilu 49, Beijing 100191, Peoples R China; [Li, F.; Liu, J.] Peking Univ Third Hosp, Beijing Haidian Hosp, Dept Infect Control, Haidian Sect, Zhongguancundajie 29, Beijing, Peoples R China; [Xing, Y.] Peking Univ Third Hosp, Dept Pediat, Huayuanbeilu 49, Beijing, Peoples R China</t>
  </si>
  <si>
    <t>Peking University; Peking University; Peking University</t>
  </si>
  <si>
    <t>Clinical prediction models for hospital-acquired infection of multi-drug-resistant organism in intensive care units: a systematic review</t>
  </si>
  <si>
    <t>Hospital infection; Multi-drug-resistant organism; Intensive care units; Risk prediction models</t>
  </si>
  <si>
    <t>RISK; ESTABLISHMENT; NOMOGRAM</t>
  </si>
  <si>
    <t>173</t>
  </si>
  <si>
    <t>294</t>
  </si>
  <si>
    <t>306</t>
  </si>
  <si>
    <t>10.1016/j.jhin.2026.04.022</t>
  </si>
  <si>
    <t>http://dx.doi.org/10.1016/j.jhin.2026.04.022</t>
  </si>
  <si>
    <t>KE4AG</t>
  </si>
  <si>
    <t>42103026</t>
  </si>
  <si>
    <t>WOS:001804974300001</t>
  </si>
  <si>
    <t>Ricci, V; Martinotti, G; Mosca, A; Maina, G</t>
  </si>
  <si>
    <t>Background Identifying biomarkers to predict psychosis transition in clinical high-risk (CHR) individuals represents a critical challenge in early intervention psychiatry. While 20-30 % of CHR individuals develop psychosis within two years, most do not transition, necessitating improved prognostic tools. This systematic review evaluates neurobiological, neuroimaging, genetic, and peripheral biomarkers for predicting psychosis onset. Methods Following PRISMA guidelines, we searched five databases (PubMed, Scopus, Web of Science, PsycINFO, Embase) through November 2024 for longitudinal studies assessing baseline biomarkers in CHR populations. Study quality was evaluated using the Newcastle-Ottawa Scale and PROBAST. Due to substantial heterogeneity, findings were synthesized narratively. Results From 7894 citations, 46 studies encompassing similar to 15,500 CHR unique individuals were included. Neurophysiological measures showed the most consistent replication, with mismatch negativity and P300 event-related potentials demonstrating moderate effect sizes in multiple independent cohorts. Structural neuroimaging identified prefrontal and anterior cingulate volume reductions as predictive markers. Polygenic risk scores explained similar to 10 % of transition variance in European ancestry populations but performed poorly in non-European samples. Multimodal prediction models achieved 70-86 % accuracy in development samples, though external validation remains absent. Clinical prediction models using symptoms and functioning often matched or exceeded biomarker-based approaches. Conclusions Despite two decades of research, no biomarker achieves clinical implementation standards. Methodological limitations include small samples, validation deficits, and population biases. While biomarkers illuminate psychosis pathophysiology and identify potential intervention targets, their current value lies primarily in research rather than clinical practice. Future priorities include adequately powered multi-site studies with rigorous external validation across diverse populations</t>
  </si>
  <si>
    <t>Ricci, Valerio; Martinotti, Giovanni; Mosca, Alessio; Maina, Giuseppe</t>
  </si>
  <si>
    <t>Ricci, V (corresponding author), Univ Turin, San Luigi Gonzaga Hosp, Reg Gonzole 10, I-10043 Orbassano, Italy.</t>
  </si>
  <si>
    <t>valerio.ricci@unito.it</t>
  </si>
  <si>
    <t>[Ricci, Valerio] Univ Turin, San Luigi Gonzaga Hosp, Reg Gonzole 10, I-10043 Orbassano, Italy; [Martinotti, Giovanni; Mosca, Alessio] Univ G Annunzio Chieti Pescara, Dept Neurosci, Imaging &amp; Clin Sci, I-66100 Chieti, Italy; [Maina, Giuseppe] Univ Turin, Dept Neurosci Rita Levi Montalcini, Via Cherasco 15, I-10126 Turin, Italy</t>
  </si>
  <si>
    <t>Azienda Ospedaliero-Universitaria San Luigi Gonzaga; University of Turin; G d'Annunzio University of Chieti-Pescara; University of Turin</t>
  </si>
  <si>
    <t>Biomarkers for predicting transition from at-risk mental state to psychosis: A systematic review</t>
  </si>
  <si>
    <t>NEUROSCIENCE AND BIOBEHAVIORAL REVIEWS</t>
  </si>
  <si>
    <t>At-risk mental state; Clinical high risk; Psychosis; Biomarkers; Polygenic risk score; Event-related potentials</t>
  </si>
  <si>
    <t>CLINICAL HIGH-RISK; ULTRA-HIGH-RISK; YOUNG-ADULTS; MISMATCH NEGATIVITY; SCHIZOPHRENIA; INDIVIDUALS; METAANALYSIS; ONSET; OUTCOMES; YOUTH</t>
  </si>
  <si>
    <t>Martinotti, Giovanni/AAC-7592-2022; Mosca, Alessio/AEM-5947-2022; Ricci, Valerio/AAL-7972-2021</t>
  </si>
  <si>
    <t>0149-7634</t>
  </si>
  <si>
    <t>1873-7528</t>
  </si>
  <si>
    <t>NEUROSCI BIOBEHAV R</t>
  </si>
  <si>
    <t>Neurosci. Biobehav. Rev.</t>
  </si>
  <si>
    <t>106612</t>
  </si>
  <si>
    <t>10.1016/j.neubiorev.2026.106612</t>
  </si>
  <si>
    <t>http://dx.doi.org/10.1016/j.neubiorev.2026.106612</t>
  </si>
  <si>
    <t>Behavioral Sciences; Neurosciences</t>
  </si>
  <si>
    <t>Behavioral Sciences; Neurosciences &amp; Neurology</t>
  </si>
  <si>
    <t>EC1TW</t>
  </si>
  <si>
    <t>41707763</t>
  </si>
  <si>
    <t>WOS:001697590000001</t>
  </si>
  <si>
    <t>Wildes, DM; Chisale, M; Drew, RJ; Harrington, P; Watson, CJ; Ledwidge, MT; Gallagher, J</t>
  </si>
  <si>
    <t>Background: Our goal was to identify existing clinical prediction rules for predicting hospitalisation due to lower respiratory tract infection (LRTI) in children in primary care, guiding antibiotic therapy. A validation of these rules was then performed in a novel cohort of children presenting to primary care in Malawi with World Health Organisation clinically defined pneumonia.Methods: MEDLINE &amp; EMBASE databases were searched for studies on the development, validation and clinical impact of clinical prediction models for hospitalisation in children with lower respiratory tract infection between January 1st1946-June 30th 2021. Two reviewers screened all abstracts and titles independently. The study was conducted in accordance with the Preferred Reporting Items for Systematic Reviews &amp; Meta-Analyses guidelines. The BIOTOPE cohort (BIOmarkers TO diagnose PnEumonia) recruited children aged 2-59 months with WHO-defined pneumonia from two primary care facilities in Mzuzu, Malawi. Validation of identified rules was undertaken in this cohort.Findings: 1023 abstracts were identified. Following the removal of duplicates, a review of 989 abstracts was conducted leading to the identification of one eligible model. The CHARMS checklist for prediction modelling studies was utilized for evaluation. The area under the curve (AUC) of the STARWAVe rule for hospitalisation in BIOTOPE was found to be 0.80 (95% C.I of 0.75-0.85). The AUC of STARWAVe for a confirmed diagnosis of bacterial pneumonia was 0.39 (95% C.I 0.25-0.54).Interpretation: This review highlights the lack of clinical prediction rules in this area. The STARWAVe rule iden-tified was useful in predicting hospitalisation from bacterial infection as defined. However, in the absence of a gold standard indicator for bacterial LRTI, this is a reasonable surrogate and could lead to reductions in antibiotic prescription rates, should clinical impact studies prove its utility. Further work to determine the clinical impact of STARWAVe and to identify diagnostic tests for bacterial LRTI in primary care is required. (C) 2021 The Author(s). Published by Elsevier Ltd.</t>
  </si>
  <si>
    <t>Wildes, Dermot M.; Chisale, Master; Drew, Richard J.; Harrington, Peter; Watson, Chris J.; Ledwidge, Mark T.; Gallagher, Joe</t>
  </si>
  <si>
    <t>Wildes, DM (corresponding author), Univ Coll Dublin, Sch Med, gHlth Res Grp, Dublin, Ireland.</t>
  </si>
  <si>
    <t>Bill &amp; Melinda Gates Foundation [OPP1139557]; Bill and Melinda Gates Foundation [OPP1139557] Funding Source: Bill and Melinda Gates Foundation</t>
  </si>
  <si>
    <t>Bill &amp; Melinda Gates Foundation (Bill &amp; Melinda Gates Foundation, Bill &amp; Melinda Gates Foundation Grand Challenges Explorations Initiative, CGIAR); Bill and Melinda Gates Foundation (Bill &amp; Melinda Gates Foundation)</t>
  </si>
  <si>
    <t>This study was funded in whole or in part by the support of the Bill &amp; Melinda Gates Foundation (Investment ID: OPP1139557). The foundation was not involved in study design, data collection, analysis, interpretation or drafting of this report.</t>
  </si>
  <si>
    <t>[Wildes, Dermot M.; Harrington, Peter; Ledwidge, Mark T.; Gallagher, Joe] Univ Coll Dublin, Sch Med, UCD Conway Inst, gHlth Res Grp, Dublin, Ireland; [Chisale, Master] Mzuzu Univ, Fac Sci Technol &amp; Innovat, Biol Sci Dept, Mzuzu, Malawi; [Drew, Richard J.] Irish Meningitis &amp; Sepsis Reference Lab, Temple St, Dublin 2, Ireland; [Watson, Chris J.] Queens Univ Belfast, Wellcome Wolfson Inst Expt Med, Belfast, Antrim, North Ireland</t>
  </si>
  <si>
    <t>University College Dublin; Queens University Belfast</t>
  </si>
  <si>
    <t>A systematic review of clinical prediction rules to predict hospitalisation in children with lower respiratory infection in primary care and their validation in a new cohort</t>
  </si>
  <si>
    <t>ECLINICALMEDICINE</t>
  </si>
  <si>
    <t>Paediatrics; Respiratory Medicine; Infectious disease; Global health; Pneumonia</t>
  </si>
  <si>
    <t>Chisale/AAG-3033-2019; Wildes, Dermot Michael/HKO-9658-2023; Gallagher, Joseph/L-6810-2013</t>
  </si>
  <si>
    <t>Chisale/0000-0002-8301-6184; Wildes, Dermot Michael/0000-0001-6281-5713; ew, Richard John/0000-0001-9797-3797; Gallagher, Joseph/0000-0002-5564-2890; Ledwidge, Mark/0000-0001-7391-2949</t>
  </si>
  <si>
    <t>2589-5370</t>
  </si>
  <si>
    <t>EClinicalMedicine</t>
  </si>
  <si>
    <t>101164</t>
  </si>
  <si>
    <t>10.1016/j.eclinm.2021.101164</t>
  </si>
  <si>
    <t>http://dx.doi.org/10.1016/j.eclinm.2021.101164</t>
  </si>
  <si>
    <t>XD9SH</t>
  </si>
  <si>
    <t>34712930</t>
  </si>
  <si>
    <t>WOS:000723039100006</t>
  </si>
  <si>
    <t>Liu, L; Zhu, QX; Zong, YC; Chen, XY; Zhang, W; Wang, J</t>
  </si>
  <si>
    <t>Background: Preeclampsia is a severe hypertensive disorder with rising global prevalence. While machine learning (ML) models for predicting preeclampsia are increasingly published, existing evidence shows high heterogeneity, and the distinction between internal performance and external transferability remains unclear. Objective: This study aims to evaluate the performance of ML models in predicting preeclampsia through a systematic review and meta-analysis, while also exploring their potential clinical application value, in order to specifically enhance the quality of future research and the predictive capability of the models. Methods: Following PRISMA (Preferred Reporting Items for Systematic Reviews and Meta-Analyses) guidelines and PROSPERO registration, we searched PubMed, Web of Science, IEEE Xplore, and CNKI (China National Knowledge Infrastructure) for studies published through February 2025. We included studies using ML to predict preeclampsia in pregnant women. Bias was assessed using PROBAST (Prediction model Risk of Bias Assessment Tool). We calculated summary estimates using random-effects models and, crucially, computed 95% prediction intervals (PIs) to estimate performance in future clinical settings. Subgroup and meta-regression analyses were conducted to explore heterogeneity. Results: In total, 26 studies comprising 31 ML models were included. While the pooled area under the receiver operating characteristic curve was high at 0.91 (95% CI 0.87-0.92), extreme heterogeneity was observed (I-2&gt;99%). The 95% PI for sensitivity was wide (0.32-0.96), indicating that in some external settings, sensitivity could drop to 32%. Only 6 studies conducted external validation; in these, the pooled sensitivity decreased to 0.68, with a PI of 0.25-0.94.Subgroup analysis suggested that models incorporating laboratory biomarkers and neural networks outperformed others, though CIs overlapped. Conclusions: Current evidence suggests that a high area under the curve in ML models is more likely to reflect the "performance" of the model on the internal development dataset rather than its universal "effectiveness" and clinical utility in independent, diverse populations. The apparent performance exhibits significant contextual dependence. Future studies should conduct multicenter, prospective external validation and recalibration research to enhance transferability and reliability.</t>
  </si>
  <si>
    <t>Liu, Lu; Zhu, Qixuan; Zong, Yichi; Chen, Xueyuan; Zhang, Wei; Wang, Jun</t>
  </si>
  <si>
    <t>Wang, J (corresponding author), China Med Univ, Shengjing Hosp, Dept Obstet &amp; Gynecol, 36 Sanhao St, Shenyang 110000, Liaoning, Peoples R China.</t>
  </si>
  <si>
    <t>wangj1@sj-hospital.org</t>
  </si>
  <si>
    <t>Liaoning Provincial Science and Technology Program Joint Initiative (Key Research and Development Program Project); General project of the Department of Education in Liaoning Province [JYTMS20230103]</t>
  </si>
  <si>
    <t>Liaoning Provincial Science and Technology Program Joint Initiative (Key Research and Development Program Project); General project of the Department of Education in Liaoning Province</t>
  </si>
  <si>
    <t>This work was supported by the grants from Liaoning Provincial Science and Technology Program Joint Initiative (Key Research and Development Program Project) and The general project of the Department of Education in Liaoning Province (JYTMS20230103) .</t>
  </si>
  <si>
    <t>[Liu, Lu] China Med Univ, Sch Publ Hlth, Shenyang, Liaoning, Peoples R China; [Liu, Lu; Zong, Yichi; Chen, Xueyuan; Zhang, Wei] China Med Univ, Shengjing Hosp, Dept Obstet &amp; Gynecol, , Liaoning Prov China, Shenyang, Peoples R China; [Zhu, Qixuan] Univ Penn, Sch Engn, Philadelphia, PA USA; [Wang, Jun] China Med Univ, Shengjing Hosp, Dept Obstet &amp; Gynecol, 36 Sanhao St, Shenyang 110000, Liaoning, Peoples R China</t>
  </si>
  <si>
    <t>China Medical University; China Medical University; University of Pennsylvania; China Medical University</t>
  </si>
  <si>
    <t>Machine Learning Prediction Models for Preeclampsia: Systematic Review and Meta-Analysis</t>
  </si>
  <si>
    <t>JOURNAL OF MEDICAL INTERNET RESEARCH</t>
  </si>
  <si>
    <t>preeclampsia; machine learning; predictive models; meta-analysis; artificial intelligence; computer-assisted diagnosis</t>
  </si>
  <si>
    <t>PERFORMANCE</t>
  </si>
  <si>
    <t>chen, xueyuan/0009-0003-2856-8167; Zong, Yichi/0000-0002-2203-6499; liu, lu/0009-0003-4282-5318; zhang, wei/0009-0006-9778-1043</t>
  </si>
  <si>
    <t>1439-4456</t>
  </si>
  <si>
    <t>1438-8871</t>
  </si>
  <si>
    <t>J MED INTERNET RES</t>
  </si>
  <si>
    <t>J. Med. Internet Res.</t>
  </si>
  <si>
    <t>JAN 19 2026</t>
  </si>
  <si>
    <t>e78714</t>
  </si>
  <si>
    <t>10.2196/78714</t>
  </si>
  <si>
    <t>http://dx.doi.org/10.2196/78714</t>
  </si>
  <si>
    <t>CR3CL</t>
  </si>
  <si>
    <t>41554533</t>
  </si>
  <si>
    <t>WOS:001672564000001</t>
  </si>
  <si>
    <t>Gharishvandi, F; Moheimani, H; Esmaeili, S; Larijani, B; Tootee, A; Esfahani, EN; Fahimfar, N</t>
  </si>
  <si>
    <t>Background Proper synthesis of existing epidemiologic studies on diabetes in Iran can guide future research efforts. We aimed to conduct a comprehensive scoping review on all research articles that investigated any aspect of diabetes epidemiology in Iran during 2015-2019. Methods This work was conducted as a part of the Iran Diabetes Research Roadmap and completed under Arksey and O'Malley's framework for scoping reviews. The Scopus and PubMed databases were searched on Feb 15(th), 2020. Eligible document types on diabetes epidemiology in the Iranian population, in Persian or English, that published during the 2015-2019 period underwent eligibility assessment. A total of 315 relevant articles were included and further analysis was performed on the original studies (n = 268). Through classifying them into six domains: Diabetes incidence; the prevalence of diabetes and associated factors; the incidence/prevalence of complications/comorbid conditions; mortality/survival; burden; and prediction modeling. Results In total, 64 (20.3%) papers were published in Q1 journals, and 40 (12.6%) were international collaborations. No clear annual trend was present in the number of published primary or secondary articles, the portion of papers published in Q1 journals, international collaborations or relative domain proportions. Few review articles were found on prediction modeling, mortality or burden (excluding global studies). Conclusions Our findings show a minor portion of works on diabetic epidemiology in Iran meets the quality standards of Q1 journals. Researchers have neglected some critical subjects and have occasionally fallen for common pitfalls of epidemiologic research. In particular, adhering to established guidelines can help authors implement rigorous methods to develop, validate, and deploy practical clinical prediction models. Researchers should prioritize investigating longitudinally collected data that aid in measuring disease incidence and enable casual inference.</t>
  </si>
  <si>
    <t>Gharishvandi, Fatemeh; Moheimani, Hamed; Esmaeili, Shahnaz; Larijani, Bagher; Tootee, Ali; Esfahani, Ensieh Nasli; Fahimfar, Noushin</t>
  </si>
  <si>
    <t>Esfahani, EN (corresponding author), Univ Tehran Med Sci, Diabet Res Ctr, Endocrinol &amp; Metab Clin Sci Inst, POB 1411413137, Tehran, Iran.; Fahimfar, N (corresponding author), Univ Tehran Med Sci, Endocrinol &amp; Metab Clin Sci Inst, Osteoporosis Res Ctr, Tehran, Iran.</t>
  </si>
  <si>
    <t>nfahimfar@gmail.com; n.nasli@yahoo.com</t>
  </si>
  <si>
    <t>[Gharishvandi, Fatemeh; Esmaeili, Shahnaz; Tootee, Ali; Esfahani, Ensieh Nasli] Univ Tehran Med Sci, Diabet Res Ctr, Endocrinol &amp; Metab Clin Sci Inst, POB 1411413137, Tehran, Iran; [Moheimani, Hamed; Fahimfar, Noushin] Univ Tehran Med Sci, Endocrinol &amp; Metab Clin Sci Inst, Osteoporosis Res Ctr, Tehran, Iran; [Larijani, Bagher] Univ Tehran Med Sci, Endocrinol &amp; Metab Clin Sci Inst, Endocrinol &amp; Metab Res Ctr, Tehran, Iran</t>
  </si>
  <si>
    <t>Epidemiology of diabetes in Iran: A scoping review of studies published during 2015-2019</t>
  </si>
  <si>
    <t>JOURNAL OF DIABETES AND METABOLIC DISORDERS</t>
  </si>
  <si>
    <t>Diabetes; Epidemiology; Iran; Prediction modeling; Research roadmap</t>
  </si>
  <si>
    <t>EXTERNAL VALIDATION; RISK-FACTORS; SELF-REPORTS; PREDICTION; MELLITUS; DISEASES; MODEL</t>
  </si>
  <si>
    <t>Tootee, Ali/AAE-4768-2019; Fahimfar, Noushin/M-2310-2018; Moheimani, Hamed/ISA-7869-2023; Larijani, Bagher/ABE-3315-2020</t>
  </si>
  <si>
    <t>Moheimani, Hamed/0000-0001-7855-5143; Larijani, Bagher/0000-0001-5386-7597</t>
  </si>
  <si>
    <t>SPRINGER INT PUBL AG</t>
  </si>
  <si>
    <t>CHAM</t>
  </si>
  <si>
    <t>GEWERBESTRASSE 11, CHAM, CH-6330, SWITZERLAND</t>
  </si>
  <si>
    <t>2251-6581</t>
  </si>
  <si>
    <t>J DIABETES METAB DIS</t>
  </si>
  <si>
    <t>J. Diabetes Metab. Disord.</t>
  </si>
  <si>
    <t>DEC 2022</t>
  </si>
  <si>
    <t>1913</t>
  </si>
  <si>
    <t>1921</t>
  </si>
  <si>
    <t>10.1007/s40200-022-01094-0</t>
  </si>
  <si>
    <t>http://dx.doi.org/10.1007/s40200-022-01094-0</t>
  </si>
  <si>
    <t>6G9RJ</t>
  </si>
  <si>
    <t>36404822</t>
  </si>
  <si>
    <t>WOS:000836083400002</t>
  </si>
  <si>
    <t>Adeoye, J; Tan, JY; Choi, SW; Thomson, P</t>
  </si>
  <si>
    <t>Objectives: Machine learning platforms are now being introduced into modern oncological practice for classification and prediction of patient outcomes. To determine the current status of the application of these learning models as adjunctive decision-making tools in oral cavity cancer management, this systematic review aims to summarize the accuracy of machine-learning based models for disease outcomes. Methods: Electronic databases including PubMed, Scopus, EMBASE, Cochrane Library, LILACS, SciELO, PsychINFO, and Web of Science were searched up until December 21, 2020. Pertinent articles detailing the development and accuracy of machine learning prediction models for oral cavity cancer outcomes were selected in a two-stage process. Quality assessment was conducted using the Quality in Prognosis Studies (QUIPS) tool and results of base studies were qualitatively synthesized by all authors. Outcomes of interest were malignant transformation of precancer lesions, cervical lymph node metastasis, as well as treatment response, and prognosis of oral cavity cancer. Results: Twenty-seven articles out of 950 citations identified from electronic and manual searching were included in this study. Five studies had low bias concerns on the QUIPS tool. Prediction of malignant transformation, cervical lymph node metastasis, treatment response, and prognosis were reported in three, six, eight, and eleven articles respectively. Accuracy of these learning models on the internal or external validation sets ranged from 0.85 to 0.97 for malignant transformation prediction, 0.78-0.91 for cervical lymph node metastasis prediction, 0.64-1.00 for treatment response prediction, and 0.71-0.99 for prognosis prediction. In general, most trained algorithms predicting these outcomes performed better than alternate methods of prediction. We also found that models including molecular markers in training data had better accuracy estimates for malignant transformation, treatment response, and prognosis prediction. Conclusion: Machine learning algorithms have a satisfactory to excellent accuracy for predicting three of four oral cavity cancer outcomes i.e., malignant transformation, nodal metastasis, and prognosis. However, considering the training approach of many available classifiers, these models may not be streamlined enough for clinical application currently.</t>
  </si>
  <si>
    <t>Adeoye, John; Tan, Jia Yan; Choi, Siu-Wai; Thomson, Peter</t>
  </si>
  <si>
    <t>Tan, JY; Choi, SW (corresponding author), Univ Hong Kong, Fac Dent, Oral &amp; Maxillofacial Surg, Hong Kong, Peoples R China.</t>
  </si>
  <si>
    <t>jiayant@hku.hk; htswchoi@hku.hk</t>
  </si>
  <si>
    <t>[Adeoye, John; Tan, Jia Yan; Choi, Siu-Wai; Thomson, Peter] Univ Hong Kong, Fac Dent, Oral &amp; Maxillofacial Surg, Hong Kong, Peoples R China</t>
  </si>
  <si>
    <t>University of Hong Kong</t>
  </si>
  <si>
    <t>Prediction models applying machine learning to oral cavity cancer outcomes: A systematic review</t>
  </si>
  <si>
    <t>INTERNATIONAL JOURNAL OF MEDICAL INFORMATICS</t>
  </si>
  <si>
    <t>Oral cavity cancer; Machine learning; Deep learning; Artificial intelligence</t>
  </si>
  <si>
    <t>SQUAMOUS-CELL CARCINOMA; LYMPH-NODE METASTASIS; FUZZY INFERENCE; TONGUE CANCER; LONG-TERM; SURVIVAL; PROGNOSIS; EPIDEMIOLOGY; RECURRENCE</t>
  </si>
  <si>
    <t>Thomson, Peter/L-7719-2016; ADEOYE, JOHN/ADI-3059-2022</t>
  </si>
  <si>
    <t>Thomson, Peter/0000-0002-2007-7975; ADEOYE, JOHN/0000-0003-3493-1463</t>
  </si>
  <si>
    <t>ELSEVIER IRELAND LTD</t>
  </si>
  <si>
    <t>CLARE</t>
  </si>
  <si>
    <t>ELSEVIER HOUSE, BROOKVALE PLAZA, EAST PARK SHANNON, CO, CLARE, 00000, IRELAND</t>
  </si>
  <si>
    <t>1386-5056</t>
  </si>
  <si>
    <t>1872-8243</t>
  </si>
  <si>
    <t>INT J MED INFORM</t>
  </si>
  <si>
    <t>Int. J. Med. Inform.</t>
  </si>
  <si>
    <t>104557</t>
  </si>
  <si>
    <t>10.1016/j.ijmedinf.2021.104557</t>
  </si>
  <si>
    <t>http://dx.doi.org/10.1016/j.ijmedinf.2021.104557</t>
  </si>
  <si>
    <t>Computer Science, Information Systems; Health Care Sciences &amp; Services; Medical Informatics</t>
  </si>
  <si>
    <t>Computer Science; Health Care Sciences &amp; Services; Medical Informatics</t>
  </si>
  <si>
    <t>WC7CG</t>
  </si>
  <si>
    <t>34455119</t>
  </si>
  <si>
    <t>WOS:000704411500012</t>
  </si>
  <si>
    <t>Toumazis, I; Bastani, M; Han, SS; Plevritis, SK</t>
  </si>
  <si>
    <t>Lung cancer remains the leading cause of cancer related deaths worldwide. Lung cancer screening using lowdose computed tomography (LDCT) has been shown to reduce lung cancer specific mortality. In 2013, the United States Preventive Services Task Force (USPSTF) recommended annual lung cancer screening with LDCT for smokers aged between 55 years to 80 years, with at least 30 pack-years of smoking exposure that currently smoke or who have quit smoking within 15 years. Risk-based lung cancer screening is an alternative approach that defines screening eligibility based on the personal risk of individuals. Selection of individuals for lung cancer screening based on their personal lung cancer risk has been shown to improve the sensitivity and specificity associated with the eligibility criteria of the screening program as compared to the 2013 USPSTF criteria. Numerous risk prediction models have been developed to estimate the lung cancer risk of individuals incorporating sociodemographic, smoking, and clinical risk factors associated with lung cancer, including age, smoking history, sex, race/ethnicity, personal and family history of cancer, and history of emphysema and chronic obstructive pulmonary disease (COPD), among others. Some risk prediction models include biomarker information, such as germline mutations or protein-based biomarkers as independent risk predictors, in addition to clinical, smoking, and sociodemographic risk factors. While, the majority of lung cancer risk prediction models are suitable for selecting high-risk individuals for lung cancer screening, some risk models have been developed to predict the probability of malignancy of screen-detected solidary pulmonary nodules or to optimize the screening frequency of eligible individuals by incorporating past screening findings. In this systematic review, we provide an overview of existing risk prediction models and their applications to lung cancer screening. We discuss potential strengths and limitations of lung cancer screening using risk prediction models and future research directions.</t>
  </si>
  <si>
    <t>Toumazis, Iakovos; Bastani, Mehrad; Han, Summer S.; Plevritis, Sylvia K.</t>
  </si>
  <si>
    <t>Plevritis, SK (corresponding author), Stanford Univ, Dept Biomed Data Sci, James H Clark Ctr, Room S255A,318 Campus Dr, Stanford, CA 94305 USA.</t>
  </si>
  <si>
    <t>sylvia.plevritis@stanford.edu; summer.han@stanford.edu; bastani@stanford.edu; iakovos.toumazis@stanford.edu</t>
  </si>
  <si>
    <t>National Cancer Institute at the National Institutes of Health [F32 CA220961, U01 CA199284]</t>
  </si>
  <si>
    <t>National Cancer Institute at the National Institutes of Health (United States Department of Health &amp; Human Services, National Institutes of Health (NIH) - USA, NIH National Cancer Institute (NCI))</t>
  </si>
  <si>
    <t>This work was supported by the National Cancer Institute at the National Institutes of Health (grant numbers: F32 CA220961 to I.T. and U01 CA199284 to S.K.P.). The funder had no role in the design of the study; the collection, analysis, and interpretation of the data; the writing of the manuscript; and the decision to submit the manuscript for publication.</t>
  </si>
  <si>
    <t>[Toumazis, Iakovos; Bastani, Mehrad; Plevritis, Sylvia K.] Stanford Univ, Dept Biomed Data Sci, Stanford, CA 94305 USA; [Toumazis, Iakovos; Bastani, Mehrad; Plevritis, Sylvia K.] Stanford Univ, Dept Radiol, Stanford, CA 94305 USA; [Han, Summer S.] Stanford Univ, Dept Med, Quantitat Sci Unit, Stanford, CA 94305 USA</t>
  </si>
  <si>
    <t>Stanford University; Stanford University; Stanford Medicine; Stanford Medicine; Stanford University</t>
  </si>
  <si>
    <t>Risk-Based lung cancer screening: A systematic review</t>
  </si>
  <si>
    <t>LUNG CANCER</t>
  </si>
  <si>
    <t>Lung neoplasms; Screening; Early diagnosis; Risk assessment; Risk prediction; Statistical model; Pulmonary nodules; Computed tomography</t>
  </si>
  <si>
    <t>SOLITARY PULMONARY NODULES; CLINICAL-PREDICTION MODEL; MULTICENTER EXTERNAL VALIDATION; COMPUTED-TOMOGRAPHY; PRETEST PROBABILITY; INDIVIDUAL RISK; MULTISTAGE CARCINOGENESIS; SELECTION CRITERIA; BAYESIAN-ANALYSIS; MALIGNANCY</t>
  </si>
  <si>
    <t>Toumazis, Iakovos/IUO-0347-2023</t>
  </si>
  <si>
    <t>Toumazis, Iakovos/0000-0002-3462-2137</t>
  </si>
  <si>
    <t>220</t>
  </si>
  <si>
    <t>257</t>
  </si>
  <si>
    <t>0169-5002</t>
  </si>
  <si>
    <t>1872-8332</t>
  </si>
  <si>
    <t>Lung Cancer</t>
  </si>
  <si>
    <t>147</t>
  </si>
  <si>
    <t>186</t>
  </si>
  <si>
    <t>10.1016/j.lungcan.2020.07.007</t>
  </si>
  <si>
    <t>http://dx.doi.org/10.1016/j.lungcan.2020.07.007</t>
  </si>
  <si>
    <t>Oncology; Respiratory System</t>
  </si>
  <si>
    <t>NR3PX</t>
  </si>
  <si>
    <t>32721652</t>
  </si>
  <si>
    <t>WOS:000571476500001</t>
  </si>
  <si>
    <t>Navarro, CLA; Damen, JAA; van Smeden, M; Takada, T; Nijman, SWJ; Dhiman, P; Ma, J; Collins, GS; Bajpai, R; Riley, RD; Moons, KGM; Hooft, L</t>
  </si>
  <si>
    <t>Background and Objectives: We sought to summarize the study design, modelling strategies, and performance measures reported in studies on clinical prediction models developed using machine learning techniques.Methods: We search PubMed for articles published between 01/01/2018 and 31/12/2019, describing the development or the development with external validation of a multivariable prediction model using any supervised machine learning technique. No restrictions were made based on study design, data source, or predicted patient-related health outcomes.Results: We included 152 studies, 58 (38.2% [95% CI 30.8-46.1]) were diagnostic and 94 (61.8% [95% CI 53.9-69.2]) prognostic studies. Most studies reported only the development of prediction models (n = 133, 87.5% [95% CI 81.3-91.8]), focused on binary outcomes (n = 131, 86.2% [95% CI 79.8-90.8), and did not report a sample size calculation (n = 125, 82.2% [95% CI 75.4-87.5]). The most common algorithms used were support vector machine (n = 86/522, 16.5% [95% CI 13.5-19.9]) and random forest (n = 73/522, 14% [95% CI 11.3-17.2]). Values for area under the Receiver Operating Characteristic curve ranged from 0.45 to 1.00. Calibration metrics were often missed (n 5 494/522, 94.6% [95% CI 92.4-96.3]).Conclusion: Our review revealed that focus is required on handling of missing values, methods for internal validation, and reporting of calibration to improve the methodological conduct of studies on machine learning-based prediction models.Systematic review registration: PROSPERO, CRD42019161764. (c) 2022 The Author(s). Published by Elsevier Inc. This is an open access article under the CC BY license (http://creativecommons.org/licenses/by/4.0/).</t>
  </si>
  <si>
    <t>Navarro, Constanza L. Andaur; Damen, Johanna A. A.; van Smeden, Maarten; Takada, Toshihiko; Nijman, Steven W. J.; Dhiman, Paula; Ma, Jie; Collins, Gary S.; Bajpai, Ram; Riley, Richard D.; Moons, Karel G. M.; Hooft, Lotty</t>
  </si>
  <si>
    <t>Navarro, CLA (corresponding author), Julius Ctr Hlth Sci &amp; Primary Care, Univ Weg 100,POB 8550, NL-3508 GA Utrecht, Netherlands.</t>
  </si>
  <si>
    <t>Cancer Research UK [C49297/A27294, 27294] Funding Source: Medline</t>
  </si>
  <si>
    <t>[Navarro, Constanza L. Andaur; Damen, Johanna A. A.; van Smeden, Maarten; Takada, Toshihiko; Nijman, Steven W. J.; Moons, Karel G. M.; Hooft, Lotty] Univ Utrecht, Univ Med Ctr Utrecht, Julius Ctr Hlth Sci &amp; Primary Care, Utrecht, Netherlands; [Navarro, Constanza L. Andaur; Damen, Johanna A. A.; Moons, Karel G. M.; Hooft, Lotty] Univ Utrecht, Univ Med Ctr Utrecht, Cochrane Netherlands, Utrecht, Netherlands; [Dhiman, Paula; Ma, Jie; Collins, Gary S.] Univ Oxford, Ctr Stat Med, Nuffield Dept Orthopaed Rheumatol &amp; Musculoskeleta, Oxford, England; [Dhiman, Paula; Collins, Gary S.] Oxford Univ Hosp NHS Fdn Trust, NIHR Oxford Biomed Res Ctr, Oxford, England; [Bajpai, Ram; Riley, Richard D.] Keele Univ, Ctr Prognosis Res, Sch Med, Keele, England; [Navarro, Constanza L. Andaur] Julius Ctr Hlth Sci &amp; Primary Care, Univ Weg 100,POB 8550, NL-3508 GA Utrecht, Netherlands</t>
  </si>
  <si>
    <t>Systematic review identifies the design and methodological conduct of studies on machine learning-based prediction models</t>
  </si>
  <si>
    <t>Predictive algorithm; Risk prediction; Diagnosis; Prognosis; Development; Validation</t>
  </si>
  <si>
    <t>RISK; APPLICABILITY; EXPLANATION; VALIDATION; DIAGNOSIS; PROBAST; BIAS; TOOL</t>
  </si>
  <si>
    <t>Bajpai, Ram/I-1038-2016; Riley, Richard D/G-2406-2011; van Smeden, Maarten/Y-7034-2019; Dhiman, Paula/Y-7034-2019; Moons, Karel GM/JPA-4011-2023; Hooft, Lotty/PCC-6420-2025; Collins, Gary/A-2258-2014</t>
  </si>
  <si>
    <t>Bajpai, Ram/0000-0002-1227-2703; Riley, Richard D/0000-0001-8699-0735; Nijman, Steven/0000-0001-6798-2078; Ma, Jie/0000-0002-3900-1903; Dhiman, Paula/0000-0002-0989-0623; van Smeden, Maarten/0000-0002-5529-1541; Dhiman, Paula/0000-0002-0989-0623; Hooft, Lotty/0000-0002-7950-2980; Damen, Johanna/0000-0001-7401-4593; Collins, Gary/0000-0002-2772-2316; Andaur Navarro, Constanza L/0000-0002-7745-2887; Takada, Toshihiko/0000-0002-8032-6224</t>
  </si>
  <si>
    <t>FEB 2023</t>
  </si>
  <si>
    <t>10.1016/j.jclinepi.2022.11.015</t>
  </si>
  <si>
    <t>http://dx.doi.org/10.1016/j.jclinepi.2022.11.015</t>
  </si>
  <si>
    <t>7S3ZM</t>
  </si>
  <si>
    <t>36436815</t>
  </si>
  <si>
    <t>WOS:000910694800001</t>
  </si>
  <si>
    <t>Srivats, S; Zghyer, F; Shahrori, Z; Albert, C; Al-Khatib, SM; Chugh, S; Etheridge, SP; Goldberger, ZD; Gopinathannair, R; Lakkireddy, D; Morin, DP; Perez, MV; Rottmann, M; Sunshine, JE; Wang, PJ; Chung, MK</t>
  </si>
  <si>
    <t>Sudden cardiac death (SCD) remains a pervasive public health challenge, accounting for a significant proportion of cardiac and all-cause mortality worldwide. Despite notable advancements in cardiovascular therapies and reductions in overall cardiac mortality, survival following sudden cardiac arrest (SCA) remains dismally low, and prediction strategies remain inadequate. This comprehensive review examines the current landscape of SCD etiologies and the latest guidelines for primary and secondary prevention of SCD with implantable cardioverter defibrillators (ICDs). Particular attention is given to the limitations of left ventricular ejection fraction (LVEF) as the primary tool for risk stratification, given its low sensitivity, specificity, and limited applicability to the broader population in which most SCDs occur. Emerging risk scores and machine learning (ML) driven prediction models have begun to efficiently integrate clinical, electrical, imaging, genetic and laboratory parameters to improve SCD risk stratification. This review highlights examples of such artificial intelligence (AI) prediction models and discusses their potential role in the near-term and long-term prediction of SCD in both in-hospital and out-of-hospital settings, while emphasizing the need for external validation of such models. The review also discusses critical system-level gaps in the chain of survival from cardiac arrest, particularly the need for automated emergency medical services (EMS) activation, community responder engagement, high-quality cardiopulmonary resuscitation (CPR) and improved access to defibrillation. It explores the role of digital technologies such as wearable sensors, smartwatches, smartphone applications and implantable devices in improving realtime SCA detection and enhancing early aspects of the chain of survival from cardiac arrest. Finally, the review calls for a multidisciplinary, multi-sectoral approach including regulatory, technological, and public health stakeholders to bridge gaps in SCD prevention, detection, and response.</t>
  </si>
  <si>
    <t>Srivats, Sudarshan; Zghyer, Fawzi; Shahrori, Zaid; Albert, Christine; Al-Khatib, Sana M.; Chugh, Sumeet; Etheridge, Susan P.; Goldberger, Zachary D.; Gopinathannair, Rakesh; Lakkireddy, Dhanunjaya; Morin, Daniel P.; Perez, Marco, V; Rottmann, Markus; Sunshine, Jacob E.; Wang, Paul J.; Chung, Mina K.</t>
  </si>
  <si>
    <t>Chung, MK (corresponding author), Cleveland Clin, Dept Cardiovasc Med, Heart Vasc &amp; Thorac Inst, 9500 Euclid Ave,J2-2, Cleveland, OH 44195 USA.</t>
  </si>
  <si>
    <t>chungm@ccf.org</t>
  </si>
  <si>
    <t>NIH [P01HL158502, R01HL158071]; American Heart Association [18SFRN34110067, 18SFRN34170013, 24SCEFIA1258635]; NIH/NHLBI; Boston Scientific; Biotronik; Apple Inc; Johnson and Johnson; Thryv Inc; National Institutes of Health, National Heart Lung and Blood Institute [R01HL145675, R01HL147358]; BSCI; American Heart Association (AHA) [18SFRN34170013, 18SFRN34110067] Funding Source: American Heart Association (AHA)</t>
  </si>
  <si>
    <t>NIH (United States Department of Health &amp; Human Services, National Institutes of Health (NIH) - USA); American Heart Association (American Heart Association); NIH/NHLBI (United States Department of Health &amp; Human Services, National Institutes of Health (NIH) - USA, NIH National Heart Lung &amp; Blood Institute (NHLBI)); Boston Scientific (Boston Scientific); Biotronik; Apple Inc; Johnson and Johnson (Johnson &amp; Johnson, Johnson &amp; Johnson USA); Thryv Inc; National Institutes of Health, National Heart Lung and Blood Institute (United States Department of Health &amp; Human Services, National Institutes of Health (NIH) - USA, NIH National Heart Lung &amp; Blood Institute (NHLBI)); BSCI; American Heart Association (AHA) (American Heart Association)</t>
  </si>
  <si>
    <t>Dr. Chung receives support from research grants NIH P01HL158502, R01HL158071, American Heart Association 18SFRN34110067 and 18SFRN34170013. Dr. Lakkireddy has a modest consulting agreement with a cure, Abbott, Boston Scientific, Medtronic and JNJ. Dr. Morin has served as a research consultant for Abbott and Zoll, and has received speaking honoraria from Abbott, Boston Scientific, and Zoll. Dr. Perez receives grant funding from NIH/NHLBI and is a consultant for Boston Scientific, Biotronik, Apple Inc., Johnson and Johnson, and Thryv Inc. Dr. Rottmann receives support from research grants from the American Heart Association (24SCEFIA1258635) . Dr. Etheridge serves as vice president of the SADS foundation, associate editor for Europace, chapter contributor for UpToDate and is a board of trustees member for Heart Rhythm Society. Dr. Chugh received funding from National Institutes of Health, National Heart Lung and Blood Institute Grants R01HL145675 and R01HL147358. Dr. Sunshine receives compensation from Alphabet. Dr. Gopinathannair serves as a consultant for Abbott, J&amp;J and Boston scientific and receives a research grant from BSCI.</t>
  </si>
  <si>
    <t>[Srivats, Sudarshan] Catholic Med Ctr, Dept Hosp Med, Manchester, NH USA; [Zghyer, Fawzi; Chung, Mina K.] Cleveland Clin, Dept Cardiovasc Med, Heart Vasc &amp; Thorac Inst, 9500 Euclid Ave,J2-2, Cleveland, OH 44195 USA; [Shahrori, Zaid] Case Western Reserve Univ, Univ Hosp Cleveland Med Ctr, Dept Internal Med, Cleveland, OH USA; [Albert, Christine] Cedar Sinai Med Ctr, Smidt Heart Inst, Dept Cardiol, Los Angeles, CA USA; [Al-Khatib, Sana M.] Duke Univ Med Ctr, Div Cardiol, Durham, NC USA; [Al-Khatib, Sana M.] Duke Univ Med Ctr, Duke Clin Res Inst, Durham, NC USA; [Chugh, Sumeet] Cedars Sinai Med Ctr, Smidt Heart Inst, Ctr Cardiac Arrest Prevent, Dept Cardiol, Los Angeles, CA USA; [Chugh, Sumeet] Cedars Sinai Med Ctr, Dept Med, Div Artificial Intelligence Med, Los Angeles, CA USA; [Etheridge, Susan P.] St Lukes Childrens Hosp, Pediat Cardiol, Boise, ID USA; [Etheridge, Susan P.] Lucile Packard Childrens Hosp Stanford, Dept Pediat, Div Pediat Cardiol, Palo Alto, CA USA; [Goldberger, Zachary D.] Univ Wisconsin Madison, Sch Med &amp; Publ Hlth, Dept Med, Div Cardiovasc Med, Madison, WI USA; [Gopinathannair, Rakesh; Lakkireddy, Dhanunjaya] Kansas City Heart Rhythm Inst, Dept Cardiol Electrophysiol, Overland Pk, KS USA; [Morin, Daniel P.] Univ Calif San Francisco, Dept Med, Div Cardiol, San Francisco, CA USA; [Perez, Marco, V; Wang, Paul J.] Stanford Univ, Sch Med, Div Cardiovasc Med, Stanford, CA USA; [Rottmann, Markus] Northwestern Univ, Feinberg Cardiovasc &amp; Renal Res Inst, Feinberg Sch Med, Chicago, IL USA; [Rottmann, Markus] Univ Chicago, Dept Med, Sect Cardiol, Chicago, IL USA; [Sunshine, Jacob E.] Univ Washington, Dept Med, Dept Anesthesiol &amp; Pain Med, Seattle, WA USA; [Sunshine, Jacob E.] Paul G Allen Sch Comp Sci &amp; Engn, Seattle, WA USA</t>
  </si>
  <si>
    <t>Cleveland Clinic Foundation; University System of Ohio; University Hospitals of Cleveland; Case Western Reserve University; Cedars Sinai Medical Center; Duke University; Duke University; Cedars Sinai Medical Center; Cedars Sinai Medical Center; Lucile Packard Children's Hospital (LPCH); University of Wisconsin System; University of Wisconsin Madison; University of California System; University of California San Francisco; Stanford Medicine; Stanford University; Northwestern University; Feinberg School of Medicine; University of Chicago; University of Washington; University of Washington Seattle</t>
  </si>
  <si>
    <t>Sudden cardiac arrest: Limitations in risk-stratification and treatment, and the potential for digital technologies and artificial intelligence to improve prediction and outcomes</t>
  </si>
  <si>
    <t>PROGRESS IN CARDIOVASCULAR DISEASES</t>
  </si>
  <si>
    <t>Sudden cardiac death (SCD); Sudden cardiac arrest (SCA); Risk stratification; Artificial intelligence (AI); Wearable devices</t>
  </si>
  <si>
    <t>IMPLANTABLE CARDIOVERTER-DEFIBRILLATOR; LONG-QT SYNDROME; POLYMORPHIC VENTRICULAR-TACHYCARDIA; MODERATE ALCOHOL-CONSUMPTION; PUBLIC-ACCESS DEFIBRILLATION; EXPERT CONSENSUS STATEMENT; EARLY WARNING SCORE; DILATED CARDIOMYOPATHY; HEART-FAILURE; MYOCARDIAL-INFARCTION</t>
  </si>
  <si>
    <t>shahrori, zaid/JQH-8763-2023; Morin, Daniel/D-6430-2014; Rottmann, Markus/ACL-9228-2022</t>
  </si>
  <si>
    <t>Morin, Daniel/0000-0002-9637-9507</t>
  </si>
  <si>
    <t>240</t>
  </si>
  <si>
    <t>0033-0620</t>
  </si>
  <si>
    <t>1873-1740</t>
  </si>
  <si>
    <t>PROG CARDIOVASC DIS</t>
  </si>
  <si>
    <t>Prog. Cardiovasc. Dis.</t>
  </si>
  <si>
    <t>JUL-AUG 2025</t>
  </si>
  <si>
    <t>91</t>
  </si>
  <si>
    <t>144</t>
  </si>
  <si>
    <t>166</t>
  </si>
  <si>
    <t>10.1016/j.pcad.2025.06.005</t>
  </si>
  <si>
    <t>http://dx.doi.org/10.1016/j.pcad.2025.06.005</t>
  </si>
  <si>
    <t>7GP8N</t>
  </si>
  <si>
    <t>40553720</t>
  </si>
  <si>
    <t>WOS:001570550900007</t>
  </si>
  <si>
    <t>Peng, JH; Fang, YQ; Shen, WZ; Hu, JY; Deng, XD; Yin, LL</t>
  </si>
  <si>
    <t>Background We aim to conduct a systematic review and meta-analysis to evaluate the performance of existing predictive models for adverse pregnancy outcomes in pregnancies with fetal growth restriction from multiple perspectives. Methods A systematic literature search was conducted in PubMed, the Cochrane Library, Web of Science, and CNKI up to January 2025 to identify studies on the development, validation, or updating of clinical prediction models for adverse pregnancy outcomes in fetal growth restriction. Risk of bias was assessed using the Prediction Model Study Risk of Bias Assessment Tool. Subgroup analyses were based on study design, country income level, predictor types, and outcome categories. A random-effects model was used for meta-analysis. Results A systematic literature search identified 40 studies describing predictive models for adverse pregnancy outcomes in the context of fetal growth restriction. Of these, 26 studies were ultimately included in the meta-analysis based on diagnostic criteria for FGR and risk assessment methodologies. Meta-analysis showed pooled AUCs of 0.823 (95% CI: 0.767-0.868; I &amp; sup2; = 52.52%) for early-onset FGR, 0.749 (95% CI: 0.671-0.813; I &amp; sup2; = 92.78%) for late-onset FGR, and 0.791 (95% CI: 0.714-0.852; I &amp; sup2; = 84.09%) for studies without onset differentiation. Models using multiple predictors consistently outperformed single-predictor models (AUC: 0.758 vs. 0.743; 0.845 vs. 0.746) in the late-onset FGR and FGR groups. We also demonstrated models with different predictor sets for composite adverse pregnancy outcomes. Incorporating Doppler indices, biochemical markers, or maternal clinical factors into models based on estimated fetal weight may moderately enhance overall predictive performance. Conclusions Our study demonstrates that integrating Doppler parameters, biochemical markers, or maternal clinical factors into models based on estimated fetal weight may moderately improve overall predictive performance for composite adverse pregnancy outcomes with FGR. However, few have undergone rigorous internal or external validation; therefore, their clinical application warrants caution. Future research should focus on multi-center studies, improve existing thresholds, and explore new indicators. It is also necessary to combine machine learning and deep learning techniques to enhance model performance.</t>
  </si>
  <si>
    <t>Peng, Jihong; Fang, Yingqi; Shen, Wenzhuo; Hu, Jinyang; Deng, Xuedong; Yin, Linliang</t>
  </si>
  <si>
    <t>Deng, XD; Yin, LL (corresponding author), Nanjing Med Univ, Affiliated Suzhou Hosp, Suzhou Municipal Hosp, Ctr Med Ultrasound, 26 Daoqian St, Suzhou 215002, Jiangsu, Peoples R China.</t>
  </si>
  <si>
    <t>pjh20010625@163.com; xuedongdeng@163.com; yllsznthello@hotmail.com; 1402413933@qq.com</t>
  </si>
  <si>
    <t>Special Project of Suzhou Clinical Key Disease's Diagnosis and Treatment [LCZX202208]; Jiangsu Provincial Maternal and Child Health Scientific Project [F202044]; Case Cohort Project from Gusu School, Nanjing Medical University [GSKY20220408]; Suzhou General Project for Advancing Science, Education health [MSXM2024022]</t>
  </si>
  <si>
    <t>Special Project of Suzhou Clinical Key Disease's Diagnosis and Treatment; Jiangsu Provincial Maternal and Child Health Scientific Project; Case Cohort Project from Gusu School, Nanjing Medical University; Suzhou General Project for Advancing Science, Education health</t>
  </si>
  <si>
    <t>Suzhou General Project for Advancing Science, Education &amp; health (MSXM2024022); Special Project of Suzhou Clinical Key Disease's Diagnosis and Treatment (LCZX202208); Case Cohort Project from Gusu School, Nanjing Medical University (GSKY20220408); Jiangsu Provincial Maternal and Child Health Scientific Project (F202044).</t>
  </si>
  <si>
    <t>[Peng, Jihong; Fang, Yingqi; Deng, Xuedong; Yin, Linliang] Nanjing Med Univ, Affiliated Suzhou Hosp, Suzhou Municipal Hosp, Ctr Med Ultrasound, 26 Daoqian St, Suzhou 215002, Jiangsu, Peoples R China; [Shen, Wenzhuo] Capital Med Univ, Xuanwu Hosp, Dept Radiol &amp; Nucl Med, 45 Changchun St, Beijing 100053, Peoples R China; [Shen, Wenzhuo] Beijing Key Lab Magnet Resonance Imaging &amp; Brain I, Beijing, Peoples R China; [Hu, Jinyang] Wenzhou Med Univ, Affiliated Hosp 2, Dept Neurosurg, Wenzhou, Peoples R China; [Hu, Jinyang] Wenzhou Med Univ, Wenzhou, Peoples R China</t>
  </si>
  <si>
    <t>Nanjing Medical University; Capital Medical University; Wenzhou Medical University; Wenzhou Medical University</t>
  </si>
  <si>
    <t>Predictive models for adverse pregnancy outcomes in fetal growth restriction: a systematic review and meta-analysis</t>
  </si>
  <si>
    <t>BMC PREGNANCY AND CHILDBIRTH</t>
  </si>
  <si>
    <t>Fetal growth restriction; Pregnancy outcomes; Prognostic models; Systematic review; Meta-analysis</t>
  </si>
  <si>
    <t>FOR-GESTATIONAL-AGE; EARLY-ONSET; CONSENSUS DEFINITION; PERINATAL OUTCOMES; LATE PRETERM; DOPPLER; FETUSES; INDEX; PARAMETERS; MORBIDITY</t>
  </si>
  <si>
    <t>Yin, Linliang/PDW-6079-2025</t>
  </si>
  <si>
    <t>71</t>
  </si>
  <si>
    <t>1471-2393</t>
  </si>
  <si>
    <t>BMC PREGNANCY CHILDB</t>
  </si>
  <si>
    <t>BMC Pregnancy Childbirth</t>
  </si>
  <si>
    <t>MAR 17 2026</t>
  </si>
  <si>
    <t>525</t>
  </si>
  <si>
    <t>10.1186/s12884-026-08904-w</t>
  </si>
  <si>
    <t>http://dx.doi.org/10.1186/s12884-026-08904-w</t>
  </si>
  <si>
    <t>IE4QT</t>
  </si>
  <si>
    <t>41840511</t>
  </si>
  <si>
    <t>WOS:001769750000001</t>
  </si>
  <si>
    <t>Tieliwaerdi, X; Manalo, K; Abuduweili, A; Khan, S; Appiah-Kubi, E; Williams, BA; Oehler, AC</t>
  </si>
  <si>
    <t>Purpose:Cardiac rehabilitation (CR) has been proven to reduce mortality and morbidity in patients with cardiovascular disease. Machine learning (ML) techniques are increasingly used to predict healthcare outcomes in various fields of medicine including CR. This systemic review aims to perform critical appraisal of existing ML-based prognosis predictive model within CR and identify key research gaps in this area.Review Methods:A systematic literature search was conducted in Scopus, PubMed, Web of Science, and Google Scholar from the inception of each database to January 28, 2024. The data extracted included clinical features, predicted outcomes, model development, and validation as well as model performance metrics. Included studies underwent quality assessments using the IJMEDI and Prediction Model Risk of Bias Assessment Tool checklist.Summary:A total of 22 ML-based clinical models from 7 studies across multiple phases of CR were included. Most models were developed using smaller patient cohorts from 41 to 227, with one exception involving 2280 patients. The prediction objectives ranged from patient intention to initiate CR to graduate from outpatient CR along with interval physiological and psychological progression in CR. The best-performing ML models reported area under the receiver operating characteristics curve between 0.82 and 0.91, with sensitivity from 0.77 to 0.95, indicating good prediction capabilities. However, none of them underwent calibration or external validation. Most studies raised concerns about bias. Readiness of these models for implementation into practice is questionable. External validation of existing models and development of new models with robust methodology based on larger populations and targeting diverse clinical outcomes in CR are needed. KEY PERSPECTIVE What is novel? This systematic review is the first to critically appraise existing machine learning (ML)-based clinical prognostic models in cardiac rehabilitation (CR). It identifies key research gaps in ML application in CR and provides constructive suggestions for improving the quality of ML models specifically in CR. What are the clinical and/or research implications? The review demonstrates various clinical challenges in the CR setting that ML models have been used to address and their corresponding outcomes. It reveals potential limitations in existing models and offers recommendations to enhance the readiness of current and future models for implementation in clinical settings as clinical decision-support tools.</t>
  </si>
  <si>
    <t>Tieliwaerdi, Xiarepati; Manalo, Kathryn; Abuduweili, Abulikemu; Khan, Sana; Appiah-Kubi, Edmund; Williams, Brent A.; Oehler, Andrew C.</t>
  </si>
  <si>
    <t>Oehler, AC (corresponding author), Allegheny Hlth Network, Allegheny Hlth Network Cardiovasc Inst, 320 E North Ave, Pittsburgh, PA 15212 USA.</t>
  </si>
  <si>
    <t>abulikea@andrew.cmu.edu; khan.sana@ahn.org; Kathryn.Manalo@ahn.org; andrew.oehler@ahn.org; x.tieliwaerdi@outlook.com; brent.williams@ahn.org</t>
  </si>
  <si>
    <t>[Tieliwaerdi, Xiarepati; Manalo, Kathryn; Khan, Sana; Appiah-Kubi, Edmund] Allegheny Hlth Network, Dept Med, Pittsburgh, PA 15212 USA; [Abuduweili, Abulikemu] Carnegie Mellon Univ, Robot Inst, Pittsburgh, PA USA; [Williams, Brent A.; Oehler, Andrew C.] Allegheny Hlth Network, Allegheny Hlth Network Cardiovasc Inst, 320 E North Ave, Pittsburgh, PA 15212 USA</t>
  </si>
  <si>
    <t>Allegheny Health Network; Carnegie Mellon University; Allegheny Health Network</t>
  </si>
  <si>
    <t>Machine Learning-Based Prediction Models for Healthcare Outcomes in Patients Participating in Cardiac Rehabilitation</t>
  </si>
  <si>
    <t>JOURNAL OF CARDIOPULMONARY REHABILITATION AND PREVENTION</t>
  </si>
  <si>
    <t>cardiac rehabilitation; clinical prediction models; machine learning; systematic review</t>
  </si>
  <si>
    <t>APPLICABILITY; ASSOCIATION; CALIBRATION; PROBAST; RISK; BIAS; TOOL</t>
  </si>
  <si>
    <t>Abuduweili, Abulikemu/JOL-0213-2023</t>
  </si>
  <si>
    <t>1932-7501</t>
  </si>
  <si>
    <t>1932-751X</t>
  </si>
  <si>
    <t>J CARDIOPULM REHABIL</t>
  </si>
  <si>
    <t>J. Cardiopulm. Rehabil. Prev.</t>
  </si>
  <si>
    <t>247</t>
  </si>
  <si>
    <t>10.1097/HCR.0000000000000943</t>
  </si>
  <si>
    <t>http://dx.doi.org/10.1097/HCR.0000000000000943</t>
  </si>
  <si>
    <t>4IM3B</t>
  </si>
  <si>
    <t>40257822</t>
  </si>
  <si>
    <t>WOS:001518809100001</t>
  </si>
  <si>
    <t>Background: While many studies have consistently found incomplete reporting of regression-based prediction model studies, evidence is lacking for machine learning-based prediction model studies. We aim to systematically review the adherence of Machine Learning (ML)-based prediction model studies to the Transparent Reporting of a multivariable prediction model for Individual Prognosis Or Diagnosis (TRIPOD) Statement.Methods: We included articles reporting on development or external validation of a multivariable prediction model (either diagnostic or prognostic) developed using supervised ML for individualized predictions across all medical fields. We searched PubMed from 1 January 2018 to 31 December 2019. Data extraction was performed using the 22-item checklist for reporting of prediction model studies (www.TRIPOD-statement.org). We measured the overall adherence per article and per TRIPOD item.Results: Our search identified 24,814 articles, of which 152 articles were included: 94 (61.8%) prognostic and 58 (38.2%) diagnostic prediction model studies. Overall, articles adhered to a median of 38.7% (IQR 31.0-46.4%) of TRIPOD items. No article fully adhered to complete reporting of the abstract and very few reported the flow of participants (3.9%, 95% CI 1.8 to 8.3), appropriate title (4.6%, 95% CI 2.2 to 9.2), blinding of predictors (4.6%, 95% CI 2.2 to 9.2), model specification (5.2%, 95% CI 2.4 to 10.8), and model's predictive performance (5.9%, 95% CI 3.1 to 10.9). There was often complete reporting of source of data (98.0%, 95% CI 94.4 to 99.3) and interpretation of the results (94.7%, 95% CI 90.0 to 97.3).Conclusion: Similar to prediction model studies developed using conventional regression-based techniques, the completeness of reporting is poor. Essential information to decide to use the model (i.e. model specification and its performance) is rarely reported. However, some items and sub-items ofTRIPOD might be less suitable for ML-based prediction model studies and thus, TRIPOD requires extensions. Overall, there is an urgent need to improve the reporting quality and usability of research to avoid research waste.</t>
  </si>
  <si>
    <t>Navarro, CLA (corresponding author), Univ Utrecht, Univ Med Ctr Utrecht, Julius Ctr Hlth Sci &amp; Primary Care, Utrecht, Netherlands.; Navarro, CLA (corresponding author), Univ Utrecht, Univ Med Ctr Utrecht, Cochrane Netherlands, Utrecht, Netherlands.</t>
  </si>
  <si>
    <t>clandaurnavarro@umcutrecht.nl</t>
  </si>
  <si>
    <t>National Institute for Health Research (NIHR) Oxford Biomedical Research Centre (BRC); Cancer Research UK program [C49297/A27294]; NIHR Oxford BRC; Medical Research Council [HDR-9001] Funding Source: researchfish</t>
  </si>
  <si>
    <t>National Institute for Health Research (NIHR) Oxford Biomedical Research Centre (BRC) (National Institutes of Health Research (NIHR)); Cancer Research UK program (Cancer Research UK); NIHR Oxford BRC; Medical Research Council (UK Research &amp; Innovation (UKRI), Medical Research Council UK (MRC))</t>
  </si>
  <si>
    <t>This study did not receive any specific grant from funding agencies in the public, commercial, or not-for-profit sectors. GSC is supported by the National Institute for Health Research (NIHR) Oxford Biomedical Research Centre (BRC) and by Cancer Research UK program grant (C49297/A27294). PD is supported by the NIHR Oxford BRC. The views expressed are those of the authors and not necessarily those of the NHS, NIHR, or Department of Health.</t>
  </si>
  <si>
    <t>[Navarro, Constanza L. Andaur; Damen, Johanna A. A.; Takada, Toshihiko; Nijman, Steven W. J.; Moons, Karel G. M.; Hooft, Lotty] Univ Utrecht, Univ Med Ctr Utrecht, Julius Ctr Hlth Sci &amp; Primary Care, Utrecht, Netherlands; [Navarro, Constanza L. Andaur; Damen, Johanna A. A.; Moons, Karel G. M.; Hooft, Lotty] Univ Utrecht, Univ Med Ctr Utrecht, Cochrane Netherlands, Utrecht, Netherlands; [Dhiman, Paula; Ma, Jie; Collins, Gary S.] Univ Oxford, Ctr Stat Med, NDORMS, Oxford, England; [Dhiman, Paula; Collins, Gary S.] Oxford Univ Hosp NHS Fdn Trust, NIHR Oxford Biomed Res Ctr, Oxford, England; [Bajpai, Ram; Riley, Richard D.] Keele Univ, Ctr Prognosis Res, Sch Med, Keele, Staffs, England</t>
  </si>
  <si>
    <t>Completeness of reporting of clinical prediction models developed using supervised machine learning: a systematic review</t>
  </si>
  <si>
    <t>Prediction model; Diagnosis; Prognosis; Development; Validation; Reporting adherence; Reporting guideline; TRIPOD</t>
  </si>
  <si>
    <t>Collins, Gary/A-2258-2014; Hooft, Lotty/PCC-6420-2025; Moons, Karel G/JPA-4011-2023; Riley, Richard D/G-2406-2011; Bajpai, Ram/I-1038-2016</t>
  </si>
  <si>
    <t>Andaur Navarro, Constanza L/0000-0002-7745-2887; Collins, Gary/0000-0002-2772-2316; Takada, Toshihiko/0000-0002-8032-6224; Hooft, Lotty/0000-0002-7950-2980; Nijman, Steven/0000-0001-6798-2078; Dhiman, Paula/0000-0002-0989-0623; Moons, Karel G/0000-0003-2118-004X; Riley, Richard D/0000-0001-8699-0735; Bajpai, Ram/0000-0002-1227-2703; Damen, Johanna/0000-0001-7401-4593; Ma, Jie/0000-0002-3900-1903</t>
  </si>
  <si>
    <t>JAN 13 2022</t>
  </si>
  <si>
    <t>10.1186/s12874-021-01469-6</t>
  </si>
  <si>
    <t>http://dx.doi.org/10.1186/s12874-021-01469-6</t>
  </si>
  <si>
    <t>YG3BO</t>
  </si>
  <si>
    <t>35026997</t>
  </si>
  <si>
    <t>WOS:000742367600002</t>
  </si>
  <si>
    <t>Chopannejad, S; Sadoughi, F; Bagherzadeh, R; Shekarchi, S</t>
  </si>
  <si>
    <t>Background Acute coronary syndrome is the topmost cause of death worldwide; therefore, it is necessary to predict major adverse cardiovascular events and cardiovascular deaths in patients with acute coronary syndrome to make correct and timely clinical decisions. Objective The current review aimed to highlight algorithms and important predictor variables through examining those studies which used machine learning algorithms for predicting major adverse cardiovascular events in patients with acute coronary syndrome. Methods To predict major adverse cardiovascular events in patients with acute coronary syndrome, the preferred reporting items for scoping reviews guidelines were used. In doing so, PubMed, Embase, Web of Science, Scopus, Springer, and IEEE Xplore databases were searched for articles published between 2005 and 2021. The checklist "Quality assessment of machine learning studies" was used to assess the quality of eligible studies. The findings of the studies are presented in the form of a narrative synthesis of evidence. Results In total, among 2,558 retrieved articles, 22 studies were qualified for analysis. Major adverse cardiovascular events and mortality were predicted in 5 and 17 studies, respectively. According to the results, 14 (63.64%) studies did not perform external validation and only used registry data. The algorithms used in this study comprised, inter alia, Regression Logistic, Random Forest, Boosting Ensemble, Non-Boosting Ensemble, Decision Trees, and Naive Bayes. Multiple studies ( N = 20) achieved a high area under the ROC curve between 0.8 and 0.99 in predicting mortality and major adverse cardiovascular events. The predictor variables used in these studies were divided into demographic, clinical, and therapeutic features. However, no study reported the integration of machine learning model into clinical practice. Conclusion Machine learning algorithms rendered acceptable results to predict major adverse cardiovascular events and mortality outcomes in patients with acute coronary syndrome. However, these approaches have never been integrated into clinical practice. Further research is required to develop feasible and effective machine learning prediction models to measure their potentially important implications for optimizing the quality of care in patients with acute coronary syndrome.</t>
  </si>
  <si>
    <t>Chopannejad, Sara; Sadoughi, Farahnaz; Bagherzadeh, Rafat; Shekarchi, Sakineh</t>
  </si>
  <si>
    <t>Sadoughi, F (corresponding author), Iran Univ Med Sci, Sch Hlth Management &amp; Informat Sci, Tehran, Iran.</t>
  </si>
  <si>
    <t>sadoughi.f@iums.ac.ir</t>
  </si>
  <si>
    <t>[Chopannejad, Sara] Iran Univ Med Sci, Sch Hlth Management &amp; Informat Sci, Student Res Comm, Tehran, Iran; [Sadoughi, Farahnaz; Shekarchi, Sakineh] Iran Univ Med Sci, Sch Hlth Management &amp; Informat Sci, Tehran, Iran; [Bagherzadeh, Rafat] Iran Univ Med Sci, Sch Hlth Management &amp; Informat Sci, English Language Dept, Tehran, Iran</t>
  </si>
  <si>
    <t>Iran University of Medical Sciences; Iran University of Medical Sciences; Iran University of Medical Sciences</t>
  </si>
  <si>
    <t>Predicting Major Adverse Cardiovascular Events in Acute Coronary Syndrome: A Scoping Review of Machine Learning Approaches</t>
  </si>
  <si>
    <t>APPLIED CLINICAL INFORMATICS</t>
  </si>
  <si>
    <t>machine learning; mortality; acute coronary syndrome; myocardial infarction; prediction; major adverse cardiac event</t>
  </si>
  <si>
    <t>ELEVATION MYOCARDIAL-INFARCTION; IN-HOSPITAL MORTALITY; 1-YEAR MORTALITY; MODELS; READMISSION; ADMISSION; TRENDS</t>
  </si>
  <si>
    <t>sadoughi, farahnaz/B-7605-2018</t>
  </si>
  <si>
    <t>shekarchi, sakineh/0000-0002-0302-6711</t>
  </si>
  <si>
    <t>GEORG THIEME VERLAG KG</t>
  </si>
  <si>
    <t>STUTTGART</t>
  </si>
  <si>
    <t>Oswald-Hesse-Strasse 50, D-70469 STUTTGART, GERMANY</t>
  </si>
  <si>
    <t>1869-0327</t>
  </si>
  <si>
    <t>APPL CLIN INFORM</t>
  </si>
  <si>
    <t>Appl. Clin. Inform.</t>
  </si>
  <si>
    <t>03</t>
  </si>
  <si>
    <t>720</t>
  </si>
  <si>
    <t>740</t>
  </si>
  <si>
    <t>10.1055/a-1863-1589</t>
  </si>
  <si>
    <t>http://dx.doi.org/10.1055/a-1863-1589</t>
  </si>
  <si>
    <t>3F6DW</t>
  </si>
  <si>
    <t>35617971</t>
  </si>
  <si>
    <t>WOS:000830758600003</t>
  </si>
  <si>
    <t>Bronze; Green Submitted</t>
  </si>
  <si>
    <t>Chen, JW; Heidsma, CM; Engelsman, AF; Kabaktepe, E; van Dieren, S; Falconi, M; Besselink, MG; van Dijkum, EJMN</t>
  </si>
  <si>
    <t>Simple Summary The risk prediction for tumor recurrence after surgery for non-functional pancreatic neuroendocrine tumors is a major unmet clinical need. Accurate recurrence risk prediction could pave the way for tailor-made follow-up protocols in the future, as well as help select suitable patients for cancer treatment trials. Multiple prediction models have been developed; however, none are currently incorporated into international guidelines. This systematic review found 13 original models, of which 3 were validated outside the patient group in which they were developed. The effectiveness of a prediction model is not proven in the wider population without this validation; thus, the lack of it hinders the progress toward clinical use. We propose to test the included models in a large, multinational database to compare their performance. We recommend all authors developing a prediction model to perform the minimally required tests of model development and to implement it by creating an online calculator. Recurrence after resection in patients with non-functional pancreatic neuroendocrine tumors (NF-pNET) has a considerable impact on overall survival. Accurate risk stratification will tailor optimal follow-up strategies. This systematic review assessed available prediction models, including their quality. This systematic review followed PRISMA and CHARMS guidelines. PubMed, Embase, and the Cochrane Library were searched up to December 2022 for studies that developed, updated, or validated prediction models for recurrence in resectable grade 1 or 2 NF-pNET. Studies were critically appraised. After screening 1883 studies, 14 studies with 3583 patients were included: 13 original prediction models and 1 prediction model validation. Four models were developed for preoperative and nine for postoperative use. Six models were presented as scoring systems, five as nomograms, and two as staging systems. The c statistic ranged from 0.67 to 0.94. The most frequently included predictors were tumor grade, tumor size, and lymph node positivity. Critical appraisal deemed all development studies as having a high risk of bias and the validation study as having a low risk of bias. This systematic review identified 13 prediction models for recurrence in resectable NF-pNET with external validations for 3 of them. External validation of prediction models improves their reliability and stimulates use in daily practice.</t>
  </si>
  <si>
    <t>Chen, Jeffrey W.; Heidsma, Charlotte M.; Engelsman, Anton F.; Kabaktepe, Ertunc; van Dieren, Susan; Falconi, Massimo; Besselink, Marc G.; van Dijkum, Els J. M. Nieveen</t>
  </si>
  <si>
    <t>Chen, JW (corresponding author), Univ Amsterdam, Dept Surg, Amsterdam UMC, NL-1081 HV Amsterdam, Netherlands.; Chen, JW (corresponding author), Amsterdam Ctr Endocrine &amp; Neuroendocrine Tumors A, NL-1081 HV Amsterdam, Netherlands.; Chen, JW (corresponding author), Canc Ctr Amsterdam, NL-1081 HV Amsterdam, Netherlands.</t>
  </si>
  <si>
    <t>j.w.chen@amsterdamumc.nl</t>
  </si>
  <si>
    <t>[Chen, Jeffrey W.; Heidsma, Charlotte M.; Engelsman, Anton F.; Kabaktepe, Ertunc; van Dieren, Susan; Besselink, Marc G.; van Dijkum, Els J. M. Nieveen] Univ Amsterdam, Dept Surg, Amsterdam UMC, NL-1081 HV Amsterdam, Netherlands; [Chen, Jeffrey W.; Heidsma, Charlotte M.; Engelsman, Anton F.; van Dijkum, Els J. M. Nieveen] Amsterdam Ctr Endocrine &amp; Neuroendocrine Tumors A, NL-1081 HV Amsterdam, Netherlands; [Chen, Jeffrey W.; Heidsma, Charlotte M.; Engelsman, Anton F.; Kabaktepe, Ertunc; van Dieren, Susan; Besselink, Marc G.; van Dijkum, Els J. M. Nieveen] Canc Ctr Amsterdam, NL-1081 HV Amsterdam, Netherlands; [Falconi, Massimo] Univ Vita Salute, IRCCS Osped San Raffaele, Pancreat Surg, I-20132 Milan, Italy</t>
  </si>
  <si>
    <t>University of Amsterdam; University of Amsterdam; Vrije Universiteit Amsterdam; Vita-Salute San Raffaele University; IRCCS Ospedale San Raffaele</t>
  </si>
  <si>
    <t>Clinical Prediction Models for Recurrence in Patients with Resectable Grade 1 and 2 Sporadic Non-Functional Pancreatic Neuroendocrine Tumors: A Systematic Review</t>
  </si>
  <si>
    <t>CANCERS</t>
  </si>
  <si>
    <t>pancreatic neuroendocrine tumor; non-functional; resectable; recurrence; prediction model; grade 1; grade 2</t>
  </si>
  <si>
    <t>CONSENSUS GUIDELINES UPDATE; EXTERNAL VALIDATION; PROGNOSTIC-FACTORS; RISK; NEOPLASMS; MANAGEMENT; SURVIVAL; AJCC; MICROENVIRONMENT; STRATIFICATION</t>
  </si>
  <si>
    <t>Besselink, Marc/R-4268-2019; Nieveen van Dijkum, Elisabeth/KHD-9185-2024</t>
  </si>
  <si>
    <t>Engelsman, Anton Frederik/0000-0003-4943-8882; Falconi, Massimo/0000-0001-9654-7243</t>
  </si>
  <si>
    <t>2072-6694</t>
  </si>
  <si>
    <t>Cancers</t>
  </si>
  <si>
    <t>MAR 2023</t>
  </si>
  <si>
    <t>1525</t>
  </si>
  <si>
    <t>10.3390/cancers15051525</t>
  </si>
  <si>
    <t>http://dx.doi.org/10.3390/cancers15051525</t>
  </si>
  <si>
    <t>9T3RP</t>
  </si>
  <si>
    <t>36900316</t>
  </si>
  <si>
    <t>WOS:000946947700001</t>
  </si>
  <si>
    <t>Liu, X; Liu, X; Jin, CY; Luo, YT; Yang, LP; Ning, XJ; Zhuo, C; Xiao, F</t>
  </si>
  <si>
    <t>Background: Prediction models help to target patients at risk of multidrug-resistant organism (MDRO) colonization or infection and could serve as tools informing clinical practices to prevent MDRO transmission and inappropriate empiric antibiotic therapy. However, there is limited evidence to identify which among the available models are of low risk of bias and suitable for clinical application. Objectives: To identify, describe, appraise, and summarise the performance of all prognostic and diagnostic models developed or validated for predicting MDRO colonization or infection. Data sources: Six electronic literature databases and clinical registration databases were searched until April 2022. Study eligibility criteria: Development and validation studies of any multivariable prognostic and diagnostic models to predict MDRO colonization or infection in adults. Participants: Adults (&gt;= 18 years old) without MDRO colonization or infection (in prognostic models) or with unknown or suspected MDRO colonization or infection (in diagnostic models). Assessment of risk of bias: The Prediction Model Risk of Bias Assessment Tool was used to assess the risk of bias. Evidence certainty was assessed using the Grading of Recommendations Assessment, Development, and Evaluation approach. Methods of data synthesis: Meta-analyses were conducted to summarize the discrimination and calibration of the models' external validations conducted in at least two non-overlapping datasets. Results: We included 162 models (108 studies) developed for diagnosing (n = 135) and predicting (n = 27) MDRO colonization or infection. Models exhibited a high-risk of bias, especially in statistical analysis. Highfrequency predictors were age, recent invasive procedures, antibiotic usage, and prior hospitalization. Less than 25% of the models underwent external validations, with only seven by independent teams. Metaanalyses for one diagnostic and two prognostic models only produced very low to low certainty of evidence. Conclusions: The review comprehensively described the models for identifying patients at risk of MDRO colonization or infection. We cannot recommend which models are ready for application because of the high-risk of bias, limited validations, and low certainty of evidence from meta-analyses, indicating a clear need to improve the conducting and reporting of model development and external validation studies to facilitate clinical application. Xu Liu, Clin Microbiol Infect 2024;30:1364 (c) 2024 European Society of Clinical Microbiology and Infectious Diseases. Published by Elsevier Ltd. All rights are reserved, including those for text and data mining, AI training, and similar technologies.</t>
  </si>
  <si>
    <t>Liu, Xu; Liu, Xi; Jin, Chenyue; Luo, Yuting; Yang, Lianping; Ning, Xinjiao; Zhuo, Chao; Xiao, Fei</t>
  </si>
  <si>
    <t>Xiao, F (corresponding author), Sun Yat Sen Univ, Affiliated Hosp 5, Dept Infect Dis, 52 MeiHua East Rd, Zhuhai 519000, Peoples R China.; Zhuo, C (corresponding author), Guangzhou Med Univ, Affiliated Hosp 1, State Key Lab Resp Dis, Guangzhou, Peoples R China.</t>
  </si>
  <si>
    <t>chaosheep@sina.com; xiaof35@sysu.edu.cn</t>
  </si>
  <si>
    <t>National Natural Science Foundation of China [72204275, 82172241]; Guangdong Basic and Applied Basic Research Foundation [2021A1515110364, 2023A1515220226]; China Postdoctoral Science Foundation [2022M723580]</t>
  </si>
  <si>
    <t>National Natural Science Foundation of China (National Natural Science Foundation of China (NSFC)); Guangdong Basic and Applied Basic Research Foundation (Guangdong Basic and Applied Basic Research Foundation); China Postdoctoral Science Foundation (China Postdoctoral Science Foundation)</t>
  </si>
  <si>
    <t>This study was funded by grants from National Natural Science Foundation of China (grant numbers 72204275 to Xu.L., 82172241 to F.X.) ; Guangdong Basic and Applied Basic Research Foundation (grant number 2021A1515110364 to Xu.L., and 2023A1515220226 to Xi.L.) ; and China Postdoctoral Science Foundation (grant number 2022M723580 to Xu.L.) .</t>
  </si>
  <si>
    <t>[Liu, Xu; Liu, Xi; Jin, Chenyue; Luo, Yuting; Ning, Xinjiao; Xiao, Fei] Sun Yat Sen Univ, Affiliated Hosp 5, Dept Infect Dis, 52 MeiHua East Rd, Zhuhai 519000, Peoples R China; [Liu, Xu; Liu, Xi; Xiao, Fei] Sun Yat Sen Univ, Guangdong Hong Kong Macao Univ Joint Lab Intervent, Affiliated Hosp 5, Hong Kong, Guangdong, Peoples R China; [Luo, Yuting] Liuzhou Peoples Hosp, Dept Infect Dis, Liuzhou, Peoples R China; [Yang, Lianping] Sun Yat Sen Univ, Sch Publ Hlth, Guangzhou, Peoples R China; [Zhuo, Chao] Guangzhou Med Univ, Affiliated Hosp 1, State Key Lab Resp Dis, Guangzhou, Peoples R China; [Xiao, Fei] Sun Yat Sen Univ, Affiliated Hosp 5, Guangdong Prov Engn Res Ctr Mol Imaging, Zhuhai, Peoples R China; [Xiao, Fei] First Peoples Hosp Kashi, Kashi Guangdong Inst Sci &amp; Technol, Kashi, Peoples R China; [Xiao, Fei] Sun Yat Sen Univ, Sch Pharmaceut Sci, State Key Lab Antiinfect Drug Dev, Guangzhou, Peoples R China</t>
  </si>
  <si>
    <t>Sun Yat Sen University; Sun Yat Sen University; Sun Yat Sen University; Guangzhou Medical University; State Key Laboratory of Respiratory Disease; Sun Yat Sen University; Sun Yat Sen University</t>
  </si>
  <si>
    <t>Prediction models for diagnosis and prognosis of the colonization or infection of multidrug-resistant organisms in adults: a systematic review, critical appraisal, and meta-analysis</t>
  </si>
  <si>
    <t>CLINICAL MICROBIOLOGY AND INFECTION</t>
  </si>
  <si>
    <t>Bacterial; Clinical decision rules; Clinical prediction model; Drug resistance; Multidrug-resistant organism; Multiple; Systematic review</t>
  </si>
  <si>
    <t>STAPHYLOCOCCUS-AUREUS; HOSPITAL ADMISSION; RISK; APPLICABILITY; PROBAST; BIAS; TOOL</t>
  </si>
  <si>
    <t>Xiao, Fei/OJU-8277-2025</t>
  </si>
  <si>
    <t>Xiao, Fei/0000-0001-7353-2700</t>
  </si>
  <si>
    <t>1198-743X</t>
  </si>
  <si>
    <t>1469-0691</t>
  </si>
  <si>
    <t>CLIN MICROBIOL INFEC</t>
  </si>
  <si>
    <t>Clin. Microbiol. Infect.</t>
  </si>
  <si>
    <t>1364</t>
  </si>
  <si>
    <t>1373</t>
  </si>
  <si>
    <t>10.1016/j.cmi.2024.07.005</t>
  </si>
  <si>
    <t>http://dx.doi.org/10.1016/j.cmi.2024.07.005</t>
  </si>
  <si>
    <t>OCT 2024</t>
  </si>
  <si>
    <t>Infectious Diseases; Microbiology</t>
  </si>
  <si>
    <t>J3Q3O</t>
  </si>
  <si>
    <t>38992430</t>
  </si>
  <si>
    <t>WOS:001336237700001</t>
  </si>
  <si>
    <t>Zhang, XJ; Yang, ZC; Li, XP; Wang, JA; Pang, R; Li, HF; Yao, KF; Pan, HY; Xu, YH</t>
  </si>
  <si>
    <t>Significance: Pediatric pressure injuries (PIs) are a distinct and preventable clinical challenge, yet risk prediction models tailored to children remain underdeveloped. This systematic review critically evaluates existing pediatric PI prediction models to assess their methodological rigor, predictive performance, and clinical applicability. Recent Advances: Following the Preferred Reporting Items for Systematic Reviews and Meta-Analyses 2020 guidelines, nine databases were searched to identify studies developing or validating PI risk prediction models for hospitalized patients younger than 18 years. Twelve models from nine studies were included. Risk of bias and applicability were assessed using the Prediction Model Risk Of Bias Assessment Tool (PROBAST) and PROBAST + AI tool. Critical Issues: All models demonstrated acceptable discrimination (area under the curve [AUC] range: 0.612-0.978), with seven exceeding an AUC of 0.75. However, calibration was inconsistently reported, and only two models evaluated clinical utility-just one showed net benefit across a realistic threshold range. All models were rated as high risk of bias, and 10 had major concerns regarding applicability. Common methodological flaws included low events per variable &lt;10, inappropriate categorization of continuous variables, poor handling of missing data, and lack of external validation. Most models were developed in single-center studies from China, limiting generalizability. Compared with adult PI models, pediatric models lacked age stratification, standardized outcome definitions, and robust validation. The first application of PROBAST + AI for evaluating machine learning prediction models highlighted algorithmic fairness and ethical risks within these models, but it showed insufficient interpretability regarding aspects such as the optimization process and the transparency of "black box" data leakage. Future Directions: To improve predictive accuracy and clinical relevance, future models should adopt the Transparent Reporting of a Multivariable Prediction Model for Individual Prognosis or Diagnosis, PROBAST, and PROBAST + AI standards, use multicenter data, stratify by age and clinical setting, and focus on early-stage PIs. Incorporating objective measures and evaluating clinical utility will enhance model integration into practice. PROBAST + AI, in alignment with the advancements in information technology, requires widespread attention for its practical utility and ease of use to be further validated and optimized. Conclusion: Current pediatric PI prediction models show promise but fall short in methodological rigor and clinical applicability. Addressing these gaps is essential to support early identification and targeted prevention in pediatric care.</t>
  </si>
  <si>
    <t>Zhang, Xiaojie; Yang, Zhichao; Li, Xiuping; Wang, Jianan; Pang, Rui; Li, Haofen; Yao, Kanfei; Pan, Hongying; Xu, Yihong</t>
  </si>
  <si>
    <t>Pan, HY; Xu, YH (corresponding author), Zhejiang Univ, SirRun Run Shaw Hosp, Sch Med, Nursing Dept, 3 East Qingchun Rd, Hangzhou, Zhejiang, Peoples R China.</t>
  </si>
  <si>
    <t>3191016@zju.edu.cn; xuyihong@zju.edu.cn</t>
  </si>
  <si>
    <t>Hangzhou Municipal Health Commission [A20252537]; Zhejiang Provincial Health Commission [2024KY1142]</t>
  </si>
  <si>
    <t>Hangzhou Municipal Health Commission; Zhejiang Provincial Health Commission</t>
  </si>
  <si>
    <t>This study was supported by the following two projects: The 2025 Hangzhou Municipal Health Science and Technology Plan General Project (Grant No. A20252537), funded by the Hangzhou Municipal Health Commission, and the 2024 General Program of Zhejiang Provincial Medical and Health Science and Technology Plan (Grant No. 2024KY1142), funded by the Zhejiang Provincial Health Commission.</t>
  </si>
  <si>
    <t>[Zhang, Xiaojie; Yang, Zhichao; Li, Xiuping; Wang, Jianan; Pang, Rui; Li, Haofen; Yao, Kanfei; Pan, Hongying; Xu, Yihong] Zhejiang Univ, SirRun Run Shaw Hosp, Sch Med, Nursing Dept, 3 East Qingchun Rd, Hangzhou, Zhejiang, Peoples R China</t>
  </si>
  <si>
    <t>Zhejiang University</t>
  </si>
  <si>
    <t>Predicting Harm: A Systematic Review of Pediatric Pressure Injury Models and Their Clinical Shortcomings</t>
  </si>
  <si>
    <t>ADVANCES IN WOUND CARE</t>
  </si>
  <si>
    <t>pressure injury; pediatric; prediction model; systematic review</t>
  </si>
  <si>
    <t>RISK; PREVALENCE; POPULATION; ULCERS; CARE</t>
  </si>
  <si>
    <t>2162-1918</t>
  </si>
  <si>
    <t>2162-1934</t>
  </si>
  <si>
    <t>ADV WOUND CARE</t>
  </si>
  <si>
    <t>Adv. Wound Care</t>
  </si>
  <si>
    <t>10.1177/21621918261455528</t>
  </si>
  <si>
    <t>http://dx.doi.org/10.1177/21621918261455528</t>
  </si>
  <si>
    <t>Dermatology</t>
  </si>
  <si>
    <t>JG3IK</t>
  </si>
  <si>
    <t>42264962</t>
  </si>
  <si>
    <t>WOS:001788658200001</t>
  </si>
  <si>
    <t>Vagliano, I; Chesnaye, NC; Leopold, JH; Jager, KJ; Abu-Hanna, A; Schut, MC</t>
  </si>
  <si>
    <t>Lay Summary The number of studies applying machine learning (ML) to predict acute kidney injury (AKI) has grown steadily over the past decade. We assessed and critically appraised the state of the art in ML models for AKI prediction, considering performance, methodological soundness, and applicability. Forty-six studies from 3166 titles were included. Thirty-eight studies developed a model, five developed and externally validated one, and three studies externally validated one. Flexible ML methods were popular for the prediction of AKI, although more complex models based on deep learning are emerging and were especially common with temporal variables and text. Our critical appraisal identified a high risk of bias in 39 studies. External validation and interpretability of results were rarely considered. Fifteen studies focused on AKI prediction in the intensive care setting. Studies should externally validate models more often, improve model interpretability, and share data and code to improve reproducibility.Background The number of studies applying machine learning (ML) to predict acute kidney injury (AKI) has grown steadily over the past decade. We assess and critically appraise the state of the art in ML models for AKI prediction, considering performance, methodological soundness, and applicability. Methods We searched PubMed and ArXiv, extracted data, and critically appraised studies based on the Transparent Reporting of a Multivariable Prediction Model for Individual Prognosis or Diagnosis (TRIPOD), Checklist for Critical Appraisal and Data Extraction for Systematic Reviews of Prediction Modelling Studies (CHARMS), and Prediction Model Risk of Bias Assessment Tool (PROBAST) guidelines. Results Forty-six studies from 3166 titles were included. Thirty-eight studies developed a model, five developed and externally validated one, and three studies externally validated one. Flexible ML methods were used more often than deep learning, although the latter was common with temporal variables and text as predictors. Predictive performance showed an area under receiver operating curves ranging from 0.49 to 0.99. Our critical appraisal identified a high risk of bias in 39 studies. Some studies lacked internal validation, whereas external validation and interpretability of results were rarely considered. Fifteen studies focused on AKI prediction in the intensive care setting, and the US-derived Medical Information Mart for Intensive Care (MIMIC) data set was commonly used. Reproducibility was limited as data and code were usually unavailable. Conclusions Flexible ML methods are popular for the prediction of AKI, although more complex models based on deep learning are emerging. Our critical appraisal identified a high risk of bias in most models: Studies should use calibration measures and external validation more often, improve model interpretability, and share data and code to improve reproducibility.</t>
  </si>
  <si>
    <t>Vagliano, Iacopo; Chesnaye, Nicholas C.; Leopold, Jan Hendrik; Jager, Kitty J.; Abu-Hanna, Ameen; Schut, Martijn C.</t>
  </si>
  <si>
    <t>Vagliano, I (corresponding author), Univ Amsterdam, Amsterdam UMC, Amsterdam Publ Hlth Res Inst, Dept Med Informat, Amsterdam, Netherlands.</t>
  </si>
  <si>
    <t>i.vagliano@amsterdamumc.nl</t>
  </si>
  <si>
    <t>[Vagliano, Iacopo; Leopold, Jan Hendrik; Abu-Hanna, Ameen; Schut, Martijn C.] Univ Amsterdam, Amsterdam UMC, Amsterdam Publ Hlth Res Inst, Dept Med Informat, Amsterdam, Netherlands; [Chesnaye, Nicholas C.; Jager, Kitty J.] Univ Amsterdam, Amsterdam Publ Hlth Res Inst, Amsterdam UMC, ERA Registry,Dept Med Informat, Amsterdam, Netherlands</t>
  </si>
  <si>
    <t>Vrije Universiteit Amsterdam; University of Amsterdam; University of Amsterdam; Vrije Universiteit Amsterdam</t>
  </si>
  <si>
    <t>Machine learning models for predicting acute kidney injury: a systematic review and critical appraisal</t>
  </si>
  <si>
    <t>CLINICAL KIDNEY JOURNAL</t>
  </si>
  <si>
    <t>acute kidney injury; clinical prediction models; critical appraisal; machine learning; systematic review</t>
  </si>
  <si>
    <t>RISK STRATIFICATION MODELS; REGRESSION; SURGERY; TRANSPLANTATION; ALGORITHMS; BIOMARKERS; PROGNOSIS; WORLD; BIAS</t>
  </si>
  <si>
    <t>Chesnaye, Nicholas/G-5707-2013</t>
  </si>
  <si>
    <t>Chesnaye, Nicholas/0000-0003-4883-9174</t>
  </si>
  <si>
    <t>97</t>
  </si>
  <si>
    <t>2048-8505</t>
  </si>
  <si>
    <t>2048-8513</t>
  </si>
  <si>
    <t>CLIN KIDNEY J</t>
  </si>
  <si>
    <t>Clin. Kidney J.</t>
  </si>
  <si>
    <t>NOV 27 2022</t>
  </si>
  <si>
    <t>2280</t>
  </si>
  <si>
    <t>10.1093/ckj/sfac181</t>
  </si>
  <si>
    <t>http://dx.doi.org/10.1093/ckj/sfac181</t>
  </si>
  <si>
    <t>6H4QZ</t>
  </si>
  <si>
    <t>36381375</t>
  </si>
  <si>
    <t>WOS:000843575400001</t>
  </si>
  <si>
    <t>gold; Green Accepted; Green Submitted</t>
  </si>
  <si>
    <t>Mangold, C; Zoretic, S; Thallapureddy, K; Moreira, A; Chorath, K; Moreira, A</t>
  </si>
  <si>
    <t>Introduction: Approximately 7,000 newborns die every day, accounting for almost half of child deaths under 5 years of age. Deciphering which neonates are at increased risk for mortality can have an important global impact. As such, integrating high computational technology (e.g., artificial intelligence [AI]) may help identify the early and potentially modifiable predictors of neonatal mortality. Therefore, the objective of this study was to collate, critically appraise, and analyze neonatal prediction studies that included AI. Methods: A literature search was performed in PubMed, Cochrane, OVID, and Google Scholar. We included studies that used AI (e.g., machine learning (ML) and deep learning) to formulate prediction models for neonatal death. We excluded small studies (n &lt; 500 individuals) and studies using only antenatal factors to predict mortality. Two independent investigators screened all articles for inclusion. The data collection consisted of study design, number of models, features used per model, feature importance, internal and/or external validation, and calibration analysis. Our primary outcome was the average area under the receiving characteristic curve (AUC) or sensitivity and specificity for all models included in each study. Results: Of 434 articles, 11 studies were included. The total number of participants was 1.26 M with gestational ages ranging from 22 weeks to term. Number of features ranged from 3 to 66 with timing of prediction as early as 5 min of life to a maximum of 7 days of age. The average number of models per study was 4, with neural network, random forest, and logistic regression comprising the most used models (58.3%). Five studies (45.5%) reported calibration plots and 2 (18.2%) conducted external validation. Eight studies reported results by AUC and 5 studies reported the sensitivity and specificity. The AUC varied from 58.3% to 97.0%. The mean sensitivities ranged from 63% to 80% and specificities from 78% to 99%. The best overall model was linear discriminant analysis, but it also had a high number of features (n = 17). Discussion/Conclusion: ML models can accurately predict death in neonates. This analysis demonstrates the most commonly used predictors and metrics for AI prediction models for neonatal mortality. Future studies should focus on external validation, calibration, as well as deployment of applications that can be readily accessible to health-care providers.</t>
  </si>
  <si>
    <t>Mangold, Cheyenne; Zoretic, Sarah; Thallapureddy, Keerthi; Moreira, Axel; Chorath, Kevin; Moreira, Alvaro</t>
  </si>
  <si>
    <t>Moreira, A (corresponding author), Univ Texas Hlth San Antonio, Dept Pediat, San Antonio, TX 78229 USA.</t>
  </si>
  <si>
    <t>moreiraa@uthscsa.edu</t>
  </si>
  <si>
    <t>Eunice Kennedy Shriver National Institute Of Child Health &amp; Human Development of the National Institutes of Health [K23HD101701]; Eunice Kennedy Shriver National Institute of Child Health and Human Development [K23HD101701] Funding Source: NIH RePORTER</t>
  </si>
  <si>
    <t>Eunice Kennedy Shriver National Institute Of Child Health &amp; Human Development of the National Institutes of Health; Eunice Kennedy Shriver National Institute of Child Health and Human Development (United States Department of Health &amp; Human Services, National Institutes of Health (NIH) - USA, NIH Eunice Kennedy Shriver National Institute of Child Health &amp; Human Development (NICHD))</t>
  </si>
  <si>
    <t>A.M.: Parker B. Francis. Research reported in this publication was supported by the Eunice Kennedy Shriver National Institute Of Child Health &amp; Human Development of the National Institutes of Health under Award Number K23HD101701. The content is solely the responsibility of the authors and does not necessarily represent the official views of the National Institutes of Health. Both funding sources had no role in this study.</t>
  </si>
  <si>
    <t>[Mangold, Cheyenne; Zoretic, Sarah; Thallapureddy, Keerthi; Moreira, Alvaro] Univ Texas Hlth San Antonio, Dept Pediat, San Antonio, TX 78229 USA; [Moreira, Axel] Baylor Coll Med, Dept Pediat, Houston, TX 77030 USA; [Chorath, Kevin] Univ Penn, Dept Otolaryngol, Philadelphia, PA 19104 USA</t>
  </si>
  <si>
    <t>University of Texas System; University of Texas at San Antonio; Baylor College of Medicine; University of Pennsylvania</t>
  </si>
  <si>
    <t>Machine Learning Models for Predicting Neonatal Mortality: A Systematic Review</t>
  </si>
  <si>
    <t>NEONATOLOGY</t>
  </si>
  <si>
    <t>Artificial intelligence; Neonate; Mortality; Systematic review</t>
  </si>
  <si>
    <t>ARTIFICIAL NEURAL-NETWORK; HEALTH RECORD DATA; LOGISTIC-REGRESSION; RISK; VALIDATION; ENSEMBLE; DEVELOP; SEPSIS</t>
  </si>
  <si>
    <t>Zoretic, Sarah/0000-0003-3888-385X; Moreira, Axel/0000-0002-8619-2853</t>
  </si>
  <si>
    <t>82</t>
  </si>
  <si>
    <t>94</t>
  </si>
  <si>
    <t>KARGER</t>
  </si>
  <si>
    <t>ALLSCHWILERSTRASSE 10, CH-4009 BASEL, SWITZERLAND</t>
  </si>
  <si>
    <t>1661-7800</t>
  </si>
  <si>
    <t>1661-7819</t>
  </si>
  <si>
    <t>Neonatology</t>
  </si>
  <si>
    <t>394</t>
  </si>
  <si>
    <t>405</t>
  </si>
  <si>
    <t>10.1159/000516891</t>
  </si>
  <si>
    <t>http://dx.doi.org/10.1159/000516891</t>
  </si>
  <si>
    <t>UF4KR</t>
  </si>
  <si>
    <t>34261070</t>
  </si>
  <si>
    <t>WOS:000673942300001</t>
  </si>
  <si>
    <t>Hunt, A; Law, H; Carney, R; Mulholland, R; Flores, A; Smith, CT; Varese, F; Parker, S; Yung, AR; Bonnett, LJ</t>
  </si>
  <si>
    <t>Objectives: This study aims to review studies developing or validating a prediction model for transition to psychosis in individuals meeting At Risk Mental State (ARMS) criteria focussing on predictors that can be obtained as part of standard clinical practice. Prediction of transition is crucial to facilitating identification of patients who would benefit from cognitive behavioural therapy and, conversely, those that would benefit from less costly and less-intensive regular mental state monitoring. The review aims to determine whether prediction models rated as low risk of bias exist and, if not, what further research is needed within the field. Design: Bibliographic databases (PsycINFO, Medline, EMBASE, CINAHL) were searched using index terms relating to the clinical field and prognosis from 1994, the initial year of the first prospective study using ARMS criteria, to July 2024. Screening of titles, abstracts, and subsequently full texts was conducted by two reviewers independently using predefined criteria. Study quality was assessed using the Prediction model Risk Of Bias ASessment Tool (PROBAST). Setting: Studies in any setting were included. Primary and secondary outcome measures: The primary outcome for the review was the identification of prediction models considering transition risk and a summary of their risk of bias. Results: Forty-eight unique prediction models considering risk of transition to psychosis were identified. Variables found to be consistently important when predicting transition were age, gender, global functioning score, trait vulnerability, and unusual thought content. PROBAST criteria categorised four unique prediction models as having an overall low-risk bias. Other studies were insufficiently powered for the number of candidate predictors or lacking enough information to draw a conclusion regarding risk of bias. Conclusions: Two of the 48 identified prediction models were developed using current best practice statistical methodology, validated their model in independent data, and presented low risk of bias overall in line with the PROBAST guidelines. Any new prediction model built to evaluate the risk of transition to psychosis in people meeting ARMS criteria should be informed by the latest statistical methodology and adhere to the TRIPOD reporting guidelines to ensure that clinical practice is informed by the best possible evidence. External validation of such models should be carefully planned particularly considering generalisation across different countries. Systematic review registration https://www.crd.york.ac.uk/PROSPEROFILES/108488_PROTOCOL_20191127.pdf, identifier CRD42018108488.</t>
  </si>
  <si>
    <t>Hunt, Alexandra; Law, Heather; Carney, Rebekah; Mulholland, Rachel; Flores, Allan; Smith, Catrin Tudur; Varese, Filippo; Parker, Sophie; Yung, Alison R.; Bonnett, Laura J.</t>
  </si>
  <si>
    <t>Hunt, A (corresponding author), Univ Liverpool, Dept Hlth Data Sci, Liverpool, England.</t>
  </si>
  <si>
    <t>a.hunt5@liverpool.ac.uk</t>
  </si>
  <si>
    <t>National Institute for Health and Care Research10.13039/501100000272</t>
  </si>
  <si>
    <t>We thank Nouran Abdou for her assistance with screening of titles and abstracts.</t>
  </si>
  <si>
    <t>[Hunt, Alexandra; Flores, Allan; Smith, Catrin Tudur; Bonnett, Laura J.] Univ Liverpool, Dept Hlth Data Sci, Liverpool, England; [Law, Heather; Carney, Rebekah; Mulholland, Rachel; Varese, Filippo; Parker, Sophie; Yung, Alison R.] Greater Manchester Mental Hlth NHS Fdn Trust, Manchester, England; [Law, Heather; Carney, Rebekah; Varese, Filippo; Parker, Sophie; Yung, Alison R.] Univ Manchester, Sch Hlth Sci, Div Psychol &amp; Mental Hlth, Manchester, England; [Yung, Alison R.] Deakin Univ, Inst Mental &amp; Phys Hlth &amp; Clin Translat IMPACT, Geelong, Vic, Australia</t>
  </si>
  <si>
    <t>University of Liverpool; University of Manchester; Deakin University</t>
  </si>
  <si>
    <t>Systematic review of clinical prediction models for psychosis in individuals meeting At Risk Mental State criteria</t>
  </si>
  <si>
    <t>FRONTIERS IN PSYCHIATRY</t>
  </si>
  <si>
    <t>prognostic/prediction modelling; mental health; ARMS; psychosis; systematic review</t>
  </si>
  <si>
    <t>PROGNOSTIC MODELS; APPLICABILITY; TRANSITION; PROBAST; EVENTS; BIAS; TOOL</t>
  </si>
  <si>
    <t>Bonnett, Laura/A-2159-2015; Carney, Rebekah/AAO-5205-2021; Yung, Alison/N-6729-2019</t>
  </si>
  <si>
    <t>Bonnett, Laura/0000-0002-6981-9212; Varese, Filippo/0000-0001-7244-598X; hunt, Alexandra/0000-0001-5510-0285; Tudur Smith, Catrin/0000-0003-3051-1445; Law, Heather/0000-0002-1889-9179; Parker, Sophie/0000-0001-5596-7524</t>
  </si>
  <si>
    <t>1664-0640</t>
  </si>
  <si>
    <t>FRONT PSYCHIATRY</t>
  </si>
  <si>
    <t>Front. Psychiatry</t>
  </si>
  <si>
    <t>OCT 2 2024</t>
  </si>
  <si>
    <t>1408738</t>
  </si>
  <si>
    <t>10.3389/fpsyt.2024.1408738</t>
  </si>
  <si>
    <t>http://dx.doi.org/10.3389/fpsyt.2024.1408738</t>
  </si>
  <si>
    <t>I8Z7Q</t>
  </si>
  <si>
    <t>39415891</t>
  </si>
  <si>
    <t>WOS:001333088200001</t>
  </si>
  <si>
    <t>He, F; Huang, S; Wang, R; Phillips, JL; Sun, C</t>
  </si>
  <si>
    <t>Background: Major depressive disorder (MDD) affects approximately 1 in 6 adults during their lifetime, yet antidepressant selection relies predominantly on trial-and-error, with response rates of only 42% to 53%. While machine learning (ML) models have shown promise in predicting treatment outcomes, most focus on single treatments rather than comparative selection across therapeutic alternatives, limiting their clinical utility for the medication choice decisions that clinicians face in practice. Objective: This systematic review evaluates ML approaches that examine 2 or more pharmacological interventions for predicting treatment outcomes in MDD, with a focus on their capacity to facilitate comparative treatment selection between medications or medication classes for individual patients. Methods: Following PRISMA (Preferred Reporting Items for Systematic Reviews and Meta-Analyses) guidelines, we searched PubMed, Scopus, and Web of Science for studies published from 2015 to 2025. We included studies involving adults with MDD that used ML models to predict treatment outcomes across 2 or more pharmacological treatments and reported medication-specific prediction outcomes. Risk of bias was assessed using PROBAST-AI (Prediction Model Risk of Bias Assessment Tool for Artificial Intelligence). We conducted a narrative synthesis organized by modeling strategies, data integration approaches, validation methodologies, and performance patterns. Results: From 5370 initial records, 19 studies met the inclusion criteria, with dataset sample sizes ranging from 49 to 77,226 participants. Studies employed 3 distinct modeling strategies: drug-specific supervised models trained independently for each medication, subtype-or trajectory-based approaches using clustering methods to identify differential response patterns, and a unified differential prediction framework generating calibrated cross-treatment predictions. Performance varied substantially, with area under the curve values ranging from 0.59 to 0.95 and classification accuracies between 62% and 95.4%, though high performance was concentrated in studies with small samples, high-dimensional neurobiological features, and internal-only validation. Only 7 studies conducted external validation, which generally yielded more conservative performance estimates. Feature informativeness was more consistently associated with performance variation than algorithm complexity. Most studies did not formally distinguish between prognostic features predicting general outcomes and predictive features identifying differential medication responses, and none applied formal explainability techniques. Conclusions: ML for comparative antidepressant selection remains in an early stage of development. Only 1 study implemented a unified framework directly supporting patient-level treatment ranking. Key barriers to clinical translation include insufficient distinction between prognostic and predictive markers, limited cross-trial validation, near-absent calibration reporting, and absent explainability. Future research should prioritize unified comparative frameworks with calibrated predictions, rigorous external validation on diverse cohorts, explicit modeling of heterogeneous treatment effects, and integration of explainability into model development.</t>
  </si>
  <si>
    <t>He, Fiona; Huang, Steven; Wang, Richard; Phillips, Jennifer L.; Sun, Christopher</t>
  </si>
  <si>
    <t>Sun, C (corresponding author), Univ Ottawa, Telfer Sch Management, 55 Laurier Ave E, Ottawa, ON K1N 9B9, Canada.</t>
  </si>
  <si>
    <t>sun@telfer.uottawa.ca</t>
  </si>
  <si>
    <t>[He, Fiona] Univ Ottawa, Fac Engn, Digital Transformat &amp; Innovat, Ottawa, ON, Canada; [Huang, Steven] Univ British Columbia, Fac Sci, Vancouver, BC, Canada; [Huang, Steven; Sun, Christopher] Ottawa Heart Inst, Ottawa, ON, Canada; [Wang, Richard] Western Univ, Dept Physiol &amp; Pharmacol, London, ON, Canada; [Phillips, Jennifer L.] Univ Ottawa, Inst Mental Hlth Res Royal, Ottawa, ON, Canada; [Sun, Christopher] Univ Ottawa, Telfer Sch Management, 55 Laurier Ave E, Ottawa, ON K1N 9B9, Canada</t>
  </si>
  <si>
    <t>University of Ottawa; University of British Columbia; University of Ottawa; University of Ottawa Heart Institute; Western University (University of Western Ontario); University of Ottawa; University of Ottawa</t>
  </si>
  <si>
    <t>Machine Learning for Comparative Antidepressant Selection in Major Depressive Disorder: Systematic Review</t>
  </si>
  <si>
    <t>JMIR MENTAL HEALTH</t>
  </si>
  <si>
    <t>machine learning; artificial intelligence; antidepressant; major depressive disorder; treatment selection; treatment outcome; precision psychiatry; personalized medicine</t>
  </si>
  <si>
    <t>PREDICTION; PATTERNS</t>
  </si>
  <si>
    <t>Phillips, Jennifer/JDD-3445-2023</t>
  </si>
  <si>
    <t>He, Xinyi/0009-0008-0667-4627; Chang, Aland/0009-0006-1821-1721; Huang, Steven/0009-0008-7243-7750; Wang, Richard/0009-0003-2398-2473</t>
  </si>
  <si>
    <t>2368-7959</t>
  </si>
  <si>
    <t>JMIR MENT HEALTH</t>
  </si>
  <si>
    <t>JMIR Ment. Health</t>
  </si>
  <si>
    <t>e89352</t>
  </si>
  <si>
    <t>10.2196/89352</t>
  </si>
  <si>
    <t>http://dx.doi.org/10.2196/89352</t>
  </si>
  <si>
    <t>IE7EU</t>
  </si>
  <si>
    <t>42126586</t>
  </si>
  <si>
    <t>WOS:001769922300001</t>
  </si>
  <si>
    <t>Sun, Y; Li, B; Ju, CL; Hu, LM; Sun, HY; An, J; Kim, TH; Bu, ZJ; Shi, ZY; Liu, JP; Liu, ZL</t>
  </si>
  <si>
    <t>Background: Predicting colorectal cancer (CRC) recurrence risk remains a challenge in clinical practice. Owing to the widespread use of radiomics in CRC diagnosis and treatment, some researchers recently explored the effectiveness of radiomics-based models in forecasting CRC recurrence risk. Nonetheless, the lack of systematic evidence of the efficacy of such models has hampered their clinical adoption. Objective: This study aimed to explore the value of radiomics in predicting CRC recurrence, providing a scholarly rationale for developing more specific interventions. Methods: Overall, 4 databases (Embase, PubMed, the Cochrane Library, and Web of Science) were searched for relevant articles from inception to January 1, 2025. We included studies that developed or validated radiomics-based machine learning models for predicting CRC recurrence using computed tomography or magnetic resonance imaging and provided discriminative performance metrics (c-index). Nonoriginal articles, studies that did not develop a model, and those lacking clear outcome measures were excluded from the study. The quality of the included original studies was assessed using the Radiomics Quality Score. A bivariate mixed-effects model was used to conduct a meta-analysis in which the c-index values with 95% CI were pooled. For the meta-analysis, subgroup analyses were conducted separately on the validation and training sets. Results: This meta-analysis included 17 original studies involving 4600 patients with CRC. The quality of the identified studies was low (mean Radiomics Quality Score 13.23/36, SD 2.56), with limitations in prospective design and biological validation. In the validation set, the c-index values based on clinical features, radiomics features, and radiomics features combined with clinical features were 0.73 (95% CI 0.68-0.79), 0.80 (95% CI 0.75-0.85), and 0.83 (95% CI 0.79-0.87), respectively. In the internal validation set, the c-index values based on clinical features, radiomics features, and radiomics features+clinical features were 0.70 (95% CI 0.61-0.79), 0.83 (95% CI 0.78-0.88), and 0.83 (95% CI 0.78-0.88), respectively. Finally, in the external validation set, the c-index values based on clinical features, radiomics features, and radiomics features combined with clinical features were 0.76 (95% CI 0.70-0.83), 0.75 (95% CI 0.66-0.83), and 0.83 (95% CI 0.78-0.88), respectively. Conclusions: Radiomics-based machine learning models, especially those integrating radiomics and clinical features, showed promising predictive performance for CRC recurrence risk. However, this study has several limitations, such as moderate study quality, limited sample size, and high heterogeneity in modeling approaches. These findings suggest the potential clinical value of integrated models in risk stratification and their potential to enhance personalized treatment, though further high-quality prospective studies are warranted.</t>
  </si>
  <si>
    <t>Sun, Yuan; Li, Bo; Ju, Chuanlan; Hu, Liming; Sun, Huiyi; An, Jing; Kim, Tae-Hun; Bu, Zhijun; Shi, Zeyang; Liu, Jianping; Liu, Zhaolan</t>
  </si>
  <si>
    <t>Liu, ZL (corresponding author), Beijing Univ Chinese Med, Ctr Evidence Based Chinese Med, 11 East Beisanhuan Rd,Heping St, Beijing 100029, Peoples R China.</t>
  </si>
  <si>
    <t>lzl1019@163.com</t>
  </si>
  <si>
    <t>National Natural Science Foundation of China [82374298]; Backup Leader Support Program of Beijing University of Chinese Medicine [90010960920033]; High-level Chinese Medicine Key Discipline of the Double-tier Supporting Support Bureau-Evidence-based Medicine in Chinese Medicine [90010951310169]</t>
  </si>
  <si>
    <t>National Natural Science Foundation of China (National Natural Science Foundation of China (NSFC)); Backup Leader Support Program of Beijing University of Chinese Medicine; High-level Chinese Medicine Key Discipline of the Double-tier Supporting Support Bureau-Evidence-based Medicine in Chinese Medicine</t>
  </si>
  <si>
    <t>This work was supported by the National Natural Science Foundation of China (grant 82374298), Backup Leader Support Program of Beijing University of Chinese Medicine (90010960920033), and High-level Chinese Medicine Key Discipline of the Double-tier Supporting Support Bureau-Evidence-based Medicine in Chinese Medicine (90010951310169).</t>
  </si>
  <si>
    <t>[Sun, Yuan; Bu, Zhijun; Shi, Zeyang; Liu, Jianping; Liu, Zhaolan] Beijing Univ Chinese Med, Ctr Evidence Based Chinese Med, 11 East Beisanhuan Rd,Heping St, Beijing 100029, Peoples R China; [Sun, Yuan] Shandong Coll Tradit Chinese Med, Dept Publ Hlth, Yantai, Peoples R China; [Li, Bo] Prevent Med Assoc, Yantai Ctr Dis Control &amp; Prevent, Yantai, Peoples R China; [Ju, Chuanlan] Yantai Hosp Tradit Chinese Med, Dept Publ Hlth, Yantai, Peoples R China; [Hu, Liming] Beijing Univ Chinese Med, Dongfang Hosp, Dept Spleen Stomach Liver &amp; Gallbladder, Beijing, Peoples R China; [Sun, Huiyi] Beijing Univ Chinese Med, Dongzhimen Hosp, Dept Spleen Stomach Liver &amp; Gallbladder, Beijing, Peoples R China; [An, Jing] Beijing Univ Chinese Med, Affiliated Hosp 3, Dept Spleen &amp; Stomach, Beijing, Peoples R China; [Kim, Tae-Hun] Kyung Hee Univ, Korean Med Clin Trial Ctr, Korean Med Hosp, Seoul, South Korea</t>
  </si>
  <si>
    <t>Beijing University of Chinese Medicine; Shandong University of Traditional Chinese Medicine; Beijing University of Chinese Medicine; Beijing University of Chinese Medicine; Beijing University of Chinese Medicine; Kyung Hee University; Kyung Hee University Hospital</t>
  </si>
  <si>
    <t>Predictive Performance of Radiomics-Based Machine Learning for Colorectal Cancer Recurrence Risk: Systematic Review and Meta-Analysis</t>
  </si>
  <si>
    <t>colorectal cancer; radiomics; meta-analysis; clinical prediction model; PRISMA; Preferred Reporting Items for Systematic Reviews and Meta-Analyses</t>
  </si>
  <si>
    <t>QUALITY</t>
  </si>
  <si>
    <t>HU, LIMING/KEI-7486-2024</t>
  </si>
  <si>
    <t>Bu, Zhijun/0009-0006-0051-1662; Liu, Jianping/0000-0002-0320-061X</t>
  </si>
  <si>
    <t>e78644</t>
  </si>
  <si>
    <t>10.2196/78644</t>
  </si>
  <si>
    <t>http://dx.doi.org/10.2196/78644</t>
  </si>
  <si>
    <t>Q3677</t>
  </si>
  <si>
    <t>41328447</t>
  </si>
  <si>
    <t>WOS:001634518000002</t>
  </si>
  <si>
    <t>Virdee, PS; Collins, KK; Smith, CF; Yang, X; Zhu, SF; Roberts, N; Oke, JL; Bankhead, C; Perera, R; Hobbs, FDR; Nicholson, B</t>
  </si>
  <si>
    <t>Background: Blood tests used to identify patients at increased risk of undiagnosed cancer are commonly used in isolation, primarily by monitoring whether results fall outside the normal range. Some prediction models incorporate changes over repeated blood tests (or trends) to improve individualized cancer risk identification, as relevant trends may be confined within the normal range. Objective: Our aim was to critically appraise existing diagnostic prediction models incorporating blood test trends for the risk of cancer. Methods: MEDLINE and EMBASE were searched until April 3, 2025 for diagnostic prediction model studies using blood test trends for cancer risk. Screening was performed by 4 reviewers. Data extraction for each article was performed by 2 reviewers independently. To critically appraise models, we narratively synthesized studies, including model building and validation strategies, model reporting, and the added value of blood test trends. We also reviewed the performance measures of each model, including discrimination and calibration. We performed a random-effects meta-analysis of the c-statistic for a trends-based prediction model if there were at least 3 studies validating the model. The risk of bias was assessed using the PROBAST (prediction model risk of bias assessment tool). Results: We included 16 articles, with a total of 7 models developed and 14 external validation studies. In the 7 models derived, full blood count (FBC) trends were most commonly used (86%, n=7 models). Cancers modeled were colorectal (43%, n=3), gastro-intestinal (29%, n=2), nonsmall cell lung (14%, n=1), and pancreatic (14%, n=1). In total, 2 models used statistical logistic regression, 2 used joint modeling, and 1 each used XGBoost, decision trees, and random forests. The number of blood test trends included in the models ranged from 1 to 26. A total of 2 of 4 models were reported with the full set of coefficients needed to predict risk, with the remaining excluding at least one coefficient from their article or were not publicly accessible. The c-statistic ranged 0.69-0.87 among validation studies. The ColonFlag model using trends in the FBC was commonly externally validated, with a pooled c-statistic=0.81 (95% CI 0.77-0.85; n=4 studies) for 6-month colorectal cancer risk. Models were often inadequately tested, with only one external validation study assessing model calibration. All 16 studies scored a low risk of bias regarding predictor and outcome details. All but one study scored a high risk of bias in the analysis domain, with most studies often removing patients with missing data from analysis or not adjusting the derived model for overfitting. Conclusions: Our review highlights that blood test trends may inform further investigation for cancer. However, models were not available for most cancer sites, were rarely externally validated, and rarely assessed calibration when they were externally validated. Trial Registration: PROSPERO CRD42022348907; https://www.crd.york.ac.uk/PROSPERO/view/CRD42022348907</t>
  </si>
  <si>
    <t>Virdee, Pradeep S.; Collins, Kiana K.; Smith, Claire Friedemann; Yang, Xin; Zhu, Sufen; Roberts, Nia; Oke, Jason L.; Bankhead, Clare; Perera, Rafael; Hobbs, F. D. Richard; Nicholson, Brian</t>
  </si>
  <si>
    <t>Virdee, PS (corresponding author), Univ Oxford, Nuffield Dept Primary Care Hlth Sci, Radcliffe Primary Care Bldg, Woodstock Rd, Oxford OX2 6GG, England.</t>
  </si>
  <si>
    <t>pradeep.virdee@phc.ox.ac.uk</t>
  </si>
  <si>
    <t>Cancer Research UK Clinical Careers Committee Postdoctoral Fellowship [RCCPDF\100005]</t>
  </si>
  <si>
    <t>Cancer Research UK Clinical Careers Committee Postdoctoral Fellowship</t>
  </si>
  <si>
    <t>Acknowledgments PSV and BDN are funded for this work by a Cancer Research UK Clinical Careers Committee Postdoctoral Fellowship (RCCPDF\100005) . The authors would also like to thank patient and public involvement representatives Alton Sutton, Bernard Gudgin, Clara Martins de Barros, Emily Lam, Ian Blelloch, Julian Ashton, Margaret Ogden, Shannon Draisey, and Susan Lynne for applying a patient perspective on the relevance of blood test trends for cancer detection.</t>
  </si>
  <si>
    <t>[Virdee, Pradeep S.; Collins, Kiana K.; Smith, Claire Friedemann; Zhu, Sufen; Oke, Jason L.; Bankhead, Clare; Hobbs, F. D. Richard; Nicholson, Brian] Univ Oxford, Nuffield Dept Primary Care Hlth Sci, Radcliffe Primary Care Bldg, Woodstock Rd, Oxford OX2 6GG, England; [Yang, Xin] Univ Oxford, St Edmund Hall, Oxford, England; [Roberts, Nia] Univ Oxford, Bodleian Hlth Care Lib, Oxford, England</t>
  </si>
  <si>
    <t>University of Oxford; University of Oxford; University of Oxford</t>
  </si>
  <si>
    <t>Clinical Prediction Models Incorporating Blood Test Trend for Cancer Detection: Systematic Review, Meta-Analysis, and Critical Appraisal</t>
  </si>
  <si>
    <t>JMIR CANCER</t>
  </si>
  <si>
    <t>blood test; hematologic tests; trend; prediction model; primary health care; cancer; neoplasms; systematic review</t>
  </si>
  <si>
    <t>COLORECTAL-CANCER; PRIMARY-CARE; VALIDATION; RISK</t>
  </si>
  <si>
    <t>hobbs, richard/LMN-3113-2024; Friedemann Smith, Claire/J-4491-2019; Roberts, Nia Wyn/F-9842-2010; Virdee, Pradeep/AAI-1261-2019</t>
  </si>
  <si>
    <t>Yang, Xin/0000-0001-7951-5055; Zhu, Sufen/0009-0003-1298-3905; Collins, Kiana Khorasani/0000-0002-3736-6976; hobbs, richard/0000-0001-7976-7172; Perera, Rafael/0000-0003-2418-2091; Oke, Jason/0000-0003-3467-6677; Friedemann Smith, Claire/0000-0001-9934-5882; Roberts, Nia Wyn/0000-0002-1142-6440; Virdee, Pradeep/0000-0002-3006-8730</t>
  </si>
  <si>
    <t>2369-1999</t>
  </si>
  <si>
    <t>JMIR Cancer</t>
  </si>
  <si>
    <t>e70275</t>
  </si>
  <si>
    <t>10.2196/70275</t>
  </si>
  <si>
    <t>http://dx.doi.org/10.2196/70275</t>
  </si>
  <si>
    <t>4SL5V</t>
  </si>
  <si>
    <t>40577667</t>
  </si>
  <si>
    <t>WOS:001525591100001</t>
  </si>
</sst>
</file>

<file path=xl/styles.xml><?xml version="1.0" encoding="utf-8"?>
<styleSheet xmlns="http://schemas.openxmlformats.org/spreadsheetml/2006/main">
  <numFmts count="0"/>
  <fonts count="245">
    <font>
      <sz val="11.0"/>
      <color indexed="8"/>
      <name val="Calibri"/>
      <family val="2"/>
      <scheme val="minor"/>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s>
  <fills count="2">
    <fill>
      <patternFill patternType="none"/>
    </fill>
    <fill>
      <patternFill patternType="darkGray"/>
    </fill>
  </fills>
  <borders count="1">
    <border>
      <left/>
      <right/>
      <top/>
      <bottom/>
      <diagonal/>
    </border>
  </borders>
  <cellStyleXfs count="1">
    <xf numFmtId="0" fontId="0" fillId="0" borderId="0"/>
  </cellStyleXfs>
  <cellXfs count="245">
    <xf numFmtId="0" fontId="0" fillId="0" borderId="0" xfId="0"/>
    <xf numFmtId="0" fontId="1" fillId="0" borderId="0" xfId="0" applyFont="true"/>
    <xf numFmtId="0" fontId="2" fillId="0" borderId="0" xfId="0" applyFont="true"/>
    <xf numFmtId="0" fontId="3" fillId="0" borderId="0" xfId="0" applyFont="true"/>
    <xf numFmtId="0" fontId="4" fillId="0" borderId="0" xfId="0" applyFont="true"/>
    <xf numFmtId="0" fontId="5" fillId="0" borderId="0" xfId="0" applyFont="true"/>
    <xf numFmtId="0" fontId="6" fillId="0" borderId="0" xfId="0" applyFont="true"/>
    <xf numFmtId="0" fontId="7" fillId="0" borderId="0" xfId="0" applyFont="true"/>
    <xf numFmtId="0" fontId="8" fillId="0" borderId="0" xfId="0" applyFont="true"/>
    <xf numFmtId="0" fontId="9" fillId="0" borderId="0" xfId="0" applyFont="true"/>
    <xf numFmtId="0" fontId="10" fillId="0" borderId="0" xfId="0" applyFont="true"/>
    <xf numFmtId="0" fontId="11" fillId="0" borderId="0" xfId="0" applyFont="true"/>
    <xf numFmtId="0" fontId="12" fillId="0" borderId="0" xfId="0" applyFont="true"/>
    <xf numFmtId="0" fontId="13" fillId="0" borderId="0" xfId="0" applyFont="true"/>
    <xf numFmtId="0" fontId="14" fillId="0" borderId="0" xfId="0" applyFont="true"/>
    <xf numFmtId="0" fontId="15" fillId="0" borderId="0" xfId="0" applyFont="true"/>
    <xf numFmtId="0" fontId="16" fillId="0" borderId="0" xfId="0" applyFont="true"/>
    <xf numFmtId="0" fontId="17" fillId="0" borderId="0" xfId="0" applyFont="true"/>
    <xf numFmtId="0" fontId="18" fillId="0" borderId="0" xfId="0" applyFont="true"/>
    <xf numFmtId="0" fontId="19" fillId="0" borderId="0" xfId="0" applyFont="true"/>
    <xf numFmtId="0" fontId="20" fillId="0" borderId="0" xfId="0" applyFont="true"/>
    <xf numFmtId="0" fontId="21" fillId="0" borderId="0" xfId="0" applyFont="true"/>
    <xf numFmtId="0" fontId="22" fillId="0" borderId="0" xfId="0" applyFont="true"/>
    <xf numFmtId="0" fontId="23" fillId="0" borderId="0" xfId="0" applyFont="true"/>
    <xf numFmtId="0" fontId="24" fillId="0" borderId="0" xfId="0" applyFont="true"/>
    <xf numFmtId="0" fontId="25" fillId="0" borderId="0" xfId="0" applyFont="true"/>
    <xf numFmtId="0" fontId="26" fillId="0" borderId="0" xfId="0" applyFont="true"/>
    <xf numFmtId="0" fontId="27" fillId="0" borderId="0" xfId="0" applyFont="true"/>
    <xf numFmtId="0" fontId="28" fillId="0" borderId="0" xfId="0" applyFont="true"/>
    <xf numFmtId="0" fontId="29" fillId="0" borderId="0" xfId="0" applyFont="true"/>
    <xf numFmtId="0" fontId="30" fillId="0" borderId="0" xfId="0" applyFont="true"/>
    <xf numFmtId="0" fontId="31" fillId="0" borderId="0" xfId="0" applyFont="true"/>
    <xf numFmtId="0" fontId="32" fillId="0" borderId="0" xfId="0" applyFont="true"/>
    <xf numFmtId="0" fontId="33" fillId="0" borderId="0" xfId="0" applyFont="true"/>
    <xf numFmtId="0" fontId="34" fillId="0" borderId="0" xfId="0" applyFont="true"/>
    <xf numFmtId="0" fontId="35" fillId="0" borderId="0" xfId="0" applyFont="true"/>
    <xf numFmtId="0" fontId="36" fillId="0" borderId="0" xfId="0" applyFont="true"/>
    <xf numFmtId="0" fontId="37" fillId="0" borderId="0" xfId="0" applyFont="true"/>
    <xf numFmtId="0" fontId="38" fillId="0" borderId="0" xfId="0" applyFont="true"/>
    <xf numFmtId="0" fontId="39" fillId="0" borderId="0" xfId="0" applyFont="true"/>
    <xf numFmtId="0" fontId="40" fillId="0" borderId="0" xfId="0" applyFont="true"/>
    <xf numFmtId="0" fontId="41" fillId="0" borderId="0" xfId="0" applyFont="true"/>
    <xf numFmtId="0" fontId="42" fillId="0" borderId="0" xfId="0" applyFont="true"/>
    <xf numFmtId="0" fontId="43" fillId="0" borderId="0" xfId="0" applyFont="true"/>
    <xf numFmtId="0" fontId="44" fillId="0" borderId="0" xfId="0" applyFont="true"/>
    <xf numFmtId="0" fontId="45" fillId="0" borderId="0" xfId="0" applyFont="true"/>
    <xf numFmtId="0" fontId="46" fillId="0" borderId="0" xfId="0" applyFont="true"/>
    <xf numFmtId="0" fontId="47" fillId="0" borderId="0" xfId="0" applyFont="true"/>
    <xf numFmtId="0" fontId="48" fillId="0" borderId="0" xfId="0" applyFont="true"/>
    <xf numFmtId="0" fontId="49" fillId="0" borderId="0" xfId="0" applyFont="true"/>
    <xf numFmtId="0" fontId="50" fillId="0" borderId="0" xfId="0" applyFont="true"/>
    <xf numFmtId="0" fontId="51" fillId="0" borderId="0" xfId="0" applyFont="true"/>
    <xf numFmtId="0" fontId="52" fillId="0" borderId="0" xfId="0" applyFont="true"/>
    <xf numFmtId="0" fontId="53" fillId="0" borderId="0" xfId="0" applyFont="true"/>
    <xf numFmtId="0" fontId="54" fillId="0" borderId="0" xfId="0" applyFont="true"/>
    <xf numFmtId="0" fontId="55" fillId="0" borderId="0" xfId="0" applyFont="true"/>
    <xf numFmtId="0" fontId="56" fillId="0" borderId="0" xfId="0" applyFont="true"/>
    <xf numFmtId="0" fontId="57" fillId="0" borderId="0" xfId="0" applyFont="true"/>
    <xf numFmtId="0" fontId="58" fillId="0" borderId="0" xfId="0" applyFont="true"/>
    <xf numFmtId="0" fontId="59" fillId="0" borderId="0" xfId="0" applyFont="true"/>
    <xf numFmtId="0" fontId="60" fillId="0" borderId="0" xfId="0" applyFont="true"/>
    <xf numFmtId="0" fontId="61" fillId="0" borderId="0" xfId="0" applyFont="true"/>
    <xf numFmtId="0" fontId="62" fillId="0" borderId="0" xfId="0" applyFont="true"/>
    <xf numFmtId="0" fontId="63" fillId="0" borderId="0" xfId="0" applyFont="true"/>
    <xf numFmtId="0" fontId="64" fillId="0" borderId="0" xfId="0" applyFont="true"/>
    <xf numFmtId="0" fontId="65" fillId="0" borderId="0" xfId="0" applyFont="true"/>
    <xf numFmtId="0" fontId="66" fillId="0" borderId="0" xfId="0" applyFont="true"/>
    <xf numFmtId="0" fontId="67" fillId="0" borderId="0" xfId="0" applyFont="true"/>
    <xf numFmtId="0" fontId="68" fillId="0" borderId="0" xfId="0" applyFont="true"/>
    <xf numFmtId="0" fontId="69" fillId="0" borderId="0" xfId="0" applyFont="true"/>
    <xf numFmtId="0" fontId="70" fillId="0" borderId="0" xfId="0" applyFont="true"/>
    <xf numFmtId="0" fontId="71" fillId="0" borderId="0" xfId="0" applyFont="true"/>
    <xf numFmtId="0" fontId="72" fillId="0" borderId="0" xfId="0" applyFont="true"/>
    <xf numFmtId="0" fontId="73" fillId="0" borderId="0" xfId="0" applyFont="true"/>
    <xf numFmtId="0" fontId="74" fillId="0" borderId="0" xfId="0" applyFont="true"/>
    <xf numFmtId="0" fontId="75" fillId="0" borderId="0" xfId="0" applyFont="true"/>
    <xf numFmtId="0" fontId="76" fillId="0" borderId="0" xfId="0" applyFont="true"/>
    <xf numFmtId="0" fontId="77" fillId="0" borderId="0" xfId="0" applyFont="true"/>
    <xf numFmtId="0" fontId="78" fillId="0" borderId="0" xfId="0" applyFont="true"/>
    <xf numFmtId="0" fontId="79" fillId="0" borderId="0" xfId="0" applyFont="true"/>
    <xf numFmtId="0" fontId="80" fillId="0" borderId="0" xfId="0" applyFont="true"/>
    <xf numFmtId="0" fontId="81" fillId="0" borderId="0" xfId="0" applyFont="true"/>
    <xf numFmtId="0" fontId="82" fillId="0" borderId="0" xfId="0" applyFont="true"/>
    <xf numFmtId="0" fontId="83" fillId="0" borderId="0" xfId="0" applyFont="true"/>
    <xf numFmtId="0" fontId="84" fillId="0" borderId="0" xfId="0" applyFont="true"/>
    <xf numFmtId="0" fontId="85" fillId="0" borderId="0" xfId="0" applyFont="true"/>
    <xf numFmtId="0" fontId="86" fillId="0" borderId="0" xfId="0" applyFont="true"/>
    <xf numFmtId="0" fontId="87" fillId="0" borderId="0" xfId="0" applyFont="true"/>
    <xf numFmtId="0" fontId="88" fillId="0" borderId="0" xfId="0" applyFont="true"/>
    <xf numFmtId="0" fontId="89" fillId="0" borderId="0" xfId="0" applyFont="true"/>
    <xf numFmtId="0" fontId="90" fillId="0" borderId="0" xfId="0" applyFont="true"/>
    <xf numFmtId="0" fontId="91" fillId="0" borderId="0" xfId="0" applyFont="true"/>
    <xf numFmtId="0" fontId="92" fillId="0" borderId="0" xfId="0" applyFont="true"/>
    <xf numFmtId="0" fontId="93" fillId="0" borderId="0" xfId="0" applyFont="true"/>
    <xf numFmtId="0" fontId="94" fillId="0" borderId="0" xfId="0" applyFont="true"/>
    <xf numFmtId="0" fontId="95" fillId="0" borderId="0" xfId="0" applyFont="true"/>
    <xf numFmtId="0" fontId="96" fillId="0" borderId="0" xfId="0" applyFont="true"/>
    <xf numFmtId="0" fontId="97" fillId="0" borderId="0" xfId="0" applyFont="true"/>
    <xf numFmtId="0" fontId="98" fillId="0" borderId="0" xfId="0" applyFont="true"/>
    <xf numFmtId="0" fontId="99" fillId="0" borderId="0" xfId="0" applyFont="true"/>
    <xf numFmtId="0" fontId="100" fillId="0" borderId="0" xfId="0" applyFont="true"/>
    <xf numFmtId="0" fontId="101" fillId="0" borderId="0" xfId="0" applyFont="true"/>
    <xf numFmtId="0" fontId="102" fillId="0" borderId="0" xfId="0" applyFont="true"/>
    <xf numFmtId="0" fontId="103" fillId="0" borderId="0" xfId="0" applyFont="true"/>
    <xf numFmtId="0" fontId="104" fillId="0" borderId="0" xfId="0" applyFont="true"/>
    <xf numFmtId="0" fontId="105" fillId="0" borderId="0" xfId="0" applyFont="true"/>
    <xf numFmtId="0" fontId="106" fillId="0" borderId="0" xfId="0" applyFont="true"/>
    <xf numFmtId="0" fontId="107" fillId="0" borderId="0" xfId="0" applyFont="true"/>
    <xf numFmtId="0" fontId="108" fillId="0" borderId="0" xfId="0" applyFont="true"/>
    <xf numFmtId="0" fontId="109" fillId="0" borderId="0" xfId="0" applyFont="true"/>
    <xf numFmtId="0" fontId="110" fillId="0" borderId="0" xfId="0" applyFont="true"/>
    <xf numFmtId="0" fontId="111" fillId="0" borderId="0" xfId="0" applyFont="true"/>
    <xf numFmtId="0" fontId="112" fillId="0" borderId="0" xfId="0" applyFont="true"/>
    <xf numFmtId="0" fontId="113" fillId="0" borderId="0" xfId="0" applyFont="true"/>
    <xf numFmtId="0" fontId="114" fillId="0" borderId="0" xfId="0" applyFont="true"/>
    <xf numFmtId="0" fontId="115" fillId="0" borderId="0" xfId="0" applyFont="true"/>
    <xf numFmtId="0" fontId="116" fillId="0" borderId="0" xfId="0" applyFont="true"/>
    <xf numFmtId="0" fontId="117" fillId="0" borderId="0" xfId="0" applyFont="true"/>
    <xf numFmtId="0" fontId="118" fillId="0" borderId="0" xfId="0" applyFont="true"/>
    <xf numFmtId="0" fontId="119" fillId="0" borderId="0" xfId="0" applyFont="true"/>
    <xf numFmtId="0" fontId="120" fillId="0" borderId="0" xfId="0" applyFont="true"/>
    <xf numFmtId="0" fontId="121" fillId="0" borderId="0" xfId="0" applyFont="true"/>
    <xf numFmtId="0" fontId="122" fillId="0" borderId="0" xfId="0" applyFont="true"/>
    <xf numFmtId="0" fontId="123" fillId="0" borderId="0" xfId="0" applyFont="true"/>
    <xf numFmtId="0" fontId="124" fillId="0" borderId="0" xfId="0" applyFont="true"/>
    <xf numFmtId="0" fontId="125" fillId="0" borderId="0" xfId="0" applyFont="true"/>
    <xf numFmtId="0" fontId="126" fillId="0" borderId="0" xfId="0" applyFont="true"/>
    <xf numFmtId="0" fontId="127" fillId="0" borderId="0" xfId="0" applyFont="true"/>
    <xf numFmtId="0" fontId="128" fillId="0" borderId="0" xfId="0" applyFont="true"/>
    <xf numFmtId="0" fontId="129" fillId="0" borderId="0" xfId="0" applyFont="true"/>
    <xf numFmtId="0" fontId="130" fillId="0" borderId="0" xfId="0" applyFont="true"/>
    <xf numFmtId="0" fontId="131" fillId="0" borderId="0" xfId="0" applyFont="true"/>
    <xf numFmtId="0" fontId="132" fillId="0" borderId="0" xfId="0" applyFont="true"/>
    <xf numFmtId="0" fontId="133" fillId="0" borderId="0" xfId="0" applyFont="true"/>
    <xf numFmtId="0" fontId="134" fillId="0" borderId="0" xfId="0" applyFont="true"/>
    <xf numFmtId="0" fontId="135" fillId="0" borderId="0" xfId="0" applyFont="true"/>
    <xf numFmtId="0" fontId="136" fillId="0" borderId="0" xfId="0" applyFont="true"/>
    <xf numFmtId="0" fontId="137" fillId="0" borderId="0" xfId="0" applyFont="true"/>
    <xf numFmtId="0" fontId="138" fillId="0" borderId="0" xfId="0" applyFont="true"/>
    <xf numFmtId="0" fontId="139" fillId="0" borderId="0" xfId="0" applyFont="true"/>
    <xf numFmtId="0" fontId="140" fillId="0" borderId="0" xfId="0" applyFont="true"/>
    <xf numFmtId="0" fontId="141" fillId="0" borderId="0" xfId="0" applyFont="true"/>
    <xf numFmtId="0" fontId="142" fillId="0" borderId="0" xfId="0" applyFont="true"/>
    <xf numFmtId="0" fontId="143" fillId="0" borderId="0" xfId="0" applyFont="true"/>
    <xf numFmtId="0" fontId="144" fillId="0" borderId="0" xfId="0" applyFont="true"/>
    <xf numFmtId="0" fontId="145" fillId="0" borderId="0" xfId="0" applyFont="true"/>
    <xf numFmtId="0" fontId="146" fillId="0" borderId="0" xfId="0" applyFont="true"/>
    <xf numFmtId="0" fontId="147" fillId="0" borderId="0" xfId="0" applyFont="true"/>
    <xf numFmtId="0" fontId="148" fillId="0" borderId="0" xfId="0" applyFont="true"/>
    <xf numFmtId="0" fontId="149" fillId="0" borderId="0" xfId="0" applyFont="true"/>
    <xf numFmtId="0" fontId="150" fillId="0" borderId="0" xfId="0" applyFont="true"/>
    <xf numFmtId="0" fontId="151" fillId="0" borderId="0" xfId="0" applyFont="true"/>
    <xf numFmtId="0" fontId="152" fillId="0" borderId="0" xfId="0" applyFont="true"/>
    <xf numFmtId="0" fontId="153" fillId="0" borderId="0" xfId="0" applyFont="true"/>
    <xf numFmtId="0" fontId="154" fillId="0" borderId="0" xfId="0" applyFont="true"/>
    <xf numFmtId="0" fontId="155" fillId="0" borderId="0" xfId="0" applyFont="true"/>
    <xf numFmtId="0" fontId="156" fillId="0" borderId="0" xfId="0" applyFont="true"/>
    <xf numFmtId="0" fontId="157" fillId="0" borderId="0" xfId="0" applyFont="true"/>
    <xf numFmtId="0" fontId="158" fillId="0" borderId="0" xfId="0" applyFont="true"/>
    <xf numFmtId="0" fontId="159" fillId="0" borderId="0" xfId="0" applyFont="true"/>
    <xf numFmtId="0" fontId="160" fillId="0" borderId="0" xfId="0" applyFont="true"/>
    <xf numFmtId="0" fontId="161" fillId="0" borderId="0" xfId="0" applyFont="true"/>
    <xf numFmtId="0" fontId="162" fillId="0" borderId="0" xfId="0" applyFont="true"/>
    <xf numFmtId="0" fontId="163" fillId="0" borderId="0" xfId="0" applyFont="true"/>
    <xf numFmtId="0" fontId="164" fillId="0" borderId="0" xfId="0" applyFont="true"/>
    <xf numFmtId="0" fontId="165" fillId="0" borderId="0" xfId="0" applyFont="true"/>
    <xf numFmtId="0" fontId="166" fillId="0" borderId="0" xfId="0" applyFont="true"/>
    <xf numFmtId="0" fontId="167" fillId="0" borderId="0" xfId="0" applyFont="true"/>
    <xf numFmtId="0" fontId="168" fillId="0" borderId="0" xfId="0" applyFont="true"/>
    <xf numFmtId="0" fontId="169" fillId="0" borderId="0" xfId="0" applyFont="true"/>
    <xf numFmtId="0" fontId="170" fillId="0" borderId="0" xfId="0" applyFont="true"/>
    <xf numFmtId="0" fontId="171" fillId="0" borderId="0" xfId="0" applyFont="true"/>
    <xf numFmtId="0" fontId="172" fillId="0" borderId="0" xfId="0" applyFont="true"/>
    <xf numFmtId="0" fontId="173" fillId="0" borderId="0" xfId="0" applyFont="true"/>
    <xf numFmtId="0" fontId="174" fillId="0" borderId="0" xfId="0" applyFont="true"/>
    <xf numFmtId="0" fontId="175" fillId="0" borderId="0" xfId="0" applyFont="true"/>
    <xf numFmtId="0" fontId="176" fillId="0" borderId="0" xfId="0" applyFont="true"/>
    <xf numFmtId="0" fontId="177" fillId="0" borderId="0" xfId="0" applyFont="true"/>
    <xf numFmtId="0" fontId="178" fillId="0" borderId="0" xfId="0" applyFont="true"/>
    <xf numFmtId="0" fontId="179" fillId="0" borderId="0" xfId="0" applyFont="true"/>
    <xf numFmtId="0" fontId="180" fillId="0" borderId="0" xfId="0" applyFont="true"/>
    <xf numFmtId="0" fontId="181" fillId="0" borderId="0" xfId="0" applyFont="true"/>
    <xf numFmtId="0" fontId="182" fillId="0" borderId="0" xfId="0" applyFont="true"/>
    <xf numFmtId="0" fontId="183" fillId="0" borderId="0" xfId="0" applyFont="true"/>
    <xf numFmtId="0" fontId="184" fillId="0" borderId="0" xfId="0" applyFont="true"/>
    <xf numFmtId="0" fontId="185" fillId="0" borderId="0" xfId="0" applyFont="true"/>
    <xf numFmtId="0" fontId="186" fillId="0" borderId="0" xfId="0" applyFont="true"/>
    <xf numFmtId="0" fontId="187" fillId="0" borderId="0" xfId="0" applyFont="true"/>
    <xf numFmtId="0" fontId="188" fillId="0" borderId="0" xfId="0" applyFont="true"/>
    <xf numFmtId="0" fontId="189" fillId="0" borderId="0" xfId="0" applyFont="true"/>
    <xf numFmtId="0" fontId="190" fillId="0" borderId="0" xfId="0" applyFont="true"/>
    <xf numFmtId="0" fontId="191" fillId="0" borderId="0" xfId="0" applyFont="true"/>
    <xf numFmtId="0" fontId="192" fillId="0" borderId="0" xfId="0" applyFont="true"/>
    <xf numFmtId="0" fontId="193" fillId="0" borderId="0" xfId="0" applyFont="true"/>
    <xf numFmtId="0" fontId="194" fillId="0" borderId="0" xfId="0" applyFont="true"/>
    <xf numFmtId="0" fontId="195" fillId="0" borderId="0" xfId="0" applyFont="true"/>
    <xf numFmtId="0" fontId="196" fillId="0" borderId="0" xfId="0" applyFont="true"/>
    <xf numFmtId="0" fontId="197" fillId="0" borderId="0" xfId="0" applyFont="true"/>
    <xf numFmtId="0" fontId="198" fillId="0" borderId="0" xfId="0" applyFont="true"/>
    <xf numFmtId="0" fontId="199" fillId="0" borderId="0" xfId="0" applyFont="true"/>
    <xf numFmtId="0" fontId="200" fillId="0" borderId="0" xfId="0" applyFont="true"/>
    <xf numFmtId="0" fontId="201" fillId="0" borderId="0" xfId="0" applyFont="true"/>
    <xf numFmtId="0" fontId="202" fillId="0" borderId="0" xfId="0" applyFont="true"/>
    <xf numFmtId="0" fontId="203" fillId="0" borderId="0" xfId="0" applyFont="true"/>
    <xf numFmtId="0" fontId="204" fillId="0" borderId="0" xfId="0" applyFont="true"/>
    <xf numFmtId="0" fontId="205" fillId="0" borderId="0" xfId="0" applyFont="true"/>
    <xf numFmtId="0" fontId="206" fillId="0" borderId="0" xfId="0" applyFont="true"/>
    <xf numFmtId="0" fontId="207" fillId="0" borderId="0" xfId="0" applyFont="true"/>
    <xf numFmtId="0" fontId="208" fillId="0" borderId="0" xfId="0" applyFont="true"/>
    <xf numFmtId="0" fontId="209" fillId="0" borderId="0" xfId="0" applyFont="true"/>
    <xf numFmtId="0" fontId="210" fillId="0" borderId="0" xfId="0" applyFont="true"/>
    <xf numFmtId="0" fontId="211" fillId="0" borderId="0" xfId="0" applyFont="true"/>
    <xf numFmtId="0" fontId="212" fillId="0" borderId="0" xfId="0" applyFont="true"/>
    <xf numFmtId="0" fontId="213" fillId="0" borderId="0" xfId="0" applyFont="true"/>
    <xf numFmtId="0" fontId="214" fillId="0" borderId="0" xfId="0" applyFont="true"/>
    <xf numFmtId="0" fontId="215" fillId="0" borderId="0" xfId="0" applyFont="true"/>
    <xf numFmtId="0" fontId="216" fillId="0" borderId="0" xfId="0" applyFont="true"/>
    <xf numFmtId="0" fontId="217" fillId="0" borderId="0" xfId="0" applyFont="true"/>
    <xf numFmtId="0" fontId="218" fillId="0" borderId="0" xfId="0" applyFont="true"/>
    <xf numFmtId="0" fontId="219" fillId="0" borderId="0" xfId="0" applyFont="true"/>
    <xf numFmtId="0" fontId="220" fillId="0" borderId="0" xfId="0" applyFont="true"/>
    <xf numFmtId="0" fontId="221" fillId="0" borderId="0" xfId="0" applyFont="true"/>
    <xf numFmtId="0" fontId="222" fillId="0" borderId="0" xfId="0" applyFont="true"/>
    <xf numFmtId="0" fontId="223" fillId="0" borderId="0" xfId="0" applyFont="true"/>
    <xf numFmtId="0" fontId="224" fillId="0" borderId="0" xfId="0" applyFont="true"/>
    <xf numFmtId="0" fontId="225" fillId="0" borderId="0" xfId="0" applyFont="true"/>
    <xf numFmtId="0" fontId="226" fillId="0" borderId="0" xfId="0" applyFont="true"/>
    <xf numFmtId="0" fontId="227" fillId="0" borderId="0" xfId="0" applyFont="true"/>
    <xf numFmtId="0" fontId="228" fillId="0" borderId="0" xfId="0" applyFont="true"/>
    <xf numFmtId="0" fontId="229" fillId="0" borderId="0" xfId="0" applyFont="true"/>
    <xf numFmtId="0" fontId="230" fillId="0" borderId="0" xfId="0" applyFont="true"/>
    <xf numFmtId="0" fontId="231" fillId="0" borderId="0" xfId="0" applyFont="true"/>
    <xf numFmtId="0" fontId="232" fillId="0" borderId="0" xfId="0" applyFont="true"/>
    <xf numFmtId="0" fontId="233" fillId="0" borderId="0" xfId="0" applyFont="true"/>
    <xf numFmtId="0" fontId="234" fillId="0" borderId="0" xfId="0" applyFont="true"/>
    <xf numFmtId="0" fontId="235" fillId="0" borderId="0" xfId="0" applyFont="true"/>
    <xf numFmtId="0" fontId="236" fillId="0" borderId="0" xfId="0" applyFont="true"/>
    <xf numFmtId="0" fontId="237" fillId="0" borderId="0" xfId="0" applyFont="true"/>
    <xf numFmtId="0" fontId="238" fillId="0" borderId="0" xfId="0" applyFont="true"/>
    <xf numFmtId="0" fontId="239" fillId="0" borderId="0" xfId="0" applyFont="true"/>
    <xf numFmtId="0" fontId="240" fillId="0" borderId="0" xfId="0" applyFont="true"/>
    <xf numFmtId="0" fontId="241" fillId="0" borderId="0" xfId="0" applyFont="true"/>
    <xf numFmtId="0" fontId="242" fillId="0" borderId="0" xfId="0" applyFont="true"/>
    <xf numFmtId="0" fontId="243" fillId="0" borderId="0" xfId="0" applyFont="true"/>
    <xf numFmtId="0" fontId="244"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3A%2F%2Fdx.doi.org%2F10.1016%2Fj.prrv.2025.01.002" TargetMode="External" Type="http://schemas.openxmlformats.org/officeDocument/2006/relationships/hyperlink"/><Relationship Id="rId10" Target="https%3A%2F%2Fwww.webofscience.com%2Fwos%2Fwoscc%2Ffull-record%2FWOS%3A001312547300001" TargetMode="External" Type="http://schemas.openxmlformats.org/officeDocument/2006/relationships/hyperlink"/><Relationship Id="rId100" Target="https%3A%2F%2Fwww.webofscience.com%2Fwos%2Fwoscc%2Ffull-record%2FWOS%3A001046442600002" TargetMode="External" Type="http://schemas.openxmlformats.org/officeDocument/2006/relationships/hyperlink"/><Relationship Id="rId101" Target="http%3A%2F%2Fdx.doi.org%2F10.1007%2Fs00520-025-09562-y" TargetMode="External" Type="http://schemas.openxmlformats.org/officeDocument/2006/relationships/hyperlink"/><Relationship Id="rId102" Target="https%3A%2F%2Fwww.webofscience.com%2Fwos%2Fwoscc%2Ffull-record%2FWOS%3A001502753300001" TargetMode="External" Type="http://schemas.openxmlformats.org/officeDocument/2006/relationships/hyperlink"/><Relationship Id="rId103" Target="http%3A%2F%2Fdx.doi.org%2F10.1016%2Fj.jhin.2025.04.035" TargetMode="External" Type="http://schemas.openxmlformats.org/officeDocument/2006/relationships/hyperlink"/><Relationship Id="rId104" Target="https%3A%2F%2Fwww.webofscience.com%2Fwos%2Fwoscc%2Ffull-record%2FWOS%3A001568392100002" TargetMode="External" Type="http://schemas.openxmlformats.org/officeDocument/2006/relationships/hyperlink"/><Relationship Id="rId105" Target="http%3A%2F%2Fdx.doi.org%2F10.2196%2F62710" TargetMode="External" Type="http://schemas.openxmlformats.org/officeDocument/2006/relationships/hyperlink"/><Relationship Id="rId106" Target="https%3A%2F%2Fwww.webofscience.com%2Fwos%2Fwoscc%2Ffull-record%2FWOS%3A001529728100001" TargetMode="External" Type="http://schemas.openxmlformats.org/officeDocument/2006/relationships/hyperlink"/><Relationship Id="rId107" Target="http%3A%2F%2Fdx.doi.org%2F10.3389%2Ffcvm.2024.1449058" TargetMode="External" Type="http://schemas.openxmlformats.org/officeDocument/2006/relationships/hyperlink"/><Relationship Id="rId108" Target="https%3A%2F%2Fwww.webofscience.com%2Fwos%2Fwoscc%2Ffull-record%2FWOS%3A001345900900001" TargetMode="External" Type="http://schemas.openxmlformats.org/officeDocument/2006/relationships/hyperlink"/><Relationship Id="rId109" Target="http%3A%2F%2Fdx.doi.org%2F10.3390%2Ftechnologies14030184" TargetMode="External" Type="http://schemas.openxmlformats.org/officeDocument/2006/relationships/hyperlink"/><Relationship Id="rId11" Target="http%3A%2F%2Fdx.doi.org%2F10.1146%2Fannurev-statistics-042324-123749" TargetMode="External" Type="http://schemas.openxmlformats.org/officeDocument/2006/relationships/hyperlink"/><Relationship Id="rId110" Target="https%3A%2F%2Fwww.webofscience.com%2Fwos%2Fwoscc%2Ffull-record%2FWOS%3A001725224400001" TargetMode="External" Type="http://schemas.openxmlformats.org/officeDocument/2006/relationships/hyperlink"/><Relationship Id="rId111" Target="http%3A%2F%2Fdx.doi.org%2F10.1093%2Fjamia%2Focz228" TargetMode="External" Type="http://schemas.openxmlformats.org/officeDocument/2006/relationships/hyperlink"/><Relationship Id="rId112" Target="https%3A%2F%2Fwww.webofscience.com%2Fwos%2Fwoscc%2Ffull-record%2FWOS%3A000548306200016" TargetMode="External" Type="http://schemas.openxmlformats.org/officeDocument/2006/relationships/hyperlink"/><Relationship Id="rId113" Target="http%3A%2F%2Fdx.doi.org%2F10.1001%2Fjamanetworkopen.2022.27779" TargetMode="External" Type="http://schemas.openxmlformats.org/officeDocument/2006/relationships/hyperlink"/><Relationship Id="rId114" Target="https%3A%2F%2Fwww.webofscience.com%2Fwos%2Fwoscc%2Ffull-record%2FWOS%3A000841917800010" TargetMode="External" Type="http://schemas.openxmlformats.org/officeDocument/2006/relationships/hyperlink"/><Relationship Id="rId115" Target="http%3A%2F%2Fdx.doi.org%2F10.1177%2F14574969231167781" TargetMode="External" Type="http://schemas.openxmlformats.org/officeDocument/2006/relationships/hyperlink"/><Relationship Id="rId116" Target="https%3A%2F%2Fwww.webofscience.com%2Fwos%2Fwoscc%2Ffull-record%2FWOS%3A000972957200001" TargetMode="External" Type="http://schemas.openxmlformats.org/officeDocument/2006/relationships/hyperlink"/><Relationship Id="rId117" Target="http%3A%2F%2Fdx.doi.org%2F10.1097%2FMNH.0000000000000223" TargetMode="External" Type="http://schemas.openxmlformats.org/officeDocument/2006/relationships/hyperlink"/><Relationship Id="rId118" Target="https%3A%2F%2Fwww.webofscience.com%2Fwos%2Fwoscc%2Ffull-record%2FWOS%3A000374739900011" TargetMode="External" Type="http://schemas.openxmlformats.org/officeDocument/2006/relationships/hyperlink"/><Relationship Id="rId119" Target="http%3A%2F%2Fdx.doi.org%2F10.1513%2FAnnalsATS.201803-173CME" TargetMode="External" Type="http://schemas.openxmlformats.org/officeDocument/2006/relationships/hyperlink"/><Relationship Id="rId12" Target="https%3A%2F%2Fwww.webofscience.com%2Fwos%2Fwoscc%2Ffull-record%2FWOS%3A001710034200002" TargetMode="External" Type="http://schemas.openxmlformats.org/officeDocument/2006/relationships/hyperlink"/><Relationship Id="rId120" Target="https%3A%2F%2Fwww.webofscience.com%2Fwos%2Fwoscc%2Ffull-record%2FWOS%3A000447989900001" TargetMode="External" Type="http://schemas.openxmlformats.org/officeDocument/2006/relationships/hyperlink"/><Relationship Id="rId121" Target="http%3A%2F%2Fdx.doi.org%2F10.3389%2Ffresc.2022.824281" TargetMode="External" Type="http://schemas.openxmlformats.org/officeDocument/2006/relationships/hyperlink"/><Relationship Id="rId122" Target="https%3A%2F%2Fwww.webofscience.com%2Fwos%2Fwoscc%2Ffull-record%2FWOS%3A001008612900001" TargetMode="External" Type="http://schemas.openxmlformats.org/officeDocument/2006/relationships/hyperlink"/><Relationship Id="rId123" Target="http%3A%2F%2Fdx.doi.org%2F10.1111%2Fjpc.70429" TargetMode="External" Type="http://schemas.openxmlformats.org/officeDocument/2006/relationships/hyperlink"/><Relationship Id="rId124" Target="https%3A%2F%2Fwww.webofscience.com%2Fwos%2Fwoscc%2Ffull-record%2FWOS%3A001760371100001" TargetMode="External" Type="http://schemas.openxmlformats.org/officeDocument/2006/relationships/hyperlink"/><Relationship Id="rId125" Target="http%3A%2F%2Fdx.doi.org%2F10.1177%2F17539447241290438" TargetMode="External" Type="http://schemas.openxmlformats.org/officeDocument/2006/relationships/hyperlink"/><Relationship Id="rId126" Target="https%3A%2F%2Fwww.webofscience.com%2Fwos%2Fwoscc%2Ffull-record%2FWOS%3A001344888300001" TargetMode="External" Type="http://schemas.openxmlformats.org/officeDocument/2006/relationships/hyperlink"/><Relationship Id="rId127" Target="http%3A%2F%2Fdx.doi.org%2F10.3389%2Ffmed.2026.1818061" TargetMode="External" Type="http://schemas.openxmlformats.org/officeDocument/2006/relationships/hyperlink"/><Relationship Id="rId128" Target="https%3A%2F%2Fwww.webofscience.com%2Fwos%2Fwoscc%2Ffull-record%2FWOS%3A001776864100001" TargetMode="External" Type="http://schemas.openxmlformats.org/officeDocument/2006/relationships/hyperlink"/><Relationship Id="rId129" Target="http%3A%2F%2Fdx.doi.org%2F10.1016%2Fj.tacc.2026.101662" TargetMode="External" Type="http://schemas.openxmlformats.org/officeDocument/2006/relationships/hyperlink"/><Relationship Id="rId13" Target="http%3A%2F%2Fdx.doi.org%2F10.1016%2Fj.pharmthera.2020.107557" TargetMode="External" Type="http://schemas.openxmlformats.org/officeDocument/2006/relationships/hyperlink"/><Relationship Id="rId130" Target="https%3A%2F%2Fwww.webofscience.com%2Fwos%2Fwoscc%2Ffull-record%2FWOS%3A001781651400001" TargetMode="External" Type="http://schemas.openxmlformats.org/officeDocument/2006/relationships/hyperlink"/><Relationship Id="rId131" Target="http%3A%2F%2Fdx.doi.org%2F10.1080%2F17453674.2021.1910448" TargetMode="External" Type="http://schemas.openxmlformats.org/officeDocument/2006/relationships/hyperlink"/><Relationship Id="rId132" Target="https%3A%2F%2Fwww.webofscience.com%2Fwos%2Fwoscc%2Ffull-record%2FWOS%3A000641410500001" TargetMode="External" Type="http://schemas.openxmlformats.org/officeDocument/2006/relationships/hyperlink"/><Relationship Id="rId133" Target="http%3A%2F%2Fdx.doi.org%2F10.6061%2Fclinics%2F2017%2803%2910" TargetMode="External" Type="http://schemas.openxmlformats.org/officeDocument/2006/relationships/hyperlink"/><Relationship Id="rId134" Target="https%3A%2F%2Fwww.webofscience.com%2Fwos%2Fwoscc%2Ffull-record%2FWOS%3A000397874900010" TargetMode="External" Type="http://schemas.openxmlformats.org/officeDocument/2006/relationships/hyperlink"/><Relationship Id="rId135" Target="http%3A%2F%2Fdx.doi.org%2F10.1002%2Fehf2.12426" TargetMode="External" Type="http://schemas.openxmlformats.org/officeDocument/2006/relationships/hyperlink"/><Relationship Id="rId136" Target="https%3A%2F%2Fwww.webofscience.com%2Fwos%2Fwoscc%2Ffull-record%2FWOS%3A000468324300005" TargetMode="External" Type="http://schemas.openxmlformats.org/officeDocument/2006/relationships/hyperlink"/><Relationship Id="rId137" Target="http%3A%2F%2Fdx.doi.org%2F10.1053%2Fj.jvca.2021.02.056" TargetMode="External" Type="http://schemas.openxmlformats.org/officeDocument/2006/relationships/hyperlink"/><Relationship Id="rId138" Target="https%3A%2F%2Fwww.webofscience.com%2Fwos%2Fwoscc%2Ffull-record%2FWOS%3A000655505900038" TargetMode="External" Type="http://schemas.openxmlformats.org/officeDocument/2006/relationships/hyperlink"/><Relationship Id="rId139" Target="http%3A%2F%2Fdx.doi.org%2F10.1007%2Fs00330-024-10625-7" TargetMode="External" Type="http://schemas.openxmlformats.org/officeDocument/2006/relationships/hyperlink"/><Relationship Id="rId14" Target="https%3A%2F%2Fwww.webofscience.com%2Fwos%2Fwoscc%2Ffull-record%2FWOS%3A000541079600004" TargetMode="External" Type="http://schemas.openxmlformats.org/officeDocument/2006/relationships/hyperlink"/><Relationship Id="rId140" Target="https%3A%2F%2Fwww.webofscience.com%2Fwos%2Fwoscc%2Ffull-record%2FWOS%3A001169722300003" TargetMode="External" Type="http://schemas.openxmlformats.org/officeDocument/2006/relationships/hyperlink"/><Relationship Id="rId141" Target="http%3A%2F%2Fdx.doi.org%2F10.1080%2F14787210.2019.1625770" TargetMode="External" Type="http://schemas.openxmlformats.org/officeDocument/2006/relationships/hyperlink"/><Relationship Id="rId142" Target="https%3A%2F%2Fwww.webofscience.com%2Fwos%2Fwoscc%2Ffull-record%2FWOS%3A000477753200003" TargetMode="External" Type="http://schemas.openxmlformats.org/officeDocument/2006/relationships/hyperlink"/><Relationship Id="rId143" Target="http%3A%2F%2Fdx.doi.org%2F10.3390%2Finformatics7030025" TargetMode="External" Type="http://schemas.openxmlformats.org/officeDocument/2006/relationships/hyperlink"/><Relationship Id="rId144" Target="https%3A%2F%2Fwww.webofscience.com%2Fwos%2Fwoscc%2Ffull-record%2FWOS%3A000578947400001" TargetMode="External" Type="http://schemas.openxmlformats.org/officeDocument/2006/relationships/hyperlink"/><Relationship Id="rId145" Target="http%3A%2F%2Fdx.doi.org%2F10.1177%2F00034894231206902" TargetMode="External" Type="http://schemas.openxmlformats.org/officeDocument/2006/relationships/hyperlink"/><Relationship Id="rId146" Target="https%3A%2F%2Fwww.webofscience.com%2Fwos%2Fwoscc%2Ffull-record%2FWOS%3A001087641200001" TargetMode="External" Type="http://schemas.openxmlformats.org/officeDocument/2006/relationships/hyperlink"/><Relationship Id="rId147" Target="http%3A%2F%2Fdx.doi.org%2F10.3390%2Fdiagnostics16142266" TargetMode="External" Type="http://schemas.openxmlformats.org/officeDocument/2006/relationships/hyperlink"/><Relationship Id="rId148" Target="https%3A%2F%2Fwww.webofscience.com%2Fwos%2Fwoscc%2Ffull-record%2FWOS%3A001833299600001" TargetMode="External" Type="http://schemas.openxmlformats.org/officeDocument/2006/relationships/hyperlink"/><Relationship Id="rId149" Target="http%3A%2F%2Fdx.doi.org%2F10.3390%2Fjcdd13030119" TargetMode="External" Type="http://schemas.openxmlformats.org/officeDocument/2006/relationships/hyperlink"/><Relationship Id="rId15" Target="http%3A%2F%2Fdx.doi.org%2F10.3348%2Fkjr.2016.17.3.339" TargetMode="External" Type="http://schemas.openxmlformats.org/officeDocument/2006/relationships/hyperlink"/><Relationship Id="rId150" Target="https%3A%2F%2Fwww.webofscience.com%2Fwos%2Fwoscc%2Ffull-record%2FWOS%3A001725700600001" TargetMode="External" Type="http://schemas.openxmlformats.org/officeDocument/2006/relationships/hyperlink"/><Relationship Id="rId151" Target="http%3A%2F%2Fdx.doi.org%2F10.1007%2Fs00586-021-07064-z" TargetMode="External" Type="http://schemas.openxmlformats.org/officeDocument/2006/relationships/hyperlink"/><Relationship Id="rId152" Target="https%3A%2F%2Fwww.webofscience.com%2Fwos%2Fwoscc%2Ffull-record%2FWOS%3A000722477200001" TargetMode="External" Type="http://schemas.openxmlformats.org/officeDocument/2006/relationships/hyperlink"/><Relationship Id="rId153" Target="http%3A%2F%2Fdx.doi.org%2F10.1016%2Fj.cpcardiol.2026.103399" TargetMode="External" Type="http://schemas.openxmlformats.org/officeDocument/2006/relationships/hyperlink"/><Relationship Id="rId154" Target="https%3A%2F%2Fwww.webofscience.com%2Fwos%2Fwoscc%2Ffull-record%2FWOS%3A001835274100001" TargetMode="External" Type="http://schemas.openxmlformats.org/officeDocument/2006/relationships/hyperlink"/><Relationship Id="rId155" Target="http%3A%2F%2Fdx.doi.org%2F10.14309%2Fajg.0000000000002022" TargetMode="External" Type="http://schemas.openxmlformats.org/officeDocument/2006/relationships/hyperlink"/><Relationship Id="rId156" Target="https%3A%2F%2Fwww.webofscience.com%2Fwos%2Fwoscc%2Ffull-record%2FWOS%3A000917940200014" TargetMode="External" Type="http://schemas.openxmlformats.org/officeDocument/2006/relationships/hyperlink"/><Relationship Id="rId157" Target="http%3A%2F%2Fdx.doi.org%2F10.1016%2Fj.cjca.2017.01.018" TargetMode="External" Type="http://schemas.openxmlformats.org/officeDocument/2006/relationships/hyperlink"/><Relationship Id="rId158" Target="https%3A%2F%2Fwww.webofscience.com%2Fwos%2Fwoscc%2Ffull-record%2FWOS%3A000402461800008" TargetMode="External" Type="http://schemas.openxmlformats.org/officeDocument/2006/relationships/hyperlink"/><Relationship Id="rId159" Target="http%3A%2F%2Fdx.doi.org%2F10.1186%2Fs12891-025-09389-y" TargetMode="External" Type="http://schemas.openxmlformats.org/officeDocument/2006/relationships/hyperlink"/><Relationship Id="rId16" Target="https%3A%2F%2Fwww.webofscience.com%2Fwos%2Fwoscc%2Ffull-record%2FWOS%3A000375889600004" TargetMode="External" Type="http://schemas.openxmlformats.org/officeDocument/2006/relationships/hyperlink"/><Relationship Id="rId160" Target="https%3A%2F%2Fwww.webofscience.com%2Fwos%2Fwoscc%2Ffull-record%2FWOS%3A001674363500001" TargetMode="External" Type="http://schemas.openxmlformats.org/officeDocument/2006/relationships/hyperlink"/><Relationship Id="rId161" Target="http%3A%2F%2Fdx.doi.org%2F10.1016%2Fj.mcpdig.2025.100228" TargetMode="External" Type="http://schemas.openxmlformats.org/officeDocument/2006/relationships/hyperlink"/><Relationship Id="rId162" Target="https%3A%2F%2Fwww.webofscience.com%2Fwos%2Fwoscc%2Ffull-record%2FWOS%3A001545381600001" TargetMode="External" Type="http://schemas.openxmlformats.org/officeDocument/2006/relationships/hyperlink"/><Relationship Id="rId163" Target="http%3A%2F%2Fdx.doi.org%2F10.1016%2Fj.artd.2025.101672" TargetMode="External" Type="http://schemas.openxmlformats.org/officeDocument/2006/relationships/hyperlink"/><Relationship Id="rId164" Target="https%3A%2F%2Fwww.webofscience.com%2Fwos%2Fwoscc%2Ffull-record%2FWOS%3A001458585200001" TargetMode="External" Type="http://schemas.openxmlformats.org/officeDocument/2006/relationships/hyperlink"/><Relationship Id="rId165" Target="http%3A%2F%2Fdx.doi.org%2F10.1192%2Fbjp.2021.218" TargetMode="External" Type="http://schemas.openxmlformats.org/officeDocument/2006/relationships/hyperlink"/><Relationship Id="rId166" Target="https%3A%2F%2Fwww.webofscience.com%2Fwos%2Fwoscc%2Ffull-record%2FWOS%3A000741165900001" TargetMode="External" Type="http://schemas.openxmlformats.org/officeDocument/2006/relationships/hyperlink"/><Relationship Id="rId167" Target="http%3A%2F%2Fdx.doi.org%2F10.22038%2FABJS.2022.58485.2897" TargetMode="External" Type="http://schemas.openxmlformats.org/officeDocument/2006/relationships/hyperlink"/><Relationship Id="rId168" Target="https%3A%2F%2Fwww.webofscience.com%2Fwos%2Fwoscc%2Ffull-record%2FWOS%3A000910900400001" TargetMode="External" Type="http://schemas.openxmlformats.org/officeDocument/2006/relationships/hyperlink"/><Relationship Id="rId169" Target="http%3A%2F%2Fdx.doi.org%2F10.1016%2Fj.tranon.2026.102961" TargetMode="External" Type="http://schemas.openxmlformats.org/officeDocument/2006/relationships/hyperlink"/><Relationship Id="rId17" Target="http%3A%2F%2Fdx.doi.org%2F10.1007%2Fs00198-026-08059-6" TargetMode="External" Type="http://schemas.openxmlformats.org/officeDocument/2006/relationships/hyperlink"/><Relationship Id="rId170" Target="https%3A%2F%2Fwww.webofscience.com%2Fwos%2Fwoscc%2Ffull-record%2FWOS%3A001847280400001" TargetMode="External" Type="http://schemas.openxmlformats.org/officeDocument/2006/relationships/hyperlink"/><Relationship Id="rId171" Target="http%3A%2F%2Fdx.doi.org%2F10.1007%2Fs11239-026-03257-9" TargetMode="External" Type="http://schemas.openxmlformats.org/officeDocument/2006/relationships/hyperlink"/><Relationship Id="rId172" Target="https%3A%2F%2Fwww.webofscience.com%2Fwos%2Fwoscc%2Ffull-record%2FWOS%3A001712540600001" TargetMode="External" Type="http://schemas.openxmlformats.org/officeDocument/2006/relationships/hyperlink"/><Relationship Id="rId173" Target="http%3A%2F%2Fdx.doi.org%2F10.1177%2F0310057X1604400212" TargetMode="External" Type="http://schemas.openxmlformats.org/officeDocument/2006/relationships/hyperlink"/><Relationship Id="rId174" Target="https%3A%2F%2Fwww.webofscience.com%2Fwos%2Fwoscc%2Ffull-record%2FWOS%3A000374435500010" TargetMode="External" Type="http://schemas.openxmlformats.org/officeDocument/2006/relationships/hyperlink"/><Relationship Id="rId175" Target="http%3A%2F%2Fdx.doi.org%2F10.1016%2Fj.jclinepi.2023.03.024" TargetMode="External" Type="http://schemas.openxmlformats.org/officeDocument/2006/relationships/hyperlink"/><Relationship Id="rId176" Target="https%3A%2F%2Fwww.webofscience.com%2Fwos%2Fwoscc%2Ffull-record%2FWOS%3A000990073300001" TargetMode="External" Type="http://schemas.openxmlformats.org/officeDocument/2006/relationships/hyperlink"/><Relationship Id="rId177" Target="http%3A%2F%2Fdx.doi.org%2F10.1186%2Fs12891-025-08338-z" TargetMode="External" Type="http://schemas.openxmlformats.org/officeDocument/2006/relationships/hyperlink"/><Relationship Id="rId178" Target="https%3A%2F%2Fwww.webofscience.com%2Fwos%2Fwoscc%2Ffull-record%2FWOS%3A001407881400002" TargetMode="External" Type="http://schemas.openxmlformats.org/officeDocument/2006/relationships/hyperlink"/><Relationship Id="rId179" Target="http%3A%2F%2Fdx.doi.org%2F10.1016%2Fj.jclinepi.2023.05.002" TargetMode="External" Type="http://schemas.openxmlformats.org/officeDocument/2006/relationships/hyperlink"/><Relationship Id="rId18" Target="https%3A%2F%2Fwww.webofscience.com%2Fwos%2Fwoscc%2Ffull-record%2FWOS%3A001751842500001" TargetMode="External" Type="http://schemas.openxmlformats.org/officeDocument/2006/relationships/hyperlink"/><Relationship Id="rId180" Target="https%3A%2F%2Fwww.webofscience.com%2Fwos%2Fwoscc%2Ffull-record%2FWOS%3A001014464100001" TargetMode="External" Type="http://schemas.openxmlformats.org/officeDocument/2006/relationships/hyperlink"/><Relationship Id="rId181" Target="http%3A%2F%2Fdx.doi.org%2F10.1007%2Fs11695-026-08686-2" TargetMode="External" Type="http://schemas.openxmlformats.org/officeDocument/2006/relationships/hyperlink"/><Relationship Id="rId182" Target="https%3A%2F%2Fwww.webofscience.com%2Fwos%2Fwoscc%2Ffull-record%2FWOS%3A001745344700001" TargetMode="External" Type="http://schemas.openxmlformats.org/officeDocument/2006/relationships/hyperlink"/><Relationship Id="rId183" Target="http%3A%2F%2Fdx.doi.org%2F10.1016%2Fj.critrevonc.2026.105483" TargetMode="External" Type="http://schemas.openxmlformats.org/officeDocument/2006/relationships/hyperlink"/><Relationship Id="rId184" Target="https%3A%2F%2Fwww.webofscience.com%2Fwos%2Fwoscc%2Ffull-record%2FWOS%3A001827943500001" TargetMode="External" Type="http://schemas.openxmlformats.org/officeDocument/2006/relationships/hyperlink"/><Relationship Id="rId185" Target="http%3A%2F%2Fdx.doi.org%2F10.21037%2Fgs.2017.11.09" TargetMode="External" Type="http://schemas.openxmlformats.org/officeDocument/2006/relationships/hyperlink"/><Relationship Id="rId186" Target="https%3A%2F%2Fwww.webofscience.com%2Fwos%2Fwoscc%2Ffull-record%2FWOS%3A000441342900002" TargetMode="External" Type="http://schemas.openxmlformats.org/officeDocument/2006/relationships/hyperlink"/><Relationship Id="rId187" Target="http%3A%2F%2Fdx.doi.org%2F10.3389%2Ffmed.2026.1849096" TargetMode="External" Type="http://schemas.openxmlformats.org/officeDocument/2006/relationships/hyperlink"/><Relationship Id="rId188" Target="https%3A%2F%2Fwww.webofscience.com%2Fwos%2Fwoscc%2Ffull-record%2FWOS%3A001787582300001" TargetMode="External" Type="http://schemas.openxmlformats.org/officeDocument/2006/relationships/hyperlink"/><Relationship Id="rId189" Target="http%3A%2F%2Fdx.doi.org%2F10.3389%2Ffendo.2025.1582156" TargetMode="External" Type="http://schemas.openxmlformats.org/officeDocument/2006/relationships/hyperlink"/><Relationship Id="rId19" Target="http%3A%2F%2Fdx.doi.org%2F10.1093%2Fejcts%2Fezaf142" TargetMode="External" Type="http://schemas.openxmlformats.org/officeDocument/2006/relationships/hyperlink"/><Relationship Id="rId190" Target="https%3A%2F%2Fwww.webofscience.com%2Fwos%2Fwoscc%2Ffull-record%2FWOS%3A001506800900001" TargetMode="External" Type="http://schemas.openxmlformats.org/officeDocument/2006/relationships/hyperlink"/><Relationship Id="rId191" Target="http%3A%2F%2Fdx.doi.org%2F10.1016%2Fj.midw.2026.104778" TargetMode="External" Type="http://schemas.openxmlformats.org/officeDocument/2006/relationships/hyperlink"/><Relationship Id="rId192" Target="https%3A%2F%2Fwww.webofscience.com%2Fwos%2Fwoscc%2Ffull-record%2FWOS%3A001758557500001" TargetMode="External" Type="http://schemas.openxmlformats.org/officeDocument/2006/relationships/hyperlink"/><Relationship Id="rId193" Target="http%3A%2F%2Fdx.doi.org%2F10.1111%2Fnep.13913" TargetMode="External" Type="http://schemas.openxmlformats.org/officeDocument/2006/relationships/hyperlink"/><Relationship Id="rId194" Target="https%3A%2F%2Fwww.webofscience.com%2Fwos%2Fwoscc%2Ffull-record%2FWOS%3A000670742600001" TargetMode="External" Type="http://schemas.openxmlformats.org/officeDocument/2006/relationships/hyperlink"/><Relationship Id="rId195" Target="http%3A%2F%2Fdx.doi.org%2F10.1136%2Fbmjopen-2022-064566" TargetMode="External" Type="http://schemas.openxmlformats.org/officeDocument/2006/relationships/hyperlink"/><Relationship Id="rId196" Target="https%3A%2F%2Fwww.webofscience.com%2Fwos%2Fwoscc%2Ffull-record%2FWOS%3A000863416400038" TargetMode="External" Type="http://schemas.openxmlformats.org/officeDocument/2006/relationships/hyperlink"/><Relationship Id="rId197" Target="http%3A%2F%2Fdx.doi.org%2F10.3389%2Ffcvm.2022.921044" TargetMode="External" Type="http://schemas.openxmlformats.org/officeDocument/2006/relationships/hyperlink"/><Relationship Id="rId198" Target="https%3A%2F%2Fwww.webofscience.com%2Fwos%2Fwoscc%2Ffull-record%2FWOS%3A000838368900001" TargetMode="External" Type="http://schemas.openxmlformats.org/officeDocument/2006/relationships/hyperlink"/><Relationship Id="rId199" Target="http%3A%2F%2Fdx.doi.org%2F10.1016%2Fj.jpain.2024.104624" TargetMode="External" Type="http://schemas.openxmlformats.org/officeDocument/2006/relationships/hyperlink"/><Relationship Id="rId2" Target="https%3A%2F%2Fwww.webofscience.com%2Fwos%2Fwoscc%2Ffull-record%2FWOS%3A001501899200004" TargetMode="External" Type="http://schemas.openxmlformats.org/officeDocument/2006/relationships/hyperlink"/><Relationship Id="rId20" Target="https%3A%2F%2Fwww.webofscience.com%2Fwos%2Fwoscc%2Ffull-record%2FWOS%3A001495450500001" TargetMode="External" Type="http://schemas.openxmlformats.org/officeDocument/2006/relationships/hyperlink"/><Relationship Id="rId200" Target="https%3A%2F%2Fwww.webofscience.com%2Fwos%2Fwoscc%2Ffull-record%2FWOS%3A001336543300001" TargetMode="External" Type="http://schemas.openxmlformats.org/officeDocument/2006/relationships/hyperlink"/><Relationship Id="rId201" Target="http%3A%2F%2Fdx.doi.org%2F10.1016%2Fj.jhin.2026.04.022" TargetMode="External" Type="http://schemas.openxmlformats.org/officeDocument/2006/relationships/hyperlink"/><Relationship Id="rId202" Target="https%3A%2F%2Fwww.webofscience.com%2Fwos%2Fwoscc%2Ffull-record%2FWOS%3A001804974300001" TargetMode="External" Type="http://schemas.openxmlformats.org/officeDocument/2006/relationships/hyperlink"/><Relationship Id="rId203" Target="http%3A%2F%2Fdx.doi.org%2F10.1016%2Fj.neubiorev.2026.106612" TargetMode="External" Type="http://schemas.openxmlformats.org/officeDocument/2006/relationships/hyperlink"/><Relationship Id="rId204" Target="https%3A%2F%2Fwww.webofscience.com%2Fwos%2Fwoscc%2Ffull-record%2FWOS%3A001697590000001" TargetMode="External" Type="http://schemas.openxmlformats.org/officeDocument/2006/relationships/hyperlink"/><Relationship Id="rId205" Target="http%3A%2F%2Fdx.doi.org%2F10.1016%2Fj.eclinm.2021.101164" TargetMode="External" Type="http://schemas.openxmlformats.org/officeDocument/2006/relationships/hyperlink"/><Relationship Id="rId206" Target="https%3A%2F%2Fwww.webofscience.com%2Fwos%2Fwoscc%2Ffull-record%2FWOS%3A000723039100006" TargetMode="External" Type="http://schemas.openxmlformats.org/officeDocument/2006/relationships/hyperlink"/><Relationship Id="rId207" Target="http%3A%2F%2Fdx.doi.org%2F10.2196%2F78714" TargetMode="External" Type="http://schemas.openxmlformats.org/officeDocument/2006/relationships/hyperlink"/><Relationship Id="rId208" Target="https%3A%2F%2Fwww.webofscience.com%2Fwos%2Fwoscc%2Ffull-record%2FWOS%3A001672564000001" TargetMode="External" Type="http://schemas.openxmlformats.org/officeDocument/2006/relationships/hyperlink"/><Relationship Id="rId209" Target="http%3A%2F%2Fdx.doi.org%2F10.1007%2Fs40200-022-01094-0" TargetMode="External" Type="http://schemas.openxmlformats.org/officeDocument/2006/relationships/hyperlink"/><Relationship Id="rId21" Target="http%3A%2F%2Fdx.doi.org%2F10.1017%2FS003329172610378X" TargetMode="External" Type="http://schemas.openxmlformats.org/officeDocument/2006/relationships/hyperlink"/><Relationship Id="rId210" Target="https%3A%2F%2Fwww.webofscience.com%2Fwos%2Fwoscc%2Ffull-record%2FWOS%3A000836083400002" TargetMode="External" Type="http://schemas.openxmlformats.org/officeDocument/2006/relationships/hyperlink"/><Relationship Id="rId211" Target="http%3A%2F%2Fdx.doi.org%2F10.1016%2Fj.ijmedinf.2021.104557" TargetMode="External" Type="http://schemas.openxmlformats.org/officeDocument/2006/relationships/hyperlink"/><Relationship Id="rId212" Target="https%3A%2F%2Fwww.webofscience.com%2Fwos%2Fwoscc%2Ffull-record%2FWOS%3A000704411500012" TargetMode="External" Type="http://schemas.openxmlformats.org/officeDocument/2006/relationships/hyperlink"/><Relationship Id="rId213" Target="http%3A%2F%2Fdx.doi.org%2F10.1016%2Fj.lungcan.2020.07.007" TargetMode="External" Type="http://schemas.openxmlformats.org/officeDocument/2006/relationships/hyperlink"/><Relationship Id="rId214" Target="https%3A%2F%2Fwww.webofscience.com%2Fwos%2Fwoscc%2Ffull-record%2FWOS%3A000571476500001" TargetMode="External" Type="http://schemas.openxmlformats.org/officeDocument/2006/relationships/hyperlink"/><Relationship Id="rId215" Target="http%3A%2F%2Fdx.doi.org%2F10.1016%2Fj.jclinepi.2022.11.015" TargetMode="External" Type="http://schemas.openxmlformats.org/officeDocument/2006/relationships/hyperlink"/><Relationship Id="rId216" Target="https%3A%2F%2Fwww.webofscience.com%2Fwos%2Fwoscc%2Ffull-record%2FWOS%3A000910694800001" TargetMode="External" Type="http://schemas.openxmlformats.org/officeDocument/2006/relationships/hyperlink"/><Relationship Id="rId217" Target="http%3A%2F%2Fdx.doi.org%2F10.1016%2Fj.pcad.2025.06.005" TargetMode="External" Type="http://schemas.openxmlformats.org/officeDocument/2006/relationships/hyperlink"/><Relationship Id="rId218" Target="https%3A%2F%2Fwww.webofscience.com%2Fwos%2Fwoscc%2Ffull-record%2FWOS%3A001570550900007" TargetMode="External" Type="http://schemas.openxmlformats.org/officeDocument/2006/relationships/hyperlink"/><Relationship Id="rId219" Target="http%3A%2F%2Fdx.doi.org%2F10.1186%2Fs12884-026-08904-w" TargetMode="External" Type="http://schemas.openxmlformats.org/officeDocument/2006/relationships/hyperlink"/><Relationship Id="rId22" Target="https%3A%2F%2Fwww.webofscience.com%2Fwos%2Fwoscc%2Ffull-record%2FWOS%3A001787215500001" TargetMode="External" Type="http://schemas.openxmlformats.org/officeDocument/2006/relationships/hyperlink"/><Relationship Id="rId220" Target="https%3A%2F%2Fwww.webofscience.com%2Fwos%2Fwoscc%2Ffull-record%2FWOS%3A001769750000001" TargetMode="External" Type="http://schemas.openxmlformats.org/officeDocument/2006/relationships/hyperlink"/><Relationship Id="rId221" Target="http%3A%2F%2Fdx.doi.org%2F10.1097%2FHCR.0000000000000943" TargetMode="External" Type="http://schemas.openxmlformats.org/officeDocument/2006/relationships/hyperlink"/><Relationship Id="rId222" Target="https%3A%2F%2Fwww.webofscience.com%2Fwos%2Fwoscc%2Ffull-record%2FWOS%3A001518809100001" TargetMode="External" Type="http://schemas.openxmlformats.org/officeDocument/2006/relationships/hyperlink"/><Relationship Id="rId223" Target="http%3A%2F%2Fdx.doi.org%2F10.1186%2Fs12874-021-01469-6" TargetMode="External" Type="http://schemas.openxmlformats.org/officeDocument/2006/relationships/hyperlink"/><Relationship Id="rId224" Target="https%3A%2F%2Fwww.webofscience.com%2Fwos%2Fwoscc%2Ffull-record%2FWOS%3A000742367600002" TargetMode="External" Type="http://schemas.openxmlformats.org/officeDocument/2006/relationships/hyperlink"/><Relationship Id="rId225" Target="http%3A%2F%2Fdx.doi.org%2F10.1055%2Fa-1863-1589" TargetMode="External" Type="http://schemas.openxmlformats.org/officeDocument/2006/relationships/hyperlink"/><Relationship Id="rId226" Target="https%3A%2F%2Fwww.webofscience.com%2Fwos%2Fwoscc%2Ffull-record%2FWOS%3A000830758600003" TargetMode="External" Type="http://schemas.openxmlformats.org/officeDocument/2006/relationships/hyperlink"/><Relationship Id="rId227" Target="http%3A%2F%2Fdx.doi.org%2F10.3390%2Fcancers15051525" TargetMode="External" Type="http://schemas.openxmlformats.org/officeDocument/2006/relationships/hyperlink"/><Relationship Id="rId228" Target="https%3A%2F%2Fwww.webofscience.com%2Fwos%2Fwoscc%2Ffull-record%2FWOS%3A000946947700001" TargetMode="External" Type="http://schemas.openxmlformats.org/officeDocument/2006/relationships/hyperlink"/><Relationship Id="rId229" Target="http%3A%2F%2Fdx.doi.org%2F10.1016%2Fj.cmi.2024.07.005" TargetMode="External" Type="http://schemas.openxmlformats.org/officeDocument/2006/relationships/hyperlink"/><Relationship Id="rId23" Target="http%3A%2F%2Fdx.doi.org%2F10.3390%2Fimmuno6010019" TargetMode="External" Type="http://schemas.openxmlformats.org/officeDocument/2006/relationships/hyperlink"/><Relationship Id="rId230" Target="https%3A%2F%2Fwww.webofscience.com%2Fwos%2Fwoscc%2Ffull-record%2FWOS%3A001336237700001" TargetMode="External" Type="http://schemas.openxmlformats.org/officeDocument/2006/relationships/hyperlink"/><Relationship Id="rId231" Target="http%3A%2F%2Fdx.doi.org%2F10.1177%2F21621918261455528" TargetMode="External" Type="http://schemas.openxmlformats.org/officeDocument/2006/relationships/hyperlink"/><Relationship Id="rId232" Target="https%3A%2F%2Fwww.webofscience.com%2Fwos%2Fwoscc%2Ffull-record%2FWOS%3A001788658200001" TargetMode="External" Type="http://schemas.openxmlformats.org/officeDocument/2006/relationships/hyperlink"/><Relationship Id="rId233" Target="http%3A%2F%2Fdx.doi.org%2F10.1093%2Fckj%2Fsfac181" TargetMode="External" Type="http://schemas.openxmlformats.org/officeDocument/2006/relationships/hyperlink"/><Relationship Id="rId234" Target="https%3A%2F%2Fwww.webofscience.com%2Fwos%2Fwoscc%2Ffull-record%2FWOS%3A000843575400001" TargetMode="External" Type="http://schemas.openxmlformats.org/officeDocument/2006/relationships/hyperlink"/><Relationship Id="rId235" Target="http%3A%2F%2Fdx.doi.org%2F10.1159%2F000516891" TargetMode="External" Type="http://schemas.openxmlformats.org/officeDocument/2006/relationships/hyperlink"/><Relationship Id="rId236" Target="https%3A%2F%2Fwww.webofscience.com%2Fwos%2Fwoscc%2Ffull-record%2FWOS%3A000673942300001" TargetMode="External" Type="http://schemas.openxmlformats.org/officeDocument/2006/relationships/hyperlink"/><Relationship Id="rId237" Target="http%3A%2F%2Fdx.doi.org%2F10.3389%2Ffpsyt.2024.1408738" TargetMode="External" Type="http://schemas.openxmlformats.org/officeDocument/2006/relationships/hyperlink"/><Relationship Id="rId238" Target="https%3A%2F%2Fwww.webofscience.com%2Fwos%2Fwoscc%2Ffull-record%2FWOS%3A001333088200001" TargetMode="External" Type="http://schemas.openxmlformats.org/officeDocument/2006/relationships/hyperlink"/><Relationship Id="rId239" Target="http%3A%2F%2Fdx.doi.org%2F10.2196%2F89352" TargetMode="External" Type="http://schemas.openxmlformats.org/officeDocument/2006/relationships/hyperlink"/><Relationship Id="rId24" Target="https%3A%2F%2Fwww.webofscience.com%2Fwos%2Fwoscc%2Ffull-record%2FWOS%3A001725547700001" TargetMode="External" Type="http://schemas.openxmlformats.org/officeDocument/2006/relationships/hyperlink"/><Relationship Id="rId240" Target="https%3A%2F%2Fwww.webofscience.com%2Fwos%2Fwoscc%2Ffull-record%2FWOS%3A001769922300001" TargetMode="External" Type="http://schemas.openxmlformats.org/officeDocument/2006/relationships/hyperlink"/><Relationship Id="rId241" Target="http%3A%2F%2Fdx.doi.org%2F10.2196%2F78644" TargetMode="External" Type="http://schemas.openxmlformats.org/officeDocument/2006/relationships/hyperlink"/><Relationship Id="rId242" Target="https%3A%2F%2Fwww.webofscience.com%2Fwos%2Fwoscc%2Ffull-record%2FWOS%3A001634518000002" TargetMode="External" Type="http://schemas.openxmlformats.org/officeDocument/2006/relationships/hyperlink"/><Relationship Id="rId243" Target="http%3A%2F%2Fdx.doi.org%2F10.2196%2F70275" TargetMode="External" Type="http://schemas.openxmlformats.org/officeDocument/2006/relationships/hyperlink"/><Relationship Id="rId244" Target="https%3A%2F%2Fwww.webofscience.com%2Fwos%2Fwoscc%2Ffull-record%2FWOS%3A001525591100001" TargetMode="External" Type="http://schemas.openxmlformats.org/officeDocument/2006/relationships/hyperlink"/><Relationship Id="rId25" Target="http%3A%2F%2Fdx.doi.org%2F10.1192%2Fbjo.2024.789" TargetMode="External" Type="http://schemas.openxmlformats.org/officeDocument/2006/relationships/hyperlink"/><Relationship Id="rId26" Target="https%3A%2F%2Fwww.webofscience.com%2Fwos%2Fwoscc%2Ffull-record%2FWOS%3A001370413500001" TargetMode="External" Type="http://schemas.openxmlformats.org/officeDocument/2006/relationships/hyperlink"/><Relationship Id="rId27" Target="http%3A%2F%2Fdx.doi.org%2F10.3389%2Ffonc.2026.1786176" TargetMode="External" Type="http://schemas.openxmlformats.org/officeDocument/2006/relationships/hyperlink"/><Relationship Id="rId28" Target="https%3A%2F%2Fwww.webofscience.com%2Fwos%2Fwoscc%2Ffull-record%2FWOS%3A001740298500001" TargetMode="External" Type="http://schemas.openxmlformats.org/officeDocument/2006/relationships/hyperlink"/><Relationship Id="rId29" Target="http%3A%2F%2Fdx.doi.org%2F10.1186%2Fs13643-024-02449-9" TargetMode="External" Type="http://schemas.openxmlformats.org/officeDocument/2006/relationships/hyperlink"/><Relationship Id="rId3" Target="http%3A%2F%2Fdx.doi.org%2F10.1177%2F17585732251412368" TargetMode="External" Type="http://schemas.openxmlformats.org/officeDocument/2006/relationships/hyperlink"/><Relationship Id="rId30" Target="https%3A%2F%2Fwww.webofscience.com%2Fwos%2Fwoscc%2Ffull-record%2FWOS%3A001148296800001" TargetMode="External" Type="http://schemas.openxmlformats.org/officeDocument/2006/relationships/hyperlink"/><Relationship Id="rId31" Target="http%3A%2F%2Fdx.doi.org%2F10.3389%2Fti.2022.10397" TargetMode="External" Type="http://schemas.openxmlformats.org/officeDocument/2006/relationships/hyperlink"/><Relationship Id="rId32" Target="https%3A%2F%2Fwww.webofscience.com%2Fwos%2Fwoscc%2Ffull-record%2FWOS%3A000886070100001" TargetMode="External" Type="http://schemas.openxmlformats.org/officeDocument/2006/relationships/hyperlink"/><Relationship Id="rId33" Target="http%3A%2F%2Fdx.doi.org%2F10.3310%2Fhta22660" TargetMode="External" Type="http://schemas.openxmlformats.org/officeDocument/2006/relationships/hyperlink"/><Relationship Id="rId34" Target="https%3A%2F%2Fwww.webofscience.com%2Fwos%2Fwoscc%2Ffull-record%2FWOS%3A000452132100001" TargetMode="External" Type="http://schemas.openxmlformats.org/officeDocument/2006/relationships/hyperlink"/><Relationship Id="rId35" Target="http%3A%2F%2Fdx.doi.org%2F10.1007%2Fs40520-025-03112-6" TargetMode="External" Type="http://schemas.openxmlformats.org/officeDocument/2006/relationships/hyperlink"/><Relationship Id="rId36" Target="https%3A%2F%2Fwww.webofscience.com%2Fwos%2Fwoscc%2Ffull-record%2FWOS%3A001536516000003" TargetMode="External" Type="http://schemas.openxmlformats.org/officeDocument/2006/relationships/hyperlink"/><Relationship Id="rId37" Target="http%3A%2F%2Fdx.doi.org%2F10.1186%2Fs12874-022-01801-8" TargetMode="External" Type="http://schemas.openxmlformats.org/officeDocument/2006/relationships/hyperlink"/><Relationship Id="rId38" Target="https%3A%2F%2Fwww.webofscience.com%2Fwos%2Fwoscc%2Ffull-record%2FWOS%3A000898499700001" TargetMode="External" Type="http://schemas.openxmlformats.org/officeDocument/2006/relationships/hyperlink"/><Relationship Id="rId39" Target="http%3A%2F%2Fdx.doi.org%2F10.1136%2Fbmjonc-2025-000914" TargetMode="External" Type="http://schemas.openxmlformats.org/officeDocument/2006/relationships/hyperlink"/><Relationship Id="rId4" Target="https%3A%2F%2Fwww.webofscience.com%2Fwos%2Fwoscc%2Ffull-record%2FWOS%3A001672300300001" TargetMode="External" Type="http://schemas.openxmlformats.org/officeDocument/2006/relationships/hyperlink"/><Relationship Id="rId40" Target="https%3A%2F%2Fwww.webofscience.com%2Fwos%2Fwoscc%2Ffull-record%2FWOS%3A001732886400001" TargetMode="External" Type="http://schemas.openxmlformats.org/officeDocument/2006/relationships/hyperlink"/><Relationship Id="rId41" Target="http%3A%2F%2Fdx.doi.org%2F10.1161%2FJAHA.121.024833" TargetMode="External" Type="http://schemas.openxmlformats.org/officeDocument/2006/relationships/hyperlink"/><Relationship Id="rId42" Target="https%3A%2F%2Fwww.webofscience.com%2Fwos%2Fwoscc%2Ffull-record%2FWOS%3A000796637400014" TargetMode="External" Type="http://schemas.openxmlformats.org/officeDocument/2006/relationships/hyperlink"/><Relationship Id="rId43" Target="http%3A%2F%2Fdx.doi.org%2F10.1111%2Fpapr.70129" TargetMode="External" Type="http://schemas.openxmlformats.org/officeDocument/2006/relationships/hyperlink"/><Relationship Id="rId44" Target="https%3A%2F%2Fwww.webofscience.com%2Fwos%2Fwoscc%2Ffull-record%2FWOS%3A001714039900014" TargetMode="External" Type="http://schemas.openxmlformats.org/officeDocument/2006/relationships/hyperlink"/><Relationship Id="rId45" Target="http%3A%2F%2Fdx.doi.org%2F10.1186%2Fs12891-025-09164-z" TargetMode="External" Type="http://schemas.openxmlformats.org/officeDocument/2006/relationships/hyperlink"/><Relationship Id="rId46" Target="https%3A%2F%2Fwww.webofscience.com%2Fwos%2Fwoscc%2Ffull-record%2FWOS%3A001586608500006" TargetMode="External" Type="http://schemas.openxmlformats.org/officeDocument/2006/relationships/hyperlink"/><Relationship Id="rId47" Target="http%3A%2F%2Fdx.doi.org%2F10.1016%2Fj.jtha.2023.09.006" TargetMode="External" Type="http://schemas.openxmlformats.org/officeDocument/2006/relationships/hyperlink"/><Relationship Id="rId48" Target="https%3A%2F%2Fwww.webofscience.com%2Fwos%2Fwoscc%2Ffull-record%2FWOS%3A001124205800001" TargetMode="External" Type="http://schemas.openxmlformats.org/officeDocument/2006/relationships/hyperlink"/><Relationship Id="rId49" Target="http%3A%2F%2Fdx.doi.org%2F10.1111%2Fodi.70023" TargetMode="External" Type="http://schemas.openxmlformats.org/officeDocument/2006/relationships/hyperlink"/><Relationship Id="rId5" Target="http%3A%2F%2Fdx.doi.org%2F10.1093%2Fjamia%2Focac002" TargetMode="External" Type="http://schemas.openxmlformats.org/officeDocument/2006/relationships/hyperlink"/><Relationship Id="rId50" Target="https%3A%2F%2Fwww.webofscience.com%2Fwos%2Fwoscc%2Ffull-record%2FWOS%3A001523827100001" TargetMode="External" Type="http://schemas.openxmlformats.org/officeDocument/2006/relationships/hyperlink"/><Relationship Id="rId51" Target="http%3A%2F%2Fdx.doi.org%2F10.1111%2Fejh.70177" TargetMode="External" Type="http://schemas.openxmlformats.org/officeDocument/2006/relationships/hyperlink"/><Relationship Id="rId52" Target="https%3A%2F%2Fwww.webofscience.com%2Fwos%2Fwoscc%2Ffull-record%2FWOS%3A001727852400001" TargetMode="External" Type="http://schemas.openxmlformats.org/officeDocument/2006/relationships/hyperlink"/><Relationship Id="rId53" Target="http%3A%2F%2Fdx.doi.org%2F10.1002%2Fcam4.70697" TargetMode="External" Type="http://schemas.openxmlformats.org/officeDocument/2006/relationships/hyperlink"/><Relationship Id="rId54" Target="https%3A%2F%2Fwww.webofscience.com%2Fwos%2Fwoscc%2Ffull-record%2FWOS%3A001458446100001" TargetMode="External" Type="http://schemas.openxmlformats.org/officeDocument/2006/relationships/hyperlink"/><Relationship Id="rId55" Target="http%3A%2F%2Fdx.doi.org%2F10.1016%2Fj.esmoop.2025.105557" TargetMode="External" Type="http://schemas.openxmlformats.org/officeDocument/2006/relationships/hyperlink"/><Relationship Id="rId56" Target="https%3A%2F%2Fwww.webofscience.com%2Fwos%2Fwoscc%2Ffull-record%2FWOS%3A001586862100001" TargetMode="External" Type="http://schemas.openxmlformats.org/officeDocument/2006/relationships/hyperlink"/><Relationship Id="rId57" Target="http%3A%2F%2Fdx.doi.org%2F10.1016%2Fj.injury.2023.05.027" TargetMode="External" Type="http://schemas.openxmlformats.org/officeDocument/2006/relationships/hyperlink"/><Relationship Id="rId58" Target="https%3A%2F%2Fwww.webofscience.com%2Fwos%2Fwoscc%2Ffull-record%2FWOS%3A001016622800001" TargetMode="External" Type="http://schemas.openxmlformats.org/officeDocument/2006/relationships/hyperlink"/><Relationship Id="rId59" Target="http%3A%2F%2Fdx.doi.org%2F10.1016%2Fj.jhin.2019.01.012" TargetMode="External" Type="http://schemas.openxmlformats.org/officeDocument/2006/relationships/hyperlink"/><Relationship Id="rId6" Target="https%3A%2F%2Fwww.webofscience.com%2Fwos%2Fwoscc%2Ffull-record%2FWOS%3A000782186000028" TargetMode="External" Type="http://schemas.openxmlformats.org/officeDocument/2006/relationships/hyperlink"/><Relationship Id="rId60" Target="https%3A%2F%2Fwww.webofscience.com%2Fwos%2Fwoscc%2Ffull-record%2FWOS%3A000465285500002" TargetMode="External" Type="http://schemas.openxmlformats.org/officeDocument/2006/relationships/hyperlink"/><Relationship Id="rId61" Target="http%3A%2F%2Fdx.doi.org%2F10.1016%2Fj.jhep.2024.03.030" TargetMode="External" Type="http://schemas.openxmlformats.org/officeDocument/2006/relationships/hyperlink"/><Relationship Id="rId62" Target="https%3A%2F%2Fwww.webofscience.com%2Fwos%2Fwoscc%2Ffull-record%2FWOS%3A001293745500001" TargetMode="External" Type="http://schemas.openxmlformats.org/officeDocument/2006/relationships/hyperlink"/><Relationship Id="rId63" Target="http%3A%2F%2Fdx.doi.org%2F10.1097%2Fj.pain.0000000000002261" TargetMode="External" Type="http://schemas.openxmlformats.org/officeDocument/2006/relationships/hyperlink"/><Relationship Id="rId64" Target="https%3A%2F%2Fwww.webofscience.com%2Fwos%2Fwoscc%2Ffull-record%2FWOS%3A000707417300006" TargetMode="External" Type="http://schemas.openxmlformats.org/officeDocument/2006/relationships/hyperlink"/><Relationship Id="rId65" Target="http%3A%2F%2Fdx.doi.org%2F10.1017%2FS0033291716003494" TargetMode="External" Type="http://schemas.openxmlformats.org/officeDocument/2006/relationships/hyperlink"/><Relationship Id="rId66" Target="https%3A%2F%2Fwww.webofscience.com%2Fwos%2Fwoscc%2Ffull-record%2FWOS%3A000398797100001" TargetMode="External" Type="http://schemas.openxmlformats.org/officeDocument/2006/relationships/hyperlink"/><Relationship Id="rId67" Target="http%3A%2F%2Fdx.doi.org%2F10.1371%2Fjournal.pone.0185402" TargetMode="External" Type="http://schemas.openxmlformats.org/officeDocument/2006/relationships/hyperlink"/><Relationship Id="rId68" Target="https%3A%2F%2Fwww.webofscience.com%2Fwos%2Fwoscc%2Ffull-record%2FWOS%3A000423514700001" TargetMode="External" Type="http://schemas.openxmlformats.org/officeDocument/2006/relationships/hyperlink"/><Relationship Id="rId69" Target="http%3A%2F%2Fdx.doi.org%2F10.3389%2Ffmed.2025.1529201" TargetMode="External" Type="http://schemas.openxmlformats.org/officeDocument/2006/relationships/hyperlink"/><Relationship Id="rId7" Target="http%3A%2F%2Fdx.doi.org%2F10.1186%2Fs12873-024-01107-6" TargetMode="External" Type="http://schemas.openxmlformats.org/officeDocument/2006/relationships/hyperlink"/><Relationship Id="rId70" Target="https%3A%2F%2Fwww.webofscience.com%2Fwos%2Fwoscc%2Ffull-record%2FWOS%3A001438815100001" TargetMode="External" Type="http://schemas.openxmlformats.org/officeDocument/2006/relationships/hyperlink"/><Relationship Id="rId71" Target="http%3A%2F%2Fdx.doi.org%2F10.1111%2F1471-0528.14170" TargetMode="External" Type="http://schemas.openxmlformats.org/officeDocument/2006/relationships/hyperlink"/><Relationship Id="rId72" Target="https%3A%2F%2Fwww.webofscience.com%2Fwos%2Fwoscc%2Ffull-record%2FWOS%3A000397007500013" TargetMode="External" Type="http://schemas.openxmlformats.org/officeDocument/2006/relationships/hyperlink"/><Relationship Id="rId73" Target="http%3A%2F%2Fdx.doi.org%2F10.1371%2Fjournal.pone.0192310" TargetMode="External" Type="http://schemas.openxmlformats.org/officeDocument/2006/relationships/hyperlink"/><Relationship Id="rId74" Target="https%3A%2F%2Fwww.webofscience.com%2Fwos%2Fwoscc%2Ffull-record%2FWOS%3A000424517900065" TargetMode="External" Type="http://schemas.openxmlformats.org/officeDocument/2006/relationships/hyperlink"/><Relationship Id="rId75" Target="http%3A%2F%2Fdx.doi.org%2F10.1111%2Fbcp.15104" TargetMode="External" Type="http://schemas.openxmlformats.org/officeDocument/2006/relationships/hyperlink"/><Relationship Id="rId76" Target="https%3A%2F%2Fwww.webofscience.com%2Fwos%2Fwoscc%2Ffull-record%2FWOS%3A000712887300001" TargetMode="External" Type="http://schemas.openxmlformats.org/officeDocument/2006/relationships/hyperlink"/><Relationship Id="rId77" Target="http%3A%2F%2Fdx.doi.org%2F10.1016%2Fj.jphys.2022.03.009" TargetMode="External" Type="http://schemas.openxmlformats.org/officeDocument/2006/relationships/hyperlink"/><Relationship Id="rId78" Target="https%3A%2F%2Fwww.webofscience.com%2Fwos%2Fwoscc%2Ffull-record%2FWOS%3A000803702600007" TargetMode="External" Type="http://schemas.openxmlformats.org/officeDocument/2006/relationships/hyperlink"/><Relationship Id="rId79" Target="http%3A%2F%2Fdx.doi.org%2F10.1093%2Fjamia%2Focac058" TargetMode="External" Type="http://schemas.openxmlformats.org/officeDocument/2006/relationships/hyperlink"/><Relationship Id="rId8" Target="https%3A%2F%2Fwww.webofscience.com%2Fwos%2Fwoscc%2Ffull-record%2FWOS%3A001336411100002" TargetMode="External" Type="http://schemas.openxmlformats.org/officeDocument/2006/relationships/hyperlink"/><Relationship Id="rId80" Target="https%3A%2F%2Fwww.webofscience.com%2Fwos%2Fwoscc%2Ffull-record%2FWOS%3A000787860800001" TargetMode="External" Type="http://schemas.openxmlformats.org/officeDocument/2006/relationships/hyperlink"/><Relationship Id="rId81" Target="http%3A%2F%2Fdx.doi.org%2F10.1097%2FCCM.0000000000007206" TargetMode="External" Type="http://schemas.openxmlformats.org/officeDocument/2006/relationships/hyperlink"/><Relationship Id="rId82" Target="https%3A%2F%2Fwww.webofscience.com%2Fwos%2Fwoscc%2Ffull-record%2FWOS%3A001842424800014" TargetMode="External" Type="http://schemas.openxmlformats.org/officeDocument/2006/relationships/hyperlink"/><Relationship Id="rId83" Target="http%3A%2F%2Fdx.doi.org%2F10.1183%2F16000617.0021-2023" TargetMode="External" Type="http://schemas.openxmlformats.org/officeDocument/2006/relationships/hyperlink"/><Relationship Id="rId84" Target="https%3A%2F%2Fwww.webofscience.com%2Fwos%2Fwoscc%2Ffull-record%2FWOS%3A001014958900003" TargetMode="External" Type="http://schemas.openxmlformats.org/officeDocument/2006/relationships/hyperlink"/><Relationship Id="rId85" Target="http%3A%2F%2Fdx.doi.org%2F10.1016%2Fj.heliyon.2023.e22226" TargetMode="External" Type="http://schemas.openxmlformats.org/officeDocument/2006/relationships/hyperlink"/><Relationship Id="rId86" Target="https%3A%2F%2Fwww.webofscience.com%2Fwos%2Fwoscc%2Ffull-record%2FWOS%3A001121435300001" TargetMode="External" Type="http://schemas.openxmlformats.org/officeDocument/2006/relationships/hyperlink"/><Relationship Id="rId87" Target="http%3A%2F%2Fdx.doi.org%2F10.1001%2Fjamapsychiatry.2018.2530" TargetMode="External" Type="http://schemas.openxmlformats.org/officeDocument/2006/relationships/hyperlink"/><Relationship Id="rId88" Target="https%3A%2F%2Fwww.webofscience.com%2Fwos%2Fwoscc%2Ffull-record%2FWOS%3A000452682200013" TargetMode="External" Type="http://schemas.openxmlformats.org/officeDocument/2006/relationships/hyperlink"/><Relationship Id="rId89" Target="http%3A%2F%2Fdx.doi.org%2F10.1186%2Fs41512-025-00205-8" TargetMode="External" Type="http://schemas.openxmlformats.org/officeDocument/2006/relationships/hyperlink"/><Relationship Id="rId9" Target="http%3A%2F%2Fdx.doi.org%2F10.1016%2Fj.biopsych.2024.02.1006" TargetMode="External" Type="http://schemas.openxmlformats.org/officeDocument/2006/relationships/hyperlink"/><Relationship Id="rId90" Target="https%3A%2F%2Fwww.webofscience.com%2Fwos%2Fwoscc%2Ffull-record%2FWOS%3A001565038200001" TargetMode="External" Type="http://schemas.openxmlformats.org/officeDocument/2006/relationships/hyperlink"/><Relationship Id="rId91" Target="http%3A%2F%2Fdx.doi.org%2F10.1161%2FCIRCOUTCOMES.121.007858" TargetMode="External" Type="http://schemas.openxmlformats.org/officeDocument/2006/relationships/hyperlink"/><Relationship Id="rId92" Target="https%3A%2F%2Fwww.webofscience.com%2Fwos%2Fwoscc%2Ffull-record%2FWOS%3A000685474900006" TargetMode="External" Type="http://schemas.openxmlformats.org/officeDocument/2006/relationships/hyperlink"/><Relationship Id="rId93" Target="http%3A%2F%2Fdx.doi.org%2F10.1016%2Fj.trsl.2021.03.012" TargetMode="External" Type="http://schemas.openxmlformats.org/officeDocument/2006/relationships/hyperlink"/><Relationship Id="rId94" Target="https%3A%2F%2Fwww.webofscience.com%2Fwos%2Fwoscc%2Ffull-record%2FWOS%3A000661683600006" TargetMode="External" Type="http://schemas.openxmlformats.org/officeDocument/2006/relationships/hyperlink"/><Relationship Id="rId95" Target="http%3A%2F%2Fdx.doi.org%2F10.1038%2Fs41380-022-01528-4" TargetMode="External" Type="http://schemas.openxmlformats.org/officeDocument/2006/relationships/hyperlink"/><Relationship Id="rId96" Target="https%3A%2F%2Fwww.webofscience.com%2Fwos%2Fwoscc%2Ffull-record%2FWOS%3A000777289500002" TargetMode="External" Type="http://schemas.openxmlformats.org/officeDocument/2006/relationships/hyperlink"/><Relationship Id="rId97" Target="http%3A%2F%2Fdx.doi.org%2F10.1186%2Fs12874-020-0913-7" TargetMode="External" Type="http://schemas.openxmlformats.org/officeDocument/2006/relationships/hyperlink"/><Relationship Id="rId98" Target="https%3A%2F%2Fwww.webofscience.com%2Fwos%2Fwoscc%2Ffull-record%2FWOS%3A000513699400003" TargetMode="External" Type="http://schemas.openxmlformats.org/officeDocument/2006/relationships/hyperlink"/><Relationship Id="rId99" Target="http%3A%2F%2Fdx.doi.org%2F10.1136%2Fbmjhci-2023-100784"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sheetPr>
    <pageSetUpPr fitToPage="true" autoPageBreaks="true"/>
  </sheetPr>
  <dimension ref="A1:BY124"/>
  <sheetViews>
    <sheetView workbookViewId="0" tabSelected="true">
      <pane ySplit="1.0" state="frozen" topLeftCell="A2" activePane="bottomLeft"/>
      <selection pane="bottomLeft"/>
    </sheetView>
  </sheetViews>
  <sheetFormatPr defaultRowHeight="15.0"/>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c r="R1" t="s" s="0">
        <v>17</v>
      </c>
      <c r="S1" t="s" s="0">
        <v>18</v>
      </c>
      <c r="T1" t="s" s="0">
        <v>19</v>
      </c>
      <c r="U1" t="s" s="0">
        <v>20</v>
      </c>
      <c r="V1" t="s" s="0">
        <v>21</v>
      </c>
      <c r="W1" t="s" s="0">
        <v>22</v>
      </c>
      <c r="X1" t="s" s="0">
        <v>23</v>
      </c>
      <c r="Y1" t="s" s="0">
        <v>24</v>
      </c>
      <c r="Z1" t="s" s="0">
        <v>25</v>
      </c>
      <c r="AA1" t="s" s="0">
        <v>26</v>
      </c>
      <c r="AB1" t="s" s="0">
        <v>27</v>
      </c>
      <c r="AC1" t="s" s="0">
        <v>28</v>
      </c>
      <c r="AD1" t="s" s="0">
        <v>29</v>
      </c>
      <c r="AE1" t="s" s="0">
        <v>30</v>
      </c>
      <c r="AF1" t="s" s="0">
        <v>31</v>
      </c>
      <c r="AG1" t="s" s="0">
        <v>32</v>
      </c>
      <c r="AH1" t="s" s="0">
        <v>33</v>
      </c>
      <c r="AI1" t="s" s="0">
        <v>34</v>
      </c>
      <c r="AJ1" t="s" s="0">
        <v>35</v>
      </c>
      <c r="AK1" t="s" s="0">
        <v>36</v>
      </c>
      <c r="AL1" t="s" s="0">
        <v>37</v>
      </c>
      <c r="AM1" t="s" s="0">
        <v>38</v>
      </c>
      <c r="AN1" t="s" s="0">
        <v>39</v>
      </c>
      <c r="AO1" t="s" s="0">
        <v>40</v>
      </c>
      <c r="AP1" t="s" s="0">
        <v>41</v>
      </c>
      <c r="AQ1" t="s" s="0">
        <v>42</v>
      </c>
      <c r="AR1" t="s" s="0">
        <v>43</v>
      </c>
      <c r="AS1" t="s" s="0">
        <v>44</v>
      </c>
      <c r="AT1" t="s" s="0">
        <v>45</v>
      </c>
      <c r="AU1" t="s" s="0">
        <v>46</v>
      </c>
      <c r="AV1" t="s" s="0">
        <v>47</v>
      </c>
      <c r="AW1" t="s" s="0">
        <v>48</v>
      </c>
      <c r="AX1" t="s" s="0">
        <v>49</v>
      </c>
      <c r="AY1" t="s" s="0">
        <v>50</v>
      </c>
      <c r="AZ1" t="s" s="0">
        <v>51</v>
      </c>
      <c r="BA1" t="s" s="0">
        <v>52</v>
      </c>
      <c r="BB1" t="s" s="0">
        <v>53</v>
      </c>
      <c r="BC1" t="s" s="0">
        <v>54</v>
      </c>
      <c r="BD1" t="s" s="0">
        <v>55</v>
      </c>
      <c r="BE1" t="s" s="0">
        <v>56</v>
      </c>
      <c r="BF1" t="s" s="0">
        <v>57</v>
      </c>
      <c r="BG1" t="s" s="0">
        <v>58</v>
      </c>
      <c r="BH1" t="s" s="0">
        <v>59</v>
      </c>
      <c r="BI1" t="s" s="0">
        <v>60</v>
      </c>
      <c r="BJ1" t="s" s="0">
        <v>61</v>
      </c>
      <c r="BK1" t="s" s="0">
        <v>62</v>
      </c>
      <c r="BL1" t="s" s="0">
        <v>63</v>
      </c>
      <c r="BM1" t="s" s="0">
        <v>64</v>
      </c>
      <c r="BN1" t="s" s="0">
        <v>65</v>
      </c>
      <c r="BO1" t="s" s="0">
        <v>66</v>
      </c>
      <c r="BP1" t="s" s="0">
        <v>67</v>
      </c>
      <c r="BQ1" t="s" s="0">
        <v>68</v>
      </c>
      <c r="BR1" t="s" s="0">
        <v>69</v>
      </c>
      <c r="BS1" t="s" s="0">
        <v>70</v>
      </c>
      <c r="BT1" t="s" s="0">
        <v>71</v>
      </c>
      <c r="BU1" t="s" s="0">
        <v>72</v>
      </c>
      <c r="BV1" t="s" s="0">
        <v>73</v>
      </c>
      <c r="BW1" t="s" s="0">
        <v>74</v>
      </c>
      <c r="BX1" t="s" s="0">
        <v>75</v>
      </c>
      <c r="BY1" t="s" s="0">
        <v>76</v>
      </c>
    </row>
    <row r="2">
      <c r="A2" t="s" s="0">
        <v>77</v>
      </c>
      <c r="B2" t="s" s="0">
        <v>77</v>
      </c>
      <c r="C2" t="s" s="0">
        <v>78</v>
      </c>
      <c r="D2" t="s" s="0">
        <v>77</v>
      </c>
      <c r="E2" t="s" s="0">
        <v>79</v>
      </c>
      <c r="F2" t="s" s="0">
        <v>80</v>
      </c>
      <c r="G2" t="s" s="0">
        <v>81</v>
      </c>
      <c r="H2" t="s" s="0">
        <v>82</v>
      </c>
      <c r="I2" t="s" s="0">
        <v>83</v>
      </c>
      <c r="J2" t="s" s="0">
        <v>84</v>
      </c>
      <c r="K2" t="s" s="0">
        <v>85</v>
      </c>
      <c r="L2" t="s" s="0">
        <v>86</v>
      </c>
      <c r="M2" t="s" s="0">
        <v>87</v>
      </c>
      <c r="N2" t="s" s="0">
        <v>88</v>
      </c>
      <c r="O2" t="s" s="0">
        <v>89</v>
      </c>
      <c r="P2" t="s" s="0">
        <v>90</v>
      </c>
      <c r="Q2" t="s" s="0">
        <v>91</v>
      </c>
      <c r="R2" t="s" s="0">
        <v>82</v>
      </c>
      <c r="S2" t="s" s="0">
        <v>82</v>
      </c>
      <c r="T2" t="s" s="0">
        <v>82</v>
      </c>
      <c r="U2" t="s" s="0">
        <v>82</v>
      </c>
      <c r="V2" t="s" s="0">
        <v>92</v>
      </c>
      <c r="W2" t="s" s="0">
        <v>93</v>
      </c>
      <c r="X2" t="s" s="0">
        <v>82</v>
      </c>
      <c r="Y2" t="s" s="0">
        <v>82</v>
      </c>
      <c r="Z2" t="s" s="0">
        <v>94</v>
      </c>
      <c r="AA2" t="s" s="0">
        <v>95</v>
      </c>
      <c r="AB2" t="s" s="0">
        <v>82</v>
      </c>
      <c r="AC2" t="s" s="0">
        <v>82</v>
      </c>
      <c r="AD2" t="s" s="0">
        <v>82</v>
      </c>
      <c r="AE2" t="s" s="0">
        <v>82</v>
      </c>
      <c r="AF2" t="s" s="0">
        <v>82</v>
      </c>
      <c r="AG2" t="s" s="0">
        <v>96</v>
      </c>
      <c r="AH2" t="s" s="0">
        <v>97</v>
      </c>
      <c r="AI2" t="s" s="0">
        <v>98</v>
      </c>
      <c r="AJ2" t="s" s="0">
        <v>99</v>
      </c>
      <c r="AK2" t="s" s="0">
        <v>82</v>
      </c>
      <c r="AL2" t="s" s="0">
        <v>100</v>
      </c>
      <c r="AM2" t="s" s="0">
        <v>101</v>
      </c>
      <c r="AN2" t="s" s="0">
        <v>102</v>
      </c>
      <c r="AO2" t="s" s="0">
        <v>103</v>
      </c>
      <c r="AP2" t="s" s="0">
        <v>103</v>
      </c>
      <c r="AQ2" t="s" s="0">
        <v>104</v>
      </c>
      <c r="AR2" t="s" s="0">
        <v>105</v>
      </c>
      <c r="AS2" t="s" s="0">
        <v>106</v>
      </c>
      <c r="AT2" t="s" s="0">
        <v>107</v>
      </c>
      <c r="AU2" t="s" s="0">
        <v>108</v>
      </c>
      <c r="AV2" t="s" s="0">
        <v>82</v>
      </c>
      <c r="AW2" t="s" s="0">
        <v>109</v>
      </c>
      <c r="AX2" t="s" s="0">
        <v>110</v>
      </c>
      <c r="AY2" t="s" s="0">
        <v>111</v>
      </c>
      <c r="AZ2" t="s" s="0">
        <v>112</v>
      </c>
      <c r="BA2" t="s" s="0">
        <v>113</v>
      </c>
      <c r="BB2" t="s" s="0">
        <v>82</v>
      </c>
      <c r="BC2" t="s" s="0">
        <v>82</v>
      </c>
      <c r="BD2" t="s" s="0">
        <v>82</v>
      </c>
      <c r="BE2" t="s" s="0">
        <v>82</v>
      </c>
      <c r="BF2" t="s" s="0">
        <v>82</v>
      </c>
      <c r="BG2" t="s" s="0">
        <v>114</v>
      </c>
      <c r="BH2" t="s" s="0">
        <v>115</v>
      </c>
      <c r="BI2" t="s" s="0">
        <v>82</v>
      </c>
      <c r="BJ2" t="s" s="0">
        <v>116</v>
      </c>
      <c r="BK2" t="s" s="1">
        <f>HYPERLINK("http://dx.doi.org/10.1016/j.prrv.2025.01.002","http://dx.doi.org/10.1016/j.prrv.2025.01.002")</f>
        <v>117</v>
      </c>
      <c r="BL2" t="s" s="0">
        <v>82</v>
      </c>
      <c r="BM2" t="s" s="0">
        <v>118</v>
      </c>
      <c r="BN2" t="s" s="0">
        <v>119</v>
      </c>
      <c r="BO2" t="s" s="0">
        <v>120</v>
      </c>
      <c r="BP2" t="s" s="0">
        <v>120</v>
      </c>
      <c r="BQ2" t="s" s="0">
        <v>121</v>
      </c>
      <c r="BR2" t="s" s="0">
        <v>122</v>
      </c>
      <c r="BS2" t="s" s="0">
        <v>123</v>
      </c>
      <c r="BT2" t="s" s="2">
        <f>HYPERLINK("https://www.webofscience.com/wos/woscc/full-record/WOS:001501899200004","View Record in Web of Science")</f>
        <v>124</v>
      </c>
      <c r="BU2" t="s" s="0">
        <v>125</v>
      </c>
      <c r="BV2" t="s" s="0">
        <v>82</v>
      </c>
      <c r="BW2" t="s" s="0">
        <v>82</v>
      </c>
      <c r="BX2" t="s" s="0">
        <v>126</v>
      </c>
    </row>
    <row r="3">
      <c r="A3" t="s" s="0">
        <v>77</v>
      </c>
      <c r="B3" t="s" s="0">
        <v>77</v>
      </c>
      <c r="C3" t="s" s="0">
        <v>77</v>
      </c>
      <c r="D3" t="s" s="0">
        <v>77</v>
      </c>
      <c r="E3" t="s" s="0">
        <v>127</v>
      </c>
      <c r="F3" t="s" s="0">
        <v>128</v>
      </c>
      <c r="G3" t="s" s="0">
        <v>129</v>
      </c>
      <c r="H3" t="s" s="0">
        <v>82</v>
      </c>
      <c r="I3" t="s" s="0">
        <v>130</v>
      </c>
      <c r="J3" t="s" s="0">
        <v>131</v>
      </c>
      <c r="K3" t="s" s="0">
        <v>132</v>
      </c>
      <c r="L3" t="s" s="0">
        <v>82</v>
      </c>
      <c r="M3" t="s" s="0">
        <v>82</v>
      </c>
      <c r="N3" t="s" s="0">
        <v>82</v>
      </c>
      <c r="O3" t="s" s="0">
        <v>133</v>
      </c>
      <c r="P3" t="s" s="0">
        <v>134</v>
      </c>
      <c r="Q3" t="s" s="0">
        <v>91</v>
      </c>
      <c r="R3" t="s" s="0">
        <v>82</v>
      </c>
      <c r="S3" t="s" s="0">
        <v>82</v>
      </c>
      <c r="T3" t="s" s="0">
        <v>82</v>
      </c>
      <c r="U3" t="s" s="0">
        <v>82</v>
      </c>
      <c r="V3" t="s" s="0">
        <v>135</v>
      </c>
      <c r="W3" t="s" s="0">
        <v>136</v>
      </c>
      <c r="X3" t="s" s="0">
        <v>82</v>
      </c>
      <c r="Y3" t="s" s="0">
        <v>82</v>
      </c>
      <c r="Z3" t="s" s="0">
        <v>94</v>
      </c>
      <c r="AA3" t="s" s="0">
        <v>95</v>
      </c>
      <c r="AB3" t="s" s="0">
        <v>82</v>
      </c>
      <c r="AC3" t="s" s="0">
        <v>82</v>
      </c>
      <c r="AD3" t="s" s="0">
        <v>82</v>
      </c>
      <c r="AE3" t="s" s="0">
        <v>82</v>
      </c>
      <c r="AF3" t="s" s="0">
        <v>82</v>
      </c>
      <c r="AG3" t="s" s="0">
        <v>137</v>
      </c>
      <c r="AH3" t="s" s="0">
        <v>138</v>
      </c>
      <c r="AI3" t="s" s="0">
        <v>139</v>
      </c>
      <c r="AJ3" t="s" s="0">
        <v>140</v>
      </c>
      <c r="AK3" t="s" s="0">
        <v>82</v>
      </c>
      <c r="AL3" t="s" s="0">
        <v>141</v>
      </c>
      <c r="AM3" t="s" s="0">
        <v>77</v>
      </c>
      <c r="AN3" t="s" s="0">
        <v>77</v>
      </c>
      <c r="AO3" t="s" s="0">
        <v>77</v>
      </c>
      <c r="AP3" t="s" s="0">
        <v>77</v>
      </c>
      <c r="AQ3" t="s" s="0">
        <v>142</v>
      </c>
      <c r="AR3" t="s" s="0">
        <v>143</v>
      </c>
      <c r="AS3" t="s" s="0">
        <v>144</v>
      </c>
      <c r="AT3" t="s" s="0">
        <v>145</v>
      </c>
      <c r="AU3" t="s" s="0">
        <v>146</v>
      </c>
      <c r="AV3" t="s" s="0">
        <v>82</v>
      </c>
      <c r="AW3" t="s" s="0">
        <v>147</v>
      </c>
      <c r="AX3" t="s" s="0">
        <v>148</v>
      </c>
      <c r="AY3" t="s" s="0">
        <v>149</v>
      </c>
      <c r="AZ3" t="s" s="0">
        <v>150</v>
      </c>
      <c r="BA3" t="s" s="0">
        <v>151</v>
      </c>
      <c r="BB3" t="s" s="0">
        <v>152</v>
      </c>
      <c r="BC3" t="s" s="0">
        <v>82</v>
      </c>
      <c r="BD3" t="s" s="0">
        <v>82</v>
      </c>
      <c r="BE3" t="s" s="0">
        <v>82</v>
      </c>
      <c r="BF3" t="s" s="0">
        <v>82</v>
      </c>
      <c r="BG3" t="s" s="0">
        <v>153</v>
      </c>
      <c r="BH3" t="s" s="0">
        <v>154</v>
      </c>
      <c r="BI3" t="s" s="0">
        <v>82</v>
      </c>
      <c r="BJ3" t="s" s="0">
        <v>155</v>
      </c>
      <c r="BK3" t="s" s="3">
        <f>HYPERLINK("http://dx.doi.org/10.1177/17585732251412368","http://dx.doi.org/10.1177/17585732251412368")</f>
        <v>156</v>
      </c>
      <c r="BL3" t="s" s="0">
        <v>82</v>
      </c>
      <c r="BM3" t="s" s="0">
        <v>157</v>
      </c>
      <c r="BN3" t="s" s="0">
        <v>158</v>
      </c>
      <c r="BO3" t="s" s="0">
        <v>159</v>
      </c>
      <c r="BP3" t="s" s="0">
        <v>159</v>
      </c>
      <c r="BQ3" t="s" s="0">
        <v>160</v>
      </c>
      <c r="BR3" t="s" s="0">
        <v>161</v>
      </c>
      <c r="BS3" t="s" s="0">
        <v>162</v>
      </c>
      <c r="BT3" t="s" s="4">
        <f>HYPERLINK("https://www.webofscience.com/wos/woscc/full-record/WOS:001672300300001","View Record in Web of Science")</f>
        <v>124</v>
      </c>
      <c r="BU3" t="s" s="0">
        <v>163</v>
      </c>
      <c r="BV3" t="s" s="0">
        <v>82</v>
      </c>
      <c r="BW3" t="s" s="0">
        <v>82</v>
      </c>
      <c r="BX3" t="s" s="0">
        <v>126</v>
      </c>
    </row>
    <row r="4">
      <c r="A4" t="s" s="0">
        <v>78</v>
      </c>
      <c r="B4" t="s" s="0">
        <v>77</v>
      </c>
      <c r="C4" t="s" s="0">
        <v>119</v>
      </c>
      <c r="D4" t="s" s="0">
        <v>77</v>
      </c>
      <c r="E4" t="s" s="0">
        <v>164</v>
      </c>
      <c r="F4" t="s" s="0">
        <v>165</v>
      </c>
      <c r="G4" t="s" s="0">
        <v>166</v>
      </c>
      <c r="H4" t="s" s="0">
        <v>82</v>
      </c>
      <c r="I4" t="s" s="0">
        <v>167</v>
      </c>
      <c r="J4" t="s" s="0">
        <v>168</v>
      </c>
      <c r="K4" t="s" s="0">
        <v>169</v>
      </c>
      <c r="L4" t="s" s="0">
        <v>170</v>
      </c>
      <c r="M4" t="s" s="0">
        <v>171</v>
      </c>
      <c r="N4" t="s" s="0">
        <v>172</v>
      </c>
      <c r="O4" t="s" s="0">
        <v>173</v>
      </c>
      <c r="P4" t="s" s="0">
        <v>174</v>
      </c>
      <c r="Q4" t="s" s="0">
        <v>91</v>
      </c>
      <c r="R4" t="s" s="0">
        <v>82</v>
      </c>
      <c r="S4" t="s" s="0">
        <v>82</v>
      </c>
      <c r="T4" t="s" s="0">
        <v>82</v>
      </c>
      <c r="U4" t="s" s="0">
        <v>82</v>
      </c>
      <c r="V4" t="s" s="0">
        <v>175</v>
      </c>
      <c r="W4" t="s" s="0">
        <v>176</v>
      </c>
      <c r="X4" t="s" s="0">
        <v>82</v>
      </c>
      <c r="Y4" t="s" s="0">
        <v>82</v>
      </c>
      <c r="Z4" t="s" s="0">
        <v>94</v>
      </c>
      <c r="AA4" t="s" s="0">
        <v>95</v>
      </c>
      <c r="AB4" t="s" s="0">
        <v>82</v>
      </c>
      <c r="AC4" t="s" s="0">
        <v>82</v>
      </c>
      <c r="AD4" t="s" s="0">
        <v>82</v>
      </c>
      <c r="AE4" t="s" s="0">
        <v>82</v>
      </c>
      <c r="AF4" t="s" s="0">
        <v>82</v>
      </c>
      <c r="AG4" t="s" s="0">
        <v>177</v>
      </c>
      <c r="AH4" t="s" s="0">
        <v>82</v>
      </c>
      <c r="AI4" t="s" s="0">
        <v>82</v>
      </c>
      <c r="AJ4" t="s" s="0">
        <v>178</v>
      </c>
      <c r="AK4" t="s" s="0">
        <v>82</v>
      </c>
      <c r="AL4" t="s" s="0">
        <v>179</v>
      </c>
      <c r="AM4" t="s" s="0">
        <v>141</v>
      </c>
      <c r="AN4" t="s" s="0">
        <v>180</v>
      </c>
      <c r="AO4" t="s" s="0">
        <v>103</v>
      </c>
      <c r="AP4" t="s" s="0">
        <v>114</v>
      </c>
      <c r="AQ4" t="s" s="0">
        <v>181</v>
      </c>
      <c r="AR4" t="s" s="0">
        <v>182</v>
      </c>
      <c r="AS4" t="s" s="0">
        <v>183</v>
      </c>
      <c r="AT4" t="s" s="0">
        <v>184</v>
      </c>
      <c r="AU4" t="s" s="0">
        <v>185</v>
      </c>
      <c r="AV4" t="s" s="0">
        <v>82</v>
      </c>
      <c r="AW4" t="s" s="0">
        <v>186</v>
      </c>
      <c r="AX4" t="s" s="0">
        <v>187</v>
      </c>
      <c r="AY4" t="s" s="0">
        <v>188</v>
      </c>
      <c r="AZ4" t="s" s="0">
        <v>189</v>
      </c>
      <c r="BA4" t="s" s="0">
        <v>190</v>
      </c>
      <c r="BB4" t="s" s="0">
        <v>191</v>
      </c>
      <c r="BC4" t="s" s="0">
        <v>82</v>
      </c>
      <c r="BD4" t="s" s="0">
        <v>82</v>
      </c>
      <c r="BE4" t="s" s="0">
        <v>82</v>
      </c>
      <c r="BF4" t="s" s="0">
        <v>82</v>
      </c>
      <c r="BG4" t="s" s="0">
        <v>192</v>
      </c>
      <c r="BH4" t="s" s="0">
        <v>193</v>
      </c>
      <c r="BI4" t="s" s="0">
        <v>82</v>
      </c>
      <c r="BJ4" t="s" s="0">
        <v>194</v>
      </c>
      <c r="BK4" t="s" s="5">
        <f>HYPERLINK("http://dx.doi.org/10.1093/jamia/ocac002","http://dx.doi.org/10.1093/jamia/ocac002")</f>
        <v>195</v>
      </c>
      <c r="BL4" t="s" s="0">
        <v>82</v>
      </c>
      <c r="BM4" t="s" s="0">
        <v>196</v>
      </c>
      <c r="BN4" t="s" s="0">
        <v>101</v>
      </c>
      <c r="BO4" t="s" s="0">
        <v>197</v>
      </c>
      <c r="BP4" t="s" s="0">
        <v>198</v>
      </c>
      <c r="BQ4" t="s" s="0">
        <v>199</v>
      </c>
      <c r="BR4" t="s" s="0">
        <v>200</v>
      </c>
      <c r="BS4" t="s" s="0">
        <v>201</v>
      </c>
      <c r="BT4" t="s" s="6">
        <f>HYPERLINK("https://www.webofscience.com/wos/woscc/full-record/WOS:000782186000028","View Record in Web of Science")</f>
        <v>124</v>
      </c>
      <c r="BU4" t="s" s="0">
        <v>202</v>
      </c>
      <c r="BV4" t="s" s="0">
        <v>82</v>
      </c>
      <c r="BW4" t="s" s="0">
        <v>82</v>
      </c>
      <c r="BX4" t="s" s="0">
        <v>126</v>
      </c>
    </row>
    <row r="5">
      <c r="A5" t="s" s="0">
        <v>78</v>
      </c>
      <c r="B5" t="s" s="0">
        <v>77</v>
      </c>
      <c r="C5" t="s" s="0">
        <v>77</v>
      </c>
      <c r="D5" t="s" s="0">
        <v>78</v>
      </c>
      <c r="E5" t="s" s="0">
        <v>203</v>
      </c>
      <c r="F5" t="s" s="0">
        <v>204</v>
      </c>
      <c r="G5" t="s" s="0">
        <v>205</v>
      </c>
      <c r="H5" t="s" s="0">
        <v>82</v>
      </c>
      <c r="I5" t="s" s="0">
        <v>83</v>
      </c>
      <c r="J5" t="s" s="0">
        <v>206</v>
      </c>
      <c r="K5" t="s" s="0">
        <v>207</v>
      </c>
      <c r="L5" t="s" s="0">
        <v>208</v>
      </c>
      <c r="M5" t="s" s="0">
        <v>209</v>
      </c>
      <c r="N5" t="s" s="0">
        <v>82</v>
      </c>
      <c r="O5" t="s" s="0">
        <v>210</v>
      </c>
      <c r="P5" t="s" s="0">
        <v>211</v>
      </c>
      <c r="Q5" t="s" s="0">
        <v>91</v>
      </c>
      <c r="R5" t="s" s="0">
        <v>82</v>
      </c>
      <c r="S5" t="s" s="0">
        <v>82</v>
      </c>
      <c r="T5" t="s" s="0">
        <v>82</v>
      </c>
      <c r="U5" t="s" s="0">
        <v>82</v>
      </c>
      <c r="V5" t="s" s="0">
        <v>212</v>
      </c>
      <c r="W5" t="s" s="0">
        <v>213</v>
      </c>
      <c r="X5" t="s" s="0">
        <v>82</v>
      </c>
      <c r="Y5" t="s" s="0">
        <v>82</v>
      </c>
      <c r="Z5" t="s" s="0">
        <v>94</v>
      </c>
      <c r="AA5" t="s" s="0">
        <v>95</v>
      </c>
      <c r="AB5" t="s" s="0">
        <v>82</v>
      </c>
      <c r="AC5" t="s" s="0">
        <v>82</v>
      </c>
      <c r="AD5" t="s" s="0">
        <v>82</v>
      </c>
      <c r="AE5" t="s" s="0">
        <v>82</v>
      </c>
      <c r="AF5" t="s" s="0">
        <v>82</v>
      </c>
      <c r="AG5" t="s" s="0">
        <v>214</v>
      </c>
      <c r="AH5" t="s" s="0">
        <v>215</v>
      </c>
      <c r="AI5" t="s" s="0">
        <v>216</v>
      </c>
      <c r="AJ5" t="s" s="0">
        <v>217</v>
      </c>
      <c r="AK5" t="s" s="0">
        <v>82</v>
      </c>
      <c r="AL5" t="s" s="0">
        <v>218</v>
      </c>
      <c r="AM5" t="s" s="0">
        <v>102</v>
      </c>
      <c r="AN5" t="s" s="0">
        <v>119</v>
      </c>
      <c r="AO5" t="s" s="0">
        <v>77</v>
      </c>
      <c r="AP5" t="s" s="0">
        <v>103</v>
      </c>
      <c r="AQ5" t="s" s="0">
        <v>219</v>
      </c>
      <c r="AR5" t="s" s="0">
        <v>220</v>
      </c>
      <c r="AS5" t="s" s="0">
        <v>221</v>
      </c>
      <c r="AT5" t="s" s="0">
        <v>222</v>
      </c>
      <c r="AU5" t="s" s="0">
        <v>82</v>
      </c>
      <c r="AV5" t="s" s="0">
        <v>82</v>
      </c>
      <c r="AW5" t="s" s="0">
        <v>223</v>
      </c>
      <c r="AX5" t="s" s="0">
        <v>224</v>
      </c>
      <c r="AY5" t="s" s="0">
        <v>225</v>
      </c>
      <c r="AZ5" t="s" s="0">
        <v>226</v>
      </c>
      <c r="BA5" t="s" s="0">
        <v>227</v>
      </c>
      <c r="BB5" t="s" s="0">
        <v>78</v>
      </c>
      <c r="BC5" t="s" s="0">
        <v>82</v>
      </c>
      <c r="BD5" t="s" s="0">
        <v>82</v>
      </c>
      <c r="BE5" t="s" s="0">
        <v>82</v>
      </c>
      <c r="BF5" t="s" s="0">
        <v>82</v>
      </c>
      <c r="BG5" t="s" s="0">
        <v>82</v>
      </c>
      <c r="BH5" t="s" s="0">
        <v>82</v>
      </c>
      <c r="BI5" t="s" s="0">
        <v>228</v>
      </c>
      <c r="BJ5" t="s" s="0">
        <v>229</v>
      </c>
      <c r="BK5" t="s" s="7">
        <f>HYPERLINK("http://dx.doi.org/10.1186/s12873-024-01107-6","http://dx.doi.org/10.1186/s12873-024-01107-6")</f>
        <v>230</v>
      </c>
      <c r="BL5" t="s" s="0">
        <v>82</v>
      </c>
      <c r="BM5" t="s" s="0">
        <v>82</v>
      </c>
      <c r="BN5" t="s" s="0">
        <v>231</v>
      </c>
      <c r="BO5" t="s" s="0">
        <v>232</v>
      </c>
      <c r="BP5" t="s" s="0">
        <v>232</v>
      </c>
      <c r="BQ5" t="s" s="0">
        <v>233</v>
      </c>
      <c r="BR5" t="s" s="0">
        <v>234</v>
      </c>
      <c r="BS5" t="s" s="0">
        <v>235</v>
      </c>
      <c r="BT5" t="s" s="8">
        <f>HYPERLINK("https://www.webofscience.com/wos/woscc/full-record/WOS:001336411100002","View Record in Web of Science")</f>
        <v>124</v>
      </c>
      <c r="BU5" t="s" s="0">
        <v>236</v>
      </c>
      <c r="BV5" t="s" s="0">
        <v>82</v>
      </c>
      <c r="BW5" t="s" s="0">
        <v>82</v>
      </c>
      <c r="BX5" t="s" s="0">
        <v>126</v>
      </c>
    </row>
    <row r="6">
      <c r="A6" t="s" s="0">
        <v>77</v>
      </c>
      <c r="B6" t="s" s="0">
        <v>77</v>
      </c>
      <c r="C6" t="s" s="0">
        <v>191</v>
      </c>
      <c r="D6" t="s" s="0">
        <v>77</v>
      </c>
      <c r="E6" t="s" s="0">
        <v>237</v>
      </c>
      <c r="F6" t="s" s="0">
        <v>238</v>
      </c>
      <c r="G6" t="s" s="0">
        <v>239</v>
      </c>
      <c r="H6" t="s" s="0">
        <v>82</v>
      </c>
      <c r="I6" t="s" s="0">
        <v>83</v>
      </c>
      <c r="J6" t="s" s="0">
        <v>240</v>
      </c>
      <c r="K6" t="s" s="0">
        <v>241</v>
      </c>
      <c r="L6" t="s" s="0">
        <v>242</v>
      </c>
      <c r="M6" t="s" s="0">
        <v>243</v>
      </c>
      <c r="N6" t="s" s="0">
        <v>244</v>
      </c>
      <c r="O6" t="s" s="0">
        <v>245</v>
      </c>
      <c r="P6" t="s" s="0">
        <v>246</v>
      </c>
      <c r="Q6" t="s" s="0">
        <v>91</v>
      </c>
      <c r="R6" t="s" s="0">
        <v>82</v>
      </c>
      <c r="S6" t="s" s="0">
        <v>82</v>
      </c>
      <c r="T6" t="s" s="0">
        <v>82</v>
      </c>
      <c r="U6" t="s" s="0">
        <v>82</v>
      </c>
      <c r="V6" t="s" s="0">
        <v>247</v>
      </c>
      <c r="W6" t="s" s="0">
        <v>248</v>
      </c>
      <c r="X6" t="s" s="0">
        <v>82</v>
      </c>
      <c r="Y6" t="s" s="0">
        <v>82</v>
      </c>
      <c r="Z6" t="s" s="0">
        <v>94</v>
      </c>
      <c r="AA6" t="s" s="0">
        <v>95</v>
      </c>
      <c r="AB6" t="s" s="0">
        <v>82</v>
      </c>
      <c r="AC6" t="s" s="0">
        <v>82</v>
      </c>
      <c r="AD6" t="s" s="0">
        <v>82</v>
      </c>
      <c r="AE6" t="s" s="0">
        <v>82</v>
      </c>
      <c r="AF6" t="s" s="0">
        <v>82</v>
      </c>
      <c r="AG6" t="s" s="0">
        <v>82</v>
      </c>
      <c r="AH6" t="s" s="0">
        <v>249</v>
      </c>
      <c r="AI6" t="s" s="0">
        <v>250</v>
      </c>
      <c r="AJ6" t="s" s="0">
        <v>251</v>
      </c>
      <c r="AK6" t="s" s="0">
        <v>82</v>
      </c>
      <c r="AL6" t="s" s="0">
        <v>252</v>
      </c>
      <c r="AM6" t="s" s="0">
        <v>253</v>
      </c>
      <c r="AN6" t="s" s="0">
        <v>227</v>
      </c>
      <c r="AO6" t="s" s="0">
        <v>78</v>
      </c>
      <c r="AP6" t="s" s="0">
        <v>152</v>
      </c>
      <c r="AQ6" t="s" s="0">
        <v>254</v>
      </c>
      <c r="AR6" t="s" s="0">
        <v>255</v>
      </c>
      <c r="AS6" t="s" s="0">
        <v>256</v>
      </c>
      <c r="AT6" t="s" s="0">
        <v>257</v>
      </c>
      <c r="AU6" t="s" s="0">
        <v>258</v>
      </c>
      <c r="AV6" t="s" s="0">
        <v>82</v>
      </c>
      <c r="AW6" t="s" s="0">
        <v>259</v>
      </c>
      <c r="AX6" t="s" s="0">
        <v>260</v>
      </c>
      <c r="AY6" t="s" s="0">
        <v>261</v>
      </c>
      <c r="AZ6" t="s" s="0">
        <v>226</v>
      </c>
      <c r="BA6" t="s" s="0">
        <v>262</v>
      </c>
      <c r="BB6" t="s" s="0">
        <v>101</v>
      </c>
      <c r="BC6" t="s" s="0">
        <v>82</v>
      </c>
      <c r="BD6" t="s" s="0">
        <v>82</v>
      </c>
      <c r="BE6" t="s" s="0">
        <v>82</v>
      </c>
      <c r="BF6" t="s" s="0">
        <v>82</v>
      </c>
      <c r="BG6" t="s" s="0">
        <v>263</v>
      </c>
      <c r="BH6" t="s" s="0">
        <v>264</v>
      </c>
      <c r="BI6" t="s" s="0">
        <v>82</v>
      </c>
      <c r="BJ6" t="s" s="0">
        <v>265</v>
      </c>
      <c r="BK6" t="s" s="9">
        <f>HYPERLINK("http://dx.doi.org/10.1016/j.biopsych.2024.02.1006","http://dx.doi.org/10.1016/j.biopsych.2024.02.1006")</f>
        <v>266</v>
      </c>
      <c r="BL6" t="s" s="0">
        <v>82</v>
      </c>
      <c r="BM6" t="s" s="0">
        <v>267</v>
      </c>
      <c r="BN6" t="s" s="0">
        <v>268</v>
      </c>
      <c r="BO6" t="s" s="0">
        <v>269</v>
      </c>
      <c r="BP6" t="s" s="0">
        <v>270</v>
      </c>
      <c r="BQ6" t="s" s="0">
        <v>271</v>
      </c>
      <c r="BR6" t="s" s="0">
        <v>272</v>
      </c>
      <c r="BS6" t="s" s="0">
        <v>273</v>
      </c>
      <c r="BT6" t="s" s="10">
        <f>HYPERLINK("https://www.webofscience.com/wos/woscc/full-record/WOS:001312547300001","View Record in Web of Science")</f>
        <v>124</v>
      </c>
      <c r="BU6" t="s" s="0">
        <v>163</v>
      </c>
      <c r="BV6" t="s" s="0">
        <v>82</v>
      </c>
      <c r="BW6" t="s" s="0">
        <v>82</v>
      </c>
      <c r="BX6" t="s" s="0">
        <v>126</v>
      </c>
    </row>
    <row r="7">
      <c r="A7" t="s" s="0">
        <v>77</v>
      </c>
      <c r="B7" t="s" s="0">
        <v>77</v>
      </c>
      <c r="C7" t="s" s="0">
        <v>103</v>
      </c>
      <c r="D7" t="s" s="0">
        <v>77</v>
      </c>
      <c r="E7" t="s" s="0">
        <v>274</v>
      </c>
      <c r="F7" t="s" s="0">
        <v>275</v>
      </c>
      <c r="G7" t="s" s="0">
        <v>276</v>
      </c>
      <c r="H7" t="s" s="0">
        <v>82</v>
      </c>
      <c r="I7" t="s" s="0">
        <v>83</v>
      </c>
      <c r="J7" t="s" s="0">
        <v>277</v>
      </c>
      <c r="K7" t="s" s="0">
        <v>278</v>
      </c>
      <c r="L7" t="s" s="0">
        <v>279</v>
      </c>
      <c r="M7" t="s" s="0">
        <v>280</v>
      </c>
      <c r="N7" t="s" s="0">
        <v>281</v>
      </c>
      <c r="O7" t="s" s="0">
        <v>282</v>
      </c>
      <c r="P7" t="s" s="0">
        <v>283</v>
      </c>
      <c r="Q7" t="s" s="0">
        <v>91</v>
      </c>
      <c r="R7" t="s" s="0">
        <v>82</v>
      </c>
      <c r="S7" t="s" s="0">
        <v>82</v>
      </c>
      <c r="T7" t="s" s="0">
        <v>82</v>
      </c>
      <c r="U7" t="s" s="0">
        <v>82</v>
      </c>
      <c r="V7" t="s" s="0">
        <v>284</v>
      </c>
      <c r="W7" t="s" s="0">
        <v>285</v>
      </c>
      <c r="X7" t="s" s="0">
        <v>82</v>
      </c>
      <c r="Y7" t="s" s="0">
        <v>82</v>
      </c>
      <c r="Z7" t="s" s="0">
        <v>94</v>
      </c>
      <c r="AA7" t="s" s="0">
        <v>95</v>
      </c>
      <c r="AB7" t="s" s="0">
        <v>82</v>
      </c>
      <c r="AC7" t="s" s="0">
        <v>82</v>
      </c>
      <c r="AD7" t="s" s="0">
        <v>82</v>
      </c>
      <c r="AE7" t="s" s="0">
        <v>82</v>
      </c>
      <c r="AF7" t="s" s="0">
        <v>82</v>
      </c>
      <c r="AG7" t="s" s="0">
        <v>286</v>
      </c>
      <c r="AH7" t="s" s="0">
        <v>287</v>
      </c>
      <c r="AI7" t="s" s="0">
        <v>288</v>
      </c>
      <c r="AJ7" t="s" s="0">
        <v>289</v>
      </c>
      <c r="AK7" t="s" s="0">
        <v>82</v>
      </c>
      <c r="AL7" t="s" s="0">
        <v>290</v>
      </c>
      <c r="AM7" t="s" s="0">
        <v>291</v>
      </c>
      <c r="AN7" t="s" s="0">
        <v>101</v>
      </c>
      <c r="AO7" t="s" s="0">
        <v>191</v>
      </c>
      <c r="AP7" t="s" s="0">
        <v>191</v>
      </c>
      <c r="AQ7" t="s" s="0">
        <v>292</v>
      </c>
      <c r="AR7" t="s" s="0">
        <v>293</v>
      </c>
      <c r="AS7" t="s" s="0">
        <v>294</v>
      </c>
      <c r="AT7" t="s" s="0">
        <v>295</v>
      </c>
      <c r="AU7" t="s" s="0">
        <v>296</v>
      </c>
      <c r="AV7" t="s" s="0">
        <v>82</v>
      </c>
      <c r="AW7" t="s" s="0">
        <v>297</v>
      </c>
      <c r="AX7" t="s" s="0">
        <v>298</v>
      </c>
      <c r="AY7" t="s" s="0">
        <v>299</v>
      </c>
      <c r="AZ7" t="s" s="0">
        <v>150</v>
      </c>
      <c r="BA7" t="s" s="0">
        <v>300</v>
      </c>
      <c r="BB7" t="s" s="0">
        <v>78</v>
      </c>
      <c r="BC7" t="s" s="0">
        <v>82</v>
      </c>
      <c r="BD7" t="s" s="0">
        <v>82</v>
      </c>
      <c r="BE7" t="s" s="0">
        <v>82</v>
      </c>
      <c r="BF7" t="s" s="0">
        <v>82</v>
      </c>
      <c r="BG7" t="s" s="0">
        <v>301</v>
      </c>
      <c r="BH7" t="s" s="0">
        <v>302</v>
      </c>
      <c r="BI7" t="s" s="0">
        <v>82</v>
      </c>
      <c r="BJ7" t="s" s="0">
        <v>303</v>
      </c>
      <c r="BK7" t="s" s="11">
        <f>HYPERLINK("http://dx.doi.org/10.1146/annurev-statistics-042324-123749","http://dx.doi.org/10.1146/annurev-statistics-042324-123749")</f>
        <v>304</v>
      </c>
      <c r="BL7" t="s" s="0">
        <v>82</v>
      </c>
      <c r="BM7" t="s" s="0">
        <v>82</v>
      </c>
      <c r="BN7" t="s" s="0">
        <v>305</v>
      </c>
      <c r="BO7" t="s" s="0">
        <v>306</v>
      </c>
      <c r="BP7" t="s" s="0">
        <v>307</v>
      </c>
      <c r="BQ7" t="s" s="0">
        <v>308</v>
      </c>
      <c r="BR7" t="s" s="0">
        <v>82</v>
      </c>
      <c r="BS7" t="s" s="0">
        <v>309</v>
      </c>
      <c r="BT7" t="s" s="12">
        <f>HYPERLINK("https://www.webofscience.com/wos/woscc/full-record/WOS:001710034200002","View Record in Web of Science")</f>
        <v>124</v>
      </c>
      <c r="BU7" t="s" s="0">
        <v>310</v>
      </c>
      <c r="BV7" t="s" s="0">
        <v>82</v>
      </c>
      <c r="BW7" t="s" s="0">
        <v>82</v>
      </c>
      <c r="BX7" t="s" s="0">
        <v>126</v>
      </c>
    </row>
    <row r="8">
      <c r="A8" t="s" s="0">
        <v>77</v>
      </c>
      <c r="B8" t="s" s="0">
        <v>77</v>
      </c>
      <c r="C8" t="s" s="0">
        <v>268</v>
      </c>
      <c r="D8" t="s" s="0">
        <v>77</v>
      </c>
      <c r="E8" t="s" s="0">
        <v>311</v>
      </c>
      <c r="F8" t="s" s="0">
        <v>312</v>
      </c>
      <c r="G8" t="s" s="0">
        <v>313</v>
      </c>
      <c r="H8" t="s" s="0">
        <v>82</v>
      </c>
      <c r="I8" t="s" s="0">
        <v>167</v>
      </c>
      <c r="J8" t="s" s="0">
        <v>314</v>
      </c>
      <c r="K8" t="s" s="0">
        <v>315</v>
      </c>
      <c r="L8" t="s" s="0">
        <v>316</v>
      </c>
      <c r="M8" t="s" s="0">
        <v>317</v>
      </c>
      <c r="N8" t="s" s="0">
        <v>318</v>
      </c>
      <c r="O8" t="s" s="0">
        <v>319</v>
      </c>
      <c r="P8" t="s" s="0">
        <v>320</v>
      </c>
      <c r="Q8" t="s" s="0">
        <v>91</v>
      </c>
      <c r="R8" t="s" s="0">
        <v>82</v>
      </c>
      <c r="S8" t="s" s="0">
        <v>82</v>
      </c>
      <c r="T8" t="s" s="0">
        <v>82</v>
      </c>
      <c r="U8" t="s" s="0">
        <v>82</v>
      </c>
      <c r="V8" t="s" s="0">
        <v>321</v>
      </c>
      <c r="W8" t="s" s="0">
        <v>322</v>
      </c>
      <c r="X8" t="s" s="0">
        <v>82</v>
      </c>
      <c r="Y8" t="s" s="0">
        <v>82</v>
      </c>
      <c r="Z8" t="s" s="0">
        <v>94</v>
      </c>
      <c r="AA8" t="s" s="0">
        <v>95</v>
      </c>
      <c r="AB8" t="s" s="0">
        <v>82</v>
      </c>
      <c r="AC8" t="s" s="0">
        <v>82</v>
      </c>
      <c r="AD8" t="s" s="0">
        <v>82</v>
      </c>
      <c r="AE8" t="s" s="0">
        <v>82</v>
      </c>
      <c r="AF8" t="s" s="0">
        <v>82</v>
      </c>
      <c r="AG8" t="s" s="0">
        <v>323</v>
      </c>
      <c r="AH8" t="s" s="0">
        <v>324</v>
      </c>
      <c r="AI8" t="s" s="0">
        <v>325</v>
      </c>
      <c r="AJ8" t="s" s="0">
        <v>326</v>
      </c>
      <c r="AK8" t="s" s="0">
        <v>82</v>
      </c>
      <c r="AL8" t="s" s="0">
        <v>327</v>
      </c>
      <c r="AM8" t="s" s="0">
        <v>328</v>
      </c>
      <c r="AN8" t="s" s="0">
        <v>190</v>
      </c>
      <c r="AO8" t="s" s="0">
        <v>77</v>
      </c>
      <c r="AP8" t="s" s="0">
        <v>329</v>
      </c>
      <c r="AQ8" t="s" s="0">
        <v>330</v>
      </c>
      <c r="AR8" t="s" s="0">
        <v>182</v>
      </c>
      <c r="AS8" t="s" s="0">
        <v>331</v>
      </c>
      <c r="AT8" t="s" s="0">
        <v>332</v>
      </c>
      <c r="AU8" t="s" s="0">
        <v>333</v>
      </c>
      <c r="AV8" t="s" s="0">
        <v>82</v>
      </c>
      <c r="AW8" t="s" s="0">
        <v>334</v>
      </c>
      <c r="AX8" t="s" s="0">
        <v>335</v>
      </c>
      <c r="AY8" t="s" s="0">
        <v>336</v>
      </c>
      <c r="AZ8" t="s" s="0">
        <v>337</v>
      </c>
      <c r="BA8" t="s" s="0">
        <v>338</v>
      </c>
      <c r="BB8" t="s" s="0">
        <v>82</v>
      </c>
      <c r="BC8" t="s" s="0">
        <v>82</v>
      </c>
      <c r="BD8" t="s" s="0">
        <v>82</v>
      </c>
      <c r="BE8" t="s" s="0">
        <v>82</v>
      </c>
      <c r="BF8" t="s" s="0">
        <v>82</v>
      </c>
      <c r="BG8" t="s" s="0">
        <v>82</v>
      </c>
      <c r="BH8" t="s" s="0">
        <v>82</v>
      </c>
      <c r="BI8" t="s" s="0">
        <v>339</v>
      </c>
      <c r="BJ8" t="s" s="0">
        <v>340</v>
      </c>
      <c r="BK8" t="s" s="13">
        <f>HYPERLINK("http://dx.doi.org/10.1016/j.pharmthera.2020.107557","http://dx.doi.org/10.1016/j.pharmthera.2020.107557")</f>
        <v>341</v>
      </c>
      <c r="BL8" t="s" s="0">
        <v>82</v>
      </c>
      <c r="BM8" t="s" s="0">
        <v>82</v>
      </c>
      <c r="BN8" t="s" s="0">
        <v>342</v>
      </c>
      <c r="BO8" t="s" s="0">
        <v>343</v>
      </c>
      <c r="BP8" t="s" s="0">
        <v>343</v>
      </c>
      <c r="BQ8" t="s" s="0">
        <v>344</v>
      </c>
      <c r="BR8" t="s" s="0">
        <v>345</v>
      </c>
      <c r="BS8" t="s" s="0">
        <v>346</v>
      </c>
      <c r="BT8" t="s" s="14">
        <f>HYPERLINK("https://www.webofscience.com/wos/woscc/full-record/WOS:000541079600004","View Record in Web of Science")</f>
        <v>124</v>
      </c>
      <c r="BU8" t="s" s="0">
        <v>125</v>
      </c>
      <c r="BV8" t="s" s="0">
        <v>82</v>
      </c>
      <c r="BW8" t="s" s="0">
        <v>82</v>
      </c>
      <c r="BX8" t="s" s="0">
        <v>126</v>
      </c>
    </row>
    <row r="9">
      <c r="A9" t="s" s="0">
        <v>152</v>
      </c>
      <c r="B9" t="s" s="0">
        <v>77</v>
      </c>
      <c r="C9" t="s" s="0">
        <v>347</v>
      </c>
      <c r="D9" t="s" s="0">
        <v>78</v>
      </c>
      <c r="E9" t="s" s="0">
        <v>348</v>
      </c>
      <c r="F9" t="s" s="0">
        <v>349</v>
      </c>
      <c r="G9" t="s" s="0">
        <v>350</v>
      </c>
      <c r="H9" t="s" s="0">
        <v>82</v>
      </c>
      <c r="I9" t="s" s="0">
        <v>83</v>
      </c>
      <c r="J9" t="s" s="0">
        <v>351</v>
      </c>
      <c r="K9" t="s" s="0">
        <v>352</v>
      </c>
      <c r="L9" t="s" s="0">
        <v>82</v>
      </c>
      <c r="M9" t="s" s="0">
        <v>82</v>
      </c>
      <c r="N9" t="s" s="0">
        <v>82</v>
      </c>
      <c r="O9" t="s" s="0">
        <v>353</v>
      </c>
      <c r="P9" t="s" s="0">
        <v>354</v>
      </c>
      <c r="Q9" t="s" s="0">
        <v>91</v>
      </c>
      <c r="R9" t="s" s="0">
        <v>82</v>
      </c>
      <c r="S9" t="s" s="0">
        <v>82</v>
      </c>
      <c r="T9" t="s" s="0">
        <v>82</v>
      </c>
      <c r="U9" t="s" s="0">
        <v>82</v>
      </c>
      <c r="V9" t="s" s="0">
        <v>355</v>
      </c>
      <c r="W9" t="s" s="0">
        <v>356</v>
      </c>
      <c r="X9" t="s" s="0">
        <v>82</v>
      </c>
      <c r="Y9" t="s" s="0">
        <v>82</v>
      </c>
      <c r="Z9" t="s" s="0">
        <v>94</v>
      </c>
      <c r="AA9" t="s" s="0">
        <v>95</v>
      </c>
      <c r="AB9" t="s" s="0">
        <v>82</v>
      </c>
      <c r="AC9" t="s" s="0">
        <v>82</v>
      </c>
      <c r="AD9" t="s" s="0">
        <v>82</v>
      </c>
      <c r="AE9" t="s" s="0">
        <v>82</v>
      </c>
      <c r="AF9" t="s" s="0">
        <v>82</v>
      </c>
      <c r="AG9" t="s" s="0">
        <v>357</v>
      </c>
      <c r="AH9" t="s" s="0">
        <v>358</v>
      </c>
      <c r="AI9" t="s" s="0">
        <v>82</v>
      </c>
      <c r="AJ9" t="s" s="0">
        <v>359</v>
      </c>
      <c r="AK9" t="s" s="0">
        <v>82</v>
      </c>
      <c r="AL9" t="s" s="0">
        <v>360</v>
      </c>
      <c r="AM9" t="s" s="0">
        <v>361</v>
      </c>
      <c r="AN9" t="s" s="0">
        <v>362</v>
      </c>
      <c r="AO9" t="s" s="0">
        <v>77</v>
      </c>
      <c r="AP9" t="s" s="0">
        <v>300</v>
      </c>
      <c r="AQ9" t="s" s="0">
        <v>363</v>
      </c>
      <c r="AR9" t="s" s="0">
        <v>364</v>
      </c>
      <c r="AS9" t="s" s="0">
        <v>365</v>
      </c>
      <c r="AT9" t="s" s="0">
        <v>366</v>
      </c>
      <c r="AU9" t="s" s="0">
        <v>367</v>
      </c>
      <c r="AV9" t="s" s="0">
        <v>82</v>
      </c>
      <c r="AW9" t="s" s="0">
        <v>368</v>
      </c>
      <c r="AX9" t="s" s="0">
        <v>369</v>
      </c>
      <c r="AY9" t="s" s="0">
        <v>370</v>
      </c>
      <c r="AZ9" t="s" s="0">
        <v>371</v>
      </c>
      <c r="BA9" t="s" s="0">
        <v>179</v>
      </c>
      <c r="BB9" t="s" s="0">
        <v>372</v>
      </c>
      <c r="BC9" t="s" s="0">
        <v>82</v>
      </c>
      <c r="BD9" t="s" s="0">
        <v>82</v>
      </c>
      <c r="BE9" t="s" s="0">
        <v>82</v>
      </c>
      <c r="BF9" t="s" s="0">
        <v>82</v>
      </c>
      <c r="BG9" t="s" s="0">
        <v>373</v>
      </c>
      <c r="BH9" t="s" s="0">
        <v>374</v>
      </c>
      <c r="BI9" t="s" s="0">
        <v>82</v>
      </c>
      <c r="BJ9" t="s" s="0">
        <v>375</v>
      </c>
      <c r="BK9" t="s" s="15">
        <f>HYPERLINK("http://dx.doi.org/10.3348/kjr.2016.17.3.339","http://dx.doi.org/10.3348/kjr.2016.17.3.339")</f>
        <v>376</v>
      </c>
      <c r="BL9" t="s" s="0">
        <v>82</v>
      </c>
      <c r="BM9" t="s" s="0">
        <v>82</v>
      </c>
      <c r="BN9" t="s" s="0">
        <v>377</v>
      </c>
      <c r="BO9" t="s" s="0">
        <v>378</v>
      </c>
      <c r="BP9" t="s" s="0">
        <v>378</v>
      </c>
      <c r="BQ9" t="s" s="0">
        <v>379</v>
      </c>
      <c r="BR9" t="s" s="0">
        <v>380</v>
      </c>
      <c r="BS9" t="s" s="0">
        <v>381</v>
      </c>
      <c r="BT9" t="s" s="16">
        <f>HYPERLINK("https://www.webofscience.com/wos/woscc/full-record/WOS:000375889600004","View Record in Web of Science")</f>
        <v>124</v>
      </c>
      <c r="BU9" t="s" s="0">
        <v>163</v>
      </c>
      <c r="BV9" t="s" s="0">
        <v>82</v>
      </c>
      <c r="BW9" t="s" s="0">
        <v>82</v>
      </c>
      <c r="BX9" t="s" s="0">
        <v>126</v>
      </c>
    </row>
    <row r="10">
      <c r="A10" t="s" s="0">
        <v>77</v>
      </c>
      <c r="B10" t="s" s="0">
        <v>77</v>
      </c>
      <c r="C10" t="s" s="0">
        <v>77</v>
      </c>
      <c r="D10" t="s" s="0">
        <v>77</v>
      </c>
      <c r="E10" t="s" s="0">
        <v>382</v>
      </c>
      <c r="F10" t="s" s="0">
        <v>383</v>
      </c>
      <c r="G10" t="s" s="0">
        <v>384</v>
      </c>
      <c r="H10" t="s" s="0">
        <v>82</v>
      </c>
      <c r="I10" t="s" s="0">
        <v>83</v>
      </c>
      <c r="J10" t="s" s="0">
        <v>385</v>
      </c>
      <c r="K10" t="s" s="0">
        <v>386</v>
      </c>
      <c r="L10" t="s" s="0">
        <v>387</v>
      </c>
      <c r="M10" t="s" s="0">
        <v>388</v>
      </c>
      <c r="N10" t="s" s="0">
        <v>389</v>
      </c>
      <c r="O10" t="s" s="0">
        <v>390</v>
      </c>
      <c r="P10" t="s" s="0">
        <v>391</v>
      </c>
      <c r="Q10" t="s" s="0">
        <v>91</v>
      </c>
      <c r="R10" t="s" s="0">
        <v>82</v>
      </c>
      <c r="S10" t="s" s="0">
        <v>82</v>
      </c>
      <c r="T10" t="s" s="0">
        <v>82</v>
      </c>
      <c r="U10" t="s" s="0">
        <v>82</v>
      </c>
      <c r="V10" t="s" s="0">
        <v>392</v>
      </c>
      <c r="W10" t="s" s="0">
        <v>393</v>
      </c>
      <c r="X10" t="s" s="0">
        <v>82</v>
      </c>
      <c r="Y10" t="s" s="0">
        <v>82</v>
      </c>
      <c r="Z10" t="s" s="0">
        <v>94</v>
      </c>
      <c r="AA10" t="s" s="0">
        <v>394</v>
      </c>
      <c r="AB10" t="s" s="0">
        <v>82</v>
      </c>
      <c r="AC10" t="s" s="0">
        <v>82</v>
      </c>
      <c r="AD10" t="s" s="0">
        <v>82</v>
      </c>
      <c r="AE10" t="s" s="0">
        <v>82</v>
      </c>
      <c r="AF10" t="s" s="0">
        <v>82</v>
      </c>
      <c r="AG10" t="s" s="0">
        <v>395</v>
      </c>
      <c r="AH10" t="s" s="0">
        <v>396</v>
      </c>
      <c r="AI10" t="s" s="0">
        <v>397</v>
      </c>
      <c r="AJ10" t="s" s="0">
        <v>398</v>
      </c>
      <c r="AK10" t="s" s="0">
        <v>82</v>
      </c>
      <c r="AL10" t="s" s="0">
        <v>399</v>
      </c>
      <c r="AM10" t="s" s="0">
        <v>77</v>
      </c>
      <c r="AN10" t="s" s="0">
        <v>77</v>
      </c>
      <c r="AO10" t="s" s="0">
        <v>78</v>
      </c>
      <c r="AP10" t="s" s="0">
        <v>78</v>
      </c>
      <c r="AQ10" t="s" s="0">
        <v>400</v>
      </c>
      <c r="AR10" t="s" s="0">
        <v>220</v>
      </c>
      <c r="AS10" t="s" s="0">
        <v>401</v>
      </c>
      <c r="AT10" t="s" s="0">
        <v>402</v>
      </c>
      <c r="AU10" t="s" s="0">
        <v>403</v>
      </c>
      <c r="AV10" t="s" s="0">
        <v>82</v>
      </c>
      <c r="AW10" t="s" s="0">
        <v>404</v>
      </c>
      <c r="AX10" t="s" s="0">
        <v>405</v>
      </c>
      <c r="AY10" t="s" s="0">
        <v>82</v>
      </c>
      <c r="AZ10" t="s" s="0">
        <v>150</v>
      </c>
      <c r="BA10" t="s" s="0">
        <v>82</v>
      </c>
      <c r="BB10" t="s" s="0">
        <v>82</v>
      </c>
      <c r="BC10" t="s" s="0">
        <v>82</v>
      </c>
      <c r="BD10" t="s" s="0">
        <v>82</v>
      </c>
      <c r="BE10" t="s" s="0">
        <v>82</v>
      </c>
      <c r="BF10" t="s" s="0">
        <v>82</v>
      </c>
      <c r="BG10" t="s" s="0">
        <v>82</v>
      </c>
      <c r="BH10" t="s" s="0">
        <v>82</v>
      </c>
      <c r="BI10" t="s" s="0">
        <v>82</v>
      </c>
      <c r="BJ10" t="s" s="0">
        <v>406</v>
      </c>
      <c r="BK10" t="s" s="17">
        <f>HYPERLINK("http://dx.doi.org/10.1007/s00198-026-08059-6","http://dx.doi.org/10.1007/s00198-026-08059-6")</f>
        <v>407</v>
      </c>
      <c r="BL10" t="s" s="0">
        <v>82</v>
      </c>
      <c r="BM10" t="s" s="0">
        <v>408</v>
      </c>
      <c r="BN10" t="s" s="0">
        <v>300</v>
      </c>
      <c r="BO10" t="s" s="0">
        <v>409</v>
      </c>
      <c r="BP10" t="s" s="0">
        <v>409</v>
      </c>
      <c r="BQ10" t="s" s="0">
        <v>410</v>
      </c>
      <c r="BR10" t="s" s="0">
        <v>411</v>
      </c>
      <c r="BS10" t="s" s="0">
        <v>412</v>
      </c>
      <c r="BT10" t="s" s="18">
        <f>HYPERLINK("https://www.webofscience.com/wos/woscc/full-record/WOS:001751842500001","View Record in Web of Science")</f>
        <v>124</v>
      </c>
      <c r="BU10" t="s" s="0">
        <v>413</v>
      </c>
      <c r="BV10" t="s" s="0">
        <v>82</v>
      </c>
      <c r="BW10" t="s" s="0">
        <v>82</v>
      </c>
      <c r="BX10" t="s" s="0">
        <v>126</v>
      </c>
    </row>
    <row r="11">
      <c r="A11" t="s" s="0">
        <v>78</v>
      </c>
      <c r="B11" t="s" s="0">
        <v>77</v>
      </c>
      <c r="C11" t="s" s="0">
        <v>103</v>
      </c>
      <c r="D11" t="s" s="0">
        <v>77</v>
      </c>
      <c r="E11" t="s" s="0">
        <v>414</v>
      </c>
      <c r="F11" t="s" s="0">
        <v>415</v>
      </c>
      <c r="G11" t="s" s="0">
        <v>416</v>
      </c>
      <c r="H11" t="s" s="0">
        <v>82</v>
      </c>
      <c r="I11" t="s" s="0">
        <v>83</v>
      </c>
      <c r="J11" t="s" s="0">
        <v>417</v>
      </c>
      <c r="K11" t="s" s="0">
        <v>418</v>
      </c>
      <c r="L11" t="s" s="0">
        <v>419</v>
      </c>
      <c r="M11" t="s" s="0">
        <v>420</v>
      </c>
      <c r="N11" t="s" s="0">
        <v>421</v>
      </c>
      <c r="O11" t="s" s="0">
        <v>422</v>
      </c>
      <c r="P11" t="s" s="0">
        <v>423</v>
      </c>
      <c r="Q11" t="s" s="0">
        <v>91</v>
      </c>
      <c r="R11" t="s" s="0">
        <v>82</v>
      </c>
      <c r="S11" t="s" s="0">
        <v>82</v>
      </c>
      <c r="T11" t="s" s="0">
        <v>82</v>
      </c>
      <c r="U11" t="s" s="0">
        <v>82</v>
      </c>
      <c r="V11" t="s" s="0">
        <v>424</v>
      </c>
      <c r="W11" t="s" s="0">
        <v>425</v>
      </c>
      <c r="X11" t="s" s="0">
        <v>82</v>
      </c>
      <c r="Y11" t="s" s="0">
        <v>82</v>
      </c>
      <c r="Z11" t="s" s="0">
        <v>94</v>
      </c>
      <c r="AA11" t="s" s="0">
        <v>95</v>
      </c>
      <c r="AB11" t="s" s="0">
        <v>82</v>
      </c>
      <c r="AC11" t="s" s="0">
        <v>82</v>
      </c>
      <c r="AD11" t="s" s="0">
        <v>82</v>
      </c>
      <c r="AE11" t="s" s="0">
        <v>82</v>
      </c>
      <c r="AF11" t="s" s="0">
        <v>82</v>
      </c>
      <c r="AG11" t="s" s="0">
        <v>426</v>
      </c>
      <c r="AH11" t="s" s="0">
        <v>427</v>
      </c>
      <c r="AI11" t="s" s="0">
        <v>428</v>
      </c>
      <c r="AJ11" t="s" s="0">
        <v>429</v>
      </c>
      <c r="AK11" t="s" s="0">
        <v>82</v>
      </c>
      <c r="AL11" t="s" s="0">
        <v>430</v>
      </c>
      <c r="AM11" t="s" s="0">
        <v>431</v>
      </c>
      <c r="AN11" t="s" s="0">
        <v>179</v>
      </c>
      <c r="AO11" t="s" s="0">
        <v>102</v>
      </c>
      <c r="AP11" t="s" s="0">
        <v>231</v>
      </c>
      <c r="AQ11" t="s" s="0">
        <v>432</v>
      </c>
      <c r="AR11" t="s" s="0">
        <v>433</v>
      </c>
      <c r="AS11" t="s" s="0">
        <v>434</v>
      </c>
      <c r="AT11" t="s" s="0">
        <v>435</v>
      </c>
      <c r="AU11" t="s" s="0">
        <v>436</v>
      </c>
      <c r="AV11" t="s" s="0">
        <v>82</v>
      </c>
      <c r="AW11" t="s" s="0">
        <v>437</v>
      </c>
      <c r="AX11" t="s" s="0">
        <v>438</v>
      </c>
      <c r="AY11" t="s" s="0">
        <v>118</v>
      </c>
      <c r="AZ11" t="s" s="0">
        <v>112</v>
      </c>
      <c r="BA11" t="s" s="0">
        <v>439</v>
      </c>
      <c r="BB11" t="s" s="0">
        <v>191</v>
      </c>
      <c r="BC11" t="s" s="0">
        <v>82</v>
      </c>
      <c r="BD11" t="s" s="0">
        <v>82</v>
      </c>
      <c r="BE11" t="s" s="0">
        <v>82</v>
      </c>
      <c r="BF11" t="s" s="0">
        <v>82</v>
      </c>
      <c r="BG11" t="s" s="0">
        <v>82</v>
      </c>
      <c r="BH11" t="s" s="0">
        <v>82</v>
      </c>
      <c r="BI11" t="s" s="0">
        <v>440</v>
      </c>
      <c r="BJ11" t="s" s="0">
        <v>441</v>
      </c>
      <c r="BK11" t="s" s="19">
        <f>HYPERLINK("http://dx.doi.org/10.1093/ejcts/ezaf142","http://dx.doi.org/10.1093/ejcts/ezaf142")</f>
        <v>442</v>
      </c>
      <c r="BL11" t="s" s="0">
        <v>82</v>
      </c>
      <c r="BM11" t="s" s="0">
        <v>82</v>
      </c>
      <c r="BN11" t="s" s="0">
        <v>101</v>
      </c>
      <c r="BO11" t="s" s="0">
        <v>443</v>
      </c>
      <c r="BP11" t="s" s="0">
        <v>444</v>
      </c>
      <c r="BQ11" t="s" s="0">
        <v>445</v>
      </c>
      <c r="BR11" t="s" s="0">
        <v>446</v>
      </c>
      <c r="BS11" t="s" s="0">
        <v>447</v>
      </c>
      <c r="BT11" t="s" s="20">
        <f>HYPERLINK("https://www.webofscience.com/wos/woscc/full-record/WOS:001495450500001","View Record in Web of Science")</f>
        <v>124</v>
      </c>
      <c r="BU11" t="s" s="0">
        <v>163</v>
      </c>
      <c r="BV11" t="s" s="0">
        <v>82</v>
      </c>
      <c r="BW11" t="s" s="0">
        <v>82</v>
      </c>
      <c r="BX11" t="s" s="0">
        <v>126</v>
      </c>
    </row>
    <row r="12">
      <c r="A12" t="s" s="0">
        <v>77</v>
      </c>
      <c r="B12" t="s" s="0">
        <v>77</v>
      </c>
      <c r="C12" t="s" s="0">
        <v>77</v>
      </c>
      <c r="D12" t="s" s="0">
        <v>77</v>
      </c>
      <c r="E12" t="s" s="0">
        <v>448</v>
      </c>
      <c r="F12" t="s" s="0">
        <v>449</v>
      </c>
      <c r="G12" t="s" s="0">
        <v>450</v>
      </c>
      <c r="H12" t="s" s="0">
        <v>82</v>
      </c>
      <c r="I12" t="s" s="0">
        <v>167</v>
      </c>
      <c r="J12" t="s" s="0">
        <v>451</v>
      </c>
      <c r="K12" t="s" s="0">
        <v>452</v>
      </c>
      <c r="L12" t="s" s="0">
        <v>453</v>
      </c>
      <c r="M12" t="s" s="0">
        <v>454</v>
      </c>
      <c r="N12" t="s" s="0">
        <v>455</v>
      </c>
      <c r="O12" t="s" s="0">
        <v>456</v>
      </c>
      <c r="P12" t="s" s="0">
        <v>457</v>
      </c>
      <c r="Q12" t="s" s="0">
        <v>91</v>
      </c>
      <c r="R12" t="s" s="0">
        <v>82</v>
      </c>
      <c r="S12" t="s" s="0">
        <v>82</v>
      </c>
      <c r="T12" t="s" s="0">
        <v>82</v>
      </c>
      <c r="U12" t="s" s="0">
        <v>82</v>
      </c>
      <c r="V12" t="s" s="0">
        <v>458</v>
      </c>
      <c r="W12" t="s" s="0">
        <v>459</v>
      </c>
      <c r="X12" t="s" s="0">
        <v>82</v>
      </c>
      <c r="Y12" t="s" s="0">
        <v>82</v>
      </c>
      <c r="Z12" t="s" s="0">
        <v>94</v>
      </c>
      <c r="AA12" t="s" s="0">
        <v>95</v>
      </c>
      <c r="AB12" t="s" s="0">
        <v>82</v>
      </c>
      <c r="AC12" t="s" s="0">
        <v>82</v>
      </c>
      <c r="AD12" t="s" s="0">
        <v>82</v>
      </c>
      <c r="AE12" t="s" s="0">
        <v>82</v>
      </c>
      <c r="AF12" t="s" s="0">
        <v>82</v>
      </c>
      <c r="AG12" t="s" s="0">
        <v>460</v>
      </c>
      <c r="AH12" t="s" s="0">
        <v>461</v>
      </c>
      <c r="AI12" t="s" s="0">
        <v>462</v>
      </c>
      <c r="AJ12" t="s" s="0">
        <v>82</v>
      </c>
      <c r="AK12" t="s" s="0">
        <v>82</v>
      </c>
      <c r="AL12" t="s" s="0">
        <v>463</v>
      </c>
      <c r="AM12" t="s" s="0">
        <v>77</v>
      </c>
      <c r="AN12" t="s" s="0">
        <v>77</v>
      </c>
      <c r="AO12" t="s" s="0">
        <v>78</v>
      </c>
      <c r="AP12" t="s" s="0">
        <v>78</v>
      </c>
      <c r="AQ12" t="s" s="0">
        <v>464</v>
      </c>
      <c r="AR12" t="s" s="0">
        <v>465</v>
      </c>
      <c r="AS12" t="s" s="0">
        <v>466</v>
      </c>
      <c r="AT12" t="s" s="0">
        <v>467</v>
      </c>
      <c r="AU12" t="s" s="0">
        <v>468</v>
      </c>
      <c r="AV12" t="s" s="0">
        <v>82</v>
      </c>
      <c r="AW12" t="s" s="0">
        <v>469</v>
      </c>
      <c r="AX12" t="s" s="0">
        <v>470</v>
      </c>
      <c r="AY12" t="s" s="0">
        <v>471</v>
      </c>
      <c r="AZ12" t="s" s="0">
        <v>150</v>
      </c>
      <c r="BA12" t="s" s="0">
        <v>472</v>
      </c>
      <c r="BB12" t="s" s="0">
        <v>82</v>
      </c>
      <c r="BC12" t="s" s="0">
        <v>82</v>
      </c>
      <c r="BD12" t="s" s="0">
        <v>82</v>
      </c>
      <c r="BE12" t="s" s="0">
        <v>82</v>
      </c>
      <c r="BF12" t="s" s="0">
        <v>82</v>
      </c>
      <c r="BG12" t="s" s="0">
        <v>82</v>
      </c>
      <c r="BH12" t="s" s="0">
        <v>82</v>
      </c>
      <c r="BI12" t="s" s="0">
        <v>473</v>
      </c>
      <c r="BJ12" t="s" s="0">
        <v>474</v>
      </c>
      <c r="BK12" t="s" s="21">
        <f>HYPERLINK("http://dx.doi.org/10.1017/S003329172610378X","http://dx.doi.org/10.1017/S003329172610378X")</f>
        <v>475</v>
      </c>
      <c r="BL12" t="s" s="0">
        <v>82</v>
      </c>
      <c r="BM12" t="s" s="0">
        <v>476</v>
      </c>
      <c r="BN12" t="s" s="0">
        <v>179</v>
      </c>
      <c r="BO12" t="s" s="0">
        <v>477</v>
      </c>
      <c r="BP12" t="s" s="0">
        <v>478</v>
      </c>
      <c r="BQ12" t="s" s="0">
        <v>479</v>
      </c>
      <c r="BR12" t="s" s="0">
        <v>480</v>
      </c>
      <c r="BS12" t="s" s="0">
        <v>481</v>
      </c>
      <c r="BT12" t="s" s="22">
        <f>HYPERLINK("https://www.webofscience.com/wos/woscc/full-record/WOS:001787215500001","View Record in Web of Science")</f>
        <v>124</v>
      </c>
      <c r="BU12" t="s" s="0">
        <v>163</v>
      </c>
      <c r="BV12" t="s" s="0">
        <v>82</v>
      </c>
      <c r="BW12" t="s" s="0">
        <v>82</v>
      </c>
      <c r="BX12" t="s" s="0">
        <v>126</v>
      </c>
    </row>
    <row r="13">
      <c r="A13" t="s" s="0">
        <v>77</v>
      </c>
      <c r="B13" t="s" s="0">
        <v>77</v>
      </c>
      <c r="C13" t="s" s="0">
        <v>77</v>
      </c>
      <c r="D13" t="s" s="0">
        <v>77</v>
      </c>
      <c r="E13" t="s" s="0">
        <v>482</v>
      </c>
      <c r="F13" t="s" s="0">
        <v>483</v>
      </c>
      <c r="G13" t="s" s="0">
        <v>484</v>
      </c>
      <c r="H13" t="s" s="0">
        <v>82</v>
      </c>
      <c r="I13" t="s" s="0">
        <v>130</v>
      </c>
      <c r="J13" t="s" s="0">
        <v>485</v>
      </c>
      <c r="K13" t="s" s="0">
        <v>486</v>
      </c>
      <c r="L13" t="s" s="0">
        <v>82</v>
      </c>
      <c r="M13" t="s" s="0">
        <v>82</v>
      </c>
      <c r="N13" t="s" s="0">
        <v>82</v>
      </c>
      <c r="O13" t="s" s="0">
        <v>487</v>
      </c>
      <c r="P13" t="s" s="0">
        <v>488</v>
      </c>
      <c r="Q13" t="s" s="0">
        <v>91</v>
      </c>
      <c r="R13" t="s" s="0">
        <v>82</v>
      </c>
      <c r="S13" t="s" s="0">
        <v>82</v>
      </c>
      <c r="T13" t="s" s="0">
        <v>82</v>
      </c>
      <c r="U13" t="s" s="0">
        <v>82</v>
      </c>
      <c r="V13" t="s" s="0">
        <v>489</v>
      </c>
      <c r="W13" t="s" s="0">
        <v>490</v>
      </c>
      <c r="X13" t="s" s="0">
        <v>82</v>
      </c>
      <c r="Y13" t="s" s="0">
        <v>82</v>
      </c>
      <c r="Z13" t="s" s="0">
        <v>94</v>
      </c>
      <c r="AA13" t="s" s="0">
        <v>95</v>
      </c>
      <c r="AB13" t="s" s="0">
        <v>82</v>
      </c>
      <c r="AC13" t="s" s="0">
        <v>82</v>
      </c>
      <c r="AD13" t="s" s="0">
        <v>82</v>
      </c>
      <c r="AE13" t="s" s="0">
        <v>82</v>
      </c>
      <c r="AF13" t="s" s="0">
        <v>82</v>
      </c>
      <c r="AG13" t="s" s="0">
        <v>491</v>
      </c>
      <c r="AH13" t="s" s="0">
        <v>492</v>
      </c>
      <c r="AI13" t="s" s="0">
        <v>493</v>
      </c>
      <c r="AJ13" t="s" s="0">
        <v>82</v>
      </c>
      <c r="AK13" t="s" s="0">
        <v>82</v>
      </c>
      <c r="AL13" t="s" s="0">
        <v>494</v>
      </c>
      <c r="AM13" t="s" s="0">
        <v>77</v>
      </c>
      <c r="AN13" t="s" s="0">
        <v>77</v>
      </c>
      <c r="AO13" t="s" s="0">
        <v>78</v>
      </c>
      <c r="AP13" t="s" s="0">
        <v>78</v>
      </c>
      <c r="AQ13" t="s" s="0">
        <v>495</v>
      </c>
      <c r="AR13" t="s" s="0">
        <v>496</v>
      </c>
      <c r="AS13" t="s" s="0">
        <v>497</v>
      </c>
      <c r="AT13" t="s" s="0">
        <v>82</v>
      </c>
      <c r="AU13" t="s" s="0">
        <v>498</v>
      </c>
      <c r="AV13" t="s" s="0">
        <v>82</v>
      </c>
      <c r="AW13" t="s" s="0">
        <v>499</v>
      </c>
      <c r="AX13" t="s" s="0">
        <v>500</v>
      </c>
      <c r="AY13" t="s" s="0">
        <v>501</v>
      </c>
      <c r="AZ13" t="s" s="0">
        <v>150</v>
      </c>
      <c r="BA13" t="s" s="0">
        <v>291</v>
      </c>
      <c r="BB13" t="s" s="0">
        <v>78</v>
      </c>
      <c r="BC13" t="s" s="0">
        <v>82</v>
      </c>
      <c r="BD13" t="s" s="0">
        <v>82</v>
      </c>
      <c r="BE13" t="s" s="0">
        <v>82</v>
      </c>
      <c r="BF13" t="s" s="0">
        <v>82</v>
      </c>
      <c r="BG13" t="s" s="0">
        <v>82</v>
      </c>
      <c r="BH13" t="s" s="0">
        <v>82</v>
      </c>
      <c r="BI13" t="s" s="0">
        <v>114</v>
      </c>
      <c r="BJ13" t="s" s="0">
        <v>502</v>
      </c>
      <c r="BK13" t="s" s="23">
        <f>HYPERLINK("http://dx.doi.org/10.3390/immuno6010019","http://dx.doi.org/10.3390/immuno6010019")</f>
        <v>503</v>
      </c>
      <c r="BL13" t="s" s="0">
        <v>82</v>
      </c>
      <c r="BM13" t="s" s="0">
        <v>82</v>
      </c>
      <c r="BN13" t="s" s="0">
        <v>231</v>
      </c>
      <c r="BO13" t="s" s="0">
        <v>504</v>
      </c>
      <c r="BP13" t="s" s="0">
        <v>504</v>
      </c>
      <c r="BQ13" t="s" s="0">
        <v>505</v>
      </c>
      <c r="BR13" t="s" s="0">
        <v>82</v>
      </c>
      <c r="BS13" t="s" s="0">
        <v>506</v>
      </c>
      <c r="BT13" t="s" s="24">
        <f>HYPERLINK("https://www.webofscience.com/wos/woscc/full-record/WOS:001725547700001","View Record in Web of Science")</f>
        <v>124</v>
      </c>
      <c r="BU13" t="s" s="0">
        <v>236</v>
      </c>
      <c r="BV13" t="s" s="0">
        <v>82</v>
      </c>
      <c r="BW13" t="s" s="0">
        <v>82</v>
      </c>
      <c r="BX13" t="s" s="0">
        <v>126</v>
      </c>
    </row>
    <row r="14">
      <c r="A14" t="s" s="0">
        <v>77</v>
      </c>
      <c r="B14" t="s" s="0">
        <v>77</v>
      </c>
      <c r="C14" t="s" s="0">
        <v>78</v>
      </c>
      <c r="D14" t="s" s="0">
        <v>77</v>
      </c>
      <c r="E14" t="s" s="0">
        <v>507</v>
      </c>
      <c r="F14" t="s" s="0">
        <v>508</v>
      </c>
      <c r="G14" t="s" s="0">
        <v>509</v>
      </c>
      <c r="H14" t="s" s="0">
        <v>82</v>
      </c>
      <c r="I14" t="s" s="0">
        <v>167</v>
      </c>
      <c r="J14" t="s" s="0">
        <v>510</v>
      </c>
      <c r="K14" t="s" s="0">
        <v>511</v>
      </c>
      <c r="L14" t="s" s="0">
        <v>82</v>
      </c>
      <c r="M14" t="s" s="0">
        <v>82</v>
      </c>
      <c r="N14" t="s" s="0">
        <v>82</v>
      </c>
      <c r="O14" t="s" s="0">
        <v>512</v>
      </c>
      <c r="P14" t="s" s="0">
        <v>513</v>
      </c>
      <c r="Q14" t="s" s="0">
        <v>91</v>
      </c>
      <c r="R14" t="s" s="0">
        <v>82</v>
      </c>
      <c r="S14" t="s" s="0">
        <v>82</v>
      </c>
      <c r="T14" t="s" s="0">
        <v>82</v>
      </c>
      <c r="U14" t="s" s="0">
        <v>82</v>
      </c>
      <c r="V14" t="s" s="0">
        <v>514</v>
      </c>
      <c r="W14" t="s" s="0">
        <v>515</v>
      </c>
      <c r="X14" t="s" s="0">
        <v>82</v>
      </c>
      <c r="Y14" t="s" s="0">
        <v>82</v>
      </c>
      <c r="Z14" t="s" s="0">
        <v>94</v>
      </c>
      <c r="AA14" t="s" s="0">
        <v>95</v>
      </c>
      <c r="AB14" t="s" s="0">
        <v>82</v>
      </c>
      <c r="AC14" t="s" s="0">
        <v>82</v>
      </c>
      <c r="AD14" t="s" s="0">
        <v>82</v>
      </c>
      <c r="AE14" t="s" s="0">
        <v>82</v>
      </c>
      <c r="AF14" t="s" s="0">
        <v>82</v>
      </c>
      <c r="AG14" t="s" s="0">
        <v>516</v>
      </c>
      <c r="AH14" t="s" s="0">
        <v>517</v>
      </c>
      <c r="AI14" t="s" s="0">
        <v>518</v>
      </c>
      <c r="AJ14" t="s" s="0">
        <v>519</v>
      </c>
      <c r="AK14" t="s" s="0">
        <v>82</v>
      </c>
      <c r="AL14" t="s" s="0">
        <v>520</v>
      </c>
      <c r="AM14" t="s" s="0">
        <v>372</v>
      </c>
      <c r="AN14" t="s" s="0">
        <v>372</v>
      </c>
      <c r="AO14" t="s" s="0">
        <v>78</v>
      </c>
      <c r="AP14" t="s" s="0">
        <v>291</v>
      </c>
      <c r="AQ14" t="s" s="0">
        <v>464</v>
      </c>
      <c r="AR14" t="s" s="0">
        <v>465</v>
      </c>
      <c r="AS14" t="s" s="0">
        <v>466</v>
      </c>
      <c r="AT14" t="s" s="0">
        <v>521</v>
      </c>
      <c r="AU14" t="s" s="0">
        <v>82</v>
      </c>
      <c r="AV14" t="s" s="0">
        <v>82</v>
      </c>
      <c r="AW14" t="s" s="0">
        <v>515</v>
      </c>
      <c r="AX14" t="s" s="0">
        <v>522</v>
      </c>
      <c r="AY14" t="s" s="0">
        <v>523</v>
      </c>
      <c r="AZ14" t="s" s="0">
        <v>226</v>
      </c>
      <c r="BA14" t="s" s="0">
        <v>524</v>
      </c>
      <c r="BB14" t="s" s="0">
        <v>291</v>
      </c>
      <c r="BC14" t="s" s="0">
        <v>82</v>
      </c>
      <c r="BD14" t="s" s="0">
        <v>82</v>
      </c>
      <c r="BE14" t="s" s="0">
        <v>82</v>
      </c>
      <c r="BF14" t="s" s="0">
        <v>82</v>
      </c>
      <c r="BG14" t="s" s="0">
        <v>82</v>
      </c>
      <c r="BH14" t="s" s="0">
        <v>82</v>
      </c>
      <c r="BI14" t="s" s="0">
        <v>525</v>
      </c>
      <c r="BJ14" t="s" s="0">
        <v>526</v>
      </c>
      <c r="BK14" t="s" s="25">
        <f>HYPERLINK("http://dx.doi.org/10.1192/bjo.2024.789","http://dx.doi.org/10.1192/bjo.2024.789")</f>
        <v>527</v>
      </c>
      <c r="BL14" t="s" s="0">
        <v>82</v>
      </c>
      <c r="BM14" t="s" s="0">
        <v>82</v>
      </c>
      <c r="BN14" t="s" s="0">
        <v>300</v>
      </c>
      <c r="BO14" t="s" s="0">
        <v>528</v>
      </c>
      <c r="BP14" t="s" s="0">
        <v>528</v>
      </c>
      <c r="BQ14" t="s" s="0">
        <v>529</v>
      </c>
      <c r="BR14" t="s" s="0">
        <v>530</v>
      </c>
      <c r="BS14" t="s" s="0">
        <v>531</v>
      </c>
      <c r="BT14" t="s" s="26">
        <f>HYPERLINK("https://www.webofscience.com/wos/woscc/full-record/WOS:001370413500001","View Record in Web of Science")</f>
        <v>124</v>
      </c>
      <c r="BU14" t="s" s="0">
        <v>532</v>
      </c>
      <c r="BV14" t="s" s="0">
        <v>82</v>
      </c>
      <c r="BW14" t="s" s="0">
        <v>82</v>
      </c>
      <c r="BX14" t="s" s="0">
        <v>126</v>
      </c>
    </row>
    <row r="15">
      <c r="A15" t="s" s="0">
        <v>77</v>
      </c>
      <c r="B15" t="s" s="0">
        <v>77</v>
      </c>
      <c r="C15" t="s" s="0">
        <v>77</v>
      </c>
      <c r="D15" t="s" s="0">
        <v>77</v>
      </c>
      <c r="E15" t="s" s="0">
        <v>533</v>
      </c>
      <c r="F15" t="s" s="0">
        <v>534</v>
      </c>
      <c r="G15" t="s" s="0">
        <v>535</v>
      </c>
      <c r="H15" t="s" s="0">
        <v>82</v>
      </c>
      <c r="I15" t="s" s="0">
        <v>83</v>
      </c>
      <c r="J15" t="s" s="0">
        <v>536</v>
      </c>
      <c r="K15" t="s" s="0">
        <v>537</v>
      </c>
      <c r="L15" t="s" s="0">
        <v>82</v>
      </c>
      <c r="M15" t="s" s="0">
        <v>82</v>
      </c>
      <c r="N15" t="s" s="0">
        <v>538</v>
      </c>
      <c r="O15" t="s" s="0">
        <v>539</v>
      </c>
      <c r="P15" t="s" s="0">
        <v>540</v>
      </c>
      <c r="Q15" t="s" s="0">
        <v>91</v>
      </c>
      <c r="R15" t="s" s="0">
        <v>82</v>
      </c>
      <c r="S15" t="s" s="0">
        <v>82</v>
      </c>
      <c r="T15" t="s" s="0">
        <v>82</v>
      </c>
      <c r="U15" t="s" s="0">
        <v>82</v>
      </c>
      <c r="V15" t="s" s="0">
        <v>541</v>
      </c>
      <c r="W15" t="s" s="0">
        <v>542</v>
      </c>
      <c r="X15" t="s" s="0">
        <v>82</v>
      </c>
      <c r="Y15" t="s" s="0">
        <v>82</v>
      </c>
      <c r="Z15" t="s" s="0">
        <v>94</v>
      </c>
      <c r="AA15" t="s" s="0">
        <v>95</v>
      </c>
      <c r="AB15" t="s" s="0">
        <v>82</v>
      </c>
      <c r="AC15" t="s" s="0">
        <v>82</v>
      </c>
      <c r="AD15" t="s" s="0">
        <v>82</v>
      </c>
      <c r="AE15" t="s" s="0">
        <v>82</v>
      </c>
      <c r="AF15" t="s" s="0">
        <v>82</v>
      </c>
      <c r="AG15" t="s" s="0">
        <v>543</v>
      </c>
      <c r="AH15" t="s" s="0">
        <v>544</v>
      </c>
      <c r="AI15" t="s" s="0">
        <v>545</v>
      </c>
      <c r="AJ15" t="s" s="0">
        <v>82</v>
      </c>
      <c r="AK15" t="s" s="0">
        <v>82</v>
      </c>
      <c r="AL15" t="s" s="0">
        <v>546</v>
      </c>
      <c r="AM15" t="s" s="0">
        <v>77</v>
      </c>
      <c r="AN15" t="s" s="0">
        <v>77</v>
      </c>
      <c r="AO15" t="s" s="0">
        <v>372</v>
      </c>
      <c r="AP15" t="s" s="0">
        <v>372</v>
      </c>
      <c r="AQ15" t="s" s="0">
        <v>547</v>
      </c>
      <c r="AR15" t="s" s="0">
        <v>548</v>
      </c>
      <c r="AS15" t="s" s="0">
        <v>549</v>
      </c>
      <c r="AT15" t="s" s="0">
        <v>550</v>
      </c>
      <c r="AU15" t="s" s="0">
        <v>82</v>
      </c>
      <c r="AV15" t="s" s="0">
        <v>82</v>
      </c>
      <c r="AW15" t="s" s="0">
        <v>551</v>
      </c>
      <c r="AX15" t="s" s="0">
        <v>552</v>
      </c>
      <c r="AY15" t="s" s="0">
        <v>553</v>
      </c>
      <c r="AZ15" t="s" s="0">
        <v>150</v>
      </c>
      <c r="BA15" t="s" s="0">
        <v>431</v>
      </c>
      <c r="BB15" t="s" s="0">
        <v>82</v>
      </c>
      <c r="BC15" t="s" s="0">
        <v>82</v>
      </c>
      <c r="BD15" t="s" s="0">
        <v>82</v>
      </c>
      <c r="BE15" t="s" s="0">
        <v>82</v>
      </c>
      <c r="BF15" t="s" s="0">
        <v>82</v>
      </c>
      <c r="BG15" t="s" s="0">
        <v>82</v>
      </c>
      <c r="BH15" t="s" s="0">
        <v>82</v>
      </c>
      <c r="BI15" t="s" s="0">
        <v>554</v>
      </c>
      <c r="BJ15" t="s" s="0">
        <v>555</v>
      </c>
      <c r="BK15" t="s" s="27">
        <f>HYPERLINK("http://dx.doi.org/10.3389/fonc.2026.1786176","http://dx.doi.org/10.3389/fonc.2026.1786176")</f>
        <v>556</v>
      </c>
      <c r="BL15" t="s" s="0">
        <v>82</v>
      </c>
      <c r="BM15" t="s" s="0">
        <v>408</v>
      </c>
      <c r="BN15" t="s" s="0">
        <v>431</v>
      </c>
      <c r="BO15" t="s" s="0">
        <v>557</v>
      </c>
      <c r="BP15" t="s" s="0">
        <v>557</v>
      </c>
      <c r="BQ15" t="s" s="0">
        <v>558</v>
      </c>
      <c r="BR15" t="s" s="0">
        <v>559</v>
      </c>
      <c r="BS15" t="s" s="0">
        <v>560</v>
      </c>
      <c r="BT15" t="s" s="28">
        <f>HYPERLINK("https://www.webofscience.com/wos/woscc/full-record/WOS:001740298500001","View Record in Web of Science")</f>
        <v>124</v>
      </c>
      <c r="BU15" t="s" s="0">
        <v>236</v>
      </c>
      <c r="BV15" t="s" s="0">
        <v>82</v>
      </c>
      <c r="BW15" t="s" s="0">
        <v>82</v>
      </c>
      <c r="BX15" t="s" s="0">
        <v>126</v>
      </c>
    </row>
    <row r="16">
      <c r="A16" t="s" s="0">
        <v>77</v>
      </c>
      <c r="B16" t="s" s="0">
        <v>77</v>
      </c>
      <c r="C16" t="s" s="0">
        <v>103</v>
      </c>
      <c r="D16" t="s" s="0">
        <v>77</v>
      </c>
      <c r="E16" t="s" s="0">
        <v>561</v>
      </c>
      <c r="F16" t="s" s="0">
        <v>562</v>
      </c>
      <c r="G16" t="s" s="0">
        <v>563</v>
      </c>
      <c r="H16" t="s" s="0">
        <v>82</v>
      </c>
      <c r="I16" t="s" s="0">
        <v>83</v>
      </c>
      <c r="J16" t="s" s="0">
        <v>564</v>
      </c>
      <c r="K16" t="s" s="0">
        <v>565</v>
      </c>
      <c r="L16" t="s" s="0">
        <v>566</v>
      </c>
      <c r="M16" t="s" s="0">
        <v>567</v>
      </c>
      <c r="N16" t="s" s="0">
        <v>568</v>
      </c>
      <c r="O16" t="s" s="0">
        <v>569</v>
      </c>
      <c r="P16" t="s" s="0">
        <v>570</v>
      </c>
      <c r="Q16" t="s" s="0">
        <v>91</v>
      </c>
      <c r="R16" t="s" s="0">
        <v>82</v>
      </c>
      <c r="S16" t="s" s="0">
        <v>82</v>
      </c>
      <c r="T16" t="s" s="0">
        <v>82</v>
      </c>
      <c r="U16" t="s" s="0">
        <v>82</v>
      </c>
      <c r="V16" t="s" s="0">
        <v>571</v>
      </c>
      <c r="W16" t="s" s="0">
        <v>572</v>
      </c>
      <c r="X16" t="s" s="0">
        <v>82</v>
      </c>
      <c r="Y16" t="s" s="0">
        <v>82</v>
      </c>
      <c r="Z16" t="s" s="0">
        <v>94</v>
      </c>
      <c r="AA16" t="s" s="0">
        <v>95</v>
      </c>
      <c r="AB16" t="s" s="0">
        <v>82</v>
      </c>
      <c r="AC16" t="s" s="0">
        <v>82</v>
      </c>
      <c r="AD16" t="s" s="0">
        <v>82</v>
      </c>
      <c r="AE16" t="s" s="0">
        <v>82</v>
      </c>
      <c r="AF16" t="s" s="0">
        <v>82</v>
      </c>
      <c r="AG16" t="s" s="0">
        <v>573</v>
      </c>
      <c r="AH16" t="s" s="0">
        <v>574</v>
      </c>
      <c r="AI16" t="s" s="0">
        <v>575</v>
      </c>
      <c r="AJ16" t="s" s="0">
        <v>576</v>
      </c>
      <c r="AK16" t="s" s="0">
        <v>82</v>
      </c>
      <c r="AL16" t="s" s="0">
        <v>180</v>
      </c>
      <c r="AM16" t="s" s="0">
        <v>377</v>
      </c>
      <c r="AN16" t="s" s="0">
        <v>231</v>
      </c>
      <c r="AO16" t="s" s="0">
        <v>103</v>
      </c>
      <c r="AP16" t="s" s="0">
        <v>119</v>
      </c>
      <c r="AQ16" t="s" s="0">
        <v>219</v>
      </c>
      <c r="AR16" t="s" s="0">
        <v>220</v>
      </c>
      <c r="AS16" t="s" s="0">
        <v>221</v>
      </c>
      <c r="AT16" t="s" s="0">
        <v>82</v>
      </c>
      <c r="AU16" t="s" s="0">
        <v>577</v>
      </c>
      <c r="AV16" t="s" s="0">
        <v>82</v>
      </c>
      <c r="AW16" t="s" s="0">
        <v>578</v>
      </c>
      <c r="AX16" t="s" s="0">
        <v>579</v>
      </c>
      <c r="AY16" t="s" s="0">
        <v>580</v>
      </c>
      <c r="AZ16" t="s" s="0">
        <v>226</v>
      </c>
      <c r="BA16" t="s" s="0">
        <v>300</v>
      </c>
      <c r="BB16" t="s" s="0">
        <v>78</v>
      </c>
      <c r="BC16" t="s" s="0">
        <v>82</v>
      </c>
      <c r="BD16" t="s" s="0">
        <v>82</v>
      </c>
      <c r="BE16" t="s" s="0">
        <v>82</v>
      </c>
      <c r="BF16" t="s" s="0">
        <v>82</v>
      </c>
      <c r="BG16" t="s" s="0">
        <v>82</v>
      </c>
      <c r="BH16" t="s" s="0">
        <v>82</v>
      </c>
      <c r="BI16" t="s" s="0">
        <v>581</v>
      </c>
      <c r="BJ16" t="s" s="0">
        <v>582</v>
      </c>
      <c r="BK16" t="s" s="29">
        <f>HYPERLINK("http://dx.doi.org/10.1186/s13643-024-02449-9","http://dx.doi.org/10.1186/s13643-024-02449-9")</f>
        <v>583</v>
      </c>
      <c r="BL16" t="s" s="0">
        <v>82</v>
      </c>
      <c r="BM16" t="s" s="0">
        <v>82</v>
      </c>
      <c r="BN16" t="s" s="0">
        <v>231</v>
      </c>
      <c r="BO16" t="s" s="0">
        <v>584</v>
      </c>
      <c r="BP16" t="s" s="0">
        <v>585</v>
      </c>
      <c r="BQ16" t="s" s="0">
        <v>586</v>
      </c>
      <c r="BR16" t="s" s="0">
        <v>587</v>
      </c>
      <c r="BS16" t="s" s="0">
        <v>588</v>
      </c>
      <c r="BT16" t="s" s="30">
        <f>HYPERLINK("https://www.webofscience.com/wos/woscc/full-record/WOS:001148296800001","View Record in Web of Science")</f>
        <v>124</v>
      </c>
      <c r="BU16" t="s" s="0">
        <v>236</v>
      </c>
      <c r="BV16" t="s" s="0">
        <v>82</v>
      </c>
      <c r="BW16" t="s" s="0">
        <v>82</v>
      </c>
      <c r="BX16" t="s" s="0">
        <v>126</v>
      </c>
    </row>
    <row r="17">
      <c r="A17" t="s" s="0">
        <v>77</v>
      </c>
      <c r="B17" t="s" s="0">
        <v>77</v>
      </c>
      <c r="C17" t="s" s="0">
        <v>103</v>
      </c>
      <c r="D17" t="s" s="0">
        <v>77</v>
      </c>
      <c r="E17" t="s" s="0">
        <v>589</v>
      </c>
      <c r="F17" t="s" s="0">
        <v>590</v>
      </c>
      <c r="G17" t="s" s="0">
        <v>591</v>
      </c>
      <c r="H17" t="s" s="0">
        <v>82</v>
      </c>
      <c r="I17" t="s" s="0">
        <v>83</v>
      </c>
      <c r="J17" t="s" s="0">
        <v>592</v>
      </c>
      <c r="K17" t="s" s="0">
        <v>593</v>
      </c>
      <c r="L17" t="s" s="0">
        <v>594</v>
      </c>
      <c r="M17" t="s" s="0">
        <v>595</v>
      </c>
      <c r="N17" t="s" s="0">
        <v>596</v>
      </c>
      <c r="O17" t="s" s="0">
        <v>597</v>
      </c>
      <c r="P17" t="s" s="0">
        <v>598</v>
      </c>
      <c r="Q17" t="s" s="0">
        <v>91</v>
      </c>
      <c r="R17" t="s" s="0">
        <v>82</v>
      </c>
      <c r="S17" t="s" s="0">
        <v>82</v>
      </c>
      <c r="T17" t="s" s="0">
        <v>82</v>
      </c>
      <c r="U17" t="s" s="0">
        <v>82</v>
      </c>
      <c r="V17" t="s" s="0">
        <v>599</v>
      </c>
      <c r="W17" t="s" s="0">
        <v>600</v>
      </c>
      <c r="X17" t="s" s="0">
        <v>82</v>
      </c>
      <c r="Y17" t="s" s="0">
        <v>82</v>
      </c>
      <c r="Z17" t="s" s="0">
        <v>94</v>
      </c>
      <c r="AA17" t="s" s="0">
        <v>95</v>
      </c>
      <c r="AB17" t="s" s="0">
        <v>82</v>
      </c>
      <c r="AC17" t="s" s="0">
        <v>82</v>
      </c>
      <c r="AD17" t="s" s="0">
        <v>82</v>
      </c>
      <c r="AE17" t="s" s="0">
        <v>82</v>
      </c>
      <c r="AF17" t="s" s="0">
        <v>82</v>
      </c>
      <c r="AG17" t="s" s="0">
        <v>601</v>
      </c>
      <c r="AH17" t="s" s="0">
        <v>602</v>
      </c>
      <c r="AI17" t="s" s="0">
        <v>603</v>
      </c>
      <c r="AJ17" t="s" s="0">
        <v>604</v>
      </c>
      <c r="AK17" t="s" s="0">
        <v>82</v>
      </c>
      <c r="AL17" t="s" s="0">
        <v>141</v>
      </c>
      <c r="AM17" t="s" s="0">
        <v>431</v>
      </c>
      <c r="AN17" t="s" s="0">
        <v>151</v>
      </c>
      <c r="AO17" t="s" s="0">
        <v>77</v>
      </c>
      <c r="AP17" t="s" s="0">
        <v>291</v>
      </c>
      <c r="AQ17" t="s" s="0">
        <v>547</v>
      </c>
      <c r="AR17" t="s" s="0">
        <v>548</v>
      </c>
      <c r="AS17" t="s" s="0">
        <v>549</v>
      </c>
      <c r="AT17" t="s" s="0">
        <v>605</v>
      </c>
      <c r="AU17" t="s" s="0">
        <v>606</v>
      </c>
      <c r="AV17" t="s" s="0">
        <v>82</v>
      </c>
      <c r="AW17" t="s" s="0">
        <v>607</v>
      </c>
      <c r="AX17" t="s" s="0">
        <v>608</v>
      </c>
      <c r="AY17" t="s" s="0">
        <v>609</v>
      </c>
      <c r="AZ17" t="s" s="0">
        <v>189</v>
      </c>
      <c r="BA17" t="s" s="0">
        <v>610</v>
      </c>
      <c r="BB17" t="s" s="0">
        <v>82</v>
      </c>
      <c r="BC17" t="s" s="0">
        <v>82</v>
      </c>
      <c r="BD17" t="s" s="0">
        <v>82</v>
      </c>
      <c r="BE17" t="s" s="0">
        <v>82</v>
      </c>
      <c r="BF17" t="s" s="0">
        <v>82</v>
      </c>
      <c r="BG17" t="s" s="0">
        <v>82</v>
      </c>
      <c r="BH17" t="s" s="0">
        <v>82</v>
      </c>
      <c r="BI17" t="s" s="0">
        <v>611</v>
      </c>
      <c r="BJ17" t="s" s="0">
        <v>612</v>
      </c>
      <c r="BK17" t="s" s="31">
        <f>HYPERLINK("http://dx.doi.org/10.3389/ti.2022.10397","http://dx.doi.org/10.3389/ti.2022.10397")</f>
        <v>613</v>
      </c>
      <c r="BL17" t="s" s="0">
        <v>82</v>
      </c>
      <c r="BM17" t="s" s="0">
        <v>82</v>
      </c>
      <c r="BN17" t="s" s="0">
        <v>300</v>
      </c>
      <c r="BO17" t="s" s="0">
        <v>614</v>
      </c>
      <c r="BP17" t="s" s="0">
        <v>614</v>
      </c>
      <c r="BQ17" t="s" s="0">
        <v>615</v>
      </c>
      <c r="BR17" t="s" s="0">
        <v>616</v>
      </c>
      <c r="BS17" t="s" s="0">
        <v>617</v>
      </c>
      <c r="BT17" t="s" s="32">
        <f>HYPERLINK("https://www.webofscience.com/wos/woscc/full-record/WOS:000886070100001","View Record in Web of Science")</f>
        <v>124</v>
      </c>
      <c r="BU17" t="s" s="0">
        <v>532</v>
      </c>
      <c r="BV17" t="s" s="0">
        <v>82</v>
      </c>
      <c r="BW17" t="s" s="0">
        <v>82</v>
      </c>
      <c r="BX17" t="s" s="0">
        <v>126</v>
      </c>
    </row>
    <row r="18">
      <c r="A18" t="s" s="0">
        <v>103</v>
      </c>
      <c r="B18" t="s" s="0">
        <v>77</v>
      </c>
      <c r="C18" t="s" s="0">
        <v>152</v>
      </c>
      <c r="D18" t="s" s="0">
        <v>77</v>
      </c>
      <c r="E18" t="s" s="0">
        <v>618</v>
      </c>
      <c r="F18" t="s" s="0">
        <v>619</v>
      </c>
      <c r="G18" t="s" s="0">
        <v>620</v>
      </c>
      <c r="H18" t="s" s="0">
        <v>82</v>
      </c>
      <c r="I18" t="s" s="0">
        <v>83</v>
      </c>
      <c r="J18" t="s" s="0">
        <v>621</v>
      </c>
      <c r="K18" t="s" s="0">
        <v>82</v>
      </c>
      <c r="L18" t="s" s="0">
        <v>622</v>
      </c>
      <c r="M18" t="s" s="0">
        <v>623</v>
      </c>
      <c r="N18" t="s" s="0">
        <v>624</v>
      </c>
      <c r="O18" t="s" s="0">
        <v>625</v>
      </c>
      <c r="P18" t="s" s="0">
        <v>626</v>
      </c>
      <c r="Q18" t="s" s="0">
        <v>91</v>
      </c>
      <c r="R18" t="s" s="0">
        <v>82</v>
      </c>
      <c r="S18" t="s" s="0">
        <v>82</v>
      </c>
      <c r="T18" t="s" s="0">
        <v>82</v>
      </c>
      <c r="U18" t="s" s="0">
        <v>82</v>
      </c>
      <c r="V18" t="s" s="0">
        <v>627</v>
      </c>
      <c r="W18" t="s" s="0">
        <v>628</v>
      </c>
      <c r="X18" t="s" s="0">
        <v>82</v>
      </c>
      <c r="Y18" t="s" s="0">
        <v>82</v>
      </c>
      <c r="Z18" t="s" s="0">
        <v>94</v>
      </c>
      <c r="AA18" t="s" s="0">
        <v>95</v>
      </c>
      <c r="AB18" t="s" s="0">
        <v>82</v>
      </c>
      <c r="AC18" t="s" s="0">
        <v>82</v>
      </c>
      <c r="AD18" t="s" s="0">
        <v>82</v>
      </c>
      <c r="AE18" t="s" s="0">
        <v>82</v>
      </c>
      <c r="AF18" t="s" s="0">
        <v>82</v>
      </c>
      <c r="AG18" t="s" s="0">
        <v>82</v>
      </c>
      <c r="AH18" t="s" s="0">
        <v>629</v>
      </c>
      <c r="AI18" t="s" s="0">
        <v>630</v>
      </c>
      <c r="AJ18" t="s" s="0">
        <v>631</v>
      </c>
      <c r="AK18" t="s" s="0">
        <v>82</v>
      </c>
      <c r="AL18" t="s" s="0">
        <v>632</v>
      </c>
      <c r="AM18" t="s" s="0">
        <v>342</v>
      </c>
      <c r="AN18" t="s" s="0">
        <v>633</v>
      </c>
      <c r="AO18" t="s" s="0">
        <v>77</v>
      </c>
      <c r="AP18" t="s" s="0">
        <v>634</v>
      </c>
      <c r="AQ18" t="s" s="0">
        <v>635</v>
      </c>
      <c r="AR18" t="s" s="0">
        <v>636</v>
      </c>
      <c r="AS18" t="s" s="0">
        <v>637</v>
      </c>
      <c r="AT18" t="s" s="0">
        <v>638</v>
      </c>
      <c r="AU18" t="s" s="0">
        <v>639</v>
      </c>
      <c r="AV18" t="s" s="0">
        <v>82</v>
      </c>
      <c r="AW18" t="s" s="0">
        <v>640</v>
      </c>
      <c r="AX18" t="s" s="0">
        <v>641</v>
      </c>
      <c r="AY18" t="s" s="0">
        <v>642</v>
      </c>
      <c r="AZ18" t="s" s="0">
        <v>643</v>
      </c>
      <c r="BA18" t="s" s="0">
        <v>253</v>
      </c>
      <c r="BB18" t="s" s="0">
        <v>644</v>
      </c>
      <c r="BC18" t="s" s="0">
        <v>82</v>
      </c>
      <c r="BD18" t="s" s="0">
        <v>82</v>
      </c>
      <c r="BE18" t="s" s="0">
        <v>82</v>
      </c>
      <c r="BF18" t="s" s="0">
        <v>82</v>
      </c>
      <c r="BG18" t="s" s="0">
        <v>78</v>
      </c>
      <c r="BH18" t="s" s="0">
        <v>645</v>
      </c>
      <c r="BI18" t="s" s="0">
        <v>82</v>
      </c>
      <c r="BJ18" t="s" s="0">
        <v>646</v>
      </c>
      <c r="BK18" t="s" s="33">
        <f>HYPERLINK("http://dx.doi.org/10.3310/hta22660","http://dx.doi.org/10.3310/hta22660")</f>
        <v>647</v>
      </c>
      <c r="BL18" t="s" s="0">
        <v>82</v>
      </c>
      <c r="BM18" t="s" s="0">
        <v>82</v>
      </c>
      <c r="BN18" t="s" s="0">
        <v>648</v>
      </c>
      <c r="BO18" t="s" s="0">
        <v>649</v>
      </c>
      <c r="BP18" t="s" s="0">
        <v>649</v>
      </c>
      <c r="BQ18" t="s" s="0">
        <v>650</v>
      </c>
      <c r="BR18" t="s" s="0">
        <v>651</v>
      </c>
      <c r="BS18" t="s" s="0">
        <v>652</v>
      </c>
      <c r="BT18" t="s" s="34">
        <f>HYPERLINK("https://www.webofscience.com/wos/woscc/full-record/WOS:000452132100001","View Record in Web of Science")</f>
        <v>124</v>
      </c>
      <c r="BU18" t="s" s="0">
        <v>236</v>
      </c>
      <c r="BV18" t="s" s="0">
        <v>82</v>
      </c>
      <c r="BW18" t="s" s="0">
        <v>82</v>
      </c>
      <c r="BX18" t="s" s="0">
        <v>126</v>
      </c>
    </row>
    <row r="19">
      <c r="A19" t="s" s="0">
        <v>77</v>
      </c>
      <c r="B19" t="s" s="0">
        <v>77</v>
      </c>
      <c r="C19" t="s" s="0">
        <v>103</v>
      </c>
      <c r="D19" t="s" s="0">
        <v>77</v>
      </c>
      <c r="E19" t="s" s="0">
        <v>653</v>
      </c>
      <c r="F19" t="s" s="0">
        <v>654</v>
      </c>
      <c r="G19" t="s" s="0">
        <v>655</v>
      </c>
      <c r="H19" t="s" s="0">
        <v>82</v>
      </c>
      <c r="I19" t="s" s="0">
        <v>83</v>
      </c>
      <c r="J19" t="s" s="0">
        <v>656</v>
      </c>
      <c r="K19" t="s" s="0">
        <v>657</v>
      </c>
      <c r="L19" t="s" s="0">
        <v>658</v>
      </c>
      <c r="M19" t="s" s="0">
        <v>659</v>
      </c>
      <c r="N19" t="s" s="0">
        <v>660</v>
      </c>
      <c r="O19" t="s" s="0">
        <v>661</v>
      </c>
      <c r="P19" t="s" s="0">
        <v>662</v>
      </c>
      <c r="Q19" t="s" s="0">
        <v>91</v>
      </c>
      <c r="R19" t="s" s="0">
        <v>82</v>
      </c>
      <c r="S19" t="s" s="0">
        <v>82</v>
      </c>
      <c r="T19" t="s" s="0">
        <v>82</v>
      </c>
      <c r="U19" t="s" s="0">
        <v>82</v>
      </c>
      <c r="V19" t="s" s="0">
        <v>663</v>
      </c>
      <c r="W19" t="s" s="0">
        <v>664</v>
      </c>
      <c r="X19" t="s" s="0">
        <v>82</v>
      </c>
      <c r="Y19" t="s" s="0">
        <v>82</v>
      </c>
      <c r="Z19" t="s" s="0">
        <v>94</v>
      </c>
      <c r="AA19" t="s" s="0">
        <v>95</v>
      </c>
      <c r="AB19" t="s" s="0">
        <v>82</v>
      </c>
      <c r="AC19" t="s" s="0">
        <v>82</v>
      </c>
      <c r="AD19" t="s" s="0">
        <v>82</v>
      </c>
      <c r="AE19" t="s" s="0">
        <v>82</v>
      </c>
      <c r="AF19" t="s" s="0">
        <v>82</v>
      </c>
      <c r="AG19" t="s" s="0">
        <v>665</v>
      </c>
      <c r="AH19" t="s" s="0">
        <v>666</v>
      </c>
      <c r="AI19" t="s" s="0">
        <v>667</v>
      </c>
      <c r="AJ19" t="s" s="0">
        <v>668</v>
      </c>
      <c r="AK19" t="s" s="0">
        <v>82</v>
      </c>
      <c r="AL19" t="s" s="0">
        <v>669</v>
      </c>
      <c r="AM19" t="s" s="0">
        <v>377</v>
      </c>
      <c r="AN19" t="s" s="0">
        <v>300</v>
      </c>
      <c r="AO19" t="s" s="0">
        <v>77</v>
      </c>
      <c r="AP19" t="s" s="0">
        <v>191</v>
      </c>
      <c r="AQ19" t="s" s="0">
        <v>670</v>
      </c>
      <c r="AR19" t="s" s="0">
        <v>255</v>
      </c>
      <c r="AS19" t="s" s="0">
        <v>671</v>
      </c>
      <c r="AT19" t="s" s="0">
        <v>672</v>
      </c>
      <c r="AU19" t="s" s="0">
        <v>673</v>
      </c>
      <c r="AV19" t="s" s="0">
        <v>82</v>
      </c>
      <c r="AW19" t="s" s="0">
        <v>674</v>
      </c>
      <c r="AX19" t="s" s="0">
        <v>675</v>
      </c>
      <c r="AY19" t="s" s="0">
        <v>676</v>
      </c>
      <c r="AZ19" t="s" s="0">
        <v>112</v>
      </c>
      <c r="BA19" t="s" s="0">
        <v>677</v>
      </c>
      <c r="BB19" t="s" s="0">
        <v>78</v>
      </c>
      <c r="BC19" t="s" s="0">
        <v>82</v>
      </c>
      <c r="BD19" t="s" s="0">
        <v>82</v>
      </c>
      <c r="BE19" t="s" s="0">
        <v>82</v>
      </c>
      <c r="BF19" t="s" s="0">
        <v>82</v>
      </c>
      <c r="BG19" t="s" s="0">
        <v>82</v>
      </c>
      <c r="BH19" t="s" s="0">
        <v>82</v>
      </c>
      <c r="BI19" t="s" s="0">
        <v>678</v>
      </c>
      <c r="BJ19" t="s" s="0">
        <v>679</v>
      </c>
      <c r="BK19" t="s" s="35">
        <f>HYPERLINK("http://dx.doi.org/10.1007/s40520-025-03112-6","http://dx.doi.org/10.1007/s40520-025-03112-6")</f>
        <v>680</v>
      </c>
      <c r="BL19" t="s" s="0">
        <v>82</v>
      </c>
      <c r="BM19" t="s" s="0">
        <v>82</v>
      </c>
      <c r="BN19" t="s" s="0">
        <v>231</v>
      </c>
      <c r="BO19" t="s" s="0">
        <v>681</v>
      </c>
      <c r="BP19" t="s" s="0">
        <v>681</v>
      </c>
      <c r="BQ19" t="s" s="0">
        <v>682</v>
      </c>
      <c r="BR19" t="s" s="0">
        <v>683</v>
      </c>
      <c r="BS19" t="s" s="0">
        <v>684</v>
      </c>
      <c r="BT19" t="s" s="36">
        <f>HYPERLINK("https://www.webofscience.com/wos/woscc/full-record/WOS:001536516000003","View Record in Web of Science")</f>
        <v>124</v>
      </c>
      <c r="BU19" t="s" s="0">
        <v>163</v>
      </c>
      <c r="BV19" t="s" s="0">
        <v>82</v>
      </c>
      <c r="BW19" t="s" s="0">
        <v>82</v>
      </c>
      <c r="BX19" t="s" s="0">
        <v>126</v>
      </c>
    </row>
    <row r="20">
      <c r="A20" t="s" s="0">
        <v>152</v>
      </c>
      <c r="B20" t="s" s="0">
        <v>77</v>
      </c>
      <c r="C20" t="s" s="0">
        <v>100</v>
      </c>
      <c r="D20" t="s" s="0">
        <v>77</v>
      </c>
      <c r="E20" t="s" s="0">
        <v>685</v>
      </c>
      <c r="F20" t="s" s="0">
        <v>686</v>
      </c>
      <c r="G20" t="s" s="0">
        <v>687</v>
      </c>
      <c r="H20" t="s" s="0">
        <v>82</v>
      </c>
      <c r="I20" t="s" s="0">
        <v>83</v>
      </c>
      <c r="J20" t="s" s="0">
        <v>688</v>
      </c>
      <c r="K20" t="s" s="0">
        <v>689</v>
      </c>
      <c r="L20" t="s" s="0">
        <v>690</v>
      </c>
      <c r="M20" t="s" s="0">
        <v>690</v>
      </c>
      <c r="N20" t="s" s="0">
        <v>691</v>
      </c>
      <c r="O20" t="s" s="0">
        <v>692</v>
      </c>
      <c r="P20" t="s" s="0">
        <v>693</v>
      </c>
      <c r="Q20" t="s" s="0">
        <v>91</v>
      </c>
      <c r="R20" t="s" s="0">
        <v>82</v>
      </c>
      <c r="S20" t="s" s="0">
        <v>82</v>
      </c>
      <c r="T20" t="s" s="0">
        <v>82</v>
      </c>
      <c r="U20" t="s" s="0">
        <v>82</v>
      </c>
      <c r="V20" t="s" s="0">
        <v>694</v>
      </c>
      <c r="W20" t="s" s="0">
        <v>695</v>
      </c>
      <c r="X20" t="s" s="0">
        <v>82</v>
      </c>
      <c r="Y20" t="s" s="0">
        <v>82</v>
      </c>
      <c r="Z20" t="s" s="0">
        <v>94</v>
      </c>
      <c r="AA20" t="s" s="0">
        <v>95</v>
      </c>
      <c r="AB20" t="s" s="0">
        <v>82</v>
      </c>
      <c r="AC20" t="s" s="0">
        <v>82</v>
      </c>
      <c r="AD20" t="s" s="0">
        <v>82</v>
      </c>
      <c r="AE20" t="s" s="0">
        <v>82</v>
      </c>
      <c r="AF20" t="s" s="0">
        <v>82</v>
      </c>
      <c r="AG20" t="s" s="0">
        <v>696</v>
      </c>
      <c r="AH20" t="s" s="0">
        <v>697</v>
      </c>
      <c r="AI20" t="s" s="0">
        <v>698</v>
      </c>
      <c r="AJ20" t="s" s="0">
        <v>699</v>
      </c>
      <c r="AK20" t="s" s="0">
        <v>82</v>
      </c>
      <c r="AL20" t="s" s="0">
        <v>700</v>
      </c>
      <c r="AM20" t="s" s="0">
        <v>701</v>
      </c>
      <c r="AN20" t="s" s="0">
        <v>702</v>
      </c>
      <c r="AO20" t="s" s="0">
        <v>372</v>
      </c>
      <c r="AP20" t="s" s="0">
        <v>253</v>
      </c>
      <c r="AQ20" t="s" s="0">
        <v>219</v>
      </c>
      <c r="AR20" t="s" s="0">
        <v>220</v>
      </c>
      <c r="AS20" t="s" s="0">
        <v>221</v>
      </c>
      <c r="AT20" t="s" s="0">
        <v>82</v>
      </c>
      <c r="AU20" t="s" s="0">
        <v>703</v>
      </c>
      <c r="AV20" t="s" s="0">
        <v>82</v>
      </c>
      <c r="AW20" t="s" s="0">
        <v>704</v>
      </c>
      <c r="AX20" t="s" s="0">
        <v>705</v>
      </c>
      <c r="AY20" t="s" s="0">
        <v>706</v>
      </c>
      <c r="AZ20" t="s" s="0">
        <v>189</v>
      </c>
      <c r="BA20" t="s" s="0">
        <v>253</v>
      </c>
      <c r="BB20" t="s" s="0">
        <v>78</v>
      </c>
      <c r="BC20" t="s" s="0">
        <v>82</v>
      </c>
      <c r="BD20" t="s" s="0">
        <v>82</v>
      </c>
      <c r="BE20" t="s" s="0">
        <v>82</v>
      </c>
      <c r="BF20" t="s" s="0">
        <v>82</v>
      </c>
      <c r="BG20" t="s" s="0">
        <v>82</v>
      </c>
      <c r="BH20" t="s" s="0">
        <v>82</v>
      </c>
      <c r="BI20" t="s" s="0">
        <v>707</v>
      </c>
      <c r="BJ20" t="s" s="0">
        <v>708</v>
      </c>
      <c r="BK20" t="s" s="37">
        <f>HYPERLINK("http://dx.doi.org/10.1186/s12874-022-01801-8","http://dx.doi.org/10.1186/s12874-022-01801-8")</f>
        <v>709</v>
      </c>
      <c r="BL20" t="s" s="0">
        <v>82</v>
      </c>
      <c r="BM20" t="s" s="0">
        <v>82</v>
      </c>
      <c r="BN20" t="s" s="0">
        <v>231</v>
      </c>
      <c r="BO20" t="s" s="0">
        <v>649</v>
      </c>
      <c r="BP20" t="s" s="0">
        <v>649</v>
      </c>
      <c r="BQ20" t="s" s="0">
        <v>710</v>
      </c>
      <c r="BR20" t="s" s="0">
        <v>711</v>
      </c>
      <c r="BS20" t="s" s="0">
        <v>712</v>
      </c>
      <c r="BT20" t="s" s="38">
        <f>HYPERLINK("https://www.webofscience.com/wos/woscc/full-record/WOS:000898499700001","View Record in Web of Science")</f>
        <v>124</v>
      </c>
      <c r="BU20" t="s" s="0">
        <v>236</v>
      </c>
      <c r="BV20" t="s" s="0">
        <v>713</v>
      </c>
      <c r="BW20" t="s" s="0">
        <v>714</v>
      </c>
      <c r="BX20" t="s" s="0">
        <v>126</v>
      </c>
    </row>
    <row r="21">
      <c r="A21" t="s" s="0">
        <v>78</v>
      </c>
      <c r="B21" t="s" s="0">
        <v>77</v>
      </c>
      <c r="C21" t="s" s="0">
        <v>152</v>
      </c>
      <c r="D21" t="s" s="0">
        <v>77</v>
      </c>
      <c r="E21" t="s" s="0">
        <v>715</v>
      </c>
      <c r="F21" t="s" s="0">
        <v>716</v>
      </c>
      <c r="G21" t="s" s="0">
        <v>717</v>
      </c>
      <c r="H21" t="s" s="0">
        <v>82</v>
      </c>
      <c r="I21" t="s" s="0">
        <v>130</v>
      </c>
      <c r="J21" t="s" s="0">
        <v>718</v>
      </c>
      <c r="K21" t="s" s="0">
        <v>719</v>
      </c>
      <c r="L21" t="s" s="0">
        <v>720</v>
      </c>
      <c r="M21" t="s" s="0">
        <v>721</v>
      </c>
      <c r="N21" t="s" s="0">
        <v>722</v>
      </c>
      <c r="O21" t="s" s="0">
        <v>723</v>
      </c>
      <c r="P21" t="s" s="0">
        <v>724</v>
      </c>
      <c r="Q21" t="s" s="0">
        <v>91</v>
      </c>
      <c r="R21" t="s" s="0">
        <v>82</v>
      </c>
      <c r="S21" t="s" s="0">
        <v>82</v>
      </c>
      <c r="T21" t="s" s="0">
        <v>82</v>
      </c>
      <c r="U21" t="s" s="0">
        <v>82</v>
      </c>
      <c r="V21" t="s" s="0">
        <v>725</v>
      </c>
      <c r="W21" t="s" s="0">
        <v>726</v>
      </c>
      <c r="X21" t="s" s="0">
        <v>82</v>
      </c>
      <c r="Y21" t="s" s="0">
        <v>82</v>
      </c>
      <c r="Z21" t="s" s="0">
        <v>94</v>
      </c>
      <c r="AA21" t="s" s="0">
        <v>95</v>
      </c>
      <c r="AB21" t="s" s="0">
        <v>82</v>
      </c>
      <c r="AC21" t="s" s="0">
        <v>82</v>
      </c>
      <c r="AD21" t="s" s="0">
        <v>82</v>
      </c>
      <c r="AE21" t="s" s="0">
        <v>82</v>
      </c>
      <c r="AF21" t="s" s="0">
        <v>82</v>
      </c>
      <c r="AG21" t="s" s="0">
        <v>727</v>
      </c>
      <c r="AH21" t="s" s="0">
        <v>728</v>
      </c>
      <c r="AI21" t="s" s="0">
        <v>729</v>
      </c>
      <c r="AJ21" t="s" s="0">
        <v>730</v>
      </c>
      <c r="AK21" t="s" s="0">
        <v>82</v>
      </c>
      <c r="AL21" t="s" s="0">
        <v>731</v>
      </c>
      <c r="AM21" t="s" s="0">
        <v>342</v>
      </c>
      <c r="AN21" t="s" s="0">
        <v>732</v>
      </c>
      <c r="AO21" t="s" s="0">
        <v>152</v>
      </c>
      <c r="AP21" t="s" s="0">
        <v>191</v>
      </c>
      <c r="AQ21" t="s" s="0">
        <v>733</v>
      </c>
      <c r="AR21" t="s" s="0">
        <v>220</v>
      </c>
      <c r="AS21" t="s" s="0">
        <v>734</v>
      </c>
      <c r="AT21" t="s" s="0">
        <v>82</v>
      </c>
      <c r="AU21" t="s" s="0">
        <v>735</v>
      </c>
      <c r="AV21" t="s" s="0">
        <v>82</v>
      </c>
      <c r="AW21" t="s" s="0">
        <v>736</v>
      </c>
      <c r="AX21" t="s" s="0">
        <v>737</v>
      </c>
      <c r="AY21" t="s" s="0">
        <v>738</v>
      </c>
      <c r="AZ21" t="s" s="0">
        <v>112</v>
      </c>
      <c r="BA21" t="s" s="0">
        <v>152</v>
      </c>
      <c r="BB21" t="s" s="0">
        <v>78</v>
      </c>
      <c r="BC21" t="s" s="0">
        <v>82</v>
      </c>
      <c r="BD21" t="s" s="0">
        <v>82</v>
      </c>
      <c r="BE21" t="s" s="0">
        <v>82</v>
      </c>
      <c r="BF21" t="s" s="0">
        <v>82</v>
      </c>
      <c r="BG21" t="s" s="0">
        <v>82</v>
      </c>
      <c r="BH21" t="s" s="0">
        <v>82</v>
      </c>
      <c r="BI21" t="s" s="0">
        <v>739</v>
      </c>
      <c r="BJ21" t="s" s="0">
        <v>740</v>
      </c>
      <c r="BK21" t="s" s="39">
        <f>HYPERLINK("http://dx.doi.org/10.1136/bmjonc-2025-000914","http://dx.doi.org/10.1136/bmjonc-2025-000914")</f>
        <v>741</v>
      </c>
      <c r="BL21" t="s" s="0">
        <v>82</v>
      </c>
      <c r="BM21" t="s" s="0">
        <v>82</v>
      </c>
      <c r="BN21" t="s" s="0">
        <v>119</v>
      </c>
      <c r="BO21" t="s" s="0">
        <v>557</v>
      </c>
      <c r="BP21" t="s" s="0">
        <v>557</v>
      </c>
      <c r="BQ21" t="s" s="0">
        <v>742</v>
      </c>
      <c r="BR21" t="s" s="0">
        <v>743</v>
      </c>
      <c r="BS21" t="s" s="0">
        <v>744</v>
      </c>
      <c r="BT21" t="s" s="40">
        <f>HYPERLINK("https://www.webofscience.com/wos/woscc/full-record/WOS:001732886400001","View Record in Web of Science")</f>
        <v>124</v>
      </c>
      <c r="BU21" t="s" s="0">
        <v>236</v>
      </c>
      <c r="BV21" t="s" s="0">
        <v>82</v>
      </c>
      <c r="BW21" t="s" s="0">
        <v>82</v>
      </c>
      <c r="BX21" t="s" s="0">
        <v>126</v>
      </c>
    </row>
    <row r="22">
      <c r="A22" t="s" s="0">
        <v>77</v>
      </c>
      <c r="B22" t="s" s="0">
        <v>77</v>
      </c>
      <c r="C22" t="s" s="0">
        <v>119</v>
      </c>
      <c r="D22" t="s" s="0">
        <v>77</v>
      </c>
      <c r="E22" t="s" s="0">
        <v>745</v>
      </c>
      <c r="F22" t="s" s="0">
        <v>746</v>
      </c>
      <c r="G22" t="s" s="0">
        <v>747</v>
      </c>
      <c r="H22" t="s" s="0">
        <v>82</v>
      </c>
      <c r="I22" t="s" s="0">
        <v>83</v>
      </c>
      <c r="J22" t="s" s="0">
        <v>748</v>
      </c>
      <c r="K22" t="s" s="0">
        <v>749</v>
      </c>
      <c r="L22" t="s" s="0">
        <v>750</v>
      </c>
      <c r="M22" t="s" s="0">
        <v>751</v>
      </c>
      <c r="N22" t="s" s="0">
        <v>82</v>
      </c>
      <c r="O22" t="s" s="0">
        <v>752</v>
      </c>
      <c r="P22" t="s" s="0">
        <v>753</v>
      </c>
      <c r="Q22" t="s" s="0">
        <v>91</v>
      </c>
      <c r="R22" t="s" s="0">
        <v>82</v>
      </c>
      <c r="S22" t="s" s="0">
        <v>82</v>
      </c>
      <c r="T22" t="s" s="0">
        <v>82</v>
      </c>
      <c r="U22" t="s" s="0">
        <v>82</v>
      </c>
      <c r="V22" t="s" s="0">
        <v>754</v>
      </c>
      <c r="W22" t="s" s="0">
        <v>755</v>
      </c>
      <c r="X22" t="s" s="0">
        <v>82</v>
      </c>
      <c r="Y22" t="s" s="0">
        <v>82</v>
      </c>
      <c r="Z22" t="s" s="0">
        <v>94</v>
      </c>
      <c r="AA22" t="s" s="0">
        <v>95</v>
      </c>
      <c r="AB22" t="s" s="0">
        <v>82</v>
      </c>
      <c r="AC22" t="s" s="0">
        <v>82</v>
      </c>
      <c r="AD22" t="s" s="0">
        <v>82</v>
      </c>
      <c r="AE22" t="s" s="0">
        <v>82</v>
      </c>
      <c r="AF22" t="s" s="0">
        <v>82</v>
      </c>
      <c r="AG22" t="s" s="0">
        <v>756</v>
      </c>
      <c r="AH22" t="s" s="0">
        <v>757</v>
      </c>
      <c r="AI22" t="s" s="0">
        <v>758</v>
      </c>
      <c r="AJ22" t="s" s="0">
        <v>759</v>
      </c>
      <c r="AK22" t="s" s="0">
        <v>82</v>
      </c>
      <c r="AL22" t="s" s="0">
        <v>218</v>
      </c>
      <c r="AM22" t="s" s="0">
        <v>227</v>
      </c>
      <c r="AN22" t="s" s="0">
        <v>633</v>
      </c>
      <c r="AO22" t="s" s="0">
        <v>77</v>
      </c>
      <c r="AP22" t="s" s="0">
        <v>227</v>
      </c>
      <c r="AQ22" t="s" s="0">
        <v>760</v>
      </c>
      <c r="AR22" t="s" s="0">
        <v>761</v>
      </c>
      <c r="AS22" t="s" s="0">
        <v>762</v>
      </c>
      <c r="AT22" t="s" s="0">
        <v>82</v>
      </c>
      <c r="AU22" t="s" s="0">
        <v>763</v>
      </c>
      <c r="AV22" t="s" s="0">
        <v>82</v>
      </c>
      <c r="AW22" t="s" s="0">
        <v>764</v>
      </c>
      <c r="AX22" t="s" s="0">
        <v>765</v>
      </c>
      <c r="AY22" t="s" s="0">
        <v>766</v>
      </c>
      <c r="AZ22" t="s" s="0">
        <v>189</v>
      </c>
      <c r="BA22" t="s" s="0">
        <v>268</v>
      </c>
      <c r="BB22" t="s" s="0">
        <v>524</v>
      </c>
      <c r="BC22" t="s" s="0">
        <v>82</v>
      </c>
      <c r="BD22" t="s" s="0">
        <v>82</v>
      </c>
      <c r="BE22" t="s" s="0">
        <v>82</v>
      </c>
      <c r="BF22" t="s" s="0">
        <v>82</v>
      </c>
      <c r="BG22" t="s" s="0">
        <v>82</v>
      </c>
      <c r="BH22" t="s" s="0">
        <v>82</v>
      </c>
      <c r="BI22" t="s" s="0">
        <v>767</v>
      </c>
      <c r="BJ22" t="s" s="0">
        <v>768</v>
      </c>
      <c r="BK22" t="s" s="41">
        <f>HYPERLINK("http://dx.doi.org/10.1161/JAHA.121.024833","http://dx.doi.org/10.1161/JAHA.121.024833")</f>
        <v>769</v>
      </c>
      <c r="BL22" t="s" s="0">
        <v>82</v>
      </c>
      <c r="BM22" t="s" s="0">
        <v>82</v>
      </c>
      <c r="BN22" t="s" s="0">
        <v>770</v>
      </c>
      <c r="BO22" t="s" s="0">
        <v>771</v>
      </c>
      <c r="BP22" t="s" s="0">
        <v>772</v>
      </c>
      <c r="BQ22" t="s" s="0">
        <v>773</v>
      </c>
      <c r="BR22" t="s" s="0">
        <v>774</v>
      </c>
      <c r="BS22" t="s" s="0">
        <v>775</v>
      </c>
      <c r="BT22" t="s" s="42">
        <f>HYPERLINK("https://www.webofscience.com/wos/woscc/full-record/WOS:000796637400014","View Record in Web of Science")</f>
        <v>124</v>
      </c>
      <c r="BU22" t="s" s="0">
        <v>236</v>
      </c>
      <c r="BV22" t="s" s="0">
        <v>82</v>
      </c>
      <c r="BW22" t="s" s="0">
        <v>82</v>
      </c>
      <c r="BX22" t="s" s="0">
        <v>126</v>
      </c>
    </row>
    <row r="23">
      <c r="A23" t="s" s="0">
        <v>77</v>
      </c>
      <c r="B23" t="s" s="0">
        <v>77</v>
      </c>
      <c r="C23" t="s" s="0">
        <v>77</v>
      </c>
      <c r="D23" t="s" s="0">
        <v>77</v>
      </c>
      <c r="E23" t="s" s="0">
        <v>776</v>
      </c>
      <c r="F23" t="s" s="0">
        <v>777</v>
      </c>
      <c r="G23" t="s" s="0">
        <v>778</v>
      </c>
      <c r="H23" t="s" s="0">
        <v>82</v>
      </c>
      <c r="I23" t="s" s="0">
        <v>83</v>
      </c>
      <c r="J23" t="s" s="0">
        <v>779</v>
      </c>
      <c r="K23" t="s" s="0">
        <v>780</v>
      </c>
      <c r="L23" t="s" s="0">
        <v>82</v>
      </c>
      <c r="M23" t="s" s="0">
        <v>82</v>
      </c>
      <c r="N23" t="s" s="0">
        <v>82</v>
      </c>
      <c r="O23" t="s" s="0">
        <v>781</v>
      </c>
      <c r="P23" t="s" s="0">
        <v>782</v>
      </c>
      <c r="Q23" t="s" s="0">
        <v>91</v>
      </c>
      <c r="R23" t="s" s="0">
        <v>82</v>
      </c>
      <c r="S23" t="s" s="0">
        <v>82</v>
      </c>
      <c r="T23" t="s" s="0">
        <v>82</v>
      </c>
      <c r="U23" t="s" s="0">
        <v>82</v>
      </c>
      <c r="V23" t="s" s="0">
        <v>783</v>
      </c>
      <c r="W23" t="s" s="0">
        <v>784</v>
      </c>
      <c r="X23" t="s" s="0">
        <v>82</v>
      </c>
      <c r="Y23" t="s" s="0">
        <v>82</v>
      </c>
      <c r="Z23" t="s" s="0">
        <v>94</v>
      </c>
      <c r="AA23" t="s" s="0">
        <v>95</v>
      </c>
      <c r="AB23" t="s" s="0">
        <v>82</v>
      </c>
      <c r="AC23" t="s" s="0">
        <v>82</v>
      </c>
      <c r="AD23" t="s" s="0">
        <v>82</v>
      </c>
      <c r="AE23" t="s" s="0">
        <v>82</v>
      </c>
      <c r="AF23" t="s" s="0">
        <v>82</v>
      </c>
      <c r="AG23" t="s" s="0">
        <v>785</v>
      </c>
      <c r="AH23" t="s" s="0">
        <v>786</v>
      </c>
      <c r="AI23" t="s" s="0">
        <v>82</v>
      </c>
      <c r="AJ23" t="s" s="0">
        <v>82</v>
      </c>
      <c r="AK23" t="s" s="0">
        <v>82</v>
      </c>
      <c r="AL23" t="s" s="0">
        <v>329</v>
      </c>
      <c r="AM23" t="s" s="0">
        <v>77</v>
      </c>
      <c r="AN23" t="s" s="0">
        <v>77</v>
      </c>
      <c r="AO23" t="s" s="0">
        <v>77</v>
      </c>
      <c r="AP23" t="s" s="0">
        <v>77</v>
      </c>
      <c r="AQ23" t="s" s="0">
        <v>760</v>
      </c>
      <c r="AR23" t="s" s="0">
        <v>761</v>
      </c>
      <c r="AS23" t="s" s="0">
        <v>762</v>
      </c>
      <c r="AT23" t="s" s="0">
        <v>787</v>
      </c>
      <c r="AU23" t="s" s="0">
        <v>788</v>
      </c>
      <c r="AV23" t="s" s="0">
        <v>82</v>
      </c>
      <c r="AW23" t="s" s="0">
        <v>789</v>
      </c>
      <c r="AX23" t="s" s="0">
        <v>790</v>
      </c>
      <c r="AY23" t="s" s="0">
        <v>791</v>
      </c>
      <c r="AZ23" t="s" s="0">
        <v>150</v>
      </c>
      <c r="BA23" t="s" s="0">
        <v>328</v>
      </c>
      <c r="BB23" t="s" s="0">
        <v>372</v>
      </c>
      <c r="BC23" t="s" s="0">
        <v>82</v>
      </c>
      <c r="BD23" t="s" s="0">
        <v>82</v>
      </c>
      <c r="BE23" t="s" s="0">
        <v>82</v>
      </c>
      <c r="BF23" t="s" s="0">
        <v>82</v>
      </c>
      <c r="BG23" t="s" s="0">
        <v>82</v>
      </c>
      <c r="BH23" t="s" s="0">
        <v>82</v>
      </c>
      <c r="BI23" t="s" s="0">
        <v>792</v>
      </c>
      <c r="BJ23" t="s" s="0">
        <v>793</v>
      </c>
      <c r="BK23" t="s" s="43">
        <f>HYPERLINK("http://dx.doi.org/10.1111/papr.70129","http://dx.doi.org/10.1111/papr.70129")</f>
        <v>794</v>
      </c>
      <c r="BL23" t="s" s="0">
        <v>82</v>
      </c>
      <c r="BM23" t="s" s="0">
        <v>82</v>
      </c>
      <c r="BN23" t="s" s="0">
        <v>102</v>
      </c>
      <c r="BO23" t="s" s="0">
        <v>795</v>
      </c>
      <c r="BP23" t="s" s="0">
        <v>796</v>
      </c>
      <c r="BQ23" t="s" s="0">
        <v>797</v>
      </c>
      <c r="BR23" t="s" s="0">
        <v>798</v>
      </c>
      <c r="BS23" t="s" s="0">
        <v>799</v>
      </c>
      <c r="BT23" t="s" s="44">
        <f>HYPERLINK("https://www.webofscience.com/wos/woscc/full-record/WOS:001714039900014","View Record in Web of Science")</f>
        <v>124</v>
      </c>
      <c r="BU23" t="s" s="0">
        <v>82</v>
      </c>
      <c r="BV23" t="s" s="0">
        <v>82</v>
      </c>
      <c r="BW23" t="s" s="0">
        <v>82</v>
      </c>
      <c r="BX23" t="s" s="0">
        <v>126</v>
      </c>
    </row>
    <row r="24">
      <c r="A24" t="s" s="0">
        <v>77</v>
      </c>
      <c r="B24" t="s" s="0">
        <v>77</v>
      </c>
      <c r="C24" t="s" s="0">
        <v>77</v>
      </c>
      <c r="D24" t="s" s="0">
        <v>77</v>
      </c>
      <c r="E24" t="s" s="0">
        <v>800</v>
      </c>
      <c r="F24" t="s" s="0">
        <v>801</v>
      </c>
      <c r="G24" t="s" s="0">
        <v>802</v>
      </c>
      <c r="H24" t="s" s="0">
        <v>82</v>
      </c>
      <c r="I24" t="s" s="0">
        <v>83</v>
      </c>
      <c r="J24" t="s" s="0">
        <v>803</v>
      </c>
      <c r="K24" t="s" s="0">
        <v>804</v>
      </c>
      <c r="L24" t="s" s="0">
        <v>82</v>
      </c>
      <c r="M24" t="s" s="0">
        <v>82</v>
      </c>
      <c r="N24" t="s" s="0">
        <v>82</v>
      </c>
      <c r="O24" t="s" s="0">
        <v>805</v>
      </c>
      <c r="P24" t="s" s="0">
        <v>806</v>
      </c>
      <c r="Q24" t="s" s="0">
        <v>91</v>
      </c>
      <c r="R24" t="s" s="0">
        <v>82</v>
      </c>
      <c r="S24" t="s" s="0">
        <v>82</v>
      </c>
      <c r="T24" t="s" s="0">
        <v>82</v>
      </c>
      <c r="U24" t="s" s="0">
        <v>82</v>
      </c>
      <c r="V24" t="s" s="0">
        <v>807</v>
      </c>
      <c r="W24" t="s" s="0">
        <v>808</v>
      </c>
      <c r="X24" t="s" s="0">
        <v>82</v>
      </c>
      <c r="Y24" t="s" s="0">
        <v>82</v>
      </c>
      <c r="Z24" t="s" s="0">
        <v>94</v>
      </c>
      <c r="AA24" t="s" s="0">
        <v>95</v>
      </c>
      <c r="AB24" t="s" s="0">
        <v>82</v>
      </c>
      <c r="AC24" t="s" s="0">
        <v>82</v>
      </c>
      <c r="AD24" t="s" s="0">
        <v>82</v>
      </c>
      <c r="AE24" t="s" s="0">
        <v>82</v>
      </c>
      <c r="AF24" t="s" s="0">
        <v>82</v>
      </c>
      <c r="AG24" t="s" s="0">
        <v>809</v>
      </c>
      <c r="AH24" t="s" s="0">
        <v>810</v>
      </c>
      <c r="AI24" t="s" s="0">
        <v>811</v>
      </c>
      <c r="AJ24" t="s" s="0">
        <v>82</v>
      </c>
      <c r="AK24" t="s" s="0">
        <v>82</v>
      </c>
      <c r="AL24" t="s" s="0">
        <v>812</v>
      </c>
      <c r="AM24" t="s" s="0">
        <v>103</v>
      </c>
      <c r="AN24" t="s" s="0">
        <v>103</v>
      </c>
      <c r="AO24" t="s" s="0">
        <v>103</v>
      </c>
      <c r="AP24" t="s" s="0">
        <v>152</v>
      </c>
      <c r="AQ24" t="s" s="0">
        <v>219</v>
      </c>
      <c r="AR24" t="s" s="0">
        <v>220</v>
      </c>
      <c r="AS24" t="s" s="0">
        <v>221</v>
      </c>
      <c r="AT24" t="s" s="0">
        <v>82</v>
      </c>
      <c r="AU24" t="s" s="0">
        <v>813</v>
      </c>
      <c r="AV24" t="s" s="0">
        <v>82</v>
      </c>
      <c r="AW24" t="s" s="0">
        <v>814</v>
      </c>
      <c r="AX24" t="s" s="0">
        <v>815</v>
      </c>
      <c r="AY24" t="s" s="0">
        <v>816</v>
      </c>
      <c r="AZ24" t="s" s="0">
        <v>112</v>
      </c>
      <c r="BA24" t="s" s="0">
        <v>328</v>
      </c>
      <c r="BB24" t="s" s="0">
        <v>78</v>
      </c>
      <c r="BC24" t="s" s="0">
        <v>82</v>
      </c>
      <c r="BD24" t="s" s="0">
        <v>82</v>
      </c>
      <c r="BE24" t="s" s="0">
        <v>82</v>
      </c>
      <c r="BF24" t="s" s="0">
        <v>82</v>
      </c>
      <c r="BG24" t="s" s="0">
        <v>82</v>
      </c>
      <c r="BH24" t="s" s="0">
        <v>82</v>
      </c>
      <c r="BI24" t="s" s="0">
        <v>817</v>
      </c>
      <c r="BJ24" t="s" s="0">
        <v>818</v>
      </c>
      <c r="BK24" t="s" s="45">
        <f>HYPERLINK("http://dx.doi.org/10.1186/s12891-025-09164-z","http://dx.doi.org/10.1186/s12891-025-09164-z")</f>
        <v>819</v>
      </c>
      <c r="BL24" t="s" s="0">
        <v>82</v>
      </c>
      <c r="BM24" t="s" s="0">
        <v>82</v>
      </c>
      <c r="BN24" t="s" s="0">
        <v>179</v>
      </c>
      <c r="BO24" t="s" s="0">
        <v>820</v>
      </c>
      <c r="BP24" t="s" s="0">
        <v>820</v>
      </c>
      <c r="BQ24" t="s" s="0">
        <v>821</v>
      </c>
      <c r="BR24" t="s" s="0">
        <v>822</v>
      </c>
      <c r="BS24" t="s" s="0">
        <v>823</v>
      </c>
      <c r="BT24" t="s" s="46">
        <f>HYPERLINK("https://www.webofscience.com/wos/woscc/full-record/WOS:001586608500006","View Record in Web of Science")</f>
        <v>124</v>
      </c>
      <c r="BU24" t="s" s="0">
        <v>236</v>
      </c>
      <c r="BV24" t="s" s="0">
        <v>82</v>
      </c>
      <c r="BW24" t="s" s="0">
        <v>82</v>
      </c>
      <c r="BX24" t="s" s="0">
        <v>126</v>
      </c>
    </row>
    <row r="25">
      <c r="A25" t="s" s="0">
        <v>77</v>
      </c>
      <c r="B25" t="s" s="0">
        <v>77</v>
      </c>
      <c r="C25" t="s" s="0">
        <v>78</v>
      </c>
      <c r="D25" t="s" s="0">
        <v>77</v>
      </c>
      <c r="E25" t="s" s="0">
        <v>824</v>
      </c>
      <c r="F25" t="s" s="0">
        <v>825</v>
      </c>
      <c r="G25" t="s" s="0">
        <v>826</v>
      </c>
      <c r="H25" t="s" s="0">
        <v>82</v>
      </c>
      <c r="I25" t="s" s="0">
        <v>83</v>
      </c>
      <c r="J25" t="s" s="0">
        <v>827</v>
      </c>
      <c r="K25" t="s" s="0">
        <v>828</v>
      </c>
      <c r="L25" t="s" s="0">
        <v>82</v>
      </c>
      <c r="M25" t="s" s="0">
        <v>82</v>
      </c>
      <c r="N25" t="s" s="0">
        <v>82</v>
      </c>
      <c r="O25" t="s" s="0">
        <v>829</v>
      </c>
      <c r="P25" t="s" s="0">
        <v>830</v>
      </c>
      <c r="Q25" t="s" s="0">
        <v>91</v>
      </c>
      <c r="R25" t="s" s="0">
        <v>82</v>
      </c>
      <c r="S25" t="s" s="0">
        <v>82</v>
      </c>
      <c r="T25" t="s" s="0">
        <v>82</v>
      </c>
      <c r="U25" t="s" s="0">
        <v>82</v>
      </c>
      <c r="V25" t="s" s="0">
        <v>831</v>
      </c>
      <c r="W25" t="s" s="0">
        <v>832</v>
      </c>
      <c r="X25" t="s" s="0">
        <v>82</v>
      </c>
      <c r="Y25" t="s" s="0">
        <v>82</v>
      </c>
      <c r="Z25" t="s" s="0">
        <v>94</v>
      </c>
      <c r="AA25" t="s" s="0">
        <v>95</v>
      </c>
      <c r="AB25" t="s" s="0">
        <v>82</v>
      </c>
      <c r="AC25" t="s" s="0">
        <v>82</v>
      </c>
      <c r="AD25" t="s" s="0">
        <v>82</v>
      </c>
      <c r="AE25" t="s" s="0">
        <v>82</v>
      </c>
      <c r="AF25" t="s" s="0">
        <v>82</v>
      </c>
      <c r="AG25" t="s" s="0">
        <v>833</v>
      </c>
      <c r="AH25" t="s" s="0">
        <v>834</v>
      </c>
      <c r="AI25" t="s" s="0">
        <v>835</v>
      </c>
      <c r="AJ25" t="s" s="0">
        <v>82</v>
      </c>
      <c r="AK25" t="s" s="0">
        <v>82</v>
      </c>
      <c r="AL25" t="s" s="0">
        <v>836</v>
      </c>
      <c r="AM25" t="s" s="0">
        <v>152</v>
      </c>
      <c r="AN25" t="s" s="0">
        <v>291</v>
      </c>
      <c r="AO25" t="s" s="0">
        <v>77</v>
      </c>
      <c r="AP25" t="s" s="0">
        <v>103</v>
      </c>
      <c r="AQ25" t="s" s="0">
        <v>254</v>
      </c>
      <c r="AR25" t="s" s="0">
        <v>255</v>
      </c>
      <c r="AS25" t="s" s="0">
        <v>256</v>
      </c>
      <c r="AT25" t="s" s="0">
        <v>837</v>
      </c>
      <c r="AU25" t="s" s="0">
        <v>838</v>
      </c>
      <c r="AV25" t="s" s="0">
        <v>82</v>
      </c>
      <c r="AW25" t="s" s="0">
        <v>839</v>
      </c>
      <c r="AX25" t="s" s="0">
        <v>840</v>
      </c>
      <c r="AY25" t="s" s="0">
        <v>841</v>
      </c>
      <c r="AZ25" t="s" s="0">
        <v>842</v>
      </c>
      <c r="BA25" t="s" s="0">
        <v>158</v>
      </c>
      <c r="BB25" t="s" s="0">
        <v>377</v>
      </c>
      <c r="BC25" t="s" s="0">
        <v>82</v>
      </c>
      <c r="BD25" t="s" s="0">
        <v>82</v>
      </c>
      <c r="BE25" t="s" s="0">
        <v>82</v>
      </c>
      <c r="BF25" t="s" s="0">
        <v>82</v>
      </c>
      <c r="BG25" t="s" s="0">
        <v>843</v>
      </c>
      <c r="BH25" t="s" s="0">
        <v>844</v>
      </c>
      <c r="BI25" t="s" s="0">
        <v>82</v>
      </c>
      <c r="BJ25" t="s" s="0">
        <v>845</v>
      </c>
      <c r="BK25" t="s" s="47">
        <f>HYPERLINK("http://dx.doi.org/10.1016/j.jtha.2023.09.006","http://dx.doi.org/10.1016/j.jtha.2023.09.006")</f>
        <v>846</v>
      </c>
      <c r="BL25" t="s" s="0">
        <v>82</v>
      </c>
      <c r="BM25" t="s" s="0">
        <v>847</v>
      </c>
      <c r="BN25" t="s" s="0">
        <v>377</v>
      </c>
      <c r="BO25" t="s" s="0">
        <v>848</v>
      </c>
      <c r="BP25" t="s" s="0">
        <v>849</v>
      </c>
      <c r="BQ25" t="s" s="0">
        <v>850</v>
      </c>
      <c r="BR25" t="s" s="0">
        <v>851</v>
      </c>
      <c r="BS25" t="s" s="0">
        <v>852</v>
      </c>
      <c r="BT25" t="s" s="48">
        <f>HYPERLINK("https://www.webofscience.com/wos/woscc/full-record/WOS:001124205800001","View Record in Web of Science")</f>
        <v>124</v>
      </c>
      <c r="BU25" t="s" s="0">
        <v>853</v>
      </c>
      <c r="BV25" t="s" s="0">
        <v>82</v>
      </c>
      <c r="BW25" t="s" s="0">
        <v>82</v>
      </c>
      <c r="BX25" t="s" s="0">
        <v>126</v>
      </c>
    </row>
    <row r="26">
      <c r="A26" t="s" s="0">
        <v>77</v>
      </c>
      <c r="B26" t="s" s="0">
        <v>77</v>
      </c>
      <c r="C26" t="s" s="0">
        <v>77</v>
      </c>
      <c r="D26" t="s" s="0">
        <v>77</v>
      </c>
      <c r="E26" t="s" s="0">
        <v>854</v>
      </c>
      <c r="F26" t="s" s="0">
        <v>855</v>
      </c>
      <c r="G26" t="s" s="0">
        <v>856</v>
      </c>
      <c r="H26" t="s" s="0">
        <v>82</v>
      </c>
      <c r="I26" t="s" s="0">
        <v>83</v>
      </c>
      <c r="J26" t="s" s="0">
        <v>857</v>
      </c>
      <c r="K26" t="s" s="0">
        <v>858</v>
      </c>
      <c r="L26" t="s" s="0">
        <v>859</v>
      </c>
      <c r="M26" t="s" s="0">
        <v>860</v>
      </c>
      <c r="N26" t="s" s="0">
        <v>861</v>
      </c>
      <c r="O26" t="s" s="0">
        <v>862</v>
      </c>
      <c r="P26" t="s" s="0">
        <v>863</v>
      </c>
      <c r="Q26" t="s" s="0">
        <v>91</v>
      </c>
      <c r="R26" t="s" s="0">
        <v>82</v>
      </c>
      <c r="S26" t="s" s="0">
        <v>82</v>
      </c>
      <c r="T26" t="s" s="0">
        <v>82</v>
      </c>
      <c r="U26" t="s" s="0">
        <v>82</v>
      </c>
      <c r="V26" t="s" s="0">
        <v>864</v>
      </c>
      <c r="W26" t="s" s="0">
        <v>865</v>
      </c>
      <c r="X26" t="s" s="0">
        <v>82</v>
      </c>
      <c r="Y26" t="s" s="0">
        <v>82</v>
      </c>
      <c r="Z26" t="s" s="0">
        <v>94</v>
      </c>
      <c r="AA26" t="s" s="0">
        <v>95</v>
      </c>
      <c r="AB26" t="s" s="0">
        <v>82</v>
      </c>
      <c r="AC26" t="s" s="0">
        <v>82</v>
      </c>
      <c r="AD26" t="s" s="0">
        <v>82</v>
      </c>
      <c r="AE26" t="s" s="0">
        <v>82</v>
      </c>
      <c r="AF26" t="s" s="0">
        <v>82</v>
      </c>
      <c r="AG26" t="s" s="0">
        <v>866</v>
      </c>
      <c r="AH26" t="s" s="0">
        <v>867</v>
      </c>
      <c r="AI26" t="s" s="0">
        <v>868</v>
      </c>
      <c r="AJ26" t="s" s="0">
        <v>869</v>
      </c>
      <c r="AK26" t="s" s="0">
        <v>82</v>
      </c>
      <c r="AL26" t="s" s="0">
        <v>100</v>
      </c>
      <c r="AM26" t="s" s="0">
        <v>77</v>
      </c>
      <c r="AN26" t="s" s="0">
        <v>77</v>
      </c>
      <c r="AO26" t="s" s="0">
        <v>78</v>
      </c>
      <c r="AP26" t="s" s="0">
        <v>291</v>
      </c>
      <c r="AQ26" t="s" s="0">
        <v>760</v>
      </c>
      <c r="AR26" t="s" s="0">
        <v>761</v>
      </c>
      <c r="AS26" t="s" s="0">
        <v>762</v>
      </c>
      <c r="AT26" t="s" s="0">
        <v>870</v>
      </c>
      <c r="AU26" t="s" s="0">
        <v>871</v>
      </c>
      <c r="AV26" t="s" s="0">
        <v>82</v>
      </c>
      <c r="AW26" t="s" s="0">
        <v>872</v>
      </c>
      <c r="AX26" t="s" s="0">
        <v>873</v>
      </c>
      <c r="AY26" t="s" s="0">
        <v>874</v>
      </c>
      <c r="AZ26" t="s" s="0">
        <v>112</v>
      </c>
      <c r="BA26" t="s" s="0">
        <v>770</v>
      </c>
      <c r="BB26" t="s" s="0">
        <v>377</v>
      </c>
      <c r="BC26" t="s" s="0">
        <v>82</v>
      </c>
      <c r="BD26" t="s" s="0">
        <v>82</v>
      </c>
      <c r="BE26" t="s" s="0">
        <v>82</v>
      </c>
      <c r="BF26" t="s" s="0">
        <v>82</v>
      </c>
      <c r="BG26" t="s" s="0">
        <v>875</v>
      </c>
      <c r="BH26" t="s" s="0">
        <v>876</v>
      </c>
      <c r="BI26" t="s" s="0">
        <v>82</v>
      </c>
      <c r="BJ26" t="s" s="0">
        <v>877</v>
      </c>
      <c r="BK26" t="s" s="49">
        <f>HYPERLINK("http://dx.doi.org/10.1111/odi.70023","http://dx.doi.org/10.1111/odi.70023")</f>
        <v>878</v>
      </c>
      <c r="BL26" t="s" s="0">
        <v>82</v>
      </c>
      <c r="BM26" t="s" s="0">
        <v>879</v>
      </c>
      <c r="BN26" t="s" s="0">
        <v>377</v>
      </c>
      <c r="BO26" t="s" s="0">
        <v>880</v>
      </c>
      <c r="BP26" t="s" s="0">
        <v>880</v>
      </c>
      <c r="BQ26" t="s" s="0">
        <v>881</v>
      </c>
      <c r="BR26" t="s" s="0">
        <v>882</v>
      </c>
      <c r="BS26" t="s" s="0">
        <v>883</v>
      </c>
      <c r="BT26" t="s" s="50">
        <f>HYPERLINK("https://www.webofscience.com/wos/woscc/full-record/WOS:001523827100001","View Record in Web of Science")</f>
        <v>124</v>
      </c>
      <c r="BU26" t="s" s="0">
        <v>82</v>
      </c>
      <c r="BV26" t="s" s="0">
        <v>82</v>
      </c>
      <c r="BW26" t="s" s="0">
        <v>82</v>
      </c>
      <c r="BX26" t="s" s="0">
        <v>126</v>
      </c>
    </row>
    <row r="27">
      <c r="A27" t="s" s="0">
        <v>77</v>
      </c>
      <c r="B27" t="s" s="0">
        <v>77</v>
      </c>
      <c r="C27" t="s" s="0">
        <v>77</v>
      </c>
      <c r="D27" t="s" s="0">
        <v>77</v>
      </c>
      <c r="E27" t="s" s="0">
        <v>884</v>
      </c>
      <c r="F27" t="s" s="0">
        <v>885</v>
      </c>
      <c r="G27" t="s" s="0">
        <v>886</v>
      </c>
      <c r="H27" t="s" s="0">
        <v>82</v>
      </c>
      <c r="I27" t="s" s="0">
        <v>83</v>
      </c>
      <c r="J27" t="s" s="0">
        <v>887</v>
      </c>
      <c r="K27" t="s" s="0">
        <v>888</v>
      </c>
      <c r="L27" t="s" s="0">
        <v>889</v>
      </c>
      <c r="M27" t="s" s="0">
        <v>890</v>
      </c>
      <c r="N27" t="s" s="0">
        <v>891</v>
      </c>
      <c r="O27" t="s" s="0">
        <v>892</v>
      </c>
      <c r="P27" t="s" s="0">
        <v>893</v>
      </c>
      <c r="Q27" t="s" s="0">
        <v>91</v>
      </c>
      <c r="R27" t="s" s="0">
        <v>82</v>
      </c>
      <c r="S27" t="s" s="0">
        <v>82</v>
      </c>
      <c r="T27" t="s" s="0">
        <v>82</v>
      </c>
      <c r="U27" t="s" s="0">
        <v>82</v>
      </c>
      <c r="V27" t="s" s="0">
        <v>894</v>
      </c>
      <c r="W27" t="s" s="0">
        <v>895</v>
      </c>
      <c r="X27" t="s" s="0">
        <v>82</v>
      </c>
      <c r="Y27" t="s" s="0">
        <v>82</v>
      </c>
      <c r="Z27" t="s" s="0">
        <v>94</v>
      </c>
      <c r="AA27" t="s" s="0">
        <v>95</v>
      </c>
      <c r="AB27" t="s" s="0">
        <v>82</v>
      </c>
      <c r="AC27" t="s" s="0">
        <v>82</v>
      </c>
      <c r="AD27" t="s" s="0">
        <v>82</v>
      </c>
      <c r="AE27" t="s" s="0">
        <v>82</v>
      </c>
      <c r="AF27" t="s" s="0">
        <v>82</v>
      </c>
      <c r="AG27" t="s" s="0">
        <v>896</v>
      </c>
      <c r="AH27" t="s" s="0">
        <v>82</v>
      </c>
      <c r="AI27" t="s" s="0">
        <v>897</v>
      </c>
      <c r="AJ27" t="s" s="0">
        <v>898</v>
      </c>
      <c r="AK27" t="s" s="0">
        <v>82</v>
      </c>
      <c r="AL27" t="s" s="0">
        <v>899</v>
      </c>
      <c r="AM27" t="s" s="0">
        <v>77</v>
      </c>
      <c r="AN27" t="s" s="0">
        <v>77</v>
      </c>
      <c r="AO27" t="s" s="0">
        <v>78</v>
      </c>
      <c r="AP27" t="s" s="0">
        <v>78</v>
      </c>
      <c r="AQ27" t="s" s="0">
        <v>760</v>
      </c>
      <c r="AR27" t="s" s="0">
        <v>761</v>
      </c>
      <c r="AS27" t="s" s="0">
        <v>762</v>
      </c>
      <c r="AT27" t="s" s="0">
        <v>900</v>
      </c>
      <c r="AU27" t="s" s="0">
        <v>901</v>
      </c>
      <c r="AV27" t="s" s="0">
        <v>82</v>
      </c>
      <c r="AW27" t="s" s="0">
        <v>902</v>
      </c>
      <c r="AX27" t="s" s="0">
        <v>903</v>
      </c>
      <c r="AY27" t="s" s="0">
        <v>904</v>
      </c>
      <c r="AZ27" t="s" s="0">
        <v>150</v>
      </c>
      <c r="BA27" t="s" s="0">
        <v>905</v>
      </c>
      <c r="BB27" t="s" s="0">
        <v>78</v>
      </c>
      <c r="BC27" t="s" s="0">
        <v>82</v>
      </c>
      <c r="BD27" t="s" s="0">
        <v>82</v>
      </c>
      <c r="BE27" t="s" s="0">
        <v>82</v>
      </c>
      <c r="BF27" t="s" s="0">
        <v>82</v>
      </c>
      <c r="BG27" t="s" s="0">
        <v>906</v>
      </c>
      <c r="BH27" t="s" s="0">
        <v>907</v>
      </c>
      <c r="BI27" t="s" s="0">
        <v>82</v>
      </c>
      <c r="BJ27" t="s" s="0">
        <v>908</v>
      </c>
      <c r="BK27" t="s" s="51">
        <f>HYPERLINK("http://dx.doi.org/10.1111/ejh.70177","http://dx.doi.org/10.1111/ejh.70177")</f>
        <v>909</v>
      </c>
      <c r="BL27" t="s" s="0">
        <v>82</v>
      </c>
      <c r="BM27" t="s" s="0">
        <v>791</v>
      </c>
      <c r="BN27" t="s" s="0">
        <v>179</v>
      </c>
      <c r="BO27" t="s" s="0">
        <v>910</v>
      </c>
      <c r="BP27" t="s" s="0">
        <v>910</v>
      </c>
      <c r="BQ27" t="s" s="0">
        <v>911</v>
      </c>
      <c r="BR27" t="s" s="0">
        <v>912</v>
      </c>
      <c r="BS27" t="s" s="0">
        <v>913</v>
      </c>
      <c r="BT27" t="s" s="52">
        <f>HYPERLINK("https://www.webofscience.com/wos/woscc/full-record/WOS:001727852400001","View Record in Web of Science")</f>
        <v>124</v>
      </c>
      <c r="BU27" t="s" s="0">
        <v>82</v>
      </c>
      <c r="BV27" t="s" s="0">
        <v>82</v>
      </c>
      <c r="BW27" t="s" s="0">
        <v>82</v>
      </c>
      <c r="BX27" t="s" s="0">
        <v>126</v>
      </c>
    </row>
    <row r="28">
      <c r="A28" t="s" s="0">
        <v>77</v>
      </c>
      <c r="B28" t="s" s="0">
        <v>77</v>
      </c>
      <c r="C28" t="s" s="0">
        <v>77</v>
      </c>
      <c r="D28" t="s" s="0">
        <v>77</v>
      </c>
      <c r="E28" t="s" s="0">
        <v>914</v>
      </c>
      <c r="F28" t="s" s="0">
        <v>915</v>
      </c>
      <c r="G28" t="s" s="0">
        <v>916</v>
      </c>
      <c r="H28" t="s" s="0">
        <v>82</v>
      </c>
      <c r="I28" t="s" s="0">
        <v>83</v>
      </c>
      <c r="J28" t="s" s="0">
        <v>917</v>
      </c>
      <c r="K28" t="s" s="0">
        <v>918</v>
      </c>
      <c r="L28" t="s" s="0">
        <v>919</v>
      </c>
      <c r="M28" t="s" s="0">
        <v>659</v>
      </c>
      <c r="N28" t="s" s="0">
        <v>920</v>
      </c>
      <c r="O28" t="s" s="0">
        <v>921</v>
      </c>
      <c r="P28" t="s" s="0">
        <v>922</v>
      </c>
      <c r="Q28" t="s" s="0">
        <v>91</v>
      </c>
      <c r="R28" t="s" s="0">
        <v>82</v>
      </c>
      <c r="S28" t="s" s="0">
        <v>82</v>
      </c>
      <c r="T28" t="s" s="0">
        <v>82</v>
      </c>
      <c r="U28" t="s" s="0">
        <v>82</v>
      </c>
      <c r="V28" t="s" s="0">
        <v>923</v>
      </c>
      <c r="W28" t="s" s="0">
        <v>924</v>
      </c>
      <c r="X28" t="s" s="0">
        <v>82</v>
      </c>
      <c r="Y28" t="s" s="0">
        <v>82</v>
      </c>
      <c r="Z28" t="s" s="0">
        <v>94</v>
      </c>
      <c r="AA28" t="s" s="0">
        <v>95</v>
      </c>
      <c r="AB28" t="s" s="0">
        <v>82</v>
      </c>
      <c r="AC28" t="s" s="0">
        <v>82</v>
      </c>
      <c r="AD28" t="s" s="0">
        <v>82</v>
      </c>
      <c r="AE28" t="s" s="0">
        <v>82</v>
      </c>
      <c r="AF28" t="s" s="0">
        <v>82</v>
      </c>
      <c r="AG28" t="s" s="0">
        <v>925</v>
      </c>
      <c r="AH28" t="s" s="0">
        <v>926</v>
      </c>
      <c r="AI28" t="s" s="0">
        <v>927</v>
      </c>
      <c r="AJ28" t="s" s="0">
        <v>928</v>
      </c>
      <c r="AK28" t="s" s="0">
        <v>82</v>
      </c>
      <c r="AL28" t="s" s="0">
        <v>360</v>
      </c>
      <c r="AM28" t="s" s="0">
        <v>77</v>
      </c>
      <c r="AN28" t="s" s="0">
        <v>77</v>
      </c>
      <c r="AO28" t="s" s="0">
        <v>77</v>
      </c>
      <c r="AP28" t="s" s="0">
        <v>78</v>
      </c>
      <c r="AQ28" t="s" s="0">
        <v>760</v>
      </c>
      <c r="AR28" t="s" s="0">
        <v>761</v>
      </c>
      <c r="AS28" t="s" s="0">
        <v>762</v>
      </c>
      <c r="AT28" t="s" s="0">
        <v>929</v>
      </c>
      <c r="AU28" t="s" s="0">
        <v>82</v>
      </c>
      <c r="AV28" t="s" s="0">
        <v>82</v>
      </c>
      <c r="AW28" t="s" s="0">
        <v>930</v>
      </c>
      <c r="AX28" t="s" s="0">
        <v>931</v>
      </c>
      <c r="AY28" t="s" s="0">
        <v>932</v>
      </c>
      <c r="AZ28" t="s" s="0">
        <v>112</v>
      </c>
      <c r="BA28" t="s" s="0">
        <v>231</v>
      </c>
      <c r="BB28" t="s" s="0">
        <v>101</v>
      </c>
      <c r="BC28" t="s" s="0">
        <v>82</v>
      </c>
      <c r="BD28" t="s" s="0">
        <v>82</v>
      </c>
      <c r="BE28" t="s" s="0">
        <v>82</v>
      </c>
      <c r="BF28" t="s" s="0">
        <v>82</v>
      </c>
      <c r="BG28" t="s" s="0">
        <v>82</v>
      </c>
      <c r="BH28" t="s" s="0">
        <v>82</v>
      </c>
      <c r="BI28" t="s" s="0">
        <v>933</v>
      </c>
      <c r="BJ28" t="s" s="0">
        <v>934</v>
      </c>
      <c r="BK28" t="s" s="53">
        <f>HYPERLINK("http://dx.doi.org/10.1002/cam4.70697","http://dx.doi.org/10.1002/cam4.70697")</f>
        <v>935</v>
      </c>
      <c r="BL28" t="s" s="0">
        <v>82</v>
      </c>
      <c r="BM28" t="s" s="0">
        <v>82</v>
      </c>
      <c r="BN28" t="s" s="0">
        <v>634</v>
      </c>
      <c r="BO28" t="s" s="0">
        <v>557</v>
      </c>
      <c r="BP28" t="s" s="0">
        <v>557</v>
      </c>
      <c r="BQ28" t="s" s="0">
        <v>936</v>
      </c>
      <c r="BR28" t="s" s="0">
        <v>937</v>
      </c>
      <c r="BS28" t="s" s="0">
        <v>938</v>
      </c>
      <c r="BT28" t="s" s="54">
        <f>HYPERLINK("https://www.webofscience.com/wos/woscc/full-record/WOS:001458446100001","View Record in Web of Science")</f>
        <v>124</v>
      </c>
      <c r="BU28" t="s" s="0">
        <v>236</v>
      </c>
      <c r="BV28" t="s" s="0">
        <v>82</v>
      </c>
      <c r="BW28" t="s" s="0">
        <v>82</v>
      </c>
      <c r="BX28" t="s" s="0">
        <v>126</v>
      </c>
    </row>
    <row r="29">
      <c r="A29" t="s" s="0">
        <v>78</v>
      </c>
      <c r="B29" t="s" s="0">
        <v>77</v>
      </c>
      <c r="C29" t="s" s="0">
        <v>372</v>
      </c>
      <c r="D29" t="s" s="0">
        <v>77</v>
      </c>
      <c r="E29" t="s" s="0">
        <v>939</v>
      </c>
      <c r="F29" t="s" s="0">
        <v>940</v>
      </c>
      <c r="G29" t="s" s="0">
        <v>941</v>
      </c>
      <c r="H29" t="s" s="0">
        <v>82</v>
      </c>
      <c r="I29" t="s" s="0">
        <v>83</v>
      </c>
      <c r="J29" t="s" s="0">
        <v>942</v>
      </c>
      <c r="K29" t="s" s="0">
        <v>943</v>
      </c>
      <c r="L29" t="s" s="0">
        <v>82</v>
      </c>
      <c r="M29" t="s" s="0">
        <v>82</v>
      </c>
      <c r="N29" t="s" s="0">
        <v>82</v>
      </c>
      <c r="O29" t="s" s="0">
        <v>944</v>
      </c>
      <c r="P29" t="s" s="0">
        <v>945</v>
      </c>
      <c r="Q29" t="s" s="0">
        <v>91</v>
      </c>
      <c r="R29" t="s" s="0">
        <v>82</v>
      </c>
      <c r="S29" t="s" s="0">
        <v>82</v>
      </c>
      <c r="T29" t="s" s="0">
        <v>82</v>
      </c>
      <c r="U29" t="s" s="0">
        <v>82</v>
      </c>
      <c r="V29" t="s" s="0">
        <v>946</v>
      </c>
      <c r="W29" t="s" s="0">
        <v>947</v>
      </c>
      <c r="X29" t="s" s="0">
        <v>82</v>
      </c>
      <c r="Y29" t="s" s="0">
        <v>82</v>
      </c>
      <c r="Z29" t="s" s="0">
        <v>94</v>
      </c>
      <c r="AA29" t="s" s="0">
        <v>95</v>
      </c>
      <c r="AB29" t="s" s="0">
        <v>82</v>
      </c>
      <c r="AC29" t="s" s="0">
        <v>82</v>
      </c>
      <c r="AD29" t="s" s="0">
        <v>82</v>
      </c>
      <c r="AE29" t="s" s="0">
        <v>82</v>
      </c>
      <c r="AF29" t="s" s="0">
        <v>82</v>
      </c>
      <c r="AG29" t="s" s="0">
        <v>948</v>
      </c>
      <c r="AH29" t="s" s="0">
        <v>949</v>
      </c>
      <c r="AI29" t="s" s="0">
        <v>950</v>
      </c>
      <c r="AJ29" t="s" s="0">
        <v>951</v>
      </c>
      <c r="AK29" t="s" s="0">
        <v>82</v>
      </c>
      <c r="AL29" t="s" s="0">
        <v>113</v>
      </c>
      <c r="AM29" t="s" s="0">
        <v>291</v>
      </c>
      <c r="AN29" t="s" s="0">
        <v>102</v>
      </c>
      <c r="AO29" t="s" s="0">
        <v>78</v>
      </c>
      <c r="AP29" t="s" s="0">
        <v>103</v>
      </c>
      <c r="AQ29" t="s" s="0">
        <v>952</v>
      </c>
      <c r="AR29" t="s" s="0">
        <v>953</v>
      </c>
      <c r="AS29" t="s" s="0">
        <v>954</v>
      </c>
      <c r="AT29" t="s" s="0">
        <v>82</v>
      </c>
      <c r="AU29" t="s" s="0">
        <v>955</v>
      </c>
      <c r="AV29" t="s" s="0">
        <v>82</v>
      </c>
      <c r="AW29" t="s" s="0">
        <v>947</v>
      </c>
      <c r="AX29" t="s" s="0">
        <v>956</v>
      </c>
      <c r="AY29" t="s" s="0">
        <v>957</v>
      </c>
      <c r="AZ29" t="s" s="0">
        <v>112</v>
      </c>
      <c r="BA29" t="s" s="0">
        <v>524</v>
      </c>
      <c r="BB29" t="s" s="0">
        <v>119</v>
      </c>
      <c r="BC29" t="s" s="0">
        <v>82</v>
      </c>
      <c r="BD29" t="s" s="0">
        <v>82</v>
      </c>
      <c r="BE29" t="s" s="0">
        <v>82</v>
      </c>
      <c r="BF29" t="s" s="0">
        <v>82</v>
      </c>
      <c r="BG29" t="s" s="0">
        <v>82</v>
      </c>
      <c r="BH29" t="s" s="0">
        <v>82</v>
      </c>
      <c r="BI29" t="s" s="0">
        <v>958</v>
      </c>
      <c r="BJ29" t="s" s="0">
        <v>959</v>
      </c>
      <c r="BK29" t="s" s="55">
        <f>HYPERLINK("http://dx.doi.org/10.1016/j.esmoop.2025.105557","http://dx.doi.org/10.1016/j.esmoop.2025.105557")</f>
        <v>960</v>
      </c>
      <c r="BL29" t="s" s="0">
        <v>82</v>
      </c>
      <c r="BM29" t="s" s="0">
        <v>961</v>
      </c>
      <c r="BN29" t="s" s="0">
        <v>114</v>
      </c>
      <c r="BO29" t="s" s="0">
        <v>557</v>
      </c>
      <c r="BP29" t="s" s="0">
        <v>557</v>
      </c>
      <c r="BQ29" t="s" s="0">
        <v>962</v>
      </c>
      <c r="BR29" t="s" s="0">
        <v>963</v>
      </c>
      <c r="BS29" t="s" s="0">
        <v>964</v>
      </c>
      <c r="BT29" t="s" s="56">
        <f>HYPERLINK("https://www.webofscience.com/wos/woscc/full-record/WOS:001586862100001","View Record in Web of Science")</f>
        <v>124</v>
      </c>
      <c r="BU29" t="s" s="0">
        <v>236</v>
      </c>
      <c r="BV29" t="s" s="0">
        <v>82</v>
      </c>
      <c r="BW29" t="s" s="0">
        <v>82</v>
      </c>
      <c r="BX29" t="s" s="0">
        <v>126</v>
      </c>
    </row>
    <row r="30">
      <c r="A30" t="s" s="0">
        <v>77</v>
      </c>
      <c r="B30" t="s" s="0">
        <v>77</v>
      </c>
      <c r="C30" t="s" s="0">
        <v>77</v>
      </c>
      <c r="D30" t="s" s="0">
        <v>78</v>
      </c>
      <c r="E30" t="s" s="0">
        <v>965</v>
      </c>
      <c r="F30" t="s" s="0">
        <v>966</v>
      </c>
      <c r="G30" t="s" s="0">
        <v>967</v>
      </c>
      <c r="H30" t="s" s="0">
        <v>82</v>
      </c>
      <c r="I30" t="s" s="0">
        <v>83</v>
      </c>
      <c r="J30" t="s" s="0">
        <v>968</v>
      </c>
      <c r="K30" t="s" s="0">
        <v>969</v>
      </c>
      <c r="L30" t="s" s="0">
        <v>208</v>
      </c>
      <c r="M30" t="s" s="0">
        <v>209</v>
      </c>
      <c r="N30" t="s" s="0">
        <v>82</v>
      </c>
      <c r="O30" t="s" s="0">
        <v>970</v>
      </c>
      <c r="P30" t="s" s="0">
        <v>971</v>
      </c>
      <c r="Q30" t="s" s="0">
        <v>91</v>
      </c>
      <c r="R30" t="s" s="0">
        <v>82</v>
      </c>
      <c r="S30" t="s" s="0">
        <v>82</v>
      </c>
      <c r="T30" t="s" s="0">
        <v>82</v>
      </c>
      <c r="U30" t="s" s="0">
        <v>82</v>
      </c>
      <c r="V30" t="s" s="0">
        <v>972</v>
      </c>
      <c r="W30" t="s" s="0">
        <v>973</v>
      </c>
      <c r="X30" t="s" s="0">
        <v>82</v>
      </c>
      <c r="Y30" t="s" s="0">
        <v>82</v>
      </c>
      <c r="Z30" t="s" s="0">
        <v>94</v>
      </c>
      <c r="AA30" t="s" s="0">
        <v>95</v>
      </c>
      <c r="AB30" t="s" s="0">
        <v>82</v>
      </c>
      <c r="AC30" t="s" s="0">
        <v>82</v>
      </c>
      <c r="AD30" t="s" s="0">
        <v>82</v>
      </c>
      <c r="AE30" t="s" s="0">
        <v>82</v>
      </c>
      <c r="AF30" t="s" s="0">
        <v>82</v>
      </c>
      <c r="AG30" t="s" s="0">
        <v>974</v>
      </c>
      <c r="AH30" t="s" s="0">
        <v>82</v>
      </c>
      <c r="AI30" t="s" s="0">
        <v>216</v>
      </c>
      <c r="AJ30" t="s" s="0">
        <v>975</v>
      </c>
      <c r="AK30" t="s" s="0">
        <v>82</v>
      </c>
      <c r="AL30" t="s" s="0">
        <v>976</v>
      </c>
      <c r="AM30" t="s" s="0">
        <v>268</v>
      </c>
      <c r="AN30" t="s" s="0">
        <v>300</v>
      </c>
      <c r="AO30" t="s" s="0">
        <v>77</v>
      </c>
      <c r="AP30" t="s" s="0">
        <v>103</v>
      </c>
      <c r="AQ30" t="s" s="0">
        <v>104</v>
      </c>
      <c r="AR30" t="s" s="0">
        <v>105</v>
      </c>
      <c r="AS30" t="s" s="0">
        <v>106</v>
      </c>
      <c r="AT30" t="s" s="0">
        <v>977</v>
      </c>
      <c r="AU30" t="s" s="0">
        <v>978</v>
      </c>
      <c r="AV30" t="s" s="0">
        <v>82</v>
      </c>
      <c r="AW30" t="s" s="0">
        <v>979</v>
      </c>
      <c r="AX30" t="s" s="0">
        <v>980</v>
      </c>
      <c r="AY30" t="s" s="0">
        <v>981</v>
      </c>
      <c r="AZ30" t="s" s="0">
        <v>842</v>
      </c>
      <c r="BA30" t="s" s="0">
        <v>113</v>
      </c>
      <c r="BB30" t="s" s="0">
        <v>101</v>
      </c>
      <c r="BC30" t="s" s="0">
        <v>82</v>
      </c>
      <c r="BD30" t="s" s="0">
        <v>82</v>
      </c>
      <c r="BE30" t="s" s="0">
        <v>82</v>
      </c>
      <c r="BF30" t="s" s="0">
        <v>82</v>
      </c>
      <c r="BG30" t="s" s="0">
        <v>82</v>
      </c>
      <c r="BH30" t="s" s="0">
        <v>82</v>
      </c>
      <c r="BI30" t="s" s="0">
        <v>982</v>
      </c>
      <c r="BJ30" t="s" s="0">
        <v>983</v>
      </c>
      <c r="BK30" t="s" s="57">
        <f>HYPERLINK("http://dx.doi.org/10.1016/j.injury.2023.05.027","http://dx.doi.org/10.1016/j.injury.2023.05.027")</f>
        <v>984</v>
      </c>
      <c r="BL30" t="s" s="0">
        <v>82</v>
      </c>
      <c r="BM30" t="s" s="0">
        <v>985</v>
      </c>
      <c r="BN30" t="s" s="0">
        <v>101</v>
      </c>
      <c r="BO30" t="s" s="0">
        <v>986</v>
      </c>
      <c r="BP30" t="s" s="0">
        <v>987</v>
      </c>
      <c r="BQ30" t="s" s="0">
        <v>988</v>
      </c>
      <c r="BR30" t="s" s="0">
        <v>989</v>
      </c>
      <c r="BS30" t="s" s="0">
        <v>990</v>
      </c>
      <c r="BT30" t="s" s="58">
        <f>HYPERLINK("https://www.webofscience.com/wos/woscc/full-record/WOS:001016622800001","View Record in Web of Science")</f>
        <v>124</v>
      </c>
      <c r="BU30" t="s" s="0">
        <v>82</v>
      </c>
      <c r="BV30" t="s" s="0">
        <v>82</v>
      </c>
      <c r="BW30" t="s" s="0">
        <v>82</v>
      </c>
      <c r="BX30" t="s" s="0">
        <v>126</v>
      </c>
    </row>
    <row r="31">
      <c r="A31" t="s" s="0">
        <v>77</v>
      </c>
      <c r="B31" t="s" s="0">
        <v>77</v>
      </c>
      <c r="C31" t="s" s="0">
        <v>524</v>
      </c>
      <c r="D31" t="s" s="0">
        <v>78</v>
      </c>
      <c r="E31" t="s" s="0">
        <v>991</v>
      </c>
      <c r="F31" t="s" s="0">
        <v>992</v>
      </c>
      <c r="G31" t="s" s="0">
        <v>993</v>
      </c>
      <c r="H31" t="s" s="0">
        <v>82</v>
      </c>
      <c r="I31" t="s" s="0">
        <v>83</v>
      </c>
      <c r="J31" t="s" s="0">
        <v>994</v>
      </c>
      <c r="K31" t="s" s="0">
        <v>995</v>
      </c>
      <c r="L31" t="s" s="0">
        <v>82</v>
      </c>
      <c r="M31" t="s" s="0">
        <v>82</v>
      </c>
      <c r="N31" t="s" s="0">
        <v>82</v>
      </c>
      <c r="O31" t="s" s="0">
        <v>996</v>
      </c>
      <c r="P31" t="s" s="0">
        <v>997</v>
      </c>
      <c r="Q31" t="s" s="0">
        <v>91</v>
      </c>
      <c r="R31" t="s" s="0">
        <v>82</v>
      </c>
      <c r="S31" t="s" s="0">
        <v>82</v>
      </c>
      <c r="T31" t="s" s="0">
        <v>82</v>
      </c>
      <c r="U31" t="s" s="0">
        <v>82</v>
      </c>
      <c r="V31" t="s" s="0">
        <v>998</v>
      </c>
      <c r="W31" t="s" s="0">
        <v>999</v>
      </c>
      <c r="X31" t="s" s="0">
        <v>82</v>
      </c>
      <c r="Y31" t="s" s="0">
        <v>82</v>
      </c>
      <c r="Z31" t="s" s="0">
        <v>94</v>
      </c>
      <c r="AA31" t="s" s="0">
        <v>95</v>
      </c>
      <c r="AB31" t="s" s="0">
        <v>82</v>
      </c>
      <c r="AC31" t="s" s="0">
        <v>82</v>
      </c>
      <c r="AD31" t="s" s="0">
        <v>82</v>
      </c>
      <c r="AE31" t="s" s="0">
        <v>82</v>
      </c>
      <c r="AF31" t="s" s="0">
        <v>82</v>
      </c>
      <c r="AG31" t="s" s="0">
        <v>1000</v>
      </c>
      <c r="AH31" t="s" s="0">
        <v>1001</v>
      </c>
      <c r="AI31" t="s" s="0">
        <v>1002</v>
      </c>
      <c r="AJ31" t="s" s="0">
        <v>1003</v>
      </c>
      <c r="AK31" t="s" s="0">
        <v>82</v>
      </c>
      <c r="AL31" t="s" s="0">
        <v>633</v>
      </c>
      <c r="AM31" t="s" s="0">
        <v>342</v>
      </c>
      <c r="AN31" t="s" s="0">
        <v>158</v>
      </c>
      <c r="AO31" t="s" s="0">
        <v>77</v>
      </c>
      <c r="AP31" t="s" s="0">
        <v>101</v>
      </c>
      <c r="AQ31" t="s" s="0">
        <v>1004</v>
      </c>
      <c r="AR31" t="s" s="0">
        <v>220</v>
      </c>
      <c r="AS31" t="s" s="0">
        <v>1005</v>
      </c>
      <c r="AT31" t="s" s="0">
        <v>1006</v>
      </c>
      <c r="AU31" t="s" s="0">
        <v>1007</v>
      </c>
      <c r="AV31" t="s" s="0">
        <v>82</v>
      </c>
      <c r="AW31" t="s" s="0">
        <v>1008</v>
      </c>
      <c r="AX31" t="s" s="0">
        <v>1009</v>
      </c>
      <c r="AY31" t="s" s="0">
        <v>1010</v>
      </c>
      <c r="AZ31" t="s" s="0">
        <v>1011</v>
      </c>
      <c r="BA31" t="s" s="0">
        <v>1012</v>
      </c>
      <c r="BB31" t="s" s="0">
        <v>78</v>
      </c>
      <c r="BC31" t="s" s="0">
        <v>82</v>
      </c>
      <c r="BD31" t="s" s="0">
        <v>82</v>
      </c>
      <c r="BE31" t="s" s="0">
        <v>82</v>
      </c>
      <c r="BF31" t="s" s="0">
        <v>82</v>
      </c>
      <c r="BG31" t="s" s="0">
        <v>102</v>
      </c>
      <c r="BH31" t="s" s="0">
        <v>431</v>
      </c>
      <c r="BI31" t="s" s="0">
        <v>82</v>
      </c>
      <c r="BJ31" t="s" s="0">
        <v>1013</v>
      </c>
      <c r="BK31" t="s" s="59">
        <f>HYPERLINK("http://dx.doi.org/10.1016/j.jhin.2019.01.012","http://dx.doi.org/10.1016/j.jhin.2019.01.012")</f>
        <v>1014</v>
      </c>
      <c r="BL31" t="s" s="0">
        <v>82</v>
      </c>
      <c r="BM31" t="s" s="0">
        <v>82</v>
      </c>
      <c r="BN31" t="s" s="0">
        <v>119</v>
      </c>
      <c r="BO31" t="s" s="0">
        <v>1015</v>
      </c>
      <c r="BP31" t="s" s="0">
        <v>1015</v>
      </c>
      <c r="BQ31" t="s" s="0">
        <v>1016</v>
      </c>
      <c r="BR31" t="s" s="0">
        <v>1017</v>
      </c>
      <c r="BS31" t="s" s="0">
        <v>1018</v>
      </c>
      <c r="BT31" t="s" s="60">
        <f>HYPERLINK("https://www.webofscience.com/wos/woscc/full-record/WOS:000465285500002","View Record in Web of Science")</f>
        <v>124</v>
      </c>
      <c r="BU31" t="s" s="0">
        <v>82</v>
      </c>
      <c r="BV31" t="s" s="0">
        <v>82</v>
      </c>
      <c r="BW31" t="s" s="0">
        <v>82</v>
      </c>
      <c r="BX31" t="s" s="0">
        <v>126</v>
      </c>
    </row>
    <row r="32">
      <c r="A32" t="s" s="0">
        <v>78</v>
      </c>
      <c r="B32" t="s" s="0">
        <v>77</v>
      </c>
      <c r="C32" t="s" s="0">
        <v>119</v>
      </c>
      <c r="D32" t="s" s="0">
        <v>77</v>
      </c>
      <c r="E32" t="s" s="0">
        <v>1019</v>
      </c>
      <c r="F32" t="s" s="0">
        <v>1020</v>
      </c>
      <c r="G32" t="s" s="0">
        <v>1021</v>
      </c>
      <c r="H32" t="s" s="0">
        <v>82</v>
      </c>
      <c r="I32" t="s" s="0">
        <v>83</v>
      </c>
      <c r="J32" t="s" s="0">
        <v>1022</v>
      </c>
      <c r="K32" t="s" s="0">
        <v>1023</v>
      </c>
      <c r="L32" t="s" s="0">
        <v>1024</v>
      </c>
      <c r="M32" t="s" s="0">
        <v>1025</v>
      </c>
      <c r="N32" t="s" s="0">
        <v>1026</v>
      </c>
      <c r="O32" t="s" s="0">
        <v>1027</v>
      </c>
      <c r="P32" t="s" s="0">
        <v>1028</v>
      </c>
      <c r="Q32" t="s" s="0">
        <v>91</v>
      </c>
      <c r="R32" t="s" s="0">
        <v>82</v>
      </c>
      <c r="S32" t="s" s="0">
        <v>82</v>
      </c>
      <c r="T32" t="s" s="0">
        <v>82</v>
      </c>
      <c r="U32" t="s" s="0">
        <v>82</v>
      </c>
      <c r="V32" t="s" s="0">
        <v>1029</v>
      </c>
      <c r="W32" t="s" s="0">
        <v>1030</v>
      </c>
      <c r="X32" t="s" s="0">
        <v>82</v>
      </c>
      <c r="Y32" t="s" s="0">
        <v>82</v>
      </c>
      <c r="Z32" t="s" s="0">
        <v>94</v>
      </c>
      <c r="AA32" t="s" s="0">
        <v>95</v>
      </c>
      <c r="AB32" t="s" s="0">
        <v>82</v>
      </c>
      <c r="AC32" t="s" s="0">
        <v>82</v>
      </c>
      <c r="AD32" t="s" s="0">
        <v>82</v>
      </c>
      <c r="AE32" t="s" s="0">
        <v>82</v>
      </c>
      <c r="AF32" t="s" s="0">
        <v>82</v>
      </c>
      <c r="AG32" t="s" s="0">
        <v>1031</v>
      </c>
      <c r="AH32" t="s" s="0">
        <v>1032</v>
      </c>
      <c r="AI32" t="s" s="0">
        <v>1033</v>
      </c>
      <c r="AJ32" t="s" s="0">
        <v>1034</v>
      </c>
      <c r="AK32" t="s" s="0">
        <v>82</v>
      </c>
      <c r="AL32" t="s" s="0">
        <v>78</v>
      </c>
      <c r="AM32" t="s" s="0">
        <v>115</v>
      </c>
      <c r="AN32" t="s" s="0">
        <v>1035</v>
      </c>
      <c r="AO32" t="s" s="0">
        <v>78</v>
      </c>
      <c r="AP32" t="s" s="0">
        <v>300</v>
      </c>
      <c r="AQ32" t="s" s="0">
        <v>952</v>
      </c>
      <c r="AR32" t="s" s="0">
        <v>953</v>
      </c>
      <c r="AS32" t="s" s="0">
        <v>954</v>
      </c>
      <c r="AT32" t="s" s="0">
        <v>1036</v>
      </c>
      <c r="AU32" t="s" s="0">
        <v>1037</v>
      </c>
      <c r="AV32" t="s" s="0">
        <v>82</v>
      </c>
      <c r="AW32" t="s" s="0">
        <v>1038</v>
      </c>
      <c r="AX32" t="s" s="0">
        <v>1039</v>
      </c>
      <c r="AY32" t="s" s="0">
        <v>1040</v>
      </c>
      <c r="AZ32" t="s" s="0">
        <v>226</v>
      </c>
      <c r="BA32" t="s" s="0">
        <v>399</v>
      </c>
      <c r="BB32" t="s" s="0">
        <v>78</v>
      </c>
      <c r="BC32" t="s" s="0">
        <v>82</v>
      </c>
      <c r="BD32" t="s" s="0">
        <v>82</v>
      </c>
      <c r="BE32" t="s" s="0">
        <v>82</v>
      </c>
      <c r="BF32" t="s" s="0">
        <v>82</v>
      </c>
      <c r="BG32" t="s" s="0">
        <v>1041</v>
      </c>
      <c r="BH32" t="s" s="0">
        <v>1042</v>
      </c>
      <c r="BI32" t="s" s="0">
        <v>82</v>
      </c>
      <c r="BJ32" t="s" s="0">
        <v>1043</v>
      </c>
      <c r="BK32" t="s" s="61">
        <f>HYPERLINK("http://dx.doi.org/10.1016/j.jhep.2024.03.030","http://dx.doi.org/10.1016/j.jhep.2024.03.030")</f>
        <v>1044</v>
      </c>
      <c r="BL32" t="s" s="0">
        <v>82</v>
      </c>
      <c r="BM32" t="s" s="0">
        <v>1045</v>
      </c>
      <c r="BN32" t="s" s="0">
        <v>231</v>
      </c>
      <c r="BO32" t="s" s="0">
        <v>1046</v>
      </c>
      <c r="BP32" t="s" s="0">
        <v>1046</v>
      </c>
      <c r="BQ32" t="s" s="0">
        <v>1047</v>
      </c>
      <c r="BR32" t="s" s="0">
        <v>1048</v>
      </c>
      <c r="BS32" t="s" s="0">
        <v>1049</v>
      </c>
      <c r="BT32" t="s" s="62">
        <f>HYPERLINK("https://www.webofscience.com/wos/woscc/full-record/WOS:001293745500001","View Record in Web of Science")</f>
        <v>124</v>
      </c>
      <c r="BU32" t="s" s="0">
        <v>413</v>
      </c>
      <c r="BV32" t="s" s="0">
        <v>82</v>
      </c>
      <c r="BW32" t="s" s="0">
        <v>82</v>
      </c>
      <c r="BX32" t="s" s="0">
        <v>126</v>
      </c>
    </row>
    <row r="33">
      <c r="A33" t="s" s="0">
        <v>372</v>
      </c>
      <c r="B33" t="s" s="0">
        <v>77</v>
      </c>
      <c r="C33" t="s" s="0">
        <v>328</v>
      </c>
      <c r="D33" t="s" s="0">
        <v>77</v>
      </c>
      <c r="E33" t="s" s="0">
        <v>1050</v>
      </c>
      <c r="F33" t="s" s="0">
        <v>1051</v>
      </c>
      <c r="G33" t="s" s="0">
        <v>1052</v>
      </c>
      <c r="H33" t="s" s="0">
        <v>82</v>
      </c>
      <c r="I33" t="s" s="0">
        <v>83</v>
      </c>
      <c r="J33" t="s" s="0">
        <v>1053</v>
      </c>
      <c r="K33" t="s" s="0">
        <v>1054</v>
      </c>
      <c r="L33" t="s" s="0">
        <v>1055</v>
      </c>
      <c r="M33" t="s" s="0">
        <v>1055</v>
      </c>
      <c r="N33" t="s" s="0">
        <v>1056</v>
      </c>
      <c r="O33" t="s" s="0">
        <v>1057</v>
      </c>
      <c r="P33" t="s" s="0">
        <v>1058</v>
      </c>
      <c r="Q33" t="s" s="0">
        <v>91</v>
      </c>
      <c r="R33" t="s" s="0">
        <v>82</v>
      </c>
      <c r="S33" t="s" s="0">
        <v>82</v>
      </c>
      <c r="T33" t="s" s="0">
        <v>82</v>
      </c>
      <c r="U33" t="s" s="0">
        <v>82</v>
      </c>
      <c r="V33" t="s" s="0">
        <v>1059</v>
      </c>
      <c r="W33" t="s" s="0">
        <v>1060</v>
      </c>
      <c r="X33" t="s" s="0">
        <v>82</v>
      </c>
      <c r="Y33" t="s" s="0">
        <v>82</v>
      </c>
      <c r="Z33" t="s" s="0">
        <v>94</v>
      </c>
      <c r="AA33" t="s" s="0">
        <v>95</v>
      </c>
      <c r="AB33" t="s" s="0">
        <v>82</v>
      </c>
      <c r="AC33" t="s" s="0">
        <v>82</v>
      </c>
      <c r="AD33" t="s" s="0">
        <v>82</v>
      </c>
      <c r="AE33" t="s" s="0">
        <v>82</v>
      </c>
      <c r="AF33" t="s" s="0">
        <v>82</v>
      </c>
      <c r="AG33" t="s" s="0">
        <v>1061</v>
      </c>
      <c r="AH33" t="s" s="0">
        <v>1062</v>
      </c>
      <c r="AI33" t="s" s="0">
        <v>1063</v>
      </c>
      <c r="AJ33" t="s" s="0">
        <v>1064</v>
      </c>
      <c r="AK33" t="s" s="0">
        <v>82</v>
      </c>
      <c r="AL33" t="s" s="0">
        <v>1065</v>
      </c>
      <c r="AM33" t="s" s="0">
        <v>1066</v>
      </c>
      <c r="AN33" t="s" s="0">
        <v>1067</v>
      </c>
      <c r="AO33" t="s" s="0">
        <v>372</v>
      </c>
      <c r="AP33" t="s" s="0">
        <v>100</v>
      </c>
      <c r="AQ33" t="s" s="0">
        <v>1068</v>
      </c>
      <c r="AR33" t="s" s="0">
        <v>1069</v>
      </c>
      <c r="AS33" t="s" s="0">
        <v>1070</v>
      </c>
      <c r="AT33" t="s" s="0">
        <v>1071</v>
      </c>
      <c r="AU33" t="s" s="0">
        <v>1072</v>
      </c>
      <c r="AV33" t="s" s="0">
        <v>82</v>
      </c>
      <c r="AW33" t="s" s="0">
        <v>1060</v>
      </c>
      <c r="AX33" t="s" s="0">
        <v>1073</v>
      </c>
      <c r="AY33" t="s" s="0">
        <v>1074</v>
      </c>
      <c r="AZ33" t="s" s="0">
        <v>1075</v>
      </c>
      <c r="BA33" t="s" s="0">
        <v>1042</v>
      </c>
      <c r="BB33" t="s" s="0">
        <v>268</v>
      </c>
      <c r="BC33" t="s" s="0">
        <v>82</v>
      </c>
      <c r="BD33" t="s" s="0">
        <v>82</v>
      </c>
      <c r="BE33" t="s" s="0">
        <v>82</v>
      </c>
      <c r="BF33" t="s" s="0">
        <v>82</v>
      </c>
      <c r="BG33" t="s" s="0">
        <v>1076</v>
      </c>
      <c r="BH33" t="s" s="0">
        <v>1077</v>
      </c>
      <c r="BI33" t="s" s="0">
        <v>82</v>
      </c>
      <c r="BJ33" t="s" s="0">
        <v>1078</v>
      </c>
      <c r="BK33" t="s" s="63">
        <f>HYPERLINK("http://dx.doi.org/10.1097/j.pain.0000000000002261","http://dx.doi.org/10.1097/j.pain.0000000000002261")</f>
        <v>1079</v>
      </c>
      <c r="BL33" t="s" s="0">
        <v>82</v>
      </c>
      <c r="BM33" t="s" s="0">
        <v>82</v>
      </c>
      <c r="BN33" t="s" s="0">
        <v>231</v>
      </c>
      <c r="BO33" t="s" s="0">
        <v>1080</v>
      </c>
      <c r="BP33" t="s" s="0">
        <v>796</v>
      </c>
      <c r="BQ33" t="s" s="0">
        <v>1081</v>
      </c>
      <c r="BR33" t="s" s="0">
        <v>1082</v>
      </c>
      <c r="BS33" t="s" s="0">
        <v>1083</v>
      </c>
      <c r="BT33" t="s" s="64">
        <f>HYPERLINK("https://www.webofscience.com/wos/woscc/full-record/WOS:000707417300006","View Record in Web of Science")</f>
        <v>124</v>
      </c>
      <c r="BU33" t="s" s="0">
        <v>82</v>
      </c>
      <c r="BV33" t="s" s="0">
        <v>82</v>
      </c>
      <c r="BW33" t="s" s="0">
        <v>82</v>
      </c>
      <c r="BX33" t="s" s="0">
        <v>126</v>
      </c>
    </row>
    <row r="34">
      <c r="A34" t="s" s="0">
        <v>77</v>
      </c>
      <c r="B34" t="s" s="0">
        <v>77</v>
      </c>
      <c r="C34" t="s" s="0">
        <v>494</v>
      </c>
      <c r="D34" t="s" s="0">
        <v>77</v>
      </c>
      <c r="E34" t="s" s="0">
        <v>1084</v>
      </c>
      <c r="F34" t="s" s="0">
        <v>1085</v>
      </c>
      <c r="G34" t="s" s="0">
        <v>1086</v>
      </c>
      <c r="H34" t="s" s="0">
        <v>82</v>
      </c>
      <c r="I34" t="s" s="0">
        <v>167</v>
      </c>
      <c r="J34" t="s" s="0">
        <v>1087</v>
      </c>
      <c r="K34" t="s" s="0">
        <v>1088</v>
      </c>
      <c r="L34" t="s" s="0">
        <v>1089</v>
      </c>
      <c r="M34" t="s" s="0">
        <v>1090</v>
      </c>
      <c r="N34" t="s" s="0">
        <v>1091</v>
      </c>
      <c r="O34" t="s" s="0">
        <v>1092</v>
      </c>
      <c r="P34" t="s" s="0">
        <v>1093</v>
      </c>
      <c r="Q34" t="s" s="0">
        <v>91</v>
      </c>
      <c r="R34" t="s" s="0">
        <v>82</v>
      </c>
      <c r="S34" t="s" s="0">
        <v>82</v>
      </c>
      <c r="T34" t="s" s="0">
        <v>82</v>
      </c>
      <c r="U34" t="s" s="0">
        <v>82</v>
      </c>
      <c r="V34" t="s" s="0">
        <v>1094</v>
      </c>
      <c r="W34" t="s" s="0">
        <v>459</v>
      </c>
      <c r="X34" t="s" s="0">
        <v>82</v>
      </c>
      <c r="Y34" t="s" s="0">
        <v>82</v>
      </c>
      <c r="Z34" t="s" s="0">
        <v>94</v>
      </c>
      <c r="AA34" t="s" s="0">
        <v>95</v>
      </c>
      <c r="AB34" t="s" s="0">
        <v>82</v>
      </c>
      <c r="AC34" t="s" s="0">
        <v>82</v>
      </c>
      <c r="AD34" t="s" s="0">
        <v>82</v>
      </c>
      <c r="AE34" t="s" s="0">
        <v>82</v>
      </c>
      <c r="AF34" t="s" s="0">
        <v>82</v>
      </c>
      <c r="AG34" t="s" s="0">
        <v>1095</v>
      </c>
      <c r="AH34" t="s" s="0">
        <v>1096</v>
      </c>
      <c r="AI34" t="s" s="0">
        <v>1097</v>
      </c>
      <c r="AJ34" t="s" s="0">
        <v>1098</v>
      </c>
      <c r="AK34" t="s" s="0">
        <v>82</v>
      </c>
      <c r="AL34" t="s" s="0">
        <v>906</v>
      </c>
      <c r="AM34" t="s" s="0">
        <v>1099</v>
      </c>
      <c r="AN34" t="s" s="0">
        <v>1100</v>
      </c>
      <c r="AO34" t="s" s="0">
        <v>77</v>
      </c>
      <c r="AP34" t="s" s="0">
        <v>253</v>
      </c>
      <c r="AQ34" t="s" s="0">
        <v>464</v>
      </c>
      <c r="AR34" t="s" s="0">
        <v>465</v>
      </c>
      <c r="AS34" t="s" s="0">
        <v>466</v>
      </c>
      <c r="AT34" t="s" s="0">
        <v>467</v>
      </c>
      <c r="AU34" t="s" s="0">
        <v>468</v>
      </c>
      <c r="AV34" t="s" s="0">
        <v>82</v>
      </c>
      <c r="AW34" t="s" s="0">
        <v>469</v>
      </c>
      <c r="AX34" t="s" s="0">
        <v>470</v>
      </c>
      <c r="AY34" t="s" s="0">
        <v>1101</v>
      </c>
      <c r="AZ34" t="s" s="0">
        <v>1102</v>
      </c>
      <c r="BA34" t="s" s="0">
        <v>669</v>
      </c>
      <c r="BB34" t="s" s="0">
        <v>101</v>
      </c>
      <c r="BC34" t="s" s="0">
        <v>82</v>
      </c>
      <c r="BD34" t="s" s="0">
        <v>82</v>
      </c>
      <c r="BE34" t="s" s="0">
        <v>82</v>
      </c>
      <c r="BF34" t="s" s="0">
        <v>82</v>
      </c>
      <c r="BG34" t="s" s="0">
        <v>1103</v>
      </c>
      <c r="BH34" t="s" s="0">
        <v>1104</v>
      </c>
      <c r="BI34" t="s" s="0">
        <v>82</v>
      </c>
      <c r="BJ34" t="s" s="0">
        <v>1105</v>
      </c>
      <c r="BK34" t="s" s="65">
        <f>HYPERLINK("http://dx.doi.org/10.1017/S0033291716003494","http://dx.doi.org/10.1017/S0033291716003494")</f>
        <v>1106</v>
      </c>
      <c r="BL34" t="s" s="0">
        <v>82</v>
      </c>
      <c r="BM34" t="s" s="0">
        <v>82</v>
      </c>
      <c r="BN34" t="s" s="0">
        <v>431</v>
      </c>
      <c r="BO34" t="s" s="0">
        <v>477</v>
      </c>
      <c r="BP34" t="s" s="0">
        <v>478</v>
      </c>
      <c r="BQ34" t="s" s="0">
        <v>1107</v>
      </c>
      <c r="BR34" t="s" s="0">
        <v>1108</v>
      </c>
      <c r="BS34" t="s" s="0">
        <v>1109</v>
      </c>
      <c r="BT34" t="s" s="66">
        <f>HYPERLINK("https://www.webofscience.com/wos/woscc/full-record/WOS:000398797100001","View Record in Web of Science")</f>
        <v>124</v>
      </c>
      <c r="BU34" t="s" s="0">
        <v>1110</v>
      </c>
      <c r="BV34" t="s" s="0">
        <v>82</v>
      </c>
      <c r="BW34" t="s" s="0">
        <v>82</v>
      </c>
      <c r="BX34" t="s" s="0">
        <v>126</v>
      </c>
    </row>
    <row r="35">
      <c r="A35" t="s" s="0">
        <v>78</v>
      </c>
      <c r="B35" t="s" s="0">
        <v>77</v>
      </c>
      <c r="C35" t="s" s="0">
        <v>431</v>
      </c>
      <c r="D35" t="s" s="0">
        <v>77</v>
      </c>
      <c r="E35" t="s" s="0">
        <v>1111</v>
      </c>
      <c r="F35" t="s" s="0">
        <v>1112</v>
      </c>
      <c r="G35" t="s" s="0">
        <v>1113</v>
      </c>
      <c r="H35" t="s" s="0">
        <v>82</v>
      </c>
      <c r="I35" t="s" s="0">
        <v>83</v>
      </c>
      <c r="J35" t="s" s="0">
        <v>1114</v>
      </c>
      <c r="K35" t="s" s="0">
        <v>1115</v>
      </c>
      <c r="L35" t="s" s="0">
        <v>1116</v>
      </c>
      <c r="M35" t="s" s="0">
        <v>1117</v>
      </c>
      <c r="N35" t="s" s="0">
        <v>1118</v>
      </c>
      <c r="O35" t="s" s="0">
        <v>1119</v>
      </c>
      <c r="P35" t="s" s="0">
        <v>1120</v>
      </c>
      <c r="Q35" t="s" s="0">
        <v>91</v>
      </c>
      <c r="R35" t="s" s="0">
        <v>82</v>
      </c>
      <c r="S35" t="s" s="0">
        <v>82</v>
      </c>
      <c r="T35" t="s" s="0">
        <v>82</v>
      </c>
      <c r="U35" t="s" s="0">
        <v>82</v>
      </c>
      <c r="V35" t="s" s="0">
        <v>1121</v>
      </c>
      <c r="W35" t="s" s="0">
        <v>1122</v>
      </c>
      <c r="X35" t="s" s="0">
        <v>82</v>
      </c>
      <c r="Y35" t="s" s="0">
        <v>82</v>
      </c>
      <c r="Z35" t="s" s="0">
        <v>94</v>
      </c>
      <c r="AA35" t="s" s="0">
        <v>95</v>
      </c>
      <c r="AB35" t="s" s="0">
        <v>82</v>
      </c>
      <c r="AC35" t="s" s="0">
        <v>82</v>
      </c>
      <c r="AD35" t="s" s="0">
        <v>82</v>
      </c>
      <c r="AE35" t="s" s="0">
        <v>82</v>
      </c>
      <c r="AF35" t="s" s="0">
        <v>82</v>
      </c>
      <c r="AG35" t="s" s="0">
        <v>82</v>
      </c>
      <c r="AH35" t="s" s="0">
        <v>1123</v>
      </c>
      <c r="AI35" t="s" s="0">
        <v>1124</v>
      </c>
      <c r="AJ35" t="s" s="0">
        <v>1125</v>
      </c>
      <c r="AK35" t="s" s="0">
        <v>82</v>
      </c>
      <c r="AL35" t="s" s="0">
        <v>581</v>
      </c>
      <c r="AM35" t="s" s="0">
        <v>1126</v>
      </c>
      <c r="AN35" t="s" s="0">
        <v>1127</v>
      </c>
      <c r="AO35" t="s" s="0">
        <v>77</v>
      </c>
      <c r="AP35" t="s" s="0">
        <v>377</v>
      </c>
      <c r="AQ35" t="s" s="0">
        <v>1128</v>
      </c>
      <c r="AR35" t="s" s="0">
        <v>1129</v>
      </c>
      <c r="AS35" t="s" s="0">
        <v>1130</v>
      </c>
      <c r="AT35" t="s" s="0">
        <v>82</v>
      </c>
      <c r="AU35" t="s" s="0">
        <v>1131</v>
      </c>
      <c r="AV35" t="s" s="0">
        <v>82</v>
      </c>
      <c r="AW35" t="s" s="0">
        <v>1122</v>
      </c>
      <c r="AX35" t="s" s="0">
        <v>1132</v>
      </c>
      <c r="AY35" t="s" s="0">
        <v>1133</v>
      </c>
      <c r="AZ35" t="s" s="0">
        <v>643</v>
      </c>
      <c r="BA35" t="s" s="0">
        <v>300</v>
      </c>
      <c r="BB35" t="s" s="0">
        <v>78</v>
      </c>
      <c r="BC35" t="s" s="0">
        <v>82</v>
      </c>
      <c r="BD35" t="s" s="0">
        <v>82</v>
      </c>
      <c r="BE35" t="s" s="0">
        <v>82</v>
      </c>
      <c r="BF35" t="s" s="0">
        <v>82</v>
      </c>
      <c r="BG35" t="s" s="0">
        <v>82</v>
      </c>
      <c r="BH35" t="s" s="0">
        <v>82</v>
      </c>
      <c r="BI35" t="s" s="0">
        <v>1134</v>
      </c>
      <c r="BJ35" t="s" s="0">
        <v>1135</v>
      </c>
      <c r="BK35" t="s" s="67">
        <f>HYPERLINK("http://dx.doi.org/10.1371/journal.pone.0185402","http://dx.doi.org/10.1371/journal.pone.0185402")</f>
        <v>1136</v>
      </c>
      <c r="BL35" t="s" s="0">
        <v>82</v>
      </c>
      <c r="BM35" t="s" s="0">
        <v>82</v>
      </c>
      <c r="BN35" t="s" s="0">
        <v>300</v>
      </c>
      <c r="BO35" t="s" s="0">
        <v>1137</v>
      </c>
      <c r="BP35" t="s" s="0">
        <v>1138</v>
      </c>
      <c r="BQ35" t="s" s="0">
        <v>1139</v>
      </c>
      <c r="BR35" t="s" s="0">
        <v>1140</v>
      </c>
      <c r="BS35" t="s" s="0">
        <v>1141</v>
      </c>
      <c r="BT35" t="s" s="68">
        <f>HYPERLINK("https://www.webofscience.com/wos/woscc/full-record/WOS:000423514700001","View Record in Web of Science")</f>
        <v>124</v>
      </c>
      <c r="BU35" t="s" s="0">
        <v>236</v>
      </c>
      <c r="BV35" t="s" s="0">
        <v>82</v>
      </c>
      <c r="BW35" t="s" s="0">
        <v>82</v>
      </c>
      <c r="BX35" t="s" s="0">
        <v>126</v>
      </c>
    </row>
    <row r="36">
      <c r="A36" t="s" s="0">
        <v>77</v>
      </c>
      <c r="B36" t="s" s="0">
        <v>77</v>
      </c>
      <c r="C36" t="s" s="0">
        <v>77</v>
      </c>
      <c r="D36" t="s" s="0">
        <v>77</v>
      </c>
      <c r="E36" t="s" s="0">
        <v>1142</v>
      </c>
      <c r="F36" t="s" s="0">
        <v>1143</v>
      </c>
      <c r="G36" t="s" s="0">
        <v>1144</v>
      </c>
      <c r="H36" t="s" s="0">
        <v>82</v>
      </c>
      <c r="I36" t="s" s="0">
        <v>83</v>
      </c>
      <c r="J36" t="s" s="0">
        <v>1145</v>
      </c>
      <c r="K36" t="s" s="0">
        <v>1146</v>
      </c>
      <c r="L36" t="s" s="0">
        <v>1147</v>
      </c>
      <c r="M36" t="s" s="0">
        <v>1148</v>
      </c>
      <c r="N36" t="s" s="0">
        <v>1149</v>
      </c>
      <c r="O36" t="s" s="0">
        <v>1150</v>
      </c>
      <c r="P36" t="s" s="0">
        <v>1151</v>
      </c>
      <c r="Q36" t="s" s="0">
        <v>91</v>
      </c>
      <c r="R36" t="s" s="0">
        <v>82</v>
      </c>
      <c r="S36" t="s" s="0">
        <v>82</v>
      </c>
      <c r="T36" t="s" s="0">
        <v>82</v>
      </c>
      <c r="U36" t="s" s="0">
        <v>82</v>
      </c>
      <c r="V36" t="s" s="0">
        <v>1152</v>
      </c>
      <c r="W36" t="s" s="0">
        <v>1153</v>
      </c>
      <c r="X36" t="s" s="0">
        <v>82</v>
      </c>
      <c r="Y36" t="s" s="0">
        <v>82</v>
      </c>
      <c r="Z36" t="s" s="0">
        <v>94</v>
      </c>
      <c r="AA36" t="s" s="0">
        <v>95</v>
      </c>
      <c r="AB36" t="s" s="0">
        <v>82</v>
      </c>
      <c r="AC36" t="s" s="0">
        <v>82</v>
      </c>
      <c r="AD36" t="s" s="0">
        <v>82</v>
      </c>
      <c r="AE36" t="s" s="0">
        <v>82</v>
      </c>
      <c r="AF36" t="s" s="0">
        <v>82</v>
      </c>
      <c r="AG36" t="s" s="0">
        <v>1154</v>
      </c>
      <c r="AH36" t="s" s="0">
        <v>1155</v>
      </c>
      <c r="AI36" t="s" s="0">
        <v>82</v>
      </c>
      <c r="AJ36" t="s" s="0">
        <v>82</v>
      </c>
      <c r="AK36" t="s" s="0">
        <v>82</v>
      </c>
      <c r="AL36" t="s" s="0">
        <v>669</v>
      </c>
      <c r="AM36" t="s" s="0">
        <v>103</v>
      </c>
      <c r="AN36" t="s" s="0">
        <v>103</v>
      </c>
      <c r="AO36" t="s" s="0">
        <v>103</v>
      </c>
      <c r="AP36" t="s" s="0">
        <v>152</v>
      </c>
      <c r="AQ36" t="s" s="0">
        <v>547</v>
      </c>
      <c r="AR36" t="s" s="0">
        <v>548</v>
      </c>
      <c r="AS36" t="s" s="0">
        <v>549</v>
      </c>
      <c r="AT36" t="s" s="0">
        <v>82</v>
      </c>
      <c r="AU36" t="s" s="0">
        <v>1156</v>
      </c>
      <c r="AV36" t="s" s="0">
        <v>82</v>
      </c>
      <c r="AW36" t="s" s="0">
        <v>1157</v>
      </c>
      <c r="AX36" t="s" s="0">
        <v>1158</v>
      </c>
      <c r="AY36" t="s" s="0">
        <v>1159</v>
      </c>
      <c r="AZ36" t="s" s="0">
        <v>112</v>
      </c>
      <c r="BA36" t="s" s="0">
        <v>377</v>
      </c>
      <c r="BB36" t="s" s="0">
        <v>82</v>
      </c>
      <c r="BC36" t="s" s="0">
        <v>82</v>
      </c>
      <c r="BD36" t="s" s="0">
        <v>82</v>
      </c>
      <c r="BE36" t="s" s="0">
        <v>82</v>
      </c>
      <c r="BF36" t="s" s="0">
        <v>82</v>
      </c>
      <c r="BG36" t="s" s="0">
        <v>82</v>
      </c>
      <c r="BH36" t="s" s="0">
        <v>82</v>
      </c>
      <c r="BI36" t="s" s="0">
        <v>1160</v>
      </c>
      <c r="BJ36" t="s" s="0">
        <v>1161</v>
      </c>
      <c r="BK36" t="s" s="69">
        <f>HYPERLINK("http://dx.doi.org/10.3389/fmed.2025.1529201","http://dx.doi.org/10.3389/fmed.2025.1529201")</f>
        <v>1162</v>
      </c>
      <c r="BL36" t="s" s="0">
        <v>82</v>
      </c>
      <c r="BM36" t="s" s="0">
        <v>82</v>
      </c>
      <c r="BN36" t="s" s="0">
        <v>231</v>
      </c>
      <c r="BO36" t="s" s="0">
        <v>584</v>
      </c>
      <c r="BP36" t="s" s="0">
        <v>585</v>
      </c>
      <c r="BQ36" t="s" s="0">
        <v>1163</v>
      </c>
      <c r="BR36" t="s" s="0">
        <v>1164</v>
      </c>
      <c r="BS36" t="s" s="0">
        <v>1165</v>
      </c>
      <c r="BT36" t="s" s="70">
        <f>HYPERLINK("https://www.webofscience.com/wos/woscc/full-record/WOS:001438815100001","View Record in Web of Science")</f>
        <v>124</v>
      </c>
      <c r="BU36" t="s" s="0">
        <v>236</v>
      </c>
      <c r="BV36" t="s" s="0">
        <v>82</v>
      </c>
      <c r="BW36" t="s" s="0">
        <v>82</v>
      </c>
      <c r="BX36" t="s" s="0">
        <v>126</v>
      </c>
    </row>
    <row r="37">
      <c r="A37" t="s" s="0">
        <v>77</v>
      </c>
      <c r="B37" t="s" s="0">
        <v>77</v>
      </c>
      <c r="C37" t="s" s="0">
        <v>179</v>
      </c>
      <c r="D37" t="s" s="0">
        <v>77</v>
      </c>
      <c r="E37" t="s" s="0">
        <v>1166</v>
      </c>
      <c r="F37" t="s" s="0">
        <v>1167</v>
      </c>
      <c r="G37" t="s" s="0">
        <v>1168</v>
      </c>
      <c r="H37" t="s" s="0">
        <v>82</v>
      </c>
      <c r="I37" t="s" s="0">
        <v>83</v>
      </c>
      <c r="J37" t="s" s="0">
        <v>1169</v>
      </c>
      <c r="K37" t="s" s="0">
        <v>1170</v>
      </c>
      <c r="L37" t="s" s="0">
        <v>1171</v>
      </c>
      <c r="M37" t="s" s="0">
        <v>1172</v>
      </c>
      <c r="N37" t="s" s="0">
        <v>1173</v>
      </c>
      <c r="O37" t="s" s="0">
        <v>1174</v>
      </c>
      <c r="P37" t="s" s="0">
        <v>1175</v>
      </c>
      <c r="Q37" t="s" s="0">
        <v>91</v>
      </c>
      <c r="R37" t="s" s="0">
        <v>82</v>
      </c>
      <c r="S37" t="s" s="0">
        <v>82</v>
      </c>
      <c r="T37" t="s" s="0">
        <v>82</v>
      </c>
      <c r="U37" t="s" s="0">
        <v>82</v>
      </c>
      <c r="V37" t="s" s="0">
        <v>1176</v>
      </c>
      <c r="W37" t="s" s="0">
        <v>1177</v>
      </c>
      <c r="X37" t="s" s="0">
        <v>82</v>
      </c>
      <c r="Y37" t="s" s="0">
        <v>82</v>
      </c>
      <c r="Z37" t="s" s="0">
        <v>94</v>
      </c>
      <c r="AA37" t="s" s="0">
        <v>95</v>
      </c>
      <c r="AB37" t="s" s="0">
        <v>82</v>
      </c>
      <c r="AC37" t="s" s="0">
        <v>82</v>
      </c>
      <c r="AD37" t="s" s="0">
        <v>82</v>
      </c>
      <c r="AE37" t="s" s="0">
        <v>82</v>
      </c>
      <c r="AF37" t="s" s="0">
        <v>82</v>
      </c>
      <c r="AG37" t="s" s="0">
        <v>1178</v>
      </c>
      <c r="AH37" t="s" s="0">
        <v>1179</v>
      </c>
      <c r="AI37" t="s" s="0">
        <v>1180</v>
      </c>
      <c r="AJ37" t="s" s="0">
        <v>1181</v>
      </c>
      <c r="AK37" t="s" s="0">
        <v>82</v>
      </c>
      <c r="AL37" t="s" s="0">
        <v>1182</v>
      </c>
      <c r="AM37" t="s" s="0">
        <v>1126</v>
      </c>
      <c r="AN37" t="s" s="0">
        <v>1183</v>
      </c>
      <c r="AO37" t="s" s="0">
        <v>77</v>
      </c>
      <c r="AP37" t="s" s="0">
        <v>253</v>
      </c>
      <c r="AQ37" t="s" s="0">
        <v>760</v>
      </c>
      <c r="AR37" t="s" s="0">
        <v>761</v>
      </c>
      <c r="AS37" t="s" s="0">
        <v>762</v>
      </c>
      <c r="AT37" t="s" s="0">
        <v>1184</v>
      </c>
      <c r="AU37" t="s" s="0">
        <v>1185</v>
      </c>
      <c r="AV37" t="s" s="0">
        <v>82</v>
      </c>
      <c r="AW37" t="s" s="0">
        <v>1186</v>
      </c>
      <c r="AX37" t="s" s="0">
        <v>1187</v>
      </c>
      <c r="AY37" t="s" s="0">
        <v>1188</v>
      </c>
      <c r="AZ37" t="s" s="0">
        <v>1102</v>
      </c>
      <c r="BA37" t="s" s="0">
        <v>1189</v>
      </c>
      <c r="BB37" t="s" s="0">
        <v>372</v>
      </c>
      <c r="BC37" t="s" s="0">
        <v>82</v>
      </c>
      <c r="BD37" t="s" s="0">
        <v>82</v>
      </c>
      <c r="BE37" t="s" s="0">
        <v>82</v>
      </c>
      <c r="BF37" t="s" s="0">
        <v>82</v>
      </c>
      <c r="BG37" t="s" s="0">
        <v>1190</v>
      </c>
      <c r="BH37" t="s" s="0">
        <v>1191</v>
      </c>
      <c r="BI37" t="s" s="0">
        <v>82</v>
      </c>
      <c r="BJ37" t="s" s="0">
        <v>1192</v>
      </c>
      <c r="BK37" t="s" s="71">
        <f>HYPERLINK("http://dx.doi.org/10.1111/1471-0528.14170","http://dx.doi.org/10.1111/1471-0528.14170")</f>
        <v>1193</v>
      </c>
      <c r="BL37" t="s" s="0">
        <v>82</v>
      </c>
      <c r="BM37" t="s" s="0">
        <v>82</v>
      </c>
      <c r="BN37" t="s" s="0">
        <v>524</v>
      </c>
      <c r="BO37" t="s" s="0">
        <v>1194</v>
      </c>
      <c r="BP37" t="s" s="0">
        <v>1194</v>
      </c>
      <c r="BQ37" t="s" s="0">
        <v>1195</v>
      </c>
      <c r="BR37" t="s" s="0">
        <v>1196</v>
      </c>
      <c r="BS37" t="s" s="0">
        <v>1197</v>
      </c>
      <c r="BT37" t="s" s="72">
        <f>HYPERLINK("https://www.webofscience.com/wos/woscc/full-record/WOS:000397007500013","View Record in Web of Science")</f>
        <v>124</v>
      </c>
      <c r="BU37" t="s" s="0">
        <v>82</v>
      </c>
      <c r="BV37" t="s" s="0">
        <v>82</v>
      </c>
      <c r="BW37" t="s" s="0">
        <v>82</v>
      </c>
      <c r="BX37" t="s" s="0">
        <v>126</v>
      </c>
    </row>
    <row r="38">
      <c r="A38" t="s" s="0">
        <v>103</v>
      </c>
      <c r="B38" t="s" s="0">
        <v>77</v>
      </c>
      <c r="C38" t="s" s="0">
        <v>431</v>
      </c>
      <c r="D38" t="s" s="0">
        <v>77</v>
      </c>
      <c r="E38" t="s" s="0">
        <v>1198</v>
      </c>
      <c r="F38" t="s" s="0">
        <v>1199</v>
      </c>
      <c r="G38" t="s" s="0">
        <v>1200</v>
      </c>
      <c r="H38" t="s" s="0">
        <v>82</v>
      </c>
      <c r="I38" t="s" s="0">
        <v>83</v>
      </c>
      <c r="J38" t="s" s="0">
        <v>1201</v>
      </c>
      <c r="K38" t="s" s="0">
        <v>1202</v>
      </c>
      <c r="L38" t="s" s="0">
        <v>1203</v>
      </c>
      <c r="M38" t="s" s="0">
        <v>1204</v>
      </c>
      <c r="N38" t="s" s="0">
        <v>1205</v>
      </c>
      <c r="O38" t="s" s="0">
        <v>1206</v>
      </c>
      <c r="P38" t="s" s="0">
        <v>1207</v>
      </c>
      <c r="Q38" t="s" s="0">
        <v>91</v>
      </c>
      <c r="R38" t="s" s="0">
        <v>82</v>
      </c>
      <c r="S38" t="s" s="0">
        <v>82</v>
      </c>
      <c r="T38" t="s" s="0">
        <v>82</v>
      </c>
      <c r="U38" t="s" s="0">
        <v>82</v>
      </c>
      <c r="V38" t="s" s="0">
        <v>1208</v>
      </c>
      <c r="W38" t="s" s="0">
        <v>1122</v>
      </c>
      <c r="X38" t="s" s="0">
        <v>82</v>
      </c>
      <c r="Y38" t="s" s="0">
        <v>82</v>
      </c>
      <c r="Z38" t="s" s="0">
        <v>94</v>
      </c>
      <c r="AA38" t="s" s="0">
        <v>95</v>
      </c>
      <c r="AB38" t="s" s="0">
        <v>82</v>
      </c>
      <c r="AC38" t="s" s="0">
        <v>82</v>
      </c>
      <c r="AD38" t="s" s="0">
        <v>82</v>
      </c>
      <c r="AE38" t="s" s="0">
        <v>82</v>
      </c>
      <c r="AF38" t="s" s="0">
        <v>82</v>
      </c>
      <c r="AG38" t="s" s="0">
        <v>82</v>
      </c>
      <c r="AH38" t="s" s="0">
        <v>1209</v>
      </c>
      <c r="AI38" t="s" s="0">
        <v>1210</v>
      </c>
      <c r="AJ38" t="s" s="0">
        <v>1211</v>
      </c>
      <c r="AK38" t="s" s="0">
        <v>82</v>
      </c>
      <c r="AL38" t="s" s="0">
        <v>399</v>
      </c>
      <c r="AM38" t="s" s="0">
        <v>1212</v>
      </c>
      <c r="AN38" t="s" s="0">
        <v>472</v>
      </c>
      <c r="AO38" t="s" s="0">
        <v>77</v>
      </c>
      <c r="AP38" t="s" s="0">
        <v>431</v>
      </c>
      <c r="AQ38" t="s" s="0">
        <v>1128</v>
      </c>
      <c r="AR38" t="s" s="0">
        <v>1129</v>
      </c>
      <c r="AS38" t="s" s="0">
        <v>1130</v>
      </c>
      <c r="AT38" t="s" s="0">
        <v>82</v>
      </c>
      <c r="AU38" t="s" s="0">
        <v>1131</v>
      </c>
      <c r="AV38" t="s" s="0">
        <v>82</v>
      </c>
      <c r="AW38" t="s" s="0">
        <v>1122</v>
      </c>
      <c r="AX38" t="s" s="0">
        <v>1132</v>
      </c>
      <c r="AY38" t="s" s="0">
        <v>1213</v>
      </c>
      <c r="AZ38" t="s" s="0">
        <v>643</v>
      </c>
      <c r="BA38" t="s" s="0">
        <v>300</v>
      </c>
      <c r="BB38" t="s" s="0">
        <v>103</v>
      </c>
      <c r="BC38" t="s" s="0">
        <v>82</v>
      </c>
      <c r="BD38" t="s" s="0">
        <v>82</v>
      </c>
      <c r="BE38" t="s" s="0">
        <v>82</v>
      </c>
      <c r="BF38" t="s" s="0">
        <v>82</v>
      </c>
      <c r="BG38" t="s" s="0">
        <v>82</v>
      </c>
      <c r="BH38" t="s" s="0">
        <v>82</v>
      </c>
      <c r="BI38" t="s" s="0">
        <v>1214</v>
      </c>
      <c r="BJ38" t="s" s="0">
        <v>1215</v>
      </c>
      <c r="BK38" t="s" s="73">
        <f>HYPERLINK("http://dx.doi.org/10.1371/journal.pone.0192310","http://dx.doi.org/10.1371/journal.pone.0192310")</f>
        <v>1216</v>
      </c>
      <c r="BL38" t="s" s="0">
        <v>82</v>
      </c>
      <c r="BM38" t="s" s="0">
        <v>82</v>
      </c>
      <c r="BN38" t="s" s="0">
        <v>342</v>
      </c>
      <c r="BO38" t="s" s="0">
        <v>1137</v>
      </c>
      <c r="BP38" t="s" s="0">
        <v>1138</v>
      </c>
      <c r="BQ38" t="s" s="0">
        <v>1217</v>
      </c>
      <c r="BR38" t="s" s="0">
        <v>1218</v>
      </c>
      <c r="BS38" t="s" s="0">
        <v>1219</v>
      </c>
      <c r="BT38" t="s" s="74">
        <f>HYPERLINK("https://www.webofscience.com/wos/woscc/full-record/WOS:000424517900065","View Record in Web of Science")</f>
        <v>124</v>
      </c>
      <c r="BU38" t="s" s="0">
        <v>532</v>
      </c>
      <c r="BV38" t="s" s="0">
        <v>82</v>
      </c>
      <c r="BW38" t="s" s="0">
        <v>82</v>
      </c>
      <c r="BX38" t="s" s="0">
        <v>126</v>
      </c>
    </row>
    <row r="39">
      <c r="A39" t="s" s="0">
        <v>78</v>
      </c>
      <c r="B39" t="s" s="0">
        <v>77</v>
      </c>
      <c r="C39" t="s" s="0">
        <v>191</v>
      </c>
      <c r="D39" t="s" s="0">
        <v>78</v>
      </c>
      <c r="E39" t="s" s="0">
        <v>1220</v>
      </c>
      <c r="F39" t="s" s="0">
        <v>1221</v>
      </c>
      <c r="G39" t="s" s="0">
        <v>1222</v>
      </c>
      <c r="H39" t="s" s="0">
        <v>82</v>
      </c>
      <c r="I39" t="s" s="0">
        <v>83</v>
      </c>
      <c r="J39" t="s" s="0">
        <v>1223</v>
      </c>
      <c r="K39" t="s" s="0">
        <v>1224</v>
      </c>
      <c r="L39" t="s" s="0">
        <v>1225</v>
      </c>
      <c r="M39" t="s" s="0">
        <v>1226</v>
      </c>
      <c r="N39" t="s" s="0">
        <v>1227</v>
      </c>
      <c r="O39" t="s" s="0">
        <v>1228</v>
      </c>
      <c r="P39" t="s" s="0">
        <v>1229</v>
      </c>
      <c r="Q39" t="s" s="0">
        <v>91</v>
      </c>
      <c r="R39" t="s" s="0">
        <v>82</v>
      </c>
      <c r="S39" t="s" s="0">
        <v>82</v>
      </c>
      <c r="T39" t="s" s="0">
        <v>82</v>
      </c>
      <c r="U39" t="s" s="0">
        <v>82</v>
      </c>
      <c r="V39" t="s" s="0">
        <v>1230</v>
      </c>
      <c r="W39" t="s" s="0">
        <v>1231</v>
      </c>
      <c r="X39" t="s" s="0">
        <v>82</v>
      </c>
      <c r="Y39" t="s" s="0">
        <v>82</v>
      </c>
      <c r="Z39" t="s" s="0">
        <v>94</v>
      </c>
      <c r="AA39" t="s" s="0">
        <v>95</v>
      </c>
      <c r="AB39" t="s" s="0">
        <v>82</v>
      </c>
      <c r="AC39" t="s" s="0">
        <v>82</v>
      </c>
      <c r="AD39" t="s" s="0">
        <v>82</v>
      </c>
      <c r="AE39" t="s" s="0">
        <v>82</v>
      </c>
      <c r="AF39" t="s" s="0">
        <v>82</v>
      </c>
      <c r="AG39" t="s" s="0">
        <v>1232</v>
      </c>
      <c r="AH39" t="s" s="0">
        <v>1233</v>
      </c>
      <c r="AI39" t="s" s="0">
        <v>1234</v>
      </c>
      <c r="AJ39" t="s" s="0">
        <v>1235</v>
      </c>
      <c r="AK39" t="s" s="0">
        <v>82</v>
      </c>
      <c r="AL39" t="s" s="0">
        <v>1236</v>
      </c>
      <c r="AM39" t="s" s="0">
        <v>114</v>
      </c>
      <c r="AN39" t="s" s="0">
        <v>253</v>
      </c>
      <c r="AO39" t="s" s="0">
        <v>77</v>
      </c>
      <c r="AP39" t="s" s="0">
        <v>119</v>
      </c>
      <c r="AQ39" t="s" s="0">
        <v>760</v>
      </c>
      <c r="AR39" t="s" s="0">
        <v>761</v>
      </c>
      <c r="AS39" t="s" s="0">
        <v>762</v>
      </c>
      <c r="AT39" t="s" s="0">
        <v>1237</v>
      </c>
      <c r="AU39" t="s" s="0">
        <v>1238</v>
      </c>
      <c r="AV39" t="s" s="0">
        <v>82</v>
      </c>
      <c r="AW39" t="s" s="0">
        <v>1239</v>
      </c>
      <c r="AX39" t="s" s="0">
        <v>1240</v>
      </c>
      <c r="AY39" t="s" s="0">
        <v>1241</v>
      </c>
      <c r="AZ39" t="s" s="0">
        <v>189</v>
      </c>
      <c r="BA39" t="s" s="0">
        <v>1067</v>
      </c>
      <c r="BB39" t="s" s="0">
        <v>152</v>
      </c>
      <c r="BC39" t="s" s="0">
        <v>82</v>
      </c>
      <c r="BD39" t="s" s="0">
        <v>82</v>
      </c>
      <c r="BE39" t="s" s="0">
        <v>82</v>
      </c>
      <c r="BF39" t="s" s="0">
        <v>82</v>
      </c>
      <c r="BG39" t="s" s="0">
        <v>1242</v>
      </c>
      <c r="BH39" t="s" s="0">
        <v>1243</v>
      </c>
      <c r="BI39" t="s" s="0">
        <v>82</v>
      </c>
      <c r="BJ39" t="s" s="0">
        <v>1244</v>
      </c>
      <c r="BK39" t="s" s="75">
        <f>HYPERLINK("http://dx.doi.org/10.1111/bcp.15104","http://dx.doi.org/10.1111/bcp.15104")</f>
        <v>1245</v>
      </c>
      <c r="BL39" t="s" s="0">
        <v>82</v>
      </c>
      <c r="BM39" t="s" s="0">
        <v>1246</v>
      </c>
      <c r="BN39" t="s" s="0">
        <v>179</v>
      </c>
      <c r="BO39" t="s" s="0">
        <v>343</v>
      </c>
      <c r="BP39" t="s" s="0">
        <v>343</v>
      </c>
      <c r="BQ39" t="s" s="0">
        <v>1247</v>
      </c>
      <c r="BR39" t="s" s="0">
        <v>1248</v>
      </c>
      <c r="BS39" t="s" s="0">
        <v>1249</v>
      </c>
      <c r="BT39" t="s" s="76">
        <f>HYPERLINK("https://www.webofscience.com/wos/woscc/full-record/WOS:000712887300001","View Record in Web of Science")</f>
        <v>124</v>
      </c>
      <c r="BU39" t="s" s="0">
        <v>853</v>
      </c>
      <c r="BV39" t="s" s="0">
        <v>82</v>
      </c>
      <c r="BW39" t="s" s="0">
        <v>82</v>
      </c>
      <c r="BX39" t="s" s="0">
        <v>126</v>
      </c>
    </row>
    <row r="40">
      <c r="A40" t="s" s="0">
        <v>77</v>
      </c>
      <c r="B40" t="s" s="0">
        <v>77</v>
      </c>
      <c r="C40" t="s" s="0">
        <v>103</v>
      </c>
      <c r="D40" t="s" s="0">
        <v>77</v>
      </c>
      <c r="E40" t="s" s="0">
        <v>1250</v>
      </c>
      <c r="F40" t="s" s="0">
        <v>1251</v>
      </c>
      <c r="G40" t="s" s="0">
        <v>1252</v>
      </c>
      <c r="H40" t="s" s="0">
        <v>82</v>
      </c>
      <c r="I40" t="s" s="0">
        <v>83</v>
      </c>
      <c r="J40" t="s" s="0">
        <v>1253</v>
      </c>
      <c r="K40" t="s" s="0">
        <v>1254</v>
      </c>
      <c r="L40" t="s" s="0">
        <v>1255</v>
      </c>
      <c r="M40" t="s" s="0">
        <v>1256</v>
      </c>
      <c r="N40" t="s" s="0">
        <v>1257</v>
      </c>
      <c r="O40" t="s" s="0">
        <v>1258</v>
      </c>
      <c r="P40" t="s" s="0">
        <v>1259</v>
      </c>
      <c r="Q40" t="s" s="0">
        <v>91</v>
      </c>
      <c r="R40" t="s" s="0">
        <v>82</v>
      </c>
      <c r="S40" t="s" s="0">
        <v>82</v>
      </c>
      <c r="T40" t="s" s="0">
        <v>82</v>
      </c>
      <c r="U40" t="s" s="0">
        <v>82</v>
      </c>
      <c r="V40" t="s" s="0">
        <v>1260</v>
      </c>
      <c r="W40" t="s" s="0">
        <v>1261</v>
      </c>
      <c r="X40" t="s" s="0">
        <v>82</v>
      </c>
      <c r="Y40" t="s" s="0">
        <v>82</v>
      </c>
      <c r="Z40" t="s" s="0">
        <v>94</v>
      </c>
      <c r="AA40" t="s" s="0">
        <v>95</v>
      </c>
      <c r="AB40" t="s" s="0">
        <v>82</v>
      </c>
      <c r="AC40" t="s" s="0">
        <v>82</v>
      </c>
      <c r="AD40" t="s" s="0">
        <v>82</v>
      </c>
      <c r="AE40" t="s" s="0">
        <v>82</v>
      </c>
      <c r="AF40" t="s" s="0">
        <v>82</v>
      </c>
      <c r="AG40" t="s" s="0">
        <v>1262</v>
      </c>
      <c r="AH40" t="s" s="0">
        <v>1263</v>
      </c>
      <c r="AI40" t="s" s="0">
        <v>1264</v>
      </c>
      <c r="AJ40" t="s" s="0">
        <v>1265</v>
      </c>
      <c r="AK40" t="s" s="0">
        <v>82</v>
      </c>
      <c r="AL40" t="s" s="0">
        <v>100</v>
      </c>
      <c r="AM40" t="s" s="0">
        <v>342</v>
      </c>
      <c r="AN40" t="s" s="0">
        <v>342</v>
      </c>
      <c r="AO40" t="s" s="0">
        <v>77</v>
      </c>
      <c r="AP40" t="s" s="0">
        <v>372</v>
      </c>
      <c r="AQ40" t="s" s="0">
        <v>1266</v>
      </c>
      <c r="AR40" t="s" s="0">
        <v>1267</v>
      </c>
      <c r="AS40" t="s" s="0">
        <v>1268</v>
      </c>
      <c r="AT40" t="s" s="0">
        <v>1269</v>
      </c>
      <c r="AU40" t="s" s="0">
        <v>1270</v>
      </c>
      <c r="AV40" t="s" s="0">
        <v>82</v>
      </c>
      <c r="AW40" t="s" s="0">
        <v>1271</v>
      </c>
      <c r="AX40" t="s" s="0">
        <v>1272</v>
      </c>
      <c r="AY40" t="s" s="0">
        <v>1273</v>
      </c>
      <c r="AZ40" t="s" s="0">
        <v>189</v>
      </c>
      <c r="BA40" t="s" s="0">
        <v>1236</v>
      </c>
      <c r="BB40" t="s" s="0">
        <v>103</v>
      </c>
      <c r="BC40" t="s" s="0">
        <v>82</v>
      </c>
      <c r="BD40" t="s" s="0">
        <v>82</v>
      </c>
      <c r="BE40" t="s" s="0">
        <v>82</v>
      </c>
      <c r="BF40" t="s" s="0">
        <v>82</v>
      </c>
      <c r="BG40" t="s" s="0">
        <v>1274</v>
      </c>
      <c r="BH40" t="s" s="0">
        <v>1065</v>
      </c>
      <c r="BI40" t="s" s="0">
        <v>82</v>
      </c>
      <c r="BJ40" t="s" s="0">
        <v>1275</v>
      </c>
      <c r="BK40" t="s" s="77">
        <f>HYPERLINK("http://dx.doi.org/10.1016/j.jphys.2022.03.009","http://dx.doi.org/10.1016/j.jphys.2022.03.009")</f>
        <v>1276</v>
      </c>
      <c r="BL40" t="s" s="0">
        <v>82</v>
      </c>
      <c r="BM40" t="s" s="0">
        <v>1273</v>
      </c>
      <c r="BN40" t="s" s="0">
        <v>268</v>
      </c>
      <c r="BO40" t="s" s="0">
        <v>1277</v>
      </c>
      <c r="BP40" t="s" s="0">
        <v>1277</v>
      </c>
      <c r="BQ40" t="s" s="0">
        <v>1278</v>
      </c>
      <c r="BR40" t="s" s="0">
        <v>1279</v>
      </c>
      <c r="BS40" t="s" s="0">
        <v>1280</v>
      </c>
      <c r="BT40" t="s" s="78">
        <f>HYPERLINK("https://www.webofscience.com/wos/woscc/full-record/WOS:000803702600007","View Record in Web of Science")</f>
        <v>124</v>
      </c>
      <c r="BU40" t="s" s="0">
        <v>236</v>
      </c>
      <c r="BV40" t="s" s="0">
        <v>82</v>
      </c>
      <c r="BW40" t="s" s="0">
        <v>82</v>
      </c>
      <c r="BX40" t="s" s="0">
        <v>126</v>
      </c>
    </row>
    <row r="41">
      <c r="A41" t="s" s="0">
        <v>77</v>
      </c>
      <c r="B41" t="s" s="0">
        <v>77</v>
      </c>
      <c r="C41" t="s" s="0">
        <v>268</v>
      </c>
      <c r="D41" t="s" s="0">
        <v>77</v>
      </c>
      <c r="E41" t="s" s="0">
        <v>1281</v>
      </c>
      <c r="F41" t="s" s="0">
        <v>1282</v>
      </c>
      <c r="G41" t="s" s="0">
        <v>1283</v>
      </c>
      <c r="H41" t="s" s="0">
        <v>82</v>
      </c>
      <c r="I41" t="s" s="0">
        <v>167</v>
      </c>
      <c r="J41" t="s" s="0">
        <v>1284</v>
      </c>
      <c r="K41" t="s" s="0">
        <v>1285</v>
      </c>
      <c r="L41" t="s" s="0">
        <v>170</v>
      </c>
      <c r="M41" t="s" s="0">
        <v>171</v>
      </c>
      <c r="N41" t="s" s="0">
        <v>1286</v>
      </c>
      <c r="O41" t="s" s="0">
        <v>1287</v>
      </c>
      <c r="P41" t="s" s="0">
        <v>174</v>
      </c>
      <c r="Q41" t="s" s="0">
        <v>91</v>
      </c>
      <c r="R41" t="s" s="0">
        <v>82</v>
      </c>
      <c r="S41" t="s" s="0">
        <v>82</v>
      </c>
      <c r="T41" t="s" s="0">
        <v>82</v>
      </c>
      <c r="U41" t="s" s="0">
        <v>82</v>
      </c>
      <c r="V41" t="s" s="0">
        <v>1288</v>
      </c>
      <c r="W41" t="s" s="0">
        <v>176</v>
      </c>
      <c r="X41" t="s" s="0">
        <v>82</v>
      </c>
      <c r="Y41" t="s" s="0">
        <v>82</v>
      </c>
      <c r="Z41" t="s" s="0">
        <v>94</v>
      </c>
      <c r="AA41" t="s" s="0">
        <v>394</v>
      </c>
      <c r="AB41" t="s" s="0">
        <v>82</v>
      </c>
      <c r="AC41" t="s" s="0">
        <v>82</v>
      </c>
      <c r="AD41" t="s" s="0">
        <v>82</v>
      </c>
      <c r="AE41" t="s" s="0">
        <v>82</v>
      </c>
      <c r="AF41" t="s" s="0">
        <v>82</v>
      </c>
      <c r="AG41" t="s" s="0">
        <v>1289</v>
      </c>
      <c r="AH41" t="s" s="0">
        <v>1290</v>
      </c>
      <c r="AI41" t="s" s="0">
        <v>1291</v>
      </c>
      <c r="AJ41" t="s" s="0">
        <v>1292</v>
      </c>
      <c r="AK41" t="s" s="0">
        <v>82</v>
      </c>
      <c r="AL41" t="s" s="0">
        <v>1293</v>
      </c>
      <c r="AM41" t="s" s="0">
        <v>1212</v>
      </c>
      <c r="AN41" t="s" s="0">
        <v>1294</v>
      </c>
      <c r="AO41" t="s" s="0">
        <v>77</v>
      </c>
      <c r="AP41" t="s" s="0">
        <v>431</v>
      </c>
      <c r="AQ41" t="s" s="0">
        <v>181</v>
      </c>
      <c r="AR41" t="s" s="0">
        <v>182</v>
      </c>
      <c r="AS41" t="s" s="0">
        <v>183</v>
      </c>
      <c r="AT41" t="s" s="0">
        <v>184</v>
      </c>
      <c r="AU41" t="s" s="0">
        <v>185</v>
      </c>
      <c r="AV41" t="s" s="0">
        <v>82</v>
      </c>
      <c r="AW41" t="s" s="0">
        <v>186</v>
      </c>
      <c r="AX41" t="s" s="0">
        <v>187</v>
      </c>
      <c r="AY41" t="s" s="0">
        <v>82</v>
      </c>
      <c r="AZ41" t="s" s="0">
        <v>189</v>
      </c>
      <c r="BA41" t="s" s="0">
        <v>82</v>
      </c>
      <c r="BB41" t="s" s="0">
        <v>82</v>
      </c>
      <c r="BC41" t="s" s="0">
        <v>82</v>
      </c>
      <c r="BD41" t="s" s="0">
        <v>82</v>
      </c>
      <c r="BE41" t="s" s="0">
        <v>82</v>
      </c>
      <c r="BF41" t="s" s="0">
        <v>82</v>
      </c>
      <c r="BG41" t="s" s="0">
        <v>82</v>
      </c>
      <c r="BH41" t="s" s="0">
        <v>82</v>
      </c>
      <c r="BI41" t="s" s="0">
        <v>82</v>
      </c>
      <c r="BJ41" t="s" s="0">
        <v>1295</v>
      </c>
      <c r="BK41" t="s" s="79">
        <f>HYPERLINK("http://dx.doi.org/10.1093/jamia/ocac058","http://dx.doi.org/10.1093/jamia/ocac058")</f>
        <v>1296</v>
      </c>
      <c r="BL41" t="s" s="0">
        <v>82</v>
      </c>
      <c r="BM41" t="s" s="0">
        <v>1273</v>
      </c>
      <c r="BN41" t="s" s="0">
        <v>268</v>
      </c>
      <c r="BO41" t="s" s="0">
        <v>197</v>
      </c>
      <c r="BP41" t="s" s="0">
        <v>198</v>
      </c>
      <c r="BQ41" t="s" s="0">
        <v>1297</v>
      </c>
      <c r="BR41" t="s" s="0">
        <v>1298</v>
      </c>
      <c r="BS41" t="s" s="0">
        <v>1299</v>
      </c>
      <c r="BT41" t="s" s="80">
        <f>HYPERLINK("https://www.webofscience.com/wos/woscc/full-record/WOS:000787860800001","View Record in Web of Science")</f>
        <v>124</v>
      </c>
      <c r="BU41" t="s" s="0">
        <v>163</v>
      </c>
      <c r="BV41" t="s" s="0">
        <v>82</v>
      </c>
      <c r="BW41" t="s" s="0">
        <v>82</v>
      </c>
      <c r="BX41" t="s" s="0">
        <v>126</v>
      </c>
    </row>
    <row r="42">
      <c r="A42" t="s" s="0">
        <v>77</v>
      </c>
      <c r="B42" t="s" s="0">
        <v>77</v>
      </c>
      <c r="C42" t="s" s="0">
        <v>77</v>
      </c>
      <c r="D42" t="s" s="0">
        <v>77</v>
      </c>
      <c r="E42" t="s" s="0">
        <v>1300</v>
      </c>
      <c r="F42" t="s" s="0">
        <v>1301</v>
      </c>
      <c r="G42" t="s" s="0">
        <v>1302</v>
      </c>
      <c r="H42" t="s" s="0">
        <v>82</v>
      </c>
      <c r="I42" t="s" s="0">
        <v>83</v>
      </c>
      <c r="J42" t="s" s="0">
        <v>1303</v>
      </c>
      <c r="K42" t="s" s="0">
        <v>1304</v>
      </c>
      <c r="L42" t="s" s="0">
        <v>82</v>
      </c>
      <c r="M42" t="s" s="0">
        <v>82</v>
      </c>
      <c r="N42" t="s" s="0">
        <v>82</v>
      </c>
      <c r="O42" t="s" s="0">
        <v>1305</v>
      </c>
      <c r="P42" t="s" s="0">
        <v>1306</v>
      </c>
      <c r="Q42" t="s" s="0">
        <v>91</v>
      </c>
      <c r="R42" t="s" s="0">
        <v>82</v>
      </c>
      <c r="S42" t="s" s="0">
        <v>82</v>
      </c>
      <c r="T42" t="s" s="0">
        <v>82</v>
      </c>
      <c r="U42" t="s" s="0">
        <v>82</v>
      </c>
      <c r="V42" t="s" s="0">
        <v>1307</v>
      </c>
      <c r="W42" t="s" s="0">
        <v>1308</v>
      </c>
      <c r="X42" t="s" s="0">
        <v>82</v>
      </c>
      <c r="Y42" t="s" s="0">
        <v>82</v>
      </c>
      <c r="Z42" t="s" s="0">
        <v>94</v>
      </c>
      <c r="AA42" t="s" s="0">
        <v>95</v>
      </c>
      <c r="AB42" t="s" s="0">
        <v>82</v>
      </c>
      <c r="AC42" t="s" s="0">
        <v>82</v>
      </c>
      <c r="AD42" t="s" s="0">
        <v>82</v>
      </c>
      <c r="AE42" t="s" s="0">
        <v>82</v>
      </c>
      <c r="AF42" t="s" s="0">
        <v>82</v>
      </c>
      <c r="AG42" t="s" s="0">
        <v>1309</v>
      </c>
      <c r="AH42" t="s" s="0">
        <v>1310</v>
      </c>
      <c r="AI42" t="s" s="0">
        <v>82</v>
      </c>
      <c r="AJ42" t="s" s="0">
        <v>82</v>
      </c>
      <c r="AK42" t="s" s="0">
        <v>82</v>
      </c>
      <c r="AL42" t="s" s="0">
        <v>1126</v>
      </c>
      <c r="AM42" t="s" s="0">
        <v>77</v>
      </c>
      <c r="AN42" t="s" s="0">
        <v>77</v>
      </c>
      <c r="AO42" t="s" s="0">
        <v>77</v>
      </c>
      <c r="AP42" t="s" s="0">
        <v>77</v>
      </c>
      <c r="AQ42" t="s" s="0">
        <v>1068</v>
      </c>
      <c r="AR42" t="s" s="0">
        <v>1069</v>
      </c>
      <c r="AS42" t="s" s="0">
        <v>1070</v>
      </c>
      <c r="AT42" t="s" s="0">
        <v>1311</v>
      </c>
      <c r="AU42" t="s" s="0">
        <v>1312</v>
      </c>
      <c r="AV42" t="s" s="0">
        <v>82</v>
      </c>
      <c r="AW42" t="s" s="0">
        <v>1313</v>
      </c>
      <c r="AX42" t="s" s="0">
        <v>1314</v>
      </c>
      <c r="AY42" t="s" s="0">
        <v>1315</v>
      </c>
      <c r="AZ42" t="s" s="0">
        <v>150</v>
      </c>
      <c r="BA42" t="s" s="0">
        <v>113</v>
      </c>
      <c r="BB42" t="s" s="0">
        <v>102</v>
      </c>
      <c r="BC42" t="s" s="0">
        <v>82</v>
      </c>
      <c r="BD42" t="s" s="0">
        <v>82</v>
      </c>
      <c r="BE42" t="s" s="0">
        <v>82</v>
      </c>
      <c r="BF42" t="s" s="0">
        <v>82</v>
      </c>
      <c r="BG42" t="s" s="0">
        <v>1316</v>
      </c>
      <c r="BH42" t="s" s="0">
        <v>1317</v>
      </c>
      <c r="BI42" t="s" s="0">
        <v>82</v>
      </c>
      <c r="BJ42" t="s" s="0">
        <v>1318</v>
      </c>
      <c r="BK42" t="s" s="81">
        <f>HYPERLINK("http://dx.doi.org/10.1097/CCM.0000000000007206","http://dx.doi.org/10.1097/CCM.0000000000007206")</f>
        <v>1319</v>
      </c>
      <c r="BL42" t="s" s="0">
        <v>82</v>
      </c>
      <c r="BM42" t="s" s="0">
        <v>82</v>
      </c>
      <c r="BN42" t="s" s="0">
        <v>377</v>
      </c>
      <c r="BO42" t="s" s="0">
        <v>1320</v>
      </c>
      <c r="BP42" t="s" s="0">
        <v>585</v>
      </c>
      <c r="BQ42" t="s" s="0">
        <v>1321</v>
      </c>
      <c r="BR42" t="s" s="0">
        <v>1322</v>
      </c>
      <c r="BS42" t="s" s="0">
        <v>1323</v>
      </c>
      <c r="BT42" t="s" s="82">
        <f>HYPERLINK("https://www.webofscience.com/wos/woscc/full-record/WOS:001842424800014","View Record in Web of Science")</f>
        <v>124</v>
      </c>
      <c r="BU42" t="s" s="0">
        <v>82</v>
      </c>
      <c r="BV42" t="s" s="0">
        <v>82</v>
      </c>
      <c r="BW42" t="s" s="0">
        <v>82</v>
      </c>
      <c r="BX42" t="s" s="0">
        <v>126</v>
      </c>
    </row>
    <row r="43">
      <c r="A43" t="s" s="0">
        <v>103</v>
      </c>
      <c r="B43" t="s" s="0">
        <v>77</v>
      </c>
      <c r="C43" t="s" s="0">
        <v>191</v>
      </c>
      <c r="D43" t="s" s="0">
        <v>77</v>
      </c>
      <c r="E43" t="s" s="0">
        <v>1324</v>
      </c>
      <c r="F43" t="s" s="0">
        <v>1325</v>
      </c>
      <c r="G43" t="s" s="0">
        <v>1326</v>
      </c>
      <c r="H43" t="s" s="0">
        <v>82</v>
      </c>
      <c r="I43" t="s" s="0">
        <v>83</v>
      </c>
      <c r="J43" t="s" s="0">
        <v>1327</v>
      </c>
      <c r="K43" t="s" s="0">
        <v>1328</v>
      </c>
      <c r="L43" t="s" s="0">
        <v>1329</v>
      </c>
      <c r="M43" t="s" s="0">
        <v>1330</v>
      </c>
      <c r="N43" t="s" s="0">
        <v>1331</v>
      </c>
      <c r="O43" t="s" s="0">
        <v>1332</v>
      </c>
      <c r="P43" t="s" s="0">
        <v>1333</v>
      </c>
      <c r="Q43" t="s" s="0">
        <v>91</v>
      </c>
      <c r="R43" t="s" s="0">
        <v>82</v>
      </c>
      <c r="S43" t="s" s="0">
        <v>82</v>
      </c>
      <c r="T43" t="s" s="0">
        <v>82</v>
      </c>
      <c r="U43" t="s" s="0">
        <v>82</v>
      </c>
      <c r="V43" t="s" s="0">
        <v>1334</v>
      </c>
      <c r="W43" t="s" s="0">
        <v>1335</v>
      </c>
      <c r="X43" t="s" s="0">
        <v>82</v>
      </c>
      <c r="Y43" t="s" s="0">
        <v>82</v>
      </c>
      <c r="Z43" t="s" s="0">
        <v>94</v>
      </c>
      <c r="AA43" t="s" s="0">
        <v>95</v>
      </c>
      <c r="AB43" t="s" s="0">
        <v>82</v>
      </c>
      <c r="AC43" t="s" s="0">
        <v>82</v>
      </c>
      <c r="AD43" t="s" s="0">
        <v>82</v>
      </c>
      <c r="AE43" t="s" s="0">
        <v>82</v>
      </c>
      <c r="AF43" t="s" s="0">
        <v>82</v>
      </c>
      <c r="AG43" t="s" s="0">
        <v>82</v>
      </c>
      <c r="AH43" t="s" s="0">
        <v>1336</v>
      </c>
      <c r="AI43" t="s" s="0">
        <v>1337</v>
      </c>
      <c r="AJ43" t="s" s="0">
        <v>1338</v>
      </c>
      <c r="AK43" t="s" s="0">
        <v>82</v>
      </c>
      <c r="AL43" t="s" s="0">
        <v>581</v>
      </c>
      <c r="AM43" t="s" s="0">
        <v>102</v>
      </c>
      <c r="AN43" t="s" s="0">
        <v>524</v>
      </c>
      <c r="AO43" t="s" s="0">
        <v>78</v>
      </c>
      <c r="AP43" t="s" s="0">
        <v>191</v>
      </c>
      <c r="AQ43" t="s" s="0">
        <v>1339</v>
      </c>
      <c r="AR43" t="s" s="0">
        <v>1340</v>
      </c>
      <c r="AS43" t="s" s="0">
        <v>1341</v>
      </c>
      <c r="AT43" t="s" s="0">
        <v>1342</v>
      </c>
      <c r="AU43" t="s" s="0">
        <v>1343</v>
      </c>
      <c r="AV43" t="s" s="0">
        <v>82</v>
      </c>
      <c r="AW43" t="s" s="0">
        <v>1344</v>
      </c>
      <c r="AX43" t="s" s="0">
        <v>1345</v>
      </c>
      <c r="AY43" t="s" s="0">
        <v>1346</v>
      </c>
      <c r="AZ43" t="s" s="0">
        <v>842</v>
      </c>
      <c r="BA43" t="s" s="0">
        <v>1035</v>
      </c>
      <c r="BB43" t="s" s="0">
        <v>1347</v>
      </c>
      <c r="BC43" t="s" s="0">
        <v>82</v>
      </c>
      <c r="BD43" t="s" s="0">
        <v>82</v>
      </c>
      <c r="BE43" t="s" s="0">
        <v>82</v>
      </c>
      <c r="BF43" t="s" s="0">
        <v>82</v>
      </c>
      <c r="BG43" t="s" s="0">
        <v>82</v>
      </c>
      <c r="BH43" t="s" s="0">
        <v>82</v>
      </c>
      <c r="BI43" t="s" s="0">
        <v>1348</v>
      </c>
      <c r="BJ43" t="s" s="0">
        <v>1349</v>
      </c>
      <c r="BK43" t="s" s="83">
        <f>HYPERLINK("http://dx.doi.org/10.1183/16000617.0021-2023","http://dx.doi.org/10.1183/16000617.0021-2023")</f>
        <v>1350</v>
      </c>
      <c r="BL43" t="s" s="0">
        <v>82</v>
      </c>
      <c r="BM43" t="s" s="0">
        <v>82</v>
      </c>
      <c r="BN43" t="s" s="0">
        <v>377</v>
      </c>
      <c r="BO43" t="s" s="0">
        <v>1351</v>
      </c>
      <c r="BP43" t="s" s="0">
        <v>1351</v>
      </c>
      <c r="BQ43" t="s" s="0">
        <v>1352</v>
      </c>
      <c r="BR43" t="s" s="0">
        <v>1353</v>
      </c>
      <c r="BS43" t="s" s="0">
        <v>1354</v>
      </c>
      <c r="BT43" t="s" s="84">
        <f>HYPERLINK("https://www.webofscience.com/wos/woscc/full-record/WOS:001014958900003","View Record in Web of Science")</f>
        <v>124</v>
      </c>
      <c r="BU43" t="s" s="0">
        <v>236</v>
      </c>
      <c r="BV43" t="s" s="0">
        <v>82</v>
      </c>
      <c r="BW43" t="s" s="0">
        <v>82</v>
      </c>
      <c r="BX43" t="s" s="0">
        <v>126</v>
      </c>
    </row>
    <row r="44">
      <c r="A44" t="s" s="0">
        <v>77</v>
      </c>
      <c r="B44" t="s" s="0">
        <v>77</v>
      </c>
      <c r="C44" t="s" s="0">
        <v>103</v>
      </c>
      <c r="D44" t="s" s="0">
        <v>77</v>
      </c>
      <c r="E44" t="s" s="0">
        <v>1355</v>
      </c>
      <c r="F44" t="s" s="0">
        <v>1356</v>
      </c>
      <c r="G44" t="s" s="0">
        <v>1357</v>
      </c>
      <c r="H44" t="s" s="0">
        <v>82</v>
      </c>
      <c r="I44" t="s" s="0">
        <v>83</v>
      </c>
      <c r="J44" t="s" s="0">
        <v>1358</v>
      </c>
      <c r="K44" t="s" s="0">
        <v>1359</v>
      </c>
      <c r="L44" t="s" s="0">
        <v>1360</v>
      </c>
      <c r="M44" t="s" s="0">
        <v>1360</v>
      </c>
      <c r="N44" t="s" s="0">
        <v>1361</v>
      </c>
      <c r="O44" t="s" s="0">
        <v>1362</v>
      </c>
      <c r="P44" t="s" s="0">
        <v>1363</v>
      </c>
      <c r="Q44" t="s" s="0">
        <v>91</v>
      </c>
      <c r="R44" t="s" s="0">
        <v>82</v>
      </c>
      <c r="S44" t="s" s="0">
        <v>82</v>
      </c>
      <c r="T44" t="s" s="0">
        <v>82</v>
      </c>
      <c r="U44" t="s" s="0">
        <v>82</v>
      </c>
      <c r="V44" t="s" s="0">
        <v>1364</v>
      </c>
      <c r="W44" t="s" s="0">
        <v>1365</v>
      </c>
      <c r="X44" t="s" s="0">
        <v>82</v>
      </c>
      <c r="Y44" t="s" s="0">
        <v>82</v>
      </c>
      <c r="Z44" t="s" s="0">
        <v>94</v>
      </c>
      <c r="AA44" t="s" s="0">
        <v>95</v>
      </c>
      <c r="AB44" t="s" s="0">
        <v>82</v>
      </c>
      <c r="AC44" t="s" s="0">
        <v>82</v>
      </c>
      <c r="AD44" t="s" s="0">
        <v>82</v>
      </c>
      <c r="AE44" t="s" s="0">
        <v>82</v>
      </c>
      <c r="AF44" t="s" s="0">
        <v>82</v>
      </c>
      <c r="AG44" t="s" s="0">
        <v>1366</v>
      </c>
      <c r="AH44" t="s" s="0">
        <v>1367</v>
      </c>
      <c r="AI44" t="s" s="0">
        <v>82</v>
      </c>
      <c r="AJ44" t="s" s="0">
        <v>82</v>
      </c>
      <c r="AK44" t="s" s="0">
        <v>82</v>
      </c>
      <c r="AL44" t="s" s="0">
        <v>494</v>
      </c>
      <c r="AM44" t="s" s="0">
        <v>524</v>
      </c>
      <c r="AN44" t="s" s="0">
        <v>524</v>
      </c>
      <c r="AO44" t="s" s="0">
        <v>103</v>
      </c>
      <c r="AP44" t="s" s="0">
        <v>300</v>
      </c>
      <c r="AQ44" t="s" s="0">
        <v>1368</v>
      </c>
      <c r="AR44" t="s" s="0">
        <v>465</v>
      </c>
      <c r="AS44" t="s" s="0">
        <v>1369</v>
      </c>
      <c r="AT44" t="s" s="0">
        <v>82</v>
      </c>
      <c r="AU44" t="s" s="0">
        <v>1370</v>
      </c>
      <c r="AV44" t="s" s="0">
        <v>82</v>
      </c>
      <c r="AW44" t="s" s="0">
        <v>1365</v>
      </c>
      <c r="AX44" t="s" s="0">
        <v>1371</v>
      </c>
      <c r="AY44" t="s" s="0">
        <v>1372</v>
      </c>
      <c r="AZ44" t="s" s="0">
        <v>842</v>
      </c>
      <c r="BA44" t="s" s="0">
        <v>119</v>
      </c>
      <c r="BB44" t="s" s="0">
        <v>268</v>
      </c>
      <c r="BC44" t="s" s="0">
        <v>82</v>
      </c>
      <c r="BD44" t="s" s="0">
        <v>82</v>
      </c>
      <c r="BE44" t="s" s="0">
        <v>82</v>
      </c>
      <c r="BF44" t="s" s="0">
        <v>82</v>
      </c>
      <c r="BG44" t="s" s="0">
        <v>82</v>
      </c>
      <c r="BH44" t="s" s="0">
        <v>82</v>
      </c>
      <c r="BI44" t="s" s="0">
        <v>1373</v>
      </c>
      <c r="BJ44" t="s" s="0">
        <v>1374</v>
      </c>
      <c r="BK44" t="s" s="85">
        <f>HYPERLINK("http://dx.doi.org/10.1016/j.heliyon.2023.e22226","http://dx.doi.org/10.1016/j.heliyon.2023.e22226")</f>
        <v>1375</v>
      </c>
      <c r="BL44" t="s" s="0">
        <v>82</v>
      </c>
      <c r="BM44" t="s" s="0">
        <v>847</v>
      </c>
      <c r="BN44" t="s" s="0">
        <v>119</v>
      </c>
      <c r="BO44" t="s" s="0">
        <v>1137</v>
      </c>
      <c r="BP44" t="s" s="0">
        <v>1138</v>
      </c>
      <c r="BQ44" t="s" s="0">
        <v>1376</v>
      </c>
      <c r="BR44" t="s" s="0">
        <v>1377</v>
      </c>
      <c r="BS44" t="s" s="0">
        <v>1378</v>
      </c>
      <c r="BT44" t="s" s="86">
        <f>HYPERLINK("https://www.webofscience.com/wos/woscc/full-record/WOS:001121435300001","View Record in Web of Science")</f>
        <v>124</v>
      </c>
      <c r="BU44" t="s" s="0">
        <v>236</v>
      </c>
      <c r="BV44" t="s" s="0">
        <v>82</v>
      </c>
      <c r="BW44" t="s" s="0">
        <v>82</v>
      </c>
      <c r="BX44" t="s" s="0">
        <v>126</v>
      </c>
    </row>
    <row r="45">
      <c r="A45" t="s" s="0">
        <v>103</v>
      </c>
      <c r="B45" t="s" s="0">
        <v>77</v>
      </c>
      <c r="C45" t="s" s="0">
        <v>1379</v>
      </c>
      <c r="D45" t="s" s="0">
        <v>78</v>
      </c>
      <c r="E45" t="s" s="0">
        <v>1380</v>
      </c>
      <c r="F45" t="s" s="0">
        <v>1381</v>
      </c>
      <c r="G45" t="s" s="0">
        <v>1382</v>
      </c>
      <c r="H45" t="s" s="0">
        <v>82</v>
      </c>
      <c r="I45" t="s" s="0">
        <v>167</v>
      </c>
      <c r="J45" t="s" s="0">
        <v>1383</v>
      </c>
      <c r="K45" t="s" s="0">
        <v>1384</v>
      </c>
      <c r="L45" t="s" s="0">
        <v>1385</v>
      </c>
      <c r="M45" t="s" s="0">
        <v>1386</v>
      </c>
      <c r="N45" t="s" s="0">
        <v>1387</v>
      </c>
      <c r="O45" t="s" s="0">
        <v>1388</v>
      </c>
      <c r="P45" t="s" s="0">
        <v>1389</v>
      </c>
      <c r="Q45" t="s" s="0">
        <v>91</v>
      </c>
      <c r="R45" t="s" s="0">
        <v>82</v>
      </c>
      <c r="S45" t="s" s="0">
        <v>82</v>
      </c>
      <c r="T45" t="s" s="0">
        <v>82</v>
      </c>
      <c r="U45" t="s" s="0">
        <v>82</v>
      </c>
      <c r="V45" t="s" s="0">
        <v>1390</v>
      </c>
      <c r="W45" t="s" s="0">
        <v>1391</v>
      </c>
      <c r="X45" t="s" s="0">
        <v>82</v>
      </c>
      <c r="Y45" t="s" s="0">
        <v>82</v>
      </c>
      <c r="Z45" t="s" s="0">
        <v>94</v>
      </c>
      <c r="AA45" t="s" s="0">
        <v>95</v>
      </c>
      <c r="AB45" t="s" s="0">
        <v>82</v>
      </c>
      <c r="AC45" t="s" s="0">
        <v>82</v>
      </c>
      <c r="AD45" t="s" s="0">
        <v>82</v>
      </c>
      <c r="AE45" t="s" s="0">
        <v>82</v>
      </c>
      <c r="AF45" t="s" s="0">
        <v>82</v>
      </c>
      <c r="AG45" t="s" s="0">
        <v>82</v>
      </c>
      <c r="AH45" t="s" s="0">
        <v>1392</v>
      </c>
      <c r="AI45" t="s" s="0">
        <v>1393</v>
      </c>
      <c r="AJ45" t="s" s="0">
        <v>1394</v>
      </c>
      <c r="AK45" t="s" s="0">
        <v>82</v>
      </c>
      <c r="AL45" t="s" s="0">
        <v>1395</v>
      </c>
      <c r="AM45" t="s" s="0">
        <v>1396</v>
      </c>
      <c r="AN45" t="s" s="0">
        <v>1397</v>
      </c>
      <c r="AO45" t="s" s="0">
        <v>103</v>
      </c>
      <c r="AP45" t="s" s="0">
        <v>141</v>
      </c>
      <c r="AQ45" t="s" s="0">
        <v>1398</v>
      </c>
      <c r="AR45" t="s" s="0">
        <v>1399</v>
      </c>
      <c r="AS45" t="s" s="0">
        <v>1400</v>
      </c>
      <c r="AT45" t="s" s="0">
        <v>1401</v>
      </c>
      <c r="AU45" t="s" s="0">
        <v>1402</v>
      </c>
      <c r="AV45" t="s" s="0">
        <v>82</v>
      </c>
      <c r="AW45" t="s" s="0">
        <v>1403</v>
      </c>
      <c r="AX45" t="s" s="0">
        <v>1404</v>
      </c>
      <c r="AY45" t="s" s="0">
        <v>1405</v>
      </c>
      <c r="AZ45" t="s" s="0">
        <v>643</v>
      </c>
      <c r="BA45" t="s" s="0">
        <v>1406</v>
      </c>
      <c r="BB45" t="s" s="0">
        <v>377</v>
      </c>
      <c r="BC45" t="s" s="0">
        <v>82</v>
      </c>
      <c r="BD45" t="s" s="0">
        <v>82</v>
      </c>
      <c r="BE45" t="s" s="0">
        <v>82</v>
      </c>
      <c r="BF45" t="s" s="0">
        <v>82</v>
      </c>
      <c r="BG45" t="s" s="0">
        <v>1407</v>
      </c>
      <c r="BH45" t="s" s="0">
        <v>1408</v>
      </c>
      <c r="BI45" t="s" s="0">
        <v>82</v>
      </c>
      <c r="BJ45" t="s" s="0">
        <v>1409</v>
      </c>
      <c r="BK45" t="s" s="87">
        <f>HYPERLINK("http://dx.doi.org/10.1001/jamapsychiatry.2018.2530","http://dx.doi.org/10.1001/jamapsychiatry.2018.2530")</f>
        <v>1410</v>
      </c>
      <c r="BL45" t="s" s="0">
        <v>82</v>
      </c>
      <c r="BM45" t="s" s="0">
        <v>82</v>
      </c>
      <c r="BN45" t="s" s="0">
        <v>119</v>
      </c>
      <c r="BO45" t="s" s="0">
        <v>528</v>
      </c>
      <c r="BP45" t="s" s="0">
        <v>528</v>
      </c>
      <c r="BQ45" t="s" s="0">
        <v>1411</v>
      </c>
      <c r="BR45" t="s" s="0">
        <v>1412</v>
      </c>
      <c r="BS45" t="s" s="0">
        <v>1413</v>
      </c>
      <c r="BT45" t="s" s="88">
        <f>HYPERLINK("https://www.webofscience.com/wos/woscc/full-record/WOS:000452682200013","View Record in Web of Science")</f>
        <v>124</v>
      </c>
      <c r="BU45" t="s" s="0">
        <v>82</v>
      </c>
      <c r="BV45" t="s" s="0">
        <v>82</v>
      </c>
      <c r="BW45" t="s" s="0">
        <v>82</v>
      </c>
      <c r="BX45" t="s" s="0">
        <v>126</v>
      </c>
    </row>
    <row r="46">
      <c r="A46" t="s" s="0">
        <v>77</v>
      </c>
      <c r="B46" t="s" s="0">
        <v>77</v>
      </c>
      <c r="C46" t="s" s="0">
        <v>77</v>
      </c>
      <c r="D46" t="s" s="0">
        <v>77</v>
      </c>
      <c r="E46" t="s" s="0">
        <v>1414</v>
      </c>
      <c r="F46" t="s" s="0">
        <v>1415</v>
      </c>
      <c r="G46" t="s" s="0">
        <v>1416</v>
      </c>
      <c r="H46" t="s" s="0">
        <v>82</v>
      </c>
      <c r="I46" t="s" s="0">
        <v>130</v>
      </c>
      <c r="J46" t="s" s="0">
        <v>1417</v>
      </c>
      <c r="K46" t="s" s="0">
        <v>1418</v>
      </c>
      <c r="L46" t="s" s="0">
        <v>1419</v>
      </c>
      <c r="M46" t="s" s="0">
        <v>1420</v>
      </c>
      <c r="N46" t="s" s="0">
        <v>1421</v>
      </c>
      <c r="O46" t="s" s="0">
        <v>1422</v>
      </c>
      <c r="P46" t="s" s="0">
        <v>1423</v>
      </c>
      <c r="Q46" t="s" s="0">
        <v>91</v>
      </c>
      <c r="R46" t="s" s="0">
        <v>82</v>
      </c>
      <c r="S46" t="s" s="0">
        <v>82</v>
      </c>
      <c r="T46" t="s" s="0">
        <v>82</v>
      </c>
      <c r="U46" t="s" s="0">
        <v>82</v>
      </c>
      <c r="V46" t="s" s="0">
        <v>1424</v>
      </c>
      <c r="W46" t="s" s="0">
        <v>1425</v>
      </c>
      <c r="X46" t="s" s="0">
        <v>82</v>
      </c>
      <c r="Y46" t="s" s="0">
        <v>82</v>
      </c>
      <c r="Z46" t="s" s="0">
        <v>94</v>
      </c>
      <c r="AA46" t="s" s="0">
        <v>95</v>
      </c>
      <c r="AB46" t="s" s="0">
        <v>82</v>
      </c>
      <c r="AC46" t="s" s="0">
        <v>82</v>
      </c>
      <c r="AD46" t="s" s="0">
        <v>82</v>
      </c>
      <c r="AE46" t="s" s="0">
        <v>82</v>
      </c>
      <c r="AF46" t="s" s="0">
        <v>82</v>
      </c>
      <c r="AG46" t="s" s="0">
        <v>1426</v>
      </c>
      <c r="AH46" t="s" s="0">
        <v>1427</v>
      </c>
      <c r="AI46" t="s" s="0">
        <v>1428</v>
      </c>
      <c r="AJ46" t="s" s="0">
        <v>1429</v>
      </c>
      <c r="AK46" t="s" s="0">
        <v>82</v>
      </c>
      <c r="AL46" t="s" s="0">
        <v>633</v>
      </c>
      <c r="AM46" t="s" s="0">
        <v>78</v>
      </c>
      <c r="AN46" t="s" s="0">
        <v>78</v>
      </c>
      <c r="AO46" t="s" s="0">
        <v>77</v>
      </c>
      <c r="AP46" t="s" s="0">
        <v>78</v>
      </c>
      <c r="AQ46" t="s" s="0">
        <v>1430</v>
      </c>
      <c r="AR46" t="s" s="0">
        <v>220</v>
      </c>
      <c r="AS46" t="s" s="0">
        <v>1431</v>
      </c>
      <c r="AT46" t="s" s="0">
        <v>82</v>
      </c>
      <c r="AU46" t="s" s="0">
        <v>1432</v>
      </c>
      <c r="AV46" t="s" s="0">
        <v>82</v>
      </c>
      <c r="AW46" t="s" s="0">
        <v>1433</v>
      </c>
      <c r="AX46" t="s" s="0">
        <v>1434</v>
      </c>
      <c r="AY46" t="s" s="0">
        <v>1435</v>
      </c>
      <c r="AZ46" t="s" s="0">
        <v>112</v>
      </c>
      <c r="BA46" t="s" s="0">
        <v>119</v>
      </c>
      <c r="BB46" t="s" s="0">
        <v>78</v>
      </c>
      <c r="BC46" t="s" s="0">
        <v>82</v>
      </c>
      <c r="BD46" t="s" s="0">
        <v>82</v>
      </c>
      <c r="BE46" t="s" s="0">
        <v>82</v>
      </c>
      <c r="BF46" t="s" s="0">
        <v>82</v>
      </c>
      <c r="BG46" t="s" s="0">
        <v>82</v>
      </c>
      <c r="BH46" t="s" s="0">
        <v>82</v>
      </c>
      <c r="BI46" t="s" s="0">
        <v>114</v>
      </c>
      <c r="BJ46" t="s" s="0">
        <v>1436</v>
      </c>
      <c r="BK46" t="s" s="89">
        <f>HYPERLINK("http://dx.doi.org/10.1186/s41512-025-00205-8","http://dx.doi.org/10.1186/s41512-025-00205-8")</f>
        <v>1437</v>
      </c>
      <c r="BL46" t="s" s="0">
        <v>82</v>
      </c>
      <c r="BM46" t="s" s="0">
        <v>82</v>
      </c>
      <c r="BN46" t="s" s="0">
        <v>291</v>
      </c>
      <c r="BO46" t="s" s="0">
        <v>584</v>
      </c>
      <c r="BP46" t="s" s="0">
        <v>585</v>
      </c>
      <c r="BQ46" t="s" s="0">
        <v>1438</v>
      </c>
      <c r="BR46" t="s" s="0">
        <v>1439</v>
      </c>
      <c r="BS46" t="s" s="0">
        <v>1440</v>
      </c>
      <c r="BT46" t="s" s="90">
        <f>HYPERLINK("https://www.webofscience.com/wos/woscc/full-record/WOS:001565038200001","View Record in Web of Science")</f>
        <v>124</v>
      </c>
      <c r="BU46" t="s" s="0">
        <v>236</v>
      </c>
      <c r="BV46" t="s" s="0">
        <v>82</v>
      </c>
      <c r="BW46" t="s" s="0">
        <v>82</v>
      </c>
      <c r="BX46" t="s" s="0">
        <v>126</v>
      </c>
    </row>
    <row r="47">
      <c r="A47" t="s" s="0">
        <v>78</v>
      </c>
      <c r="B47" t="s" s="0">
        <v>77</v>
      </c>
      <c r="C47" t="s" s="0">
        <v>253</v>
      </c>
      <c r="D47" t="s" s="0">
        <v>77</v>
      </c>
      <c r="E47" t="s" s="0">
        <v>1441</v>
      </c>
      <c r="F47" t="s" s="0">
        <v>1442</v>
      </c>
      <c r="G47" t="s" s="0">
        <v>1443</v>
      </c>
      <c r="H47" t="s" s="0">
        <v>82</v>
      </c>
      <c r="I47" t="s" s="0">
        <v>83</v>
      </c>
      <c r="J47" t="s" s="0">
        <v>1444</v>
      </c>
      <c r="K47" t="s" s="0">
        <v>1445</v>
      </c>
      <c r="L47" t="s" s="0">
        <v>1446</v>
      </c>
      <c r="M47" t="s" s="0">
        <v>1447</v>
      </c>
      <c r="N47" t="s" s="0">
        <v>1448</v>
      </c>
      <c r="O47" t="s" s="0">
        <v>1449</v>
      </c>
      <c r="P47" t="s" s="0">
        <v>1450</v>
      </c>
      <c r="Q47" t="s" s="0">
        <v>91</v>
      </c>
      <c r="R47" t="s" s="0">
        <v>82</v>
      </c>
      <c r="S47" t="s" s="0">
        <v>82</v>
      </c>
      <c r="T47" t="s" s="0">
        <v>82</v>
      </c>
      <c r="U47" t="s" s="0">
        <v>82</v>
      </c>
      <c r="V47" t="s" s="0">
        <v>1451</v>
      </c>
      <c r="W47" t="s" s="0">
        <v>1452</v>
      </c>
      <c r="X47" t="s" s="0">
        <v>82</v>
      </c>
      <c r="Y47" t="s" s="0">
        <v>82</v>
      </c>
      <c r="Z47" t="s" s="0">
        <v>94</v>
      </c>
      <c r="AA47" t="s" s="0">
        <v>95</v>
      </c>
      <c r="AB47" t="s" s="0">
        <v>82</v>
      </c>
      <c r="AC47" t="s" s="0">
        <v>82</v>
      </c>
      <c r="AD47" t="s" s="0">
        <v>82</v>
      </c>
      <c r="AE47" t="s" s="0">
        <v>82</v>
      </c>
      <c r="AF47" t="s" s="0">
        <v>82</v>
      </c>
      <c r="AG47" t="s" s="0">
        <v>1453</v>
      </c>
      <c r="AH47" t="s" s="0">
        <v>1454</v>
      </c>
      <c r="AI47" t="s" s="0">
        <v>1455</v>
      </c>
      <c r="AJ47" t="s" s="0">
        <v>1456</v>
      </c>
      <c r="AK47" t="s" s="0">
        <v>82</v>
      </c>
      <c r="AL47" t="s" s="0">
        <v>1457</v>
      </c>
      <c r="AM47" t="s" s="0">
        <v>1458</v>
      </c>
      <c r="AN47" t="s" s="0">
        <v>1236</v>
      </c>
      <c r="AO47" t="s" s="0">
        <v>77</v>
      </c>
      <c r="AP47" t="s" s="0">
        <v>152</v>
      </c>
      <c r="AQ47" t="s" s="0">
        <v>1068</v>
      </c>
      <c r="AR47" t="s" s="0">
        <v>1069</v>
      </c>
      <c r="AS47" t="s" s="0">
        <v>1070</v>
      </c>
      <c r="AT47" t="s" s="0">
        <v>1459</v>
      </c>
      <c r="AU47" t="s" s="0">
        <v>1460</v>
      </c>
      <c r="AV47" t="s" s="0">
        <v>82</v>
      </c>
      <c r="AW47" t="s" s="0">
        <v>1461</v>
      </c>
      <c r="AX47" t="s" s="0">
        <v>1462</v>
      </c>
      <c r="AY47" t="s" s="0">
        <v>1463</v>
      </c>
      <c r="AZ47" t="s" s="0">
        <v>1075</v>
      </c>
      <c r="BA47" t="s" s="0">
        <v>231</v>
      </c>
      <c r="BB47" t="s" s="0">
        <v>102</v>
      </c>
      <c r="BC47" t="s" s="0">
        <v>82</v>
      </c>
      <c r="BD47" t="s" s="0">
        <v>82</v>
      </c>
      <c r="BE47" t="s" s="0">
        <v>82</v>
      </c>
      <c r="BF47" t="s" s="0">
        <v>82</v>
      </c>
      <c r="BG47" t="s" s="0">
        <v>82</v>
      </c>
      <c r="BH47" t="s" s="0">
        <v>82</v>
      </c>
      <c r="BI47" t="s" s="0">
        <v>1464</v>
      </c>
      <c r="BJ47" t="s" s="0">
        <v>1465</v>
      </c>
      <c r="BK47" t="s" s="91">
        <f>HYPERLINK("http://dx.doi.org/10.1161/CIRCOUTCOMES.121.007858","http://dx.doi.org/10.1161/CIRCOUTCOMES.121.007858")</f>
        <v>1466</v>
      </c>
      <c r="BL47" t="s" s="0">
        <v>82</v>
      </c>
      <c r="BM47" t="s" s="0">
        <v>82</v>
      </c>
      <c r="BN47" t="s" s="0">
        <v>268</v>
      </c>
      <c r="BO47" t="s" s="0">
        <v>771</v>
      </c>
      <c r="BP47" t="s" s="0">
        <v>772</v>
      </c>
      <c r="BQ47" t="s" s="0">
        <v>1467</v>
      </c>
      <c r="BR47" t="s" s="0">
        <v>1468</v>
      </c>
      <c r="BS47" t="s" s="0">
        <v>1469</v>
      </c>
      <c r="BT47" t="s" s="92">
        <f>HYPERLINK("https://www.webofscience.com/wos/woscc/full-record/WOS:000685474900006","View Record in Web of Science")</f>
        <v>124</v>
      </c>
      <c r="BU47" t="s" s="0">
        <v>1470</v>
      </c>
      <c r="BV47" t="s" s="0">
        <v>82</v>
      </c>
      <c r="BW47" t="s" s="0">
        <v>82</v>
      </c>
      <c r="BX47" t="s" s="0">
        <v>126</v>
      </c>
    </row>
    <row r="48">
      <c r="A48" t="s" s="0">
        <v>77</v>
      </c>
      <c r="B48" t="s" s="0">
        <v>77</v>
      </c>
      <c r="C48" t="s" s="0">
        <v>119</v>
      </c>
      <c r="D48" t="s" s="0">
        <v>77</v>
      </c>
      <c r="E48" t="s" s="0">
        <v>1471</v>
      </c>
      <c r="F48" t="s" s="0">
        <v>1472</v>
      </c>
      <c r="G48" t="s" s="0">
        <v>1473</v>
      </c>
      <c r="H48" t="s" s="0">
        <v>82</v>
      </c>
      <c r="I48" t="s" s="0">
        <v>167</v>
      </c>
      <c r="J48" t="s" s="0">
        <v>1474</v>
      </c>
      <c r="K48" t="s" s="0">
        <v>1475</v>
      </c>
      <c r="L48" t="s" s="0">
        <v>1476</v>
      </c>
      <c r="M48" t="s" s="0">
        <v>1477</v>
      </c>
      <c r="N48" t="s" s="0">
        <v>1478</v>
      </c>
      <c r="O48" t="s" s="0">
        <v>1479</v>
      </c>
      <c r="P48" t="s" s="0">
        <v>1480</v>
      </c>
      <c r="Q48" t="s" s="0">
        <v>91</v>
      </c>
      <c r="R48" t="s" s="0">
        <v>82</v>
      </c>
      <c r="S48" t="s" s="0">
        <v>82</v>
      </c>
      <c r="T48" t="s" s="0">
        <v>82</v>
      </c>
      <c r="U48" t="s" s="0">
        <v>82</v>
      </c>
      <c r="V48" t="s" s="0">
        <v>1481</v>
      </c>
      <c r="W48" t="s" s="0">
        <v>1482</v>
      </c>
      <c r="X48" t="s" s="0">
        <v>82</v>
      </c>
      <c r="Y48" t="s" s="0">
        <v>82</v>
      </c>
      <c r="Z48" t="s" s="0">
        <v>94</v>
      </c>
      <c r="AA48" t="s" s="0">
        <v>95</v>
      </c>
      <c r="AB48" t="s" s="0">
        <v>82</v>
      </c>
      <c r="AC48" t="s" s="0">
        <v>82</v>
      </c>
      <c r="AD48" t="s" s="0">
        <v>82</v>
      </c>
      <c r="AE48" t="s" s="0">
        <v>82</v>
      </c>
      <c r="AF48" t="s" s="0">
        <v>82</v>
      </c>
      <c r="AG48" t="s" s="0">
        <v>82</v>
      </c>
      <c r="AH48" t="s" s="0">
        <v>1483</v>
      </c>
      <c r="AI48" t="s" s="0">
        <v>82</v>
      </c>
      <c r="AJ48" t="s" s="0">
        <v>1484</v>
      </c>
      <c r="AK48" t="s" s="0">
        <v>82</v>
      </c>
      <c r="AL48" t="s" s="0">
        <v>1485</v>
      </c>
      <c r="AM48" t="s" s="0">
        <v>770</v>
      </c>
      <c r="AN48" t="s" s="0">
        <v>677</v>
      </c>
      <c r="AO48" t="s" s="0">
        <v>77</v>
      </c>
      <c r="AP48" t="s" s="0">
        <v>102</v>
      </c>
      <c r="AQ48" t="s" s="0">
        <v>254</v>
      </c>
      <c r="AR48" t="s" s="0">
        <v>255</v>
      </c>
      <c r="AS48" t="s" s="0">
        <v>256</v>
      </c>
      <c r="AT48" t="s" s="0">
        <v>1486</v>
      </c>
      <c r="AU48" t="s" s="0">
        <v>1487</v>
      </c>
      <c r="AV48" t="s" s="0">
        <v>82</v>
      </c>
      <c r="AW48" t="s" s="0">
        <v>1488</v>
      </c>
      <c r="AX48" t="s" s="0">
        <v>1489</v>
      </c>
      <c r="AY48" t="s" s="0">
        <v>1463</v>
      </c>
      <c r="AZ48" t="s" s="0">
        <v>1075</v>
      </c>
      <c r="BA48" t="s" s="0">
        <v>1490</v>
      </c>
      <c r="BB48" t="s" s="0">
        <v>82</v>
      </c>
      <c r="BC48" t="s" s="0">
        <v>82</v>
      </c>
      <c r="BD48" t="s" s="0">
        <v>82</v>
      </c>
      <c r="BE48" t="s" s="0">
        <v>82</v>
      </c>
      <c r="BF48" t="s" s="0">
        <v>82</v>
      </c>
      <c r="BG48" t="s" s="0">
        <v>1066</v>
      </c>
      <c r="BH48" t="s" s="0">
        <v>1491</v>
      </c>
      <c r="BI48" t="s" s="0">
        <v>82</v>
      </c>
      <c r="BJ48" t="s" s="0">
        <v>1492</v>
      </c>
      <c r="BK48" t="s" s="93">
        <f>HYPERLINK("http://dx.doi.org/10.1016/j.trsl.2021.03.012","http://dx.doi.org/10.1016/j.trsl.2021.03.012")</f>
        <v>1493</v>
      </c>
      <c r="BL48" t="s" s="0">
        <v>82</v>
      </c>
      <c r="BM48" t="s" s="0">
        <v>1494</v>
      </c>
      <c r="BN48" t="s" s="0">
        <v>231</v>
      </c>
      <c r="BO48" t="s" s="0">
        <v>1495</v>
      </c>
      <c r="BP48" t="s" s="0">
        <v>1496</v>
      </c>
      <c r="BQ48" t="s" s="0">
        <v>1497</v>
      </c>
      <c r="BR48" t="s" s="0">
        <v>1498</v>
      </c>
      <c r="BS48" t="s" s="0">
        <v>1499</v>
      </c>
      <c r="BT48" t="s" s="94">
        <f>HYPERLINK("https://www.webofscience.com/wos/woscc/full-record/WOS:000661683600006","View Record in Web of Science")</f>
        <v>124</v>
      </c>
      <c r="BU48" t="s" s="0">
        <v>125</v>
      </c>
      <c r="BV48" t="s" s="0">
        <v>82</v>
      </c>
      <c r="BW48" t="s" s="0">
        <v>82</v>
      </c>
      <c r="BX48" t="s" s="0">
        <v>126</v>
      </c>
    </row>
    <row r="49">
      <c r="A49" t="s" s="0">
        <v>103</v>
      </c>
      <c r="B49" t="s" s="0">
        <v>77</v>
      </c>
      <c r="C49" t="s" s="0">
        <v>430</v>
      </c>
      <c r="D49" t="s" s="0">
        <v>78</v>
      </c>
      <c r="E49" t="s" s="0">
        <v>1500</v>
      </c>
      <c r="F49" t="s" s="0">
        <v>1501</v>
      </c>
      <c r="G49" t="s" s="0">
        <v>1502</v>
      </c>
      <c r="H49" t="s" s="0">
        <v>82</v>
      </c>
      <c r="I49" t="s" s="0">
        <v>83</v>
      </c>
      <c r="J49" t="s" s="0">
        <v>1503</v>
      </c>
      <c r="K49" t="s" s="0">
        <v>1504</v>
      </c>
      <c r="L49" t="s" s="0">
        <v>1505</v>
      </c>
      <c r="M49" t="s" s="0">
        <v>1506</v>
      </c>
      <c r="N49" t="s" s="0">
        <v>1507</v>
      </c>
      <c r="O49" t="s" s="0">
        <v>1508</v>
      </c>
      <c r="P49" t="s" s="0">
        <v>1509</v>
      </c>
      <c r="Q49" t="s" s="0">
        <v>91</v>
      </c>
      <c r="R49" t="s" s="0">
        <v>82</v>
      </c>
      <c r="S49" t="s" s="0">
        <v>82</v>
      </c>
      <c r="T49" t="s" s="0">
        <v>82</v>
      </c>
      <c r="U49" t="s" s="0">
        <v>82</v>
      </c>
      <c r="V49" t="s" s="0">
        <v>1510</v>
      </c>
      <c r="W49" t="s" s="0">
        <v>1511</v>
      </c>
      <c r="X49" t="s" s="0">
        <v>82</v>
      </c>
      <c r="Y49" t="s" s="0">
        <v>82</v>
      </c>
      <c r="Z49" t="s" s="0">
        <v>94</v>
      </c>
      <c r="AA49" t="s" s="0">
        <v>95</v>
      </c>
      <c r="AB49" t="s" s="0">
        <v>82</v>
      </c>
      <c r="AC49" t="s" s="0">
        <v>82</v>
      </c>
      <c r="AD49" t="s" s="0">
        <v>82</v>
      </c>
      <c r="AE49" t="s" s="0">
        <v>82</v>
      </c>
      <c r="AF49" t="s" s="0">
        <v>82</v>
      </c>
      <c r="AG49" t="s" s="0">
        <v>82</v>
      </c>
      <c r="AH49" t="s" s="0">
        <v>1512</v>
      </c>
      <c r="AI49" t="s" s="0">
        <v>1513</v>
      </c>
      <c r="AJ49" t="s" s="0">
        <v>1514</v>
      </c>
      <c r="AK49" t="s" s="0">
        <v>82</v>
      </c>
      <c r="AL49" t="s" s="0">
        <v>347</v>
      </c>
      <c r="AM49" t="s" s="0">
        <v>1515</v>
      </c>
      <c r="AN49" t="s" s="0">
        <v>1042</v>
      </c>
      <c r="AO49" t="s" s="0">
        <v>78</v>
      </c>
      <c r="AP49" t="s" s="0">
        <v>328</v>
      </c>
      <c r="AQ49" t="s" s="0">
        <v>1430</v>
      </c>
      <c r="AR49" t="s" s="0">
        <v>220</v>
      </c>
      <c r="AS49" t="s" s="0">
        <v>1431</v>
      </c>
      <c r="AT49" t="s" s="0">
        <v>1516</v>
      </c>
      <c r="AU49" t="s" s="0">
        <v>1517</v>
      </c>
      <c r="AV49" t="s" s="0">
        <v>82</v>
      </c>
      <c r="AW49" t="s" s="0">
        <v>1518</v>
      </c>
      <c r="AX49" t="s" s="0">
        <v>1519</v>
      </c>
      <c r="AY49" t="s" s="0">
        <v>1520</v>
      </c>
      <c r="AZ49" t="s" s="0">
        <v>189</v>
      </c>
      <c r="BA49" t="s" s="0">
        <v>115</v>
      </c>
      <c r="BB49" t="s" s="0">
        <v>291</v>
      </c>
      <c r="BC49" t="s" s="0">
        <v>82</v>
      </c>
      <c r="BD49" t="s" s="0">
        <v>82</v>
      </c>
      <c r="BE49" t="s" s="0">
        <v>82</v>
      </c>
      <c r="BF49" t="s" s="0">
        <v>82</v>
      </c>
      <c r="BG49" t="s" s="0">
        <v>1521</v>
      </c>
      <c r="BH49" t="s" s="0">
        <v>1522</v>
      </c>
      <c r="BI49" t="s" s="0">
        <v>82</v>
      </c>
      <c r="BJ49" t="s" s="0">
        <v>1523</v>
      </c>
      <c r="BK49" t="s" s="95">
        <f>HYPERLINK("http://dx.doi.org/10.1038/s41380-022-01528-4","http://dx.doi.org/10.1038/s41380-022-01528-4")</f>
        <v>1524</v>
      </c>
      <c r="BL49" t="s" s="0">
        <v>82</v>
      </c>
      <c r="BM49" t="s" s="0">
        <v>1273</v>
      </c>
      <c r="BN49" t="s" s="0">
        <v>119</v>
      </c>
      <c r="BO49" t="s" s="0">
        <v>1525</v>
      </c>
      <c r="BP49" t="s" s="0">
        <v>1526</v>
      </c>
      <c r="BQ49" t="s" s="0">
        <v>1527</v>
      </c>
      <c r="BR49" t="s" s="0">
        <v>1528</v>
      </c>
      <c r="BS49" t="s" s="0">
        <v>1529</v>
      </c>
      <c r="BT49" t="s" s="96">
        <f>HYPERLINK("https://www.webofscience.com/wos/woscc/full-record/WOS:000777289500002","View Record in Web of Science")</f>
        <v>124</v>
      </c>
      <c r="BU49" t="s" s="0">
        <v>202</v>
      </c>
      <c r="BV49" t="s" s="0">
        <v>713</v>
      </c>
      <c r="BW49" t="s" s="0">
        <v>714</v>
      </c>
      <c r="BX49" t="s" s="0">
        <v>126</v>
      </c>
    </row>
    <row r="50">
      <c r="A50" t="s" s="0">
        <v>77</v>
      </c>
      <c r="B50" t="s" s="0">
        <v>77</v>
      </c>
      <c r="C50" t="s" s="0">
        <v>78</v>
      </c>
      <c r="D50" t="s" s="0">
        <v>78</v>
      </c>
      <c r="E50" t="s" s="0">
        <v>1530</v>
      </c>
      <c r="F50" t="s" s="0">
        <v>1531</v>
      </c>
      <c r="G50" t="s" s="0">
        <v>1532</v>
      </c>
      <c r="H50" t="s" s="0">
        <v>82</v>
      </c>
      <c r="I50" t="s" s="0">
        <v>83</v>
      </c>
      <c r="J50" t="s" s="0">
        <v>1533</v>
      </c>
      <c r="K50" t="s" s="0">
        <v>1534</v>
      </c>
      <c r="L50" t="s" s="0">
        <v>1535</v>
      </c>
      <c r="M50" t="s" s="0">
        <v>1536</v>
      </c>
      <c r="N50" t="s" s="0">
        <v>1537</v>
      </c>
      <c r="O50" t="s" s="0">
        <v>1538</v>
      </c>
      <c r="P50" t="s" s="0">
        <v>1539</v>
      </c>
      <c r="Q50" t="s" s="0">
        <v>91</v>
      </c>
      <c r="R50" t="s" s="0">
        <v>82</v>
      </c>
      <c r="S50" t="s" s="0">
        <v>82</v>
      </c>
      <c r="T50" t="s" s="0">
        <v>82</v>
      </c>
      <c r="U50" t="s" s="0">
        <v>82</v>
      </c>
      <c r="V50" t="s" s="0">
        <v>1540</v>
      </c>
      <c r="W50" t="s" s="0">
        <v>695</v>
      </c>
      <c r="X50" t="s" s="0">
        <v>82</v>
      </c>
      <c r="Y50" t="s" s="0">
        <v>82</v>
      </c>
      <c r="Z50" t="s" s="0">
        <v>94</v>
      </c>
      <c r="AA50" t="s" s="0">
        <v>95</v>
      </c>
      <c r="AB50" t="s" s="0">
        <v>82</v>
      </c>
      <c r="AC50" t="s" s="0">
        <v>82</v>
      </c>
      <c r="AD50" t="s" s="0">
        <v>82</v>
      </c>
      <c r="AE50" t="s" s="0">
        <v>82</v>
      </c>
      <c r="AF50" t="s" s="0">
        <v>82</v>
      </c>
      <c r="AG50" t="s" s="0">
        <v>1541</v>
      </c>
      <c r="AH50" t="s" s="0">
        <v>1542</v>
      </c>
      <c r="AI50" t="s" s="0">
        <v>1543</v>
      </c>
      <c r="AJ50" t="s" s="0">
        <v>1544</v>
      </c>
      <c r="AK50" t="s" s="0">
        <v>82</v>
      </c>
      <c r="AL50" t="s" s="0">
        <v>347</v>
      </c>
      <c r="AM50" t="s" s="0">
        <v>732</v>
      </c>
      <c r="AN50" t="s" s="0">
        <v>633</v>
      </c>
      <c r="AO50" t="s" s="0">
        <v>77</v>
      </c>
      <c r="AP50" t="s" s="0">
        <v>102</v>
      </c>
      <c r="AQ50" t="s" s="0">
        <v>219</v>
      </c>
      <c r="AR50" t="s" s="0">
        <v>220</v>
      </c>
      <c r="AS50" t="s" s="0">
        <v>221</v>
      </c>
      <c r="AT50" t="s" s="0">
        <v>82</v>
      </c>
      <c r="AU50" t="s" s="0">
        <v>703</v>
      </c>
      <c r="AV50" t="s" s="0">
        <v>82</v>
      </c>
      <c r="AW50" t="s" s="0">
        <v>704</v>
      </c>
      <c r="AX50" t="s" s="0">
        <v>705</v>
      </c>
      <c r="AY50" t="s" s="0">
        <v>1545</v>
      </c>
      <c r="AZ50" t="s" s="0">
        <v>337</v>
      </c>
      <c r="BA50" t="s" s="0">
        <v>342</v>
      </c>
      <c r="BB50" t="s" s="0">
        <v>78</v>
      </c>
      <c r="BC50" t="s" s="0">
        <v>82</v>
      </c>
      <c r="BD50" t="s" s="0">
        <v>82</v>
      </c>
      <c r="BE50" t="s" s="0">
        <v>82</v>
      </c>
      <c r="BF50" t="s" s="0">
        <v>82</v>
      </c>
      <c r="BG50" t="s" s="0">
        <v>82</v>
      </c>
      <c r="BH50" t="s" s="0">
        <v>82</v>
      </c>
      <c r="BI50" t="s" s="0">
        <v>253</v>
      </c>
      <c r="BJ50" t="s" s="0">
        <v>1546</v>
      </c>
      <c r="BK50" t="s" s="97">
        <f>HYPERLINK("http://dx.doi.org/10.1186/s12874-020-0913-7","http://dx.doi.org/10.1186/s12874-020-0913-7")</f>
        <v>1547</v>
      </c>
      <c r="BL50" t="s" s="0">
        <v>82</v>
      </c>
      <c r="BM50" t="s" s="0">
        <v>82</v>
      </c>
      <c r="BN50" t="s" s="0">
        <v>377</v>
      </c>
      <c r="BO50" t="s" s="0">
        <v>649</v>
      </c>
      <c r="BP50" t="s" s="0">
        <v>649</v>
      </c>
      <c r="BQ50" t="s" s="0">
        <v>1548</v>
      </c>
      <c r="BR50" t="s" s="0">
        <v>1549</v>
      </c>
      <c r="BS50" t="s" s="0">
        <v>1550</v>
      </c>
      <c r="BT50" t="s" s="98">
        <f>HYPERLINK("https://www.webofscience.com/wos/woscc/full-record/WOS:000513699400003","View Record in Web of Science")</f>
        <v>124</v>
      </c>
      <c r="BU50" t="s" s="0">
        <v>1551</v>
      </c>
      <c r="BV50" t="s" s="0">
        <v>82</v>
      </c>
      <c r="BW50" t="s" s="0">
        <v>82</v>
      </c>
      <c r="BX50" t="s" s="0">
        <v>126</v>
      </c>
    </row>
    <row r="51">
      <c r="A51" t="s" s="0">
        <v>77</v>
      </c>
      <c r="B51" t="s" s="0">
        <v>77</v>
      </c>
      <c r="C51" t="s" s="0">
        <v>119</v>
      </c>
      <c r="D51" t="s" s="0">
        <v>77</v>
      </c>
      <c r="E51" t="s" s="0">
        <v>1552</v>
      </c>
      <c r="F51" t="s" s="0">
        <v>1553</v>
      </c>
      <c r="G51" t="s" s="0">
        <v>1554</v>
      </c>
      <c r="H51" t="s" s="0">
        <v>82</v>
      </c>
      <c r="I51" t="s" s="0">
        <v>130</v>
      </c>
      <c r="J51" t="s" s="0">
        <v>1555</v>
      </c>
      <c r="K51" t="s" s="0">
        <v>1556</v>
      </c>
      <c r="L51" t="s" s="0">
        <v>1557</v>
      </c>
      <c r="M51" t="s" s="0">
        <v>1558</v>
      </c>
      <c r="N51" t="s" s="0">
        <v>1559</v>
      </c>
      <c r="O51" t="s" s="0">
        <v>1560</v>
      </c>
      <c r="P51" t="s" s="0">
        <v>1561</v>
      </c>
      <c r="Q51" t="s" s="0">
        <v>91</v>
      </c>
      <c r="R51" t="s" s="0">
        <v>82</v>
      </c>
      <c r="S51" t="s" s="0">
        <v>82</v>
      </c>
      <c r="T51" t="s" s="0">
        <v>82</v>
      </c>
      <c r="U51" t="s" s="0">
        <v>82</v>
      </c>
      <c r="V51" t="s" s="0">
        <v>1562</v>
      </c>
      <c r="W51" t="s" s="0">
        <v>1563</v>
      </c>
      <c r="X51" t="s" s="0">
        <v>82</v>
      </c>
      <c r="Y51" t="s" s="0">
        <v>82</v>
      </c>
      <c r="Z51" t="s" s="0">
        <v>94</v>
      </c>
      <c r="AA51" t="s" s="0">
        <v>95</v>
      </c>
      <c r="AB51" t="s" s="0">
        <v>82</v>
      </c>
      <c r="AC51" t="s" s="0">
        <v>82</v>
      </c>
      <c r="AD51" t="s" s="0">
        <v>82</v>
      </c>
      <c r="AE51" t="s" s="0">
        <v>82</v>
      </c>
      <c r="AF51" t="s" s="0">
        <v>82</v>
      </c>
      <c r="AG51" t="s" s="0">
        <v>1564</v>
      </c>
      <c r="AH51" t="s" s="0">
        <v>1565</v>
      </c>
      <c r="AI51" t="s" s="0">
        <v>1566</v>
      </c>
      <c r="AJ51" t="s" s="0">
        <v>1567</v>
      </c>
      <c r="AK51" t="s" s="0">
        <v>82</v>
      </c>
      <c r="AL51" t="s" s="0">
        <v>1294</v>
      </c>
      <c r="AM51" t="s" s="0">
        <v>677</v>
      </c>
      <c r="AN51" t="s" s="0">
        <v>899</v>
      </c>
      <c r="AO51" t="s" s="0">
        <v>77</v>
      </c>
      <c r="AP51" t="s" s="0">
        <v>151</v>
      </c>
      <c r="AQ51" t="s" s="0">
        <v>733</v>
      </c>
      <c r="AR51" t="s" s="0">
        <v>220</v>
      </c>
      <c r="AS51" t="s" s="0">
        <v>734</v>
      </c>
      <c r="AT51" t="s" s="0">
        <v>82</v>
      </c>
      <c r="AU51" t="s" s="0">
        <v>1568</v>
      </c>
      <c r="AV51" t="s" s="0">
        <v>82</v>
      </c>
      <c r="AW51" t="s" s="0">
        <v>1569</v>
      </c>
      <c r="AX51" t="s" s="0">
        <v>1570</v>
      </c>
      <c r="AY51" t="s" s="0">
        <v>1571</v>
      </c>
      <c r="AZ51" t="s" s="0">
        <v>842</v>
      </c>
      <c r="BA51" t="s" s="0">
        <v>494</v>
      </c>
      <c r="BB51" t="s" s="0">
        <v>78</v>
      </c>
      <c r="BC51" t="s" s="0">
        <v>82</v>
      </c>
      <c r="BD51" t="s" s="0">
        <v>82</v>
      </c>
      <c r="BE51" t="s" s="0">
        <v>82</v>
      </c>
      <c r="BF51" t="s" s="0">
        <v>82</v>
      </c>
      <c r="BG51" t="s" s="0">
        <v>82</v>
      </c>
      <c r="BH51" t="s" s="0">
        <v>82</v>
      </c>
      <c r="BI51" t="s" s="0">
        <v>1572</v>
      </c>
      <c r="BJ51" t="s" s="0">
        <v>1573</v>
      </c>
      <c r="BK51" t="s" s="99">
        <f>HYPERLINK("http://dx.doi.org/10.1136/bmjhci-2023-100784","http://dx.doi.org/10.1136/bmjhci-2023-100784")</f>
        <v>1574</v>
      </c>
      <c r="BL51" t="s" s="0">
        <v>82</v>
      </c>
      <c r="BM51" t="s" s="0">
        <v>82</v>
      </c>
      <c r="BN51" t="s" s="0">
        <v>101</v>
      </c>
      <c r="BO51" t="s" s="0">
        <v>1575</v>
      </c>
      <c r="BP51" t="s" s="0">
        <v>1575</v>
      </c>
      <c r="BQ51" t="s" s="0">
        <v>1576</v>
      </c>
      <c r="BR51" t="s" s="0">
        <v>1577</v>
      </c>
      <c r="BS51" t="s" s="0">
        <v>1578</v>
      </c>
      <c r="BT51" t="s" s="100">
        <f>HYPERLINK("https://www.webofscience.com/wos/woscc/full-record/WOS:001046442600002","View Record in Web of Science")</f>
        <v>124</v>
      </c>
      <c r="BU51" t="s" s="0">
        <v>236</v>
      </c>
      <c r="BV51" t="s" s="0">
        <v>82</v>
      </c>
      <c r="BW51" t="s" s="0">
        <v>82</v>
      </c>
      <c r="BX51" t="s" s="0">
        <v>126</v>
      </c>
    </row>
    <row r="52">
      <c r="A52" t="s" s="0">
        <v>77</v>
      </c>
      <c r="B52" t="s" s="0">
        <v>77</v>
      </c>
      <c r="C52" t="s" s="0">
        <v>103</v>
      </c>
      <c r="D52" t="s" s="0">
        <v>77</v>
      </c>
      <c r="E52" t="s" s="0">
        <v>1579</v>
      </c>
      <c r="F52" t="s" s="0">
        <v>1580</v>
      </c>
      <c r="G52" t="s" s="0">
        <v>1581</v>
      </c>
      <c r="H52" t="s" s="0">
        <v>82</v>
      </c>
      <c r="I52" t="s" s="0">
        <v>83</v>
      </c>
      <c r="J52" t="s" s="0">
        <v>1582</v>
      </c>
      <c r="K52" t="s" s="0">
        <v>1583</v>
      </c>
      <c r="L52" t="s" s="0">
        <v>1584</v>
      </c>
      <c r="M52" t="s" s="0">
        <v>1584</v>
      </c>
      <c r="N52" t="s" s="0">
        <v>1585</v>
      </c>
      <c r="O52" t="s" s="0">
        <v>1586</v>
      </c>
      <c r="P52" t="s" s="0">
        <v>1587</v>
      </c>
      <c r="Q52" t="s" s="0">
        <v>91</v>
      </c>
      <c r="R52" t="s" s="0">
        <v>82</v>
      </c>
      <c r="S52" t="s" s="0">
        <v>82</v>
      </c>
      <c r="T52" t="s" s="0">
        <v>82</v>
      </c>
      <c r="U52" t="s" s="0">
        <v>82</v>
      </c>
      <c r="V52" t="s" s="0">
        <v>1588</v>
      </c>
      <c r="W52" t="s" s="0">
        <v>1589</v>
      </c>
      <c r="X52" t="s" s="0">
        <v>82</v>
      </c>
      <c r="Y52" t="s" s="0">
        <v>82</v>
      </c>
      <c r="Z52" t="s" s="0">
        <v>94</v>
      </c>
      <c r="AA52" t="s" s="0">
        <v>95</v>
      </c>
      <c r="AB52" t="s" s="0">
        <v>82</v>
      </c>
      <c r="AC52" t="s" s="0">
        <v>82</v>
      </c>
      <c r="AD52" t="s" s="0">
        <v>82</v>
      </c>
      <c r="AE52" t="s" s="0">
        <v>82</v>
      </c>
      <c r="AF52" t="s" s="0">
        <v>82</v>
      </c>
      <c r="AG52" t="s" s="0">
        <v>1590</v>
      </c>
      <c r="AH52" t="s" s="0">
        <v>1591</v>
      </c>
      <c r="AI52" t="s" s="0">
        <v>1592</v>
      </c>
      <c r="AJ52" t="s" s="0">
        <v>1593</v>
      </c>
      <c r="AK52" t="s" s="0">
        <v>82</v>
      </c>
      <c r="AL52" t="s" s="0">
        <v>1065</v>
      </c>
      <c r="AM52" t="s" s="0">
        <v>102</v>
      </c>
      <c r="AN52" t="s" s="0">
        <v>102</v>
      </c>
      <c r="AO52" t="s" s="0">
        <v>372</v>
      </c>
      <c r="AP52" t="s" s="0">
        <v>342</v>
      </c>
      <c r="AQ52" t="s" s="0">
        <v>670</v>
      </c>
      <c r="AR52" t="s" s="0">
        <v>255</v>
      </c>
      <c r="AS52" t="s" s="0">
        <v>671</v>
      </c>
      <c r="AT52" t="s" s="0">
        <v>1594</v>
      </c>
      <c r="AU52" t="s" s="0">
        <v>1595</v>
      </c>
      <c r="AV52" t="s" s="0">
        <v>82</v>
      </c>
      <c r="AW52" t="s" s="0">
        <v>1596</v>
      </c>
      <c r="AX52" t="s" s="0">
        <v>1597</v>
      </c>
      <c r="AY52" t="s" s="0">
        <v>1598</v>
      </c>
      <c r="AZ52" t="s" s="0">
        <v>112</v>
      </c>
      <c r="BA52" t="s" s="0">
        <v>1293</v>
      </c>
      <c r="BB52" t="s" s="0">
        <v>101</v>
      </c>
      <c r="BC52" t="s" s="0">
        <v>82</v>
      </c>
      <c r="BD52" t="s" s="0">
        <v>82</v>
      </c>
      <c r="BE52" t="s" s="0">
        <v>82</v>
      </c>
      <c r="BF52" t="s" s="0">
        <v>82</v>
      </c>
      <c r="BG52" t="s" s="0">
        <v>82</v>
      </c>
      <c r="BH52" t="s" s="0">
        <v>82</v>
      </c>
      <c r="BI52" t="s" s="0">
        <v>1599</v>
      </c>
      <c r="BJ52" t="s" s="0">
        <v>1600</v>
      </c>
      <c r="BK52" t="s" s="101">
        <f>HYPERLINK("http://dx.doi.org/10.1007/s00520-025-09562-y","http://dx.doi.org/10.1007/s00520-025-09562-y")</f>
        <v>1601</v>
      </c>
      <c r="BL52" t="s" s="0">
        <v>82</v>
      </c>
      <c r="BM52" t="s" s="0">
        <v>82</v>
      </c>
      <c r="BN52" t="s" s="0">
        <v>633</v>
      </c>
      <c r="BO52" t="s" s="0">
        <v>1602</v>
      </c>
      <c r="BP52" t="s" s="0">
        <v>1602</v>
      </c>
      <c r="BQ52" t="s" s="0">
        <v>1603</v>
      </c>
      <c r="BR52" t="s" s="0">
        <v>1604</v>
      </c>
      <c r="BS52" t="s" s="0">
        <v>1605</v>
      </c>
      <c r="BT52" t="s" s="102">
        <f>HYPERLINK("https://www.webofscience.com/wos/woscc/full-record/WOS:001502753300001","View Record in Web of Science")</f>
        <v>124</v>
      </c>
      <c r="BU52" t="s" s="0">
        <v>163</v>
      </c>
      <c r="BV52" t="s" s="0">
        <v>82</v>
      </c>
      <c r="BW52" t="s" s="0">
        <v>82</v>
      </c>
      <c r="BX52" t="s" s="0">
        <v>126</v>
      </c>
    </row>
    <row r="53">
      <c r="A53" t="s" s="0">
        <v>77</v>
      </c>
      <c r="B53" t="s" s="0">
        <v>77</v>
      </c>
      <c r="C53" t="s" s="0">
        <v>77</v>
      </c>
      <c r="D53" t="s" s="0">
        <v>77</v>
      </c>
      <c r="E53" t="s" s="0">
        <v>1606</v>
      </c>
      <c r="F53" t="s" s="0">
        <v>1607</v>
      </c>
      <c r="G53" t="s" s="0">
        <v>1608</v>
      </c>
      <c r="H53" t="s" s="0">
        <v>82</v>
      </c>
      <c r="I53" t="s" s="0">
        <v>83</v>
      </c>
      <c r="J53" t="s" s="0">
        <v>1609</v>
      </c>
      <c r="K53" t="s" s="0">
        <v>1610</v>
      </c>
      <c r="L53" t="s" s="0">
        <v>1611</v>
      </c>
      <c r="M53" t="s" s="0">
        <v>1611</v>
      </c>
      <c r="N53" t="s" s="0">
        <v>1612</v>
      </c>
      <c r="O53" t="s" s="0">
        <v>1613</v>
      </c>
      <c r="P53" t="s" s="0">
        <v>1614</v>
      </c>
      <c r="Q53" t="s" s="0">
        <v>91</v>
      </c>
      <c r="R53" t="s" s="0">
        <v>82</v>
      </c>
      <c r="S53" t="s" s="0">
        <v>82</v>
      </c>
      <c r="T53" t="s" s="0">
        <v>82</v>
      </c>
      <c r="U53" t="s" s="0">
        <v>82</v>
      </c>
      <c r="V53" t="s" s="0">
        <v>1615</v>
      </c>
      <c r="W53" t="s" s="0">
        <v>999</v>
      </c>
      <c r="X53" t="s" s="0">
        <v>82</v>
      </c>
      <c r="Y53" t="s" s="0">
        <v>82</v>
      </c>
      <c r="Z53" t="s" s="0">
        <v>94</v>
      </c>
      <c r="AA53" t="s" s="0">
        <v>95</v>
      </c>
      <c r="AB53" t="s" s="0">
        <v>82</v>
      </c>
      <c r="AC53" t="s" s="0">
        <v>82</v>
      </c>
      <c r="AD53" t="s" s="0">
        <v>82</v>
      </c>
      <c r="AE53" t="s" s="0">
        <v>82</v>
      </c>
      <c r="AF53" t="s" s="0">
        <v>82</v>
      </c>
      <c r="AG53" t="s" s="0">
        <v>1616</v>
      </c>
      <c r="AH53" t="s" s="0">
        <v>1617</v>
      </c>
      <c r="AI53" t="s" s="0">
        <v>1618</v>
      </c>
      <c r="AJ53" t="s" s="0">
        <v>1619</v>
      </c>
      <c r="AK53" t="s" s="0">
        <v>82</v>
      </c>
      <c r="AL53" t="s" s="0">
        <v>329</v>
      </c>
      <c r="AM53" t="s" s="0">
        <v>78</v>
      </c>
      <c r="AN53" t="s" s="0">
        <v>103</v>
      </c>
      <c r="AO53" t="s" s="0">
        <v>77</v>
      </c>
      <c r="AP53" t="s" s="0">
        <v>78</v>
      </c>
      <c r="AQ53" t="s" s="0">
        <v>1004</v>
      </c>
      <c r="AR53" t="s" s="0">
        <v>220</v>
      </c>
      <c r="AS53" t="s" s="0">
        <v>1005</v>
      </c>
      <c r="AT53" t="s" s="0">
        <v>1006</v>
      </c>
      <c r="AU53" t="s" s="0">
        <v>1007</v>
      </c>
      <c r="AV53" t="s" s="0">
        <v>82</v>
      </c>
      <c r="AW53" t="s" s="0">
        <v>1008</v>
      </c>
      <c r="AX53" t="s" s="0">
        <v>1009</v>
      </c>
      <c r="AY53" t="s" s="0">
        <v>1620</v>
      </c>
      <c r="AZ53" t="s" s="0">
        <v>112</v>
      </c>
      <c r="BA53" t="s" s="0">
        <v>1042</v>
      </c>
      <c r="BB53" t="s" s="0">
        <v>82</v>
      </c>
      <c r="BC53" t="s" s="0">
        <v>82</v>
      </c>
      <c r="BD53" t="s" s="0">
        <v>82</v>
      </c>
      <c r="BE53" t="s" s="0">
        <v>82</v>
      </c>
      <c r="BF53" t="s" s="0">
        <v>82</v>
      </c>
      <c r="BG53" t="s" s="0">
        <v>1621</v>
      </c>
      <c r="BH53" t="s" s="0">
        <v>218</v>
      </c>
      <c r="BI53" t="s" s="0">
        <v>82</v>
      </c>
      <c r="BJ53" t="s" s="0">
        <v>1622</v>
      </c>
      <c r="BK53" t="s" s="103">
        <f>HYPERLINK("http://dx.doi.org/10.1016/j.jhin.2025.04.035","http://dx.doi.org/10.1016/j.jhin.2025.04.035")</f>
        <v>1623</v>
      </c>
      <c r="BL53" t="s" s="0">
        <v>82</v>
      </c>
      <c r="BM53" t="s" s="0">
        <v>111</v>
      </c>
      <c r="BN53" t="s" s="0">
        <v>119</v>
      </c>
      <c r="BO53" t="s" s="0">
        <v>1015</v>
      </c>
      <c r="BP53" t="s" s="0">
        <v>1015</v>
      </c>
      <c r="BQ53" t="s" s="0">
        <v>1624</v>
      </c>
      <c r="BR53" t="s" s="0">
        <v>1625</v>
      </c>
      <c r="BS53" t="s" s="0">
        <v>1626</v>
      </c>
      <c r="BT53" t="s" s="104">
        <f>HYPERLINK("https://www.webofscience.com/wos/woscc/full-record/WOS:001568392100002","View Record in Web of Science")</f>
        <v>124</v>
      </c>
      <c r="BU53" t="s" s="0">
        <v>1627</v>
      </c>
      <c r="BV53" t="s" s="0">
        <v>82</v>
      </c>
      <c r="BW53" t="s" s="0">
        <v>82</v>
      </c>
      <c r="BX53" t="s" s="0">
        <v>126</v>
      </c>
    </row>
    <row r="54">
      <c r="A54" t="s" s="0">
        <v>77</v>
      </c>
      <c r="B54" t="s" s="0">
        <v>77</v>
      </c>
      <c r="C54" t="s" s="0">
        <v>103</v>
      </c>
      <c r="D54" t="s" s="0">
        <v>77</v>
      </c>
      <c r="E54" t="s" s="0">
        <v>1628</v>
      </c>
      <c r="F54" t="s" s="0">
        <v>1629</v>
      </c>
      <c r="G54" t="s" s="0">
        <v>1630</v>
      </c>
      <c r="H54" t="s" s="0">
        <v>82</v>
      </c>
      <c r="I54" t="s" s="0">
        <v>83</v>
      </c>
      <c r="J54" t="s" s="0">
        <v>1631</v>
      </c>
      <c r="K54" t="s" s="0">
        <v>1632</v>
      </c>
      <c r="L54" t="s" s="0">
        <v>82</v>
      </c>
      <c r="M54" t="s" s="0">
        <v>82</v>
      </c>
      <c r="N54" t="s" s="0">
        <v>82</v>
      </c>
      <c r="O54" t="s" s="0">
        <v>1633</v>
      </c>
      <c r="P54" t="s" s="0">
        <v>1634</v>
      </c>
      <c r="Q54" t="s" s="0">
        <v>91</v>
      </c>
      <c r="R54" t="s" s="0">
        <v>82</v>
      </c>
      <c r="S54" t="s" s="0">
        <v>82</v>
      </c>
      <c r="T54" t="s" s="0">
        <v>82</v>
      </c>
      <c r="U54" t="s" s="0">
        <v>82</v>
      </c>
      <c r="V54" t="s" s="0">
        <v>1635</v>
      </c>
      <c r="W54" t="s" s="0">
        <v>1636</v>
      </c>
      <c r="X54" t="s" s="0">
        <v>82</v>
      </c>
      <c r="Y54" t="s" s="0">
        <v>82</v>
      </c>
      <c r="Z54" t="s" s="0">
        <v>94</v>
      </c>
      <c r="AA54" t="s" s="0">
        <v>95</v>
      </c>
      <c r="AB54" t="s" s="0">
        <v>82</v>
      </c>
      <c r="AC54" t="s" s="0">
        <v>82</v>
      </c>
      <c r="AD54" t="s" s="0">
        <v>82</v>
      </c>
      <c r="AE54" t="s" s="0">
        <v>82</v>
      </c>
      <c r="AF54" t="s" s="0">
        <v>82</v>
      </c>
      <c r="AG54" t="s" s="0">
        <v>1637</v>
      </c>
      <c r="AH54" t="s" s="0">
        <v>1638</v>
      </c>
      <c r="AI54" t="s" s="0">
        <v>1639</v>
      </c>
      <c r="AJ54" t="s" s="0">
        <v>1640</v>
      </c>
      <c r="AK54" t="s" s="0">
        <v>82</v>
      </c>
      <c r="AL54" t="s" s="0">
        <v>633</v>
      </c>
      <c r="AM54" t="s" s="0">
        <v>119</v>
      </c>
      <c r="AN54" t="s" s="0">
        <v>524</v>
      </c>
      <c r="AO54" t="s" s="0">
        <v>78</v>
      </c>
      <c r="AP54" t="s" s="0">
        <v>152</v>
      </c>
      <c r="AQ54" t="s" s="0">
        <v>1641</v>
      </c>
      <c r="AR54" t="s" s="0">
        <v>1642</v>
      </c>
      <c r="AS54" t="s" s="0">
        <v>1643</v>
      </c>
      <c r="AT54" t="s" s="0">
        <v>82</v>
      </c>
      <c r="AU54" t="s" s="0">
        <v>1644</v>
      </c>
      <c r="AV54" t="s" s="0">
        <v>82</v>
      </c>
      <c r="AW54" t="s" s="0">
        <v>1645</v>
      </c>
      <c r="AX54" t="s" s="0">
        <v>1646</v>
      </c>
      <c r="AY54" t="s" s="0">
        <v>112</v>
      </c>
      <c r="AZ54" t="s" s="0">
        <v>112</v>
      </c>
      <c r="BA54" t="s" s="0">
        <v>300</v>
      </c>
      <c r="BB54" t="s" s="0">
        <v>82</v>
      </c>
      <c r="BC54" t="s" s="0">
        <v>82</v>
      </c>
      <c r="BD54" t="s" s="0">
        <v>82</v>
      </c>
      <c r="BE54" t="s" s="0">
        <v>82</v>
      </c>
      <c r="BF54" t="s" s="0">
        <v>82</v>
      </c>
      <c r="BG54" t="s" s="0">
        <v>82</v>
      </c>
      <c r="BH54" t="s" s="0">
        <v>82</v>
      </c>
      <c r="BI54" t="s" s="0">
        <v>1647</v>
      </c>
      <c r="BJ54" t="s" s="0">
        <v>1648</v>
      </c>
      <c r="BK54" t="s" s="105">
        <f>HYPERLINK("http://dx.doi.org/10.2196/62710","http://dx.doi.org/10.2196/62710")</f>
        <v>1649</v>
      </c>
      <c r="BL54" t="s" s="0">
        <v>82</v>
      </c>
      <c r="BM54" t="s" s="0">
        <v>82</v>
      </c>
      <c r="BN54" t="s" s="0">
        <v>102</v>
      </c>
      <c r="BO54" t="s" s="0">
        <v>1650</v>
      </c>
      <c r="BP54" t="s" s="0">
        <v>1650</v>
      </c>
      <c r="BQ54" t="s" s="0">
        <v>1651</v>
      </c>
      <c r="BR54" t="s" s="0">
        <v>1652</v>
      </c>
      <c r="BS54" t="s" s="0">
        <v>1653</v>
      </c>
      <c r="BT54" t="s" s="106">
        <f>HYPERLINK("https://www.webofscience.com/wos/woscc/full-record/WOS:001529728100001","View Record in Web of Science")</f>
        <v>124</v>
      </c>
      <c r="BU54" t="s" s="0">
        <v>532</v>
      </c>
      <c r="BV54" t="s" s="0">
        <v>82</v>
      </c>
      <c r="BW54" t="s" s="0">
        <v>82</v>
      </c>
      <c r="BX54" t="s" s="0">
        <v>126</v>
      </c>
    </row>
    <row r="55">
      <c r="A55" t="s" s="0">
        <v>77</v>
      </c>
      <c r="B55" t="s" s="0">
        <v>77</v>
      </c>
      <c r="C55" t="s" s="0">
        <v>78</v>
      </c>
      <c r="D55" t="s" s="0">
        <v>77</v>
      </c>
      <c r="E55" t="s" s="0">
        <v>1654</v>
      </c>
      <c r="F55" t="s" s="0">
        <v>1655</v>
      </c>
      <c r="G55" t="s" s="0">
        <v>1656</v>
      </c>
      <c r="H55" t="s" s="0">
        <v>82</v>
      </c>
      <c r="I55" t="s" s="0">
        <v>83</v>
      </c>
      <c r="J55" t="s" s="0">
        <v>1657</v>
      </c>
      <c r="K55" t="s" s="0">
        <v>1658</v>
      </c>
      <c r="L55" t="s" s="0">
        <v>1659</v>
      </c>
      <c r="M55" t="s" s="0">
        <v>1660</v>
      </c>
      <c r="N55" t="s" s="0">
        <v>1661</v>
      </c>
      <c r="O55" t="s" s="0">
        <v>1662</v>
      </c>
      <c r="P55" t="s" s="0">
        <v>1663</v>
      </c>
      <c r="Q55" t="s" s="0">
        <v>91</v>
      </c>
      <c r="R55" t="s" s="0">
        <v>82</v>
      </c>
      <c r="S55" t="s" s="0">
        <v>82</v>
      </c>
      <c r="T55" t="s" s="0">
        <v>82</v>
      </c>
      <c r="U55" t="s" s="0">
        <v>82</v>
      </c>
      <c r="V55" t="s" s="0">
        <v>1664</v>
      </c>
      <c r="W55" t="s" s="0">
        <v>1665</v>
      </c>
      <c r="X55" t="s" s="0">
        <v>82</v>
      </c>
      <c r="Y55" t="s" s="0">
        <v>82</v>
      </c>
      <c r="Z55" t="s" s="0">
        <v>94</v>
      </c>
      <c r="AA55" t="s" s="0">
        <v>95</v>
      </c>
      <c r="AB55" t="s" s="0">
        <v>82</v>
      </c>
      <c r="AC55" t="s" s="0">
        <v>82</v>
      </c>
      <c r="AD55" t="s" s="0">
        <v>82</v>
      </c>
      <c r="AE55" t="s" s="0">
        <v>82</v>
      </c>
      <c r="AF55" t="s" s="0">
        <v>82</v>
      </c>
      <c r="AG55" t="s" s="0">
        <v>1666</v>
      </c>
      <c r="AH55" t="s" s="0">
        <v>1667</v>
      </c>
      <c r="AI55" t="s" s="0">
        <v>1668</v>
      </c>
      <c r="AJ55" t="s" s="0">
        <v>82</v>
      </c>
      <c r="AK55" t="s" s="0">
        <v>82</v>
      </c>
      <c r="AL55" t="s" s="0">
        <v>1669</v>
      </c>
      <c r="AM55" t="s" s="0">
        <v>372</v>
      </c>
      <c r="AN55" t="s" s="0">
        <v>152</v>
      </c>
      <c r="AO55" t="s" s="0">
        <v>77</v>
      </c>
      <c r="AP55" t="s" s="0">
        <v>78</v>
      </c>
      <c r="AQ55" t="s" s="0">
        <v>547</v>
      </c>
      <c r="AR55" t="s" s="0">
        <v>548</v>
      </c>
      <c r="AS55" t="s" s="0">
        <v>549</v>
      </c>
      <c r="AT55" t="s" s="0">
        <v>1670</v>
      </c>
      <c r="AU55" t="s" s="0">
        <v>82</v>
      </c>
      <c r="AV55" t="s" s="0">
        <v>82</v>
      </c>
      <c r="AW55" t="s" s="0">
        <v>1671</v>
      </c>
      <c r="AX55" t="s" s="0">
        <v>1672</v>
      </c>
      <c r="AY55" t="s" s="0">
        <v>1673</v>
      </c>
      <c r="AZ55" t="s" s="0">
        <v>226</v>
      </c>
      <c r="BA55" t="s" s="0">
        <v>268</v>
      </c>
      <c r="BB55" t="s" s="0">
        <v>82</v>
      </c>
      <c r="BC55" t="s" s="0">
        <v>82</v>
      </c>
      <c r="BD55" t="s" s="0">
        <v>82</v>
      </c>
      <c r="BE55" t="s" s="0">
        <v>82</v>
      </c>
      <c r="BF55" t="s" s="0">
        <v>82</v>
      </c>
      <c r="BG55" t="s" s="0">
        <v>82</v>
      </c>
      <c r="BH55" t="s" s="0">
        <v>82</v>
      </c>
      <c r="BI55" t="s" s="0">
        <v>1674</v>
      </c>
      <c r="BJ55" t="s" s="0">
        <v>1675</v>
      </c>
      <c r="BK55" t="s" s="107">
        <f>HYPERLINK("http://dx.doi.org/10.3389/fcvm.2024.1449058","http://dx.doi.org/10.3389/fcvm.2024.1449058")</f>
        <v>1676</v>
      </c>
      <c r="BL55" t="s" s="0">
        <v>82</v>
      </c>
      <c r="BM55" t="s" s="0">
        <v>82</v>
      </c>
      <c r="BN55" t="s" s="0">
        <v>377</v>
      </c>
      <c r="BO55" t="s" s="0">
        <v>771</v>
      </c>
      <c r="BP55" t="s" s="0">
        <v>772</v>
      </c>
      <c r="BQ55" t="s" s="0">
        <v>1677</v>
      </c>
      <c r="BR55" t="s" s="0">
        <v>1678</v>
      </c>
      <c r="BS55" t="s" s="0">
        <v>1679</v>
      </c>
      <c r="BT55" t="s" s="108">
        <f>HYPERLINK("https://www.webofscience.com/wos/woscc/full-record/WOS:001345900900001","View Record in Web of Science")</f>
        <v>124</v>
      </c>
      <c r="BU55" t="s" s="0">
        <v>236</v>
      </c>
      <c r="BV55" t="s" s="0">
        <v>82</v>
      </c>
      <c r="BW55" t="s" s="0">
        <v>82</v>
      </c>
      <c r="BX55" t="s" s="0">
        <v>126</v>
      </c>
    </row>
    <row r="56">
      <c r="A56" t="s" s="0">
        <v>77</v>
      </c>
      <c r="B56" t="s" s="0">
        <v>77</v>
      </c>
      <c r="C56" t="s" s="0">
        <v>77</v>
      </c>
      <c r="D56" t="s" s="0">
        <v>77</v>
      </c>
      <c r="E56" t="s" s="0">
        <v>1680</v>
      </c>
      <c r="F56" t="s" s="0">
        <v>1681</v>
      </c>
      <c r="G56" t="s" s="0">
        <v>1682</v>
      </c>
      <c r="H56" t="s" s="0">
        <v>82</v>
      </c>
      <c r="I56" t="s" s="0">
        <v>130</v>
      </c>
      <c r="J56" t="s" s="0">
        <v>1683</v>
      </c>
      <c r="K56" t="s" s="0">
        <v>1684</v>
      </c>
      <c r="L56" t="s" s="0">
        <v>82</v>
      </c>
      <c r="M56" t="s" s="0">
        <v>82</v>
      </c>
      <c r="N56" t="s" s="0">
        <v>82</v>
      </c>
      <c r="O56" t="s" s="0">
        <v>1685</v>
      </c>
      <c r="P56" t="s" s="0">
        <v>1686</v>
      </c>
      <c r="Q56" t="s" s="0">
        <v>91</v>
      </c>
      <c r="R56" t="s" s="0">
        <v>82</v>
      </c>
      <c r="S56" t="s" s="0">
        <v>82</v>
      </c>
      <c r="T56" t="s" s="0">
        <v>82</v>
      </c>
      <c r="U56" t="s" s="0">
        <v>82</v>
      </c>
      <c r="V56" t="s" s="0">
        <v>1687</v>
      </c>
      <c r="W56" t="s" s="0">
        <v>1688</v>
      </c>
      <c r="X56" t="s" s="0">
        <v>82</v>
      </c>
      <c r="Y56" t="s" s="0">
        <v>82</v>
      </c>
      <c r="Z56" t="s" s="0">
        <v>94</v>
      </c>
      <c r="AA56" t="s" s="0">
        <v>95</v>
      </c>
      <c r="AB56" t="s" s="0">
        <v>82</v>
      </c>
      <c r="AC56" t="s" s="0">
        <v>82</v>
      </c>
      <c r="AD56" t="s" s="0">
        <v>82</v>
      </c>
      <c r="AE56" t="s" s="0">
        <v>82</v>
      </c>
      <c r="AF56" t="s" s="0">
        <v>82</v>
      </c>
      <c r="AG56" t="s" s="0">
        <v>1689</v>
      </c>
      <c r="AH56" t="s" s="0">
        <v>1690</v>
      </c>
      <c r="AI56" t="s" s="0">
        <v>1691</v>
      </c>
      <c r="AJ56" t="s" s="0">
        <v>82</v>
      </c>
      <c r="AK56" t="s" s="0">
        <v>82</v>
      </c>
      <c r="AL56" t="s" s="0">
        <v>1692</v>
      </c>
      <c r="AM56" t="s" s="0">
        <v>77</v>
      </c>
      <c r="AN56" t="s" s="0">
        <v>77</v>
      </c>
      <c r="AO56" t="s" s="0">
        <v>78</v>
      </c>
      <c r="AP56" t="s" s="0">
        <v>78</v>
      </c>
      <c r="AQ56" t="s" s="0">
        <v>495</v>
      </c>
      <c r="AR56" t="s" s="0">
        <v>496</v>
      </c>
      <c r="AS56" t="s" s="0">
        <v>497</v>
      </c>
      <c r="AT56" t="s" s="0">
        <v>82</v>
      </c>
      <c r="AU56" t="s" s="0">
        <v>1693</v>
      </c>
      <c r="AV56" t="s" s="0">
        <v>82</v>
      </c>
      <c r="AW56" t="s" s="0">
        <v>1688</v>
      </c>
      <c r="AX56" t="s" s="0">
        <v>1694</v>
      </c>
      <c r="AY56" t="s" s="0">
        <v>1695</v>
      </c>
      <c r="AZ56" t="s" s="0">
        <v>150</v>
      </c>
      <c r="BA56" t="s" s="0">
        <v>231</v>
      </c>
      <c r="BB56" t="s" s="0">
        <v>372</v>
      </c>
      <c r="BC56" t="s" s="0">
        <v>82</v>
      </c>
      <c r="BD56" t="s" s="0">
        <v>82</v>
      </c>
      <c r="BE56" t="s" s="0">
        <v>82</v>
      </c>
      <c r="BF56" t="s" s="0">
        <v>82</v>
      </c>
      <c r="BG56" t="s" s="0">
        <v>82</v>
      </c>
      <c r="BH56" t="s" s="0">
        <v>82</v>
      </c>
      <c r="BI56" t="s" s="0">
        <v>1696</v>
      </c>
      <c r="BJ56" t="s" s="0">
        <v>1697</v>
      </c>
      <c r="BK56" t="s" s="109">
        <f>HYPERLINK("http://dx.doi.org/10.3390/technologies14030184","http://dx.doi.org/10.3390/technologies14030184")</f>
        <v>1698</v>
      </c>
      <c r="BL56" t="s" s="0">
        <v>82</v>
      </c>
      <c r="BM56" t="s" s="0">
        <v>82</v>
      </c>
      <c r="BN56" t="s" s="0">
        <v>253</v>
      </c>
      <c r="BO56" t="s" s="0">
        <v>1699</v>
      </c>
      <c r="BP56" t="s" s="0">
        <v>1700</v>
      </c>
      <c r="BQ56" t="s" s="0">
        <v>1701</v>
      </c>
      <c r="BR56" t="s" s="0">
        <v>82</v>
      </c>
      <c r="BS56" t="s" s="0">
        <v>1702</v>
      </c>
      <c r="BT56" t="s" s="110">
        <f>HYPERLINK("https://www.webofscience.com/wos/woscc/full-record/WOS:001725224400001","View Record in Web of Science")</f>
        <v>124</v>
      </c>
      <c r="BU56" t="s" s="0">
        <v>236</v>
      </c>
      <c r="BV56" t="s" s="0">
        <v>82</v>
      </c>
      <c r="BW56" t="s" s="0">
        <v>82</v>
      </c>
      <c r="BX56" t="s" s="0">
        <v>126</v>
      </c>
    </row>
    <row r="57">
      <c r="A57" t="s" s="0">
        <v>101</v>
      </c>
      <c r="B57" t="s" s="0">
        <v>77</v>
      </c>
      <c r="C57" t="s" s="0">
        <v>327</v>
      </c>
      <c r="D57" t="s" s="0">
        <v>77</v>
      </c>
      <c r="E57" t="s" s="0">
        <v>1703</v>
      </c>
      <c r="F57" t="s" s="0">
        <v>1704</v>
      </c>
      <c r="G57" t="s" s="0">
        <v>1705</v>
      </c>
      <c r="H57" t="s" s="0">
        <v>82</v>
      </c>
      <c r="I57" t="s" s="0">
        <v>167</v>
      </c>
      <c r="J57" t="s" s="0">
        <v>1706</v>
      </c>
      <c r="K57" t="s" s="0">
        <v>1707</v>
      </c>
      <c r="L57" t="s" s="0">
        <v>1708</v>
      </c>
      <c r="M57" t="s" s="0">
        <v>1709</v>
      </c>
      <c r="N57" t="s" s="0">
        <v>1710</v>
      </c>
      <c r="O57" t="s" s="0">
        <v>1711</v>
      </c>
      <c r="P57" t="s" s="0">
        <v>1712</v>
      </c>
      <c r="Q57" t="s" s="0">
        <v>91</v>
      </c>
      <c r="R57" t="s" s="0">
        <v>82</v>
      </c>
      <c r="S57" t="s" s="0">
        <v>82</v>
      </c>
      <c r="T57" t="s" s="0">
        <v>82</v>
      </c>
      <c r="U57" t="s" s="0">
        <v>82</v>
      </c>
      <c r="V57" t="s" s="0">
        <v>1713</v>
      </c>
      <c r="W57" t="s" s="0">
        <v>176</v>
      </c>
      <c r="X57" t="s" s="0">
        <v>82</v>
      </c>
      <c r="Y57" t="s" s="0">
        <v>82</v>
      </c>
      <c r="Z57" t="s" s="0">
        <v>94</v>
      </c>
      <c r="AA57" t="s" s="0">
        <v>95</v>
      </c>
      <c r="AB57" t="s" s="0">
        <v>82</v>
      </c>
      <c r="AC57" t="s" s="0">
        <v>82</v>
      </c>
      <c r="AD57" t="s" s="0">
        <v>82</v>
      </c>
      <c r="AE57" t="s" s="0">
        <v>82</v>
      </c>
      <c r="AF57" t="s" s="0">
        <v>82</v>
      </c>
      <c r="AG57" t="s" s="0">
        <v>1714</v>
      </c>
      <c r="AH57" t="s" s="0">
        <v>1715</v>
      </c>
      <c r="AI57" t="s" s="0">
        <v>1716</v>
      </c>
      <c r="AJ57" t="s" s="0">
        <v>1717</v>
      </c>
      <c r="AK57" t="s" s="0">
        <v>82</v>
      </c>
      <c r="AL57" t="s" s="0">
        <v>360</v>
      </c>
      <c r="AM57" t="s" s="0">
        <v>1718</v>
      </c>
      <c r="AN57" t="s" s="0">
        <v>1719</v>
      </c>
      <c r="AO57" t="s" s="0">
        <v>372</v>
      </c>
      <c r="AP57" t="s" s="0">
        <v>1720</v>
      </c>
      <c r="AQ57" t="s" s="0">
        <v>181</v>
      </c>
      <c r="AR57" t="s" s="0">
        <v>182</v>
      </c>
      <c r="AS57" t="s" s="0">
        <v>183</v>
      </c>
      <c r="AT57" t="s" s="0">
        <v>184</v>
      </c>
      <c r="AU57" t="s" s="0">
        <v>185</v>
      </c>
      <c r="AV57" t="s" s="0">
        <v>82</v>
      </c>
      <c r="AW57" t="s" s="0">
        <v>186</v>
      </c>
      <c r="AX57" t="s" s="0">
        <v>187</v>
      </c>
      <c r="AY57" t="s" s="0">
        <v>1721</v>
      </c>
      <c r="AZ57" t="s" s="0">
        <v>337</v>
      </c>
      <c r="BA57" t="s" s="0">
        <v>115</v>
      </c>
      <c r="BB57" t="s" s="0">
        <v>152</v>
      </c>
      <c r="BC57" t="s" s="0">
        <v>82</v>
      </c>
      <c r="BD57" t="s" s="0">
        <v>82</v>
      </c>
      <c r="BE57" t="s" s="0">
        <v>82</v>
      </c>
      <c r="BF57" t="s" s="0">
        <v>82</v>
      </c>
      <c r="BG57" t="s" s="0">
        <v>1722</v>
      </c>
      <c r="BH57" t="s" s="0">
        <v>1723</v>
      </c>
      <c r="BI57" t="s" s="0">
        <v>82</v>
      </c>
      <c r="BJ57" t="s" s="0">
        <v>1724</v>
      </c>
      <c r="BK57" t="s" s="111">
        <f>HYPERLINK("http://dx.doi.org/10.1093/jamia/ocz228","http://dx.doi.org/10.1093/jamia/ocz228")</f>
        <v>1725</v>
      </c>
      <c r="BL57" t="s" s="0">
        <v>82</v>
      </c>
      <c r="BM57" t="s" s="0">
        <v>82</v>
      </c>
      <c r="BN57" t="s" s="0">
        <v>300</v>
      </c>
      <c r="BO57" t="s" s="0">
        <v>197</v>
      </c>
      <c r="BP57" t="s" s="0">
        <v>198</v>
      </c>
      <c r="BQ57" t="s" s="0">
        <v>1726</v>
      </c>
      <c r="BR57" t="s" s="0">
        <v>1727</v>
      </c>
      <c r="BS57" t="s" s="0">
        <v>1728</v>
      </c>
      <c r="BT57" t="s" s="112">
        <f>HYPERLINK("https://www.webofscience.com/wos/woscc/full-record/WOS:000548306200016","View Record in Web of Science")</f>
        <v>124</v>
      </c>
      <c r="BU57" t="s" s="0">
        <v>413</v>
      </c>
      <c r="BV57" t="s" s="0">
        <v>713</v>
      </c>
      <c r="BW57" t="s" s="0">
        <v>714</v>
      </c>
      <c r="BX57" t="s" s="0">
        <v>126</v>
      </c>
    </row>
    <row r="58">
      <c r="A58" t="s" s="0">
        <v>77</v>
      </c>
      <c r="B58" t="s" s="0">
        <v>77</v>
      </c>
      <c r="C58" t="s" s="0">
        <v>119</v>
      </c>
      <c r="D58" t="s" s="0">
        <v>77</v>
      </c>
      <c r="E58" t="s" s="0">
        <v>1729</v>
      </c>
      <c r="F58" t="s" s="0">
        <v>1730</v>
      </c>
      <c r="G58" t="s" s="0">
        <v>1731</v>
      </c>
      <c r="H58" t="s" s="0">
        <v>82</v>
      </c>
      <c r="I58" t="s" s="0">
        <v>83</v>
      </c>
      <c r="J58" t="s" s="0">
        <v>1732</v>
      </c>
      <c r="K58" t="s" s="0">
        <v>1733</v>
      </c>
      <c r="L58" t="s" s="0">
        <v>1734</v>
      </c>
      <c r="M58" t="s" s="0">
        <v>1734</v>
      </c>
      <c r="N58" t="s" s="0">
        <v>1735</v>
      </c>
      <c r="O58" t="s" s="0">
        <v>1736</v>
      </c>
      <c r="P58" t="s" s="0">
        <v>1737</v>
      </c>
      <c r="Q58" t="s" s="0">
        <v>91</v>
      </c>
      <c r="R58" t="s" s="0">
        <v>82</v>
      </c>
      <c r="S58" t="s" s="0">
        <v>82</v>
      </c>
      <c r="T58" t="s" s="0">
        <v>82</v>
      </c>
      <c r="U58" t="s" s="0">
        <v>82</v>
      </c>
      <c r="V58" t="s" s="0">
        <v>1738</v>
      </c>
      <c r="W58" t="s" s="0">
        <v>1739</v>
      </c>
      <c r="X58" t="s" s="0">
        <v>82</v>
      </c>
      <c r="Y58" t="s" s="0">
        <v>82</v>
      </c>
      <c r="Z58" t="s" s="0">
        <v>94</v>
      </c>
      <c r="AA58" t="s" s="0">
        <v>95</v>
      </c>
      <c r="AB58" t="s" s="0">
        <v>82</v>
      </c>
      <c r="AC58" t="s" s="0">
        <v>82</v>
      </c>
      <c r="AD58" t="s" s="0">
        <v>82</v>
      </c>
      <c r="AE58" t="s" s="0">
        <v>82</v>
      </c>
      <c r="AF58" t="s" s="0">
        <v>82</v>
      </c>
      <c r="AG58" t="s" s="0">
        <v>82</v>
      </c>
      <c r="AH58" t="s" s="0">
        <v>1740</v>
      </c>
      <c r="AI58" t="s" s="0">
        <v>82</v>
      </c>
      <c r="AJ58" t="s" s="0">
        <v>1741</v>
      </c>
      <c r="AK58" t="s" s="0">
        <v>82</v>
      </c>
      <c r="AL58" t="s" s="0">
        <v>1100</v>
      </c>
      <c r="AM58" t="s" s="0">
        <v>899</v>
      </c>
      <c r="AN58" t="s" s="0">
        <v>347</v>
      </c>
      <c r="AO58" t="s" s="0">
        <v>77</v>
      </c>
      <c r="AP58" t="s" s="0">
        <v>191</v>
      </c>
      <c r="AQ58" t="s" s="0">
        <v>1398</v>
      </c>
      <c r="AR58" t="s" s="0">
        <v>1399</v>
      </c>
      <c r="AS58" t="s" s="0">
        <v>1400</v>
      </c>
      <c r="AT58" t="s" s="0">
        <v>1742</v>
      </c>
      <c r="AU58" t="s" s="0">
        <v>82</v>
      </c>
      <c r="AV58" t="s" s="0">
        <v>82</v>
      </c>
      <c r="AW58" t="s" s="0">
        <v>1743</v>
      </c>
      <c r="AX58" t="s" s="0">
        <v>1744</v>
      </c>
      <c r="AY58" t="s" s="0">
        <v>1745</v>
      </c>
      <c r="AZ58" t="s" s="0">
        <v>189</v>
      </c>
      <c r="BA58" t="s" s="0">
        <v>191</v>
      </c>
      <c r="BB58" t="s" s="0">
        <v>102</v>
      </c>
      <c r="BC58" t="s" s="0">
        <v>82</v>
      </c>
      <c r="BD58" t="s" s="0">
        <v>82</v>
      </c>
      <c r="BE58" t="s" s="0">
        <v>82</v>
      </c>
      <c r="BF58" t="s" s="0">
        <v>82</v>
      </c>
      <c r="BG58" t="s" s="0">
        <v>82</v>
      </c>
      <c r="BH58" t="s" s="0">
        <v>82</v>
      </c>
      <c r="BI58" t="s" s="0">
        <v>1746</v>
      </c>
      <c r="BJ58" t="s" s="0">
        <v>1747</v>
      </c>
      <c r="BK58" t="s" s="113">
        <f>HYPERLINK("http://dx.doi.org/10.1001/jamanetworkopen.2022.27779","http://dx.doi.org/10.1001/jamanetworkopen.2022.27779")</f>
        <v>1748</v>
      </c>
      <c r="BL58" t="s" s="0">
        <v>82</v>
      </c>
      <c r="BM58" t="s" s="0">
        <v>82</v>
      </c>
      <c r="BN58" t="s" s="0">
        <v>431</v>
      </c>
      <c r="BO58" t="s" s="0">
        <v>584</v>
      </c>
      <c r="BP58" t="s" s="0">
        <v>585</v>
      </c>
      <c r="BQ58" t="s" s="0">
        <v>1749</v>
      </c>
      <c r="BR58" t="s" s="0">
        <v>1750</v>
      </c>
      <c r="BS58" t="s" s="0">
        <v>1751</v>
      </c>
      <c r="BT58" t="s" s="114">
        <f>HYPERLINK("https://www.webofscience.com/wos/woscc/full-record/WOS:000841917800010","View Record in Web of Science")</f>
        <v>124</v>
      </c>
      <c r="BU58" t="s" s="0">
        <v>236</v>
      </c>
      <c r="BV58" t="s" s="0">
        <v>82</v>
      </c>
      <c r="BW58" t="s" s="0">
        <v>82</v>
      </c>
      <c r="BX58" t="s" s="0">
        <v>126</v>
      </c>
    </row>
    <row r="59">
      <c r="A59" t="s" s="0">
        <v>78</v>
      </c>
      <c r="B59" t="s" s="0">
        <v>77</v>
      </c>
      <c r="C59" t="s" s="0">
        <v>372</v>
      </c>
      <c r="D59" t="s" s="0">
        <v>78</v>
      </c>
      <c r="E59" t="s" s="0">
        <v>1752</v>
      </c>
      <c r="F59" t="s" s="0">
        <v>1753</v>
      </c>
      <c r="G59" t="s" s="0">
        <v>1754</v>
      </c>
      <c r="H59" t="s" s="0">
        <v>82</v>
      </c>
      <c r="I59" t="s" s="0">
        <v>83</v>
      </c>
      <c r="J59" t="s" s="0">
        <v>1755</v>
      </c>
      <c r="K59" t="s" s="0">
        <v>1756</v>
      </c>
      <c r="L59" t="s" s="0">
        <v>1757</v>
      </c>
      <c r="M59" t="s" s="0">
        <v>1757</v>
      </c>
      <c r="N59" t="s" s="0">
        <v>1758</v>
      </c>
      <c r="O59" t="s" s="0">
        <v>1759</v>
      </c>
      <c r="P59" t="s" s="0">
        <v>1760</v>
      </c>
      <c r="Q59" t="s" s="0">
        <v>91</v>
      </c>
      <c r="R59" t="s" s="0">
        <v>82</v>
      </c>
      <c r="S59" t="s" s="0">
        <v>82</v>
      </c>
      <c r="T59" t="s" s="0">
        <v>82</v>
      </c>
      <c r="U59" t="s" s="0">
        <v>82</v>
      </c>
      <c r="V59" t="s" s="0">
        <v>1761</v>
      </c>
      <c r="W59" t="s" s="0">
        <v>1762</v>
      </c>
      <c r="X59" t="s" s="0">
        <v>82</v>
      </c>
      <c r="Y59" t="s" s="0">
        <v>82</v>
      </c>
      <c r="Z59" t="s" s="0">
        <v>94</v>
      </c>
      <c r="AA59" t="s" s="0">
        <v>95</v>
      </c>
      <c r="AB59" t="s" s="0">
        <v>82</v>
      </c>
      <c r="AC59" t="s" s="0">
        <v>82</v>
      </c>
      <c r="AD59" t="s" s="0">
        <v>82</v>
      </c>
      <c r="AE59" t="s" s="0">
        <v>82</v>
      </c>
      <c r="AF59" t="s" s="0">
        <v>82</v>
      </c>
      <c r="AG59" t="s" s="0">
        <v>1763</v>
      </c>
      <c r="AH59" t="s" s="0">
        <v>1764</v>
      </c>
      <c r="AI59" t="s" s="0">
        <v>1765</v>
      </c>
      <c r="AJ59" t="s" s="0">
        <v>1766</v>
      </c>
      <c r="AK59" t="s" s="0">
        <v>82</v>
      </c>
      <c r="AL59" t="s" s="0">
        <v>1692</v>
      </c>
      <c r="AM59" t="s" s="0">
        <v>253</v>
      </c>
      <c r="AN59" t="s" s="0">
        <v>305</v>
      </c>
      <c r="AO59" t="s" s="0">
        <v>77</v>
      </c>
      <c r="AP59" t="s" s="0">
        <v>101</v>
      </c>
      <c r="AQ59" t="s" s="0">
        <v>1767</v>
      </c>
      <c r="AR59" t="s" s="0">
        <v>220</v>
      </c>
      <c r="AS59" t="s" s="0">
        <v>1768</v>
      </c>
      <c r="AT59" t="s" s="0">
        <v>1769</v>
      </c>
      <c r="AU59" t="s" s="0">
        <v>1770</v>
      </c>
      <c r="AV59" t="s" s="0">
        <v>82</v>
      </c>
      <c r="AW59" t="s" s="0">
        <v>1771</v>
      </c>
      <c r="AX59" t="s" s="0">
        <v>1772</v>
      </c>
      <c r="AY59" t="s" s="0">
        <v>985</v>
      </c>
      <c r="AZ59" t="s" s="0">
        <v>842</v>
      </c>
      <c r="BA59" t="s" s="0">
        <v>1773</v>
      </c>
      <c r="BB59" t="s" s="0">
        <v>103</v>
      </c>
      <c r="BC59" t="s" s="0">
        <v>82</v>
      </c>
      <c r="BD59" t="s" s="0">
        <v>82</v>
      </c>
      <c r="BE59" t="s" s="0">
        <v>82</v>
      </c>
      <c r="BF59" t="s" s="0">
        <v>82</v>
      </c>
      <c r="BG59" t="s" s="0">
        <v>1774</v>
      </c>
      <c r="BH59" t="s" s="0">
        <v>1775</v>
      </c>
      <c r="BI59" t="s" s="0">
        <v>82</v>
      </c>
      <c r="BJ59" t="s" s="0">
        <v>1776</v>
      </c>
      <c r="BK59" t="s" s="115">
        <f>HYPERLINK("http://dx.doi.org/10.1177/14574969231167781","http://dx.doi.org/10.1177/14574969231167781")</f>
        <v>1777</v>
      </c>
      <c r="BL59" t="s" s="0">
        <v>82</v>
      </c>
      <c r="BM59" t="s" s="0">
        <v>1778</v>
      </c>
      <c r="BN59" t="s" s="0">
        <v>119</v>
      </c>
      <c r="BO59" t="s" s="0">
        <v>1779</v>
      </c>
      <c r="BP59" t="s" s="0">
        <v>1779</v>
      </c>
      <c r="BQ59" t="s" s="0">
        <v>1780</v>
      </c>
      <c r="BR59" t="s" s="0">
        <v>1781</v>
      </c>
      <c r="BS59" t="s" s="0">
        <v>1782</v>
      </c>
      <c r="BT59" t="s" s="116">
        <f>HYPERLINK("https://www.webofscience.com/wos/woscc/full-record/WOS:000972957200001","View Record in Web of Science")</f>
        <v>124</v>
      </c>
      <c r="BU59" t="s" s="0">
        <v>413</v>
      </c>
      <c r="BV59" t="s" s="0">
        <v>82</v>
      </c>
      <c r="BW59" t="s" s="0">
        <v>82</v>
      </c>
      <c r="BX59" t="s" s="0">
        <v>126</v>
      </c>
    </row>
    <row r="60">
      <c r="A60" t="s" s="0">
        <v>77</v>
      </c>
      <c r="B60" t="s" s="0">
        <v>77</v>
      </c>
      <c r="C60" t="s" s="0">
        <v>152</v>
      </c>
      <c r="D60" t="s" s="0">
        <v>77</v>
      </c>
      <c r="E60" t="s" s="0">
        <v>1783</v>
      </c>
      <c r="F60" t="s" s="0">
        <v>1784</v>
      </c>
      <c r="G60" t="s" s="0">
        <v>1785</v>
      </c>
      <c r="H60" t="s" s="0">
        <v>82</v>
      </c>
      <c r="I60" t="s" s="0">
        <v>83</v>
      </c>
      <c r="J60" t="s" s="0">
        <v>1786</v>
      </c>
      <c r="K60" t="s" s="0">
        <v>1787</v>
      </c>
      <c r="L60" t="s" s="0">
        <v>82</v>
      </c>
      <c r="M60" t="s" s="0">
        <v>82</v>
      </c>
      <c r="N60" t="s" s="0">
        <v>82</v>
      </c>
      <c r="O60" t="s" s="0">
        <v>1788</v>
      </c>
      <c r="P60" t="s" s="0">
        <v>1789</v>
      </c>
      <c r="Q60" t="s" s="0">
        <v>91</v>
      </c>
      <c r="R60" t="s" s="0">
        <v>82</v>
      </c>
      <c r="S60" t="s" s="0">
        <v>82</v>
      </c>
      <c r="T60" t="s" s="0">
        <v>82</v>
      </c>
      <c r="U60" t="s" s="0">
        <v>82</v>
      </c>
      <c r="V60" t="s" s="0">
        <v>1790</v>
      </c>
      <c r="W60" t="s" s="0">
        <v>1791</v>
      </c>
      <c r="X60" t="s" s="0">
        <v>82</v>
      </c>
      <c r="Y60" t="s" s="0">
        <v>82</v>
      </c>
      <c r="Z60" t="s" s="0">
        <v>94</v>
      </c>
      <c r="AA60" t="s" s="0">
        <v>95</v>
      </c>
      <c r="AB60" t="s" s="0">
        <v>82</v>
      </c>
      <c r="AC60" t="s" s="0">
        <v>82</v>
      </c>
      <c r="AD60" t="s" s="0">
        <v>82</v>
      </c>
      <c r="AE60" t="s" s="0">
        <v>82</v>
      </c>
      <c r="AF60" t="s" s="0">
        <v>82</v>
      </c>
      <c r="AG60" t="s" s="0">
        <v>1792</v>
      </c>
      <c r="AH60" t="s" s="0">
        <v>1793</v>
      </c>
      <c r="AI60" t="s" s="0">
        <v>82</v>
      </c>
      <c r="AJ60" t="s" s="0">
        <v>1794</v>
      </c>
      <c r="AK60" t="s" s="0">
        <v>82</v>
      </c>
      <c r="AL60" t="s" s="0">
        <v>430</v>
      </c>
      <c r="AM60" t="s" s="0">
        <v>191</v>
      </c>
      <c r="AN60" t="s" s="0">
        <v>191</v>
      </c>
      <c r="AO60" t="s" s="0">
        <v>77</v>
      </c>
      <c r="AP60" t="s" s="0">
        <v>377</v>
      </c>
      <c r="AQ60" t="s" s="0">
        <v>1068</v>
      </c>
      <c r="AR60" t="s" s="0">
        <v>1069</v>
      </c>
      <c r="AS60" t="s" s="0">
        <v>1070</v>
      </c>
      <c r="AT60" t="s" s="0">
        <v>1795</v>
      </c>
      <c r="AU60" t="s" s="0">
        <v>1796</v>
      </c>
      <c r="AV60" t="s" s="0">
        <v>82</v>
      </c>
      <c r="AW60" t="s" s="0">
        <v>1797</v>
      </c>
      <c r="AX60" t="s" s="0">
        <v>1798</v>
      </c>
      <c r="AY60" t="s" s="0">
        <v>1799</v>
      </c>
      <c r="AZ60" t="s" s="0">
        <v>371</v>
      </c>
      <c r="BA60" t="s" s="0">
        <v>633</v>
      </c>
      <c r="BB60" t="s" s="0">
        <v>372</v>
      </c>
      <c r="BC60" t="s" s="0">
        <v>82</v>
      </c>
      <c r="BD60" t="s" s="0">
        <v>82</v>
      </c>
      <c r="BE60" t="s" s="0">
        <v>82</v>
      </c>
      <c r="BF60" t="s" s="0">
        <v>82</v>
      </c>
      <c r="BG60" t="s" s="0">
        <v>1800</v>
      </c>
      <c r="BH60" t="s" s="0">
        <v>1801</v>
      </c>
      <c r="BI60" t="s" s="0">
        <v>82</v>
      </c>
      <c r="BJ60" t="s" s="0">
        <v>1802</v>
      </c>
      <c r="BK60" t="s" s="117">
        <f>HYPERLINK("http://dx.doi.org/10.1097/MNH.0000000000000223","http://dx.doi.org/10.1097/MNH.0000000000000223")</f>
        <v>1803</v>
      </c>
      <c r="BL60" t="s" s="0">
        <v>82</v>
      </c>
      <c r="BM60" t="s" s="0">
        <v>82</v>
      </c>
      <c r="BN60" t="s" s="0">
        <v>291</v>
      </c>
      <c r="BO60" t="s" s="0">
        <v>1804</v>
      </c>
      <c r="BP60" t="s" s="0">
        <v>1805</v>
      </c>
      <c r="BQ60" t="s" s="0">
        <v>1806</v>
      </c>
      <c r="BR60" t="s" s="0">
        <v>1807</v>
      </c>
      <c r="BS60" t="s" s="0">
        <v>1808</v>
      </c>
      <c r="BT60" t="s" s="118">
        <f>HYPERLINK("https://www.webofscience.com/wos/woscc/full-record/WOS:000374739900011","View Record in Web of Science")</f>
        <v>124</v>
      </c>
      <c r="BU60" t="s" s="0">
        <v>82</v>
      </c>
      <c r="BV60" t="s" s="0">
        <v>82</v>
      </c>
      <c r="BW60" t="s" s="0">
        <v>82</v>
      </c>
      <c r="BX60" t="s" s="0">
        <v>126</v>
      </c>
    </row>
    <row r="61">
      <c r="A61" t="s" s="0">
        <v>103</v>
      </c>
      <c r="B61" t="s" s="0">
        <v>77</v>
      </c>
      <c r="C61" t="s" s="0">
        <v>158</v>
      </c>
      <c r="D61" t="s" s="0">
        <v>77</v>
      </c>
      <c r="E61" t="s" s="0">
        <v>1809</v>
      </c>
      <c r="F61" t="s" s="0">
        <v>1810</v>
      </c>
      <c r="G61" t="s" s="0">
        <v>1811</v>
      </c>
      <c r="H61" t="s" s="0">
        <v>82</v>
      </c>
      <c r="I61" t="s" s="0">
        <v>83</v>
      </c>
      <c r="J61" t="s" s="0">
        <v>1812</v>
      </c>
      <c r="K61" t="s" s="0">
        <v>1813</v>
      </c>
      <c r="L61" t="s" s="0">
        <v>82</v>
      </c>
      <c r="M61" t="s" s="0">
        <v>82</v>
      </c>
      <c r="N61" t="s" s="0">
        <v>82</v>
      </c>
      <c r="O61" t="s" s="0">
        <v>1814</v>
      </c>
      <c r="P61" t="s" s="0">
        <v>1815</v>
      </c>
      <c r="Q61" t="s" s="0">
        <v>91</v>
      </c>
      <c r="R61" t="s" s="0">
        <v>82</v>
      </c>
      <c r="S61" t="s" s="0">
        <v>82</v>
      </c>
      <c r="T61" t="s" s="0">
        <v>82</v>
      </c>
      <c r="U61" t="s" s="0">
        <v>82</v>
      </c>
      <c r="V61" t="s" s="0">
        <v>1816</v>
      </c>
      <c r="W61" t="s" s="0">
        <v>1817</v>
      </c>
      <c r="X61" t="s" s="0">
        <v>82</v>
      </c>
      <c r="Y61" t="s" s="0">
        <v>82</v>
      </c>
      <c r="Z61" t="s" s="0">
        <v>94</v>
      </c>
      <c r="AA61" t="s" s="0">
        <v>95</v>
      </c>
      <c r="AB61" t="s" s="0">
        <v>82</v>
      </c>
      <c r="AC61" t="s" s="0">
        <v>82</v>
      </c>
      <c r="AD61" t="s" s="0">
        <v>82</v>
      </c>
      <c r="AE61" t="s" s="0">
        <v>82</v>
      </c>
      <c r="AF61" t="s" s="0">
        <v>82</v>
      </c>
      <c r="AG61" t="s" s="0">
        <v>1818</v>
      </c>
      <c r="AH61" t="s" s="0">
        <v>1819</v>
      </c>
      <c r="AI61" t="s" s="0">
        <v>1820</v>
      </c>
      <c r="AJ61" t="s" s="0">
        <v>1821</v>
      </c>
      <c r="AK61" t="s" s="0">
        <v>82</v>
      </c>
      <c r="AL61" t="s" s="0">
        <v>100</v>
      </c>
      <c r="AM61" t="s" s="0">
        <v>113</v>
      </c>
      <c r="AN61" t="s" s="0">
        <v>1822</v>
      </c>
      <c r="AO61" t="s" s="0">
        <v>77</v>
      </c>
      <c r="AP61" t="s" s="0">
        <v>431</v>
      </c>
      <c r="AQ61" t="s" s="0">
        <v>1823</v>
      </c>
      <c r="AR61" t="s" s="0">
        <v>255</v>
      </c>
      <c r="AS61" t="s" s="0">
        <v>1824</v>
      </c>
      <c r="AT61" t="s" s="0">
        <v>1825</v>
      </c>
      <c r="AU61" t="s" s="0">
        <v>1826</v>
      </c>
      <c r="AV61" t="s" s="0">
        <v>82</v>
      </c>
      <c r="AW61" t="s" s="0">
        <v>1827</v>
      </c>
      <c r="AX61" t="s" s="0">
        <v>1828</v>
      </c>
      <c r="AY61" t="s" s="0">
        <v>1829</v>
      </c>
      <c r="AZ61" t="s" s="0">
        <v>643</v>
      </c>
      <c r="BA61" t="s" s="0">
        <v>634</v>
      </c>
      <c r="BB61" t="s" s="0">
        <v>524</v>
      </c>
      <c r="BC61" t="s" s="0">
        <v>82</v>
      </c>
      <c r="BD61" t="s" s="0">
        <v>82</v>
      </c>
      <c r="BE61" t="s" s="0">
        <v>82</v>
      </c>
      <c r="BF61" t="s" s="0">
        <v>82</v>
      </c>
      <c r="BG61" t="s" s="0">
        <v>1830</v>
      </c>
      <c r="BH61" t="s" s="0">
        <v>1831</v>
      </c>
      <c r="BI61" t="s" s="0">
        <v>82</v>
      </c>
      <c r="BJ61" t="s" s="0">
        <v>1832</v>
      </c>
      <c r="BK61" t="s" s="119">
        <f>HYPERLINK("http://dx.doi.org/10.1513/AnnalsATS.201803-173CME","http://dx.doi.org/10.1513/AnnalsATS.201803-173CME")</f>
        <v>1833</v>
      </c>
      <c r="BL61" t="s" s="0">
        <v>82</v>
      </c>
      <c r="BM61" t="s" s="0">
        <v>82</v>
      </c>
      <c r="BN61" t="s" s="0">
        <v>524</v>
      </c>
      <c r="BO61" t="s" s="0">
        <v>1351</v>
      </c>
      <c r="BP61" t="s" s="0">
        <v>1351</v>
      </c>
      <c r="BQ61" t="s" s="0">
        <v>1834</v>
      </c>
      <c r="BR61" t="s" s="0">
        <v>1835</v>
      </c>
      <c r="BS61" t="s" s="0">
        <v>1836</v>
      </c>
      <c r="BT61" t="s" s="120">
        <f>HYPERLINK("https://www.webofscience.com/wos/woscc/full-record/WOS:000447989900001","View Record in Web of Science")</f>
        <v>124</v>
      </c>
      <c r="BU61" t="s" s="0">
        <v>82</v>
      </c>
      <c r="BV61" t="s" s="0">
        <v>82</v>
      </c>
      <c r="BW61" t="s" s="0">
        <v>82</v>
      </c>
      <c r="BX61" t="s" s="0">
        <v>126</v>
      </c>
    </row>
    <row r="62">
      <c r="A62" t="s" s="0">
        <v>77</v>
      </c>
      <c r="B62" t="s" s="0">
        <v>77</v>
      </c>
      <c r="C62" t="s" s="0">
        <v>78</v>
      </c>
      <c r="D62" t="s" s="0">
        <v>78</v>
      </c>
      <c r="E62" t="s" s="0">
        <v>1837</v>
      </c>
      <c r="F62" t="s" s="0">
        <v>1838</v>
      </c>
      <c r="G62" t="s" s="0">
        <v>1839</v>
      </c>
      <c r="H62" t="s" s="0">
        <v>82</v>
      </c>
      <c r="I62" t="s" s="0">
        <v>130</v>
      </c>
      <c r="J62" t="s" s="0">
        <v>1840</v>
      </c>
      <c r="K62" t="s" s="0">
        <v>1841</v>
      </c>
      <c r="L62" t="s" s="0">
        <v>1842</v>
      </c>
      <c r="M62" t="s" s="0">
        <v>1843</v>
      </c>
      <c r="N62" t="s" s="0">
        <v>1844</v>
      </c>
      <c r="O62" t="s" s="0">
        <v>1845</v>
      </c>
      <c r="P62" t="s" s="0">
        <v>1846</v>
      </c>
      <c r="Q62" t="s" s="0">
        <v>91</v>
      </c>
      <c r="R62" t="s" s="0">
        <v>82</v>
      </c>
      <c r="S62" t="s" s="0">
        <v>82</v>
      </c>
      <c r="T62" t="s" s="0">
        <v>82</v>
      </c>
      <c r="U62" t="s" s="0">
        <v>82</v>
      </c>
      <c r="V62" t="s" s="0">
        <v>1847</v>
      </c>
      <c r="W62" t="s" s="0">
        <v>1848</v>
      </c>
      <c r="X62" t="s" s="0">
        <v>82</v>
      </c>
      <c r="Y62" t="s" s="0">
        <v>82</v>
      </c>
      <c r="Z62" t="s" s="0">
        <v>94</v>
      </c>
      <c r="AA62" t="s" s="0">
        <v>95</v>
      </c>
      <c r="AB62" t="s" s="0">
        <v>82</v>
      </c>
      <c r="AC62" t="s" s="0">
        <v>82</v>
      </c>
      <c r="AD62" t="s" s="0">
        <v>82</v>
      </c>
      <c r="AE62" t="s" s="0">
        <v>82</v>
      </c>
      <c r="AF62" t="s" s="0">
        <v>82</v>
      </c>
      <c r="AG62" t="s" s="0">
        <v>1849</v>
      </c>
      <c r="AH62" t="s" s="0">
        <v>1850</v>
      </c>
      <c r="AI62" t="s" s="0">
        <v>1851</v>
      </c>
      <c r="AJ62" t="s" s="0">
        <v>1619</v>
      </c>
      <c r="AK62" t="s" s="0">
        <v>82</v>
      </c>
      <c r="AL62" t="s" s="0">
        <v>1457</v>
      </c>
      <c r="AM62" t="s" s="0">
        <v>191</v>
      </c>
      <c r="AN62" t="s" s="0">
        <v>291</v>
      </c>
      <c r="AO62" t="s" s="0">
        <v>77</v>
      </c>
      <c r="AP62" t="s" s="0">
        <v>77</v>
      </c>
      <c r="AQ62" t="s" s="0">
        <v>547</v>
      </c>
      <c r="AR62" t="s" s="0">
        <v>548</v>
      </c>
      <c r="AS62" t="s" s="0">
        <v>549</v>
      </c>
      <c r="AT62" t="s" s="0">
        <v>82</v>
      </c>
      <c r="AU62" t="s" s="0">
        <v>1852</v>
      </c>
      <c r="AV62" t="s" s="0">
        <v>82</v>
      </c>
      <c r="AW62" t="s" s="0">
        <v>1853</v>
      </c>
      <c r="AX62" t="s" s="0">
        <v>1854</v>
      </c>
      <c r="AY62" t="s" s="0">
        <v>1855</v>
      </c>
      <c r="AZ62" t="s" s="0">
        <v>189</v>
      </c>
      <c r="BA62" t="s" s="0">
        <v>372</v>
      </c>
      <c r="BB62" t="s" s="0">
        <v>82</v>
      </c>
      <c r="BC62" t="s" s="0">
        <v>82</v>
      </c>
      <c r="BD62" t="s" s="0">
        <v>82</v>
      </c>
      <c r="BE62" t="s" s="0">
        <v>82</v>
      </c>
      <c r="BF62" t="s" s="0">
        <v>82</v>
      </c>
      <c r="BG62" t="s" s="0">
        <v>82</v>
      </c>
      <c r="BH62" t="s" s="0">
        <v>82</v>
      </c>
      <c r="BI62" t="s" s="0">
        <v>1856</v>
      </c>
      <c r="BJ62" t="s" s="0">
        <v>1857</v>
      </c>
      <c r="BK62" t="s" s="121">
        <f>HYPERLINK("http://dx.doi.org/10.3389/fresc.2022.824281","http://dx.doi.org/10.3389/fresc.2022.824281")</f>
        <v>1858</v>
      </c>
      <c r="BL62" t="s" s="0">
        <v>82</v>
      </c>
      <c r="BM62" t="s" s="0">
        <v>82</v>
      </c>
      <c r="BN62" t="s" s="0">
        <v>101</v>
      </c>
      <c r="BO62" t="s" s="0">
        <v>1859</v>
      </c>
      <c r="BP62" t="s" s="0">
        <v>1859</v>
      </c>
      <c r="BQ62" t="s" s="0">
        <v>1860</v>
      </c>
      <c r="BR62" t="s" s="0">
        <v>1861</v>
      </c>
      <c r="BS62" t="s" s="0">
        <v>1862</v>
      </c>
      <c r="BT62" t="s" s="122">
        <f>HYPERLINK("https://www.webofscience.com/wos/woscc/full-record/WOS:001008612900001","View Record in Web of Science")</f>
        <v>124</v>
      </c>
      <c r="BU62" t="s" s="0">
        <v>532</v>
      </c>
      <c r="BV62" t="s" s="0">
        <v>82</v>
      </c>
      <c r="BW62" t="s" s="0">
        <v>82</v>
      </c>
      <c r="BX62" t="s" s="0">
        <v>126</v>
      </c>
    </row>
    <row r="63">
      <c r="A63" t="s" s="0">
        <v>77</v>
      </c>
      <c r="B63" t="s" s="0">
        <v>77</v>
      </c>
      <c r="C63" t="s" s="0">
        <v>77</v>
      </c>
      <c r="D63" t="s" s="0">
        <v>77</v>
      </c>
      <c r="E63" t="s" s="0">
        <v>1863</v>
      </c>
      <c r="F63" t="s" s="0">
        <v>1864</v>
      </c>
      <c r="G63" t="s" s="0">
        <v>1865</v>
      </c>
      <c r="H63" t="s" s="0">
        <v>82</v>
      </c>
      <c r="I63" t="s" s="0">
        <v>83</v>
      </c>
      <c r="J63" t="s" s="0">
        <v>1866</v>
      </c>
      <c r="K63" t="s" s="0">
        <v>1867</v>
      </c>
      <c r="L63" t="s" s="0">
        <v>1868</v>
      </c>
      <c r="M63" t="s" s="0">
        <v>1869</v>
      </c>
      <c r="N63" t="s" s="0">
        <v>1870</v>
      </c>
      <c r="O63" t="s" s="0">
        <v>1871</v>
      </c>
      <c r="P63" t="s" s="0">
        <v>1872</v>
      </c>
      <c r="Q63" t="s" s="0">
        <v>91</v>
      </c>
      <c r="R63" t="s" s="0">
        <v>82</v>
      </c>
      <c r="S63" t="s" s="0">
        <v>82</v>
      </c>
      <c r="T63" t="s" s="0">
        <v>82</v>
      </c>
      <c r="U63" t="s" s="0">
        <v>82</v>
      </c>
      <c r="V63" t="s" s="0">
        <v>1873</v>
      </c>
      <c r="W63" t="s" s="0">
        <v>1874</v>
      </c>
      <c r="X63" t="s" s="0">
        <v>82</v>
      </c>
      <c r="Y63" t="s" s="0">
        <v>82</v>
      </c>
      <c r="Z63" t="s" s="0">
        <v>94</v>
      </c>
      <c r="AA63" t="s" s="0">
        <v>394</v>
      </c>
      <c r="AB63" t="s" s="0">
        <v>82</v>
      </c>
      <c r="AC63" t="s" s="0">
        <v>82</v>
      </c>
      <c r="AD63" t="s" s="0">
        <v>82</v>
      </c>
      <c r="AE63" t="s" s="0">
        <v>82</v>
      </c>
      <c r="AF63" t="s" s="0">
        <v>82</v>
      </c>
      <c r="AG63" t="s" s="0">
        <v>82</v>
      </c>
      <c r="AH63" t="s" s="0">
        <v>666</v>
      </c>
      <c r="AI63" t="s" s="0">
        <v>1875</v>
      </c>
      <c r="AJ63" t="s" s="0">
        <v>1876</v>
      </c>
      <c r="AK63" t="s" s="0">
        <v>82</v>
      </c>
      <c r="AL63" t="s" s="0">
        <v>669</v>
      </c>
      <c r="AM63" t="s" s="0">
        <v>77</v>
      </c>
      <c r="AN63" t="s" s="0">
        <v>77</v>
      </c>
      <c r="AO63" t="s" s="0">
        <v>77</v>
      </c>
      <c r="AP63" t="s" s="0">
        <v>77</v>
      </c>
      <c r="AQ63" t="s" s="0">
        <v>760</v>
      </c>
      <c r="AR63" t="s" s="0">
        <v>761</v>
      </c>
      <c r="AS63" t="s" s="0">
        <v>762</v>
      </c>
      <c r="AT63" t="s" s="0">
        <v>1877</v>
      </c>
      <c r="AU63" t="s" s="0">
        <v>1878</v>
      </c>
      <c r="AV63" t="s" s="0">
        <v>82</v>
      </c>
      <c r="AW63" t="s" s="0">
        <v>1879</v>
      </c>
      <c r="AX63" t="s" s="0">
        <v>1880</v>
      </c>
      <c r="AY63" t="s" s="0">
        <v>82</v>
      </c>
      <c r="AZ63" t="s" s="0">
        <v>150</v>
      </c>
      <c r="BA63" t="s" s="0">
        <v>82</v>
      </c>
      <c r="BB63" t="s" s="0">
        <v>82</v>
      </c>
      <c r="BC63" t="s" s="0">
        <v>82</v>
      </c>
      <c r="BD63" t="s" s="0">
        <v>82</v>
      </c>
      <c r="BE63" t="s" s="0">
        <v>82</v>
      </c>
      <c r="BF63" t="s" s="0">
        <v>82</v>
      </c>
      <c r="BG63" t="s" s="0">
        <v>82</v>
      </c>
      <c r="BH63" t="s" s="0">
        <v>82</v>
      </c>
      <c r="BI63" t="s" s="0">
        <v>82</v>
      </c>
      <c r="BJ63" t="s" s="0">
        <v>1881</v>
      </c>
      <c r="BK63" t="s" s="123">
        <f>HYPERLINK("http://dx.doi.org/10.1111/jpc.70429","http://dx.doi.org/10.1111/jpc.70429")</f>
        <v>1882</v>
      </c>
      <c r="BL63" t="s" s="0">
        <v>82</v>
      </c>
      <c r="BM63" t="s" s="0">
        <v>1883</v>
      </c>
      <c r="BN63" t="s" s="0">
        <v>102</v>
      </c>
      <c r="BO63" t="s" s="0">
        <v>1884</v>
      </c>
      <c r="BP63" t="s" s="0">
        <v>1884</v>
      </c>
      <c r="BQ63" t="s" s="0">
        <v>1885</v>
      </c>
      <c r="BR63" t="s" s="0">
        <v>1886</v>
      </c>
      <c r="BS63" t="s" s="0">
        <v>1887</v>
      </c>
      <c r="BT63" t="s" s="124">
        <f>HYPERLINK("https://www.webofscience.com/wos/woscc/full-record/WOS:001760371100001","View Record in Web of Science")</f>
        <v>124</v>
      </c>
      <c r="BU63" t="s" s="0">
        <v>413</v>
      </c>
      <c r="BV63" t="s" s="0">
        <v>82</v>
      </c>
      <c r="BW63" t="s" s="0">
        <v>82</v>
      </c>
      <c r="BX63" t="s" s="0">
        <v>126</v>
      </c>
    </row>
    <row r="64">
      <c r="A64" t="s" s="0">
        <v>77</v>
      </c>
      <c r="B64" t="s" s="0">
        <v>77</v>
      </c>
      <c r="C64" t="s" s="0">
        <v>78</v>
      </c>
      <c r="D64" t="s" s="0">
        <v>77</v>
      </c>
      <c r="E64" t="s" s="0">
        <v>1888</v>
      </c>
      <c r="F64" t="s" s="0">
        <v>1889</v>
      </c>
      <c r="G64" t="s" s="0">
        <v>1890</v>
      </c>
      <c r="H64" t="s" s="0">
        <v>82</v>
      </c>
      <c r="I64" t="s" s="0">
        <v>130</v>
      </c>
      <c r="J64" t="s" s="0">
        <v>1891</v>
      </c>
      <c r="K64" t="s" s="0">
        <v>1892</v>
      </c>
      <c r="L64" t="s" s="0">
        <v>82</v>
      </c>
      <c r="M64" t="s" s="0">
        <v>82</v>
      </c>
      <c r="N64" t="s" s="0">
        <v>82</v>
      </c>
      <c r="O64" t="s" s="0">
        <v>1893</v>
      </c>
      <c r="P64" t="s" s="0">
        <v>1894</v>
      </c>
      <c r="Q64" t="s" s="0">
        <v>91</v>
      </c>
      <c r="R64" t="s" s="0">
        <v>82</v>
      </c>
      <c r="S64" t="s" s="0">
        <v>82</v>
      </c>
      <c r="T64" t="s" s="0">
        <v>82</v>
      </c>
      <c r="U64" t="s" s="0">
        <v>82</v>
      </c>
      <c r="V64" t="s" s="0">
        <v>1895</v>
      </c>
      <c r="W64" t="s" s="0">
        <v>1896</v>
      </c>
      <c r="X64" t="s" s="0">
        <v>82</v>
      </c>
      <c r="Y64" t="s" s="0">
        <v>82</v>
      </c>
      <c r="Z64" t="s" s="0">
        <v>94</v>
      </c>
      <c r="AA64" t="s" s="0">
        <v>95</v>
      </c>
      <c r="AB64" t="s" s="0">
        <v>82</v>
      </c>
      <c r="AC64" t="s" s="0">
        <v>82</v>
      </c>
      <c r="AD64" t="s" s="0">
        <v>82</v>
      </c>
      <c r="AE64" t="s" s="0">
        <v>82</v>
      </c>
      <c r="AF64" t="s" s="0">
        <v>82</v>
      </c>
      <c r="AG64" t="s" s="0">
        <v>1897</v>
      </c>
      <c r="AH64" t="s" s="0">
        <v>1898</v>
      </c>
      <c r="AI64" t="s" s="0">
        <v>1899</v>
      </c>
      <c r="AJ64" t="s" s="0">
        <v>1900</v>
      </c>
      <c r="AK64" t="s" s="0">
        <v>82</v>
      </c>
      <c r="AL64" t="s" s="0">
        <v>1212</v>
      </c>
      <c r="AM64" t="s" s="0">
        <v>291</v>
      </c>
      <c r="AN64" t="s" s="0">
        <v>291</v>
      </c>
      <c r="AO64" t="s" s="0">
        <v>77</v>
      </c>
      <c r="AP64" t="s" s="0">
        <v>103</v>
      </c>
      <c r="AQ64" t="s" s="0">
        <v>1767</v>
      </c>
      <c r="AR64" t="s" s="0">
        <v>220</v>
      </c>
      <c r="AS64" t="s" s="0">
        <v>1768</v>
      </c>
      <c r="AT64" t="s" s="0">
        <v>1901</v>
      </c>
      <c r="AU64" t="s" s="0">
        <v>1902</v>
      </c>
      <c r="AV64" t="s" s="0">
        <v>82</v>
      </c>
      <c r="AW64" t="s" s="0">
        <v>1903</v>
      </c>
      <c r="AX64" t="s" s="0">
        <v>1904</v>
      </c>
      <c r="AY64" t="s" s="0">
        <v>226</v>
      </c>
      <c r="AZ64" t="s" s="0">
        <v>226</v>
      </c>
      <c r="BA64" t="s" s="0">
        <v>151</v>
      </c>
      <c r="BB64" t="s" s="0">
        <v>82</v>
      </c>
      <c r="BC64" t="s" s="0">
        <v>82</v>
      </c>
      <c r="BD64" t="s" s="0">
        <v>82</v>
      </c>
      <c r="BE64" t="s" s="0">
        <v>82</v>
      </c>
      <c r="BF64" t="s" s="0">
        <v>82</v>
      </c>
      <c r="BG64" t="s" s="0">
        <v>82</v>
      </c>
      <c r="BH64" t="s" s="0">
        <v>82</v>
      </c>
      <c r="BI64" t="s" s="0">
        <v>1905</v>
      </c>
      <c r="BJ64" t="s" s="0">
        <v>1906</v>
      </c>
      <c r="BK64" t="s" s="125">
        <f>HYPERLINK("http://dx.doi.org/10.1177/17539447241290438","http://dx.doi.org/10.1177/17539447241290438")</f>
        <v>1907</v>
      </c>
      <c r="BL64" t="s" s="0">
        <v>82</v>
      </c>
      <c r="BM64" t="s" s="0">
        <v>82</v>
      </c>
      <c r="BN64" t="s" s="0">
        <v>300</v>
      </c>
      <c r="BO64" t="s" s="0">
        <v>771</v>
      </c>
      <c r="BP64" t="s" s="0">
        <v>772</v>
      </c>
      <c r="BQ64" t="s" s="0">
        <v>1908</v>
      </c>
      <c r="BR64" t="s" s="0">
        <v>1909</v>
      </c>
      <c r="BS64" t="s" s="0">
        <v>1910</v>
      </c>
      <c r="BT64" t="s" s="126">
        <f>HYPERLINK("https://www.webofscience.com/wos/woscc/full-record/WOS:001344888300001","View Record in Web of Science")</f>
        <v>124</v>
      </c>
      <c r="BU64" t="s" s="0">
        <v>236</v>
      </c>
      <c r="BV64" t="s" s="0">
        <v>82</v>
      </c>
      <c r="BW64" t="s" s="0">
        <v>82</v>
      </c>
      <c r="BX64" t="s" s="0">
        <v>126</v>
      </c>
    </row>
    <row r="65">
      <c r="A65" t="s" s="0">
        <v>77</v>
      </c>
      <c r="B65" t="s" s="0">
        <v>77</v>
      </c>
      <c r="C65" t="s" s="0">
        <v>77</v>
      </c>
      <c r="D65" t="s" s="0">
        <v>77</v>
      </c>
      <c r="E65" t="s" s="0">
        <v>1911</v>
      </c>
      <c r="F65" t="s" s="0">
        <v>1912</v>
      </c>
      <c r="G65" t="s" s="0">
        <v>1913</v>
      </c>
      <c r="H65" t="s" s="0">
        <v>82</v>
      </c>
      <c r="I65" t="s" s="0">
        <v>83</v>
      </c>
      <c r="J65" t="s" s="0">
        <v>1914</v>
      </c>
      <c r="K65" t="s" s="0">
        <v>1915</v>
      </c>
      <c r="L65" t="s" s="0">
        <v>1916</v>
      </c>
      <c r="M65" t="s" s="0">
        <v>1917</v>
      </c>
      <c r="N65" t="s" s="0">
        <v>1918</v>
      </c>
      <c r="O65" t="s" s="0">
        <v>1919</v>
      </c>
      <c r="P65" t="s" s="0">
        <v>1920</v>
      </c>
      <c r="Q65" t="s" s="0">
        <v>91</v>
      </c>
      <c r="R65" t="s" s="0">
        <v>82</v>
      </c>
      <c r="S65" t="s" s="0">
        <v>82</v>
      </c>
      <c r="T65" t="s" s="0">
        <v>82</v>
      </c>
      <c r="U65" t="s" s="0">
        <v>82</v>
      </c>
      <c r="V65" t="s" s="0">
        <v>1921</v>
      </c>
      <c r="W65" t="s" s="0">
        <v>1153</v>
      </c>
      <c r="X65" t="s" s="0">
        <v>82</v>
      </c>
      <c r="Y65" t="s" s="0">
        <v>82</v>
      </c>
      <c r="Z65" t="s" s="0">
        <v>94</v>
      </c>
      <c r="AA65" t="s" s="0">
        <v>95</v>
      </c>
      <c r="AB65" t="s" s="0">
        <v>82</v>
      </c>
      <c r="AC65" t="s" s="0">
        <v>82</v>
      </c>
      <c r="AD65" t="s" s="0">
        <v>82</v>
      </c>
      <c r="AE65" t="s" s="0">
        <v>82</v>
      </c>
      <c r="AF65" t="s" s="0">
        <v>82</v>
      </c>
      <c r="AG65" t="s" s="0">
        <v>1922</v>
      </c>
      <c r="AH65" t="s" s="0">
        <v>1923</v>
      </c>
      <c r="AI65" t="s" s="0">
        <v>1924</v>
      </c>
      <c r="AJ65" t="s" s="0">
        <v>82</v>
      </c>
      <c r="AK65" t="s" s="0">
        <v>82</v>
      </c>
      <c r="AL65" t="s" s="0">
        <v>1212</v>
      </c>
      <c r="AM65" t="s" s="0">
        <v>77</v>
      </c>
      <c r="AN65" t="s" s="0">
        <v>77</v>
      </c>
      <c r="AO65" t="s" s="0">
        <v>78</v>
      </c>
      <c r="AP65" t="s" s="0">
        <v>78</v>
      </c>
      <c r="AQ65" t="s" s="0">
        <v>547</v>
      </c>
      <c r="AR65" t="s" s="0">
        <v>548</v>
      </c>
      <c r="AS65" t="s" s="0">
        <v>549</v>
      </c>
      <c r="AT65" t="s" s="0">
        <v>82</v>
      </c>
      <c r="AU65" t="s" s="0">
        <v>1156</v>
      </c>
      <c r="AV65" t="s" s="0">
        <v>82</v>
      </c>
      <c r="AW65" t="s" s="0">
        <v>1157</v>
      </c>
      <c r="AX65" t="s" s="0">
        <v>1158</v>
      </c>
      <c r="AY65" t="s" s="0">
        <v>1925</v>
      </c>
      <c r="AZ65" t="s" s="0">
        <v>150</v>
      </c>
      <c r="BA65" t="s" s="0">
        <v>300</v>
      </c>
      <c r="BB65" t="s" s="0">
        <v>82</v>
      </c>
      <c r="BC65" t="s" s="0">
        <v>82</v>
      </c>
      <c r="BD65" t="s" s="0">
        <v>82</v>
      </c>
      <c r="BE65" t="s" s="0">
        <v>82</v>
      </c>
      <c r="BF65" t="s" s="0">
        <v>82</v>
      </c>
      <c r="BG65" t="s" s="0">
        <v>82</v>
      </c>
      <c r="BH65" t="s" s="0">
        <v>82</v>
      </c>
      <c r="BI65" t="s" s="0">
        <v>1926</v>
      </c>
      <c r="BJ65" t="s" s="0">
        <v>1927</v>
      </c>
      <c r="BK65" t="s" s="127">
        <f>HYPERLINK("http://dx.doi.org/10.3389/fmed.2026.1818061","http://dx.doi.org/10.3389/fmed.2026.1818061")</f>
        <v>1928</v>
      </c>
      <c r="BL65" t="s" s="0">
        <v>82</v>
      </c>
      <c r="BM65" t="s" s="0">
        <v>1883</v>
      </c>
      <c r="BN65" t="s" s="0">
        <v>268</v>
      </c>
      <c r="BO65" t="s" s="0">
        <v>584</v>
      </c>
      <c r="BP65" t="s" s="0">
        <v>585</v>
      </c>
      <c r="BQ65" t="s" s="0">
        <v>1929</v>
      </c>
      <c r="BR65" t="s" s="0">
        <v>1930</v>
      </c>
      <c r="BS65" t="s" s="0">
        <v>1931</v>
      </c>
      <c r="BT65" t="s" s="128">
        <f>HYPERLINK("https://www.webofscience.com/wos/woscc/full-record/WOS:001776864100001","View Record in Web of Science")</f>
        <v>124</v>
      </c>
      <c r="BU65" t="s" s="0">
        <v>236</v>
      </c>
      <c r="BV65" t="s" s="0">
        <v>82</v>
      </c>
      <c r="BW65" t="s" s="0">
        <v>82</v>
      </c>
      <c r="BX65" t="s" s="0">
        <v>126</v>
      </c>
    </row>
    <row r="66">
      <c r="A66" t="s" s="0">
        <v>77</v>
      </c>
      <c r="B66" t="s" s="0">
        <v>77</v>
      </c>
      <c r="C66" t="s" s="0">
        <v>77</v>
      </c>
      <c r="D66" t="s" s="0">
        <v>77</v>
      </c>
      <c r="E66" t="s" s="0">
        <v>1932</v>
      </c>
      <c r="F66" t="s" s="0">
        <v>1933</v>
      </c>
      <c r="G66" t="s" s="0">
        <v>1934</v>
      </c>
      <c r="H66" t="s" s="0">
        <v>82</v>
      </c>
      <c r="I66" t="s" s="0">
        <v>130</v>
      </c>
      <c r="J66" t="s" s="0">
        <v>1935</v>
      </c>
      <c r="K66" t="s" s="0">
        <v>1936</v>
      </c>
      <c r="L66" t="s" s="0">
        <v>82</v>
      </c>
      <c r="M66" t="s" s="0">
        <v>82</v>
      </c>
      <c r="N66" t="s" s="0">
        <v>82</v>
      </c>
      <c r="O66" t="s" s="0">
        <v>1937</v>
      </c>
      <c r="P66" t="s" s="0">
        <v>1938</v>
      </c>
      <c r="Q66" t="s" s="0">
        <v>91</v>
      </c>
      <c r="R66" t="s" s="0">
        <v>82</v>
      </c>
      <c r="S66" t="s" s="0">
        <v>82</v>
      </c>
      <c r="T66" t="s" s="0">
        <v>82</v>
      </c>
      <c r="U66" t="s" s="0">
        <v>82</v>
      </c>
      <c r="V66" t="s" s="0">
        <v>1939</v>
      </c>
      <c r="W66" t="s" s="0">
        <v>1940</v>
      </c>
      <c r="X66" t="s" s="0">
        <v>82</v>
      </c>
      <c r="Y66" t="s" s="0">
        <v>82</v>
      </c>
      <c r="Z66" t="s" s="0">
        <v>94</v>
      </c>
      <c r="AA66" t="s" s="0">
        <v>95</v>
      </c>
      <c r="AB66" t="s" s="0">
        <v>82</v>
      </c>
      <c r="AC66" t="s" s="0">
        <v>82</v>
      </c>
      <c r="AD66" t="s" s="0">
        <v>82</v>
      </c>
      <c r="AE66" t="s" s="0">
        <v>82</v>
      </c>
      <c r="AF66" t="s" s="0">
        <v>82</v>
      </c>
      <c r="AG66" t="s" s="0">
        <v>1941</v>
      </c>
      <c r="AH66" t="s" s="0">
        <v>1942</v>
      </c>
      <c r="AI66" t="s" s="0">
        <v>1943</v>
      </c>
      <c r="AJ66" t="s" s="0">
        <v>82</v>
      </c>
      <c r="AK66" t="s" s="0">
        <v>82</v>
      </c>
      <c r="AL66" t="s" s="0">
        <v>1944</v>
      </c>
      <c r="AM66" t="s" s="0">
        <v>77</v>
      </c>
      <c r="AN66" t="s" s="0">
        <v>77</v>
      </c>
      <c r="AO66" t="s" s="0">
        <v>77</v>
      </c>
      <c r="AP66" t="s" s="0">
        <v>77</v>
      </c>
      <c r="AQ66" t="s" s="0">
        <v>104</v>
      </c>
      <c r="AR66" t="s" s="0">
        <v>105</v>
      </c>
      <c r="AS66" t="s" s="0">
        <v>106</v>
      </c>
      <c r="AT66" t="s" s="0">
        <v>1945</v>
      </c>
      <c r="AU66" t="s" s="0">
        <v>1946</v>
      </c>
      <c r="AV66" t="s" s="0">
        <v>82</v>
      </c>
      <c r="AW66" t="s" s="0">
        <v>1947</v>
      </c>
      <c r="AX66" t="s" s="0">
        <v>1948</v>
      </c>
      <c r="AY66" t="s" s="0">
        <v>476</v>
      </c>
      <c r="AZ66" t="s" s="0">
        <v>150</v>
      </c>
      <c r="BA66" t="s" s="0">
        <v>1236</v>
      </c>
      <c r="BB66" t="s" s="0">
        <v>82</v>
      </c>
      <c r="BC66" t="s" s="0">
        <v>82</v>
      </c>
      <c r="BD66" t="s" s="0">
        <v>82</v>
      </c>
      <c r="BE66" t="s" s="0">
        <v>82</v>
      </c>
      <c r="BF66" t="s" s="0">
        <v>82</v>
      </c>
      <c r="BG66" t="s" s="0">
        <v>82</v>
      </c>
      <c r="BH66" t="s" s="0">
        <v>82</v>
      </c>
      <c r="BI66" t="s" s="0">
        <v>1949</v>
      </c>
      <c r="BJ66" t="s" s="0">
        <v>1950</v>
      </c>
      <c r="BK66" t="s" s="129">
        <f>HYPERLINK("http://dx.doi.org/10.1016/j.tacc.2026.101662","http://dx.doi.org/10.1016/j.tacc.2026.101662")</f>
        <v>1951</v>
      </c>
      <c r="BL66" t="s" s="0">
        <v>82</v>
      </c>
      <c r="BM66" t="s" s="0">
        <v>82</v>
      </c>
      <c r="BN66" t="s" s="0">
        <v>524</v>
      </c>
      <c r="BO66" t="s" s="0">
        <v>1952</v>
      </c>
      <c r="BP66" t="s" s="0">
        <v>1952</v>
      </c>
      <c r="BQ66" t="s" s="0">
        <v>1953</v>
      </c>
      <c r="BR66" t="s" s="0">
        <v>82</v>
      </c>
      <c r="BS66" t="s" s="0">
        <v>1954</v>
      </c>
      <c r="BT66" t="s" s="130">
        <f>HYPERLINK("https://www.webofscience.com/wos/woscc/full-record/WOS:001781651400001","View Record in Web of Science")</f>
        <v>124</v>
      </c>
      <c r="BU66" t="s" s="0">
        <v>413</v>
      </c>
      <c r="BV66" t="s" s="0">
        <v>82</v>
      </c>
      <c r="BW66" t="s" s="0">
        <v>82</v>
      </c>
      <c r="BX66" t="s" s="0">
        <v>126</v>
      </c>
    </row>
    <row r="67">
      <c r="A67" t="s" s="0">
        <v>77</v>
      </c>
      <c r="B67" t="s" s="0">
        <v>77</v>
      </c>
      <c r="C67" t="s" s="0">
        <v>377</v>
      </c>
      <c r="D67" t="s" s="0">
        <v>77</v>
      </c>
      <c r="E67" t="s" s="0">
        <v>1955</v>
      </c>
      <c r="F67" t="s" s="0">
        <v>1956</v>
      </c>
      <c r="G67" t="s" s="0">
        <v>1957</v>
      </c>
      <c r="H67" t="s" s="0">
        <v>82</v>
      </c>
      <c r="I67" t="s" s="0">
        <v>83</v>
      </c>
      <c r="J67" t="s" s="0">
        <v>1958</v>
      </c>
      <c r="K67" t="s" s="0">
        <v>1959</v>
      </c>
      <c r="L67" t="s" s="0">
        <v>82</v>
      </c>
      <c r="M67" t="s" s="0">
        <v>82</v>
      </c>
      <c r="N67" t="s" s="0">
        <v>82</v>
      </c>
      <c r="O67" t="s" s="0">
        <v>1960</v>
      </c>
      <c r="P67" t="s" s="0">
        <v>1961</v>
      </c>
      <c r="Q67" t="s" s="0">
        <v>91</v>
      </c>
      <c r="R67" t="s" s="0">
        <v>82</v>
      </c>
      <c r="S67" t="s" s="0">
        <v>82</v>
      </c>
      <c r="T67" t="s" s="0">
        <v>82</v>
      </c>
      <c r="U67" t="s" s="0">
        <v>82</v>
      </c>
      <c r="V67" t="s" s="0">
        <v>1962</v>
      </c>
      <c r="W67" t="s" s="0">
        <v>1963</v>
      </c>
      <c r="X67" t="s" s="0">
        <v>82</v>
      </c>
      <c r="Y67" t="s" s="0">
        <v>82</v>
      </c>
      <c r="Z67" t="s" s="0">
        <v>94</v>
      </c>
      <c r="AA67" t="s" s="0">
        <v>95</v>
      </c>
      <c r="AB67" t="s" s="0">
        <v>82</v>
      </c>
      <c r="AC67" t="s" s="0">
        <v>82</v>
      </c>
      <c r="AD67" t="s" s="0">
        <v>82</v>
      </c>
      <c r="AE67" t="s" s="0">
        <v>82</v>
      </c>
      <c r="AF67" t="s" s="0">
        <v>82</v>
      </c>
      <c r="AG67" t="s" s="0">
        <v>82</v>
      </c>
      <c r="AH67" t="s" s="0">
        <v>1964</v>
      </c>
      <c r="AI67" t="s" s="0">
        <v>1965</v>
      </c>
      <c r="AJ67" t="s" s="0">
        <v>1966</v>
      </c>
      <c r="AK67" t="s" s="0">
        <v>82</v>
      </c>
      <c r="AL67" t="s" s="0">
        <v>1967</v>
      </c>
      <c r="AM67" t="s" s="0">
        <v>546</v>
      </c>
      <c r="AN67" t="s" s="0">
        <v>439</v>
      </c>
      <c r="AO67" t="s" s="0">
        <v>77</v>
      </c>
      <c r="AP67" t="s" s="0">
        <v>191</v>
      </c>
      <c r="AQ67" t="s" s="0">
        <v>1968</v>
      </c>
      <c r="AR67" t="s" s="0">
        <v>1969</v>
      </c>
      <c r="AS67" t="s" s="0">
        <v>1970</v>
      </c>
      <c r="AT67" t="s" s="0">
        <v>1971</v>
      </c>
      <c r="AU67" t="s" s="0">
        <v>1972</v>
      </c>
      <c r="AV67" t="s" s="0">
        <v>82</v>
      </c>
      <c r="AW67" t="s" s="0">
        <v>1973</v>
      </c>
      <c r="AX67" t="s" s="0">
        <v>1974</v>
      </c>
      <c r="AY67" t="s" s="0">
        <v>1975</v>
      </c>
      <c r="AZ67" t="s" s="0">
        <v>1075</v>
      </c>
      <c r="BA67" t="s" s="0">
        <v>1976</v>
      </c>
      <c r="BB67" t="s" s="0">
        <v>152</v>
      </c>
      <c r="BC67" t="s" s="0">
        <v>82</v>
      </c>
      <c r="BD67" t="s" s="0">
        <v>82</v>
      </c>
      <c r="BE67" t="s" s="0">
        <v>82</v>
      </c>
      <c r="BF67" t="s" s="0">
        <v>82</v>
      </c>
      <c r="BG67" t="s" s="0">
        <v>1977</v>
      </c>
      <c r="BH67" t="s" s="0">
        <v>1978</v>
      </c>
      <c r="BI67" t="s" s="0">
        <v>82</v>
      </c>
      <c r="BJ67" t="s" s="0">
        <v>1979</v>
      </c>
      <c r="BK67" t="s" s="131">
        <f>HYPERLINK("http://dx.doi.org/10.1080/17453674.2021.1910448","http://dx.doi.org/10.1080/17453674.2021.1910448")</f>
        <v>1980</v>
      </c>
      <c r="BL67" t="s" s="0">
        <v>82</v>
      </c>
      <c r="BM67" t="s" s="0">
        <v>1981</v>
      </c>
      <c r="BN67" t="s" s="0">
        <v>119</v>
      </c>
      <c r="BO67" t="s" s="0">
        <v>159</v>
      </c>
      <c r="BP67" t="s" s="0">
        <v>159</v>
      </c>
      <c r="BQ67" t="s" s="0">
        <v>1982</v>
      </c>
      <c r="BR67" t="s" s="0">
        <v>1983</v>
      </c>
      <c r="BS67" t="s" s="0">
        <v>1984</v>
      </c>
      <c r="BT67" t="s" s="132">
        <f>HYPERLINK("https://www.webofscience.com/wos/woscc/full-record/WOS:000641410500001","View Record in Web of Science")</f>
        <v>124</v>
      </c>
      <c r="BU67" t="s" s="0">
        <v>236</v>
      </c>
      <c r="BV67" t="s" s="0">
        <v>82</v>
      </c>
      <c r="BW67" t="s" s="0">
        <v>82</v>
      </c>
      <c r="BX67" t="s" s="0">
        <v>126</v>
      </c>
    </row>
    <row r="68">
      <c r="A68" t="s" s="0">
        <v>78</v>
      </c>
      <c r="B68" t="s" s="0">
        <v>77</v>
      </c>
      <c r="C68" t="s" s="0">
        <v>372</v>
      </c>
      <c r="D68" t="s" s="0">
        <v>77</v>
      </c>
      <c r="E68" t="s" s="0">
        <v>1985</v>
      </c>
      <c r="F68" t="s" s="0">
        <v>1986</v>
      </c>
      <c r="G68" t="s" s="0">
        <v>1987</v>
      </c>
      <c r="H68" t="s" s="0">
        <v>82</v>
      </c>
      <c r="I68" t="s" s="0">
        <v>83</v>
      </c>
      <c r="J68" t="s" s="0">
        <v>1988</v>
      </c>
      <c r="K68" t="s" s="0">
        <v>1989</v>
      </c>
      <c r="L68" t="s" s="0">
        <v>1990</v>
      </c>
      <c r="M68" t="s" s="0">
        <v>1991</v>
      </c>
      <c r="N68" t="s" s="0">
        <v>1992</v>
      </c>
      <c r="O68" t="s" s="0">
        <v>1993</v>
      </c>
      <c r="P68" t="s" s="0">
        <v>1994</v>
      </c>
      <c r="Q68" t="s" s="0">
        <v>91</v>
      </c>
      <c r="R68" t="s" s="0">
        <v>82</v>
      </c>
      <c r="S68" t="s" s="0">
        <v>82</v>
      </c>
      <c r="T68" t="s" s="0">
        <v>82</v>
      </c>
      <c r="U68" t="s" s="0">
        <v>82</v>
      </c>
      <c r="V68" t="s" s="0">
        <v>1995</v>
      </c>
      <c r="W68" t="s" s="0">
        <v>1996</v>
      </c>
      <c r="X68" t="s" s="0">
        <v>82</v>
      </c>
      <c r="Y68" t="s" s="0">
        <v>82</v>
      </c>
      <c r="Z68" t="s" s="0">
        <v>94</v>
      </c>
      <c r="AA68" t="s" s="0">
        <v>95</v>
      </c>
      <c r="AB68" t="s" s="0">
        <v>82</v>
      </c>
      <c r="AC68" t="s" s="0">
        <v>82</v>
      </c>
      <c r="AD68" t="s" s="0">
        <v>82</v>
      </c>
      <c r="AE68" t="s" s="0">
        <v>82</v>
      </c>
      <c r="AF68" t="s" s="0">
        <v>82</v>
      </c>
      <c r="AG68" t="s" s="0">
        <v>1997</v>
      </c>
      <c r="AH68" t="s" s="0">
        <v>1998</v>
      </c>
      <c r="AI68" t="s" s="0">
        <v>82</v>
      </c>
      <c r="AJ68" t="s" s="0">
        <v>1999</v>
      </c>
      <c r="AK68" t="s" s="0">
        <v>82</v>
      </c>
      <c r="AL68" t="s" s="0">
        <v>1035</v>
      </c>
      <c r="AM68" t="s" s="0">
        <v>377</v>
      </c>
      <c r="AN68" t="s" s="0">
        <v>231</v>
      </c>
      <c r="AO68" t="s" s="0">
        <v>77</v>
      </c>
      <c r="AP68" t="s" s="0">
        <v>231</v>
      </c>
      <c r="AQ68" t="s" s="0">
        <v>2000</v>
      </c>
      <c r="AR68" t="s" s="0">
        <v>2001</v>
      </c>
      <c r="AS68" t="s" s="0">
        <v>2002</v>
      </c>
      <c r="AT68" t="s" s="0">
        <v>2003</v>
      </c>
      <c r="AU68" t="s" s="0">
        <v>2004</v>
      </c>
      <c r="AV68" t="s" s="0">
        <v>82</v>
      </c>
      <c r="AW68" t="s" s="0">
        <v>1996</v>
      </c>
      <c r="AX68" t="s" s="0">
        <v>2005</v>
      </c>
      <c r="AY68" t="s" s="0">
        <v>2006</v>
      </c>
      <c r="AZ68" t="s" s="0">
        <v>1102</v>
      </c>
      <c r="BA68" t="s" s="0">
        <v>2007</v>
      </c>
      <c r="BB68" t="s" s="0">
        <v>372</v>
      </c>
      <c r="BC68" t="s" s="0">
        <v>82</v>
      </c>
      <c r="BD68" t="s" s="0">
        <v>82</v>
      </c>
      <c r="BE68" t="s" s="0">
        <v>82</v>
      </c>
      <c r="BF68" t="s" s="0">
        <v>82</v>
      </c>
      <c r="BG68" t="s" s="0">
        <v>2008</v>
      </c>
      <c r="BH68" t="s" s="0">
        <v>2009</v>
      </c>
      <c r="BI68" t="s" s="0">
        <v>82</v>
      </c>
      <c r="BJ68" t="s" s="0">
        <v>2010</v>
      </c>
      <c r="BK68" t="s" s="133">
        <f>HYPERLINK("http://dx.doi.org/10.6061/clinics/2017(03)10","http://dx.doi.org/10.6061/clinics/2017(03)10")</f>
        <v>2011</v>
      </c>
      <c r="BL68" t="s" s="0">
        <v>82</v>
      </c>
      <c r="BM68" t="s" s="0">
        <v>82</v>
      </c>
      <c r="BN68" t="s" s="0">
        <v>119</v>
      </c>
      <c r="BO68" t="s" s="0">
        <v>584</v>
      </c>
      <c r="BP68" t="s" s="0">
        <v>585</v>
      </c>
      <c r="BQ68" t="s" s="0">
        <v>2012</v>
      </c>
      <c r="BR68" t="s" s="0">
        <v>2013</v>
      </c>
      <c r="BS68" t="s" s="0">
        <v>2014</v>
      </c>
      <c r="BT68" t="s" s="134">
        <f>HYPERLINK("https://www.webofscience.com/wos/woscc/full-record/WOS:000397874900010","View Record in Web of Science")</f>
        <v>124</v>
      </c>
      <c r="BU68" t="s" s="0">
        <v>532</v>
      </c>
      <c r="BV68" t="s" s="0">
        <v>82</v>
      </c>
      <c r="BW68" t="s" s="0">
        <v>82</v>
      </c>
      <c r="BX68" t="s" s="0">
        <v>126</v>
      </c>
    </row>
    <row r="69">
      <c r="A69" t="s" s="0">
        <v>77</v>
      </c>
      <c r="B69" t="s" s="0">
        <v>77</v>
      </c>
      <c r="C69" t="s" s="0">
        <v>103</v>
      </c>
      <c r="D69" t="s" s="0">
        <v>77</v>
      </c>
      <c r="E69" t="s" s="0">
        <v>2015</v>
      </c>
      <c r="F69" t="s" s="0">
        <v>2016</v>
      </c>
      <c r="G69" t="s" s="0">
        <v>2017</v>
      </c>
      <c r="H69" t="s" s="0">
        <v>82</v>
      </c>
      <c r="I69" t="s" s="0">
        <v>83</v>
      </c>
      <c r="J69" t="s" s="0">
        <v>2018</v>
      </c>
      <c r="K69" t="s" s="0">
        <v>2019</v>
      </c>
      <c r="L69" t="s" s="0">
        <v>2020</v>
      </c>
      <c r="M69" t="s" s="0">
        <v>2021</v>
      </c>
      <c r="N69" t="s" s="0">
        <v>2022</v>
      </c>
      <c r="O69" t="s" s="0">
        <v>2023</v>
      </c>
      <c r="P69" t="s" s="0">
        <v>2024</v>
      </c>
      <c r="Q69" t="s" s="0">
        <v>91</v>
      </c>
      <c r="R69" t="s" s="0">
        <v>82</v>
      </c>
      <c r="S69" t="s" s="0">
        <v>82</v>
      </c>
      <c r="T69" t="s" s="0">
        <v>82</v>
      </c>
      <c r="U69" t="s" s="0">
        <v>82</v>
      </c>
      <c r="V69" t="s" s="0">
        <v>2025</v>
      </c>
      <c r="W69" t="s" s="0">
        <v>2026</v>
      </c>
      <c r="X69" t="s" s="0">
        <v>82</v>
      </c>
      <c r="Y69" t="s" s="0">
        <v>82</v>
      </c>
      <c r="Z69" t="s" s="0">
        <v>94</v>
      </c>
      <c r="AA69" t="s" s="0">
        <v>95</v>
      </c>
      <c r="AB69" t="s" s="0">
        <v>82</v>
      </c>
      <c r="AC69" t="s" s="0">
        <v>82</v>
      </c>
      <c r="AD69" t="s" s="0">
        <v>82</v>
      </c>
      <c r="AE69" t="s" s="0">
        <v>82</v>
      </c>
      <c r="AF69" t="s" s="0">
        <v>82</v>
      </c>
      <c r="AG69" t="s" s="0">
        <v>2027</v>
      </c>
      <c r="AH69" t="s" s="0">
        <v>2028</v>
      </c>
      <c r="AI69" t="s" s="0">
        <v>2029</v>
      </c>
      <c r="AJ69" t="s" s="0">
        <v>2030</v>
      </c>
      <c r="AK69" t="s" s="0">
        <v>82</v>
      </c>
      <c r="AL69" t="s" s="0">
        <v>227</v>
      </c>
      <c r="AM69" t="s" s="0">
        <v>300</v>
      </c>
      <c r="AN69" t="s" s="0">
        <v>431</v>
      </c>
      <c r="AO69" t="s" s="0">
        <v>77</v>
      </c>
      <c r="AP69" t="s" s="0">
        <v>431</v>
      </c>
      <c r="AQ69" t="s" s="0">
        <v>181</v>
      </c>
      <c r="AR69" t="s" s="0">
        <v>182</v>
      </c>
      <c r="AS69" t="s" s="0">
        <v>183</v>
      </c>
      <c r="AT69" t="s" s="0">
        <v>2031</v>
      </c>
      <c r="AU69" t="s" s="0">
        <v>82</v>
      </c>
      <c r="AV69" t="s" s="0">
        <v>82</v>
      </c>
      <c r="AW69" t="s" s="0">
        <v>2032</v>
      </c>
      <c r="AX69" t="s" s="0">
        <v>2033</v>
      </c>
      <c r="AY69" t="s" s="0">
        <v>2034</v>
      </c>
      <c r="AZ69" t="s" s="0">
        <v>1011</v>
      </c>
      <c r="BA69" t="s" s="0">
        <v>291</v>
      </c>
      <c r="BB69" t="s" s="0">
        <v>372</v>
      </c>
      <c r="BC69" t="s" s="0">
        <v>82</v>
      </c>
      <c r="BD69" t="s" s="0">
        <v>82</v>
      </c>
      <c r="BE69" t="s" s="0">
        <v>82</v>
      </c>
      <c r="BF69" t="s" s="0">
        <v>82</v>
      </c>
      <c r="BG69" t="s" s="0">
        <v>2035</v>
      </c>
      <c r="BH69" t="s" s="0">
        <v>2036</v>
      </c>
      <c r="BI69" t="s" s="0">
        <v>82</v>
      </c>
      <c r="BJ69" t="s" s="0">
        <v>2037</v>
      </c>
      <c r="BK69" t="s" s="135">
        <f>HYPERLINK("http://dx.doi.org/10.1002/ehf2.12426","http://dx.doi.org/10.1002/ehf2.12426")</f>
        <v>2038</v>
      </c>
      <c r="BL69" t="s" s="0">
        <v>82</v>
      </c>
      <c r="BM69" t="s" s="0">
        <v>82</v>
      </c>
      <c r="BN69" t="s" s="0">
        <v>524</v>
      </c>
      <c r="BO69" t="s" s="0">
        <v>771</v>
      </c>
      <c r="BP69" t="s" s="0">
        <v>772</v>
      </c>
      <c r="BQ69" t="s" s="0">
        <v>2039</v>
      </c>
      <c r="BR69" t="s" s="0">
        <v>2040</v>
      </c>
      <c r="BS69" t="s" s="0">
        <v>2041</v>
      </c>
      <c r="BT69" t="s" s="136">
        <f>HYPERLINK("https://www.webofscience.com/wos/woscc/full-record/WOS:000468324300005","View Record in Web of Science")</f>
        <v>124</v>
      </c>
      <c r="BU69" t="s" s="0">
        <v>236</v>
      </c>
      <c r="BV69" t="s" s="0">
        <v>82</v>
      </c>
      <c r="BW69" t="s" s="0">
        <v>82</v>
      </c>
      <c r="BX69" t="s" s="0">
        <v>126</v>
      </c>
    </row>
    <row r="70">
      <c r="A70" t="s" s="0">
        <v>77</v>
      </c>
      <c r="B70" t="s" s="0">
        <v>77</v>
      </c>
      <c r="C70" t="s" s="0">
        <v>77</v>
      </c>
      <c r="D70" t="s" s="0">
        <v>77</v>
      </c>
      <c r="E70" t="s" s="0">
        <v>2042</v>
      </c>
      <c r="F70" t="s" s="0">
        <v>2043</v>
      </c>
      <c r="G70" t="s" s="0">
        <v>2044</v>
      </c>
      <c r="H70" t="s" s="0">
        <v>82</v>
      </c>
      <c r="I70" t="s" s="0">
        <v>83</v>
      </c>
      <c r="J70" t="s" s="0">
        <v>2045</v>
      </c>
      <c r="K70" t="s" s="0">
        <v>2046</v>
      </c>
      <c r="L70" t="s" s="0">
        <v>2047</v>
      </c>
      <c r="M70" t="s" s="0">
        <v>2048</v>
      </c>
      <c r="N70" t="s" s="0">
        <v>2049</v>
      </c>
      <c r="O70" t="s" s="0">
        <v>2050</v>
      </c>
      <c r="P70" t="s" s="0">
        <v>2051</v>
      </c>
      <c r="Q70" t="s" s="0">
        <v>91</v>
      </c>
      <c r="R70" t="s" s="0">
        <v>82</v>
      </c>
      <c r="S70" t="s" s="0">
        <v>82</v>
      </c>
      <c r="T70" t="s" s="0">
        <v>82</v>
      </c>
      <c r="U70" t="s" s="0">
        <v>82</v>
      </c>
      <c r="V70" t="s" s="0">
        <v>2052</v>
      </c>
      <c r="W70" t="s" s="0">
        <v>2053</v>
      </c>
      <c r="X70" t="s" s="0">
        <v>82</v>
      </c>
      <c r="Y70" t="s" s="0">
        <v>82</v>
      </c>
      <c r="Z70" t="s" s="0">
        <v>94</v>
      </c>
      <c r="AA70" t="s" s="0">
        <v>95</v>
      </c>
      <c r="AB70" t="s" s="0">
        <v>82</v>
      </c>
      <c r="AC70" t="s" s="0">
        <v>82</v>
      </c>
      <c r="AD70" t="s" s="0">
        <v>82</v>
      </c>
      <c r="AE70" t="s" s="0">
        <v>82</v>
      </c>
      <c r="AF70" t="s" s="0">
        <v>82</v>
      </c>
      <c r="AG70" t="s" s="0">
        <v>2054</v>
      </c>
      <c r="AH70" t="s" s="0">
        <v>2055</v>
      </c>
      <c r="AI70" t="s" s="0">
        <v>82</v>
      </c>
      <c r="AJ70" t="s" s="0">
        <v>2056</v>
      </c>
      <c r="AK70" t="s" s="0">
        <v>82</v>
      </c>
      <c r="AL70" t="s" s="0">
        <v>113</v>
      </c>
      <c r="AM70" t="s" s="0">
        <v>152</v>
      </c>
      <c r="AN70" t="s" s="0">
        <v>291</v>
      </c>
      <c r="AO70" t="s" s="0">
        <v>77</v>
      </c>
      <c r="AP70" t="s" s="0">
        <v>377</v>
      </c>
      <c r="AQ70" t="s" s="0">
        <v>2057</v>
      </c>
      <c r="AR70" t="s" s="0">
        <v>1069</v>
      </c>
      <c r="AS70" t="s" s="0">
        <v>2058</v>
      </c>
      <c r="AT70" t="s" s="0">
        <v>2059</v>
      </c>
      <c r="AU70" t="s" s="0">
        <v>2060</v>
      </c>
      <c r="AV70" t="s" s="0">
        <v>82</v>
      </c>
      <c r="AW70" t="s" s="0">
        <v>2061</v>
      </c>
      <c r="AX70" t="s" s="0">
        <v>2062</v>
      </c>
      <c r="AY70" t="s" s="0">
        <v>2063</v>
      </c>
      <c r="AZ70" t="s" s="0">
        <v>1075</v>
      </c>
      <c r="BA70" t="s" s="0">
        <v>610</v>
      </c>
      <c r="BB70" t="s" s="0">
        <v>101</v>
      </c>
      <c r="BC70" t="s" s="0">
        <v>82</v>
      </c>
      <c r="BD70" t="s" s="0">
        <v>82</v>
      </c>
      <c r="BE70" t="s" s="0">
        <v>82</v>
      </c>
      <c r="BF70" t="s" s="0">
        <v>82</v>
      </c>
      <c r="BG70" t="s" s="0">
        <v>2064</v>
      </c>
      <c r="BH70" t="s" s="0">
        <v>2065</v>
      </c>
      <c r="BI70" t="s" s="0">
        <v>82</v>
      </c>
      <c r="BJ70" t="s" s="0">
        <v>2066</v>
      </c>
      <c r="BK70" t="s" s="137">
        <f>HYPERLINK("http://dx.doi.org/10.1053/j.jvca.2021.02.056","http://dx.doi.org/10.1053/j.jvca.2021.02.056")</f>
        <v>2067</v>
      </c>
      <c r="BL70" t="s" s="0">
        <v>82</v>
      </c>
      <c r="BM70" t="s" s="0">
        <v>2068</v>
      </c>
      <c r="BN70" t="s" s="0">
        <v>231</v>
      </c>
      <c r="BO70" t="s" s="0">
        <v>2069</v>
      </c>
      <c r="BP70" t="s" s="0">
        <v>2070</v>
      </c>
      <c r="BQ70" t="s" s="0">
        <v>2071</v>
      </c>
      <c r="BR70" t="s" s="0">
        <v>2072</v>
      </c>
      <c r="BS70" t="s" s="0">
        <v>2073</v>
      </c>
      <c r="BT70" t="s" s="138">
        <f>HYPERLINK("https://www.webofscience.com/wos/woscc/full-record/WOS:000655505900038","View Record in Web of Science")</f>
        <v>124</v>
      </c>
      <c r="BU70" t="s" s="0">
        <v>1110</v>
      </c>
      <c r="BV70" t="s" s="0">
        <v>82</v>
      </c>
      <c r="BW70" t="s" s="0">
        <v>82</v>
      </c>
      <c r="BX70" t="s" s="0">
        <v>126</v>
      </c>
    </row>
    <row r="71">
      <c r="A71" t="s" s="0">
        <v>77</v>
      </c>
      <c r="B71" t="s" s="0">
        <v>77</v>
      </c>
      <c r="C71" t="s" s="0">
        <v>152</v>
      </c>
      <c r="D71" t="s" s="0">
        <v>77</v>
      </c>
      <c r="E71" t="s" s="0">
        <v>2074</v>
      </c>
      <c r="F71" t="s" s="0">
        <v>2075</v>
      </c>
      <c r="G71" t="s" s="0">
        <v>2076</v>
      </c>
      <c r="H71" t="s" s="0">
        <v>82</v>
      </c>
      <c r="I71" t="s" s="0">
        <v>83</v>
      </c>
      <c r="J71" t="s" s="0">
        <v>2077</v>
      </c>
      <c r="K71" t="s" s="0">
        <v>2078</v>
      </c>
      <c r="L71" t="s" s="0">
        <v>2079</v>
      </c>
      <c r="M71" t="s" s="0">
        <v>2079</v>
      </c>
      <c r="N71" t="s" s="0">
        <v>2080</v>
      </c>
      <c r="O71" t="s" s="0">
        <v>2081</v>
      </c>
      <c r="P71" t="s" s="0">
        <v>2079</v>
      </c>
      <c r="Q71" t="s" s="0">
        <v>91</v>
      </c>
      <c r="R71" t="s" s="0">
        <v>82</v>
      </c>
      <c r="S71" t="s" s="0">
        <v>82</v>
      </c>
      <c r="T71" t="s" s="0">
        <v>82</v>
      </c>
      <c r="U71" t="s" s="0">
        <v>82</v>
      </c>
      <c r="V71" t="s" s="0">
        <v>2082</v>
      </c>
      <c r="W71" t="s" s="0">
        <v>2083</v>
      </c>
      <c r="X71" t="s" s="0">
        <v>82</v>
      </c>
      <c r="Y71" t="s" s="0">
        <v>82</v>
      </c>
      <c r="Z71" t="s" s="0">
        <v>94</v>
      </c>
      <c r="AA71" t="s" s="0">
        <v>95</v>
      </c>
      <c r="AB71" t="s" s="0">
        <v>82</v>
      </c>
      <c r="AC71" t="s" s="0">
        <v>82</v>
      </c>
      <c r="AD71" t="s" s="0">
        <v>82</v>
      </c>
      <c r="AE71" t="s" s="0">
        <v>82</v>
      </c>
      <c r="AF71" t="s" s="0">
        <v>82</v>
      </c>
      <c r="AG71" t="s" s="0">
        <v>2084</v>
      </c>
      <c r="AH71" t="s" s="0">
        <v>2085</v>
      </c>
      <c r="AI71" t="s" s="0">
        <v>2086</v>
      </c>
      <c r="AJ71" t="s" s="0">
        <v>2087</v>
      </c>
      <c r="AK71" t="s" s="0">
        <v>82</v>
      </c>
      <c r="AL71" t="s" s="0">
        <v>141</v>
      </c>
      <c r="AM71" t="s" s="0">
        <v>732</v>
      </c>
      <c r="AN71" t="s" s="0">
        <v>227</v>
      </c>
      <c r="AO71" t="s" s="0">
        <v>77</v>
      </c>
      <c r="AP71" t="s" s="0">
        <v>524</v>
      </c>
      <c r="AQ71" t="s" s="0">
        <v>670</v>
      </c>
      <c r="AR71" t="s" s="0">
        <v>255</v>
      </c>
      <c r="AS71" t="s" s="0">
        <v>671</v>
      </c>
      <c r="AT71" t="s" s="0">
        <v>2088</v>
      </c>
      <c r="AU71" t="s" s="0">
        <v>2089</v>
      </c>
      <c r="AV71" t="s" s="0">
        <v>82</v>
      </c>
      <c r="AW71" t="s" s="0">
        <v>2090</v>
      </c>
      <c r="AX71" t="s" s="0">
        <v>2091</v>
      </c>
      <c r="AY71" t="s" s="0">
        <v>267</v>
      </c>
      <c r="AZ71" t="s" s="0">
        <v>226</v>
      </c>
      <c r="BA71" t="s" s="0">
        <v>329</v>
      </c>
      <c r="BB71" t="s" s="0">
        <v>119</v>
      </c>
      <c r="BC71" t="s" s="0">
        <v>82</v>
      </c>
      <c r="BD71" t="s" s="0">
        <v>82</v>
      </c>
      <c r="BE71" t="s" s="0">
        <v>82</v>
      </c>
      <c r="BF71" t="s" s="0">
        <v>82</v>
      </c>
      <c r="BG71" t="s" s="0">
        <v>2092</v>
      </c>
      <c r="BH71" t="s" s="0">
        <v>2093</v>
      </c>
      <c r="BI71" t="s" s="0">
        <v>82</v>
      </c>
      <c r="BJ71" t="s" s="0">
        <v>2094</v>
      </c>
      <c r="BK71" t="s" s="139">
        <f>HYPERLINK("http://dx.doi.org/10.1007/s00330-024-10625-7","http://dx.doi.org/10.1007/s00330-024-10625-7")</f>
        <v>2095</v>
      </c>
      <c r="BL71" t="s" s="0">
        <v>82</v>
      </c>
      <c r="BM71" t="s" s="0">
        <v>2096</v>
      </c>
      <c r="BN71" t="s" s="0">
        <v>268</v>
      </c>
      <c r="BO71" t="s" s="0">
        <v>378</v>
      </c>
      <c r="BP71" t="s" s="0">
        <v>378</v>
      </c>
      <c r="BQ71" t="s" s="0">
        <v>2097</v>
      </c>
      <c r="BR71" t="s" s="0">
        <v>2098</v>
      </c>
      <c r="BS71" t="s" s="0">
        <v>2099</v>
      </c>
      <c r="BT71" t="s" s="140">
        <f>HYPERLINK("https://www.webofscience.com/wos/woscc/full-record/WOS:001169722300003","View Record in Web of Science")</f>
        <v>124</v>
      </c>
      <c r="BU71" t="s" s="0">
        <v>163</v>
      </c>
      <c r="BV71" t="s" s="0">
        <v>82</v>
      </c>
      <c r="BW71" t="s" s="0">
        <v>82</v>
      </c>
      <c r="BX71" t="s" s="0">
        <v>126</v>
      </c>
    </row>
    <row r="72">
      <c r="A72" t="s" s="0">
        <v>77</v>
      </c>
      <c r="B72" t="s" s="0">
        <v>77</v>
      </c>
      <c r="C72" t="s" s="0">
        <v>103</v>
      </c>
      <c r="D72" t="s" s="0">
        <v>77</v>
      </c>
      <c r="E72" t="s" s="0">
        <v>2100</v>
      </c>
      <c r="F72" t="s" s="0">
        <v>2101</v>
      </c>
      <c r="G72" t="s" s="0">
        <v>2102</v>
      </c>
      <c r="H72" t="s" s="0">
        <v>82</v>
      </c>
      <c r="I72" t="s" s="0">
        <v>83</v>
      </c>
      <c r="J72" t="s" s="0">
        <v>2103</v>
      </c>
      <c r="K72" t="s" s="0">
        <v>2104</v>
      </c>
      <c r="L72" t="s" s="0">
        <v>2105</v>
      </c>
      <c r="M72" t="s" s="0">
        <v>2106</v>
      </c>
      <c r="N72" t="s" s="0">
        <v>2107</v>
      </c>
      <c r="O72" t="s" s="0">
        <v>2108</v>
      </c>
      <c r="P72" t="s" s="0">
        <v>2109</v>
      </c>
      <c r="Q72" t="s" s="0">
        <v>91</v>
      </c>
      <c r="R72" t="s" s="0">
        <v>82</v>
      </c>
      <c r="S72" t="s" s="0">
        <v>82</v>
      </c>
      <c r="T72" t="s" s="0">
        <v>82</v>
      </c>
      <c r="U72" t="s" s="0">
        <v>82</v>
      </c>
      <c r="V72" t="s" s="0">
        <v>2110</v>
      </c>
      <c r="W72" t="s" s="0">
        <v>2111</v>
      </c>
      <c r="X72" t="s" s="0">
        <v>82</v>
      </c>
      <c r="Y72" t="s" s="0">
        <v>82</v>
      </c>
      <c r="Z72" t="s" s="0">
        <v>94</v>
      </c>
      <c r="AA72" t="s" s="0">
        <v>95</v>
      </c>
      <c r="AB72" t="s" s="0">
        <v>82</v>
      </c>
      <c r="AC72" t="s" s="0">
        <v>82</v>
      </c>
      <c r="AD72" t="s" s="0">
        <v>82</v>
      </c>
      <c r="AE72" t="s" s="0">
        <v>82</v>
      </c>
      <c r="AF72" t="s" s="0">
        <v>82</v>
      </c>
      <c r="AG72" t="s" s="0">
        <v>2112</v>
      </c>
      <c r="AH72" t="s" s="0">
        <v>2113</v>
      </c>
      <c r="AI72" t="s" s="0">
        <v>2114</v>
      </c>
      <c r="AJ72" t="s" s="0">
        <v>2115</v>
      </c>
      <c r="AK72" t="s" s="0">
        <v>82</v>
      </c>
      <c r="AL72" t="s" s="0">
        <v>180</v>
      </c>
      <c r="AM72" t="s" s="0">
        <v>119</v>
      </c>
      <c r="AN72" t="s" s="0">
        <v>119</v>
      </c>
      <c r="AO72" t="s" s="0">
        <v>77</v>
      </c>
      <c r="AP72" t="s" s="0">
        <v>78</v>
      </c>
      <c r="AQ72" t="s" s="0">
        <v>2116</v>
      </c>
      <c r="AR72" t="s" s="0">
        <v>2117</v>
      </c>
      <c r="AS72" t="s" s="0">
        <v>2118</v>
      </c>
      <c r="AT72" t="s" s="0">
        <v>2119</v>
      </c>
      <c r="AU72" t="s" s="0">
        <v>2120</v>
      </c>
      <c r="AV72" t="s" s="0">
        <v>82</v>
      </c>
      <c r="AW72" t="s" s="0">
        <v>2121</v>
      </c>
      <c r="AX72" t="s" s="0">
        <v>2122</v>
      </c>
      <c r="AY72" t="s" s="0">
        <v>2123</v>
      </c>
      <c r="AZ72" t="s" s="0">
        <v>1011</v>
      </c>
      <c r="BA72" t="s" s="0">
        <v>179</v>
      </c>
      <c r="BB72" t="s" s="0">
        <v>101</v>
      </c>
      <c r="BC72" t="s" s="0">
        <v>82</v>
      </c>
      <c r="BD72" t="s" s="0">
        <v>82</v>
      </c>
      <c r="BE72" t="s" s="0">
        <v>82</v>
      </c>
      <c r="BF72" t="s" s="0">
        <v>82</v>
      </c>
      <c r="BG72" t="s" s="0">
        <v>2124</v>
      </c>
      <c r="BH72" t="s" s="0">
        <v>2125</v>
      </c>
      <c r="BI72" t="s" s="0">
        <v>82</v>
      </c>
      <c r="BJ72" t="s" s="0">
        <v>2126</v>
      </c>
      <c r="BK72" t="s" s="141">
        <f>HYPERLINK("http://dx.doi.org/10.1080/14787210.2019.1625770","http://dx.doi.org/10.1080/14787210.2019.1625770")</f>
        <v>2127</v>
      </c>
      <c r="BL72" t="s" s="0">
        <v>82</v>
      </c>
      <c r="BM72" t="s" s="0">
        <v>82</v>
      </c>
      <c r="BN72" t="s" s="0">
        <v>231</v>
      </c>
      <c r="BO72" t="s" s="0">
        <v>2128</v>
      </c>
      <c r="BP72" t="s" s="0">
        <v>2128</v>
      </c>
      <c r="BQ72" t="s" s="0">
        <v>2129</v>
      </c>
      <c r="BR72" t="s" s="0">
        <v>2130</v>
      </c>
      <c r="BS72" t="s" s="0">
        <v>2131</v>
      </c>
      <c r="BT72" t="s" s="142">
        <f>HYPERLINK("https://www.webofscience.com/wos/woscc/full-record/WOS:000477753200003","View Record in Web of Science")</f>
        <v>124</v>
      </c>
      <c r="BU72" t="s" s="0">
        <v>82</v>
      </c>
      <c r="BV72" t="s" s="0">
        <v>82</v>
      </c>
      <c r="BW72" t="s" s="0">
        <v>82</v>
      </c>
      <c r="BX72" t="s" s="0">
        <v>126</v>
      </c>
    </row>
    <row r="73">
      <c r="A73" t="s" s="0">
        <v>77</v>
      </c>
      <c r="B73" t="s" s="0">
        <v>77</v>
      </c>
      <c r="C73" t="s" s="0">
        <v>328</v>
      </c>
      <c r="D73" t="s" s="0">
        <v>77</v>
      </c>
      <c r="E73" t="s" s="0">
        <v>2132</v>
      </c>
      <c r="F73" t="s" s="0">
        <v>2133</v>
      </c>
      <c r="G73" t="s" s="0">
        <v>2134</v>
      </c>
      <c r="H73" t="s" s="0">
        <v>82</v>
      </c>
      <c r="I73" t="s" s="0">
        <v>130</v>
      </c>
      <c r="J73" t="s" s="0">
        <v>2135</v>
      </c>
      <c r="K73" t="s" s="0">
        <v>2136</v>
      </c>
      <c r="L73" t="s" s="0">
        <v>2137</v>
      </c>
      <c r="M73" t="s" s="0">
        <v>2138</v>
      </c>
      <c r="N73" t="s" s="0">
        <v>2139</v>
      </c>
      <c r="O73" t="s" s="0">
        <v>2140</v>
      </c>
      <c r="P73" t="s" s="0">
        <v>2141</v>
      </c>
      <c r="Q73" t="s" s="0">
        <v>91</v>
      </c>
      <c r="R73" t="s" s="0">
        <v>82</v>
      </c>
      <c r="S73" t="s" s="0">
        <v>82</v>
      </c>
      <c r="T73" t="s" s="0">
        <v>82</v>
      </c>
      <c r="U73" t="s" s="0">
        <v>82</v>
      </c>
      <c r="V73" t="s" s="0">
        <v>2142</v>
      </c>
      <c r="W73" t="s" s="0">
        <v>2143</v>
      </c>
      <c r="X73" t="s" s="0">
        <v>82</v>
      </c>
      <c r="Y73" t="s" s="0">
        <v>82</v>
      </c>
      <c r="Z73" t="s" s="0">
        <v>94</v>
      </c>
      <c r="AA73" t="s" s="0">
        <v>95</v>
      </c>
      <c r="AB73" t="s" s="0">
        <v>82</v>
      </c>
      <c r="AC73" t="s" s="0">
        <v>82</v>
      </c>
      <c r="AD73" t="s" s="0">
        <v>82</v>
      </c>
      <c r="AE73" t="s" s="0">
        <v>82</v>
      </c>
      <c r="AF73" t="s" s="0">
        <v>82</v>
      </c>
      <c r="AG73" t="s" s="0">
        <v>2144</v>
      </c>
      <c r="AH73" t="s" s="0">
        <v>2145</v>
      </c>
      <c r="AI73" t="s" s="0">
        <v>82</v>
      </c>
      <c r="AJ73" t="s" s="0">
        <v>2146</v>
      </c>
      <c r="AK73" t="s" s="0">
        <v>82</v>
      </c>
      <c r="AL73" t="s" s="0">
        <v>1379</v>
      </c>
      <c r="AM73" t="s" s="0">
        <v>1274</v>
      </c>
      <c r="AN73" t="s" s="0">
        <v>463</v>
      </c>
      <c r="AO73" t="s" s="0">
        <v>372</v>
      </c>
      <c r="AP73" t="s" s="0">
        <v>115</v>
      </c>
      <c r="AQ73" t="s" s="0">
        <v>495</v>
      </c>
      <c r="AR73" t="s" s="0">
        <v>496</v>
      </c>
      <c r="AS73" t="s" s="0">
        <v>497</v>
      </c>
      <c r="AT73" t="s" s="0">
        <v>82</v>
      </c>
      <c r="AU73" t="s" s="0">
        <v>2147</v>
      </c>
      <c r="AV73" t="s" s="0">
        <v>82</v>
      </c>
      <c r="AW73" t="s" s="0">
        <v>2143</v>
      </c>
      <c r="AX73" t="s" s="0">
        <v>2148</v>
      </c>
      <c r="AY73" t="s" s="0">
        <v>2149</v>
      </c>
      <c r="AZ73" t="s" s="0">
        <v>337</v>
      </c>
      <c r="BA73" t="s" s="0">
        <v>101</v>
      </c>
      <c r="BB73" t="s" s="0">
        <v>372</v>
      </c>
      <c r="BC73" t="s" s="0">
        <v>82</v>
      </c>
      <c r="BD73" t="s" s="0">
        <v>82</v>
      </c>
      <c r="BE73" t="s" s="0">
        <v>82</v>
      </c>
      <c r="BF73" t="s" s="0">
        <v>82</v>
      </c>
      <c r="BG73" t="s" s="0">
        <v>82</v>
      </c>
      <c r="BH73" t="s" s="0">
        <v>82</v>
      </c>
      <c r="BI73" t="s" s="0">
        <v>633</v>
      </c>
      <c r="BJ73" t="s" s="0">
        <v>2150</v>
      </c>
      <c r="BK73" t="s" s="143">
        <f>HYPERLINK("http://dx.doi.org/10.3390/informatics7030025","http://dx.doi.org/10.3390/informatics7030025")</f>
        <v>2151</v>
      </c>
      <c r="BL73" t="s" s="0">
        <v>82</v>
      </c>
      <c r="BM73" t="s" s="0">
        <v>82</v>
      </c>
      <c r="BN73" t="s" s="0">
        <v>151</v>
      </c>
      <c r="BO73" t="s" s="0">
        <v>2152</v>
      </c>
      <c r="BP73" t="s" s="0">
        <v>2153</v>
      </c>
      <c r="BQ73" t="s" s="0">
        <v>2154</v>
      </c>
      <c r="BR73" t="s" s="0">
        <v>2155</v>
      </c>
      <c r="BS73" t="s" s="0">
        <v>2156</v>
      </c>
      <c r="BT73" t="s" s="144">
        <f>HYPERLINK("https://www.webofscience.com/wos/woscc/full-record/WOS:000578947400001","View Record in Web of Science")</f>
        <v>124</v>
      </c>
      <c r="BU73" t="s" s="0">
        <v>236</v>
      </c>
      <c r="BV73" t="s" s="0">
        <v>82</v>
      </c>
      <c r="BW73" t="s" s="0">
        <v>82</v>
      </c>
      <c r="BX73" t="s" s="0">
        <v>126</v>
      </c>
    </row>
    <row r="74">
      <c r="A74" t="s" s="0">
        <v>78</v>
      </c>
      <c r="B74" t="s" s="0">
        <v>77</v>
      </c>
      <c r="C74" t="s" s="0">
        <v>103</v>
      </c>
      <c r="D74" t="s" s="0">
        <v>77</v>
      </c>
      <c r="E74" t="s" s="0">
        <v>2157</v>
      </c>
      <c r="F74" t="s" s="0">
        <v>2158</v>
      </c>
      <c r="G74" t="s" s="0">
        <v>2159</v>
      </c>
      <c r="H74" t="s" s="0">
        <v>82</v>
      </c>
      <c r="I74" t="s" s="0">
        <v>83</v>
      </c>
      <c r="J74" t="s" s="0">
        <v>2160</v>
      </c>
      <c r="K74" t="s" s="0">
        <v>2161</v>
      </c>
      <c r="L74" t="s" s="0">
        <v>82</v>
      </c>
      <c r="M74" t="s" s="0">
        <v>82</v>
      </c>
      <c r="N74" t="s" s="0">
        <v>82</v>
      </c>
      <c r="O74" t="s" s="0">
        <v>2162</v>
      </c>
      <c r="P74" t="s" s="0">
        <v>2163</v>
      </c>
      <c r="Q74" t="s" s="0">
        <v>91</v>
      </c>
      <c r="R74" t="s" s="0">
        <v>82</v>
      </c>
      <c r="S74" t="s" s="0">
        <v>82</v>
      </c>
      <c r="T74" t="s" s="0">
        <v>82</v>
      </c>
      <c r="U74" t="s" s="0">
        <v>82</v>
      </c>
      <c r="V74" t="s" s="0">
        <v>2164</v>
      </c>
      <c r="W74" t="s" s="0">
        <v>2165</v>
      </c>
      <c r="X74" t="s" s="0">
        <v>82</v>
      </c>
      <c r="Y74" t="s" s="0">
        <v>82</v>
      </c>
      <c r="Z74" t="s" s="0">
        <v>94</v>
      </c>
      <c r="AA74" t="s" s="0">
        <v>95</v>
      </c>
      <c r="AB74" t="s" s="0">
        <v>82</v>
      </c>
      <c r="AC74" t="s" s="0">
        <v>82</v>
      </c>
      <c r="AD74" t="s" s="0">
        <v>82</v>
      </c>
      <c r="AE74" t="s" s="0">
        <v>82</v>
      </c>
      <c r="AF74" t="s" s="0">
        <v>82</v>
      </c>
      <c r="AG74" t="s" s="0">
        <v>2166</v>
      </c>
      <c r="AH74" t="s" s="0">
        <v>2167</v>
      </c>
      <c r="AI74" t="s" s="0">
        <v>2168</v>
      </c>
      <c r="AJ74" t="s" s="0">
        <v>2169</v>
      </c>
      <c r="AK74" t="s" s="0">
        <v>82</v>
      </c>
      <c r="AL74" t="s" s="0">
        <v>1967</v>
      </c>
      <c r="AM74" t="s" s="0">
        <v>102</v>
      </c>
      <c r="AN74" t="s" s="0">
        <v>268</v>
      </c>
      <c r="AO74" t="s" s="0">
        <v>77</v>
      </c>
      <c r="AP74" t="s" s="0">
        <v>102</v>
      </c>
      <c r="AQ74" t="s" s="0">
        <v>142</v>
      </c>
      <c r="AR74" t="s" s="0">
        <v>143</v>
      </c>
      <c r="AS74" t="s" s="0">
        <v>144</v>
      </c>
      <c r="AT74" t="s" s="0">
        <v>2170</v>
      </c>
      <c r="AU74" t="s" s="0">
        <v>2171</v>
      </c>
      <c r="AV74" t="s" s="0">
        <v>82</v>
      </c>
      <c r="AW74" t="s" s="0">
        <v>2172</v>
      </c>
      <c r="AX74" t="s" s="0">
        <v>2173</v>
      </c>
      <c r="AY74" t="s" s="0">
        <v>2174</v>
      </c>
      <c r="AZ74" t="s" s="0">
        <v>226</v>
      </c>
      <c r="BA74" t="s" s="0">
        <v>2175</v>
      </c>
      <c r="BB74" t="s" s="0">
        <v>372</v>
      </c>
      <c r="BC74" t="s" s="0">
        <v>82</v>
      </c>
      <c r="BD74" t="s" s="0">
        <v>82</v>
      </c>
      <c r="BE74" t="s" s="0">
        <v>82</v>
      </c>
      <c r="BF74" t="s" s="0">
        <v>82</v>
      </c>
      <c r="BG74" t="s" s="0">
        <v>2176</v>
      </c>
      <c r="BH74" t="s" s="0">
        <v>2177</v>
      </c>
      <c r="BI74" t="s" s="0">
        <v>82</v>
      </c>
      <c r="BJ74" t="s" s="0">
        <v>2178</v>
      </c>
      <c r="BK74" t="s" s="145">
        <f>HYPERLINK("http://dx.doi.org/10.1177/00034894231206902","http://dx.doi.org/10.1177/00034894231206902")</f>
        <v>2179</v>
      </c>
      <c r="BL74" t="s" s="0">
        <v>82</v>
      </c>
      <c r="BM74" t="s" s="0">
        <v>2180</v>
      </c>
      <c r="BN74" t="s" s="0">
        <v>119</v>
      </c>
      <c r="BO74" t="s" s="0">
        <v>2181</v>
      </c>
      <c r="BP74" t="s" s="0">
        <v>2181</v>
      </c>
      <c r="BQ74" t="s" s="0">
        <v>2182</v>
      </c>
      <c r="BR74" t="s" s="0">
        <v>2183</v>
      </c>
      <c r="BS74" t="s" s="0">
        <v>2184</v>
      </c>
      <c r="BT74" t="s" s="146">
        <f>HYPERLINK("https://www.webofscience.com/wos/woscc/full-record/WOS:001087641200001","View Record in Web of Science")</f>
        <v>124</v>
      </c>
      <c r="BU74" t="s" s="0">
        <v>82</v>
      </c>
      <c r="BV74" t="s" s="0">
        <v>82</v>
      </c>
      <c r="BW74" t="s" s="0">
        <v>82</v>
      </c>
      <c r="BX74" t="s" s="0">
        <v>126</v>
      </c>
    </row>
    <row r="75">
      <c r="A75" t="s" s="0">
        <v>77</v>
      </c>
      <c r="B75" t="s" s="0">
        <v>77</v>
      </c>
      <c r="C75" t="s" s="0">
        <v>77</v>
      </c>
      <c r="D75" t="s" s="0">
        <v>77</v>
      </c>
      <c r="E75" t="s" s="0">
        <v>2185</v>
      </c>
      <c r="F75" t="s" s="0">
        <v>2186</v>
      </c>
      <c r="G75" t="s" s="0">
        <v>2187</v>
      </c>
      <c r="H75" t="s" s="0">
        <v>82</v>
      </c>
      <c r="I75" t="s" s="0">
        <v>83</v>
      </c>
      <c r="J75" t="s" s="0">
        <v>2188</v>
      </c>
      <c r="K75" t="s" s="0">
        <v>2189</v>
      </c>
      <c r="L75" t="s" s="0">
        <v>82</v>
      </c>
      <c r="M75" t="s" s="0">
        <v>82</v>
      </c>
      <c r="N75" t="s" s="0">
        <v>2190</v>
      </c>
      <c r="O75" t="s" s="0">
        <v>2191</v>
      </c>
      <c r="P75" t="s" s="0">
        <v>2192</v>
      </c>
      <c r="Q75" t="s" s="0">
        <v>91</v>
      </c>
      <c r="R75" t="s" s="0">
        <v>82</v>
      </c>
      <c r="S75" t="s" s="0">
        <v>82</v>
      </c>
      <c r="T75" t="s" s="0">
        <v>82</v>
      </c>
      <c r="U75" t="s" s="0">
        <v>82</v>
      </c>
      <c r="V75" t="s" s="0">
        <v>2193</v>
      </c>
      <c r="W75" t="s" s="0">
        <v>2194</v>
      </c>
      <c r="X75" t="s" s="0">
        <v>82</v>
      </c>
      <c r="Y75" t="s" s="0">
        <v>82</v>
      </c>
      <c r="Z75" t="s" s="0">
        <v>94</v>
      </c>
      <c r="AA75" t="s" s="0">
        <v>95</v>
      </c>
      <c r="AB75" t="s" s="0">
        <v>82</v>
      </c>
      <c r="AC75" t="s" s="0">
        <v>82</v>
      </c>
      <c r="AD75" t="s" s="0">
        <v>82</v>
      </c>
      <c r="AE75" t="s" s="0">
        <v>82</v>
      </c>
      <c r="AF75" t="s" s="0">
        <v>82</v>
      </c>
      <c r="AG75" t="s" s="0">
        <v>2195</v>
      </c>
      <c r="AH75" t="s" s="0">
        <v>2196</v>
      </c>
      <c r="AI75" t="s" s="0">
        <v>2197</v>
      </c>
      <c r="AJ75" t="s" s="0">
        <v>82</v>
      </c>
      <c r="AK75" t="s" s="0">
        <v>82</v>
      </c>
      <c r="AL75" t="s" s="0">
        <v>2198</v>
      </c>
      <c r="AM75" t="s" s="0">
        <v>77</v>
      </c>
      <c r="AN75" t="s" s="0">
        <v>77</v>
      </c>
      <c r="AO75" t="s" s="0">
        <v>77</v>
      </c>
      <c r="AP75" t="s" s="0">
        <v>77</v>
      </c>
      <c r="AQ75" t="s" s="0">
        <v>495</v>
      </c>
      <c r="AR75" t="s" s="0">
        <v>496</v>
      </c>
      <c r="AS75" t="s" s="0">
        <v>497</v>
      </c>
      <c r="AT75" t="s" s="0">
        <v>82</v>
      </c>
      <c r="AU75" t="s" s="0">
        <v>2199</v>
      </c>
      <c r="AV75" t="s" s="0">
        <v>82</v>
      </c>
      <c r="AW75" t="s" s="0">
        <v>2194</v>
      </c>
      <c r="AX75" t="s" s="0">
        <v>2200</v>
      </c>
      <c r="AY75" t="s" s="0">
        <v>2201</v>
      </c>
      <c r="AZ75" t="s" s="0">
        <v>150</v>
      </c>
      <c r="BA75" t="s" s="0">
        <v>431</v>
      </c>
      <c r="BB75" t="s" s="0">
        <v>231</v>
      </c>
      <c r="BC75" t="s" s="0">
        <v>82</v>
      </c>
      <c r="BD75" t="s" s="0">
        <v>82</v>
      </c>
      <c r="BE75" t="s" s="0">
        <v>82</v>
      </c>
      <c r="BF75" t="s" s="0">
        <v>82</v>
      </c>
      <c r="BG75" t="s" s="0">
        <v>82</v>
      </c>
      <c r="BH75" t="s" s="0">
        <v>82</v>
      </c>
      <c r="BI75" t="s" s="0">
        <v>2202</v>
      </c>
      <c r="BJ75" t="s" s="0">
        <v>2203</v>
      </c>
      <c r="BK75" t="s" s="147">
        <f>HYPERLINK("http://dx.doi.org/10.3390/diagnostics16142266","http://dx.doi.org/10.3390/diagnostics16142266")</f>
        <v>2204</v>
      </c>
      <c r="BL75" t="s" s="0">
        <v>82</v>
      </c>
      <c r="BM75" t="s" s="0">
        <v>82</v>
      </c>
      <c r="BN75" t="s" s="0">
        <v>227</v>
      </c>
      <c r="BO75" t="s" s="0">
        <v>584</v>
      </c>
      <c r="BP75" t="s" s="0">
        <v>585</v>
      </c>
      <c r="BQ75" t="s" s="0">
        <v>2205</v>
      </c>
      <c r="BR75" t="s" s="0">
        <v>2206</v>
      </c>
      <c r="BS75" t="s" s="0">
        <v>2207</v>
      </c>
      <c r="BT75" t="s" s="148">
        <f>HYPERLINK("https://www.webofscience.com/wos/woscc/full-record/WOS:001833299600001","View Record in Web of Science")</f>
        <v>124</v>
      </c>
      <c r="BU75" t="s" s="0">
        <v>236</v>
      </c>
      <c r="BV75" t="s" s="0">
        <v>82</v>
      </c>
      <c r="BW75" t="s" s="0">
        <v>82</v>
      </c>
      <c r="BX75" t="s" s="0">
        <v>126</v>
      </c>
    </row>
    <row r="76">
      <c r="A76" t="s" s="0">
        <v>77</v>
      </c>
      <c r="B76" t="s" s="0">
        <v>77</v>
      </c>
      <c r="C76" t="s" s="0">
        <v>77</v>
      </c>
      <c r="D76" t="s" s="0">
        <v>77</v>
      </c>
      <c r="E76" t="s" s="0">
        <v>2208</v>
      </c>
      <c r="F76" t="s" s="0">
        <v>2209</v>
      </c>
      <c r="G76" t="s" s="0">
        <v>2210</v>
      </c>
      <c r="H76" t="s" s="0">
        <v>82</v>
      </c>
      <c r="I76" t="s" s="0">
        <v>83</v>
      </c>
      <c r="J76" t="s" s="0">
        <v>2211</v>
      </c>
      <c r="K76" t="s" s="0">
        <v>2212</v>
      </c>
      <c r="L76" t="s" s="0">
        <v>2213</v>
      </c>
      <c r="M76" t="s" s="0">
        <v>2213</v>
      </c>
      <c r="N76" t="s" s="0">
        <v>2214</v>
      </c>
      <c r="O76" t="s" s="0">
        <v>2215</v>
      </c>
      <c r="P76" t="s" s="0">
        <v>2216</v>
      </c>
      <c r="Q76" t="s" s="0">
        <v>91</v>
      </c>
      <c r="R76" t="s" s="0">
        <v>82</v>
      </c>
      <c r="S76" t="s" s="0">
        <v>82</v>
      </c>
      <c r="T76" t="s" s="0">
        <v>82</v>
      </c>
      <c r="U76" t="s" s="0">
        <v>82</v>
      </c>
      <c r="V76" t="s" s="0">
        <v>2217</v>
      </c>
      <c r="W76" t="s" s="0">
        <v>2218</v>
      </c>
      <c r="X76" t="s" s="0">
        <v>82</v>
      </c>
      <c r="Y76" t="s" s="0">
        <v>82</v>
      </c>
      <c r="Z76" t="s" s="0">
        <v>94</v>
      </c>
      <c r="AA76" t="s" s="0">
        <v>95</v>
      </c>
      <c r="AB76" t="s" s="0">
        <v>82</v>
      </c>
      <c r="AC76" t="s" s="0">
        <v>82</v>
      </c>
      <c r="AD76" t="s" s="0">
        <v>82</v>
      </c>
      <c r="AE76" t="s" s="0">
        <v>82</v>
      </c>
      <c r="AF76" t="s" s="0">
        <v>82</v>
      </c>
      <c r="AG76" t="s" s="0">
        <v>2219</v>
      </c>
      <c r="AH76" t="s" s="0">
        <v>82</v>
      </c>
      <c r="AI76" t="s" s="0">
        <v>2220</v>
      </c>
      <c r="AJ76" t="s" s="0">
        <v>2221</v>
      </c>
      <c r="AK76" t="s" s="0">
        <v>82</v>
      </c>
      <c r="AL76" t="s" s="0">
        <v>218</v>
      </c>
      <c r="AM76" t="s" s="0">
        <v>77</v>
      </c>
      <c r="AN76" t="s" s="0">
        <v>77</v>
      </c>
      <c r="AO76" t="s" s="0">
        <v>268</v>
      </c>
      <c r="AP76" t="s" s="0">
        <v>268</v>
      </c>
      <c r="AQ76" t="s" s="0">
        <v>495</v>
      </c>
      <c r="AR76" t="s" s="0">
        <v>496</v>
      </c>
      <c r="AS76" t="s" s="0">
        <v>497</v>
      </c>
      <c r="AT76" t="s" s="0">
        <v>82</v>
      </c>
      <c r="AU76" t="s" s="0">
        <v>2222</v>
      </c>
      <c r="AV76" t="s" s="0">
        <v>82</v>
      </c>
      <c r="AW76" t="s" s="0">
        <v>2223</v>
      </c>
      <c r="AX76" t="s" s="0">
        <v>2224</v>
      </c>
      <c r="AY76" t="s" s="0">
        <v>2225</v>
      </c>
      <c r="AZ76" t="s" s="0">
        <v>150</v>
      </c>
      <c r="BA76" t="s" s="0">
        <v>300</v>
      </c>
      <c r="BB76" t="s" s="0">
        <v>372</v>
      </c>
      <c r="BC76" t="s" s="0">
        <v>82</v>
      </c>
      <c r="BD76" t="s" s="0">
        <v>82</v>
      </c>
      <c r="BE76" t="s" s="0">
        <v>82</v>
      </c>
      <c r="BF76" t="s" s="0">
        <v>82</v>
      </c>
      <c r="BG76" t="s" s="0">
        <v>82</v>
      </c>
      <c r="BH76" t="s" s="0">
        <v>82</v>
      </c>
      <c r="BI76" t="s" s="0">
        <v>700</v>
      </c>
      <c r="BJ76" t="s" s="0">
        <v>2226</v>
      </c>
      <c r="BK76" t="s" s="149">
        <f>HYPERLINK("http://dx.doi.org/10.3390/jcdd13030119","http://dx.doi.org/10.3390/jcdd13030119")</f>
        <v>2227</v>
      </c>
      <c r="BL76" t="s" s="0">
        <v>82</v>
      </c>
      <c r="BM76" t="s" s="0">
        <v>82</v>
      </c>
      <c r="BN76" t="s" s="0">
        <v>103</v>
      </c>
      <c r="BO76" t="s" s="0">
        <v>771</v>
      </c>
      <c r="BP76" t="s" s="0">
        <v>772</v>
      </c>
      <c r="BQ76" t="s" s="0">
        <v>2228</v>
      </c>
      <c r="BR76" t="s" s="0">
        <v>2229</v>
      </c>
      <c r="BS76" t="s" s="0">
        <v>2230</v>
      </c>
      <c r="BT76" t="s" s="150">
        <f>HYPERLINK("https://www.webofscience.com/wos/woscc/full-record/WOS:001725700600001","View Record in Web of Science")</f>
        <v>124</v>
      </c>
      <c r="BU76" t="s" s="0">
        <v>236</v>
      </c>
      <c r="BV76" t="s" s="0">
        <v>82</v>
      </c>
      <c r="BW76" t="s" s="0">
        <v>82</v>
      </c>
      <c r="BX76" t="s" s="0">
        <v>126</v>
      </c>
    </row>
    <row r="77">
      <c r="A77" t="s" s="0">
        <v>101</v>
      </c>
      <c r="B77" t="s" s="0">
        <v>77</v>
      </c>
      <c r="C77" t="s" s="0">
        <v>268</v>
      </c>
      <c r="D77" t="s" s="0">
        <v>77</v>
      </c>
      <c r="E77" t="s" s="0">
        <v>2231</v>
      </c>
      <c r="F77" t="s" s="0">
        <v>2232</v>
      </c>
      <c r="G77" t="s" s="0">
        <v>2233</v>
      </c>
      <c r="H77" t="s" s="0">
        <v>82</v>
      </c>
      <c r="I77" t="s" s="0">
        <v>83</v>
      </c>
      <c r="J77" t="s" s="0">
        <v>2234</v>
      </c>
      <c r="K77" t="s" s="0">
        <v>2235</v>
      </c>
      <c r="L77" t="s" s="0">
        <v>2236</v>
      </c>
      <c r="M77" t="s" s="0">
        <v>2237</v>
      </c>
      <c r="N77" t="s" s="0">
        <v>2238</v>
      </c>
      <c r="O77" t="s" s="0">
        <v>2239</v>
      </c>
      <c r="P77" t="s" s="0">
        <v>2240</v>
      </c>
      <c r="Q77" t="s" s="0">
        <v>91</v>
      </c>
      <c r="R77" t="s" s="0">
        <v>82</v>
      </c>
      <c r="S77" t="s" s="0">
        <v>82</v>
      </c>
      <c r="T77" t="s" s="0">
        <v>82</v>
      </c>
      <c r="U77" t="s" s="0">
        <v>82</v>
      </c>
      <c r="V77" t="s" s="0">
        <v>2241</v>
      </c>
      <c r="W77" t="s" s="0">
        <v>2242</v>
      </c>
      <c r="X77" t="s" s="0">
        <v>82</v>
      </c>
      <c r="Y77" t="s" s="0">
        <v>82</v>
      </c>
      <c r="Z77" t="s" s="0">
        <v>94</v>
      </c>
      <c r="AA77" t="s" s="0">
        <v>95</v>
      </c>
      <c r="AB77" t="s" s="0">
        <v>82</v>
      </c>
      <c r="AC77" t="s" s="0">
        <v>82</v>
      </c>
      <c r="AD77" t="s" s="0">
        <v>82</v>
      </c>
      <c r="AE77" t="s" s="0">
        <v>82</v>
      </c>
      <c r="AF77" t="s" s="0">
        <v>82</v>
      </c>
      <c r="AG77" t="s" s="0">
        <v>2243</v>
      </c>
      <c r="AH77" t="s" s="0">
        <v>2244</v>
      </c>
      <c r="AI77" t="s" s="0">
        <v>2245</v>
      </c>
      <c r="AJ77" t="s" s="0">
        <v>2246</v>
      </c>
      <c r="AK77" t="s" s="0">
        <v>82</v>
      </c>
      <c r="AL77" t="s" s="0">
        <v>812</v>
      </c>
      <c r="AM77" t="s" s="0">
        <v>1692</v>
      </c>
      <c r="AN77" t="s" s="0">
        <v>1099</v>
      </c>
      <c r="AO77" t="s" s="0">
        <v>78</v>
      </c>
      <c r="AP77" t="s" s="0">
        <v>1035</v>
      </c>
      <c r="AQ77" t="s" s="0">
        <v>670</v>
      </c>
      <c r="AR77" t="s" s="0">
        <v>255</v>
      </c>
      <c r="AS77" t="s" s="0">
        <v>671</v>
      </c>
      <c r="AT77" t="s" s="0">
        <v>2247</v>
      </c>
      <c r="AU77" t="s" s="0">
        <v>2248</v>
      </c>
      <c r="AV77" t="s" s="0">
        <v>82</v>
      </c>
      <c r="AW77" t="s" s="0">
        <v>2249</v>
      </c>
      <c r="AX77" t="s" s="0">
        <v>2250</v>
      </c>
      <c r="AY77" t="s" s="0">
        <v>2251</v>
      </c>
      <c r="AZ77" t="s" s="0">
        <v>189</v>
      </c>
      <c r="BA77" t="s" s="0">
        <v>770</v>
      </c>
      <c r="BB77" t="s" s="0">
        <v>191</v>
      </c>
      <c r="BC77" t="s" s="0">
        <v>82</v>
      </c>
      <c r="BD77" t="s" s="0">
        <v>82</v>
      </c>
      <c r="BE77" t="s" s="0">
        <v>82</v>
      </c>
      <c r="BF77" t="s" s="0">
        <v>82</v>
      </c>
      <c r="BG77" t="s" s="0">
        <v>2252</v>
      </c>
      <c r="BH77" t="s" s="0">
        <v>2253</v>
      </c>
      <c r="BI77" t="s" s="0">
        <v>82</v>
      </c>
      <c r="BJ77" t="s" s="0">
        <v>2254</v>
      </c>
      <c r="BK77" t="s" s="151">
        <f>HYPERLINK("http://dx.doi.org/10.1007/s00586-021-07064-z","http://dx.doi.org/10.1007/s00586-021-07064-z")</f>
        <v>2255</v>
      </c>
      <c r="BL77" t="s" s="0">
        <v>82</v>
      </c>
      <c r="BM77" t="s" s="0">
        <v>1074</v>
      </c>
      <c r="BN77" t="s" s="0">
        <v>231</v>
      </c>
      <c r="BO77" t="s" s="0">
        <v>2256</v>
      </c>
      <c r="BP77" t="s" s="0">
        <v>2257</v>
      </c>
      <c r="BQ77" t="s" s="0">
        <v>2258</v>
      </c>
      <c r="BR77" t="s" s="0">
        <v>2259</v>
      </c>
      <c r="BS77" t="s" s="0">
        <v>2260</v>
      </c>
      <c r="BT77" t="s" s="152">
        <f>HYPERLINK("https://www.webofscience.com/wos/woscc/full-record/WOS:000722477200001","View Record in Web of Science")</f>
        <v>124</v>
      </c>
      <c r="BU77" t="s" s="0">
        <v>413</v>
      </c>
      <c r="BV77" t="s" s="0">
        <v>82</v>
      </c>
      <c r="BW77" t="s" s="0">
        <v>82</v>
      </c>
      <c r="BX77" t="s" s="0">
        <v>126</v>
      </c>
    </row>
    <row r="78">
      <c r="A78" t="s" s="0">
        <v>77</v>
      </c>
      <c r="B78" t="s" s="0">
        <v>77</v>
      </c>
      <c r="C78" t="s" s="0">
        <v>77</v>
      </c>
      <c r="D78" t="s" s="0">
        <v>77</v>
      </c>
      <c r="E78" t="s" s="0">
        <v>2261</v>
      </c>
      <c r="F78" t="s" s="0">
        <v>2262</v>
      </c>
      <c r="G78" t="s" s="0">
        <v>2263</v>
      </c>
      <c r="H78" t="s" s="0">
        <v>82</v>
      </c>
      <c r="I78" t="s" s="0">
        <v>83</v>
      </c>
      <c r="J78" t="s" s="0">
        <v>2264</v>
      </c>
      <c r="K78" t="s" s="0">
        <v>2265</v>
      </c>
      <c r="L78" t="s" s="0">
        <v>82</v>
      </c>
      <c r="M78" t="s" s="0">
        <v>82</v>
      </c>
      <c r="N78" t="s" s="0">
        <v>82</v>
      </c>
      <c r="O78" t="s" s="0">
        <v>2266</v>
      </c>
      <c r="P78" t="s" s="0">
        <v>2267</v>
      </c>
      <c r="Q78" t="s" s="0">
        <v>91</v>
      </c>
      <c r="R78" t="s" s="0">
        <v>82</v>
      </c>
      <c r="S78" t="s" s="0">
        <v>82</v>
      </c>
      <c r="T78" t="s" s="0">
        <v>82</v>
      </c>
      <c r="U78" t="s" s="0">
        <v>82</v>
      </c>
      <c r="V78" t="s" s="0">
        <v>2268</v>
      </c>
      <c r="W78" t="s" s="0">
        <v>2269</v>
      </c>
      <c r="X78" t="s" s="0">
        <v>82</v>
      </c>
      <c r="Y78" t="s" s="0">
        <v>82</v>
      </c>
      <c r="Z78" t="s" s="0">
        <v>94</v>
      </c>
      <c r="AA78" t="s" s="0">
        <v>95</v>
      </c>
      <c r="AB78" t="s" s="0">
        <v>82</v>
      </c>
      <c r="AC78" t="s" s="0">
        <v>82</v>
      </c>
      <c r="AD78" t="s" s="0">
        <v>82</v>
      </c>
      <c r="AE78" t="s" s="0">
        <v>82</v>
      </c>
      <c r="AF78" t="s" s="0">
        <v>82</v>
      </c>
      <c r="AG78" t="s" s="0">
        <v>2270</v>
      </c>
      <c r="AH78" t="s" s="0">
        <v>2271</v>
      </c>
      <c r="AI78" t="s" s="0">
        <v>2272</v>
      </c>
      <c r="AJ78" t="s" s="0">
        <v>82</v>
      </c>
      <c r="AK78" t="s" s="0">
        <v>82</v>
      </c>
      <c r="AL78" t="s" s="0">
        <v>2273</v>
      </c>
      <c r="AM78" t="s" s="0">
        <v>77</v>
      </c>
      <c r="AN78" t="s" s="0">
        <v>77</v>
      </c>
      <c r="AO78" t="s" s="0">
        <v>77</v>
      </c>
      <c r="AP78" t="s" s="0">
        <v>77</v>
      </c>
      <c r="AQ78" t="s" s="0">
        <v>2274</v>
      </c>
      <c r="AR78" t="s" s="0">
        <v>255</v>
      </c>
      <c r="AS78" t="s" s="0">
        <v>2275</v>
      </c>
      <c r="AT78" t="s" s="0">
        <v>2276</v>
      </c>
      <c r="AU78" t="s" s="0">
        <v>2277</v>
      </c>
      <c r="AV78" t="s" s="0">
        <v>82</v>
      </c>
      <c r="AW78" t="s" s="0">
        <v>2278</v>
      </c>
      <c r="AX78" t="s" s="0">
        <v>2279</v>
      </c>
      <c r="AY78" t="s" s="0">
        <v>149</v>
      </c>
      <c r="AZ78" t="s" s="0">
        <v>150</v>
      </c>
      <c r="BA78" t="s" s="0">
        <v>1720</v>
      </c>
      <c r="BB78" t="s" s="0">
        <v>524</v>
      </c>
      <c r="BC78" t="s" s="0">
        <v>82</v>
      </c>
      <c r="BD78" t="s" s="0">
        <v>82</v>
      </c>
      <c r="BE78" t="s" s="0">
        <v>82</v>
      </c>
      <c r="BF78" t="s" s="0">
        <v>82</v>
      </c>
      <c r="BG78" t="s" s="0">
        <v>82</v>
      </c>
      <c r="BH78" t="s" s="0">
        <v>82</v>
      </c>
      <c r="BI78" t="s" s="0">
        <v>2280</v>
      </c>
      <c r="BJ78" t="s" s="0">
        <v>2281</v>
      </c>
      <c r="BK78" t="s" s="153">
        <f>HYPERLINK("http://dx.doi.org/10.1016/j.cpcardiol.2026.103399","http://dx.doi.org/10.1016/j.cpcardiol.2026.103399")</f>
        <v>2282</v>
      </c>
      <c r="BL78" t="s" s="0">
        <v>82</v>
      </c>
      <c r="BM78" t="s" s="0">
        <v>82</v>
      </c>
      <c r="BN78" t="s" s="0">
        <v>300</v>
      </c>
      <c r="BO78" t="s" s="0">
        <v>771</v>
      </c>
      <c r="BP78" t="s" s="0">
        <v>772</v>
      </c>
      <c r="BQ78" t="s" s="0">
        <v>2283</v>
      </c>
      <c r="BR78" t="s" s="0">
        <v>2284</v>
      </c>
      <c r="BS78" t="s" s="0">
        <v>2285</v>
      </c>
      <c r="BT78" t="s" s="154">
        <f>HYPERLINK("https://www.webofscience.com/wos/woscc/full-record/WOS:001835274100001","View Record in Web of Science")</f>
        <v>124</v>
      </c>
      <c r="BU78" t="s" s="0">
        <v>82</v>
      </c>
      <c r="BV78" t="s" s="0">
        <v>82</v>
      </c>
      <c r="BW78" t="s" s="0">
        <v>82</v>
      </c>
      <c r="BX78" t="s" s="0">
        <v>126</v>
      </c>
    </row>
    <row r="79">
      <c r="A79" t="s" s="0">
        <v>78</v>
      </c>
      <c r="B79" t="s" s="0">
        <v>77</v>
      </c>
      <c r="C79" t="s" s="0">
        <v>300</v>
      </c>
      <c r="D79" t="s" s="0">
        <v>77</v>
      </c>
      <c r="E79" t="s" s="0">
        <v>2286</v>
      </c>
      <c r="F79" t="s" s="0">
        <v>2287</v>
      </c>
      <c r="G79" t="s" s="0">
        <v>2288</v>
      </c>
      <c r="H79" t="s" s="0">
        <v>82</v>
      </c>
      <c r="I79" t="s" s="0">
        <v>83</v>
      </c>
      <c r="J79" t="s" s="0">
        <v>2289</v>
      </c>
      <c r="K79" t="s" s="0">
        <v>2290</v>
      </c>
      <c r="L79" t="s" s="0">
        <v>82</v>
      </c>
      <c r="M79" t="s" s="0">
        <v>82</v>
      </c>
      <c r="N79" t="s" s="0">
        <v>82</v>
      </c>
      <c r="O79" t="s" s="0">
        <v>2291</v>
      </c>
      <c r="P79" t="s" s="0">
        <v>2292</v>
      </c>
      <c r="Q79" t="s" s="0">
        <v>91</v>
      </c>
      <c r="R79" t="s" s="0">
        <v>82</v>
      </c>
      <c r="S79" t="s" s="0">
        <v>82</v>
      </c>
      <c r="T79" t="s" s="0">
        <v>82</v>
      </c>
      <c r="U79" t="s" s="0">
        <v>82</v>
      </c>
      <c r="V79" t="s" s="0">
        <v>2293</v>
      </c>
      <c r="W79" t="s" s="0">
        <v>2294</v>
      </c>
      <c r="X79" t="s" s="0">
        <v>82</v>
      </c>
      <c r="Y79" t="s" s="0">
        <v>82</v>
      </c>
      <c r="Z79" t="s" s="0">
        <v>94</v>
      </c>
      <c r="AA79" t="s" s="0">
        <v>95</v>
      </c>
      <c r="AB79" t="s" s="0">
        <v>82</v>
      </c>
      <c r="AC79" t="s" s="0">
        <v>82</v>
      </c>
      <c r="AD79" t="s" s="0">
        <v>82</v>
      </c>
      <c r="AE79" t="s" s="0">
        <v>82</v>
      </c>
      <c r="AF79" t="s" s="0">
        <v>82</v>
      </c>
      <c r="AG79" t="s" s="0">
        <v>82</v>
      </c>
      <c r="AH79" t="s" s="0">
        <v>2295</v>
      </c>
      <c r="AI79" t="s" s="0">
        <v>2296</v>
      </c>
      <c r="AJ79" t="s" s="0">
        <v>2297</v>
      </c>
      <c r="AK79" t="s" s="0">
        <v>82</v>
      </c>
      <c r="AL79" t="s" s="0">
        <v>1406</v>
      </c>
      <c r="AM79" t="s" s="0">
        <v>633</v>
      </c>
      <c r="AN79" t="s" s="0">
        <v>190</v>
      </c>
      <c r="AO79" t="s" s="0">
        <v>103</v>
      </c>
      <c r="AP79" t="s" s="0">
        <v>231</v>
      </c>
      <c r="AQ79" t="s" s="0">
        <v>1068</v>
      </c>
      <c r="AR79" t="s" s="0">
        <v>1069</v>
      </c>
      <c r="AS79" t="s" s="0">
        <v>1070</v>
      </c>
      <c r="AT79" t="s" s="0">
        <v>2298</v>
      </c>
      <c r="AU79" t="s" s="0">
        <v>2299</v>
      </c>
      <c r="AV79" t="s" s="0">
        <v>82</v>
      </c>
      <c r="AW79" t="s" s="0">
        <v>2300</v>
      </c>
      <c r="AX79" t="s" s="0">
        <v>2301</v>
      </c>
      <c r="AY79" t="s" s="0">
        <v>2302</v>
      </c>
      <c r="AZ79" t="s" s="0">
        <v>842</v>
      </c>
      <c r="BA79" t="s" s="0">
        <v>2303</v>
      </c>
      <c r="BB79" t="s" s="0">
        <v>78</v>
      </c>
      <c r="BC79" t="s" s="0">
        <v>82</v>
      </c>
      <c r="BD79" t="s" s="0">
        <v>82</v>
      </c>
      <c r="BE79" t="s" s="0">
        <v>82</v>
      </c>
      <c r="BF79" t="s" s="0">
        <v>82</v>
      </c>
      <c r="BG79" t="s" s="0">
        <v>328</v>
      </c>
      <c r="BH79" t="s" s="0">
        <v>2304</v>
      </c>
      <c r="BI79" t="s" s="0">
        <v>82</v>
      </c>
      <c r="BJ79" t="s" s="0">
        <v>2305</v>
      </c>
      <c r="BK79" t="s" s="155">
        <f>HYPERLINK("http://dx.doi.org/10.14309/ajg.0000000000002022","http://dx.doi.org/10.14309/ajg.0000000000002022")</f>
        <v>2306</v>
      </c>
      <c r="BL79" t="s" s="0">
        <v>82</v>
      </c>
      <c r="BM79" t="s" s="0">
        <v>82</v>
      </c>
      <c r="BN79" t="s" s="0">
        <v>634</v>
      </c>
      <c r="BO79" t="s" s="0">
        <v>1046</v>
      </c>
      <c r="BP79" t="s" s="0">
        <v>1046</v>
      </c>
      <c r="BQ79" t="s" s="0">
        <v>2307</v>
      </c>
      <c r="BR79" t="s" s="0">
        <v>2308</v>
      </c>
      <c r="BS79" t="s" s="0">
        <v>2309</v>
      </c>
      <c r="BT79" t="s" s="156">
        <f>HYPERLINK("https://www.webofscience.com/wos/woscc/full-record/WOS:000917940200014","View Record in Web of Science")</f>
        <v>124</v>
      </c>
      <c r="BU79" t="s" s="0">
        <v>125</v>
      </c>
      <c r="BV79" t="s" s="0">
        <v>82</v>
      </c>
      <c r="BW79" t="s" s="0">
        <v>82</v>
      </c>
      <c r="BX79" t="s" s="0">
        <v>126</v>
      </c>
    </row>
    <row r="80">
      <c r="A80" t="s" s="0">
        <v>78</v>
      </c>
      <c r="B80" t="s" s="0">
        <v>77</v>
      </c>
      <c r="C80" t="s" s="0">
        <v>179</v>
      </c>
      <c r="D80" t="s" s="0">
        <v>78</v>
      </c>
      <c r="E80" t="s" s="0">
        <v>2310</v>
      </c>
      <c r="F80" t="s" s="0">
        <v>2311</v>
      </c>
      <c r="G80" t="s" s="0">
        <v>2312</v>
      </c>
      <c r="H80" t="s" s="0">
        <v>82</v>
      </c>
      <c r="I80" t="s" s="0">
        <v>83</v>
      </c>
      <c r="J80" t="s" s="0">
        <v>2313</v>
      </c>
      <c r="K80" t="s" s="0">
        <v>2314</v>
      </c>
      <c r="L80" t="s" s="0">
        <v>2315</v>
      </c>
      <c r="M80" t="s" s="0">
        <v>2316</v>
      </c>
      <c r="N80" t="s" s="0">
        <v>2317</v>
      </c>
      <c r="O80" t="s" s="0">
        <v>2318</v>
      </c>
      <c r="P80" t="s" s="0">
        <v>2319</v>
      </c>
      <c r="Q80" t="s" s="0">
        <v>91</v>
      </c>
      <c r="R80" t="s" s="0">
        <v>82</v>
      </c>
      <c r="S80" t="s" s="0">
        <v>82</v>
      </c>
      <c r="T80" t="s" s="0">
        <v>82</v>
      </c>
      <c r="U80" t="s" s="0">
        <v>82</v>
      </c>
      <c r="V80" t="s" s="0">
        <v>2320</v>
      </c>
      <c r="W80" t="s" s="0">
        <v>2321</v>
      </c>
      <c r="X80" t="s" s="0">
        <v>82</v>
      </c>
      <c r="Y80" t="s" s="0">
        <v>82</v>
      </c>
      <c r="Z80" t="s" s="0">
        <v>94</v>
      </c>
      <c r="AA80" t="s" s="0">
        <v>95</v>
      </c>
      <c r="AB80" t="s" s="0">
        <v>82</v>
      </c>
      <c r="AC80" t="s" s="0">
        <v>82</v>
      </c>
      <c r="AD80" t="s" s="0">
        <v>82</v>
      </c>
      <c r="AE80" t="s" s="0">
        <v>82</v>
      </c>
      <c r="AF80" t="s" s="0">
        <v>82</v>
      </c>
      <c r="AG80" t="s" s="0">
        <v>82</v>
      </c>
      <c r="AH80" t="s" s="0">
        <v>2322</v>
      </c>
      <c r="AI80" t="s" s="0">
        <v>82</v>
      </c>
      <c r="AJ80" t="s" s="0">
        <v>2323</v>
      </c>
      <c r="AK80" t="s" s="0">
        <v>82</v>
      </c>
      <c r="AL80" t="s" s="0">
        <v>732</v>
      </c>
      <c r="AM80" t="s" s="0">
        <v>546</v>
      </c>
      <c r="AN80" t="s" s="0">
        <v>439</v>
      </c>
      <c r="AO80" t="s" s="0">
        <v>77</v>
      </c>
      <c r="AP80" t="s" s="0">
        <v>151</v>
      </c>
      <c r="AQ80" t="s" s="0">
        <v>254</v>
      </c>
      <c r="AR80" t="s" s="0">
        <v>255</v>
      </c>
      <c r="AS80" t="s" s="0">
        <v>256</v>
      </c>
      <c r="AT80" t="s" s="0">
        <v>2324</v>
      </c>
      <c r="AU80" t="s" s="0">
        <v>2325</v>
      </c>
      <c r="AV80" t="s" s="0">
        <v>82</v>
      </c>
      <c r="AW80" t="s" s="0">
        <v>2326</v>
      </c>
      <c r="AX80" t="s" s="0">
        <v>2327</v>
      </c>
      <c r="AY80" t="s" s="0">
        <v>2328</v>
      </c>
      <c r="AZ80" t="s" s="0">
        <v>1102</v>
      </c>
      <c r="BA80" t="s" s="0">
        <v>1293</v>
      </c>
      <c r="BB80" t="s" s="0">
        <v>291</v>
      </c>
      <c r="BC80" t="s" s="0">
        <v>82</v>
      </c>
      <c r="BD80" t="s" s="0">
        <v>82</v>
      </c>
      <c r="BE80" t="s" s="0">
        <v>82</v>
      </c>
      <c r="BF80" t="s" s="0">
        <v>82</v>
      </c>
      <c r="BG80" t="s" s="0">
        <v>2329</v>
      </c>
      <c r="BH80" t="s" s="0">
        <v>2330</v>
      </c>
      <c r="BI80" t="s" s="0">
        <v>82</v>
      </c>
      <c r="BJ80" t="s" s="0">
        <v>2331</v>
      </c>
      <c r="BK80" t="s" s="157">
        <f>HYPERLINK("http://dx.doi.org/10.1016/j.cjca.2017.01.018","http://dx.doi.org/10.1016/j.cjca.2017.01.018")</f>
        <v>2332</v>
      </c>
      <c r="BL80" t="s" s="0">
        <v>82</v>
      </c>
      <c r="BM80" t="s" s="0">
        <v>82</v>
      </c>
      <c r="BN80" t="s" s="0">
        <v>300</v>
      </c>
      <c r="BO80" t="s" s="0">
        <v>771</v>
      </c>
      <c r="BP80" t="s" s="0">
        <v>772</v>
      </c>
      <c r="BQ80" t="s" s="0">
        <v>2333</v>
      </c>
      <c r="BR80" t="s" s="0">
        <v>2334</v>
      </c>
      <c r="BS80" t="s" s="0">
        <v>2335</v>
      </c>
      <c r="BT80" t="s" s="158">
        <f>HYPERLINK("https://www.webofscience.com/wos/woscc/full-record/WOS:000402461800008","View Record in Web of Science")</f>
        <v>124</v>
      </c>
      <c r="BU80" t="s" s="0">
        <v>82</v>
      </c>
      <c r="BV80" t="s" s="0">
        <v>82</v>
      </c>
      <c r="BW80" t="s" s="0">
        <v>82</v>
      </c>
      <c r="BX80" t="s" s="0">
        <v>126</v>
      </c>
    </row>
    <row r="81">
      <c r="A81" t="s" s="0">
        <v>77</v>
      </c>
      <c r="B81" t="s" s="0">
        <v>77</v>
      </c>
      <c r="C81" t="s" s="0">
        <v>77</v>
      </c>
      <c r="D81" t="s" s="0">
        <v>77</v>
      </c>
      <c r="E81" t="s" s="0">
        <v>2336</v>
      </c>
      <c r="F81" t="s" s="0">
        <v>2337</v>
      </c>
      <c r="G81" t="s" s="0">
        <v>2338</v>
      </c>
      <c r="H81" t="s" s="0">
        <v>82</v>
      </c>
      <c r="I81" t="s" s="0">
        <v>83</v>
      </c>
      <c r="J81" t="s" s="0">
        <v>2339</v>
      </c>
      <c r="K81" t="s" s="0">
        <v>2340</v>
      </c>
      <c r="L81" t="s" s="0">
        <v>2341</v>
      </c>
      <c r="M81" t="s" s="0">
        <v>2342</v>
      </c>
      <c r="N81" t="s" s="0">
        <v>2343</v>
      </c>
      <c r="O81" t="s" s="0">
        <v>2344</v>
      </c>
      <c r="P81" t="s" s="0">
        <v>2345</v>
      </c>
      <c r="Q81" t="s" s="0">
        <v>91</v>
      </c>
      <c r="R81" t="s" s="0">
        <v>82</v>
      </c>
      <c r="S81" t="s" s="0">
        <v>82</v>
      </c>
      <c r="T81" t="s" s="0">
        <v>82</v>
      </c>
      <c r="U81" t="s" s="0">
        <v>82</v>
      </c>
      <c r="V81" t="s" s="0">
        <v>2346</v>
      </c>
      <c r="W81" t="s" s="0">
        <v>808</v>
      </c>
      <c r="X81" t="s" s="0">
        <v>82</v>
      </c>
      <c r="Y81" t="s" s="0">
        <v>82</v>
      </c>
      <c r="Z81" t="s" s="0">
        <v>94</v>
      </c>
      <c r="AA81" t="s" s="0">
        <v>95</v>
      </c>
      <c r="AB81" t="s" s="0">
        <v>82</v>
      </c>
      <c r="AC81" t="s" s="0">
        <v>82</v>
      </c>
      <c r="AD81" t="s" s="0">
        <v>82</v>
      </c>
      <c r="AE81" t="s" s="0">
        <v>82</v>
      </c>
      <c r="AF81" t="s" s="0">
        <v>82</v>
      </c>
      <c r="AG81" t="s" s="0">
        <v>2347</v>
      </c>
      <c r="AH81" t="s" s="0">
        <v>2348</v>
      </c>
      <c r="AI81" t="s" s="0">
        <v>2349</v>
      </c>
      <c r="AJ81" t="s" s="0">
        <v>2350</v>
      </c>
      <c r="AK81" t="s" s="0">
        <v>82</v>
      </c>
      <c r="AL81" t="s" s="0">
        <v>669</v>
      </c>
      <c r="AM81" t="s" s="0">
        <v>78</v>
      </c>
      <c r="AN81" t="s" s="0">
        <v>78</v>
      </c>
      <c r="AO81" t="s" s="0">
        <v>103</v>
      </c>
      <c r="AP81" t="s" s="0">
        <v>152</v>
      </c>
      <c r="AQ81" t="s" s="0">
        <v>219</v>
      </c>
      <c r="AR81" t="s" s="0">
        <v>220</v>
      </c>
      <c r="AS81" t="s" s="0">
        <v>221</v>
      </c>
      <c r="AT81" t="s" s="0">
        <v>82</v>
      </c>
      <c r="AU81" t="s" s="0">
        <v>813</v>
      </c>
      <c r="AV81" t="s" s="0">
        <v>82</v>
      </c>
      <c r="AW81" t="s" s="0">
        <v>814</v>
      </c>
      <c r="AX81" t="s" s="0">
        <v>815</v>
      </c>
      <c r="AY81" t="s" s="0">
        <v>2351</v>
      </c>
      <c r="AZ81" t="s" s="0">
        <v>150</v>
      </c>
      <c r="BA81" t="s" s="0">
        <v>115</v>
      </c>
      <c r="BB81" t="s" s="0">
        <v>78</v>
      </c>
      <c r="BC81" t="s" s="0">
        <v>82</v>
      </c>
      <c r="BD81" t="s" s="0">
        <v>82</v>
      </c>
      <c r="BE81" t="s" s="0">
        <v>82</v>
      </c>
      <c r="BF81" t="s" s="0">
        <v>82</v>
      </c>
      <c r="BG81" t="s" s="0">
        <v>82</v>
      </c>
      <c r="BH81" t="s" s="0">
        <v>82</v>
      </c>
      <c r="BI81" t="s" s="0">
        <v>1099</v>
      </c>
      <c r="BJ81" t="s" s="0">
        <v>2352</v>
      </c>
      <c r="BK81" t="s" s="159">
        <f>HYPERLINK("http://dx.doi.org/10.1186/s12891-025-09389-y","http://dx.doi.org/10.1186/s12891-025-09389-y")</f>
        <v>2353</v>
      </c>
      <c r="BL81" t="s" s="0">
        <v>82</v>
      </c>
      <c r="BM81" t="s" s="0">
        <v>82</v>
      </c>
      <c r="BN81" t="s" s="0">
        <v>431</v>
      </c>
      <c r="BO81" t="s" s="0">
        <v>820</v>
      </c>
      <c r="BP81" t="s" s="0">
        <v>820</v>
      </c>
      <c r="BQ81" t="s" s="0">
        <v>2354</v>
      </c>
      <c r="BR81" t="s" s="0">
        <v>2355</v>
      </c>
      <c r="BS81" t="s" s="0">
        <v>2356</v>
      </c>
      <c r="BT81" t="s" s="160">
        <f>HYPERLINK("https://www.webofscience.com/wos/woscc/full-record/WOS:001674363500001","View Record in Web of Science")</f>
        <v>124</v>
      </c>
      <c r="BU81" t="s" s="0">
        <v>236</v>
      </c>
      <c r="BV81" t="s" s="0">
        <v>82</v>
      </c>
      <c r="BW81" t="s" s="0">
        <v>82</v>
      </c>
      <c r="BX81" t="s" s="0">
        <v>126</v>
      </c>
    </row>
    <row r="82">
      <c r="A82" t="s" s="0">
        <v>77</v>
      </c>
      <c r="B82" t="s" s="0">
        <v>77</v>
      </c>
      <c r="C82" t="s" s="0">
        <v>103</v>
      </c>
      <c r="D82" t="s" s="0">
        <v>77</v>
      </c>
      <c r="E82" t="s" s="0">
        <v>2357</v>
      </c>
      <c r="F82" t="s" s="0">
        <v>2358</v>
      </c>
      <c r="G82" t="s" s="0">
        <v>2359</v>
      </c>
      <c r="H82" t="s" s="0">
        <v>82</v>
      </c>
      <c r="I82" t="s" s="0">
        <v>130</v>
      </c>
      <c r="J82" t="s" s="0">
        <v>2360</v>
      </c>
      <c r="K82" t="s" s="0">
        <v>2361</v>
      </c>
      <c r="L82" t="s" s="0">
        <v>82</v>
      </c>
      <c r="M82" t="s" s="0">
        <v>82</v>
      </c>
      <c r="N82" t="s" s="0">
        <v>82</v>
      </c>
      <c r="O82" t="s" s="0">
        <v>2362</v>
      </c>
      <c r="P82" t="s" s="0">
        <v>2363</v>
      </c>
      <c r="Q82" t="s" s="0">
        <v>91</v>
      </c>
      <c r="R82" t="s" s="0">
        <v>82</v>
      </c>
      <c r="S82" t="s" s="0">
        <v>82</v>
      </c>
      <c r="T82" t="s" s="0">
        <v>82</v>
      </c>
      <c r="U82" t="s" s="0">
        <v>82</v>
      </c>
      <c r="V82" t="s" s="0">
        <v>2364</v>
      </c>
      <c r="W82" t="s" s="0">
        <v>2365</v>
      </c>
      <c r="X82" t="s" s="0">
        <v>82</v>
      </c>
      <c r="Y82" t="s" s="0">
        <v>82</v>
      </c>
      <c r="Z82" t="s" s="0">
        <v>94</v>
      </c>
      <c r="AA82" t="s" s="0">
        <v>95</v>
      </c>
      <c r="AB82" t="s" s="0">
        <v>82</v>
      </c>
      <c r="AC82" t="s" s="0">
        <v>82</v>
      </c>
      <c r="AD82" t="s" s="0">
        <v>82</v>
      </c>
      <c r="AE82" t="s" s="0">
        <v>82</v>
      </c>
      <c r="AF82" t="s" s="0">
        <v>82</v>
      </c>
      <c r="AG82" t="s" s="0">
        <v>82</v>
      </c>
      <c r="AH82" t="s" s="0">
        <v>2366</v>
      </c>
      <c r="AI82" t="s" s="0">
        <v>2367</v>
      </c>
      <c r="AJ82" t="s" s="0">
        <v>2368</v>
      </c>
      <c r="AK82" t="s" s="0">
        <v>82</v>
      </c>
      <c r="AL82" t="s" s="0">
        <v>1236</v>
      </c>
      <c r="AM82" t="s" s="0">
        <v>158</v>
      </c>
      <c r="AN82" t="s" s="0">
        <v>253</v>
      </c>
      <c r="AO82" t="s" s="0">
        <v>103</v>
      </c>
      <c r="AP82" t="s" s="0">
        <v>291</v>
      </c>
      <c r="AQ82" t="s" s="0">
        <v>952</v>
      </c>
      <c r="AR82" t="s" s="0">
        <v>953</v>
      </c>
      <c r="AS82" t="s" s="0">
        <v>954</v>
      </c>
      <c r="AT82" t="s" s="0">
        <v>82</v>
      </c>
      <c r="AU82" t="s" s="0">
        <v>2369</v>
      </c>
      <c r="AV82" t="s" s="0">
        <v>82</v>
      </c>
      <c r="AW82" t="s" s="0">
        <v>2370</v>
      </c>
      <c r="AX82" t="s" s="0">
        <v>2371</v>
      </c>
      <c r="AY82" t="s" s="0">
        <v>957</v>
      </c>
      <c r="AZ82" t="s" s="0">
        <v>112</v>
      </c>
      <c r="BA82" t="s" s="0">
        <v>372</v>
      </c>
      <c r="BB82" t="s" s="0">
        <v>372</v>
      </c>
      <c r="BC82" t="s" s="0">
        <v>82</v>
      </c>
      <c r="BD82" t="s" s="0">
        <v>82</v>
      </c>
      <c r="BE82" t="s" s="0">
        <v>82</v>
      </c>
      <c r="BF82" t="s" s="0">
        <v>82</v>
      </c>
      <c r="BG82" t="s" s="0">
        <v>82</v>
      </c>
      <c r="BH82" t="s" s="0">
        <v>82</v>
      </c>
      <c r="BI82" t="s" s="0">
        <v>2372</v>
      </c>
      <c r="BJ82" t="s" s="0">
        <v>2373</v>
      </c>
      <c r="BK82" t="s" s="161">
        <f>HYPERLINK("http://dx.doi.org/10.1016/j.mcpdig.2025.100228","http://dx.doi.org/10.1016/j.mcpdig.2025.100228")</f>
        <v>2374</v>
      </c>
      <c r="BL82" t="s" s="0">
        <v>82</v>
      </c>
      <c r="BM82" t="s" s="0">
        <v>957</v>
      </c>
      <c r="BN82" t="s" s="0">
        <v>634</v>
      </c>
      <c r="BO82" t="s" s="0">
        <v>1575</v>
      </c>
      <c r="BP82" t="s" s="0">
        <v>1575</v>
      </c>
      <c r="BQ82" t="s" s="0">
        <v>2375</v>
      </c>
      <c r="BR82" t="s" s="0">
        <v>2376</v>
      </c>
      <c r="BS82" t="s" s="0">
        <v>2377</v>
      </c>
      <c r="BT82" t="s" s="162">
        <f>HYPERLINK("https://www.webofscience.com/wos/woscc/full-record/WOS:001545381600001","View Record in Web of Science")</f>
        <v>124</v>
      </c>
      <c r="BU82" t="s" s="0">
        <v>236</v>
      </c>
      <c r="BV82" t="s" s="0">
        <v>82</v>
      </c>
      <c r="BW82" t="s" s="0">
        <v>82</v>
      </c>
      <c r="BX82" t="s" s="0">
        <v>126</v>
      </c>
    </row>
    <row r="83">
      <c r="A83" t="s" s="0">
        <v>77</v>
      </c>
      <c r="B83" t="s" s="0">
        <v>77</v>
      </c>
      <c r="C83" t="s" s="0">
        <v>77</v>
      </c>
      <c r="D83" t="s" s="0">
        <v>77</v>
      </c>
      <c r="E83" t="s" s="0">
        <v>2378</v>
      </c>
      <c r="F83" t="s" s="0">
        <v>2379</v>
      </c>
      <c r="G83" t="s" s="0">
        <v>2380</v>
      </c>
      <c r="H83" t="s" s="0">
        <v>82</v>
      </c>
      <c r="I83" t="s" s="0">
        <v>130</v>
      </c>
      <c r="J83" t="s" s="0">
        <v>2381</v>
      </c>
      <c r="K83" t="s" s="0">
        <v>2382</v>
      </c>
      <c r="L83" t="s" s="0">
        <v>82</v>
      </c>
      <c r="M83" t="s" s="0">
        <v>82</v>
      </c>
      <c r="N83" t="s" s="0">
        <v>82</v>
      </c>
      <c r="O83" t="s" s="0">
        <v>2383</v>
      </c>
      <c r="P83" t="s" s="0">
        <v>2384</v>
      </c>
      <c r="Q83" t="s" s="0">
        <v>91</v>
      </c>
      <c r="R83" t="s" s="0">
        <v>82</v>
      </c>
      <c r="S83" t="s" s="0">
        <v>82</v>
      </c>
      <c r="T83" t="s" s="0">
        <v>82</v>
      </c>
      <c r="U83" t="s" s="0">
        <v>82</v>
      </c>
      <c r="V83" t="s" s="0">
        <v>2385</v>
      </c>
      <c r="W83" t="s" s="0">
        <v>2386</v>
      </c>
      <c r="X83" t="s" s="0">
        <v>82</v>
      </c>
      <c r="Y83" t="s" s="0">
        <v>82</v>
      </c>
      <c r="Z83" t="s" s="0">
        <v>94</v>
      </c>
      <c r="AA83" t="s" s="0">
        <v>95</v>
      </c>
      <c r="AB83" t="s" s="0">
        <v>82</v>
      </c>
      <c r="AC83" t="s" s="0">
        <v>82</v>
      </c>
      <c r="AD83" t="s" s="0">
        <v>82</v>
      </c>
      <c r="AE83" t="s" s="0">
        <v>82</v>
      </c>
      <c r="AF83" t="s" s="0">
        <v>82</v>
      </c>
      <c r="AG83" t="s" s="0">
        <v>2387</v>
      </c>
      <c r="AH83" t="s" s="0">
        <v>2388</v>
      </c>
      <c r="AI83" t="s" s="0">
        <v>82</v>
      </c>
      <c r="AJ83" t="s" s="0">
        <v>2389</v>
      </c>
      <c r="AK83" t="s" s="0">
        <v>82</v>
      </c>
      <c r="AL83" t="s" s="0">
        <v>1035</v>
      </c>
      <c r="AM83" t="s" s="0">
        <v>102</v>
      </c>
      <c r="AN83" t="s" s="0">
        <v>102</v>
      </c>
      <c r="AO83" t="s" s="0">
        <v>78</v>
      </c>
      <c r="AP83" t="s" s="0">
        <v>372</v>
      </c>
      <c r="AQ83" t="s" s="0">
        <v>952</v>
      </c>
      <c r="AR83" t="s" s="0">
        <v>953</v>
      </c>
      <c r="AS83" t="s" s="0">
        <v>954</v>
      </c>
      <c r="AT83" t="s" s="0">
        <v>2390</v>
      </c>
      <c r="AU83" t="s" s="0">
        <v>82</v>
      </c>
      <c r="AV83" t="s" s="0">
        <v>82</v>
      </c>
      <c r="AW83" t="s" s="0">
        <v>2391</v>
      </c>
      <c r="AX83" t="s" s="0">
        <v>2392</v>
      </c>
      <c r="AY83" t="s" s="0">
        <v>111</v>
      </c>
      <c r="AZ83" t="s" s="0">
        <v>112</v>
      </c>
      <c r="BA83" t="s" s="0">
        <v>1293</v>
      </c>
      <c r="BB83" t="s" s="0">
        <v>82</v>
      </c>
      <c r="BC83" t="s" s="0">
        <v>82</v>
      </c>
      <c r="BD83" t="s" s="0">
        <v>82</v>
      </c>
      <c r="BE83" t="s" s="0">
        <v>82</v>
      </c>
      <c r="BF83" t="s" s="0">
        <v>82</v>
      </c>
      <c r="BG83" t="s" s="0">
        <v>82</v>
      </c>
      <c r="BH83" t="s" s="0">
        <v>82</v>
      </c>
      <c r="BI83" t="s" s="0">
        <v>2393</v>
      </c>
      <c r="BJ83" t="s" s="0">
        <v>2394</v>
      </c>
      <c r="BK83" t="s" s="163">
        <f>HYPERLINK("http://dx.doi.org/10.1016/j.artd.2025.101672","http://dx.doi.org/10.1016/j.artd.2025.101672")</f>
        <v>2395</v>
      </c>
      <c r="BL83" t="s" s="0">
        <v>82</v>
      </c>
      <c r="BM83" t="s" s="0">
        <v>961</v>
      </c>
      <c r="BN83" t="s" s="0">
        <v>119</v>
      </c>
      <c r="BO83" t="s" s="0">
        <v>159</v>
      </c>
      <c r="BP83" t="s" s="0">
        <v>159</v>
      </c>
      <c r="BQ83" t="s" s="0">
        <v>2396</v>
      </c>
      <c r="BR83" t="s" s="0">
        <v>2397</v>
      </c>
      <c r="BS83" t="s" s="0">
        <v>2398</v>
      </c>
      <c r="BT83" t="s" s="164">
        <f>HYPERLINK("https://www.webofscience.com/wos/woscc/full-record/WOS:001458585200001","View Record in Web of Science")</f>
        <v>124</v>
      </c>
      <c r="BU83" t="s" s="0">
        <v>236</v>
      </c>
      <c r="BV83" t="s" s="0">
        <v>82</v>
      </c>
      <c r="BW83" t="s" s="0">
        <v>82</v>
      </c>
      <c r="BX83" t="s" s="0">
        <v>126</v>
      </c>
    </row>
    <row r="84">
      <c r="A84" t="s" s="0">
        <v>103</v>
      </c>
      <c r="B84" t="s" s="0">
        <v>77</v>
      </c>
      <c r="C84" t="s" s="0">
        <v>342</v>
      </c>
      <c r="D84" t="s" s="0">
        <v>77</v>
      </c>
      <c r="E84" t="s" s="0">
        <v>2399</v>
      </c>
      <c r="F84" t="s" s="0">
        <v>2400</v>
      </c>
      <c r="G84" t="s" s="0">
        <v>2401</v>
      </c>
      <c r="H84" t="s" s="0">
        <v>82</v>
      </c>
      <c r="I84" t="s" s="0">
        <v>167</v>
      </c>
      <c r="J84" t="s" s="0">
        <v>2402</v>
      </c>
      <c r="K84" t="s" s="0">
        <v>2403</v>
      </c>
      <c r="L84" t="s" s="0">
        <v>2404</v>
      </c>
      <c r="M84" t="s" s="0">
        <v>2405</v>
      </c>
      <c r="N84" t="s" s="0">
        <v>2406</v>
      </c>
      <c r="O84" t="s" s="0">
        <v>2407</v>
      </c>
      <c r="P84" t="s" s="0">
        <v>2408</v>
      </c>
      <c r="Q84" t="s" s="0">
        <v>91</v>
      </c>
      <c r="R84" t="s" s="0">
        <v>82</v>
      </c>
      <c r="S84" t="s" s="0">
        <v>82</v>
      </c>
      <c r="T84" t="s" s="0">
        <v>82</v>
      </c>
      <c r="U84" t="s" s="0">
        <v>82</v>
      </c>
      <c r="V84" t="s" s="0">
        <v>2409</v>
      </c>
      <c r="W84" t="s" s="0">
        <v>2410</v>
      </c>
      <c r="X84" t="s" s="0">
        <v>82</v>
      </c>
      <c r="Y84" t="s" s="0">
        <v>82</v>
      </c>
      <c r="Z84" t="s" s="0">
        <v>94</v>
      </c>
      <c r="AA84" t="s" s="0">
        <v>95</v>
      </c>
      <c r="AB84" t="s" s="0">
        <v>82</v>
      </c>
      <c r="AC84" t="s" s="0">
        <v>82</v>
      </c>
      <c r="AD84" t="s" s="0">
        <v>82</v>
      </c>
      <c r="AE84" t="s" s="0">
        <v>82</v>
      </c>
      <c r="AF84" t="s" s="0">
        <v>82</v>
      </c>
      <c r="AG84" t="s" s="0">
        <v>2411</v>
      </c>
      <c r="AH84" t="s" s="0">
        <v>2412</v>
      </c>
      <c r="AI84" t="s" s="0">
        <v>2413</v>
      </c>
      <c r="AJ84" t="s" s="0">
        <v>2414</v>
      </c>
      <c r="AK84" t="s" s="0">
        <v>82</v>
      </c>
      <c r="AL84" t="s" s="0">
        <v>2273</v>
      </c>
      <c r="AM84" t="s" s="0">
        <v>100</v>
      </c>
      <c r="AN84" t="s" s="0">
        <v>472</v>
      </c>
      <c r="AO84" t="s" s="0">
        <v>103</v>
      </c>
      <c r="AP84" t="s" s="0">
        <v>494</v>
      </c>
      <c r="AQ84" t="s" s="0">
        <v>464</v>
      </c>
      <c r="AR84" t="s" s="0">
        <v>465</v>
      </c>
      <c r="AS84" t="s" s="0">
        <v>466</v>
      </c>
      <c r="AT84" t="s" s="0">
        <v>2415</v>
      </c>
      <c r="AU84" t="s" s="0">
        <v>2416</v>
      </c>
      <c r="AV84" t="s" s="0">
        <v>82</v>
      </c>
      <c r="AW84" t="s" s="0">
        <v>2417</v>
      </c>
      <c r="AX84" t="s" s="0">
        <v>2418</v>
      </c>
      <c r="AY84" t="s" s="0">
        <v>2419</v>
      </c>
      <c r="AZ84" t="s" s="0">
        <v>189</v>
      </c>
      <c r="BA84" t="s" s="0">
        <v>2420</v>
      </c>
      <c r="BB84" t="s" s="0">
        <v>103</v>
      </c>
      <c r="BC84" t="s" s="0">
        <v>82</v>
      </c>
      <c r="BD84" t="s" s="0">
        <v>82</v>
      </c>
      <c r="BE84" t="s" s="0">
        <v>82</v>
      </c>
      <c r="BF84" t="s" s="0">
        <v>82</v>
      </c>
      <c r="BG84" t="s" s="0">
        <v>2421</v>
      </c>
      <c r="BH84" t="s" s="0">
        <v>2422</v>
      </c>
      <c r="BI84" t="s" s="0">
        <v>2423</v>
      </c>
      <c r="BJ84" t="s" s="0">
        <v>2424</v>
      </c>
      <c r="BK84" t="s" s="165">
        <f>HYPERLINK("http://dx.doi.org/10.1192/bjp.2021.218","http://dx.doi.org/10.1192/bjp.2021.218")</f>
        <v>2425</v>
      </c>
      <c r="BL84" t="s" s="0">
        <v>82</v>
      </c>
      <c r="BM84" t="s" s="0">
        <v>196</v>
      </c>
      <c r="BN84" t="s" s="0">
        <v>268</v>
      </c>
      <c r="BO84" t="s" s="0">
        <v>528</v>
      </c>
      <c r="BP84" t="s" s="0">
        <v>528</v>
      </c>
      <c r="BQ84" t="s" s="0">
        <v>2426</v>
      </c>
      <c r="BR84" t="s" s="0">
        <v>2427</v>
      </c>
      <c r="BS84" t="s" s="0">
        <v>2428</v>
      </c>
      <c r="BT84" t="s" s="166">
        <f>HYPERLINK("https://www.webofscience.com/wos/woscc/full-record/WOS:000741165900001","View Record in Web of Science")</f>
        <v>124</v>
      </c>
      <c r="BU84" t="s" s="0">
        <v>202</v>
      </c>
      <c r="BV84" t="s" s="0">
        <v>82</v>
      </c>
      <c r="BW84" t="s" s="0">
        <v>82</v>
      </c>
      <c r="BX84" t="s" s="0">
        <v>126</v>
      </c>
    </row>
    <row r="85">
      <c r="A85" t="s" s="0">
        <v>77</v>
      </c>
      <c r="B85" t="s" s="0">
        <v>77</v>
      </c>
      <c r="C85" t="s" s="0">
        <v>119</v>
      </c>
      <c r="D85" t="s" s="0">
        <v>77</v>
      </c>
      <c r="E85" t="s" s="0">
        <v>2429</v>
      </c>
      <c r="F85" t="s" s="0">
        <v>2430</v>
      </c>
      <c r="G85" t="s" s="0">
        <v>2431</v>
      </c>
      <c r="H85" t="s" s="0">
        <v>82</v>
      </c>
      <c r="I85" t="s" s="0">
        <v>130</v>
      </c>
      <c r="J85" t="s" s="0">
        <v>2432</v>
      </c>
      <c r="K85" t="s" s="0">
        <v>2433</v>
      </c>
      <c r="L85" t="s" s="0">
        <v>82</v>
      </c>
      <c r="M85" t="s" s="0">
        <v>82</v>
      </c>
      <c r="N85" t="s" s="0">
        <v>82</v>
      </c>
      <c r="O85" t="s" s="0">
        <v>2434</v>
      </c>
      <c r="P85" t="s" s="0">
        <v>2435</v>
      </c>
      <c r="Q85" t="s" s="0">
        <v>91</v>
      </c>
      <c r="R85" t="s" s="0">
        <v>82</v>
      </c>
      <c r="S85" t="s" s="0">
        <v>82</v>
      </c>
      <c r="T85" t="s" s="0">
        <v>82</v>
      </c>
      <c r="U85" t="s" s="0">
        <v>82</v>
      </c>
      <c r="V85" t="s" s="0">
        <v>2436</v>
      </c>
      <c r="W85" t="s" s="0">
        <v>2437</v>
      </c>
      <c r="X85" t="s" s="0">
        <v>82</v>
      </c>
      <c r="Y85" t="s" s="0">
        <v>82</v>
      </c>
      <c r="Z85" t="s" s="0">
        <v>94</v>
      </c>
      <c r="AA85" t="s" s="0">
        <v>95</v>
      </c>
      <c r="AB85" t="s" s="0">
        <v>82</v>
      </c>
      <c r="AC85" t="s" s="0">
        <v>82</v>
      </c>
      <c r="AD85" t="s" s="0">
        <v>82</v>
      </c>
      <c r="AE85" t="s" s="0">
        <v>82</v>
      </c>
      <c r="AF85" t="s" s="0">
        <v>82</v>
      </c>
      <c r="AG85" t="s" s="0">
        <v>2438</v>
      </c>
      <c r="AH85" t="s" s="0">
        <v>2439</v>
      </c>
      <c r="AI85" t="s" s="0">
        <v>2440</v>
      </c>
      <c r="AJ85" t="s" s="0">
        <v>82</v>
      </c>
      <c r="AK85" t="s" s="0">
        <v>82</v>
      </c>
      <c r="AL85" t="s" s="0">
        <v>180</v>
      </c>
      <c r="AM85" t="s" s="0">
        <v>151</v>
      </c>
      <c r="AN85" t="s" s="0">
        <v>253</v>
      </c>
      <c r="AO85" t="s" s="0">
        <v>77</v>
      </c>
      <c r="AP85" t="s" s="0">
        <v>1293</v>
      </c>
      <c r="AQ85" t="s" s="0">
        <v>2441</v>
      </c>
      <c r="AR85" t="s" s="0">
        <v>2442</v>
      </c>
      <c r="AS85" t="s" s="0">
        <v>2443</v>
      </c>
      <c r="AT85" t="s" s="0">
        <v>2444</v>
      </c>
      <c r="AU85" t="s" s="0">
        <v>2445</v>
      </c>
      <c r="AV85" t="s" s="0">
        <v>82</v>
      </c>
      <c r="AW85" t="s" s="0">
        <v>2446</v>
      </c>
      <c r="AX85" t="s" s="0">
        <v>2447</v>
      </c>
      <c r="AY85" t="s" s="0">
        <v>2302</v>
      </c>
      <c r="AZ85" t="s" s="0">
        <v>842</v>
      </c>
      <c r="BA85" t="s" s="0">
        <v>268</v>
      </c>
      <c r="BB85" t="s" s="0">
        <v>78</v>
      </c>
      <c r="BC85" t="s" s="0">
        <v>82</v>
      </c>
      <c r="BD85" t="s" s="0">
        <v>82</v>
      </c>
      <c r="BE85" t="s" s="0">
        <v>82</v>
      </c>
      <c r="BF85" t="s" s="0">
        <v>82</v>
      </c>
      <c r="BG85" t="s" s="0">
        <v>78</v>
      </c>
      <c r="BH85" t="s" s="0">
        <v>524</v>
      </c>
      <c r="BI85" t="s" s="0">
        <v>82</v>
      </c>
      <c r="BJ85" t="s" s="0">
        <v>2448</v>
      </c>
      <c r="BK85" t="s" s="167">
        <f>HYPERLINK("http://dx.doi.org/10.22038/ABJS.2022.58485.2897","http://dx.doi.org/10.22038/ABJS.2022.58485.2897")</f>
        <v>2449</v>
      </c>
      <c r="BL85" t="s" s="0">
        <v>82</v>
      </c>
      <c r="BM85" t="s" s="0">
        <v>82</v>
      </c>
      <c r="BN85" t="s" s="0">
        <v>524</v>
      </c>
      <c r="BO85" t="s" s="0">
        <v>159</v>
      </c>
      <c r="BP85" t="s" s="0">
        <v>159</v>
      </c>
      <c r="BQ85" t="s" s="0">
        <v>2450</v>
      </c>
      <c r="BR85" t="s" s="0">
        <v>2451</v>
      </c>
      <c r="BS85" t="s" s="0">
        <v>2452</v>
      </c>
      <c r="BT85" t="s" s="168">
        <f>HYPERLINK("https://www.webofscience.com/wos/woscc/full-record/WOS:000910900400001","View Record in Web of Science")</f>
        <v>124</v>
      </c>
      <c r="BU85" t="s" s="0">
        <v>82</v>
      </c>
      <c r="BV85" t="s" s="0">
        <v>82</v>
      </c>
      <c r="BW85" t="s" s="0">
        <v>82</v>
      </c>
      <c r="BX85" t="s" s="0">
        <v>126</v>
      </c>
    </row>
    <row r="86">
      <c r="A86" t="s" s="0">
        <v>77</v>
      </c>
      <c r="B86" t="s" s="0">
        <v>77</v>
      </c>
      <c r="C86" t="s" s="0">
        <v>77</v>
      </c>
      <c r="D86" t="s" s="0">
        <v>77</v>
      </c>
      <c r="E86" t="s" s="0">
        <v>2453</v>
      </c>
      <c r="F86" t="s" s="0">
        <v>2454</v>
      </c>
      <c r="G86" t="s" s="0">
        <v>2455</v>
      </c>
      <c r="H86" t="s" s="0">
        <v>82</v>
      </c>
      <c r="I86" t="s" s="0">
        <v>83</v>
      </c>
      <c r="J86" t="s" s="0">
        <v>2456</v>
      </c>
      <c r="K86" t="s" s="0">
        <v>2457</v>
      </c>
      <c r="L86" t="s" s="0">
        <v>2458</v>
      </c>
      <c r="M86" t="s" s="0">
        <v>2459</v>
      </c>
      <c r="N86" t="s" s="0">
        <v>2460</v>
      </c>
      <c r="O86" t="s" s="0">
        <v>2461</v>
      </c>
      <c r="P86" t="s" s="0">
        <v>2462</v>
      </c>
      <c r="Q86" t="s" s="0">
        <v>91</v>
      </c>
      <c r="R86" t="s" s="0">
        <v>82</v>
      </c>
      <c r="S86" t="s" s="0">
        <v>2463</v>
      </c>
      <c r="T86" t="s" s="0">
        <v>82</v>
      </c>
      <c r="U86" t="s" s="0">
        <v>82</v>
      </c>
      <c r="V86" t="s" s="0">
        <v>2464</v>
      </c>
      <c r="W86" t="s" s="0">
        <v>2465</v>
      </c>
      <c r="X86" t="s" s="0">
        <v>82</v>
      </c>
      <c r="Y86" t="s" s="0">
        <v>82</v>
      </c>
      <c r="Z86" t="s" s="0">
        <v>94</v>
      </c>
      <c r="AA86" t="s" s="0">
        <v>95</v>
      </c>
      <c r="AB86" t="s" s="0">
        <v>82</v>
      </c>
      <c r="AC86" t="s" s="0">
        <v>82</v>
      </c>
      <c r="AD86" t="s" s="0">
        <v>82</v>
      </c>
      <c r="AE86" t="s" s="0">
        <v>82</v>
      </c>
      <c r="AF86" t="s" s="0">
        <v>82</v>
      </c>
      <c r="AG86" t="s" s="0">
        <v>2466</v>
      </c>
      <c r="AH86" t="s" s="0">
        <v>2467</v>
      </c>
      <c r="AI86" t="s" s="0">
        <v>82</v>
      </c>
      <c r="AJ86" t="s" s="0">
        <v>82</v>
      </c>
      <c r="AK86" t="s" s="0">
        <v>82</v>
      </c>
      <c r="AL86" t="s" s="0">
        <v>252</v>
      </c>
      <c r="AM86" t="s" s="0">
        <v>77</v>
      </c>
      <c r="AN86" t="s" s="0">
        <v>77</v>
      </c>
      <c r="AO86" t="s" s="0">
        <v>77</v>
      </c>
      <c r="AP86" t="s" s="0">
        <v>77</v>
      </c>
      <c r="AQ86" t="s" s="0">
        <v>254</v>
      </c>
      <c r="AR86" t="s" s="0">
        <v>255</v>
      </c>
      <c r="AS86" t="s" s="0">
        <v>2468</v>
      </c>
      <c r="AT86" t="s" s="0">
        <v>2469</v>
      </c>
      <c r="AU86" t="s" s="0">
        <v>82</v>
      </c>
      <c r="AV86" t="s" s="0">
        <v>82</v>
      </c>
      <c r="AW86" t="s" s="0">
        <v>2470</v>
      </c>
      <c r="AX86" t="s" s="0">
        <v>2471</v>
      </c>
      <c r="AY86" t="s" s="0">
        <v>149</v>
      </c>
      <c r="AZ86" t="s" s="0">
        <v>150</v>
      </c>
      <c r="BA86" t="s" s="0">
        <v>2007</v>
      </c>
      <c r="BB86" t="s" s="0">
        <v>82</v>
      </c>
      <c r="BC86" t="s" s="0">
        <v>82</v>
      </c>
      <c r="BD86" t="s" s="0">
        <v>82</v>
      </c>
      <c r="BE86" t="s" s="0">
        <v>82</v>
      </c>
      <c r="BF86" t="s" s="0">
        <v>82</v>
      </c>
      <c r="BG86" t="s" s="0">
        <v>82</v>
      </c>
      <c r="BH86" t="s" s="0">
        <v>82</v>
      </c>
      <c r="BI86" t="s" s="0">
        <v>2472</v>
      </c>
      <c r="BJ86" t="s" s="0">
        <v>2473</v>
      </c>
      <c r="BK86" t="s" s="169">
        <f>HYPERLINK("http://dx.doi.org/10.1016/j.tranon.2026.102961","http://dx.doi.org/10.1016/j.tranon.2026.102961")</f>
        <v>2474</v>
      </c>
      <c r="BL86" t="s" s="0">
        <v>82</v>
      </c>
      <c r="BM86" t="s" s="0">
        <v>82</v>
      </c>
      <c r="BN86" t="s" s="0">
        <v>431</v>
      </c>
      <c r="BO86" t="s" s="0">
        <v>557</v>
      </c>
      <c r="BP86" t="s" s="0">
        <v>557</v>
      </c>
      <c r="BQ86" t="s" s="0">
        <v>2475</v>
      </c>
      <c r="BR86" t="s" s="0">
        <v>2476</v>
      </c>
      <c r="BS86" t="s" s="0">
        <v>2477</v>
      </c>
      <c r="BT86" t="s" s="170">
        <f>HYPERLINK("https://www.webofscience.com/wos/woscc/full-record/WOS:001847280400001","View Record in Web of Science")</f>
        <v>124</v>
      </c>
      <c r="BU86" t="s" s="0">
        <v>2478</v>
      </c>
      <c r="BV86" t="s" s="0">
        <v>82</v>
      </c>
      <c r="BW86" t="s" s="0">
        <v>82</v>
      </c>
      <c r="BX86" t="s" s="0">
        <v>126</v>
      </c>
    </row>
    <row r="87">
      <c r="A87" t="s" s="0">
        <v>77</v>
      </c>
      <c r="B87" t="s" s="0">
        <v>77</v>
      </c>
      <c r="C87" t="s" s="0">
        <v>77</v>
      </c>
      <c r="D87" t="s" s="0">
        <v>77</v>
      </c>
      <c r="E87" t="s" s="0">
        <v>2479</v>
      </c>
      <c r="F87" t="s" s="0">
        <v>2480</v>
      </c>
      <c r="G87" t="s" s="0">
        <v>2481</v>
      </c>
      <c r="H87" t="s" s="0">
        <v>82</v>
      </c>
      <c r="I87" t="s" s="0">
        <v>83</v>
      </c>
      <c r="J87" t="s" s="0">
        <v>2482</v>
      </c>
      <c r="K87" t="s" s="0">
        <v>2483</v>
      </c>
      <c r="L87" t="s" s="0">
        <v>2484</v>
      </c>
      <c r="M87" t="s" s="0">
        <v>2484</v>
      </c>
      <c r="N87" t="s" s="0">
        <v>2485</v>
      </c>
      <c r="O87" t="s" s="0">
        <v>2486</v>
      </c>
      <c r="P87" t="s" s="0">
        <v>2487</v>
      </c>
      <c r="Q87" t="s" s="0">
        <v>91</v>
      </c>
      <c r="R87" t="s" s="0">
        <v>82</v>
      </c>
      <c r="S87" t="s" s="0">
        <v>82</v>
      </c>
      <c r="T87" t="s" s="0">
        <v>82</v>
      </c>
      <c r="U87" t="s" s="0">
        <v>82</v>
      </c>
      <c r="V87" t="s" s="0">
        <v>2488</v>
      </c>
      <c r="W87" t="s" s="0">
        <v>2489</v>
      </c>
      <c r="X87" t="s" s="0">
        <v>82</v>
      </c>
      <c r="Y87" t="s" s="0">
        <v>82</v>
      </c>
      <c r="Z87" t="s" s="0">
        <v>94</v>
      </c>
      <c r="AA87" t="s" s="0">
        <v>95</v>
      </c>
      <c r="AB87" t="s" s="0">
        <v>82</v>
      </c>
      <c r="AC87" t="s" s="0">
        <v>82</v>
      </c>
      <c r="AD87" t="s" s="0">
        <v>82</v>
      </c>
      <c r="AE87" t="s" s="0">
        <v>82</v>
      </c>
      <c r="AF87" t="s" s="0">
        <v>82</v>
      </c>
      <c r="AG87" t="s" s="0">
        <v>2490</v>
      </c>
      <c r="AH87" t="s" s="0">
        <v>2491</v>
      </c>
      <c r="AI87" t="s" s="0">
        <v>2492</v>
      </c>
      <c r="AJ87" t="s" s="0">
        <v>2493</v>
      </c>
      <c r="AK87" t="s" s="0">
        <v>82</v>
      </c>
      <c r="AL87" t="s" s="0">
        <v>113</v>
      </c>
      <c r="AM87" t="s" s="0">
        <v>77</v>
      </c>
      <c r="AN87" t="s" s="0">
        <v>77</v>
      </c>
      <c r="AO87" t="s" s="0">
        <v>78</v>
      </c>
      <c r="AP87" t="s" s="0">
        <v>78</v>
      </c>
      <c r="AQ87" t="s" s="0">
        <v>670</v>
      </c>
      <c r="AR87" t="s" s="0">
        <v>2494</v>
      </c>
      <c r="AS87" t="s" s="0">
        <v>2495</v>
      </c>
      <c r="AT87" t="s" s="0">
        <v>2496</v>
      </c>
      <c r="AU87" t="s" s="0">
        <v>2497</v>
      </c>
      <c r="AV87" t="s" s="0">
        <v>82</v>
      </c>
      <c r="AW87" t="s" s="0">
        <v>2498</v>
      </c>
      <c r="AX87" t="s" s="0">
        <v>2499</v>
      </c>
      <c r="AY87" t="s" s="0">
        <v>476</v>
      </c>
      <c r="AZ87" t="s" s="0">
        <v>150</v>
      </c>
      <c r="BA87" t="s" s="0">
        <v>180</v>
      </c>
      <c r="BB87" t="s" s="0">
        <v>191</v>
      </c>
      <c r="BC87" t="s" s="0">
        <v>82</v>
      </c>
      <c r="BD87" t="s" s="0">
        <v>82</v>
      </c>
      <c r="BE87" t="s" s="0">
        <v>82</v>
      </c>
      <c r="BF87" t="s" s="0">
        <v>82</v>
      </c>
      <c r="BG87" t="s" s="0">
        <v>2500</v>
      </c>
      <c r="BH87" t="s" s="0">
        <v>2501</v>
      </c>
      <c r="BI87" t="s" s="0">
        <v>82</v>
      </c>
      <c r="BJ87" t="s" s="0">
        <v>2502</v>
      </c>
      <c r="BK87" t="s" s="171">
        <f>HYPERLINK("http://dx.doi.org/10.1007/s11239-026-03257-9","http://dx.doi.org/10.1007/s11239-026-03257-9")</f>
        <v>2503</v>
      </c>
      <c r="BL87" t="s" s="0">
        <v>82</v>
      </c>
      <c r="BM87" t="s" s="0">
        <v>791</v>
      </c>
      <c r="BN87" t="s" s="0">
        <v>634</v>
      </c>
      <c r="BO87" t="s" s="0">
        <v>2504</v>
      </c>
      <c r="BP87" t="s" s="0">
        <v>2505</v>
      </c>
      <c r="BQ87" t="s" s="0">
        <v>2506</v>
      </c>
      <c r="BR87" t="s" s="0">
        <v>2507</v>
      </c>
      <c r="BS87" t="s" s="0">
        <v>2508</v>
      </c>
      <c r="BT87" t="s" s="172">
        <f>HYPERLINK("https://www.webofscience.com/wos/woscc/full-record/WOS:001712540600001","View Record in Web of Science")</f>
        <v>124</v>
      </c>
      <c r="BU87" t="s" s="0">
        <v>163</v>
      </c>
      <c r="BV87" t="s" s="0">
        <v>82</v>
      </c>
      <c r="BW87" t="s" s="0">
        <v>82</v>
      </c>
      <c r="BX87" t="s" s="0">
        <v>126</v>
      </c>
    </row>
    <row r="88">
      <c r="A88" t="s" s="0">
        <v>152</v>
      </c>
      <c r="B88" t="s" s="0">
        <v>77</v>
      </c>
      <c r="C88" t="s" s="0">
        <v>524</v>
      </c>
      <c r="D88" t="s" s="0">
        <v>103</v>
      </c>
      <c r="E88" t="s" s="0">
        <v>2509</v>
      </c>
      <c r="F88" t="s" s="0">
        <v>2510</v>
      </c>
      <c r="G88" t="s" s="0">
        <v>2511</v>
      </c>
      <c r="H88" t="s" s="0">
        <v>82</v>
      </c>
      <c r="I88" t="s" s="0">
        <v>83</v>
      </c>
      <c r="J88" t="s" s="0">
        <v>2512</v>
      </c>
      <c r="K88" t="s" s="0">
        <v>2513</v>
      </c>
      <c r="L88" t="s" s="0">
        <v>82</v>
      </c>
      <c r="M88" t="s" s="0">
        <v>82</v>
      </c>
      <c r="N88" t="s" s="0">
        <v>82</v>
      </c>
      <c r="O88" t="s" s="0">
        <v>2514</v>
      </c>
      <c r="P88" t="s" s="0">
        <v>2515</v>
      </c>
      <c r="Q88" t="s" s="0">
        <v>91</v>
      </c>
      <c r="R88" t="s" s="0">
        <v>82</v>
      </c>
      <c r="S88" t="s" s="0">
        <v>82</v>
      </c>
      <c r="T88" t="s" s="0">
        <v>82</v>
      </c>
      <c r="U88" t="s" s="0">
        <v>82</v>
      </c>
      <c r="V88" t="s" s="0">
        <v>2516</v>
      </c>
      <c r="W88" t="s" s="0">
        <v>2517</v>
      </c>
      <c r="X88" t="s" s="0">
        <v>82</v>
      </c>
      <c r="Y88" t="s" s="0">
        <v>82</v>
      </c>
      <c r="Z88" t="s" s="0">
        <v>94</v>
      </c>
      <c r="AA88" t="s" s="0">
        <v>95</v>
      </c>
      <c r="AB88" t="s" s="0">
        <v>82</v>
      </c>
      <c r="AC88" t="s" s="0">
        <v>82</v>
      </c>
      <c r="AD88" t="s" s="0">
        <v>82</v>
      </c>
      <c r="AE88" t="s" s="0">
        <v>82</v>
      </c>
      <c r="AF88" t="s" s="0">
        <v>82</v>
      </c>
      <c r="AG88" t="s" s="0">
        <v>2518</v>
      </c>
      <c r="AH88" t="s" s="0">
        <v>2519</v>
      </c>
      <c r="AI88" t="s" s="0">
        <v>2520</v>
      </c>
      <c r="AJ88" t="s" s="0">
        <v>2521</v>
      </c>
      <c r="AK88" t="s" s="0">
        <v>82</v>
      </c>
      <c r="AL88" t="s" s="0">
        <v>1458</v>
      </c>
      <c r="AM88" t="s" s="0">
        <v>677</v>
      </c>
      <c r="AN88" t="s" s="0">
        <v>1457</v>
      </c>
      <c r="AO88" t="s" s="0">
        <v>78</v>
      </c>
      <c r="AP88" t="s" s="0">
        <v>101</v>
      </c>
      <c r="AQ88" t="s" s="0">
        <v>1767</v>
      </c>
      <c r="AR88" t="s" s="0">
        <v>220</v>
      </c>
      <c r="AS88" t="s" s="0">
        <v>1768</v>
      </c>
      <c r="AT88" t="s" s="0">
        <v>2522</v>
      </c>
      <c r="AU88" t="s" s="0">
        <v>2523</v>
      </c>
      <c r="AV88" t="s" s="0">
        <v>82</v>
      </c>
      <c r="AW88" t="s" s="0">
        <v>2524</v>
      </c>
      <c r="AX88" t="s" s="0">
        <v>2525</v>
      </c>
      <c r="AY88" t="s" s="0">
        <v>2526</v>
      </c>
      <c r="AZ88" t="s" s="0">
        <v>371</v>
      </c>
      <c r="BA88" t="s" s="0">
        <v>1944</v>
      </c>
      <c r="BB88" t="s" s="0">
        <v>103</v>
      </c>
      <c r="BC88" t="s" s="0">
        <v>82</v>
      </c>
      <c r="BD88" t="s" s="0">
        <v>82</v>
      </c>
      <c r="BE88" t="s" s="0">
        <v>82</v>
      </c>
      <c r="BF88" t="s" s="0">
        <v>82</v>
      </c>
      <c r="BG88" t="s" s="0">
        <v>2527</v>
      </c>
      <c r="BH88" t="s" s="0">
        <v>2528</v>
      </c>
      <c r="BI88" t="s" s="0">
        <v>82</v>
      </c>
      <c r="BJ88" t="s" s="0">
        <v>2529</v>
      </c>
      <c r="BK88" t="s" s="173">
        <f>HYPERLINK("http://dx.doi.org/10.1177/0310057X1604400212","http://dx.doi.org/10.1177/0310057X1604400212")</f>
        <v>2530</v>
      </c>
      <c r="BL88" t="s" s="0">
        <v>82</v>
      </c>
      <c r="BM88" t="s" s="0">
        <v>82</v>
      </c>
      <c r="BN88" t="s" s="0">
        <v>268</v>
      </c>
      <c r="BO88" t="s" s="0">
        <v>2531</v>
      </c>
      <c r="BP88" t="s" s="0">
        <v>2532</v>
      </c>
      <c r="BQ88" t="s" s="0">
        <v>2533</v>
      </c>
      <c r="BR88" t="s" s="0">
        <v>2534</v>
      </c>
      <c r="BS88" t="s" s="0">
        <v>2535</v>
      </c>
      <c r="BT88" t="s" s="174">
        <f>HYPERLINK("https://www.webofscience.com/wos/woscc/full-record/WOS:000374435500010","View Record in Web of Science")</f>
        <v>124</v>
      </c>
      <c r="BU88" t="s" s="0">
        <v>82</v>
      </c>
      <c r="BV88" t="s" s="0">
        <v>82</v>
      </c>
      <c r="BW88" t="s" s="0">
        <v>82</v>
      </c>
      <c r="BX88" t="s" s="0">
        <v>126</v>
      </c>
    </row>
    <row r="89">
      <c r="A89" t="s" s="0">
        <v>77</v>
      </c>
      <c r="B89" t="s" s="0">
        <v>77</v>
      </c>
      <c r="C89" t="s" s="0">
        <v>634</v>
      </c>
      <c r="D89" t="s" s="0">
        <v>77</v>
      </c>
      <c r="E89" t="s" s="0">
        <v>2536</v>
      </c>
      <c r="F89" t="s" s="0">
        <v>2537</v>
      </c>
      <c r="G89" t="s" s="0">
        <v>2538</v>
      </c>
      <c r="H89" t="s" s="0">
        <v>82</v>
      </c>
      <c r="I89" t="s" s="0">
        <v>83</v>
      </c>
      <c r="J89" t="s" s="0">
        <v>2539</v>
      </c>
      <c r="K89" t="s" s="0">
        <v>2540</v>
      </c>
      <c r="L89" t="s" s="0">
        <v>2541</v>
      </c>
      <c r="M89" t="s" s="0">
        <v>2542</v>
      </c>
      <c r="N89" t="s" s="0">
        <v>82</v>
      </c>
      <c r="O89" t="s" s="0">
        <v>2543</v>
      </c>
      <c r="P89" t="s" s="0">
        <v>2544</v>
      </c>
      <c r="Q89" t="s" s="0">
        <v>91</v>
      </c>
      <c r="R89" t="s" s="0">
        <v>82</v>
      </c>
      <c r="S89" t="s" s="0">
        <v>82</v>
      </c>
      <c r="T89" t="s" s="0">
        <v>82</v>
      </c>
      <c r="U89" t="s" s="0">
        <v>82</v>
      </c>
      <c r="V89" t="s" s="0">
        <v>2545</v>
      </c>
      <c r="W89" t="s" s="0">
        <v>2546</v>
      </c>
      <c r="X89" t="s" s="0">
        <v>82</v>
      </c>
      <c r="Y89" t="s" s="0">
        <v>82</v>
      </c>
      <c r="Z89" t="s" s="0">
        <v>94</v>
      </c>
      <c r="AA89" t="s" s="0">
        <v>95</v>
      </c>
      <c r="AB89" t="s" s="0">
        <v>82</v>
      </c>
      <c r="AC89" t="s" s="0">
        <v>82</v>
      </c>
      <c r="AD89" t="s" s="0">
        <v>82</v>
      </c>
      <c r="AE89" t="s" s="0">
        <v>82</v>
      </c>
      <c r="AF89" t="s" s="0">
        <v>82</v>
      </c>
      <c r="AG89" t="s" s="0">
        <v>2547</v>
      </c>
      <c r="AH89" t="s" s="0">
        <v>2548</v>
      </c>
      <c r="AI89" t="s" s="0">
        <v>2549</v>
      </c>
      <c r="AJ89" t="s" s="0">
        <v>2550</v>
      </c>
      <c r="AK89" t="s" s="0">
        <v>82</v>
      </c>
      <c r="AL89" t="s" s="0">
        <v>77</v>
      </c>
      <c r="AM89" t="s" s="0">
        <v>360</v>
      </c>
      <c r="AN89" t="s" s="0">
        <v>644</v>
      </c>
      <c r="AO89" t="s" s="0">
        <v>77</v>
      </c>
      <c r="AP89" t="s" s="0">
        <v>268</v>
      </c>
      <c r="AQ89" t="s" s="0">
        <v>254</v>
      </c>
      <c r="AR89" t="s" s="0">
        <v>255</v>
      </c>
      <c r="AS89" t="s" s="0">
        <v>2468</v>
      </c>
      <c r="AT89" t="s" s="0">
        <v>2551</v>
      </c>
      <c r="AU89" t="s" s="0">
        <v>2552</v>
      </c>
      <c r="AV89" t="s" s="0">
        <v>82</v>
      </c>
      <c r="AW89" t="s" s="0">
        <v>2553</v>
      </c>
      <c r="AX89" t="s" s="0">
        <v>2554</v>
      </c>
      <c r="AY89" t="s" s="0">
        <v>985</v>
      </c>
      <c r="AZ89" t="s" s="0">
        <v>842</v>
      </c>
      <c r="BA89" t="s" s="0">
        <v>2555</v>
      </c>
      <c r="BB89" t="s" s="0">
        <v>82</v>
      </c>
      <c r="BC89" t="s" s="0">
        <v>82</v>
      </c>
      <c r="BD89" t="s" s="0">
        <v>82</v>
      </c>
      <c r="BE89" t="s" s="0">
        <v>82</v>
      </c>
      <c r="BF89" t="s" s="0">
        <v>82</v>
      </c>
      <c r="BG89" t="s" s="0">
        <v>1274</v>
      </c>
      <c r="BH89" t="s" s="0">
        <v>2556</v>
      </c>
      <c r="BI89" t="s" s="0">
        <v>82</v>
      </c>
      <c r="BJ89" t="s" s="0">
        <v>2557</v>
      </c>
      <c r="BK89" t="s" s="175">
        <f>HYPERLINK("http://dx.doi.org/10.1016/j.jclinepi.2023.03.024","http://dx.doi.org/10.1016/j.jclinepi.2023.03.024")</f>
        <v>2558</v>
      </c>
      <c r="BL89" t="s" s="0">
        <v>82</v>
      </c>
      <c r="BM89" t="s" s="0">
        <v>1778</v>
      </c>
      <c r="BN89" t="s" s="0">
        <v>377</v>
      </c>
      <c r="BO89" t="s" s="0">
        <v>2559</v>
      </c>
      <c r="BP89" t="s" s="0">
        <v>2559</v>
      </c>
      <c r="BQ89" t="s" s="0">
        <v>2560</v>
      </c>
      <c r="BR89" t="s" s="0">
        <v>2561</v>
      </c>
      <c r="BS89" t="s" s="0">
        <v>2562</v>
      </c>
      <c r="BT89" t="s" s="176">
        <f>HYPERLINK("https://www.webofscience.com/wos/woscc/full-record/WOS:000990073300001","View Record in Web of Science")</f>
        <v>124</v>
      </c>
      <c r="BU89" t="s" s="0">
        <v>163</v>
      </c>
      <c r="BV89" t="s" s="0">
        <v>82</v>
      </c>
      <c r="BW89" t="s" s="0">
        <v>82</v>
      </c>
      <c r="BX89" t="s" s="0">
        <v>126</v>
      </c>
    </row>
    <row r="90">
      <c r="A90" t="s" s="0">
        <v>77</v>
      </c>
      <c r="B90" t="s" s="0">
        <v>77</v>
      </c>
      <c r="C90" t="s" s="0">
        <v>77</v>
      </c>
      <c r="D90" t="s" s="0">
        <v>77</v>
      </c>
      <c r="E90" t="s" s="0">
        <v>2563</v>
      </c>
      <c r="F90" t="s" s="0">
        <v>2564</v>
      </c>
      <c r="G90" t="s" s="0">
        <v>2565</v>
      </c>
      <c r="H90" t="s" s="0">
        <v>82</v>
      </c>
      <c r="I90" t="s" s="0">
        <v>83</v>
      </c>
      <c r="J90" t="s" s="0">
        <v>2566</v>
      </c>
      <c r="K90" t="s" s="0">
        <v>2567</v>
      </c>
      <c r="L90" t="s" s="0">
        <v>82</v>
      </c>
      <c r="M90" t="s" s="0">
        <v>82</v>
      </c>
      <c r="N90" t="s" s="0">
        <v>82</v>
      </c>
      <c r="O90" t="s" s="0">
        <v>2568</v>
      </c>
      <c r="P90" t="s" s="0">
        <v>2569</v>
      </c>
      <c r="Q90" t="s" s="0">
        <v>91</v>
      </c>
      <c r="R90" t="s" s="0">
        <v>82</v>
      </c>
      <c r="S90" t="s" s="0">
        <v>82</v>
      </c>
      <c r="T90" t="s" s="0">
        <v>82</v>
      </c>
      <c r="U90" t="s" s="0">
        <v>82</v>
      </c>
      <c r="V90" t="s" s="0">
        <v>2570</v>
      </c>
      <c r="W90" t="s" s="0">
        <v>808</v>
      </c>
      <c r="X90" t="s" s="0">
        <v>82</v>
      </c>
      <c r="Y90" t="s" s="0">
        <v>82</v>
      </c>
      <c r="Z90" t="s" s="0">
        <v>94</v>
      </c>
      <c r="AA90" t="s" s="0">
        <v>95</v>
      </c>
      <c r="AB90" t="s" s="0">
        <v>82</v>
      </c>
      <c r="AC90" t="s" s="0">
        <v>82</v>
      </c>
      <c r="AD90" t="s" s="0">
        <v>82</v>
      </c>
      <c r="AE90" t="s" s="0">
        <v>82</v>
      </c>
      <c r="AF90" t="s" s="0">
        <v>82</v>
      </c>
      <c r="AG90" t="s" s="0">
        <v>2571</v>
      </c>
      <c r="AH90" t="s" s="0">
        <v>2572</v>
      </c>
      <c r="AI90" t="s" s="0">
        <v>82</v>
      </c>
      <c r="AJ90" t="s" s="0">
        <v>82</v>
      </c>
      <c r="AK90" t="s" s="0">
        <v>82</v>
      </c>
      <c r="AL90" t="s" s="0">
        <v>180</v>
      </c>
      <c r="AM90" t="s" s="0">
        <v>372</v>
      </c>
      <c r="AN90" t="s" s="0">
        <v>372</v>
      </c>
      <c r="AO90" t="s" s="0">
        <v>78</v>
      </c>
      <c r="AP90" t="s" s="0">
        <v>101</v>
      </c>
      <c r="AQ90" t="s" s="0">
        <v>219</v>
      </c>
      <c r="AR90" t="s" s="0">
        <v>220</v>
      </c>
      <c r="AS90" t="s" s="0">
        <v>221</v>
      </c>
      <c r="AT90" t="s" s="0">
        <v>82</v>
      </c>
      <c r="AU90" t="s" s="0">
        <v>813</v>
      </c>
      <c r="AV90" t="s" s="0">
        <v>82</v>
      </c>
      <c r="AW90" t="s" s="0">
        <v>814</v>
      </c>
      <c r="AX90" t="s" s="0">
        <v>815</v>
      </c>
      <c r="AY90" t="s" s="0">
        <v>2573</v>
      </c>
      <c r="AZ90" t="s" s="0">
        <v>112</v>
      </c>
      <c r="BA90" t="s" s="0">
        <v>328</v>
      </c>
      <c r="BB90" t="s" s="0">
        <v>78</v>
      </c>
      <c r="BC90" t="s" s="0">
        <v>82</v>
      </c>
      <c r="BD90" t="s" s="0">
        <v>82</v>
      </c>
      <c r="BE90" t="s" s="0">
        <v>82</v>
      </c>
      <c r="BF90" t="s" s="0">
        <v>82</v>
      </c>
      <c r="BG90" t="s" s="0">
        <v>82</v>
      </c>
      <c r="BH90" t="s" s="0">
        <v>82</v>
      </c>
      <c r="BI90" t="s" s="0">
        <v>1491</v>
      </c>
      <c r="BJ90" t="s" s="0">
        <v>2574</v>
      </c>
      <c r="BK90" t="s" s="177">
        <f>HYPERLINK("http://dx.doi.org/10.1186/s12891-025-08338-z","http://dx.doi.org/10.1186/s12891-025-08338-z")</f>
        <v>2575</v>
      </c>
      <c r="BL90" t="s" s="0">
        <v>82</v>
      </c>
      <c r="BM90" t="s" s="0">
        <v>82</v>
      </c>
      <c r="BN90" t="s" s="0">
        <v>342</v>
      </c>
      <c r="BO90" t="s" s="0">
        <v>820</v>
      </c>
      <c r="BP90" t="s" s="0">
        <v>820</v>
      </c>
      <c r="BQ90" t="s" s="0">
        <v>2576</v>
      </c>
      <c r="BR90" t="s" s="0">
        <v>2577</v>
      </c>
      <c r="BS90" t="s" s="0">
        <v>2578</v>
      </c>
      <c r="BT90" t="s" s="178">
        <f>HYPERLINK("https://www.webofscience.com/wos/woscc/full-record/WOS:001407881400002","View Record in Web of Science")</f>
        <v>124</v>
      </c>
      <c r="BU90" t="s" s="0">
        <v>236</v>
      </c>
      <c r="BV90" t="s" s="0">
        <v>82</v>
      </c>
      <c r="BW90" t="s" s="0">
        <v>82</v>
      </c>
      <c r="BX90" t="s" s="0">
        <v>126</v>
      </c>
    </row>
    <row r="91">
      <c r="A91" t="s" s="0">
        <v>78</v>
      </c>
      <c r="B91" t="s" s="0">
        <v>77</v>
      </c>
      <c r="C91" t="s" s="0">
        <v>152</v>
      </c>
      <c r="D91" t="s" s="0">
        <v>77</v>
      </c>
      <c r="E91" t="s" s="0">
        <v>2579</v>
      </c>
      <c r="F91" t="s" s="0">
        <v>2580</v>
      </c>
      <c r="G91" t="s" s="0">
        <v>2581</v>
      </c>
      <c r="H91" t="s" s="0">
        <v>82</v>
      </c>
      <c r="I91" t="s" s="0">
        <v>83</v>
      </c>
      <c r="J91" t="s" s="0">
        <v>2582</v>
      </c>
      <c r="K91" t="s" s="0">
        <v>2583</v>
      </c>
      <c r="L91" t="s" s="0">
        <v>2584</v>
      </c>
      <c r="M91" t="s" s="0">
        <v>2585</v>
      </c>
      <c r="N91" t="s" s="0">
        <v>2586</v>
      </c>
      <c r="O91" t="s" s="0">
        <v>2587</v>
      </c>
      <c r="P91" t="s" s="0">
        <v>2588</v>
      </c>
      <c r="Q91" t="s" s="0">
        <v>91</v>
      </c>
      <c r="R91" t="s" s="0">
        <v>82</v>
      </c>
      <c r="S91" t="s" s="0">
        <v>82</v>
      </c>
      <c r="T91" t="s" s="0">
        <v>82</v>
      </c>
      <c r="U91" t="s" s="0">
        <v>82</v>
      </c>
      <c r="V91" t="s" s="0">
        <v>2589</v>
      </c>
      <c r="W91" t="s" s="0">
        <v>2546</v>
      </c>
      <c r="X91" t="s" s="0">
        <v>82</v>
      </c>
      <c r="Y91" t="s" s="0">
        <v>82</v>
      </c>
      <c r="Z91" t="s" s="0">
        <v>94</v>
      </c>
      <c r="AA91" t="s" s="0">
        <v>95</v>
      </c>
      <c r="AB91" t="s" s="0">
        <v>82</v>
      </c>
      <c r="AC91" t="s" s="0">
        <v>82</v>
      </c>
      <c r="AD91" t="s" s="0">
        <v>82</v>
      </c>
      <c r="AE91" t="s" s="0">
        <v>82</v>
      </c>
      <c r="AF91" t="s" s="0">
        <v>82</v>
      </c>
      <c r="AG91" t="s" s="0">
        <v>2590</v>
      </c>
      <c r="AH91" t="s" s="0">
        <v>2591</v>
      </c>
      <c r="AI91" t="s" s="0">
        <v>2592</v>
      </c>
      <c r="AJ91" t="s" s="0">
        <v>2593</v>
      </c>
      <c r="AK91" t="s" s="0">
        <v>82</v>
      </c>
      <c r="AL91" t="s" s="0">
        <v>2594</v>
      </c>
      <c r="AM91" t="s" s="0">
        <v>268</v>
      </c>
      <c r="AN91" t="s" s="0">
        <v>300</v>
      </c>
      <c r="AO91" t="s" s="0">
        <v>103</v>
      </c>
      <c r="AP91" t="s" s="0">
        <v>101</v>
      </c>
      <c r="AQ91" t="s" s="0">
        <v>254</v>
      </c>
      <c r="AR91" t="s" s="0">
        <v>255</v>
      </c>
      <c r="AS91" t="s" s="0">
        <v>2468</v>
      </c>
      <c r="AT91" t="s" s="0">
        <v>2551</v>
      </c>
      <c r="AU91" t="s" s="0">
        <v>2552</v>
      </c>
      <c r="AV91" t="s" s="0">
        <v>82</v>
      </c>
      <c r="AW91" t="s" s="0">
        <v>2553</v>
      </c>
      <c r="AX91" t="s" s="0">
        <v>2554</v>
      </c>
      <c r="AY91" t="s" s="0">
        <v>981</v>
      </c>
      <c r="AZ91" t="s" s="0">
        <v>842</v>
      </c>
      <c r="BA91" t="s" s="0">
        <v>2595</v>
      </c>
      <c r="BB91" t="s" s="0">
        <v>82</v>
      </c>
      <c r="BC91" t="s" s="0">
        <v>82</v>
      </c>
      <c r="BD91" t="s" s="0">
        <v>82</v>
      </c>
      <c r="BE91" t="s" s="0">
        <v>82</v>
      </c>
      <c r="BF91" t="s" s="0">
        <v>82</v>
      </c>
      <c r="BG91" t="s" s="0">
        <v>524</v>
      </c>
      <c r="BH91" t="s" s="0">
        <v>494</v>
      </c>
      <c r="BI91" t="s" s="0">
        <v>82</v>
      </c>
      <c r="BJ91" t="s" s="0">
        <v>2596</v>
      </c>
      <c r="BK91" t="s" s="179">
        <f>HYPERLINK("http://dx.doi.org/10.1016/j.jclinepi.2023.05.002","http://dx.doi.org/10.1016/j.jclinepi.2023.05.002")</f>
        <v>2597</v>
      </c>
      <c r="BL91" t="s" s="0">
        <v>82</v>
      </c>
      <c r="BM91" t="s" s="0">
        <v>2598</v>
      </c>
      <c r="BN91" t="s" s="0">
        <v>158</v>
      </c>
      <c r="BO91" t="s" s="0">
        <v>2559</v>
      </c>
      <c r="BP91" t="s" s="0">
        <v>2559</v>
      </c>
      <c r="BQ91" t="s" s="0">
        <v>2599</v>
      </c>
      <c r="BR91" t="s" s="0">
        <v>2600</v>
      </c>
      <c r="BS91" t="s" s="0">
        <v>2601</v>
      </c>
      <c r="BT91" t="s" s="180">
        <f>HYPERLINK("https://www.webofscience.com/wos/woscc/full-record/WOS:001014464100001","View Record in Web of Science")</f>
        <v>124</v>
      </c>
      <c r="BU91" t="s" s="0">
        <v>163</v>
      </c>
      <c r="BV91" t="s" s="0">
        <v>82</v>
      </c>
      <c r="BW91" t="s" s="0">
        <v>82</v>
      </c>
      <c r="BX91" t="s" s="0">
        <v>126</v>
      </c>
    </row>
    <row r="92">
      <c r="A92" t="s" s="0">
        <v>77</v>
      </c>
      <c r="B92" t="s" s="0">
        <v>77</v>
      </c>
      <c r="C92" t="s" s="0">
        <v>77</v>
      </c>
      <c r="D92" t="s" s="0">
        <v>77</v>
      </c>
      <c r="E92" t="s" s="0">
        <v>2602</v>
      </c>
      <c r="F92" t="s" s="0">
        <v>2603</v>
      </c>
      <c r="G92" t="s" s="0">
        <v>2604</v>
      </c>
      <c r="H92" t="s" s="0">
        <v>82</v>
      </c>
      <c r="I92" t="s" s="0">
        <v>83</v>
      </c>
      <c r="J92" t="s" s="0">
        <v>2605</v>
      </c>
      <c r="K92" t="s" s="0">
        <v>2606</v>
      </c>
      <c r="L92" t="s" s="0">
        <v>2607</v>
      </c>
      <c r="M92" t="s" s="0">
        <v>2608</v>
      </c>
      <c r="N92" t="s" s="0">
        <v>2609</v>
      </c>
      <c r="O92" t="s" s="0">
        <v>2610</v>
      </c>
      <c r="P92" t="s" s="0">
        <v>2611</v>
      </c>
      <c r="Q92" t="s" s="0">
        <v>91</v>
      </c>
      <c r="R92" t="s" s="0">
        <v>82</v>
      </c>
      <c r="S92" t="s" s="0">
        <v>82</v>
      </c>
      <c r="T92" t="s" s="0">
        <v>82</v>
      </c>
      <c r="U92" t="s" s="0">
        <v>82</v>
      </c>
      <c r="V92" t="s" s="0">
        <v>2612</v>
      </c>
      <c r="W92" t="s" s="0">
        <v>2613</v>
      </c>
      <c r="X92" t="s" s="0">
        <v>82</v>
      </c>
      <c r="Y92" t="s" s="0">
        <v>82</v>
      </c>
      <c r="Z92" t="s" s="0">
        <v>94</v>
      </c>
      <c r="AA92" t="s" s="0">
        <v>95</v>
      </c>
      <c r="AB92" t="s" s="0">
        <v>82</v>
      </c>
      <c r="AC92" t="s" s="0">
        <v>82</v>
      </c>
      <c r="AD92" t="s" s="0">
        <v>82</v>
      </c>
      <c r="AE92" t="s" s="0">
        <v>82</v>
      </c>
      <c r="AF92" t="s" s="0">
        <v>82</v>
      </c>
      <c r="AG92" t="s" s="0">
        <v>2614</v>
      </c>
      <c r="AH92" t="s" s="0">
        <v>2615</v>
      </c>
      <c r="AI92" t="s" s="0">
        <v>2616</v>
      </c>
      <c r="AJ92" t="s" s="0">
        <v>82</v>
      </c>
      <c r="AK92" t="s" s="0">
        <v>82</v>
      </c>
      <c r="AL92" t="s" s="0">
        <v>812</v>
      </c>
      <c r="AM92" t="s" s="0">
        <v>78</v>
      </c>
      <c r="AN92" t="s" s="0">
        <v>78</v>
      </c>
      <c r="AO92" t="s" s="0">
        <v>77</v>
      </c>
      <c r="AP92" t="s" s="0">
        <v>77</v>
      </c>
      <c r="AQ92" t="s" s="0">
        <v>670</v>
      </c>
      <c r="AR92" t="s" s="0">
        <v>255</v>
      </c>
      <c r="AS92" t="s" s="0">
        <v>671</v>
      </c>
      <c r="AT92" t="s" s="0">
        <v>2617</v>
      </c>
      <c r="AU92" t="s" s="0">
        <v>2618</v>
      </c>
      <c r="AV92" t="s" s="0">
        <v>82</v>
      </c>
      <c r="AW92" t="s" s="0">
        <v>2619</v>
      </c>
      <c r="AX92" t="s" s="0">
        <v>2620</v>
      </c>
      <c r="AY92" t="s" s="0">
        <v>476</v>
      </c>
      <c r="AZ92" t="s" s="0">
        <v>150</v>
      </c>
      <c r="BA92" t="s" s="0">
        <v>2621</v>
      </c>
      <c r="BB92" t="s" s="0">
        <v>291</v>
      </c>
      <c r="BC92" t="s" s="0">
        <v>82</v>
      </c>
      <c r="BD92" t="s" s="0">
        <v>82</v>
      </c>
      <c r="BE92" t="s" s="0">
        <v>82</v>
      </c>
      <c r="BF92" t="s" s="0">
        <v>82</v>
      </c>
      <c r="BG92" t="s" s="0">
        <v>2622</v>
      </c>
      <c r="BH92" t="s" s="0">
        <v>2623</v>
      </c>
      <c r="BI92" t="s" s="0">
        <v>82</v>
      </c>
      <c r="BJ92" t="s" s="0">
        <v>2624</v>
      </c>
      <c r="BK92" t="s" s="181">
        <f>HYPERLINK("http://dx.doi.org/10.1007/s11695-026-08686-2","http://dx.doi.org/10.1007/s11695-026-08686-2")</f>
        <v>2625</v>
      </c>
      <c r="BL92" t="s" s="0">
        <v>82</v>
      </c>
      <c r="BM92" t="s" s="0">
        <v>408</v>
      </c>
      <c r="BN92" t="s" s="0">
        <v>268</v>
      </c>
      <c r="BO92" t="s" s="0">
        <v>1779</v>
      </c>
      <c r="BP92" t="s" s="0">
        <v>1779</v>
      </c>
      <c r="BQ92" t="s" s="0">
        <v>2626</v>
      </c>
      <c r="BR92" t="s" s="0">
        <v>2627</v>
      </c>
      <c r="BS92" t="s" s="0">
        <v>2628</v>
      </c>
      <c r="BT92" t="s" s="182">
        <f>HYPERLINK("https://www.webofscience.com/wos/woscc/full-record/WOS:001745344700001","View Record in Web of Science")</f>
        <v>124</v>
      </c>
      <c r="BU92" t="s" s="0">
        <v>82</v>
      </c>
      <c r="BV92" t="s" s="0">
        <v>82</v>
      </c>
      <c r="BW92" t="s" s="0">
        <v>82</v>
      </c>
      <c r="BX92" t="s" s="0">
        <v>126</v>
      </c>
    </row>
    <row r="93">
      <c r="A93" t="s" s="0">
        <v>77</v>
      </c>
      <c r="B93" t="s" s="0">
        <v>77</v>
      </c>
      <c r="C93" t="s" s="0">
        <v>77</v>
      </c>
      <c r="D93" t="s" s="0">
        <v>77</v>
      </c>
      <c r="E93" t="s" s="0">
        <v>2629</v>
      </c>
      <c r="F93" t="s" s="0">
        <v>2630</v>
      </c>
      <c r="G93" t="s" s="0">
        <v>2631</v>
      </c>
      <c r="H93" t="s" s="0">
        <v>82</v>
      </c>
      <c r="I93" t="s" s="0">
        <v>83</v>
      </c>
      <c r="J93" t="s" s="0">
        <v>2632</v>
      </c>
      <c r="K93" t="s" s="0">
        <v>2633</v>
      </c>
      <c r="L93" t="s" s="0">
        <v>2634</v>
      </c>
      <c r="M93" t="s" s="0">
        <v>2635</v>
      </c>
      <c r="N93" t="s" s="0">
        <v>2636</v>
      </c>
      <c r="O93" t="s" s="0">
        <v>2637</v>
      </c>
      <c r="P93" t="s" s="0">
        <v>2638</v>
      </c>
      <c r="Q93" t="s" s="0">
        <v>91</v>
      </c>
      <c r="R93" t="s" s="0">
        <v>82</v>
      </c>
      <c r="S93" t="s" s="0">
        <v>82</v>
      </c>
      <c r="T93" t="s" s="0">
        <v>82</v>
      </c>
      <c r="U93" t="s" s="0">
        <v>82</v>
      </c>
      <c r="V93" t="s" s="0">
        <v>2639</v>
      </c>
      <c r="W93" t="s" s="0">
        <v>2640</v>
      </c>
      <c r="X93" t="s" s="0">
        <v>82</v>
      </c>
      <c r="Y93" t="s" s="0">
        <v>82</v>
      </c>
      <c r="Z93" t="s" s="0">
        <v>94</v>
      </c>
      <c r="AA93" t="s" s="0">
        <v>95</v>
      </c>
      <c r="AB93" t="s" s="0">
        <v>82</v>
      </c>
      <c r="AC93" t="s" s="0">
        <v>82</v>
      </c>
      <c r="AD93" t="s" s="0">
        <v>82</v>
      </c>
      <c r="AE93" t="s" s="0">
        <v>82</v>
      </c>
      <c r="AF93" t="s" s="0">
        <v>82</v>
      </c>
      <c r="AG93" t="s" s="0">
        <v>2641</v>
      </c>
      <c r="AH93" t="s" s="0">
        <v>2642</v>
      </c>
      <c r="AI93" t="s" s="0">
        <v>82</v>
      </c>
      <c r="AJ93" t="s" s="0">
        <v>82</v>
      </c>
      <c r="AK93" t="s" s="0">
        <v>82</v>
      </c>
      <c r="AL93" t="s" s="0">
        <v>463</v>
      </c>
      <c r="AM93" t="s" s="0">
        <v>77</v>
      </c>
      <c r="AN93" t="s" s="0">
        <v>77</v>
      </c>
      <c r="AO93" t="s" s="0">
        <v>78</v>
      </c>
      <c r="AP93" t="s" s="0">
        <v>78</v>
      </c>
      <c r="AQ93" t="s" s="0">
        <v>254</v>
      </c>
      <c r="AR93" t="s" s="0">
        <v>255</v>
      </c>
      <c r="AS93" t="s" s="0">
        <v>2468</v>
      </c>
      <c r="AT93" t="s" s="0">
        <v>2643</v>
      </c>
      <c r="AU93" t="s" s="0">
        <v>2644</v>
      </c>
      <c r="AV93" t="s" s="0">
        <v>82</v>
      </c>
      <c r="AW93" t="s" s="0">
        <v>2645</v>
      </c>
      <c r="AX93" t="s" s="0">
        <v>2646</v>
      </c>
      <c r="AY93" t="s" s="0">
        <v>2647</v>
      </c>
      <c r="AZ93" t="s" s="0">
        <v>150</v>
      </c>
      <c r="BA93" t="s" s="0">
        <v>2648</v>
      </c>
      <c r="BB93" t="s" s="0">
        <v>82</v>
      </c>
      <c r="BC93" t="s" s="0">
        <v>82</v>
      </c>
      <c r="BD93" t="s" s="0">
        <v>82</v>
      </c>
      <c r="BE93" t="s" s="0">
        <v>82</v>
      </c>
      <c r="BF93" t="s" s="0">
        <v>82</v>
      </c>
      <c r="BG93" t="s" s="0">
        <v>82</v>
      </c>
      <c r="BH93" t="s" s="0">
        <v>82</v>
      </c>
      <c r="BI93" t="s" s="0">
        <v>2649</v>
      </c>
      <c r="BJ93" t="s" s="0">
        <v>2650</v>
      </c>
      <c r="BK93" t="s" s="183">
        <f>HYPERLINK("http://dx.doi.org/10.1016/j.critrevonc.2026.105483","http://dx.doi.org/10.1016/j.critrevonc.2026.105483")</f>
        <v>2651</v>
      </c>
      <c r="BL93" t="s" s="0">
        <v>82</v>
      </c>
      <c r="BM93" t="s" s="0">
        <v>82</v>
      </c>
      <c r="BN93" t="s" s="0">
        <v>634</v>
      </c>
      <c r="BO93" t="s" s="0">
        <v>2652</v>
      </c>
      <c r="BP93" t="s" s="0">
        <v>2652</v>
      </c>
      <c r="BQ93" t="s" s="0">
        <v>2653</v>
      </c>
      <c r="BR93" t="s" s="0">
        <v>2654</v>
      </c>
      <c r="BS93" t="s" s="0">
        <v>2655</v>
      </c>
      <c r="BT93" t="s" s="184">
        <f>HYPERLINK("https://www.webofscience.com/wos/woscc/full-record/WOS:001827943500001","View Record in Web of Science")</f>
        <v>124</v>
      </c>
      <c r="BU93" t="s" s="0">
        <v>82</v>
      </c>
      <c r="BV93" t="s" s="0">
        <v>82</v>
      </c>
      <c r="BW93" t="s" s="0">
        <v>82</v>
      </c>
      <c r="BX93" t="s" s="0">
        <v>126</v>
      </c>
    </row>
    <row r="94">
      <c r="A94" t="s" s="0">
        <v>77</v>
      </c>
      <c r="B94" t="s" s="0">
        <v>77</v>
      </c>
      <c r="C94" t="s" s="0">
        <v>103</v>
      </c>
      <c r="D94" t="s" s="0">
        <v>78</v>
      </c>
      <c r="E94" t="s" s="0">
        <v>2656</v>
      </c>
      <c r="F94" t="s" s="0">
        <v>2657</v>
      </c>
      <c r="G94" t="s" s="0">
        <v>2658</v>
      </c>
      <c r="H94" t="s" s="0">
        <v>82</v>
      </c>
      <c r="I94" t="s" s="0">
        <v>83</v>
      </c>
      <c r="J94" t="s" s="0">
        <v>2659</v>
      </c>
      <c r="K94" t="s" s="0">
        <v>2660</v>
      </c>
      <c r="L94" t="s" s="0">
        <v>82</v>
      </c>
      <c r="M94" t="s" s="0">
        <v>82</v>
      </c>
      <c r="N94" t="s" s="0">
        <v>82</v>
      </c>
      <c r="O94" t="s" s="0">
        <v>2661</v>
      </c>
      <c r="P94" t="s" s="0">
        <v>2662</v>
      </c>
      <c r="Q94" t="s" s="0">
        <v>91</v>
      </c>
      <c r="R94" t="s" s="0">
        <v>82</v>
      </c>
      <c r="S94" t="s" s="0">
        <v>82</v>
      </c>
      <c r="T94" t="s" s="0">
        <v>82</v>
      </c>
      <c r="U94" t="s" s="0">
        <v>82</v>
      </c>
      <c r="V94" t="s" s="0">
        <v>2663</v>
      </c>
      <c r="W94" t="s" s="0">
        <v>2664</v>
      </c>
      <c r="X94" t="s" s="0">
        <v>82</v>
      </c>
      <c r="Y94" t="s" s="0">
        <v>82</v>
      </c>
      <c r="Z94" t="s" s="0">
        <v>94</v>
      </c>
      <c r="AA94" t="s" s="0">
        <v>95</v>
      </c>
      <c r="AB94" t="s" s="0">
        <v>82</v>
      </c>
      <c r="AC94" t="s" s="0">
        <v>82</v>
      </c>
      <c r="AD94" t="s" s="0">
        <v>82</v>
      </c>
      <c r="AE94" t="s" s="0">
        <v>82</v>
      </c>
      <c r="AF94" t="s" s="0">
        <v>82</v>
      </c>
      <c r="AG94" t="s" s="0">
        <v>2665</v>
      </c>
      <c r="AH94" t="s" s="0">
        <v>2666</v>
      </c>
      <c r="AI94" t="s" s="0">
        <v>82</v>
      </c>
      <c r="AJ94" t="s" s="0">
        <v>82</v>
      </c>
      <c r="AK94" t="s" s="0">
        <v>82</v>
      </c>
      <c r="AL94" t="s" s="0">
        <v>2667</v>
      </c>
      <c r="AM94" t="s" s="0">
        <v>377</v>
      </c>
      <c r="AN94" t="s" s="0">
        <v>634</v>
      </c>
      <c r="AO94" t="s" s="0">
        <v>77</v>
      </c>
      <c r="AP94" t="s" s="0">
        <v>179</v>
      </c>
      <c r="AQ94" t="s" s="0">
        <v>2668</v>
      </c>
      <c r="AR94" t="s" s="0">
        <v>2669</v>
      </c>
      <c r="AS94" t="s" s="0">
        <v>2670</v>
      </c>
      <c r="AT94" t="s" s="0">
        <v>2671</v>
      </c>
      <c r="AU94" t="s" s="0">
        <v>2672</v>
      </c>
      <c r="AV94" t="s" s="0">
        <v>82</v>
      </c>
      <c r="AW94" t="s" s="0">
        <v>2673</v>
      </c>
      <c r="AX94" t="s" s="0">
        <v>2674</v>
      </c>
      <c r="AY94" t="s" s="0">
        <v>2675</v>
      </c>
      <c r="AZ94" t="s" s="0">
        <v>643</v>
      </c>
      <c r="BA94" t="s" s="0">
        <v>101</v>
      </c>
      <c r="BB94" t="s" s="0">
        <v>152</v>
      </c>
      <c r="BC94" t="s" s="0">
        <v>2676</v>
      </c>
      <c r="BD94" t="s" s="0">
        <v>82</v>
      </c>
      <c r="BE94" t="s" s="0">
        <v>82</v>
      </c>
      <c r="BF94" t="s" s="0">
        <v>82</v>
      </c>
      <c r="BG94" t="s" s="0">
        <v>374</v>
      </c>
      <c r="BH94" t="s" s="0">
        <v>2677</v>
      </c>
      <c r="BI94" t="s" s="0">
        <v>82</v>
      </c>
      <c r="BJ94" t="s" s="0">
        <v>2678</v>
      </c>
      <c r="BK94" t="s" s="185">
        <f>HYPERLINK("http://dx.doi.org/10.21037/gs.2017.11.09","http://dx.doi.org/10.21037/gs.2017.11.09")</f>
        <v>2679</v>
      </c>
      <c r="BL94" t="s" s="0">
        <v>82</v>
      </c>
      <c r="BM94" t="s" s="0">
        <v>82</v>
      </c>
      <c r="BN94" t="s" s="0">
        <v>431</v>
      </c>
      <c r="BO94" t="s" s="0">
        <v>1779</v>
      </c>
      <c r="BP94" t="s" s="0">
        <v>1779</v>
      </c>
      <c r="BQ94" t="s" s="0">
        <v>2680</v>
      </c>
      <c r="BR94" t="s" s="0">
        <v>2681</v>
      </c>
      <c r="BS94" t="s" s="0">
        <v>2682</v>
      </c>
      <c r="BT94" t="s" s="186">
        <f>HYPERLINK("https://www.webofscience.com/wos/woscc/full-record/WOS:000441342900002","View Record in Web of Science")</f>
        <v>124</v>
      </c>
      <c r="BU94" t="s" s="0">
        <v>236</v>
      </c>
      <c r="BV94" t="s" s="0">
        <v>82</v>
      </c>
      <c r="BW94" t="s" s="0">
        <v>82</v>
      </c>
      <c r="BX94" t="s" s="0">
        <v>126</v>
      </c>
    </row>
    <row r="95">
      <c r="A95" t="s" s="0">
        <v>77</v>
      </c>
      <c r="B95" t="s" s="0">
        <v>77</v>
      </c>
      <c r="C95" t="s" s="0">
        <v>77</v>
      </c>
      <c r="D95" t="s" s="0">
        <v>77</v>
      </c>
      <c r="E95" t="s" s="0">
        <v>2683</v>
      </c>
      <c r="F95" t="s" s="0">
        <v>2684</v>
      </c>
      <c r="G95" t="s" s="0">
        <v>2685</v>
      </c>
      <c r="H95" t="s" s="0">
        <v>82</v>
      </c>
      <c r="I95" t="s" s="0">
        <v>83</v>
      </c>
      <c r="J95" t="s" s="0">
        <v>2686</v>
      </c>
      <c r="K95" t="s" s="0">
        <v>2687</v>
      </c>
      <c r="L95" t="s" s="0">
        <v>82</v>
      </c>
      <c r="M95" t="s" s="0">
        <v>82</v>
      </c>
      <c r="N95" t="s" s="0">
        <v>82</v>
      </c>
      <c r="O95" t="s" s="0">
        <v>2688</v>
      </c>
      <c r="P95" t="s" s="0">
        <v>2689</v>
      </c>
      <c r="Q95" t="s" s="0">
        <v>91</v>
      </c>
      <c r="R95" t="s" s="0">
        <v>82</v>
      </c>
      <c r="S95" t="s" s="0">
        <v>82</v>
      </c>
      <c r="T95" t="s" s="0">
        <v>82</v>
      </c>
      <c r="U95" t="s" s="0">
        <v>82</v>
      </c>
      <c r="V95" t="s" s="0">
        <v>2690</v>
      </c>
      <c r="W95" t="s" s="0">
        <v>1153</v>
      </c>
      <c r="X95" t="s" s="0">
        <v>82</v>
      </c>
      <c r="Y95" t="s" s="0">
        <v>82</v>
      </c>
      <c r="Z95" t="s" s="0">
        <v>94</v>
      </c>
      <c r="AA95" t="s" s="0">
        <v>95</v>
      </c>
      <c r="AB95" t="s" s="0">
        <v>82</v>
      </c>
      <c r="AC95" t="s" s="0">
        <v>82</v>
      </c>
      <c r="AD95" t="s" s="0">
        <v>82</v>
      </c>
      <c r="AE95" t="s" s="0">
        <v>82</v>
      </c>
      <c r="AF95" t="s" s="0">
        <v>82</v>
      </c>
      <c r="AG95" t="s" s="0">
        <v>2691</v>
      </c>
      <c r="AH95" t="s" s="0">
        <v>2692</v>
      </c>
      <c r="AI95" t="s" s="0">
        <v>2693</v>
      </c>
      <c r="AJ95" t="s" s="0">
        <v>82</v>
      </c>
      <c r="AK95" t="s" s="0">
        <v>82</v>
      </c>
      <c r="AL95" t="s" s="0">
        <v>976</v>
      </c>
      <c r="AM95" t="s" s="0">
        <v>77</v>
      </c>
      <c r="AN95" t="s" s="0">
        <v>77</v>
      </c>
      <c r="AO95" t="s" s="0">
        <v>103</v>
      </c>
      <c r="AP95" t="s" s="0">
        <v>103</v>
      </c>
      <c r="AQ95" t="s" s="0">
        <v>547</v>
      </c>
      <c r="AR95" t="s" s="0">
        <v>548</v>
      </c>
      <c r="AS95" t="s" s="0">
        <v>549</v>
      </c>
      <c r="AT95" t="s" s="0">
        <v>82</v>
      </c>
      <c r="AU95" t="s" s="0">
        <v>1156</v>
      </c>
      <c r="AV95" t="s" s="0">
        <v>82</v>
      </c>
      <c r="AW95" t="s" s="0">
        <v>1157</v>
      </c>
      <c r="AX95" t="s" s="0">
        <v>1158</v>
      </c>
      <c r="AY95" t="s" s="0">
        <v>2694</v>
      </c>
      <c r="AZ95" t="s" s="0">
        <v>150</v>
      </c>
      <c r="BA95" t="s" s="0">
        <v>300</v>
      </c>
      <c r="BB95" t="s" s="0">
        <v>82</v>
      </c>
      <c r="BC95" t="s" s="0">
        <v>82</v>
      </c>
      <c r="BD95" t="s" s="0">
        <v>82</v>
      </c>
      <c r="BE95" t="s" s="0">
        <v>82</v>
      </c>
      <c r="BF95" t="s" s="0">
        <v>82</v>
      </c>
      <c r="BG95" t="s" s="0">
        <v>82</v>
      </c>
      <c r="BH95" t="s" s="0">
        <v>82</v>
      </c>
      <c r="BI95" t="s" s="0">
        <v>2695</v>
      </c>
      <c r="BJ95" t="s" s="0">
        <v>2696</v>
      </c>
      <c r="BK95" t="s" s="187">
        <f>HYPERLINK("http://dx.doi.org/10.3389/fmed.2026.1849096","http://dx.doi.org/10.3389/fmed.2026.1849096")</f>
        <v>2697</v>
      </c>
      <c r="BL95" t="s" s="0">
        <v>82</v>
      </c>
      <c r="BM95" t="s" s="0">
        <v>1883</v>
      </c>
      <c r="BN95" t="s" s="0">
        <v>377</v>
      </c>
      <c r="BO95" t="s" s="0">
        <v>584</v>
      </c>
      <c r="BP95" t="s" s="0">
        <v>585</v>
      </c>
      <c r="BQ95" t="s" s="0">
        <v>2698</v>
      </c>
      <c r="BR95" t="s" s="0">
        <v>2699</v>
      </c>
      <c r="BS95" t="s" s="0">
        <v>2700</v>
      </c>
      <c r="BT95" t="s" s="188">
        <f>HYPERLINK("https://www.webofscience.com/wos/woscc/full-record/WOS:001787582300001","View Record in Web of Science")</f>
        <v>124</v>
      </c>
      <c r="BU95" t="s" s="0">
        <v>236</v>
      </c>
      <c r="BV95" t="s" s="0">
        <v>82</v>
      </c>
      <c r="BW95" t="s" s="0">
        <v>82</v>
      </c>
      <c r="BX95" t="s" s="0">
        <v>126</v>
      </c>
    </row>
    <row r="96">
      <c r="A96" t="s" s="0">
        <v>77</v>
      </c>
      <c r="B96" t="s" s="0">
        <v>77</v>
      </c>
      <c r="C96" t="s" s="0">
        <v>77</v>
      </c>
      <c r="D96" t="s" s="0">
        <v>77</v>
      </c>
      <c r="E96" t="s" s="0">
        <v>2701</v>
      </c>
      <c r="F96" t="s" s="0">
        <v>2702</v>
      </c>
      <c r="G96" t="s" s="0">
        <v>2703</v>
      </c>
      <c r="H96" t="s" s="0">
        <v>82</v>
      </c>
      <c r="I96" t="s" s="0">
        <v>83</v>
      </c>
      <c r="J96" t="s" s="0">
        <v>2704</v>
      </c>
      <c r="K96" t="s" s="0">
        <v>2705</v>
      </c>
      <c r="L96" t="s" s="0">
        <v>82</v>
      </c>
      <c r="M96" t="s" s="0">
        <v>82</v>
      </c>
      <c r="N96" t="s" s="0">
        <v>82</v>
      </c>
      <c r="O96" t="s" s="0">
        <v>2706</v>
      </c>
      <c r="P96" t="s" s="0">
        <v>82</v>
      </c>
      <c r="Q96" t="s" s="0">
        <v>91</v>
      </c>
      <c r="R96" t="s" s="0">
        <v>82</v>
      </c>
      <c r="S96" t="s" s="0">
        <v>82</v>
      </c>
      <c r="T96" t="s" s="0">
        <v>82</v>
      </c>
      <c r="U96" t="s" s="0">
        <v>82</v>
      </c>
      <c r="V96" t="s" s="0">
        <v>2707</v>
      </c>
      <c r="W96" t="s" s="0">
        <v>2708</v>
      </c>
      <c r="X96" t="s" s="0">
        <v>82</v>
      </c>
      <c r="Y96" t="s" s="0">
        <v>82</v>
      </c>
      <c r="Z96" t="s" s="0">
        <v>94</v>
      </c>
      <c r="AA96" t="s" s="0">
        <v>95</v>
      </c>
      <c r="AB96" t="s" s="0">
        <v>82</v>
      </c>
      <c r="AC96" t="s" s="0">
        <v>82</v>
      </c>
      <c r="AD96" t="s" s="0">
        <v>82</v>
      </c>
      <c r="AE96" t="s" s="0">
        <v>82</v>
      </c>
      <c r="AF96" t="s" s="0">
        <v>82</v>
      </c>
      <c r="AG96" t="s" s="0">
        <v>2709</v>
      </c>
      <c r="AH96" t="s" s="0">
        <v>2710</v>
      </c>
      <c r="AI96" t="s" s="0">
        <v>82</v>
      </c>
      <c r="AJ96" t="s" s="0">
        <v>82</v>
      </c>
      <c r="AK96" t="s" s="0">
        <v>82</v>
      </c>
      <c r="AL96" t="s" s="0">
        <v>100</v>
      </c>
      <c r="AM96" t="s" s="0">
        <v>78</v>
      </c>
      <c r="AN96" t="s" s="0">
        <v>103</v>
      </c>
      <c r="AO96" t="s" s="0">
        <v>372</v>
      </c>
      <c r="AP96" t="s" s="0">
        <v>119</v>
      </c>
      <c r="AQ96" t="s" s="0">
        <v>547</v>
      </c>
      <c r="AR96" t="s" s="0">
        <v>548</v>
      </c>
      <c r="AS96" t="s" s="0">
        <v>549</v>
      </c>
      <c r="AT96" t="s" s="0">
        <v>2711</v>
      </c>
      <c r="AU96" t="s" s="0">
        <v>82</v>
      </c>
      <c r="AV96" t="s" s="0">
        <v>82</v>
      </c>
      <c r="AW96" t="s" s="0">
        <v>2712</v>
      </c>
      <c r="AX96" t="s" s="0">
        <v>2713</v>
      </c>
      <c r="AY96" t="s" s="0">
        <v>2714</v>
      </c>
      <c r="AZ96" t="s" s="0">
        <v>112</v>
      </c>
      <c r="BA96" t="s" s="0">
        <v>431</v>
      </c>
      <c r="BB96" t="s" s="0">
        <v>82</v>
      </c>
      <c r="BC96" t="s" s="0">
        <v>82</v>
      </c>
      <c r="BD96" t="s" s="0">
        <v>82</v>
      </c>
      <c r="BE96" t="s" s="0">
        <v>82</v>
      </c>
      <c r="BF96" t="s" s="0">
        <v>82</v>
      </c>
      <c r="BG96" t="s" s="0">
        <v>82</v>
      </c>
      <c r="BH96" t="s" s="0">
        <v>82</v>
      </c>
      <c r="BI96" t="s" s="0">
        <v>2715</v>
      </c>
      <c r="BJ96" t="s" s="0">
        <v>2716</v>
      </c>
      <c r="BK96" t="s" s="189">
        <f>HYPERLINK("http://dx.doi.org/10.3389/fendo.2025.1582156","http://dx.doi.org/10.3389/fendo.2025.1582156")</f>
        <v>2717</v>
      </c>
      <c r="BL96" t="s" s="0">
        <v>82</v>
      </c>
      <c r="BM96" t="s" s="0">
        <v>82</v>
      </c>
      <c r="BN96" t="s" s="0">
        <v>377</v>
      </c>
      <c r="BO96" t="s" s="0">
        <v>409</v>
      </c>
      <c r="BP96" t="s" s="0">
        <v>409</v>
      </c>
      <c r="BQ96" t="s" s="0">
        <v>2718</v>
      </c>
      <c r="BR96" t="s" s="0">
        <v>2719</v>
      </c>
      <c r="BS96" t="s" s="0">
        <v>2720</v>
      </c>
      <c r="BT96" t="s" s="190">
        <f>HYPERLINK("https://www.webofscience.com/wos/woscc/full-record/WOS:001506800900001","View Record in Web of Science")</f>
        <v>124</v>
      </c>
      <c r="BU96" t="s" s="0">
        <v>236</v>
      </c>
      <c r="BV96" t="s" s="0">
        <v>82</v>
      </c>
      <c r="BW96" t="s" s="0">
        <v>82</v>
      </c>
      <c r="BX96" t="s" s="0">
        <v>126</v>
      </c>
    </row>
    <row r="97">
      <c r="A97" t="s" s="0">
        <v>77</v>
      </c>
      <c r="B97" t="s" s="0">
        <v>77</v>
      </c>
      <c r="C97" t="s" s="0">
        <v>77</v>
      </c>
      <c r="D97" t="s" s="0">
        <v>77</v>
      </c>
      <c r="E97" t="s" s="0">
        <v>2721</v>
      </c>
      <c r="F97" t="s" s="0">
        <v>2722</v>
      </c>
      <c r="G97" t="s" s="0">
        <v>2723</v>
      </c>
      <c r="H97" t="s" s="0">
        <v>82</v>
      </c>
      <c r="I97" t="s" s="0">
        <v>167</v>
      </c>
      <c r="J97" t="s" s="0">
        <v>2724</v>
      </c>
      <c r="K97" t="s" s="0">
        <v>2725</v>
      </c>
      <c r="L97" t="s" s="0">
        <v>2726</v>
      </c>
      <c r="M97" t="s" s="0">
        <v>2727</v>
      </c>
      <c r="N97" t="s" s="0">
        <v>2728</v>
      </c>
      <c r="O97" t="s" s="0">
        <v>2729</v>
      </c>
      <c r="P97" t="s" s="0">
        <v>2730</v>
      </c>
      <c r="Q97" t="s" s="0">
        <v>91</v>
      </c>
      <c r="R97" t="s" s="0">
        <v>82</v>
      </c>
      <c r="S97" t="s" s="0">
        <v>82</v>
      </c>
      <c r="T97" t="s" s="0">
        <v>82</v>
      </c>
      <c r="U97" t="s" s="0">
        <v>82</v>
      </c>
      <c r="V97" t="s" s="0">
        <v>2731</v>
      </c>
      <c r="W97" t="s" s="0">
        <v>2732</v>
      </c>
      <c r="X97" t="s" s="0">
        <v>82</v>
      </c>
      <c r="Y97" t="s" s="0">
        <v>82</v>
      </c>
      <c r="Z97" t="s" s="0">
        <v>94</v>
      </c>
      <c r="AA97" t="s" s="0">
        <v>95</v>
      </c>
      <c r="AB97" t="s" s="0">
        <v>82</v>
      </c>
      <c r="AC97" t="s" s="0">
        <v>82</v>
      </c>
      <c r="AD97" t="s" s="0">
        <v>82</v>
      </c>
      <c r="AE97" t="s" s="0">
        <v>82</v>
      </c>
      <c r="AF97" t="s" s="0">
        <v>82</v>
      </c>
      <c r="AG97" t="s" s="0">
        <v>2733</v>
      </c>
      <c r="AH97" t="s" s="0">
        <v>2734</v>
      </c>
      <c r="AI97" t="s" s="0">
        <v>82</v>
      </c>
      <c r="AJ97" t="s" s="0">
        <v>82</v>
      </c>
      <c r="AK97" t="s" s="0">
        <v>82</v>
      </c>
      <c r="AL97" t="s" s="0">
        <v>2621</v>
      </c>
      <c r="AM97" t="s" s="0">
        <v>77</v>
      </c>
      <c r="AN97" t="s" s="0">
        <v>77</v>
      </c>
      <c r="AO97" t="s" s="0">
        <v>78</v>
      </c>
      <c r="AP97" t="s" s="0">
        <v>78</v>
      </c>
      <c r="AQ97" t="s" s="0">
        <v>104</v>
      </c>
      <c r="AR97" t="s" s="0">
        <v>105</v>
      </c>
      <c r="AS97" t="s" s="0">
        <v>106</v>
      </c>
      <c r="AT97" t="s" s="0">
        <v>2735</v>
      </c>
      <c r="AU97" t="s" s="0">
        <v>2736</v>
      </c>
      <c r="AV97" t="s" s="0">
        <v>82</v>
      </c>
      <c r="AW97" t="s" s="0">
        <v>2732</v>
      </c>
      <c r="AX97" t="s" s="0">
        <v>2737</v>
      </c>
      <c r="AY97" t="s" s="0">
        <v>1315</v>
      </c>
      <c r="AZ97" t="s" s="0">
        <v>150</v>
      </c>
      <c r="BA97" t="s" s="0">
        <v>2595</v>
      </c>
      <c r="BB97" t="s" s="0">
        <v>82</v>
      </c>
      <c r="BC97" t="s" s="0">
        <v>82</v>
      </c>
      <c r="BD97" t="s" s="0">
        <v>82</v>
      </c>
      <c r="BE97" t="s" s="0">
        <v>82</v>
      </c>
      <c r="BF97" t="s" s="0">
        <v>82</v>
      </c>
      <c r="BG97" t="s" s="0">
        <v>82</v>
      </c>
      <c r="BH97" t="s" s="0">
        <v>82</v>
      </c>
      <c r="BI97" t="s" s="0">
        <v>2738</v>
      </c>
      <c r="BJ97" t="s" s="0">
        <v>2739</v>
      </c>
      <c r="BK97" t="s" s="191">
        <f>HYPERLINK("http://dx.doi.org/10.1016/j.midw.2026.104778","http://dx.doi.org/10.1016/j.midw.2026.104778")</f>
        <v>2740</v>
      </c>
      <c r="BL97" t="s" s="0">
        <v>82</v>
      </c>
      <c r="BM97" t="s" s="0">
        <v>82</v>
      </c>
      <c r="BN97" t="s" s="0">
        <v>119</v>
      </c>
      <c r="BO97" t="s" s="0">
        <v>2741</v>
      </c>
      <c r="BP97" t="s" s="0">
        <v>2741</v>
      </c>
      <c r="BQ97" t="s" s="0">
        <v>2742</v>
      </c>
      <c r="BR97" t="s" s="0">
        <v>2743</v>
      </c>
      <c r="BS97" t="s" s="0">
        <v>2744</v>
      </c>
      <c r="BT97" t="s" s="192">
        <f>HYPERLINK("https://www.webofscience.com/wos/woscc/full-record/WOS:001758557500001","View Record in Web of Science")</f>
        <v>124</v>
      </c>
      <c r="BU97" t="s" s="0">
        <v>82</v>
      </c>
      <c r="BV97" t="s" s="0">
        <v>82</v>
      </c>
      <c r="BW97" t="s" s="0">
        <v>82</v>
      </c>
      <c r="BX97" t="s" s="0">
        <v>126</v>
      </c>
    </row>
    <row r="98">
      <c r="A98" t="s" s="0">
        <v>77</v>
      </c>
      <c r="B98" t="s" s="0">
        <v>77</v>
      </c>
      <c r="C98" t="s" s="0">
        <v>634</v>
      </c>
      <c r="D98" t="s" s="0">
        <v>77</v>
      </c>
      <c r="E98" t="s" s="0">
        <v>2745</v>
      </c>
      <c r="F98" t="s" s="0">
        <v>2746</v>
      </c>
      <c r="G98" t="s" s="0">
        <v>2747</v>
      </c>
      <c r="H98" t="s" s="0">
        <v>82</v>
      </c>
      <c r="I98" t="s" s="0">
        <v>83</v>
      </c>
      <c r="J98" t="s" s="0">
        <v>2748</v>
      </c>
      <c r="K98" t="s" s="0">
        <v>2749</v>
      </c>
      <c r="L98" t="s" s="0">
        <v>2750</v>
      </c>
      <c r="M98" t="s" s="0">
        <v>2751</v>
      </c>
      <c r="N98" t="s" s="0">
        <v>2752</v>
      </c>
      <c r="O98" t="s" s="0">
        <v>2753</v>
      </c>
      <c r="P98" t="s" s="0">
        <v>2754</v>
      </c>
      <c r="Q98" t="s" s="0">
        <v>91</v>
      </c>
      <c r="R98" t="s" s="0">
        <v>82</v>
      </c>
      <c r="S98" t="s" s="0">
        <v>82</v>
      </c>
      <c r="T98" t="s" s="0">
        <v>82</v>
      </c>
      <c r="U98" t="s" s="0">
        <v>82</v>
      </c>
      <c r="V98" t="s" s="0">
        <v>2755</v>
      </c>
      <c r="W98" t="s" s="0">
        <v>2756</v>
      </c>
      <c r="X98" t="s" s="0">
        <v>82</v>
      </c>
      <c r="Y98" t="s" s="0">
        <v>82</v>
      </c>
      <c r="Z98" t="s" s="0">
        <v>94</v>
      </c>
      <c r="AA98" t="s" s="0">
        <v>95</v>
      </c>
      <c r="AB98" t="s" s="0">
        <v>82</v>
      </c>
      <c r="AC98" t="s" s="0">
        <v>82</v>
      </c>
      <c r="AD98" t="s" s="0">
        <v>82</v>
      </c>
      <c r="AE98" t="s" s="0">
        <v>82</v>
      </c>
      <c r="AF98" t="s" s="0">
        <v>82</v>
      </c>
      <c r="AG98" t="s" s="0">
        <v>2757</v>
      </c>
      <c r="AH98" t="s" s="0">
        <v>2758</v>
      </c>
      <c r="AI98" t="s" s="0">
        <v>2759</v>
      </c>
      <c r="AJ98" t="s" s="0">
        <v>2760</v>
      </c>
      <c r="AK98" t="s" s="0">
        <v>82</v>
      </c>
      <c r="AL98" t="s" s="0">
        <v>377</v>
      </c>
      <c r="AM98" t="s" s="0">
        <v>113</v>
      </c>
      <c r="AN98" t="s" s="0">
        <v>2273</v>
      </c>
      <c r="AO98" t="s" s="0">
        <v>77</v>
      </c>
      <c r="AP98" t="s" s="0">
        <v>377</v>
      </c>
      <c r="AQ98" t="s" s="0">
        <v>760</v>
      </c>
      <c r="AR98" t="s" s="0">
        <v>761</v>
      </c>
      <c r="AS98" t="s" s="0">
        <v>762</v>
      </c>
      <c r="AT98" t="s" s="0">
        <v>2761</v>
      </c>
      <c r="AU98" t="s" s="0">
        <v>2762</v>
      </c>
      <c r="AV98" t="s" s="0">
        <v>82</v>
      </c>
      <c r="AW98" t="s" s="0">
        <v>2756</v>
      </c>
      <c r="AX98" t="s" s="0">
        <v>2763</v>
      </c>
      <c r="AY98" t="s" s="0">
        <v>2764</v>
      </c>
      <c r="AZ98" t="s" s="0">
        <v>1075</v>
      </c>
      <c r="BA98" t="s" s="0">
        <v>328</v>
      </c>
      <c r="BB98" t="s" s="0">
        <v>377</v>
      </c>
      <c r="BC98" t="s" s="0">
        <v>82</v>
      </c>
      <c r="BD98" t="s" s="0">
        <v>82</v>
      </c>
      <c r="BE98" t="s" s="0">
        <v>82</v>
      </c>
      <c r="BF98" t="s" s="0">
        <v>82</v>
      </c>
      <c r="BG98" t="s" s="0">
        <v>2765</v>
      </c>
      <c r="BH98" t="s" s="0">
        <v>2766</v>
      </c>
      <c r="BI98" t="s" s="0">
        <v>82</v>
      </c>
      <c r="BJ98" t="s" s="0">
        <v>2767</v>
      </c>
      <c r="BK98" t="s" s="193">
        <f>HYPERLINK("http://dx.doi.org/10.1111/nep.13913","http://dx.doi.org/10.1111/nep.13913")</f>
        <v>2768</v>
      </c>
      <c r="BL98" t="s" s="0">
        <v>82</v>
      </c>
      <c r="BM98" t="s" s="0">
        <v>2063</v>
      </c>
      <c r="BN98" t="s" s="0">
        <v>119</v>
      </c>
      <c r="BO98" t="s" s="0">
        <v>2769</v>
      </c>
      <c r="BP98" t="s" s="0">
        <v>2769</v>
      </c>
      <c r="BQ98" t="s" s="0">
        <v>2770</v>
      </c>
      <c r="BR98" t="s" s="0">
        <v>2771</v>
      </c>
      <c r="BS98" t="s" s="0">
        <v>2772</v>
      </c>
      <c r="BT98" t="s" s="194">
        <f>HYPERLINK("https://www.webofscience.com/wos/woscc/full-record/WOS:000670742600001","View Record in Web of Science")</f>
        <v>124</v>
      </c>
      <c r="BU98" t="s" s="0">
        <v>163</v>
      </c>
      <c r="BV98" t="s" s="0">
        <v>82</v>
      </c>
      <c r="BW98" t="s" s="0">
        <v>82</v>
      </c>
      <c r="BX98" t="s" s="0">
        <v>126</v>
      </c>
    </row>
    <row r="99">
      <c r="A99" t="s" s="0">
        <v>372</v>
      </c>
      <c r="B99" t="s" s="0">
        <v>77</v>
      </c>
      <c r="C99" t="s" s="0">
        <v>78</v>
      </c>
      <c r="D99" t="s" s="0">
        <v>77</v>
      </c>
      <c r="E99" t="s" s="0">
        <v>2773</v>
      </c>
      <c r="F99" t="s" s="0">
        <v>2774</v>
      </c>
      <c r="G99" t="s" s="0">
        <v>2775</v>
      </c>
      <c r="H99" t="s" s="0">
        <v>82</v>
      </c>
      <c r="I99" t="s" s="0">
        <v>83</v>
      </c>
      <c r="J99" t="s" s="0">
        <v>2776</v>
      </c>
      <c r="K99" t="s" s="0">
        <v>2777</v>
      </c>
      <c r="L99" t="s" s="0">
        <v>82</v>
      </c>
      <c r="M99" t="s" s="0">
        <v>82</v>
      </c>
      <c r="N99" t="s" s="0">
        <v>82</v>
      </c>
      <c r="O99" t="s" s="0">
        <v>2778</v>
      </c>
      <c r="P99" t="s" s="0">
        <v>82</v>
      </c>
      <c r="Q99" t="s" s="0">
        <v>91</v>
      </c>
      <c r="R99" t="s" s="0">
        <v>82</v>
      </c>
      <c r="S99" t="s" s="0">
        <v>82</v>
      </c>
      <c r="T99" t="s" s="0">
        <v>82</v>
      </c>
      <c r="U99" t="s" s="0">
        <v>82</v>
      </c>
      <c r="V99" t="s" s="0">
        <v>2779</v>
      </c>
      <c r="W99" t="s" s="0">
        <v>2780</v>
      </c>
      <c r="X99" t="s" s="0">
        <v>82</v>
      </c>
      <c r="Y99" t="s" s="0">
        <v>82</v>
      </c>
      <c r="Z99" t="s" s="0">
        <v>94</v>
      </c>
      <c r="AA99" t="s" s="0">
        <v>95</v>
      </c>
      <c r="AB99" t="s" s="0">
        <v>82</v>
      </c>
      <c r="AC99" t="s" s="0">
        <v>82</v>
      </c>
      <c r="AD99" t="s" s="0">
        <v>82</v>
      </c>
      <c r="AE99" t="s" s="0">
        <v>82</v>
      </c>
      <c r="AF99" t="s" s="0">
        <v>82</v>
      </c>
      <c r="AG99" t="s" s="0">
        <v>2781</v>
      </c>
      <c r="AH99" t="s" s="0">
        <v>2782</v>
      </c>
      <c r="AI99" t="s" s="0">
        <v>2783</v>
      </c>
      <c r="AJ99" t="s" s="0">
        <v>82</v>
      </c>
      <c r="AK99" t="s" s="0">
        <v>82</v>
      </c>
      <c r="AL99" t="s" s="0">
        <v>581</v>
      </c>
      <c r="AM99" t="s" s="0">
        <v>191</v>
      </c>
      <c r="AN99" t="s" s="0">
        <v>102</v>
      </c>
      <c r="AO99" t="s" s="0">
        <v>372</v>
      </c>
      <c r="AP99" t="s" s="0">
        <v>431</v>
      </c>
      <c r="AQ99" t="s" s="0">
        <v>733</v>
      </c>
      <c r="AR99" t="s" s="0">
        <v>220</v>
      </c>
      <c r="AS99" t="s" s="0">
        <v>734</v>
      </c>
      <c r="AT99" t="s" s="0">
        <v>2784</v>
      </c>
      <c r="AU99" t="s" s="0">
        <v>82</v>
      </c>
      <c r="AV99" t="s" s="0">
        <v>82</v>
      </c>
      <c r="AW99" t="s" s="0">
        <v>2780</v>
      </c>
      <c r="AX99" t="s" s="0">
        <v>2785</v>
      </c>
      <c r="AY99" t="s" s="0">
        <v>2786</v>
      </c>
      <c r="AZ99" t="s" s="0">
        <v>189</v>
      </c>
      <c r="BA99" t="s" s="0">
        <v>377</v>
      </c>
      <c r="BB99" t="s" s="0">
        <v>119</v>
      </c>
      <c r="BC99" t="s" s="0">
        <v>82</v>
      </c>
      <c r="BD99" t="s" s="0">
        <v>82</v>
      </c>
      <c r="BE99" t="s" s="0">
        <v>82</v>
      </c>
      <c r="BF99" t="s" s="0">
        <v>82</v>
      </c>
      <c r="BG99" t="s" s="0">
        <v>82</v>
      </c>
      <c r="BH99" t="s" s="0">
        <v>82</v>
      </c>
      <c r="BI99" t="s" s="0">
        <v>2787</v>
      </c>
      <c r="BJ99" t="s" s="0">
        <v>2788</v>
      </c>
      <c r="BK99" t="s" s="195">
        <f>HYPERLINK("http://dx.doi.org/10.1136/bmjopen-2022-064566","http://dx.doi.org/10.1136/bmjopen-2022-064566")</f>
        <v>2789</v>
      </c>
      <c r="BL99" t="s" s="0">
        <v>82</v>
      </c>
      <c r="BM99" t="s" s="0">
        <v>82</v>
      </c>
      <c r="BN99" t="s" s="0">
        <v>291</v>
      </c>
      <c r="BO99" t="s" s="0">
        <v>584</v>
      </c>
      <c r="BP99" t="s" s="0">
        <v>585</v>
      </c>
      <c r="BQ99" t="s" s="0">
        <v>2790</v>
      </c>
      <c r="BR99" t="s" s="0">
        <v>2791</v>
      </c>
      <c r="BS99" t="s" s="0">
        <v>2792</v>
      </c>
      <c r="BT99" t="s" s="196">
        <f>HYPERLINK("https://www.webofscience.com/wos/woscc/full-record/WOS:000863416400038","View Record in Web of Science")</f>
        <v>124</v>
      </c>
      <c r="BU99" t="s" s="0">
        <v>2793</v>
      </c>
      <c r="BV99" t="s" s="0">
        <v>82</v>
      </c>
      <c r="BW99" t="s" s="0">
        <v>82</v>
      </c>
      <c r="BX99" t="s" s="0">
        <v>126</v>
      </c>
    </row>
    <row r="100">
      <c r="A100" t="s" s="0">
        <v>77</v>
      </c>
      <c r="B100" t="s" s="0">
        <v>77</v>
      </c>
      <c r="C100" t="s" s="0">
        <v>77</v>
      </c>
      <c r="D100" t="s" s="0">
        <v>77</v>
      </c>
      <c r="E100" t="s" s="0">
        <v>2794</v>
      </c>
      <c r="F100" t="s" s="0">
        <v>2795</v>
      </c>
      <c r="G100" t="s" s="0">
        <v>2796</v>
      </c>
      <c r="H100" t="s" s="0">
        <v>82</v>
      </c>
      <c r="I100" t="s" s="0">
        <v>83</v>
      </c>
      <c r="J100" t="s" s="0">
        <v>2797</v>
      </c>
      <c r="K100" t="s" s="0">
        <v>2798</v>
      </c>
      <c r="L100" t="s" s="0">
        <v>82</v>
      </c>
      <c r="M100" t="s" s="0">
        <v>82</v>
      </c>
      <c r="N100" t="s" s="0">
        <v>82</v>
      </c>
      <c r="O100" t="s" s="0">
        <v>2799</v>
      </c>
      <c r="P100" t="s" s="0">
        <v>2800</v>
      </c>
      <c r="Q100" t="s" s="0">
        <v>91</v>
      </c>
      <c r="R100" t="s" s="0">
        <v>82</v>
      </c>
      <c r="S100" t="s" s="0">
        <v>82</v>
      </c>
      <c r="T100" t="s" s="0">
        <v>82</v>
      </c>
      <c r="U100" t="s" s="0">
        <v>82</v>
      </c>
      <c r="V100" t="s" s="0">
        <v>2801</v>
      </c>
      <c r="W100" t="s" s="0">
        <v>1665</v>
      </c>
      <c r="X100" t="s" s="0">
        <v>82</v>
      </c>
      <c r="Y100" t="s" s="0">
        <v>82</v>
      </c>
      <c r="Z100" t="s" s="0">
        <v>94</v>
      </c>
      <c r="AA100" t="s" s="0">
        <v>95</v>
      </c>
      <c r="AB100" t="s" s="0">
        <v>82</v>
      </c>
      <c r="AC100" t="s" s="0">
        <v>82</v>
      </c>
      <c r="AD100" t="s" s="0">
        <v>82</v>
      </c>
      <c r="AE100" t="s" s="0">
        <v>82</v>
      </c>
      <c r="AF100" t="s" s="0">
        <v>82</v>
      </c>
      <c r="AG100" t="s" s="0">
        <v>2802</v>
      </c>
      <c r="AH100" t="s" s="0">
        <v>2803</v>
      </c>
      <c r="AI100" t="s" s="0">
        <v>2804</v>
      </c>
      <c r="AJ100" t="s" s="0">
        <v>2805</v>
      </c>
      <c r="AK100" t="s" s="0">
        <v>82</v>
      </c>
      <c r="AL100" t="s" s="0">
        <v>1379</v>
      </c>
      <c r="AM100" t="s" s="0">
        <v>191</v>
      </c>
      <c r="AN100" t="s" s="0">
        <v>191</v>
      </c>
      <c r="AO100" t="s" s="0">
        <v>77</v>
      </c>
      <c r="AP100" t="s" s="0">
        <v>191</v>
      </c>
      <c r="AQ100" t="s" s="0">
        <v>547</v>
      </c>
      <c r="AR100" t="s" s="0">
        <v>548</v>
      </c>
      <c r="AS100" t="s" s="0">
        <v>549</v>
      </c>
      <c r="AT100" t="s" s="0">
        <v>1670</v>
      </c>
      <c r="AU100" t="s" s="0">
        <v>82</v>
      </c>
      <c r="AV100" t="s" s="0">
        <v>82</v>
      </c>
      <c r="AW100" t="s" s="0">
        <v>1671</v>
      </c>
      <c r="AX100" t="s" s="0">
        <v>1672</v>
      </c>
      <c r="AY100" t="s" s="0">
        <v>2806</v>
      </c>
      <c r="AZ100" t="s" s="0">
        <v>189</v>
      </c>
      <c r="BA100" t="s" s="0">
        <v>119</v>
      </c>
      <c r="BB100" t="s" s="0">
        <v>82</v>
      </c>
      <c r="BC100" t="s" s="0">
        <v>82</v>
      </c>
      <c r="BD100" t="s" s="0">
        <v>82</v>
      </c>
      <c r="BE100" t="s" s="0">
        <v>82</v>
      </c>
      <c r="BF100" t="s" s="0">
        <v>82</v>
      </c>
      <c r="BG100" t="s" s="0">
        <v>82</v>
      </c>
      <c r="BH100" t="s" s="0">
        <v>82</v>
      </c>
      <c r="BI100" t="s" s="0">
        <v>2807</v>
      </c>
      <c r="BJ100" t="s" s="0">
        <v>2808</v>
      </c>
      <c r="BK100" t="s" s="197">
        <f>HYPERLINK("http://dx.doi.org/10.3389/fcvm.2022.921044","http://dx.doi.org/10.3389/fcvm.2022.921044")</f>
        <v>2809</v>
      </c>
      <c r="BL100" t="s" s="0">
        <v>82</v>
      </c>
      <c r="BM100" t="s" s="0">
        <v>82</v>
      </c>
      <c r="BN100" t="s" s="0">
        <v>231</v>
      </c>
      <c r="BO100" t="s" s="0">
        <v>771</v>
      </c>
      <c r="BP100" t="s" s="0">
        <v>772</v>
      </c>
      <c r="BQ100" t="s" s="0">
        <v>2810</v>
      </c>
      <c r="BR100" t="s" s="0">
        <v>2811</v>
      </c>
      <c r="BS100" t="s" s="0">
        <v>2812</v>
      </c>
      <c r="BT100" t="s" s="198">
        <f>HYPERLINK("https://www.webofscience.com/wos/woscc/full-record/WOS:000838368900001","View Record in Web of Science")</f>
        <v>124</v>
      </c>
      <c r="BU100" t="s" s="0">
        <v>236</v>
      </c>
      <c r="BV100" t="s" s="0">
        <v>82</v>
      </c>
      <c r="BW100" t="s" s="0">
        <v>82</v>
      </c>
      <c r="BX100" t="s" s="0">
        <v>126</v>
      </c>
    </row>
    <row r="101">
      <c r="A101" t="s" s="0">
        <v>77</v>
      </c>
      <c r="B101" t="s" s="0">
        <v>77</v>
      </c>
      <c r="C101" t="s" s="0">
        <v>103</v>
      </c>
      <c r="D101" t="s" s="0">
        <v>77</v>
      </c>
      <c r="E101" t="s" s="0">
        <v>2813</v>
      </c>
      <c r="F101" t="s" s="0">
        <v>2814</v>
      </c>
      <c r="G101" t="s" s="0">
        <v>2815</v>
      </c>
      <c r="H101" t="s" s="0">
        <v>82</v>
      </c>
      <c r="I101" t="s" s="0">
        <v>83</v>
      </c>
      <c r="J101" t="s" s="0">
        <v>2816</v>
      </c>
      <c r="K101" t="s" s="0">
        <v>2817</v>
      </c>
      <c r="L101" t="s" s="0">
        <v>82</v>
      </c>
      <c r="M101" t="s" s="0">
        <v>82</v>
      </c>
      <c r="N101" t="s" s="0">
        <v>82</v>
      </c>
      <c r="O101" t="s" s="0">
        <v>2818</v>
      </c>
      <c r="P101" t="s" s="0">
        <v>2819</v>
      </c>
      <c r="Q101" t="s" s="0">
        <v>91</v>
      </c>
      <c r="R101" t="s" s="0">
        <v>82</v>
      </c>
      <c r="S101" t="s" s="0">
        <v>82</v>
      </c>
      <c r="T101" t="s" s="0">
        <v>82</v>
      </c>
      <c r="U101" t="s" s="0">
        <v>82</v>
      </c>
      <c r="V101" t="s" s="0">
        <v>2820</v>
      </c>
      <c r="W101" t="s" s="0">
        <v>2821</v>
      </c>
      <c r="X101" t="s" s="0">
        <v>82</v>
      </c>
      <c r="Y101" t="s" s="0">
        <v>82</v>
      </c>
      <c r="Z101" t="s" s="0">
        <v>94</v>
      </c>
      <c r="AA101" t="s" s="0">
        <v>95</v>
      </c>
      <c r="AB101" t="s" s="0">
        <v>82</v>
      </c>
      <c r="AC101" t="s" s="0">
        <v>82</v>
      </c>
      <c r="AD101" t="s" s="0">
        <v>82</v>
      </c>
      <c r="AE101" t="s" s="0">
        <v>82</v>
      </c>
      <c r="AF101" t="s" s="0">
        <v>82</v>
      </c>
      <c r="AG101" t="s" s="0">
        <v>2822</v>
      </c>
      <c r="AH101" t="s" s="0">
        <v>2823</v>
      </c>
      <c r="AI101" t="s" s="0">
        <v>2824</v>
      </c>
      <c r="AJ101" t="s" s="0">
        <v>2825</v>
      </c>
      <c r="AK101" t="s" s="0">
        <v>82</v>
      </c>
      <c r="AL101" t="s" s="0">
        <v>494</v>
      </c>
      <c r="AM101" t="s" s="0">
        <v>119</v>
      </c>
      <c r="AN101" t="s" s="0">
        <v>524</v>
      </c>
      <c r="AO101" t="s" s="0">
        <v>77</v>
      </c>
      <c r="AP101" t="s" s="0">
        <v>78</v>
      </c>
      <c r="AQ101" t="s" s="0">
        <v>2826</v>
      </c>
      <c r="AR101" t="s" s="0">
        <v>2827</v>
      </c>
      <c r="AS101" t="s" s="0">
        <v>2828</v>
      </c>
      <c r="AT101" t="s" s="0">
        <v>2829</v>
      </c>
      <c r="AU101" t="s" s="0">
        <v>2830</v>
      </c>
      <c r="AV101" t="s" s="0">
        <v>82</v>
      </c>
      <c r="AW101" t="s" s="0">
        <v>2831</v>
      </c>
      <c r="AX101" t="s" s="0">
        <v>2832</v>
      </c>
      <c r="AY101" t="s" s="0">
        <v>2833</v>
      </c>
      <c r="AZ101" t="s" s="0">
        <v>226</v>
      </c>
      <c r="BA101" t="s" s="0">
        <v>633</v>
      </c>
      <c r="BB101" t="s" s="0">
        <v>268</v>
      </c>
      <c r="BC101" t="s" s="0">
        <v>82</v>
      </c>
      <c r="BD101" t="s" s="0">
        <v>82</v>
      </c>
      <c r="BE101" t="s" s="0">
        <v>82</v>
      </c>
      <c r="BF101" t="s" s="0">
        <v>82</v>
      </c>
      <c r="BG101" t="s" s="0">
        <v>82</v>
      </c>
      <c r="BH101" t="s" s="0">
        <v>82</v>
      </c>
      <c r="BI101" t="s" s="0">
        <v>2834</v>
      </c>
      <c r="BJ101" t="s" s="0">
        <v>2835</v>
      </c>
      <c r="BK101" t="s" s="199">
        <f>HYPERLINK("http://dx.doi.org/10.1016/j.jpain.2024.104624","http://dx.doi.org/10.1016/j.jpain.2024.104624")</f>
        <v>2836</v>
      </c>
      <c r="BL101" t="s" s="0">
        <v>82</v>
      </c>
      <c r="BM101" t="s" s="0">
        <v>2833</v>
      </c>
      <c r="BN101" t="s" s="0">
        <v>300</v>
      </c>
      <c r="BO101" t="s" s="0">
        <v>2837</v>
      </c>
      <c r="BP101" t="s" s="0">
        <v>2838</v>
      </c>
      <c r="BQ101" t="s" s="0">
        <v>2839</v>
      </c>
      <c r="BR101" t="s" s="0">
        <v>2840</v>
      </c>
      <c r="BS101" t="s" s="0">
        <v>2841</v>
      </c>
      <c r="BT101" t="s" s="200">
        <f>HYPERLINK("https://www.webofscience.com/wos/woscc/full-record/WOS:001336543300001","View Record in Web of Science")</f>
        <v>124</v>
      </c>
      <c r="BU101" t="s" s="0">
        <v>1627</v>
      </c>
      <c r="BV101" t="s" s="0">
        <v>82</v>
      </c>
      <c r="BW101" t="s" s="0">
        <v>82</v>
      </c>
      <c r="BX101" t="s" s="0">
        <v>126</v>
      </c>
    </row>
    <row r="102">
      <c r="A102" t="s" s="0">
        <v>77</v>
      </c>
      <c r="B102" t="s" s="0">
        <v>77</v>
      </c>
      <c r="C102" t="s" s="0">
        <v>77</v>
      </c>
      <c r="D102" t="s" s="0">
        <v>77</v>
      </c>
      <c r="E102" t="s" s="0">
        <v>2842</v>
      </c>
      <c r="F102" t="s" s="0">
        <v>2843</v>
      </c>
      <c r="G102" t="s" s="0">
        <v>2844</v>
      </c>
      <c r="H102" t="s" s="0">
        <v>82</v>
      </c>
      <c r="I102" t="s" s="0">
        <v>83</v>
      </c>
      <c r="J102" t="s" s="0">
        <v>2845</v>
      </c>
      <c r="K102" t="s" s="0">
        <v>2846</v>
      </c>
      <c r="L102" t="s" s="0">
        <v>2847</v>
      </c>
      <c r="M102" t="s" s="0">
        <v>2848</v>
      </c>
      <c r="N102" t="s" s="0">
        <v>2849</v>
      </c>
      <c r="O102" t="s" s="0">
        <v>2850</v>
      </c>
      <c r="P102" t="s" s="0">
        <v>2851</v>
      </c>
      <c r="Q102" t="s" s="0">
        <v>91</v>
      </c>
      <c r="R102" t="s" s="0">
        <v>82</v>
      </c>
      <c r="S102" t="s" s="0">
        <v>82</v>
      </c>
      <c r="T102" t="s" s="0">
        <v>82</v>
      </c>
      <c r="U102" t="s" s="0">
        <v>82</v>
      </c>
      <c r="V102" t="s" s="0">
        <v>2852</v>
      </c>
      <c r="W102" t="s" s="0">
        <v>999</v>
      </c>
      <c r="X102" t="s" s="0">
        <v>82</v>
      </c>
      <c r="Y102" t="s" s="0">
        <v>82</v>
      </c>
      <c r="Z102" t="s" s="0">
        <v>94</v>
      </c>
      <c r="AA102" t="s" s="0">
        <v>95</v>
      </c>
      <c r="AB102" t="s" s="0">
        <v>82</v>
      </c>
      <c r="AC102" t="s" s="0">
        <v>82</v>
      </c>
      <c r="AD102" t="s" s="0">
        <v>82</v>
      </c>
      <c r="AE102" t="s" s="0">
        <v>82</v>
      </c>
      <c r="AF102" t="s" s="0">
        <v>82</v>
      </c>
      <c r="AG102" t="s" s="0">
        <v>2853</v>
      </c>
      <c r="AH102" t="s" s="0">
        <v>2854</v>
      </c>
      <c r="AI102" t="s" s="0">
        <v>82</v>
      </c>
      <c r="AJ102" t="s" s="0">
        <v>82</v>
      </c>
      <c r="AK102" t="s" s="0">
        <v>82</v>
      </c>
      <c r="AL102" t="s" s="0">
        <v>2007</v>
      </c>
      <c r="AM102" t="s" s="0">
        <v>77</v>
      </c>
      <c r="AN102" t="s" s="0">
        <v>77</v>
      </c>
      <c r="AO102" t="s" s="0">
        <v>77</v>
      </c>
      <c r="AP102" t="s" s="0">
        <v>77</v>
      </c>
      <c r="AQ102" t="s" s="0">
        <v>1004</v>
      </c>
      <c r="AR102" t="s" s="0">
        <v>220</v>
      </c>
      <c r="AS102" t="s" s="0">
        <v>1005</v>
      </c>
      <c r="AT102" t="s" s="0">
        <v>1006</v>
      </c>
      <c r="AU102" t="s" s="0">
        <v>1007</v>
      </c>
      <c r="AV102" t="s" s="0">
        <v>82</v>
      </c>
      <c r="AW102" t="s" s="0">
        <v>1008</v>
      </c>
      <c r="AX102" t="s" s="0">
        <v>1009</v>
      </c>
      <c r="AY102" t="s" s="0">
        <v>904</v>
      </c>
      <c r="AZ102" t="s" s="0">
        <v>150</v>
      </c>
      <c r="BA102" t="s" s="0">
        <v>2855</v>
      </c>
      <c r="BB102" t="s" s="0">
        <v>82</v>
      </c>
      <c r="BC102" t="s" s="0">
        <v>82</v>
      </c>
      <c r="BD102" t="s" s="0">
        <v>82</v>
      </c>
      <c r="BE102" t="s" s="0">
        <v>82</v>
      </c>
      <c r="BF102" t="s" s="0">
        <v>82</v>
      </c>
      <c r="BG102" t="s" s="0">
        <v>2856</v>
      </c>
      <c r="BH102" t="s" s="0">
        <v>2857</v>
      </c>
      <c r="BI102" t="s" s="0">
        <v>82</v>
      </c>
      <c r="BJ102" t="s" s="0">
        <v>2858</v>
      </c>
      <c r="BK102" t="s" s="201">
        <f>HYPERLINK("http://dx.doi.org/10.1016/j.jhin.2026.04.022","http://dx.doi.org/10.1016/j.jhin.2026.04.022")</f>
        <v>2859</v>
      </c>
      <c r="BL102" t="s" s="0">
        <v>82</v>
      </c>
      <c r="BM102" t="s" s="0">
        <v>476</v>
      </c>
      <c r="BN102" t="s" s="0">
        <v>300</v>
      </c>
      <c r="BO102" t="s" s="0">
        <v>1015</v>
      </c>
      <c r="BP102" t="s" s="0">
        <v>1015</v>
      </c>
      <c r="BQ102" t="s" s="0">
        <v>2860</v>
      </c>
      <c r="BR102" t="s" s="0">
        <v>2861</v>
      </c>
      <c r="BS102" t="s" s="0">
        <v>2862</v>
      </c>
      <c r="BT102" t="s" s="202">
        <f>HYPERLINK("https://www.webofscience.com/wos/woscc/full-record/WOS:001804974300001","View Record in Web of Science")</f>
        <v>124</v>
      </c>
      <c r="BU102" t="s" s="0">
        <v>413</v>
      </c>
      <c r="BV102" t="s" s="0">
        <v>82</v>
      </c>
      <c r="BW102" t="s" s="0">
        <v>82</v>
      </c>
      <c r="BX102" t="s" s="0">
        <v>126</v>
      </c>
    </row>
    <row r="103">
      <c r="A103" t="s" s="0">
        <v>77</v>
      </c>
      <c r="B103" t="s" s="0">
        <v>77</v>
      </c>
      <c r="C103" t="s" s="0">
        <v>77</v>
      </c>
      <c r="D103" t="s" s="0">
        <v>77</v>
      </c>
      <c r="E103" t="s" s="0">
        <v>2863</v>
      </c>
      <c r="F103" t="s" s="0">
        <v>2864</v>
      </c>
      <c r="G103" t="s" s="0">
        <v>2865</v>
      </c>
      <c r="H103" t="s" s="0">
        <v>82</v>
      </c>
      <c r="I103" t="s" s="0">
        <v>83</v>
      </c>
      <c r="J103" t="s" s="0">
        <v>2866</v>
      </c>
      <c r="K103" t="s" s="0">
        <v>2867</v>
      </c>
      <c r="L103" t="s" s="0">
        <v>82</v>
      </c>
      <c r="M103" t="s" s="0">
        <v>82</v>
      </c>
      <c r="N103" t="s" s="0">
        <v>82</v>
      </c>
      <c r="O103" t="s" s="0">
        <v>2868</v>
      </c>
      <c r="P103" t="s" s="0">
        <v>2869</v>
      </c>
      <c r="Q103" t="s" s="0">
        <v>91</v>
      </c>
      <c r="R103" t="s" s="0">
        <v>82</v>
      </c>
      <c r="S103" t="s" s="0">
        <v>82</v>
      </c>
      <c r="T103" t="s" s="0">
        <v>82</v>
      </c>
      <c r="U103" t="s" s="0">
        <v>82</v>
      </c>
      <c r="V103" t="s" s="0">
        <v>2870</v>
      </c>
      <c r="W103" t="s" s="0">
        <v>2871</v>
      </c>
      <c r="X103" t="s" s="0">
        <v>82</v>
      </c>
      <c r="Y103" t="s" s="0">
        <v>82</v>
      </c>
      <c r="Z103" t="s" s="0">
        <v>94</v>
      </c>
      <c r="AA103" t="s" s="0">
        <v>95</v>
      </c>
      <c r="AB103" t="s" s="0">
        <v>82</v>
      </c>
      <c r="AC103" t="s" s="0">
        <v>82</v>
      </c>
      <c r="AD103" t="s" s="0">
        <v>82</v>
      </c>
      <c r="AE103" t="s" s="0">
        <v>82</v>
      </c>
      <c r="AF103" t="s" s="0">
        <v>82</v>
      </c>
      <c r="AG103" t="s" s="0">
        <v>2872</v>
      </c>
      <c r="AH103" t="s" s="0">
        <v>2873</v>
      </c>
      <c r="AI103" t="s" s="0">
        <v>2874</v>
      </c>
      <c r="AJ103" t="s" s="0">
        <v>82</v>
      </c>
      <c r="AK103" t="s" s="0">
        <v>82</v>
      </c>
      <c r="AL103" t="s" s="0">
        <v>1485</v>
      </c>
      <c r="AM103" t="s" s="0">
        <v>103</v>
      </c>
      <c r="AN103" t="s" s="0">
        <v>103</v>
      </c>
      <c r="AO103" t="s" s="0">
        <v>103</v>
      </c>
      <c r="AP103" t="s" s="0">
        <v>103</v>
      </c>
      <c r="AQ103" t="s" s="0">
        <v>330</v>
      </c>
      <c r="AR103" t="s" s="0">
        <v>182</v>
      </c>
      <c r="AS103" t="s" s="0">
        <v>331</v>
      </c>
      <c r="AT103" t="s" s="0">
        <v>2875</v>
      </c>
      <c r="AU103" t="s" s="0">
        <v>2876</v>
      </c>
      <c r="AV103" t="s" s="0">
        <v>82</v>
      </c>
      <c r="AW103" t="s" s="0">
        <v>2877</v>
      </c>
      <c r="AX103" t="s" s="0">
        <v>2878</v>
      </c>
      <c r="AY103" t="s" s="0">
        <v>1883</v>
      </c>
      <c r="AZ103" t="s" s="0">
        <v>150</v>
      </c>
      <c r="BA103" t="s" s="0">
        <v>1696</v>
      </c>
      <c r="BB103" t="s" s="0">
        <v>82</v>
      </c>
      <c r="BC103" t="s" s="0">
        <v>82</v>
      </c>
      <c r="BD103" t="s" s="0">
        <v>82</v>
      </c>
      <c r="BE103" t="s" s="0">
        <v>82</v>
      </c>
      <c r="BF103" t="s" s="0">
        <v>82</v>
      </c>
      <c r="BG103" t="s" s="0">
        <v>82</v>
      </c>
      <c r="BH103" t="s" s="0">
        <v>82</v>
      </c>
      <c r="BI103" t="s" s="0">
        <v>2879</v>
      </c>
      <c r="BJ103" t="s" s="0">
        <v>2880</v>
      </c>
      <c r="BK103" t="s" s="203">
        <f>HYPERLINK("http://dx.doi.org/10.1016/j.neubiorev.2026.106612","http://dx.doi.org/10.1016/j.neubiorev.2026.106612")</f>
        <v>2881</v>
      </c>
      <c r="BL103" t="s" s="0">
        <v>82</v>
      </c>
      <c r="BM103" t="s" s="0">
        <v>82</v>
      </c>
      <c r="BN103" t="s" s="0">
        <v>114</v>
      </c>
      <c r="BO103" t="s" s="0">
        <v>2882</v>
      </c>
      <c r="BP103" t="s" s="0">
        <v>2883</v>
      </c>
      <c r="BQ103" t="s" s="0">
        <v>2884</v>
      </c>
      <c r="BR103" t="s" s="0">
        <v>2885</v>
      </c>
      <c r="BS103" t="s" s="0">
        <v>2886</v>
      </c>
      <c r="BT103" t="s" s="204">
        <f>HYPERLINK("https://www.webofscience.com/wos/woscc/full-record/WOS:001697590000001","View Record in Web of Science")</f>
        <v>124</v>
      </c>
      <c r="BU103" t="s" s="0">
        <v>82</v>
      </c>
      <c r="BV103" t="s" s="0">
        <v>82</v>
      </c>
      <c r="BW103" t="s" s="0">
        <v>82</v>
      </c>
      <c r="BX103" t="s" s="0">
        <v>126</v>
      </c>
    </row>
    <row r="104">
      <c r="A104" t="s" s="0">
        <v>77</v>
      </c>
      <c r="B104" t="s" s="0">
        <v>77</v>
      </c>
      <c r="C104" t="s" s="0">
        <v>77</v>
      </c>
      <c r="D104" t="s" s="0">
        <v>77</v>
      </c>
      <c r="E104" t="s" s="0">
        <v>2887</v>
      </c>
      <c r="F104" t="s" s="0">
        <v>2888</v>
      </c>
      <c r="G104" t="s" s="0">
        <v>2889</v>
      </c>
      <c r="H104" t="s" s="0">
        <v>82</v>
      </c>
      <c r="I104" t="s" s="0">
        <v>83</v>
      </c>
      <c r="J104" t="s" s="0">
        <v>2890</v>
      </c>
      <c r="K104" t="s" s="0">
        <v>1867</v>
      </c>
      <c r="L104" t="s" s="0">
        <v>2891</v>
      </c>
      <c r="M104" t="s" s="0">
        <v>2892</v>
      </c>
      <c r="N104" t="s" s="0">
        <v>2893</v>
      </c>
      <c r="O104" t="s" s="0">
        <v>2894</v>
      </c>
      <c r="P104" t="s" s="0">
        <v>2895</v>
      </c>
      <c r="Q104" t="s" s="0">
        <v>91</v>
      </c>
      <c r="R104" t="s" s="0">
        <v>82</v>
      </c>
      <c r="S104" t="s" s="0">
        <v>82</v>
      </c>
      <c r="T104" t="s" s="0">
        <v>82</v>
      </c>
      <c r="U104" t="s" s="0">
        <v>82</v>
      </c>
      <c r="V104" t="s" s="0">
        <v>2896</v>
      </c>
      <c r="W104" t="s" s="0">
        <v>2897</v>
      </c>
      <c r="X104" t="s" s="0">
        <v>82</v>
      </c>
      <c r="Y104" t="s" s="0">
        <v>82</v>
      </c>
      <c r="Z104" t="s" s="0">
        <v>94</v>
      </c>
      <c r="AA104" t="s" s="0">
        <v>95</v>
      </c>
      <c r="AB104" t="s" s="0">
        <v>82</v>
      </c>
      <c r="AC104" t="s" s="0">
        <v>82</v>
      </c>
      <c r="AD104" t="s" s="0">
        <v>82</v>
      </c>
      <c r="AE104" t="s" s="0">
        <v>82</v>
      </c>
      <c r="AF104" t="s" s="0">
        <v>82</v>
      </c>
      <c r="AG104" t="s" s="0">
        <v>2898</v>
      </c>
      <c r="AH104" t="s" s="0">
        <v>82</v>
      </c>
      <c r="AI104" t="s" s="0">
        <v>2899</v>
      </c>
      <c r="AJ104" t="s" s="0">
        <v>2900</v>
      </c>
      <c r="AK104" t="s" s="0">
        <v>82</v>
      </c>
      <c r="AL104" t="s" s="0">
        <v>114</v>
      </c>
      <c r="AM104" t="s" s="0">
        <v>78</v>
      </c>
      <c r="AN104" t="s" s="0">
        <v>103</v>
      </c>
      <c r="AO104" t="s" s="0">
        <v>77</v>
      </c>
      <c r="AP104" t="s" s="0">
        <v>103</v>
      </c>
      <c r="AQ104" t="s" s="0">
        <v>952</v>
      </c>
      <c r="AR104" t="s" s="0">
        <v>953</v>
      </c>
      <c r="AS104" t="s" s="0">
        <v>954</v>
      </c>
      <c r="AT104" t="s" s="0">
        <v>82</v>
      </c>
      <c r="AU104" t="s" s="0">
        <v>2901</v>
      </c>
      <c r="AV104" t="s" s="0">
        <v>82</v>
      </c>
      <c r="AW104" t="s" s="0">
        <v>2897</v>
      </c>
      <c r="AX104" t="s" s="0">
        <v>2902</v>
      </c>
      <c r="AY104" t="s" s="0">
        <v>1074</v>
      </c>
      <c r="AZ104" t="s" s="0">
        <v>1075</v>
      </c>
      <c r="BA104" t="s" s="0">
        <v>976</v>
      </c>
      <c r="BB104" t="s" s="0">
        <v>82</v>
      </c>
      <c r="BC104" t="s" s="0">
        <v>82</v>
      </c>
      <c r="BD104" t="s" s="0">
        <v>82</v>
      </c>
      <c r="BE104" t="s" s="0">
        <v>82</v>
      </c>
      <c r="BF104" t="s" s="0">
        <v>82</v>
      </c>
      <c r="BG104" t="s" s="0">
        <v>82</v>
      </c>
      <c r="BH104" t="s" s="0">
        <v>82</v>
      </c>
      <c r="BI104" t="s" s="0">
        <v>2903</v>
      </c>
      <c r="BJ104" t="s" s="0">
        <v>2904</v>
      </c>
      <c r="BK104" t="s" s="205">
        <f>HYPERLINK("http://dx.doi.org/10.1016/j.eclinm.2021.101164","http://dx.doi.org/10.1016/j.eclinm.2021.101164")</f>
        <v>2905</v>
      </c>
      <c r="BL104" t="s" s="0">
        <v>82</v>
      </c>
      <c r="BM104" t="s" s="0">
        <v>1246</v>
      </c>
      <c r="BN104" t="s" s="0">
        <v>102</v>
      </c>
      <c r="BO104" t="s" s="0">
        <v>584</v>
      </c>
      <c r="BP104" t="s" s="0">
        <v>585</v>
      </c>
      <c r="BQ104" t="s" s="0">
        <v>2906</v>
      </c>
      <c r="BR104" t="s" s="0">
        <v>2907</v>
      </c>
      <c r="BS104" t="s" s="0">
        <v>2908</v>
      </c>
      <c r="BT104" t="s" s="206">
        <f>HYPERLINK("https://www.webofscience.com/wos/woscc/full-record/WOS:000723039100006","View Record in Web of Science")</f>
        <v>124</v>
      </c>
      <c r="BU104" t="s" s="0">
        <v>532</v>
      </c>
      <c r="BV104" t="s" s="0">
        <v>82</v>
      </c>
      <c r="BW104" t="s" s="0">
        <v>82</v>
      </c>
      <c r="BX104" t="s" s="0">
        <v>126</v>
      </c>
    </row>
    <row r="105">
      <c r="A105" t="s" s="0">
        <v>77</v>
      </c>
      <c r="B105" t="s" s="0">
        <v>77</v>
      </c>
      <c r="C105" t="s" s="0">
        <v>77</v>
      </c>
      <c r="D105" t="s" s="0">
        <v>77</v>
      </c>
      <c r="E105" t="s" s="0">
        <v>2909</v>
      </c>
      <c r="F105" t="s" s="0">
        <v>2910</v>
      </c>
      <c r="G105" t="s" s="0">
        <v>2911</v>
      </c>
      <c r="H105" t="s" s="0">
        <v>82</v>
      </c>
      <c r="I105" t="s" s="0">
        <v>83</v>
      </c>
      <c r="J105" t="s" s="0">
        <v>2912</v>
      </c>
      <c r="K105" t="s" s="0">
        <v>2913</v>
      </c>
      <c r="L105" t="s" s="0">
        <v>2914</v>
      </c>
      <c r="M105" t="s" s="0">
        <v>2915</v>
      </c>
      <c r="N105" t="s" s="0">
        <v>2916</v>
      </c>
      <c r="O105" t="s" s="0">
        <v>2917</v>
      </c>
      <c r="P105" t="s" s="0">
        <v>2918</v>
      </c>
      <c r="Q105" t="s" s="0">
        <v>91</v>
      </c>
      <c r="R105" t="s" s="0">
        <v>82</v>
      </c>
      <c r="S105" t="s" s="0">
        <v>82</v>
      </c>
      <c r="T105" t="s" s="0">
        <v>82</v>
      </c>
      <c r="U105" t="s" s="0">
        <v>82</v>
      </c>
      <c r="V105" t="s" s="0">
        <v>2919</v>
      </c>
      <c r="W105" t="s" s="0">
        <v>2920</v>
      </c>
      <c r="X105" t="s" s="0">
        <v>82</v>
      </c>
      <c r="Y105" t="s" s="0">
        <v>82</v>
      </c>
      <c r="Z105" t="s" s="0">
        <v>94</v>
      </c>
      <c r="AA105" t="s" s="0">
        <v>95</v>
      </c>
      <c r="AB105" t="s" s="0">
        <v>82</v>
      </c>
      <c r="AC105" t="s" s="0">
        <v>82</v>
      </c>
      <c r="AD105" t="s" s="0">
        <v>82</v>
      </c>
      <c r="AE105" t="s" s="0">
        <v>82</v>
      </c>
      <c r="AF105" t="s" s="0">
        <v>82</v>
      </c>
      <c r="AG105" t="s" s="0">
        <v>2921</v>
      </c>
      <c r="AH105" t="s" s="0">
        <v>2922</v>
      </c>
      <c r="AI105" t="s" s="0">
        <v>82</v>
      </c>
      <c r="AJ105" t="s" s="0">
        <v>2923</v>
      </c>
      <c r="AK105" t="s" s="0">
        <v>82</v>
      </c>
      <c r="AL105" t="s" s="0">
        <v>100</v>
      </c>
      <c r="AM105" t="s" s="0">
        <v>191</v>
      </c>
      <c r="AN105" t="s" s="0">
        <v>291</v>
      </c>
      <c r="AO105" t="s" s="0">
        <v>231</v>
      </c>
      <c r="AP105" t="s" s="0">
        <v>634</v>
      </c>
      <c r="AQ105" t="s" s="0">
        <v>1641</v>
      </c>
      <c r="AR105" t="s" s="0">
        <v>1642</v>
      </c>
      <c r="AS105" t="s" s="0">
        <v>1643</v>
      </c>
      <c r="AT105" t="s" s="0">
        <v>2924</v>
      </c>
      <c r="AU105" t="s" s="0">
        <v>2925</v>
      </c>
      <c r="AV105" t="s" s="0">
        <v>82</v>
      </c>
      <c r="AW105" t="s" s="0">
        <v>2926</v>
      </c>
      <c r="AX105" t="s" s="0">
        <v>2927</v>
      </c>
      <c r="AY105" t="s" s="0">
        <v>2928</v>
      </c>
      <c r="AZ105" t="s" s="0">
        <v>150</v>
      </c>
      <c r="BA105" t="s" s="0">
        <v>305</v>
      </c>
      <c r="BB105" t="s" s="0">
        <v>82</v>
      </c>
      <c r="BC105" t="s" s="0">
        <v>82</v>
      </c>
      <c r="BD105" t="s" s="0">
        <v>82</v>
      </c>
      <c r="BE105" t="s" s="0">
        <v>82</v>
      </c>
      <c r="BF105" t="s" s="0">
        <v>82</v>
      </c>
      <c r="BG105" t="s" s="0">
        <v>82</v>
      </c>
      <c r="BH105" t="s" s="0">
        <v>82</v>
      </c>
      <c r="BI105" t="s" s="0">
        <v>2929</v>
      </c>
      <c r="BJ105" t="s" s="0">
        <v>2930</v>
      </c>
      <c r="BK105" t="s" s="207">
        <f>HYPERLINK("http://dx.doi.org/10.2196/78714","http://dx.doi.org/10.2196/78714")</f>
        <v>2931</v>
      </c>
      <c r="BL105" t="s" s="0">
        <v>82</v>
      </c>
      <c r="BM105" t="s" s="0">
        <v>82</v>
      </c>
      <c r="BN105" t="s" s="0">
        <v>328</v>
      </c>
      <c r="BO105" t="s" s="0">
        <v>1575</v>
      </c>
      <c r="BP105" t="s" s="0">
        <v>1575</v>
      </c>
      <c r="BQ105" t="s" s="0">
        <v>2932</v>
      </c>
      <c r="BR105" t="s" s="0">
        <v>2933</v>
      </c>
      <c r="BS105" t="s" s="0">
        <v>2934</v>
      </c>
      <c r="BT105" t="s" s="208">
        <f>HYPERLINK("https://www.webofscience.com/wos/woscc/full-record/WOS:001672564000001","View Record in Web of Science")</f>
        <v>124</v>
      </c>
      <c r="BU105" t="s" s="0">
        <v>236</v>
      </c>
      <c r="BV105" t="s" s="0">
        <v>82</v>
      </c>
      <c r="BW105" t="s" s="0">
        <v>82</v>
      </c>
      <c r="BX105" t="s" s="0">
        <v>126</v>
      </c>
    </row>
    <row r="106">
      <c r="A106" t="s" s="0">
        <v>77</v>
      </c>
      <c r="B106" t="s" s="0">
        <v>77</v>
      </c>
      <c r="C106" t="s" s="0">
        <v>77</v>
      </c>
      <c r="D106" t="s" s="0">
        <v>77</v>
      </c>
      <c r="E106" t="s" s="0">
        <v>2935</v>
      </c>
      <c r="F106" t="s" s="0">
        <v>2936</v>
      </c>
      <c r="G106" t="s" s="0">
        <v>2937</v>
      </c>
      <c r="H106" t="s" s="0">
        <v>82</v>
      </c>
      <c r="I106" t="s" s="0">
        <v>130</v>
      </c>
      <c r="J106" t="s" s="0">
        <v>2938</v>
      </c>
      <c r="K106" t="s" s="0">
        <v>2939</v>
      </c>
      <c r="L106" t="s" s="0">
        <v>82</v>
      </c>
      <c r="M106" t="s" s="0">
        <v>82</v>
      </c>
      <c r="N106" t="s" s="0">
        <v>82</v>
      </c>
      <c r="O106" t="s" s="0">
        <v>2940</v>
      </c>
      <c r="P106" t="s" s="0">
        <v>2163</v>
      </c>
      <c r="Q106" t="s" s="0">
        <v>91</v>
      </c>
      <c r="R106" t="s" s="0">
        <v>82</v>
      </c>
      <c r="S106" t="s" s="0">
        <v>82</v>
      </c>
      <c r="T106" t="s" s="0">
        <v>82</v>
      </c>
      <c r="U106" t="s" s="0">
        <v>82</v>
      </c>
      <c r="V106" t="s" s="0">
        <v>2941</v>
      </c>
      <c r="W106" t="s" s="0">
        <v>2942</v>
      </c>
      <c r="X106" t="s" s="0">
        <v>82</v>
      </c>
      <c r="Y106" t="s" s="0">
        <v>82</v>
      </c>
      <c r="Z106" t="s" s="0">
        <v>94</v>
      </c>
      <c r="AA106" t="s" s="0">
        <v>95</v>
      </c>
      <c r="AB106" t="s" s="0">
        <v>82</v>
      </c>
      <c r="AC106" t="s" s="0">
        <v>82</v>
      </c>
      <c r="AD106" t="s" s="0">
        <v>82</v>
      </c>
      <c r="AE106" t="s" s="0">
        <v>82</v>
      </c>
      <c r="AF106" t="s" s="0">
        <v>82</v>
      </c>
      <c r="AG106" t="s" s="0">
        <v>2943</v>
      </c>
      <c r="AH106" t="s" s="0">
        <v>2944</v>
      </c>
      <c r="AI106" t="s" s="0">
        <v>2945</v>
      </c>
      <c r="AJ106" t="s" s="0">
        <v>2946</v>
      </c>
      <c r="AK106" t="s" s="0">
        <v>82</v>
      </c>
      <c r="AL106" t="s" s="0">
        <v>2304</v>
      </c>
      <c r="AM106" t="s" s="0">
        <v>152</v>
      </c>
      <c r="AN106" t="s" s="0">
        <v>152</v>
      </c>
      <c r="AO106" t="s" s="0">
        <v>77</v>
      </c>
      <c r="AP106" t="s" s="0">
        <v>372</v>
      </c>
      <c r="AQ106" t="s" s="0">
        <v>2947</v>
      </c>
      <c r="AR106" t="s" s="0">
        <v>2948</v>
      </c>
      <c r="AS106" t="s" s="0">
        <v>2949</v>
      </c>
      <c r="AT106" t="s" s="0">
        <v>82</v>
      </c>
      <c r="AU106" t="s" s="0">
        <v>2950</v>
      </c>
      <c r="AV106" t="s" s="0">
        <v>82</v>
      </c>
      <c r="AW106" t="s" s="0">
        <v>2951</v>
      </c>
      <c r="AX106" t="s" s="0">
        <v>2952</v>
      </c>
      <c r="AY106" t="s" s="0">
        <v>2953</v>
      </c>
      <c r="AZ106" t="s" s="0">
        <v>189</v>
      </c>
      <c r="BA106" t="s" s="0">
        <v>158</v>
      </c>
      <c r="BB106" t="s" s="0">
        <v>103</v>
      </c>
      <c r="BC106" t="s" s="0">
        <v>82</v>
      </c>
      <c r="BD106" t="s" s="0">
        <v>82</v>
      </c>
      <c r="BE106" t="s" s="0">
        <v>82</v>
      </c>
      <c r="BF106" t="s" s="0">
        <v>82</v>
      </c>
      <c r="BG106" t="s" s="0">
        <v>2954</v>
      </c>
      <c r="BH106" t="s" s="0">
        <v>2955</v>
      </c>
      <c r="BI106" t="s" s="0">
        <v>82</v>
      </c>
      <c r="BJ106" t="s" s="0">
        <v>2956</v>
      </c>
      <c r="BK106" t="s" s="209">
        <f>HYPERLINK("http://dx.doi.org/10.1007/s40200-022-01094-0","http://dx.doi.org/10.1007/s40200-022-01094-0")</f>
        <v>2957</v>
      </c>
      <c r="BL106" t="s" s="0">
        <v>82</v>
      </c>
      <c r="BM106" t="s" s="0">
        <v>2419</v>
      </c>
      <c r="BN106" t="s" s="0">
        <v>119</v>
      </c>
      <c r="BO106" t="s" s="0">
        <v>409</v>
      </c>
      <c r="BP106" t="s" s="0">
        <v>409</v>
      </c>
      <c r="BQ106" t="s" s="0">
        <v>2958</v>
      </c>
      <c r="BR106" t="s" s="0">
        <v>2959</v>
      </c>
      <c r="BS106" t="s" s="0">
        <v>2960</v>
      </c>
      <c r="BT106" t="s" s="210">
        <f>HYPERLINK("https://www.webofscience.com/wos/woscc/full-record/WOS:000836083400002","View Record in Web of Science")</f>
        <v>124</v>
      </c>
      <c r="BU106" t="s" s="0">
        <v>1110</v>
      </c>
      <c r="BV106" t="s" s="0">
        <v>82</v>
      </c>
      <c r="BW106" t="s" s="0">
        <v>82</v>
      </c>
      <c r="BX106" t="s" s="0">
        <v>126</v>
      </c>
    </row>
    <row r="107">
      <c r="A107" t="s" s="0">
        <v>78</v>
      </c>
      <c r="B107" t="s" s="0">
        <v>77</v>
      </c>
      <c r="C107" t="s" s="0">
        <v>633</v>
      </c>
      <c r="D107" t="s" s="0">
        <v>103</v>
      </c>
      <c r="E107" t="s" s="0">
        <v>2961</v>
      </c>
      <c r="F107" t="s" s="0">
        <v>2962</v>
      </c>
      <c r="G107" t="s" s="0">
        <v>2963</v>
      </c>
      <c r="H107" t="s" s="0">
        <v>82</v>
      </c>
      <c r="I107" t="s" s="0">
        <v>83</v>
      </c>
      <c r="J107" t="s" s="0">
        <v>2964</v>
      </c>
      <c r="K107" t="s" s="0">
        <v>2965</v>
      </c>
      <c r="L107" t="s" s="0">
        <v>82</v>
      </c>
      <c r="M107" t="s" s="0">
        <v>82</v>
      </c>
      <c r="N107" t="s" s="0">
        <v>82</v>
      </c>
      <c r="O107" t="s" s="0">
        <v>2966</v>
      </c>
      <c r="P107" t="s" s="0">
        <v>2967</v>
      </c>
      <c r="Q107" t="s" s="0">
        <v>91</v>
      </c>
      <c r="R107" t="s" s="0">
        <v>82</v>
      </c>
      <c r="S107" t="s" s="0">
        <v>82</v>
      </c>
      <c r="T107" t="s" s="0">
        <v>82</v>
      </c>
      <c r="U107" t="s" s="0">
        <v>82</v>
      </c>
      <c r="V107" t="s" s="0">
        <v>2968</v>
      </c>
      <c r="W107" t="s" s="0">
        <v>2969</v>
      </c>
      <c r="X107" t="s" s="0">
        <v>82</v>
      </c>
      <c r="Y107" t="s" s="0">
        <v>82</v>
      </c>
      <c r="Z107" t="s" s="0">
        <v>94</v>
      </c>
      <c r="AA107" t="s" s="0">
        <v>95</v>
      </c>
      <c r="AB107" t="s" s="0">
        <v>82</v>
      </c>
      <c r="AC107" t="s" s="0">
        <v>82</v>
      </c>
      <c r="AD107" t="s" s="0">
        <v>82</v>
      </c>
      <c r="AE107" t="s" s="0">
        <v>82</v>
      </c>
      <c r="AF107" t="s" s="0">
        <v>82</v>
      </c>
      <c r="AG107" t="s" s="0">
        <v>2970</v>
      </c>
      <c r="AH107" t="s" s="0">
        <v>2971</v>
      </c>
      <c r="AI107" t="s" s="0">
        <v>2972</v>
      </c>
      <c r="AJ107" t="s" s="0">
        <v>2973</v>
      </c>
      <c r="AK107" t="s" s="0">
        <v>82</v>
      </c>
      <c r="AL107" t="s" s="0">
        <v>546</v>
      </c>
      <c r="AM107" t="s" s="0">
        <v>644</v>
      </c>
      <c r="AN107" t="s" s="0">
        <v>2007</v>
      </c>
      <c r="AO107" t="s" s="0">
        <v>191</v>
      </c>
      <c r="AP107" t="s" s="0">
        <v>581</v>
      </c>
      <c r="AQ107" t="s" s="0">
        <v>2974</v>
      </c>
      <c r="AR107" t="s" s="0">
        <v>2975</v>
      </c>
      <c r="AS107" t="s" s="0">
        <v>2976</v>
      </c>
      <c r="AT107" t="s" s="0">
        <v>2977</v>
      </c>
      <c r="AU107" t="s" s="0">
        <v>2978</v>
      </c>
      <c r="AV107" t="s" s="0">
        <v>82</v>
      </c>
      <c r="AW107" t="s" s="0">
        <v>2979</v>
      </c>
      <c r="AX107" t="s" s="0">
        <v>2980</v>
      </c>
      <c r="AY107" t="s" s="0">
        <v>1246</v>
      </c>
      <c r="AZ107" t="s" s="0">
        <v>1075</v>
      </c>
      <c r="BA107" t="s" s="0">
        <v>1515</v>
      </c>
      <c r="BB107" t="s" s="0">
        <v>82</v>
      </c>
      <c r="BC107" t="s" s="0">
        <v>82</v>
      </c>
      <c r="BD107" t="s" s="0">
        <v>82</v>
      </c>
      <c r="BE107" t="s" s="0">
        <v>82</v>
      </c>
      <c r="BF107" t="s" s="0">
        <v>82</v>
      </c>
      <c r="BG107" t="s" s="0">
        <v>82</v>
      </c>
      <c r="BH107" t="s" s="0">
        <v>82</v>
      </c>
      <c r="BI107" t="s" s="0">
        <v>2981</v>
      </c>
      <c r="BJ107" t="s" s="0">
        <v>2982</v>
      </c>
      <c r="BK107" t="s" s="211">
        <f>HYPERLINK("http://dx.doi.org/10.1016/j.ijmedinf.2021.104557","http://dx.doi.org/10.1016/j.ijmedinf.2021.104557")</f>
        <v>2983</v>
      </c>
      <c r="BL107" t="s" s="0">
        <v>82</v>
      </c>
      <c r="BM107" t="s" s="0">
        <v>1463</v>
      </c>
      <c r="BN107" t="s" s="0">
        <v>431</v>
      </c>
      <c r="BO107" t="s" s="0">
        <v>2984</v>
      </c>
      <c r="BP107" t="s" s="0">
        <v>2985</v>
      </c>
      <c r="BQ107" t="s" s="0">
        <v>2986</v>
      </c>
      <c r="BR107" t="s" s="0">
        <v>2987</v>
      </c>
      <c r="BS107" t="s" s="0">
        <v>2988</v>
      </c>
      <c r="BT107" t="s" s="212">
        <f>HYPERLINK("https://www.webofscience.com/wos/woscc/full-record/WOS:000704411500012","View Record in Web of Science")</f>
        <v>124</v>
      </c>
      <c r="BU107" t="s" s="0">
        <v>82</v>
      </c>
      <c r="BV107" t="s" s="0">
        <v>82</v>
      </c>
      <c r="BW107" t="s" s="0">
        <v>82</v>
      </c>
      <c r="BX107" t="s" s="0">
        <v>126</v>
      </c>
    </row>
    <row r="108">
      <c r="A108" t="s" s="0">
        <v>151</v>
      </c>
      <c r="B108" t="s" s="0">
        <v>77</v>
      </c>
      <c r="C108" t="s" s="0">
        <v>1127</v>
      </c>
      <c r="D108" t="s" s="0">
        <v>372</v>
      </c>
      <c r="E108" t="s" s="0">
        <v>2989</v>
      </c>
      <c r="F108" t="s" s="0">
        <v>2990</v>
      </c>
      <c r="G108" t="s" s="0">
        <v>2991</v>
      </c>
      <c r="H108" t="s" s="0">
        <v>82</v>
      </c>
      <c r="I108" t="s" s="0">
        <v>83</v>
      </c>
      <c r="J108" t="s" s="0">
        <v>2992</v>
      </c>
      <c r="K108" t="s" s="0">
        <v>2993</v>
      </c>
      <c r="L108" t="s" s="0">
        <v>2994</v>
      </c>
      <c r="M108" t="s" s="0">
        <v>2995</v>
      </c>
      <c r="N108" t="s" s="0">
        <v>2996</v>
      </c>
      <c r="O108" t="s" s="0">
        <v>2997</v>
      </c>
      <c r="P108" t="s" s="0">
        <v>2998</v>
      </c>
      <c r="Q108" t="s" s="0">
        <v>91</v>
      </c>
      <c r="R108" t="s" s="0">
        <v>82</v>
      </c>
      <c r="S108" t="s" s="0">
        <v>82</v>
      </c>
      <c r="T108" t="s" s="0">
        <v>82</v>
      </c>
      <c r="U108" t="s" s="0">
        <v>82</v>
      </c>
      <c r="V108" t="s" s="0">
        <v>2999</v>
      </c>
      <c r="W108" t="s" s="0">
        <v>3000</v>
      </c>
      <c r="X108" t="s" s="0">
        <v>82</v>
      </c>
      <c r="Y108" t="s" s="0">
        <v>82</v>
      </c>
      <c r="Z108" t="s" s="0">
        <v>94</v>
      </c>
      <c r="AA108" t="s" s="0">
        <v>95</v>
      </c>
      <c r="AB108" t="s" s="0">
        <v>82</v>
      </c>
      <c r="AC108" t="s" s="0">
        <v>82</v>
      </c>
      <c r="AD108" t="s" s="0">
        <v>82</v>
      </c>
      <c r="AE108" t="s" s="0">
        <v>82</v>
      </c>
      <c r="AF108" t="s" s="0">
        <v>82</v>
      </c>
      <c r="AG108" t="s" s="0">
        <v>3001</v>
      </c>
      <c r="AH108" t="s" s="0">
        <v>3002</v>
      </c>
      <c r="AI108" t="s" s="0">
        <v>3003</v>
      </c>
      <c r="AJ108" t="s" s="0">
        <v>3004</v>
      </c>
      <c r="AK108" t="s" s="0">
        <v>82</v>
      </c>
      <c r="AL108" t="s" s="0">
        <v>362</v>
      </c>
      <c r="AM108" t="s" s="0">
        <v>3005</v>
      </c>
      <c r="AN108" t="s" s="0">
        <v>3006</v>
      </c>
      <c r="AO108" t="s" s="0">
        <v>191</v>
      </c>
      <c r="AP108" t="s" s="0">
        <v>439</v>
      </c>
      <c r="AQ108" t="s" s="0">
        <v>2974</v>
      </c>
      <c r="AR108" t="s" s="0">
        <v>2975</v>
      </c>
      <c r="AS108" t="s" s="0">
        <v>2976</v>
      </c>
      <c r="AT108" t="s" s="0">
        <v>3007</v>
      </c>
      <c r="AU108" t="s" s="0">
        <v>3008</v>
      </c>
      <c r="AV108" t="s" s="0">
        <v>82</v>
      </c>
      <c r="AW108" t="s" s="0">
        <v>3000</v>
      </c>
      <c r="AX108" t="s" s="0">
        <v>3009</v>
      </c>
      <c r="AY108" t="s" s="0">
        <v>2149</v>
      </c>
      <c r="AZ108" t="s" s="0">
        <v>337</v>
      </c>
      <c r="BA108" t="s" s="0">
        <v>3010</v>
      </c>
      <c r="BB108" t="s" s="0">
        <v>82</v>
      </c>
      <c r="BC108" t="s" s="0">
        <v>82</v>
      </c>
      <c r="BD108" t="s" s="0">
        <v>82</v>
      </c>
      <c r="BE108" t="s" s="0">
        <v>82</v>
      </c>
      <c r="BF108" t="s" s="0">
        <v>82</v>
      </c>
      <c r="BG108" t="s" s="0">
        <v>1515</v>
      </c>
      <c r="BH108" t="s" s="0">
        <v>3011</v>
      </c>
      <c r="BI108" t="s" s="0">
        <v>82</v>
      </c>
      <c r="BJ108" t="s" s="0">
        <v>3012</v>
      </c>
      <c r="BK108" t="s" s="213">
        <f>HYPERLINK("http://dx.doi.org/10.1016/j.lungcan.2020.07.007","http://dx.doi.org/10.1016/j.lungcan.2020.07.007")</f>
        <v>3013</v>
      </c>
      <c r="BL108" t="s" s="0">
        <v>82</v>
      </c>
      <c r="BM108" t="s" s="0">
        <v>82</v>
      </c>
      <c r="BN108" t="s" s="0">
        <v>1293</v>
      </c>
      <c r="BO108" t="s" s="0">
        <v>3014</v>
      </c>
      <c r="BP108" t="s" s="0">
        <v>3014</v>
      </c>
      <c r="BQ108" t="s" s="0">
        <v>3015</v>
      </c>
      <c r="BR108" t="s" s="0">
        <v>3016</v>
      </c>
      <c r="BS108" t="s" s="0">
        <v>3017</v>
      </c>
      <c r="BT108" t="s" s="214">
        <f>HYPERLINK("https://www.webofscience.com/wos/woscc/full-record/WOS:000571476500001","View Record in Web of Science")</f>
        <v>124</v>
      </c>
      <c r="BU108" t="s" s="0">
        <v>82</v>
      </c>
      <c r="BV108" t="s" s="0">
        <v>713</v>
      </c>
      <c r="BW108" t="s" s="0">
        <v>714</v>
      </c>
      <c r="BX108" t="s" s="0">
        <v>126</v>
      </c>
    </row>
    <row r="109">
      <c r="A109" t="s" s="0">
        <v>78</v>
      </c>
      <c r="B109" t="s" s="0">
        <v>77</v>
      </c>
      <c r="C109" t="s" s="0">
        <v>633</v>
      </c>
      <c r="D109" t="s" s="0">
        <v>78</v>
      </c>
      <c r="E109" t="s" s="0">
        <v>3018</v>
      </c>
      <c r="F109" t="s" s="0">
        <v>3019</v>
      </c>
      <c r="G109" t="s" s="0">
        <v>3020</v>
      </c>
      <c r="H109" t="s" s="0">
        <v>82</v>
      </c>
      <c r="I109" t="s" s="0">
        <v>83</v>
      </c>
      <c r="J109" t="s" s="0">
        <v>3021</v>
      </c>
      <c r="K109" t="s" s="0">
        <v>2540</v>
      </c>
      <c r="L109" t="s" s="0">
        <v>3022</v>
      </c>
      <c r="M109" t="s" s="0">
        <v>2542</v>
      </c>
      <c r="N109" t="s" s="0">
        <v>82</v>
      </c>
      <c r="O109" t="s" s="0">
        <v>3023</v>
      </c>
      <c r="P109" t="s" s="0">
        <v>2544</v>
      </c>
      <c r="Q109" t="s" s="0">
        <v>91</v>
      </c>
      <c r="R109" t="s" s="0">
        <v>82</v>
      </c>
      <c r="S109" t="s" s="0">
        <v>82</v>
      </c>
      <c r="T109" t="s" s="0">
        <v>82</v>
      </c>
      <c r="U109" t="s" s="0">
        <v>82</v>
      </c>
      <c r="V109" t="s" s="0">
        <v>3024</v>
      </c>
      <c r="W109" t="s" s="0">
        <v>2546</v>
      </c>
      <c r="X109" t="s" s="0">
        <v>82</v>
      </c>
      <c r="Y109" t="s" s="0">
        <v>82</v>
      </c>
      <c r="Z109" t="s" s="0">
        <v>94</v>
      </c>
      <c r="AA109" t="s" s="0">
        <v>95</v>
      </c>
      <c r="AB109" t="s" s="0">
        <v>82</v>
      </c>
      <c r="AC109" t="s" s="0">
        <v>82</v>
      </c>
      <c r="AD109" t="s" s="0">
        <v>82</v>
      </c>
      <c r="AE109" t="s" s="0">
        <v>82</v>
      </c>
      <c r="AF109" t="s" s="0">
        <v>82</v>
      </c>
      <c r="AG109" t="s" s="0">
        <v>3025</v>
      </c>
      <c r="AH109" t="s" s="0">
        <v>3026</v>
      </c>
      <c r="AI109" t="s" s="0">
        <v>3027</v>
      </c>
      <c r="AJ109" t="s" s="0">
        <v>3028</v>
      </c>
      <c r="AK109" t="s" s="0">
        <v>82</v>
      </c>
      <c r="AL109" t="s" s="0">
        <v>141</v>
      </c>
      <c r="AM109" t="s" s="0">
        <v>1067</v>
      </c>
      <c r="AN109" t="s" s="0">
        <v>1012</v>
      </c>
      <c r="AO109" t="s" s="0">
        <v>372</v>
      </c>
      <c r="AP109" t="s" s="0">
        <v>300</v>
      </c>
      <c r="AQ109" t="s" s="0">
        <v>254</v>
      </c>
      <c r="AR109" t="s" s="0">
        <v>255</v>
      </c>
      <c r="AS109" t="s" s="0">
        <v>2468</v>
      </c>
      <c r="AT109" t="s" s="0">
        <v>2551</v>
      </c>
      <c r="AU109" t="s" s="0">
        <v>2552</v>
      </c>
      <c r="AV109" t="s" s="0">
        <v>82</v>
      </c>
      <c r="AW109" t="s" s="0">
        <v>2553</v>
      </c>
      <c r="AX109" t="s" s="0">
        <v>2554</v>
      </c>
      <c r="AY109" t="s" s="0">
        <v>3029</v>
      </c>
      <c r="AZ109" t="s" s="0">
        <v>842</v>
      </c>
      <c r="BA109" t="s" s="0">
        <v>1515</v>
      </c>
      <c r="BB109" t="s" s="0">
        <v>82</v>
      </c>
      <c r="BC109" t="s" s="0">
        <v>82</v>
      </c>
      <c r="BD109" t="s" s="0">
        <v>82</v>
      </c>
      <c r="BE109" t="s" s="0">
        <v>82</v>
      </c>
      <c r="BF109" t="s" s="0">
        <v>82</v>
      </c>
      <c r="BG109" t="s" s="0">
        <v>102</v>
      </c>
      <c r="BH109" t="s" s="0">
        <v>253</v>
      </c>
      <c r="BI109" t="s" s="0">
        <v>82</v>
      </c>
      <c r="BJ109" t="s" s="0">
        <v>3030</v>
      </c>
      <c r="BK109" t="s" s="215">
        <f>HYPERLINK("http://dx.doi.org/10.1016/j.jclinepi.2022.11.015","http://dx.doi.org/10.1016/j.jclinepi.2022.11.015")</f>
        <v>3031</v>
      </c>
      <c r="BL109" t="s" s="0">
        <v>82</v>
      </c>
      <c r="BM109" t="s" s="0">
        <v>2953</v>
      </c>
      <c r="BN109" t="s" s="0">
        <v>634</v>
      </c>
      <c r="BO109" t="s" s="0">
        <v>2559</v>
      </c>
      <c r="BP109" t="s" s="0">
        <v>2559</v>
      </c>
      <c r="BQ109" t="s" s="0">
        <v>3032</v>
      </c>
      <c r="BR109" t="s" s="0">
        <v>3033</v>
      </c>
      <c r="BS109" t="s" s="0">
        <v>3034</v>
      </c>
      <c r="BT109" t="s" s="216">
        <f>HYPERLINK("https://www.webofscience.com/wos/woscc/full-record/WOS:000910694800001","View Record in Web of Science")</f>
        <v>124</v>
      </c>
      <c r="BU109" t="s" s="0">
        <v>163</v>
      </c>
      <c r="BV109" t="s" s="0">
        <v>713</v>
      </c>
      <c r="BW109" t="s" s="0">
        <v>714</v>
      </c>
      <c r="BX109" t="s" s="0">
        <v>126</v>
      </c>
    </row>
    <row r="110">
      <c r="A110" t="s" s="0">
        <v>103</v>
      </c>
      <c r="B110" t="s" s="0">
        <v>77</v>
      </c>
      <c r="C110" t="s" s="0">
        <v>372</v>
      </c>
      <c r="D110" t="s" s="0">
        <v>77</v>
      </c>
      <c r="E110" t="s" s="0">
        <v>3035</v>
      </c>
      <c r="F110" t="s" s="0">
        <v>3036</v>
      </c>
      <c r="G110" t="s" s="0">
        <v>3037</v>
      </c>
      <c r="H110" t="s" s="0">
        <v>82</v>
      </c>
      <c r="I110" t="s" s="0">
        <v>83</v>
      </c>
      <c r="J110" t="s" s="0">
        <v>3038</v>
      </c>
      <c r="K110" t="s" s="0">
        <v>3039</v>
      </c>
      <c r="L110" t="s" s="0">
        <v>3040</v>
      </c>
      <c r="M110" t="s" s="0">
        <v>3041</v>
      </c>
      <c r="N110" t="s" s="0">
        <v>3042</v>
      </c>
      <c r="O110" t="s" s="0">
        <v>3043</v>
      </c>
      <c r="P110" t="s" s="0">
        <v>3044</v>
      </c>
      <c r="Q110" t="s" s="0">
        <v>91</v>
      </c>
      <c r="R110" t="s" s="0">
        <v>82</v>
      </c>
      <c r="S110" t="s" s="0">
        <v>82</v>
      </c>
      <c r="T110" t="s" s="0">
        <v>82</v>
      </c>
      <c r="U110" t="s" s="0">
        <v>82</v>
      </c>
      <c r="V110" t="s" s="0">
        <v>3045</v>
      </c>
      <c r="W110" t="s" s="0">
        <v>3046</v>
      </c>
      <c r="X110" t="s" s="0">
        <v>82</v>
      </c>
      <c r="Y110" t="s" s="0">
        <v>82</v>
      </c>
      <c r="Z110" t="s" s="0">
        <v>94</v>
      </c>
      <c r="AA110" t="s" s="0">
        <v>95</v>
      </c>
      <c r="AB110" t="s" s="0">
        <v>82</v>
      </c>
      <c r="AC110" t="s" s="0">
        <v>82</v>
      </c>
      <c r="AD110" t="s" s="0">
        <v>82</v>
      </c>
      <c r="AE110" t="s" s="0">
        <v>82</v>
      </c>
      <c r="AF110" t="s" s="0">
        <v>82</v>
      </c>
      <c r="AG110" t="s" s="0">
        <v>3047</v>
      </c>
      <c r="AH110" t="s" s="0">
        <v>3048</v>
      </c>
      <c r="AI110" t="s" s="0">
        <v>3049</v>
      </c>
      <c r="AJ110" t="s" s="0">
        <v>3050</v>
      </c>
      <c r="AK110" t="s" s="0">
        <v>82</v>
      </c>
      <c r="AL110" t="s" s="0">
        <v>3051</v>
      </c>
      <c r="AM110" t="s" s="0">
        <v>377</v>
      </c>
      <c r="AN110" t="s" s="0">
        <v>300</v>
      </c>
      <c r="AO110" t="s" s="0">
        <v>291</v>
      </c>
      <c r="AP110" t="s" s="0">
        <v>634</v>
      </c>
      <c r="AQ110" t="s" s="0">
        <v>2057</v>
      </c>
      <c r="AR110" t="s" s="0">
        <v>1069</v>
      </c>
      <c r="AS110" t="s" s="0">
        <v>2058</v>
      </c>
      <c r="AT110" t="s" s="0">
        <v>3052</v>
      </c>
      <c r="AU110" t="s" s="0">
        <v>3053</v>
      </c>
      <c r="AV110" t="s" s="0">
        <v>82</v>
      </c>
      <c r="AW110" t="s" s="0">
        <v>3054</v>
      </c>
      <c r="AX110" t="s" s="0">
        <v>3055</v>
      </c>
      <c r="AY110" t="s" s="0">
        <v>3056</v>
      </c>
      <c r="AZ110" t="s" s="0">
        <v>112</v>
      </c>
      <c r="BA110" t="s" s="0">
        <v>3057</v>
      </c>
      <c r="BB110" t="s" s="0">
        <v>82</v>
      </c>
      <c r="BC110" t="s" s="0">
        <v>82</v>
      </c>
      <c r="BD110" t="s" s="0">
        <v>82</v>
      </c>
      <c r="BE110" t="s" s="0">
        <v>82</v>
      </c>
      <c r="BF110" t="s" s="0">
        <v>82</v>
      </c>
      <c r="BG110" t="s" s="0">
        <v>3058</v>
      </c>
      <c r="BH110" t="s" s="0">
        <v>3059</v>
      </c>
      <c r="BI110" t="s" s="0">
        <v>82</v>
      </c>
      <c r="BJ110" t="s" s="0">
        <v>3060</v>
      </c>
      <c r="BK110" t="s" s="217">
        <f>HYPERLINK("http://dx.doi.org/10.1016/j.pcad.2025.06.005","http://dx.doi.org/10.1016/j.pcad.2025.06.005")</f>
        <v>3061</v>
      </c>
      <c r="BL110" t="s" s="0">
        <v>82</v>
      </c>
      <c r="BM110" t="s" s="0">
        <v>957</v>
      </c>
      <c r="BN110" t="s" s="0">
        <v>732</v>
      </c>
      <c r="BO110" t="s" s="0">
        <v>771</v>
      </c>
      <c r="BP110" t="s" s="0">
        <v>772</v>
      </c>
      <c r="BQ110" t="s" s="0">
        <v>3062</v>
      </c>
      <c r="BR110" t="s" s="0">
        <v>3063</v>
      </c>
      <c r="BS110" t="s" s="0">
        <v>3064</v>
      </c>
      <c r="BT110" t="s" s="218">
        <f>HYPERLINK("https://www.webofscience.com/wos/woscc/full-record/WOS:001570550900007","View Record in Web of Science")</f>
        <v>124</v>
      </c>
      <c r="BU110" t="s" s="0">
        <v>163</v>
      </c>
      <c r="BV110" t="s" s="0">
        <v>82</v>
      </c>
      <c r="BW110" t="s" s="0">
        <v>82</v>
      </c>
      <c r="BX110" t="s" s="0">
        <v>126</v>
      </c>
    </row>
    <row r="111">
      <c r="A111" t="s" s="0">
        <v>77</v>
      </c>
      <c r="B111" t="s" s="0">
        <v>77</v>
      </c>
      <c r="C111" t="s" s="0">
        <v>77</v>
      </c>
      <c r="D111" t="s" s="0">
        <v>77</v>
      </c>
      <c r="E111" t="s" s="0">
        <v>3065</v>
      </c>
      <c r="F111" t="s" s="0">
        <v>3066</v>
      </c>
      <c r="G111" t="s" s="0">
        <v>3067</v>
      </c>
      <c r="H111" t="s" s="0">
        <v>82</v>
      </c>
      <c r="I111" t="s" s="0">
        <v>83</v>
      </c>
      <c r="J111" t="s" s="0">
        <v>3068</v>
      </c>
      <c r="K111" t="s" s="0">
        <v>3069</v>
      </c>
      <c r="L111" t="s" s="0">
        <v>3070</v>
      </c>
      <c r="M111" t="s" s="0">
        <v>3071</v>
      </c>
      <c r="N111" t="s" s="0">
        <v>3072</v>
      </c>
      <c r="O111" t="s" s="0">
        <v>3073</v>
      </c>
      <c r="P111" t="s" s="0">
        <v>3074</v>
      </c>
      <c r="Q111" t="s" s="0">
        <v>91</v>
      </c>
      <c r="R111" t="s" s="0">
        <v>82</v>
      </c>
      <c r="S111" t="s" s="0">
        <v>82</v>
      </c>
      <c r="T111" t="s" s="0">
        <v>82</v>
      </c>
      <c r="U111" t="s" s="0">
        <v>82</v>
      </c>
      <c r="V111" t="s" s="0">
        <v>3075</v>
      </c>
      <c r="W111" t="s" s="0">
        <v>3076</v>
      </c>
      <c r="X111" t="s" s="0">
        <v>82</v>
      </c>
      <c r="Y111" t="s" s="0">
        <v>82</v>
      </c>
      <c r="Z111" t="s" s="0">
        <v>94</v>
      </c>
      <c r="AA111" t="s" s="0">
        <v>95</v>
      </c>
      <c r="AB111" t="s" s="0">
        <v>82</v>
      </c>
      <c r="AC111" t="s" s="0">
        <v>82</v>
      </c>
      <c r="AD111" t="s" s="0">
        <v>82</v>
      </c>
      <c r="AE111" t="s" s="0">
        <v>82</v>
      </c>
      <c r="AF111" t="s" s="0">
        <v>82</v>
      </c>
      <c r="AG111" t="s" s="0">
        <v>3077</v>
      </c>
      <c r="AH111" t="s" s="0">
        <v>3078</v>
      </c>
      <c r="AI111" t="s" s="0">
        <v>3079</v>
      </c>
      <c r="AJ111" t="s" s="0">
        <v>82</v>
      </c>
      <c r="AK111" t="s" s="0">
        <v>82</v>
      </c>
      <c r="AL111" t="s" s="0">
        <v>3080</v>
      </c>
      <c r="AM111" t="s" s="0">
        <v>77</v>
      </c>
      <c r="AN111" t="s" s="0">
        <v>77</v>
      </c>
      <c r="AO111" t="s" s="0">
        <v>78</v>
      </c>
      <c r="AP111" t="s" s="0">
        <v>78</v>
      </c>
      <c r="AQ111" t="s" s="0">
        <v>219</v>
      </c>
      <c r="AR111" t="s" s="0">
        <v>220</v>
      </c>
      <c r="AS111" t="s" s="0">
        <v>221</v>
      </c>
      <c r="AT111" t="s" s="0">
        <v>82</v>
      </c>
      <c r="AU111" t="s" s="0">
        <v>3081</v>
      </c>
      <c r="AV111" t="s" s="0">
        <v>82</v>
      </c>
      <c r="AW111" t="s" s="0">
        <v>3082</v>
      </c>
      <c r="AX111" t="s" s="0">
        <v>3083</v>
      </c>
      <c r="AY111" t="s" s="0">
        <v>3084</v>
      </c>
      <c r="AZ111" t="s" s="0">
        <v>150</v>
      </c>
      <c r="BA111" t="s" s="0">
        <v>328</v>
      </c>
      <c r="BB111" t="s" s="0">
        <v>78</v>
      </c>
      <c r="BC111" t="s" s="0">
        <v>82</v>
      </c>
      <c r="BD111" t="s" s="0">
        <v>82</v>
      </c>
      <c r="BE111" t="s" s="0">
        <v>82</v>
      </c>
      <c r="BF111" t="s" s="0">
        <v>82</v>
      </c>
      <c r="BG111" t="s" s="0">
        <v>82</v>
      </c>
      <c r="BH111" t="s" s="0">
        <v>82</v>
      </c>
      <c r="BI111" t="s" s="0">
        <v>3085</v>
      </c>
      <c r="BJ111" t="s" s="0">
        <v>3086</v>
      </c>
      <c r="BK111" t="s" s="219">
        <f>HYPERLINK("http://dx.doi.org/10.1186/s12884-026-08904-w","http://dx.doi.org/10.1186/s12884-026-08904-w")</f>
        <v>3087</v>
      </c>
      <c r="BL111" t="s" s="0">
        <v>82</v>
      </c>
      <c r="BM111" t="s" s="0">
        <v>791</v>
      </c>
      <c r="BN111" t="s" s="0">
        <v>151</v>
      </c>
      <c r="BO111" t="s" s="0">
        <v>1194</v>
      </c>
      <c r="BP111" t="s" s="0">
        <v>1194</v>
      </c>
      <c r="BQ111" t="s" s="0">
        <v>3088</v>
      </c>
      <c r="BR111" t="s" s="0">
        <v>3089</v>
      </c>
      <c r="BS111" t="s" s="0">
        <v>3090</v>
      </c>
      <c r="BT111" t="s" s="220">
        <f>HYPERLINK("https://www.webofscience.com/wos/woscc/full-record/WOS:001769750000001","View Record in Web of Science")</f>
        <v>124</v>
      </c>
      <c r="BU111" t="s" s="0">
        <v>236</v>
      </c>
      <c r="BV111" t="s" s="0">
        <v>82</v>
      </c>
      <c r="BW111" t="s" s="0">
        <v>82</v>
      </c>
      <c r="BX111" t="s" s="0">
        <v>126</v>
      </c>
    </row>
    <row r="112">
      <c r="A112" t="s" s="0">
        <v>77</v>
      </c>
      <c r="B112" t="s" s="0">
        <v>77</v>
      </c>
      <c r="C112" t="s" s="0">
        <v>77</v>
      </c>
      <c r="D112" t="s" s="0">
        <v>77</v>
      </c>
      <c r="E112" t="s" s="0">
        <v>3091</v>
      </c>
      <c r="F112" t="s" s="0">
        <v>3092</v>
      </c>
      <c r="G112" t="s" s="0">
        <v>3093</v>
      </c>
      <c r="H112" t="s" s="0">
        <v>82</v>
      </c>
      <c r="I112" t="s" s="0">
        <v>83</v>
      </c>
      <c r="J112" t="s" s="0">
        <v>3094</v>
      </c>
      <c r="K112" t="s" s="0">
        <v>3095</v>
      </c>
      <c r="L112" t="s" s="0">
        <v>82</v>
      </c>
      <c r="M112" t="s" s="0">
        <v>82</v>
      </c>
      <c r="N112" t="s" s="0">
        <v>82</v>
      </c>
      <c r="O112" t="s" s="0">
        <v>3096</v>
      </c>
      <c r="P112" t="s" s="0">
        <v>3097</v>
      </c>
      <c r="Q112" t="s" s="0">
        <v>91</v>
      </c>
      <c r="R112" t="s" s="0">
        <v>82</v>
      </c>
      <c r="S112" t="s" s="0">
        <v>82</v>
      </c>
      <c r="T112" t="s" s="0">
        <v>82</v>
      </c>
      <c r="U112" t="s" s="0">
        <v>82</v>
      </c>
      <c r="V112" t="s" s="0">
        <v>3098</v>
      </c>
      <c r="W112" t="s" s="0">
        <v>3099</v>
      </c>
      <c r="X112" t="s" s="0">
        <v>82</v>
      </c>
      <c r="Y112" t="s" s="0">
        <v>82</v>
      </c>
      <c r="Z112" t="s" s="0">
        <v>94</v>
      </c>
      <c r="AA112" t="s" s="0">
        <v>95</v>
      </c>
      <c r="AB112" t="s" s="0">
        <v>82</v>
      </c>
      <c r="AC112" t="s" s="0">
        <v>82</v>
      </c>
      <c r="AD112" t="s" s="0">
        <v>82</v>
      </c>
      <c r="AE112" t="s" s="0">
        <v>82</v>
      </c>
      <c r="AF112" t="s" s="0">
        <v>82</v>
      </c>
      <c r="AG112" t="s" s="0">
        <v>3100</v>
      </c>
      <c r="AH112" t="s" s="0">
        <v>3101</v>
      </c>
      <c r="AI112" t="s" s="0">
        <v>3102</v>
      </c>
      <c r="AJ112" t="s" s="0">
        <v>82</v>
      </c>
      <c r="AK112" t="s" s="0">
        <v>82</v>
      </c>
      <c r="AL112" t="s" s="0">
        <v>2007</v>
      </c>
      <c r="AM112" t="s" s="0">
        <v>191</v>
      </c>
      <c r="AN112" t="s" s="0">
        <v>291</v>
      </c>
      <c r="AO112" t="s" s="0">
        <v>78</v>
      </c>
      <c r="AP112" t="s" s="0">
        <v>152</v>
      </c>
      <c r="AQ112" t="s" s="0">
        <v>1068</v>
      </c>
      <c r="AR112" t="s" s="0">
        <v>1069</v>
      </c>
      <c r="AS112" t="s" s="0">
        <v>1070</v>
      </c>
      <c r="AT112" t="s" s="0">
        <v>3103</v>
      </c>
      <c r="AU112" t="s" s="0">
        <v>3104</v>
      </c>
      <c r="AV112" t="s" s="0">
        <v>82</v>
      </c>
      <c r="AW112" t="s" s="0">
        <v>3105</v>
      </c>
      <c r="AX112" t="s" s="0">
        <v>3106</v>
      </c>
      <c r="AY112" t="s" s="0">
        <v>879</v>
      </c>
      <c r="AZ112" t="s" s="0">
        <v>112</v>
      </c>
      <c r="BA112" t="s" s="0">
        <v>347</v>
      </c>
      <c r="BB112" t="s" s="0">
        <v>152</v>
      </c>
      <c r="BC112" t="s" s="0">
        <v>82</v>
      </c>
      <c r="BD112" t="s" s="0">
        <v>82</v>
      </c>
      <c r="BE112" t="s" s="0">
        <v>82</v>
      </c>
      <c r="BF112" t="s" s="0">
        <v>82</v>
      </c>
      <c r="BG112" t="s" s="0">
        <v>3107</v>
      </c>
      <c r="BH112" t="s" s="0">
        <v>3006</v>
      </c>
      <c r="BI112" t="s" s="0">
        <v>82</v>
      </c>
      <c r="BJ112" t="s" s="0">
        <v>3108</v>
      </c>
      <c r="BK112" t="s" s="221">
        <f>HYPERLINK("http://dx.doi.org/10.1097/HCR.0000000000000943","http://dx.doi.org/10.1097/HCR.0000000000000943")</f>
        <v>3109</v>
      </c>
      <c r="BL112" t="s" s="0">
        <v>82</v>
      </c>
      <c r="BM112" t="s" s="0">
        <v>82</v>
      </c>
      <c r="BN112" t="s" s="0">
        <v>268</v>
      </c>
      <c r="BO112" t="s" s="0">
        <v>771</v>
      </c>
      <c r="BP112" t="s" s="0">
        <v>772</v>
      </c>
      <c r="BQ112" t="s" s="0">
        <v>3110</v>
      </c>
      <c r="BR112" t="s" s="0">
        <v>3111</v>
      </c>
      <c r="BS112" t="s" s="0">
        <v>3112</v>
      </c>
      <c r="BT112" t="s" s="222">
        <f>HYPERLINK("https://www.webofscience.com/wos/woscc/full-record/WOS:001518809100001","View Record in Web of Science")</f>
        <v>124</v>
      </c>
      <c r="BU112" t="s" s="0">
        <v>82</v>
      </c>
      <c r="BV112" t="s" s="0">
        <v>82</v>
      </c>
      <c r="BW112" t="s" s="0">
        <v>82</v>
      </c>
      <c r="BX112" t="s" s="0">
        <v>126</v>
      </c>
    </row>
    <row r="113">
      <c r="A113" t="s" s="0">
        <v>77</v>
      </c>
      <c r="B113" t="s" s="0">
        <v>77</v>
      </c>
      <c r="C113" t="s" s="0">
        <v>633</v>
      </c>
      <c r="D113" t="s" s="0">
        <v>78</v>
      </c>
      <c r="E113" t="s" s="0">
        <v>2536</v>
      </c>
      <c r="F113" t="s" s="0">
        <v>3113</v>
      </c>
      <c r="G113" t="s" s="0">
        <v>2538</v>
      </c>
      <c r="H113" t="s" s="0">
        <v>82</v>
      </c>
      <c r="I113" t="s" s="0">
        <v>83</v>
      </c>
      <c r="J113" t="s" s="0">
        <v>3114</v>
      </c>
      <c r="K113" t="s" s="0">
        <v>3115</v>
      </c>
      <c r="L113" t="s" s="0">
        <v>3116</v>
      </c>
      <c r="M113" t="s" s="0">
        <v>3117</v>
      </c>
      <c r="N113" t="s" s="0">
        <v>3118</v>
      </c>
      <c r="O113" t="s" s="0">
        <v>3119</v>
      </c>
      <c r="P113" t="s" s="0">
        <v>2544</v>
      </c>
      <c r="Q113" t="s" s="0">
        <v>91</v>
      </c>
      <c r="R113" t="s" s="0">
        <v>82</v>
      </c>
      <c r="S113" t="s" s="0">
        <v>82</v>
      </c>
      <c r="T113" t="s" s="0">
        <v>82</v>
      </c>
      <c r="U113" t="s" s="0">
        <v>82</v>
      </c>
      <c r="V113" t="s" s="0">
        <v>3120</v>
      </c>
      <c r="W113" t="s" s="0">
        <v>695</v>
      </c>
      <c r="X113" t="s" s="0">
        <v>82</v>
      </c>
      <c r="Y113" t="s" s="0">
        <v>82</v>
      </c>
      <c r="Z113" t="s" s="0">
        <v>94</v>
      </c>
      <c r="AA113" t="s" s="0">
        <v>95</v>
      </c>
      <c r="AB113" t="s" s="0">
        <v>82</v>
      </c>
      <c r="AC113" t="s" s="0">
        <v>82</v>
      </c>
      <c r="AD113" t="s" s="0">
        <v>82</v>
      </c>
      <c r="AE113" t="s" s="0">
        <v>82</v>
      </c>
      <c r="AF113" t="s" s="0">
        <v>82</v>
      </c>
      <c r="AG113" t="s" s="0">
        <v>3121</v>
      </c>
      <c r="AH113" t="s" s="0">
        <v>82</v>
      </c>
      <c r="AI113" t="s" s="0">
        <v>3122</v>
      </c>
      <c r="AJ113" t="s" s="0">
        <v>3123</v>
      </c>
      <c r="AK113" t="s" s="0">
        <v>82</v>
      </c>
      <c r="AL113" t="s" s="0">
        <v>1293</v>
      </c>
      <c r="AM113" t="s" s="0">
        <v>262</v>
      </c>
      <c r="AN113" t="s" s="0">
        <v>1012</v>
      </c>
      <c r="AO113" t="s" s="0">
        <v>77</v>
      </c>
      <c r="AP113" t="s" s="0">
        <v>431</v>
      </c>
      <c r="AQ113" t="s" s="0">
        <v>219</v>
      </c>
      <c r="AR113" t="s" s="0">
        <v>220</v>
      </c>
      <c r="AS113" t="s" s="0">
        <v>221</v>
      </c>
      <c r="AT113" t="s" s="0">
        <v>82</v>
      </c>
      <c r="AU113" t="s" s="0">
        <v>703</v>
      </c>
      <c r="AV113" t="s" s="0">
        <v>82</v>
      </c>
      <c r="AW113" t="s" s="0">
        <v>704</v>
      </c>
      <c r="AX113" t="s" s="0">
        <v>705</v>
      </c>
      <c r="AY113" t="s" s="0">
        <v>3124</v>
      </c>
      <c r="AZ113" t="s" s="0">
        <v>189</v>
      </c>
      <c r="BA113" t="s" s="0">
        <v>253</v>
      </c>
      <c r="BB113" t="s" s="0">
        <v>78</v>
      </c>
      <c r="BC113" t="s" s="0">
        <v>82</v>
      </c>
      <c r="BD113" t="s" s="0">
        <v>82</v>
      </c>
      <c r="BE113" t="s" s="0">
        <v>82</v>
      </c>
      <c r="BF113" t="s" s="0">
        <v>82</v>
      </c>
      <c r="BG113" t="s" s="0">
        <v>82</v>
      </c>
      <c r="BH113" t="s" s="0">
        <v>82</v>
      </c>
      <c r="BI113" t="s" s="0">
        <v>377</v>
      </c>
      <c r="BJ113" t="s" s="0">
        <v>3125</v>
      </c>
      <c r="BK113" t="s" s="223">
        <f>HYPERLINK("http://dx.doi.org/10.1186/s12874-021-01469-6","http://dx.doi.org/10.1186/s12874-021-01469-6")</f>
        <v>3126</v>
      </c>
      <c r="BL113" t="s" s="0">
        <v>82</v>
      </c>
      <c r="BM113" t="s" s="0">
        <v>82</v>
      </c>
      <c r="BN113" t="s" s="0">
        <v>300</v>
      </c>
      <c r="BO113" t="s" s="0">
        <v>649</v>
      </c>
      <c r="BP113" t="s" s="0">
        <v>649</v>
      </c>
      <c r="BQ113" t="s" s="0">
        <v>3127</v>
      </c>
      <c r="BR113" t="s" s="0">
        <v>3128</v>
      </c>
      <c r="BS113" t="s" s="0">
        <v>3129</v>
      </c>
      <c r="BT113" t="s" s="224">
        <f>HYPERLINK("https://www.webofscience.com/wos/woscc/full-record/WOS:000742367600002","View Record in Web of Science")</f>
        <v>124</v>
      </c>
      <c r="BU113" t="s" s="0">
        <v>236</v>
      </c>
      <c r="BV113" t="s" s="0">
        <v>82</v>
      </c>
      <c r="BW113" t="s" s="0">
        <v>82</v>
      </c>
      <c r="BX113" t="s" s="0">
        <v>126</v>
      </c>
    </row>
    <row r="114">
      <c r="A114" t="s" s="0">
        <v>77</v>
      </c>
      <c r="B114" t="s" s="0">
        <v>77</v>
      </c>
      <c r="C114" t="s" s="0">
        <v>372</v>
      </c>
      <c r="D114" t="s" s="0">
        <v>77</v>
      </c>
      <c r="E114" t="s" s="0">
        <v>3130</v>
      </c>
      <c r="F114" t="s" s="0">
        <v>3131</v>
      </c>
      <c r="G114" t="s" s="0">
        <v>3132</v>
      </c>
      <c r="H114" t="s" s="0">
        <v>82</v>
      </c>
      <c r="I114" t="s" s="0">
        <v>83</v>
      </c>
      <c r="J114" t="s" s="0">
        <v>3133</v>
      </c>
      <c r="K114" t="s" s="0">
        <v>3134</v>
      </c>
      <c r="L114" t="s" s="0">
        <v>82</v>
      </c>
      <c r="M114" t="s" s="0">
        <v>82</v>
      </c>
      <c r="N114" t="s" s="0">
        <v>82</v>
      </c>
      <c r="O114" t="s" s="0">
        <v>3135</v>
      </c>
      <c r="P114" t="s" s="0">
        <v>3136</v>
      </c>
      <c r="Q114" t="s" s="0">
        <v>91</v>
      </c>
      <c r="R114" t="s" s="0">
        <v>82</v>
      </c>
      <c r="S114" t="s" s="0">
        <v>82</v>
      </c>
      <c r="T114" t="s" s="0">
        <v>82</v>
      </c>
      <c r="U114" t="s" s="0">
        <v>82</v>
      </c>
      <c r="V114" t="s" s="0">
        <v>3137</v>
      </c>
      <c r="W114" t="s" s="0">
        <v>3138</v>
      </c>
      <c r="X114" t="s" s="0">
        <v>82</v>
      </c>
      <c r="Y114" t="s" s="0">
        <v>82</v>
      </c>
      <c r="Z114" t="s" s="0">
        <v>94</v>
      </c>
      <c r="AA114" t="s" s="0">
        <v>95</v>
      </c>
      <c r="AB114" t="s" s="0">
        <v>82</v>
      </c>
      <c r="AC114" t="s" s="0">
        <v>82</v>
      </c>
      <c r="AD114" t="s" s="0">
        <v>82</v>
      </c>
      <c r="AE114" t="s" s="0">
        <v>82</v>
      </c>
      <c r="AF114" t="s" s="0">
        <v>82</v>
      </c>
      <c r="AG114" t="s" s="0">
        <v>3139</v>
      </c>
      <c r="AH114" t="s" s="0">
        <v>3140</v>
      </c>
      <c r="AI114" t="s" s="0">
        <v>3141</v>
      </c>
      <c r="AJ114" t="s" s="0">
        <v>3142</v>
      </c>
      <c r="AK114" t="s" s="0">
        <v>82</v>
      </c>
      <c r="AL114" t="s" s="0">
        <v>1692</v>
      </c>
      <c r="AM114" t="s" s="0">
        <v>300</v>
      </c>
      <c r="AN114" t="s" s="0">
        <v>431</v>
      </c>
      <c r="AO114" t="s" s="0">
        <v>77</v>
      </c>
      <c r="AP114" t="s" s="0">
        <v>231</v>
      </c>
      <c r="AQ114" t="s" s="0">
        <v>3143</v>
      </c>
      <c r="AR114" t="s" s="0">
        <v>3144</v>
      </c>
      <c r="AS114" t="s" s="0">
        <v>3145</v>
      </c>
      <c r="AT114" t="s" s="0">
        <v>3146</v>
      </c>
      <c r="AU114" t="s" s="0">
        <v>82</v>
      </c>
      <c r="AV114" t="s" s="0">
        <v>82</v>
      </c>
      <c r="AW114" t="s" s="0">
        <v>3147</v>
      </c>
      <c r="AX114" t="s" s="0">
        <v>3148</v>
      </c>
      <c r="AY114" t="s" s="0">
        <v>2251</v>
      </c>
      <c r="AZ114" t="s" s="0">
        <v>189</v>
      </c>
      <c r="BA114" t="s" s="0">
        <v>300</v>
      </c>
      <c r="BB114" t="s" s="0">
        <v>3149</v>
      </c>
      <c r="BC114" t="s" s="0">
        <v>82</v>
      </c>
      <c r="BD114" t="s" s="0">
        <v>82</v>
      </c>
      <c r="BE114" t="s" s="0">
        <v>82</v>
      </c>
      <c r="BF114" t="s" s="0">
        <v>82</v>
      </c>
      <c r="BG114" t="s" s="0">
        <v>3150</v>
      </c>
      <c r="BH114" t="s" s="0">
        <v>3151</v>
      </c>
      <c r="BI114" t="s" s="0">
        <v>82</v>
      </c>
      <c r="BJ114" t="s" s="0">
        <v>3152</v>
      </c>
      <c r="BK114" t="s" s="225">
        <f>HYPERLINK("http://dx.doi.org/10.1055/a-1863-1589","http://dx.doi.org/10.1055/a-1863-1589")</f>
        <v>3153</v>
      </c>
      <c r="BL114" t="s" s="0">
        <v>82</v>
      </c>
      <c r="BM114" t="s" s="0">
        <v>82</v>
      </c>
      <c r="BN114" t="s" s="0">
        <v>158</v>
      </c>
      <c r="BO114" t="s" s="0">
        <v>1650</v>
      </c>
      <c r="BP114" t="s" s="0">
        <v>1650</v>
      </c>
      <c r="BQ114" t="s" s="0">
        <v>3154</v>
      </c>
      <c r="BR114" t="s" s="0">
        <v>3155</v>
      </c>
      <c r="BS114" t="s" s="0">
        <v>3156</v>
      </c>
      <c r="BT114" t="s" s="226">
        <f>HYPERLINK("https://www.webofscience.com/wos/woscc/full-record/WOS:000830758600003","View Record in Web of Science")</f>
        <v>124</v>
      </c>
      <c r="BU114" t="s" s="0">
        <v>3157</v>
      </c>
      <c r="BV114" t="s" s="0">
        <v>82</v>
      </c>
      <c r="BW114" t="s" s="0">
        <v>82</v>
      </c>
      <c r="BX114" t="s" s="0">
        <v>126</v>
      </c>
    </row>
    <row r="115">
      <c r="A115" t="s" s="0">
        <v>77</v>
      </c>
      <c r="B115" t="s" s="0">
        <v>77</v>
      </c>
      <c r="C115" t="s" s="0">
        <v>372</v>
      </c>
      <c r="D115" t="s" s="0">
        <v>77</v>
      </c>
      <c r="E115" t="s" s="0">
        <v>3158</v>
      </c>
      <c r="F115" t="s" s="0">
        <v>3159</v>
      </c>
      <c r="G115" t="s" s="0">
        <v>3160</v>
      </c>
      <c r="H115" t="s" s="0">
        <v>82</v>
      </c>
      <c r="I115" t="s" s="0">
        <v>83</v>
      </c>
      <c r="J115" t="s" s="0">
        <v>3161</v>
      </c>
      <c r="K115" t="s" s="0">
        <v>3162</v>
      </c>
      <c r="L115" t="s" s="0">
        <v>82</v>
      </c>
      <c r="M115" t="s" s="0">
        <v>82</v>
      </c>
      <c r="N115" t="s" s="0">
        <v>82</v>
      </c>
      <c r="O115" t="s" s="0">
        <v>3163</v>
      </c>
      <c r="P115" t="s" s="0">
        <v>3164</v>
      </c>
      <c r="Q115" t="s" s="0">
        <v>91</v>
      </c>
      <c r="R115" t="s" s="0">
        <v>82</v>
      </c>
      <c r="S115" t="s" s="0">
        <v>82</v>
      </c>
      <c r="T115" t="s" s="0">
        <v>82</v>
      </c>
      <c r="U115" t="s" s="0">
        <v>82</v>
      </c>
      <c r="V115" t="s" s="0">
        <v>3165</v>
      </c>
      <c r="W115" t="s" s="0">
        <v>3166</v>
      </c>
      <c r="X115" t="s" s="0">
        <v>82</v>
      </c>
      <c r="Y115" t="s" s="0">
        <v>82</v>
      </c>
      <c r="Z115" t="s" s="0">
        <v>94</v>
      </c>
      <c r="AA115" t="s" s="0">
        <v>95</v>
      </c>
      <c r="AB115" t="s" s="0">
        <v>82</v>
      </c>
      <c r="AC115" t="s" s="0">
        <v>82</v>
      </c>
      <c r="AD115" t="s" s="0">
        <v>82</v>
      </c>
      <c r="AE115" t="s" s="0">
        <v>82</v>
      </c>
      <c r="AF115" t="s" s="0">
        <v>82</v>
      </c>
      <c r="AG115" t="s" s="0">
        <v>3167</v>
      </c>
      <c r="AH115" t="s" s="0">
        <v>3168</v>
      </c>
      <c r="AI115" t="s" s="0">
        <v>3169</v>
      </c>
      <c r="AJ115" t="s" s="0">
        <v>3170</v>
      </c>
      <c r="AK115" t="s" s="0">
        <v>82</v>
      </c>
      <c r="AL115" t="s" s="0">
        <v>218</v>
      </c>
      <c r="AM115" t="s" s="0">
        <v>191</v>
      </c>
      <c r="AN115" t="s" s="0">
        <v>191</v>
      </c>
      <c r="AO115" t="s" s="0">
        <v>77</v>
      </c>
      <c r="AP115" t="s" s="0">
        <v>101</v>
      </c>
      <c r="AQ115" t="s" s="0">
        <v>495</v>
      </c>
      <c r="AR115" t="s" s="0">
        <v>496</v>
      </c>
      <c r="AS115" t="s" s="0">
        <v>497</v>
      </c>
      <c r="AT115" t="s" s="0">
        <v>82</v>
      </c>
      <c r="AU115" t="s" s="0">
        <v>3171</v>
      </c>
      <c r="AV115" t="s" s="0">
        <v>82</v>
      </c>
      <c r="AW115" t="s" s="0">
        <v>3166</v>
      </c>
      <c r="AX115" t="s" s="0">
        <v>3172</v>
      </c>
      <c r="AY115" t="s" s="0">
        <v>3173</v>
      </c>
      <c r="AZ115" t="s" s="0">
        <v>842</v>
      </c>
      <c r="BA115" t="s" s="0">
        <v>634</v>
      </c>
      <c r="BB115" t="s" s="0">
        <v>191</v>
      </c>
      <c r="BC115" t="s" s="0">
        <v>82</v>
      </c>
      <c r="BD115" t="s" s="0">
        <v>82</v>
      </c>
      <c r="BE115" t="s" s="0">
        <v>82</v>
      </c>
      <c r="BF115" t="s" s="0">
        <v>82</v>
      </c>
      <c r="BG115" t="s" s="0">
        <v>82</v>
      </c>
      <c r="BH115" t="s" s="0">
        <v>82</v>
      </c>
      <c r="BI115" t="s" s="0">
        <v>3174</v>
      </c>
      <c r="BJ115" t="s" s="0">
        <v>3175</v>
      </c>
      <c r="BK115" t="s" s="227">
        <f>HYPERLINK("http://dx.doi.org/10.3390/cancers15051525","http://dx.doi.org/10.3390/cancers15051525")</f>
        <v>3176</v>
      </c>
      <c r="BL115" t="s" s="0">
        <v>82</v>
      </c>
      <c r="BM115" t="s" s="0">
        <v>82</v>
      </c>
      <c r="BN115" t="s" s="0">
        <v>634</v>
      </c>
      <c r="BO115" t="s" s="0">
        <v>557</v>
      </c>
      <c r="BP115" t="s" s="0">
        <v>557</v>
      </c>
      <c r="BQ115" t="s" s="0">
        <v>3177</v>
      </c>
      <c r="BR115" t="s" s="0">
        <v>3178</v>
      </c>
      <c r="BS115" t="s" s="0">
        <v>3179</v>
      </c>
      <c r="BT115" t="s" s="228">
        <f>HYPERLINK("https://www.webofscience.com/wos/woscc/full-record/WOS:000946947700001","View Record in Web of Science")</f>
        <v>124</v>
      </c>
      <c r="BU115" t="s" s="0">
        <v>532</v>
      </c>
      <c r="BV115" t="s" s="0">
        <v>82</v>
      </c>
      <c r="BW115" t="s" s="0">
        <v>82</v>
      </c>
      <c r="BX115" t="s" s="0">
        <v>126</v>
      </c>
    </row>
    <row r="116">
      <c r="A116" t="s" s="0">
        <v>103</v>
      </c>
      <c r="B116" t="s" s="0">
        <v>77</v>
      </c>
      <c r="C116" t="s" s="0">
        <v>372</v>
      </c>
      <c r="D116" t="s" s="0">
        <v>77</v>
      </c>
      <c r="E116" t="s" s="0">
        <v>3180</v>
      </c>
      <c r="F116" t="s" s="0">
        <v>3181</v>
      </c>
      <c r="G116" t="s" s="0">
        <v>3182</v>
      </c>
      <c r="H116" t="s" s="0">
        <v>82</v>
      </c>
      <c r="I116" t="s" s="0">
        <v>83</v>
      </c>
      <c r="J116" t="s" s="0">
        <v>3183</v>
      </c>
      <c r="K116" t="s" s="0">
        <v>3184</v>
      </c>
      <c r="L116" t="s" s="0">
        <v>3185</v>
      </c>
      <c r="M116" t="s" s="0">
        <v>3186</v>
      </c>
      <c r="N116" t="s" s="0">
        <v>3187</v>
      </c>
      <c r="O116" t="s" s="0">
        <v>3188</v>
      </c>
      <c r="P116" t="s" s="0">
        <v>3189</v>
      </c>
      <c r="Q116" t="s" s="0">
        <v>91</v>
      </c>
      <c r="R116" t="s" s="0">
        <v>82</v>
      </c>
      <c r="S116" t="s" s="0">
        <v>82</v>
      </c>
      <c r="T116" t="s" s="0">
        <v>82</v>
      </c>
      <c r="U116" t="s" s="0">
        <v>82</v>
      </c>
      <c r="V116" t="s" s="0">
        <v>3190</v>
      </c>
      <c r="W116" t="s" s="0">
        <v>3191</v>
      </c>
      <c r="X116" t="s" s="0">
        <v>82</v>
      </c>
      <c r="Y116" t="s" s="0">
        <v>82</v>
      </c>
      <c r="Z116" t="s" s="0">
        <v>94</v>
      </c>
      <c r="AA116" t="s" s="0">
        <v>95</v>
      </c>
      <c r="AB116" t="s" s="0">
        <v>82</v>
      </c>
      <c r="AC116" t="s" s="0">
        <v>82</v>
      </c>
      <c r="AD116" t="s" s="0">
        <v>82</v>
      </c>
      <c r="AE116" t="s" s="0">
        <v>82</v>
      </c>
      <c r="AF116" t="s" s="0">
        <v>82</v>
      </c>
      <c r="AG116" t="s" s="0">
        <v>3192</v>
      </c>
      <c r="AH116" t="s" s="0">
        <v>3193</v>
      </c>
      <c r="AI116" t="s" s="0">
        <v>3194</v>
      </c>
      <c r="AJ116" t="s" s="0">
        <v>3195</v>
      </c>
      <c r="AK116" t="s" s="0">
        <v>82</v>
      </c>
      <c r="AL116" t="s" s="0">
        <v>1457</v>
      </c>
      <c r="AM116" t="s" s="0">
        <v>634</v>
      </c>
      <c r="AN116" t="s" s="0">
        <v>431</v>
      </c>
      <c r="AO116" t="s" s="0">
        <v>372</v>
      </c>
      <c r="AP116" t="s" s="0">
        <v>190</v>
      </c>
      <c r="AQ116" t="s" s="0">
        <v>104</v>
      </c>
      <c r="AR116" t="s" s="0">
        <v>105</v>
      </c>
      <c r="AS116" t="s" s="0">
        <v>106</v>
      </c>
      <c r="AT116" t="s" s="0">
        <v>3196</v>
      </c>
      <c r="AU116" t="s" s="0">
        <v>3197</v>
      </c>
      <c r="AV116" t="s" s="0">
        <v>82</v>
      </c>
      <c r="AW116" t="s" s="0">
        <v>3198</v>
      </c>
      <c r="AX116" t="s" s="0">
        <v>3199</v>
      </c>
      <c r="AY116" t="s" s="0">
        <v>2833</v>
      </c>
      <c r="AZ116" t="s" s="0">
        <v>226</v>
      </c>
      <c r="BA116" t="s" s="0">
        <v>494</v>
      </c>
      <c r="BB116" t="s" s="0">
        <v>268</v>
      </c>
      <c r="BC116" t="s" s="0">
        <v>82</v>
      </c>
      <c r="BD116" t="s" s="0">
        <v>82</v>
      </c>
      <c r="BE116" t="s" s="0">
        <v>82</v>
      </c>
      <c r="BF116" t="s" s="0">
        <v>82</v>
      </c>
      <c r="BG116" t="s" s="0">
        <v>3200</v>
      </c>
      <c r="BH116" t="s" s="0">
        <v>3201</v>
      </c>
      <c r="BI116" t="s" s="0">
        <v>82</v>
      </c>
      <c r="BJ116" t="s" s="0">
        <v>3202</v>
      </c>
      <c r="BK116" t="s" s="229">
        <f>HYPERLINK("http://dx.doi.org/10.1016/j.cmi.2024.07.005","http://dx.doi.org/10.1016/j.cmi.2024.07.005")</f>
        <v>3203</v>
      </c>
      <c r="BL116" t="s" s="0">
        <v>82</v>
      </c>
      <c r="BM116" t="s" s="0">
        <v>3204</v>
      </c>
      <c r="BN116" t="s" s="0">
        <v>524</v>
      </c>
      <c r="BO116" t="s" s="0">
        <v>3205</v>
      </c>
      <c r="BP116" t="s" s="0">
        <v>3205</v>
      </c>
      <c r="BQ116" t="s" s="0">
        <v>3206</v>
      </c>
      <c r="BR116" t="s" s="0">
        <v>3207</v>
      </c>
      <c r="BS116" t="s" s="0">
        <v>3208</v>
      </c>
      <c r="BT116" t="s" s="230">
        <f>HYPERLINK("https://www.webofscience.com/wos/woscc/full-record/WOS:001336237700001","View Record in Web of Science")</f>
        <v>124</v>
      </c>
      <c r="BU116" t="s" s="0">
        <v>82</v>
      </c>
      <c r="BV116" t="s" s="0">
        <v>82</v>
      </c>
      <c r="BW116" t="s" s="0">
        <v>82</v>
      </c>
      <c r="BX116" t="s" s="0">
        <v>126</v>
      </c>
    </row>
    <row r="117">
      <c r="A117" t="s" s="0">
        <v>77</v>
      </c>
      <c r="B117" t="s" s="0">
        <v>77</v>
      </c>
      <c r="C117" t="s" s="0">
        <v>77</v>
      </c>
      <c r="D117" t="s" s="0">
        <v>77</v>
      </c>
      <c r="E117" t="s" s="0">
        <v>3209</v>
      </c>
      <c r="F117" t="s" s="0">
        <v>3210</v>
      </c>
      <c r="G117" t="s" s="0">
        <v>3211</v>
      </c>
      <c r="H117" t="s" s="0">
        <v>82</v>
      </c>
      <c r="I117" t="s" s="0">
        <v>83</v>
      </c>
      <c r="J117" t="s" s="0">
        <v>3212</v>
      </c>
      <c r="K117" t="s" s="0">
        <v>3213</v>
      </c>
      <c r="L117" t="s" s="0">
        <v>3214</v>
      </c>
      <c r="M117" t="s" s="0">
        <v>3215</v>
      </c>
      <c r="N117" t="s" s="0">
        <v>3216</v>
      </c>
      <c r="O117" t="s" s="0">
        <v>3217</v>
      </c>
      <c r="P117" t="s" s="0">
        <v>3218</v>
      </c>
      <c r="Q117" t="s" s="0">
        <v>91</v>
      </c>
      <c r="R117" t="s" s="0">
        <v>82</v>
      </c>
      <c r="S117" t="s" s="0">
        <v>82</v>
      </c>
      <c r="T117" t="s" s="0">
        <v>82</v>
      </c>
      <c r="U117" t="s" s="0">
        <v>82</v>
      </c>
      <c r="V117" t="s" s="0">
        <v>3219</v>
      </c>
      <c r="W117" t="s" s="0">
        <v>3220</v>
      </c>
      <c r="X117" t="s" s="0">
        <v>82</v>
      </c>
      <c r="Y117" t="s" s="0">
        <v>82</v>
      </c>
      <c r="Z117" t="s" s="0">
        <v>94</v>
      </c>
      <c r="AA117" t="s" s="0">
        <v>394</v>
      </c>
      <c r="AB117" t="s" s="0">
        <v>82</v>
      </c>
      <c r="AC117" t="s" s="0">
        <v>82</v>
      </c>
      <c r="AD117" t="s" s="0">
        <v>82</v>
      </c>
      <c r="AE117" t="s" s="0">
        <v>82</v>
      </c>
      <c r="AF117" t="s" s="0">
        <v>82</v>
      </c>
      <c r="AG117" t="s" s="0">
        <v>3221</v>
      </c>
      <c r="AH117" t="s" s="0">
        <v>3222</v>
      </c>
      <c r="AI117" t="s" s="0">
        <v>82</v>
      </c>
      <c r="AJ117" t="s" s="0">
        <v>82</v>
      </c>
      <c r="AK117" t="s" s="0">
        <v>82</v>
      </c>
      <c r="AL117" t="s" s="0">
        <v>899</v>
      </c>
      <c r="AM117" t="s" s="0">
        <v>77</v>
      </c>
      <c r="AN117" t="s" s="0">
        <v>77</v>
      </c>
      <c r="AO117" t="s" s="0">
        <v>152</v>
      </c>
      <c r="AP117" t="s" s="0">
        <v>152</v>
      </c>
      <c r="AQ117" t="s" s="0">
        <v>142</v>
      </c>
      <c r="AR117" t="s" s="0">
        <v>143</v>
      </c>
      <c r="AS117" t="s" s="0">
        <v>144</v>
      </c>
      <c r="AT117" t="s" s="0">
        <v>3223</v>
      </c>
      <c r="AU117" t="s" s="0">
        <v>3224</v>
      </c>
      <c r="AV117" t="s" s="0">
        <v>82</v>
      </c>
      <c r="AW117" t="s" s="0">
        <v>3225</v>
      </c>
      <c r="AX117" t="s" s="0">
        <v>3226</v>
      </c>
      <c r="AY117" t="s" s="0">
        <v>82</v>
      </c>
      <c r="AZ117" t="s" s="0">
        <v>150</v>
      </c>
      <c r="BA117" t="s" s="0">
        <v>82</v>
      </c>
      <c r="BB117" t="s" s="0">
        <v>82</v>
      </c>
      <c r="BC117" t="s" s="0">
        <v>82</v>
      </c>
      <c r="BD117" t="s" s="0">
        <v>82</v>
      </c>
      <c r="BE117" t="s" s="0">
        <v>82</v>
      </c>
      <c r="BF117" t="s" s="0">
        <v>82</v>
      </c>
      <c r="BG117" t="s" s="0">
        <v>82</v>
      </c>
      <c r="BH117" t="s" s="0">
        <v>82</v>
      </c>
      <c r="BI117" t="s" s="0">
        <v>82</v>
      </c>
      <c r="BJ117" t="s" s="0">
        <v>3227</v>
      </c>
      <c r="BK117" t="s" s="231">
        <f>HYPERLINK("http://dx.doi.org/10.1177/21621918261455528","http://dx.doi.org/10.1177/21621918261455528")</f>
        <v>3228</v>
      </c>
      <c r="BL117" t="s" s="0">
        <v>82</v>
      </c>
      <c r="BM117" t="s" s="0">
        <v>476</v>
      </c>
      <c r="BN117" t="s" s="0">
        <v>253</v>
      </c>
      <c r="BO117" t="s" s="0">
        <v>3229</v>
      </c>
      <c r="BP117" t="s" s="0">
        <v>3229</v>
      </c>
      <c r="BQ117" t="s" s="0">
        <v>3230</v>
      </c>
      <c r="BR117" t="s" s="0">
        <v>3231</v>
      </c>
      <c r="BS117" t="s" s="0">
        <v>3232</v>
      </c>
      <c r="BT117" t="s" s="232">
        <f>HYPERLINK("https://www.webofscience.com/wos/woscc/full-record/WOS:001788658200001","View Record in Web of Science")</f>
        <v>124</v>
      </c>
      <c r="BU117" t="s" s="0">
        <v>82</v>
      </c>
      <c r="BV117" t="s" s="0">
        <v>82</v>
      </c>
      <c r="BW117" t="s" s="0">
        <v>82</v>
      </c>
      <c r="BX117" t="s" s="0">
        <v>126</v>
      </c>
    </row>
    <row r="118">
      <c r="A118" t="s" s="0">
        <v>77</v>
      </c>
      <c r="B118" t="s" s="0">
        <v>77</v>
      </c>
      <c r="C118" t="s" s="0">
        <v>102</v>
      </c>
      <c r="D118" t="s" s="0">
        <v>77</v>
      </c>
      <c r="E118" t="s" s="0">
        <v>3233</v>
      </c>
      <c r="F118" t="s" s="0">
        <v>3234</v>
      </c>
      <c r="G118" t="s" s="0">
        <v>3235</v>
      </c>
      <c r="H118" t="s" s="0">
        <v>82</v>
      </c>
      <c r="I118" t="s" s="0">
        <v>83</v>
      </c>
      <c r="J118" t="s" s="0">
        <v>3236</v>
      </c>
      <c r="K118" t="s" s="0">
        <v>3237</v>
      </c>
      <c r="L118" t="s" s="0">
        <v>82</v>
      </c>
      <c r="M118" t="s" s="0">
        <v>82</v>
      </c>
      <c r="N118" t="s" s="0">
        <v>82</v>
      </c>
      <c r="O118" t="s" s="0">
        <v>3238</v>
      </c>
      <c r="P118" t="s" s="0">
        <v>3239</v>
      </c>
      <c r="Q118" t="s" s="0">
        <v>91</v>
      </c>
      <c r="R118" t="s" s="0">
        <v>82</v>
      </c>
      <c r="S118" t="s" s="0">
        <v>82</v>
      </c>
      <c r="T118" t="s" s="0">
        <v>82</v>
      </c>
      <c r="U118" t="s" s="0">
        <v>82</v>
      </c>
      <c r="V118" t="s" s="0">
        <v>3240</v>
      </c>
      <c r="W118" t="s" s="0">
        <v>3241</v>
      </c>
      <c r="X118" t="s" s="0">
        <v>82</v>
      </c>
      <c r="Y118" t="s" s="0">
        <v>82</v>
      </c>
      <c r="Z118" t="s" s="0">
        <v>94</v>
      </c>
      <c r="AA118" t="s" s="0">
        <v>95</v>
      </c>
      <c r="AB118" t="s" s="0">
        <v>82</v>
      </c>
      <c r="AC118" t="s" s="0">
        <v>82</v>
      </c>
      <c r="AD118" t="s" s="0">
        <v>82</v>
      </c>
      <c r="AE118" t="s" s="0">
        <v>82</v>
      </c>
      <c r="AF118" t="s" s="0">
        <v>82</v>
      </c>
      <c r="AG118" t="s" s="0">
        <v>3242</v>
      </c>
      <c r="AH118" t="s" s="0">
        <v>3243</v>
      </c>
      <c r="AI118" t="s" s="0">
        <v>3244</v>
      </c>
      <c r="AJ118" t="s" s="0">
        <v>3245</v>
      </c>
      <c r="AK118" t="s" s="0">
        <v>82</v>
      </c>
      <c r="AL118" t="s" s="0">
        <v>3246</v>
      </c>
      <c r="AM118" t="s" s="0">
        <v>1457</v>
      </c>
      <c r="AN118" t="s" s="0">
        <v>100</v>
      </c>
      <c r="AO118" t="s" s="0">
        <v>78</v>
      </c>
      <c r="AP118" t="s" s="0">
        <v>305</v>
      </c>
      <c r="AQ118" t="s" s="0">
        <v>181</v>
      </c>
      <c r="AR118" t="s" s="0">
        <v>182</v>
      </c>
      <c r="AS118" t="s" s="0">
        <v>183</v>
      </c>
      <c r="AT118" t="s" s="0">
        <v>3247</v>
      </c>
      <c r="AU118" t="s" s="0">
        <v>3248</v>
      </c>
      <c r="AV118" t="s" s="0">
        <v>82</v>
      </c>
      <c r="AW118" t="s" s="0">
        <v>3249</v>
      </c>
      <c r="AX118" t="s" s="0">
        <v>3250</v>
      </c>
      <c r="AY118" t="s" s="0">
        <v>3251</v>
      </c>
      <c r="AZ118" t="s" s="0">
        <v>189</v>
      </c>
      <c r="BA118" t="s" s="0">
        <v>634</v>
      </c>
      <c r="BB118" t="s" s="0">
        <v>377</v>
      </c>
      <c r="BC118" t="s" s="0">
        <v>82</v>
      </c>
      <c r="BD118" t="s" s="0">
        <v>82</v>
      </c>
      <c r="BE118" t="s" s="0">
        <v>82</v>
      </c>
      <c r="BF118" t="s" s="0">
        <v>82</v>
      </c>
      <c r="BG118" t="s" s="0">
        <v>2202</v>
      </c>
      <c r="BH118" t="s" s="0">
        <v>3252</v>
      </c>
      <c r="BI118" t="s" s="0">
        <v>82</v>
      </c>
      <c r="BJ118" t="s" s="0">
        <v>3253</v>
      </c>
      <c r="BK118" t="s" s="233">
        <f>HYPERLINK("http://dx.doi.org/10.1093/ckj/sfac181","http://dx.doi.org/10.1093/ckj/sfac181")</f>
        <v>3254</v>
      </c>
      <c r="BL118" t="s" s="0">
        <v>82</v>
      </c>
      <c r="BM118" t="s" s="0">
        <v>2419</v>
      </c>
      <c r="BN118" t="s" s="0">
        <v>634</v>
      </c>
      <c r="BO118" t="s" s="0">
        <v>2769</v>
      </c>
      <c r="BP118" t="s" s="0">
        <v>2769</v>
      </c>
      <c r="BQ118" t="s" s="0">
        <v>3255</v>
      </c>
      <c r="BR118" t="s" s="0">
        <v>3256</v>
      </c>
      <c r="BS118" t="s" s="0">
        <v>3257</v>
      </c>
      <c r="BT118" t="s" s="234">
        <f>HYPERLINK("https://www.webofscience.com/wos/woscc/full-record/WOS:000843575400001","View Record in Web of Science")</f>
        <v>124</v>
      </c>
      <c r="BU118" t="s" s="0">
        <v>3258</v>
      </c>
      <c r="BV118" t="s" s="0">
        <v>82</v>
      </c>
      <c r="BW118" t="s" s="0">
        <v>82</v>
      </c>
      <c r="BX118" t="s" s="0">
        <v>126</v>
      </c>
    </row>
    <row r="119">
      <c r="A119" t="s" s="0">
        <v>78</v>
      </c>
      <c r="B119" t="s" s="0">
        <v>77</v>
      </c>
      <c r="C119" t="s" s="0">
        <v>115</v>
      </c>
      <c r="D119" t="s" s="0">
        <v>77</v>
      </c>
      <c r="E119" t="s" s="0">
        <v>3259</v>
      </c>
      <c r="F119" t="s" s="0">
        <v>3260</v>
      </c>
      <c r="G119" t="s" s="0">
        <v>3261</v>
      </c>
      <c r="H119" t="s" s="0">
        <v>82</v>
      </c>
      <c r="I119" t="s" s="0">
        <v>83</v>
      </c>
      <c r="J119" t="s" s="0">
        <v>3262</v>
      </c>
      <c r="K119" t="s" s="0">
        <v>3263</v>
      </c>
      <c r="L119" t="s" s="0">
        <v>3264</v>
      </c>
      <c r="M119" t="s" s="0">
        <v>3265</v>
      </c>
      <c r="N119" t="s" s="0">
        <v>3266</v>
      </c>
      <c r="O119" t="s" s="0">
        <v>3267</v>
      </c>
      <c r="P119" t="s" s="0">
        <v>3268</v>
      </c>
      <c r="Q119" t="s" s="0">
        <v>91</v>
      </c>
      <c r="R119" t="s" s="0">
        <v>82</v>
      </c>
      <c r="S119" t="s" s="0">
        <v>82</v>
      </c>
      <c r="T119" t="s" s="0">
        <v>82</v>
      </c>
      <c r="U119" t="s" s="0">
        <v>82</v>
      </c>
      <c r="V119" t="s" s="0">
        <v>3269</v>
      </c>
      <c r="W119" t="s" s="0">
        <v>3270</v>
      </c>
      <c r="X119" t="s" s="0">
        <v>82</v>
      </c>
      <c r="Y119" t="s" s="0">
        <v>82</v>
      </c>
      <c r="Z119" t="s" s="0">
        <v>94</v>
      </c>
      <c r="AA119" t="s" s="0">
        <v>95</v>
      </c>
      <c r="AB119" t="s" s="0">
        <v>82</v>
      </c>
      <c r="AC119" t="s" s="0">
        <v>82</v>
      </c>
      <c r="AD119" t="s" s="0">
        <v>82</v>
      </c>
      <c r="AE119" t="s" s="0">
        <v>82</v>
      </c>
      <c r="AF119" t="s" s="0">
        <v>82</v>
      </c>
      <c r="AG119" t="s" s="0">
        <v>3271</v>
      </c>
      <c r="AH119" t="s" s="0">
        <v>3272</v>
      </c>
      <c r="AI119" t="s" s="0">
        <v>82</v>
      </c>
      <c r="AJ119" t="s" s="0">
        <v>3273</v>
      </c>
      <c r="AK119" t="s" s="0">
        <v>82</v>
      </c>
      <c r="AL119" t="s" s="0">
        <v>100</v>
      </c>
      <c r="AM119" t="s" s="0">
        <v>3274</v>
      </c>
      <c r="AN119" t="s" s="0">
        <v>3275</v>
      </c>
      <c r="AO119" t="s" s="0">
        <v>77</v>
      </c>
      <c r="AP119" t="s" s="0">
        <v>253</v>
      </c>
      <c r="AQ119" t="s" s="0">
        <v>3276</v>
      </c>
      <c r="AR119" t="s" s="0">
        <v>496</v>
      </c>
      <c r="AS119" t="s" s="0">
        <v>3277</v>
      </c>
      <c r="AT119" t="s" s="0">
        <v>3278</v>
      </c>
      <c r="AU119" t="s" s="0">
        <v>3279</v>
      </c>
      <c r="AV119" t="s" s="0">
        <v>82</v>
      </c>
      <c r="AW119" t="s" s="0">
        <v>3270</v>
      </c>
      <c r="AX119" t="s" s="0">
        <v>3280</v>
      </c>
      <c r="AY119" t="s" s="0">
        <v>1463</v>
      </c>
      <c r="AZ119" t="s" s="0">
        <v>1075</v>
      </c>
      <c r="BA119" t="s" s="0">
        <v>2303</v>
      </c>
      <c r="BB119" t="s" s="0">
        <v>152</v>
      </c>
      <c r="BC119" t="s" s="0">
        <v>82</v>
      </c>
      <c r="BD119" t="s" s="0">
        <v>82</v>
      </c>
      <c r="BE119" t="s" s="0">
        <v>82</v>
      </c>
      <c r="BF119" t="s" s="0">
        <v>82</v>
      </c>
      <c r="BG119" t="s" s="0">
        <v>3281</v>
      </c>
      <c r="BH119" t="s" s="0">
        <v>3282</v>
      </c>
      <c r="BI119" t="s" s="0">
        <v>82</v>
      </c>
      <c r="BJ119" t="s" s="0">
        <v>3283</v>
      </c>
      <c r="BK119" t="s" s="235">
        <f>HYPERLINK("http://dx.doi.org/10.1159/000516891","http://dx.doi.org/10.1159/000516891")</f>
        <v>3284</v>
      </c>
      <c r="BL119" t="s" s="0">
        <v>82</v>
      </c>
      <c r="BM119" t="s" s="0">
        <v>2063</v>
      </c>
      <c r="BN119" t="s" s="0">
        <v>377</v>
      </c>
      <c r="BO119" t="s" s="0">
        <v>1884</v>
      </c>
      <c r="BP119" t="s" s="0">
        <v>1884</v>
      </c>
      <c r="BQ119" t="s" s="0">
        <v>3285</v>
      </c>
      <c r="BR119" t="s" s="0">
        <v>3286</v>
      </c>
      <c r="BS119" t="s" s="0">
        <v>3287</v>
      </c>
      <c r="BT119" t="s" s="236">
        <f>HYPERLINK("https://www.webofscience.com/wos/woscc/full-record/WOS:000673942300001","View Record in Web of Science")</f>
        <v>124</v>
      </c>
      <c r="BU119" t="s" s="0">
        <v>125</v>
      </c>
      <c r="BV119" t="s" s="0">
        <v>82</v>
      </c>
      <c r="BW119" t="s" s="0">
        <v>82</v>
      </c>
      <c r="BX119" t="s" s="0">
        <v>126</v>
      </c>
    </row>
    <row r="120">
      <c r="A120" t="s" s="0">
        <v>77</v>
      </c>
      <c r="B120" t="s" s="0">
        <v>77</v>
      </c>
      <c r="C120" t="s" s="0">
        <v>77</v>
      </c>
      <c r="D120" t="s" s="0">
        <v>77</v>
      </c>
      <c r="E120" t="s" s="0">
        <v>3288</v>
      </c>
      <c r="F120" t="s" s="0">
        <v>3289</v>
      </c>
      <c r="G120" t="s" s="0">
        <v>3290</v>
      </c>
      <c r="H120" t="s" s="0">
        <v>82</v>
      </c>
      <c r="I120" t="s" s="0">
        <v>167</v>
      </c>
      <c r="J120" t="s" s="0">
        <v>3291</v>
      </c>
      <c r="K120" t="s" s="0">
        <v>3292</v>
      </c>
      <c r="L120" t="s" s="0">
        <v>3293</v>
      </c>
      <c r="M120" t="s" s="0">
        <v>3293</v>
      </c>
      <c r="N120" t="s" s="0">
        <v>3294</v>
      </c>
      <c r="O120" t="s" s="0">
        <v>3295</v>
      </c>
      <c r="P120" t="s" s="0">
        <v>3296</v>
      </c>
      <c r="Q120" t="s" s="0">
        <v>91</v>
      </c>
      <c r="R120" t="s" s="0">
        <v>82</v>
      </c>
      <c r="S120" t="s" s="0">
        <v>82</v>
      </c>
      <c r="T120" t="s" s="0">
        <v>82</v>
      </c>
      <c r="U120" t="s" s="0">
        <v>82</v>
      </c>
      <c r="V120" t="s" s="0">
        <v>3297</v>
      </c>
      <c r="W120" t="s" s="0">
        <v>3298</v>
      </c>
      <c r="X120" t="s" s="0">
        <v>82</v>
      </c>
      <c r="Y120" t="s" s="0">
        <v>82</v>
      </c>
      <c r="Z120" t="s" s="0">
        <v>94</v>
      </c>
      <c r="AA120" t="s" s="0">
        <v>95</v>
      </c>
      <c r="AB120" t="s" s="0">
        <v>82</v>
      </c>
      <c r="AC120" t="s" s="0">
        <v>82</v>
      </c>
      <c r="AD120" t="s" s="0">
        <v>82</v>
      </c>
      <c r="AE120" t="s" s="0">
        <v>82</v>
      </c>
      <c r="AF120" t="s" s="0">
        <v>82</v>
      </c>
      <c r="AG120" t="s" s="0">
        <v>3299</v>
      </c>
      <c r="AH120" t="s" s="0">
        <v>3300</v>
      </c>
      <c r="AI120" t="s" s="0">
        <v>3301</v>
      </c>
      <c r="AJ120" t="s" s="0">
        <v>3302</v>
      </c>
      <c r="AK120" t="s" s="0">
        <v>82</v>
      </c>
      <c r="AL120" t="s" s="0">
        <v>976</v>
      </c>
      <c r="AM120" t="s" s="0">
        <v>103</v>
      </c>
      <c r="AN120" t="s" s="0">
        <v>103</v>
      </c>
      <c r="AO120" t="s" s="0">
        <v>78</v>
      </c>
      <c r="AP120" t="s" s="0">
        <v>372</v>
      </c>
      <c r="AQ120" t="s" s="0">
        <v>547</v>
      </c>
      <c r="AR120" t="s" s="0">
        <v>548</v>
      </c>
      <c r="AS120" t="s" s="0">
        <v>549</v>
      </c>
      <c r="AT120" t="s" s="0">
        <v>3303</v>
      </c>
      <c r="AU120" t="s" s="0">
        <v>82</v>
      </c>
      <c r="AV120" t="s" s="0">
        <v>82</v>
      </c>
      <c r="AW120" t="s" s="0">
        <v>3304</v>
      </c>
      <c r="AX120" t="s" s="0">
        <v>3305</v>
      </c>
      <c r="AY120" t="s" s="0">
        <v>3306</v>
      </c>
      <c r="AZ120" t="s" s="0">
        <v>226</v>
      </c>
      <c r="BA120" t="s" s="0">
        <v>634</v>
      </c>
      <c r="BB120" t="s" s="0">
        <v>82</v>
      </c>
      <c r="BC120" t="s" s="0">
        <v>82</v>
      </c>
      <c r="BD120" t="s" s="0">
        <v>82</v>
      </c>
      <c r="BE120" t="s" s="0">
        <v>82</v>
      </c>
      <c r="BF120" t="s" s="0">
        <v>82</v>
      </c>
      <c r="BG120" t="s" s="0">
        <v>82</v>
      </c>
      <c r="BH120" t="s" s="0">
        <v>82</v>
      </c>
      <c r="BI120" t="s" s="0">
        <v>3307</v>
      </c>
      <c r="BJ120" t="s" s="0">
        <v>3308</v>
      </c>
      <c r="BK120" t="s" s="237">
        <f>HYPERLINK("http://dx.doi.org/10.3389/fpsyt.2024.1408738","http://dx.doi.org/10.3389/fpsyt.2024.1408738")</f>
        <v>3309</v>
      </c>
      <c r="BL120" t="s" s="0">
        <v>82</v>
      </c>
      <c r="BM120" t="s" s="0">
        <v>82</v>
      </c>
      <c r="BN120" t="s" s="0">
        <v>524</v>
      </c>
      <c r="BO120" t="s" s="0">
        <v>528</v>
      </c>
      <c r="BP120" t="s" s="0">
        <v>528</v>
      </c>
      <c r="BQ120" t="s" s="0">
        <v>3310</v>
      </c>
      <c r="BR120" t="s" s="0">
        <v>3311</v>
      </c>
      <c r="BS120" t="s" s="0">
        <v>3312</v>
      </c>
      <c r="BT120" t="s" s="238">
        <f>HYPERLINK("https://www.webofscience.com/wos/woscc/full-record/WOS:001333088200001","View Record in Web of Science")</f>
        <v>124</v>
      </c>
      <c r="BU120" t="s" s="0">
        <v>532</v>
      </c>
      <c r="BV120" t="s" s="0">
        <v>82</v>
      </c>
      <c r="BW120" t="s" s="0">
        <v>82</v>
      </c>
      <c r="BX120" t="s" s="0">
        <v>126</v>
      </c>
    </row>
    <row r="121">
      <c r="A121" t="s" s="0">
        <v>77</v>
      </c>
      <c r="B121" t="s" s="0">
        <v>77</v>
      </c>
      <c r="C121" t="s" s="0">
        <v>78</v>
      </c>
      <c r="D121" t="s" s="0">
        <v>77</v>
      </c>
      <c r="E121" t="s" s="0">
        <v>3313</v>
      </c>
      <c r="F121" t="s" s="0">
        <v>3314</v>
      </c>
      <c r="G121" t="s" s="0">
        <v>3315</v>
      </c>
      <c r="H121" t="s" s="0">
        <v>82</v>
      </c>
      <c r="I121" t="s" s="0">
        <v>83</v>
      </c>
      <c r="J121" t="s" s="0">
        <v>3316</v>
      </c>
      <c r="K121" t="s" s="0">
        <v>3317</v>
      </c>
      <c r="L121" t="s" s="0">
        <v>82</v>
      </c>
      <c r="M121" t="s" s="0">
        <v>82</v>
      </c>
      <c r="N121" t="s" s="0">
        <v>82</v>
      </c>
      <c r="O121" t="s" s="0">
        <v>3318</v>
      </c>
      <c r="P121" t="s" s="0">
        <v>3319</v>
      </c>
      <c r="Q121" t="s" s="0">
        <v>91</v>
      </c>
      <c r="R121" t="s" s="0">
        <v>82</v>
      </c>
      <c r="S121" t="s" s="0">
        <v>82</v>
      </c>
      <c r="T121" t="s" s="0">
        <v>82</v>
      </c>
      <c r="U121" t="s" s="0">
        <v>82</v>
      </c>
      <c r="V121" t="s" s="0">
        <v>3320</v>
      </c>
      <c r="W121" t="s" s="0">
        <v>3321</v>
      </c>
      <c r="X121" t="s" s="0">
        <v>82</v>
      </c>
      <c r="Y121" t="s" s="0">
        <v>82</v>
      </c>
      <c r="Z121" t="s" s="0">
        <v>94</v>
      </c>
      <c r="AA121" t="s" s="0">
        <v>95</v>
      </c>
      <c r="AB121" t="s" s="0">
        <v>82</v>
      </c>
      <c r="AC121" t="s" s="0">
        <v>82</v>
      </c>
      <c r="AD121" t="s" s="0">
        <v>82</v>
      </c>
      <c r="AE121" t="s" s="0">
        <v>82</v>
      </c>
      <c r="AF121" t="s" s="0">
        <v>82</v>
      </c>
      <c r="AG121" t="s" s="0">
        <v>3322</v>
      </c>
      <c r="AH121" t="s" s="0">
        <v>3323</v>
      </c>
      <c r="AI121" t="s" s="0">
        <v>3324</v>
      </c>
      <c r="AJ121" t="s" s="0">
        <v>3325</v>
      </c>
      <c r="AK121" t="s" s="0">
        <v>82</v>
      </c>
      <c r="AL121" t="s" s="0">
        <v>3274</v>
      </c>
      <c r="AM121" t="s" s="0">
        <v>78</v>
      </c>
      <c r="AN121" t="s" s="0">
        <v>78</v>
      </c>
      <c r="AO121" t="s" s="0">
        <v>78</v>
      </c>
      <c r="AP121" t="s" s="0">
        <v>78</v>
      </c>
      <c r="AQ121" t="s" s="0">
        <v>1641</v>
      </c>
      <c r="AR121" t="s" s="0">
        <v>1642</v>
      </c>
      <c r="AS121" t="s" s="0">
        <v>1643</v>
      </c>
      <c r="AT121" t="s" s="0">
        <v>3326</v>
      </c>
      <c r="AU121" t="s" s="0">
        <v>82</v>
      </c>
      <c r="AV121" t="s" s="0">
        <v>82</v>
      </c>
      <c r="AW121" t="s" s="0">
        <v>3327</v>
      </c>
      <c r="AX121" t="s" s="0">
        <v>3328</v>
      </c>
      <c r="AY121" t="s" s="0">
        <v>150</v>
      </c>
      <c r="AZ121" t="s" s="0">
        <v>150</v>
      </c>
      <c r="BA121" t="s" s="0">
        <v>300</v>
      </c>
      <c r="BB121" t="s" s="0">
        <v>82</v>
      </c>
      <c r="BC121" t="s" s="0">
        <v>82</v>
      </c>
      <c r="BD121" t="s" s="0">
        <v>82</v>
      </c>
      <c r="BE121" t="s" s="0">
        <v>82</v>
      </c>
      <c r="BF121" t="s" s="0">
        <v>82</v>
      </c>
      <c r="BG121" t="s" s="0">
        <v>82</v>
      </c>
      <c r="BH121" t="s" s="0">
        <v>82</v>
      </c>
      <c r="BI121" t="s" s="0">
        <v>3329</v>
      </c>
      <c r="BJ121" t="s" s="0">
        <v>3330</v>
      </c>
      <c r="BK121" t="s" s="239">
        <f>HYPERLINK("http://dx.doi.org/10.2196/89352","http://dx.doi.org/10.2196/89352")</f>
        <v>3331</v>
      </c>
      <c r="BL121" t="s" s="0">
        <v>82</v>
      </c>
      <c r="BM121" t="s" s="0">
        <v>82</v>
      </c>
      <c r="BN121" t="s" s="0">
        <v>151</v>
      </c>
      <c r="BO121" t="s" s="0">
        <v>528</v>
      </c>
      <c r="BP121" t="s" s="0">
        <v>528</v>
      </c>
      <c r="BQ121" t="s" s="0">
        <v>3332</v>
      </c>
      <c r="BR121" t="s" s="0">
        <v>3333</v>
      </c>
      <c r="BS121" t="s" s="0">
        <v>3334</v>
      </c>
      <c r="BT121" t="s" s="240">
        <f>HYPERLINK("https://www.webofscience.com/wos/woscc/full-record/WOS:001769922300001","View Record in Web of Science")</f>
        <v>124</v>
      </c>
      <c r="BU121" t="s" s="0">
        <v>236</v>
      </c>
      <c r="BV121" t="s" s="0">
        <v>82</v>
      </c>
      <c r="BW121" t="s" s="0">
        <v>82</v>
      </c>
      <c r="BX121" t="s" s="0">
        <v>126</v>
      </c>
    </row>
    <row r="122">
      <c r="A122" t="s" s="0">
        <v>77</v>
      </c>
      <c r="B122" t="s" s="0">
        <v>77</v>
      </c>
      <c r="C122" t="s" s="0">
        <v>77</v>
      </c>
      <c r="D122" t="s" s="0">
        <v>77</v>
      </c>
      <c r="E122" t="s" s="0">
        <v>3335</v>
      </c>
      <c r="F122" t="s" s="0">
        <v>3336</v>
      </c>
      <c r="G122" t="s" s="0">
        <v>3337</v>
      </c>
      <c r="H122" t="s" s="0">
        <v>82</v>
      </c>
      <c r="I122" t="s" s="0">
        <v>83</v>
      </c>
      <c r="J122" t="s" s="0">
        <v>3338</v>
      </c>
      <c r="K122" t="s" s="0">
        <v>3339</v>
      </c>
      <c r="L122" t="s" s="0">
        <v>3340</v>
      </c>
      <c r="M122" t="s" s="0">
        <v>3341</v>
      </c>
      <c r="N122" t="s" s="0">
        <v>3342</v>
      </c>
      <c r="O122" t="s" s="0">
        <v>3343</v>
      </c>
      <c r="P122" t="s" s="0">
        <v>3344</v>
      </c>
      <c r="Q122" t="s" s="0">
        <v>91</v>
      </c>
      <c r="R122" t="s" s="0">
        <v>82</v>
      </c>
      <c r="S122" t="s" s="0">
        <v>82</v>
      </c>
      <c r="T122" t="s" s="0">
        <v>82</v>
      </c>
      <c r="U122" t="s" s="0">
        <v>82</v>
      </c>
      <c r="V122" t="s" s="0">
        <v>3345</v>
      </c>
      <c r="W122" t="s" s="0">
        <v>1636</v>
      </c>
      <c r="X122" t="s" s="0">
        <v>82</v>
      </c>
      <c r="Y122" t="s" s="0">
        <v>82</v>
      </c>
      <c r="Z122" t="s" s="0">
        <v>94</v>
      </c>
      <c r="AA122" t="s" s="0">
        <v>95</v>
      </c>
      <c r="AB122" t="s" s="0">
        <v>82</v>
      </c>
      <c r="AC122" t="s" s="0">
        <v>82</v>
      </c>
      <c r="AD122" t="s" s="0">
        <v>82</v>
      </c>
      <c r="AE122" t="s" s="0">
        <v>82</v>
      </c>
      <c r="AF122" t="s" s="0">
        <v>82</v>
      </c>
      <c r="AG122" t="s" s="0">
        <v>3346</v>
      </c>
      <c r="AH122" t="s" s="0">
        <v>3347</v>
      </c>
      <c r="AI122" t="s" s="0">
        <v>3348</v>
      </c>
      <c r="AJ122" t="s" s="0">
        <v>3349</v>
      </c>
      <c r="AK122" t="s" s="0">
        <v>82</v>
      </c>
      <c r="AL122" t="s" s="0">
        <v>1720</v>
      </c>
      <c r="AM122" t="s" s="0">
        <v>103</v>
      </c>
      <c r="AN122" t="s" s="0">
        <v>103</v>
      </c>
      <c r="AO122" t="s" s="0">
        <v>78</v>
      </c>
      <c r="AP122" t="s" s="0">
        <v>103</v>
      </c>
      <c r="AQ122" t="s" s="0">
        <v>1641</v>
      </c>
      <c r="AR122" t="s" s="0">
        <v>1642</v>
      </c>
      <c r="AS122" t="s" s="0">
        <v>1643</v>
      </c>
      <c r="AT122" t="s" s="0">
        <v>82</v>
      </c>
      <c r="AU122" t="s" s="0">
        <v>1644</v>
      </c>
      <c r="AV122" t="s" s="0">
        <v>82</v>
      </c>
      <c r="AW122" t="s" s="0">
        <v>1645</v>
      </c>
      <c r="AX122" t="s" s="0">
        <v>1646</v>
      </c>
      <c r="AY122" t="s" s="0">
        <v>112</v>
      </c>
      <c r="AZ122" t="s" s="0">
        <v>112</v>
      </c>
      <c r="BA122" t="s" s="0">
        <v>300</v>
      </c>
      <c r="BB122" t="s" s="0">
        <v>82</v>
      </c>
      <c r="BC122" t="s" s="0">
        <v>82</v>
      </c>
      <c r="BD122" t="s" s="0">
        <v>82</v>
      </c>
      <c r="BE122" t="s" s="0">
        <v>82</v>
      </c>
      <c r="BF122" t="s" s="0">
        <v>82</v>
      </c>
      <c r="BG122" t="s" s="0">
        <v>82</v>
      </c>
      <c r="BH122" t="s" s="0">
        <v>82</v>
      </c>
      <c r="BI122" t="s" s="0">
        <v>3350</v>
      </c>
      <c r="BJ122" t="s" s="0">
        <v>3351</v>
      </c>
      <c r="BK122" t="s" s="241">
        <f>HYPERLINK("http://dx.doi.org/10.2196/78644","http://dx.doi.org/10.2196/78644")</f>
        <v>3352</v>
      </c>
      <c r="BL122" t="s" s="0">
        <v>82</v>
      </c>
      <c r="BM122" t="s" s="0">
        <v>82</v>
      </c>
      <c r="BN122" t="s" s="0">
        <v>151</v>
      </c>
      <c r="BO122" t="s" s="0">
        <v>1650</v>
      </c>
      <c r="BP122" t="s" s="0">
        <v>1650</v>
      </c>
      <c r="BQ122" t="s" s="0">
        <v>3353</v>
      </c>
      <c r="BR122" t="s" s="0">
        <v>3354</v>
      </c>
      <c r="BS122" t="s" s="0">
        <v>3355</v>
      </c>
      <c r="BT122" t="s" s="242">
        <f>HYPERLINK("https://www.webofscience.com/wos/woscc/full-record/WOS:001634518000002","View Record in Web of Science")</f>
        <v>124</v>
      </c>
      <c r="BU122" t="s" s="0">
        <v>236</v>
      </c>
      <c r="BV122" t="s" s="0">
        <v>82</v>
      </c>
      <c r="BW122" t="s" s="0">
        <v>82</v>
      </c>
      <c r="BX122" t="s" s="0">
        <v>126</v>
      </c>
    </row>
    <row r="123">
      <c r="A123" t="s" s="0">
        <v>77</v>
      </c>
      <c r="B123" t="s" s="0">
        <v>77</v>
      </c>
      <c r="C123" t="s" s="0">
        <v>77</v>
      </c>
      <c r="D123" t="s" s="0">
        <v>77</v>
      </c>
      <c r="E123" t="s" s="0">
        <v>3356</v>
      </c>
      <c r="F123" t="s" s="0">
        <v>3357</v>
      </c>
      <c r="G123" t="s" s="0">
        <v>3358</v>
      </c>
      <c r="H123" t="s" s="0">
        <v>82</v>
      </c>
      <c r="I123" t="s" s="0">
        <v>130</v>
      </c>
      <c r="J123" t="s" s="0">
        <v>3359</v>
      </c>
      <c r="K123" t="s" s="0">
        <v>3360</v>
      </c>
      <c r="L123" t="s" s="0">
        <v>3361</v>
      </c>
      <c r="M123" t="s" s="0">
        <v>3362</v>
      </c>
      <c r="N123" t="s" s="0">
        <v>3363</v>
      </c>
      <c r="O123" t="s" s="0">
        <v>3364</v>
      </c>
      <c r="P123" t="s" s="0">
        <v>3365</v>
      </c>
      <c r="Q123" t="s" s="0">
        <v>91</v>
      </c>
      <c r="R123" t="s" s="0">
        <v>82</v>
      </c>
      <c r="S123" t="s" s="0">
        <v>82</v>
      </c>
      <c r="T123" t="s" s="0">
        <v>82</v>
      </c>
      <c r="U123" t="s" s="0">
        <v>82</v>
      </c>
      <c r="V123" t="s" s="0">
        <v>3366</v>
      </c>
      <c r="W123" t="s" s="0">
        <v>3367</v>
      </c>
      <c r="X123" t="s" s="0">
        <v>82</v>
      </c>
      <c r="Y123" t="s" s="0">
        <v>82</v>
      </c>
      <c r="Z123" t="s" s="0">
        <v>94</v>
      </c>
      <c r="AA123" t="s" s="0">
        <v>95</v>
      </c>
      <c r="AB123" t="s" s="0">
        <v>82</v>
      </c>
      <c r="AC123" t="s" s="0">
        <v>82</v>
      </c>
      <c r="AD123" t="s" s="0">
        <v>82</v>
      </c>
      <c r="AE123" t="s" s="0">
        <v>82</v>
      </c>
      <c r="AF123" t="s" s="0">
        <v>82</v>
      </c>
      <c r="AG123" t="s" s="0">
        <v>3368</v>
      </c>
      <c r="AH123" t="s" s="0">
        <v>3369</v>
      </c>
      <c r="AI123" t="s" s="0">
        <v>3370</v>
      </c>
      <c r="AJ123" t="s" s="0">
        <v>3371</v>
      </c>
      <c r="AK123" t="s" s="0">
        <v>82</v>
      </c>
      <c r="AL123" t="s" s="0">
        <v>1212</v>
      </c>
      <c r="AM123" t="s" s="0">
        <v>78</v>
      </c>
      <c r="AN123" t="s" s="0">
        <v>78</v>
      </c>
      <c r="AO123" t="s" s="0">
        <v>103</v>
      </c>
      <c r="AP123" t="s" s="0">
        <v>103</v>
      </c>
      <c r="AQ123" t="s" s="0">
        <v>1641</v>
      </c>
      <c r="AR123" t="s" s="0">
        <v>1642</v>
      </c>
      <c r="AS123" t="s" s="0">
        <v>1643</v>
      </c>
      <c r="AT123" t="s" s="0">
        <v>3372</v>
      </c>
      <c r="AU123" t="s" s="0">
        <v>82</v>
      </c>
      <c r="AV123" t="s" s="0">
        <v>82</v>
      </c>
      <c r="AW123" t="s" s="0">
        <v>3367</v>
      </c>
      <c r="AX123" t="s" s="0">
        <v>3373</v>
      </c>
      <c r="AY123" t="s" s="0">
        <v>112</v>
      </c>
      <c r="AZ123" t="s" s="0">
        <v>112</v>
      </c>
      <c r="BA123" t="s" s="0">
        <v>268</v>
      </c>
      <c r="BB123" t="s" s="0">
        <v>82</v>
      </c>
      <c r="BC123" t="s" s="0">
        <v>82</v>
      </c>
      <c r="BD123" t="s" s="0">
        <v>82</v>
      </c>
      <c r="BE123" t="s" s="0">
        <v>82</v>
      </c>
      <c r="BF123" t="s" s="0">
        <v>82</v>
      </c>
      <c r="BG123" t="s" s="0">
        <v>82</v>
      </c>
      <c r="BH123" t="s" s="0">
        <v>82</v>
      </c>
      <c r="BI123" t="s" s="0">
        <v>3374</v>
      </c>
      <c r="BJ123" t="s" s="0">
        <v>3375</v>
      </c>
      <c r="BK123" t="s" s="243">
        <f>HYPERLINK("http://dx.doi.org/10.2196/70275","http://dx.doi.org/10.2196/70275")</f>
        <v>3376</v>
      </c>
      <c r="BL123" t="s" s="0">
        <v>82</v>
      </c>
      <c r="BM123" t="s" s="0">
        <v>82</v>
      </c>
      <c r="BN123" t="s" s="0">
        <v>634</v>
      </c>
      <c r="BO123" t="s" s="0">
        <v>557</v>
      </c>
      <c r="BP123" t="s" s="0">
        <v>557</v>
      </c>
      <c r="BQ123" t="s" s="0">
        <v>3377</v>
      </c>
      <c r="BR123" t="s" s="0">
        <v>3378</v>
      </c>
      <c r="BS123" t="s" s="0">
        <v>3379</v>
      </c>
      <c r="BT123" t="s" s="244">
        <f>HYPERLINK("https://www.webofscience.com/wos/woscc/full-record/WOS:001525591100001","View Record in Web of Science")</f>
        <v>124</v>
      </c>
      <c r="BU123" t="s" s="0">
        <v>236</v>
      </c>
      <c r="BV123" t="s" s="0">
        <v>82</v>
      </c>
      <c r="BW123" t="s" s="0">
        <v>82</v>
      </c>
      <c r="BX123" t="s" s="0">
        <v>126</v>
      </c>
    </row>
    <row r="124"/>
  </sheetData>
  <hyperlinks>
    <hyperlink ref="BK2" r:id="rId1"/>
    <hyperlink ref="BT2" r:id="rId2"/>
    <hyperlink ref="BK3" r:id="rId3"/>
    <hyperlink ref="BT3" r:id="rId4"/>
    <hyperlink ref="BK4" r:id="rId5"/>
    <hyperlink ref="BT4" r:id="rId6"/>
    <hyperlink ref="BK5" r:id="rId7"/>
    <hyperlink ref="BT5" r:id="rId8"/>
    <hyperlink ref="BK6" r:id="rId9"/>
    <hyperlink ref="BT6" r:id="rId10"/>
    <hyperlink ref="BK7" r:id="rId11"/>
    <hyperlink ref="BT7" r:id="rId12"/>
    <hyperlink ref="BK8" r:id="rId13"/>
    <hyperlink ref="BT8" r:id="rId14"/>
    <hyperlink ref="BK9" r:id="rId15"/>
    <hyperlink ref="BT9" r:id="rId16"/>
    <hyperlink ref="BK10" r:id="rId17"/>
    <hyperlink ref="BT10" r:id="rId18"/>
    <hyperlink ref="BK11" r:id="rId19"/>
    <hyperlink ref="BT11" r:id="rId20"/>
    <hyperlink ref="BK12" r:id="rId21"/>
    <hyperlink ref="BT12" r:id="rId22"/>
    <hyperlink ref="BK13" r:id="rId23"/>
    <hyperlink ref="BT13" r:id="rId24"/>
    <hyperlink ref="BK14" r:id="rId25"/>
    <hyperlink ref="BT14" r:id="rId26"/>
    <hyperlink ref="BK15" r:id="rId27"/>
    <hyperlink ref="BT15" r:id="rId28"/>
    <hyperlink ref="BK16" r:id="rId29"/>
    <hyperlink ref="BT16" r:id="rId30"/>
    <hyperlink ref="BK17" r:id="rId31"/>
    <hyperlink ref="BT17" r:id="rId32"/>
    <hyperlink ref="BK18" r:id="rId33"/>
    <hyperlink ref="BT18" r:id="rId34"/>
    <hyperlink ref="BK19" r:id="rId35"/>
    <hyperlink ref="BT19" r:id="rId36"/>
    <hyperlink ref="BK20" r:id="rId37"/>
    <hyperlink ref="BT20" r:id="rId38"/>
    <hyperlink ref="BK21" r:id="rId39"/>
    <hyperlink ref="BT21" r:id="rId40"/>
    <hyperlink ref="BK22" r:id="rId41"/>
    <hyperlink ref="BT22" r:id="rId42"/>
    <hyperlink ref="BK23" r:id="rId43"/>
    <hyperlink ref="BT23" r:id="rId44"/>
    <hyperlink ref="BK24" r:id="rId45"/>
    <hyperlink ref="BT24" r:id="rId46"/>
    <hyperlink ref="BK25" r:id="rId47"/>
    <hyperlink ref="BT25" r:id="rId48"/>
    <hyperlink ref="BK26" r:id="rId49"/>
    <hyperlink ref="BT26" r:id="rId50"/>
    <hyperlink ref="BK27" r:id="rId51"/>
    <hyperlink ref="BT27" r:id="rId52"/>
    <hyperlink ref="BK28" r:id="rId53"/>
    <hyperlink ref="BT28" r:id="rId54"/>
    <hyperlink ref="BK29" r:id="rId55"/>
    <hyperlink ref="BT29" r:id="rId56"/>
    <hyperlink ref="BK30" r:id="rId57"/>
    <hyperlink ref="BT30" r:id="rId58"/>
    <hyperlink ref="BK31" r:id="rId59"/>
    <hyperlink ref="BT31" r:id="rId60"/>
    <hyperlink ref="BK32" r:id="rId61"/>
    <hyperlink ref="BT32" r:id="rId62"/>
    <hyperlink ref="BK33" r:id="rId63"/>
    <hyperlink ref="BT33" r:id="rId64"/>
    <hyperlink ref="BK34" r:id="rId65"/>
    <hyperlink ref="BT34" r:id="rId66"/>
    <hyperlink ref="BK35" r:id="rId67"/>
    <hyperlink ref="BT35" r:id="rId68"/>
    <hyperlink ref="BK36" r:id="rId69"/>
    <hyperlink ref="BT36" r:id="rId70"/>
    <hyperlink ref="BK37" r:id="rId71"/>
    <hyperlink ref="BT37" r:id="rId72"/>
    <hyperlink ref="BK38" r:id="rId73"/>
    <hyperlink ref="BT38" r:id="rId74"/>
    <hyperlink ref="BK39" r:id="rId75"/>
    <hyperlink ref="BT39" r:id="rId76"/>
    <hyperlink ref="BK40" r:id="rId77"/>
    <hyperlink ref="BT40" r:id="rId78"/>
    <hyperlink ref="BK41" r:id="rId79"/>
    <hyperlink ref="BT41" r:id="rId80"/>
    <hyperlink ref="BK42" r:id="rId81"/>
    <hyperlink ref="BT42" r:id="rId82"/>
    <hyperlink ref="BK43" r:id="rId83"/>
    <hyperlink ref="BT43" r:id="rId84"/>
    <hyperlink ref="BK44" r:id="rId85"/>
    <hyperlink ref="BT44" r:id="rId86"/>
    <hyperlink ref="BK45" r:id="rId87"/>
    <hyperlink ref="BT45" r:id="rId88"/>
    <hyperlink ref="BK46" r:id="rId89"/>
    <hyperlink ref="BT46" r:id="rId90"/>
    <hyperlink ref="BK47" r:id="rId91"/>
    <hyperlink ref="BT47" r:id="rId92"/>
    <hyperlink ref="BK48" r:id="rId93"/>
    <hyperlink ref="BT48" r:id="rId94"/>
    <hyperlink ref="BK49" r:id="rId95"/>
    <hyperlink ref="BT49" r:id="rId96"/>
    <hyperlink ref="BK50" r:id="rId97"/>
    <hyperlink ref="BT50" r:id="rId98"/>
    <hyperlink ref="BK51" r:id="rId99"/>
    <hyperlink ref="BT51" r:id="rId100"/>
    <hyperlink ref="BK52" r:id="rId101"/>
    <hyperlink ref="BT52" r:id="rId102"/>
    <hyperlink ref="BK53" r:id="rId103"/>
    <hyperlink ref="BT53" r:id="rId104"/>
    <hyperlink ref="BK54" r:id="rId105"/>
    <hyperlink ref="BT54" r:id="rId106"/>
    <hyperlink ref="BK55" r:id="rId107"/>
    <hyperlink ref="BT55" r:id="rId108"/>
    <hyperlink ref="BK56" r:id="rId109"/>
    <hyperlink ref="BT56" r:id="rId110"/>
    <hyperlink ref="BK57" r:id="rId111"/>
    <hyperlink ref="BT57" r:id="rId112"/>
    <hyperlink ref="BK58" r:id="rId113"/>
    <hyperlink ref="BT58" r:id="rId114"/>
    <hyperlink ref="BK59" r:id="rId115"/>
    <hyperlink ref="BT59" r:id="rId116"/>
    <hyperlink ref="BK60" r:id="rId117"/>
    <hyperlink ref="BT60" r:id="rId118"/>
    <hyperlink ref="BK61" r:id="rId119"/>
    <hyperlink ref="BT61" r:id="rId120"/>
    <hyperlink ref="BK62" r:id="rId121"/>
    <hyperlink ref="BT62" r:id="rId122"/>
    <hyperlink ref="BK63" r:id="rId123"/>
    <hyperlink ref="BT63" r:id="rId124"/>
    <hyperlink ref="BK64" r:id="rId125"/>
    <hyperlink ref="BT64" r:id="rId126"/>
    <hyperlink ref="BK65" r:id="rId127"/>
    <hyperlink ref="BT65" r:id="rId128"/>
    <hyperlink ref="BK66" r:id="rId129"/>
    <hyperlink ref="BT66" r:id="rId130"/>
    <hyperlink ref="BK67" r:id="rId131"/>
    <hyperlink ref="BT67" r:id="rId132"/>
    <hyperlink ref="BK68" r:id="rId133"/>
    <hyperlink ref="BT68" r:id="rId134"/>
    <hyperlink ref="BK69" r:id="rId135"/>
    <hyperlink ref="BT69" r:id="rId136"/>
    <hyperlink ref="BK70" r:id="rId137"/>
    <hyperlink ref="BT70" r:id="rId138"/>
    <hyperlink ref="BK71" r:id="rId139"/>
    <hyperlink ref="BT71" r:id="rId140"/>
    <hyperlink ref="BK72" r:id="rId141"/>
    <hyperlink ref="BT72" r:id="rId142"/>
    <hyperlink ref="BK73" r:id="rId143"/>
    <hyperlink ref="BT73" r:id="rId144"/>
    <hyperlink ref="BK74" r:id="rId145"/>
    <hyperlink ref="BT74" r:id="rId146"/>
    <hyperlink ref="BK75" r:id="rId147"/>
    <hyperlink ref="BT75" r:id="rId148"/>
    <hyperlink ref="BK76" r:id="rId149"/>
    <hyperlink ref="BT76" r:id="rId150"/>
    <hyperlink ref="BK77" r:id="rId151"/>
    <hyperlink ref="BT77" r:id="rId152"/>
    <hyperlink ref="BK78" r:id="rId153"/>
    <hyperlink ref="BT78" r:id="rId154"/>
    <hyperlink ref="BK79" r:id="rId155"/>
    <hyperlink ref="BT79" r:id="rId156"/>
    <hyperlink ref="BK80" r:id="rId157"/>
    <hyperlink ref="BT80" r:id="rId158"/>
    <hyperlink ref="BK81" r:id="rId159"/>
    <hyperlink ref="BT81" r:id="rId160"/>
    <hyperlink ref="BK82" r:id="rId161"/>
    <hyperlink ref="BT82" r:id="rId162"/>
    <hyperlink ref="BK83" r:id="rId163"/>
    <hyperlink ref="BT83" r:id="rId164"/>
    <hyperlink ref="BK84" r:id="rId165"/>
    <hyperlink ref="BT84" r:id="rId166"/>
    <hyperlink ref="BK85" r:id="rId167"/>
    <hyperlink ref="BT85" r:id="rId168"/>
    <hyperlink ref="BK86" r:id="rId169"/>
    <hyperlink ref="BT86" r:id="rId170"/>
    <hyperlink ref="BK87" r:id="rId171"/>
    <hyperlink ref="BT87" r:id="rId172"/>
    <hyperlink ref="BK88" r:id="rId173"/>
    <hyperlink ref="BT88" r:id="rId174"/>
    <hyperlink ref="BK89" r:id="rId175"/>
    <hyperlink ref="BT89" r:id="rId176"/>
    <hyperlink ref="BK90" r:id="rId177"/>
    <hyperlink ref="BT90" r:id="rId178"/>
    <hyperlink ref="BK91" r:id="rId179"/>
    <hyperlink ref="BT91" r:id="rId180"/>
    <hyperlink ref="BK92" r:id="rId181"/>
    <hyperlink ref="BT92" r:id="rId182"/>
    <hyperlink ref="BK93" r:id="rId183"/>
    <hyperlink ref="BT93" r:id="rId184"/>
    <hyperlink ref="BK94" r:id="rId185"/>
    <hyperlink ref="BT94" r:id="rId186"/>
    <hyperlink ref="BK95" r:id="rId187"/>
    <hyperlink ref="BT95" r:id="rId188"/>
    <hyperlink ref="BK96" r:id="rId189"/>
    <hyperlink ref="BT96" r:id="rId190"/>
    <hyperlink ref="BK97" r:id="rId191"/>
    <hyperlink ref="BT97" r:id="rId192"/>
    <hyperlink ref="BK98" r:id="rId193"/>
    <hyperlink ref="BT98" r:id="rId194"/>
    <hyperlink ref="BK99" r:id="rId195"/>
    <hyperlink ref="BT99" r:id="rId196"/>
    <hyperlink ref="BK100" r:id="rId197"/>
    <hyperlink ref="BT100" r:id="rId198"/>
    <hyperlink ref="BK101" r:id="rId199"/>
    <hyperlink ref="BT101" r:id="rId200"/>
    <hyperlink ref="BK102" r:id="rId201"/>
    <hyperlink ref="BT102" r:id="rId202"/>
    <hyperlink ref="BK103" r:id="rId203"/>
    <hyperlink ref="BT103" r:id="rId204"/>
    <hyperlink ref="BK104" r:id="rId205"/>
    <hyperlink ref="BT104" r:id="rId206"/>
    <hyperlink ref="BK105" r:id="rId207"/>
    <hyperlink ref="BT105" r:id="rId208"/>
    <hyperlink ref="BK106" r:id="rId209"/>
    <hyperlink ref="BT106" r:id="rId210"/>
    <hyperlink ref="BK107" r:id="rId211"/>
    <hyperlink ref="BT107" r:id="rId212"/>
    <hyperlink ref="BK108" r:id="rId213"/>
    <hyperlink ref="BT108" r:id="rId214"/>
    <hyperlink ref="BK109" r:id="rId215"/>
    <hyperlink ref="BT109" r:id="rId216"/>
    <hyperlink ref="BK110" r:id="rId217"/>
    <hyperlink ref="BT110" r:id="rId218"/>
    <hyperlink ref="BK111" r:id="rId219"/>
    <hyperlink ref="BT111" r:id="rId220"/>
    <hyperlink ref="BK112" r:id="rId221"/>
    <hyperlink ref="BT112" r:id="rId222"/>
    <hyperlink ref="BK113" r:id="rId223"/>
    <hyperlink ref="BT113" r:id="rId224"/>
    <hyperlink ref="BK114" r:id="rId225"/>
    <hyperlink ref="BT114" r:id="rId226"/>
    <hyperlink ref="BK115" r:id="rId227"/>
    <hyperlink ref="BT115" r:id="rId228"/>
    <hyperlink ref="BK116" r:id="rId229"/>
    <hyperlink ref="BT116" r:id="rId230"/>
    <hyperlink ref="BK117" r:id="rId231"/>
    <hyperlink ref="BT117" r:id="rId232"/>
    <hyperlink ref="BK118" r:id="rId233"/>
    <hyperlink ref="BT118" r:id="rId234"/>
    <hyperlink ref="BK119" r:id="rId235"/>
    <hyperlink ref="BT119" r:id="rId236"/>
    <hyperlink ref="BK120" r:id="rId237"/>
    <hyperlink ref="BT120" r:id="rId238"/>
    <hyperlink ref="BK121" r:id="rId239"/>
    <hyperlink ref="BT121" r:id="rId240"/>
    <hyperlink ref="BK122" r:id="rId241"/>
    <hyperlink ref="BT122" r:id="rId242"/>
    <hyperlink ref="BK123" r:id="rId243"/>
    <hyperlink ref="BT123" r:id="rId244"/>
  </hyperlinks>
  <printOptions horizontalCentered="true"/>
  <pageMargins bottom="0.75" footer="0.3" header="0.3" left="0.7" right="0.7" top="0.75"/>
  <pageSetup orientation="landscape" fitToHeight="1" fitToWidth="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2026-08-26T12:21:11Z</dcterms:created>
  <dc:creator>Apache POI</dc:creator>
</cp:coreProperties>
</file>
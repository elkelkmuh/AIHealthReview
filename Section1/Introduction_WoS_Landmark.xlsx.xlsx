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<sst xmlns="http://schemas.openxmlformats.org/spreadsheetml/2006/main" count="15354" uniqueCount="5611">
  <si>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</si>
  <si>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</si>
  <si>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</si>
  <si>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</si>
  <si>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</si>
  <si>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</si>
  <si>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</si>
  <si>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</si>
  <si>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</si>
  <si>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</si>
  <si>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</si>
  <si>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</si>
  <si>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</si>
  <si>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</si>
  <si>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</si>
  <si>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</si>
  <si>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</si>
  <si>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</si>
  <si>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</si>
  <si>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</si>
  <si>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</si>
  <si>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</si>
  <si>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</si>
  <si>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</si>
  <si>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</si>
  <si>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</si>
  <si>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</si>
  <si>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</si>
  <si>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</si>
  <si>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</si>
  <si>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</si>
  <si>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</si>
  <si>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</si>
  <si>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</si>
  <si>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</si>
  <si>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</si>
  <si>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</si>
  <si>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</si>
  <si>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</si>
  <si>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</si>
  <si>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</si>
  <si>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</si>
  <si>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</si>
  <si>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</si>
  <si>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</si>
  <si>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</si>
  <si>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</si>
  <si>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</si>
  <si>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</si>
  <si>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</si>
  <si>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</si>
  <si>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</si>
  <si>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</si>
  <si>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</si>
  <si>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</si>
  <si>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</si>
  <si>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</si>
  <si>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</si>
  <si>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</si>
  <si>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</si>
  <si>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</si>
  <si>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</si>
  <si>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</si>
  <si>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</si>
  <si>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</si>
  <si>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</si>
  <si>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</si>
  <si>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</si>
  <si>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</si>
  <si>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</si>
  <si>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</si>
  <si>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</si>
  <si>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</si>
  <si>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</si>
  <si>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</si>
  <si>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</si>
  <si>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</si>
  <si>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167</t>
  </si>
  <si>
    <t>0</t>
  </si>
  <si>
    <t>1187</t>
  </si>
  <si>
    <t>34</t>
  </si>
  <si>
    <t>Topol, EJ</t>
  </si>
  <si>
    <t>The use of artificial intelligence, and the deep-learning subtype in particular, has been enabled by the use of labeled big data, along with markedly enhanced computing power and cloud storage, across all sectors. In medicine, this is beginning to have an impact at three levels: for clinicians, predominantly via rapid, accurate image interpretation; for health systems, by improving workflow and the potential for reducing medical errors; and for patients, by enabling them to process their own data to promote health. The current limitations, including bias, privacy and security, and lack of transparency, along with the future directions of these applications will be discussed in this article. Over time, marked improvements in accuracy, productivity, and workflow will likely be actualized, but whether that will be used to improve the patient-doctor relationship or facilitate its erosion remains to be seen.</t>
  </si>
  <si>
    <t>Topol, Eric J.</t>
  </si>
  <si>
    <t/>
  </si>
  <si>
    <t>Science Citation Index Expanded (SCI-EXPANDED)</t>
  </si>
  <si>
    <t>Topol, EJ (corresponding author), Scripps Res, Dept Mol Med, La Jolla, CA 92037 USA.</t>
  </si>
  <si>
    <t>etopol@scripps.edu</t>
  </si>
  <si>
    <t>Clinical and Translational Science Award (CTSA) from the National Institute of Health (NIH) [UL1TR002550]</t>
  </si>
  <si>
    <t>Clinical and Translational Science Award (CTSA) from the National Institute of Health (NIH)</t>
  </si>
  <si>
    <t>Funding was provided by the Clinical and Translational Science Award (CTSA) from the National Institute of Health (NIH) grant number UL1TR002550.</t>
  </si>
  <si>
    <t>[Topol, Eric J.] Scripps Res, Dept Mol Med, La Jolla, CA 92037 USA</t>
  </si>
  <si>
    <t>Scripps Research Institute</t>
  </si>
  <si>
    <t>J</t>
  </si>
  <si>
    <t>High-performance medicine: the convergence of human and artificial intelligence</t>
  </si>
  <si>
    <t>NATURE MEDICINE</t>
  </si>
  <si>
    <t>English</t>
  </si>
  <si>
    <t>Review</t>
  </si>
  <si>
    <t>DEEP-LEARNING ALGORITHM; RISK-FACTORS; DIABETIC-RETINOPATHY; PREDICTION; HEALTH; CANCER; CLASSIFICATION; METAANALYSIS; MORTALITY; FUTURE</t>
  </si>
  <si>
    <t>Topol, Eric/JOZ-4372-2023</t>
  </si>
  <si>
    <t>Topol, Eric/0000-0002-1478-4729</t>
  </si>
  <si>
    <t>214</t>
  </si>
  <si>
    <t>5946</t>
  </si>
  <si>
    <t>7405</t>
  </si>
  <si>
    <t>156</t>
  </si>
  <si>
    <t>2215</t>
  </si>
  <si>
    <t>NATURE PORTFOLIO</t>
  </si>
  <si>
    <t>BERLIN</t>
  </si>
  <si>
    <t>HEIDELBERGER PLATZ 3, BERLIN, 14197, GERMANY</t>
  </si>
  <si>
    <t>1078-8956</t>
  </si>
  <si>
    <t>1546-170X</t>
  </si>
  <si>
    <t>NAT MED</t>
  </si>
  <si>
    <t>Nat. Med.</t>
  </si>
  <si>
    <t>JAN 2019</t>
  </si>
  <si>
    <t>2019</t>
  </si>
  <si>
    <t>25</t>
  </si>
  <si>
    <t>1</t>
  </si>
  <si>
    <t>44</t>
  </si>
  <si>
    <t>56</t>
  </si>
  <si>
    <t>10.1038/s41591-018-0300-7</t>
  </si>
  <si>
    <t>http://dx.doi.org/10.1038/s41591-018-0300-7</t>
  </si>
  <si>
    <t>13</t>
  </si>
  <si>
    <t>Biochemistry &amp; Molecular Biology; Cell Biology; Medicine, Research &amp; Experimental</t>
  </si>
  <si>
    <t>Biochemistry &amp; Molecular Biology; Cell Biology; Research &amp; Experimental Medicine</t>
  </si>
  <si>
    <t>HG5OR</t>
  </si>
  <si>
    <t>30617339</t>
  </si>
  <si>
    <t>WOS:000455027700019</t>
  </si>
  <si>
    <t>View Record in Web of Science</t>
  </si>
  <si>
    <t>N</t>
  </si>
  <si>
    <t>Y</t>
  </si>
  <si>
    <t>2026-08-25</t>
  </si>
  <si>
    <t>139</t>
  </si>
  <si>
    <t>763</t>
  </si>
  <si>
    <t>15</t>
  </si>
  <si>
    <t>Alzubaidi, L; Zhang, JL; Humaidi, AJ; Al-Dujaili, A; Duan, Y; Al-Shamma, O; Santamaría, J; Fadhel, MA; Al-Amidie, M; Farhan, L</t>
  </si>
  <si>
    <t>In the last few years, the deep learning (DL) computing paradigm has been deemed the Gold Standard in the machine learning (ML) community. Moreover, it has gradually become the most widely used computational approach in the field of ML, thus achieving outstanding results on several complex cognitive tasks, matching or even beating those provided by human performance. One of the benefits of DL is the ability to learn massive amounts of data. The DL field has grown fast in the last few years and it has been extensively used to successfully address a wide range of traditional applications. More importantly, DL has outperformed well-known ML techniques in many domains, e.g., cybersecurity, natural language processing, bioinformatics, robotics and control, and medical information processing, among many others. Despite it has been contributed several works reviewing the State-of-the-Art on DL, all of them only tackled one aspect of the DL, which leads to an overall lack of knowledge about it. Therefore, in this contribution, we propose using a more holistic approach in order to provide a more suitable starting point from which to develop a full understanding of DL. Specifically, this review attempts to provide a more comprehensive survey of the most important aspects of DL and including those enhancements recently added to the field. In particular, this paper outlines the importance of DL, presents the types of DL techniques and networks. It then presents convolutional neural networks (CNNs) which the most utilized DL network type and describes the development of CNNs architectures together with their main features, e.g., starting with the AlexNet network and closing with the High-Resolution network (HR.Net). Finally, we further present the challenges and suggested solutions to help researchers understand the existing research gaps. It is followed by a list of the major DL applications. Computational tools including FPGA, GPU, and CPU are summarized along with a description of their influence on DL. The paper ends with the evolution matrix, benchmark datasets, and summary and conclusion.</t>
  </si>
  <si>
    <t>Alzubaidi, Laith; Zhang, Jinglan; Humaidi, Amjad J.; Al-Dujaili, Ayad; Duan, Ye; Al-Shamma, Omran; Santamaria, J.; Fadhel, Mohammed A.; Al-Amidie, Muthana; Farhan, Laith</t>
  </si>
  <si>
    <t>Alzubaidi, L (corresponding author), Queensland Univ Technol, Sch Comp Sci, Brisbane, Qld 4000, Australia.; Alzubaidi, L (corresponding author), Univ Informat Technol &amp; Commun, AlNidhal Campus, Baghdad 10001, Iraq.</t>
  </si>
  <si>
    <t>laith.alzubaidi@hdr.qut.edu.au</t>
  </si>
  <si>
    <t>[Alzubaidi, Laith; Zhang, Jinglan] Queensland Univ Technol, Sch Comp Sci, Brisbane, Qld 4000, Australia; [Humaidi, Amjad J.] Univ Technol Baghdad, Control &amp; Syst Engn Dept, Baghdad 10001, Iraq; [Al-Dujaili, Ayad] Middle Tech Univ, Elect Engn Tech Coll, Baghdad 10001, Iraq; [Duan, Ye; Al-Amidie, Muthana] Univ Missouri, Fac Elect Engn &amp; Comp Sci, Columbia, MO 65211 USA; [Alzubaidi, Laith; Al-Shamma, Omran] Univ Informat Technol &amp; Commun, AlNidhal Campus, Baghdad 10001, Iraq; [Santamaria, J.] Univ Jaen, Dept Comp Sci, Jaen 23071, Spain; [Fadhel, Mohammed A.] Univ Sumer, Coll Comp Sci &amp; Informat Technol, Thi Qar 64005, Iraq; [Farhan, Laith] Manchester Metropolitan Univ, Sch Engn, Manchester M1 5GD, Lancs, England</t>
  </si>
  <si>
    <t>Queensland University of Technology (QUT); University of Technology- Iraq; Middle Technical University; University of Missouri System; University of Missouri Columbia; University of Information Technology &amp; Communication; Universidad de Jaen; University of Sumer; Manchester Metropolitan University; University of Manchester</t>
  </si>
  <si>
    <t>Review of deep learning: concepts, CNN architectures, challenges, applications, future directions</t>
  </si>
  <si>
    <t>JOURNAL OF BIG DATA</t>
  </si>
  <si>
    <t>Deep learning; Machine learning; Convolution neural network (CNN); Deep neural network architectures; Deep learning applications; Image classification; Transfer learning; Medical image analysis; Supervised learning; FPGA; GPU</t>
  </si>
  <si>
    <t>CONVOLUTIONAL NEURAL-NETWORKS; BRAIN-TUMOR SEGMENTATION; X-RAY IMAGES; OF-THE-ART; COMPUTER-AIDED DETECTION; AUTOMATIC SEGMENTATION; CANCER CLASSIFICATION; PNEUMONIA DETECTION; MITOSIS DETECTION; DATA AUGMENTATION</t>
  </si>
  <si>
    <t>Al-Shamma, Omran/Z-3351-2019; Fadhel, Mohammed/Q-3147-2019; Zhang, Jinglan/I-9871-2012; Santamaria Lopez, Jose/A-6415-2011; Alzubaidi, Laith/AAC-9291-2020; Farhan, Laith/HKN-4082-2023; humaidi, amjad/E-6181-2019; AL-DUJAILI, Ayad/ABC-6888-2020; Santamaria, Jose/A-6415-2011</t>
  </si>
  <si>
    <t>fadhel, Mohammed Abdulraheem/0000-0001-9877-049X; Al-Shamma, Omran/0000-0001-5930-6176; Al-Amidie, Muthana/0000-0002-8116-1871; Santamaria Lopez, Jose/0000-0002-2022-6838; Alzubaidi, Laith/0000-0002-7296-5413; Farhan, Laith/0000-0001-8256-7323; Duan, Ye/0000-0002-1166-7703; humaidi, amjad/0000-0002-9071-1329; AL-DUJAILI, Ayad/0000-0002-1126-3290</t>
  </si>
  <si>
    <t>336</t>
  </si>
  <si>
    <t>5191</t>
  </si>
  <si>
    <t>6197</t>
  </si>
  <si>
    <t>210</t>
  </si>
  <si>
    <t>3171</t>
  </si>
  <si>
    <t>SPRINGERNATURE</t>
  </si>
  <si>
    <t>LONDON</t>
  </si>
  <si>
    <t>CAMPUS, 4 CRINAN ST, LONDON, N1 9XW, ENGLAND</t>
  </si>
  <si>
    <t>2196-1115</t>
  </si>
  <si>
    <t>J BIG DATA-GER</t>
  </si>
  <si>
    <t>J. Big Data</t>
  </si>
  <si>
    <t>MAR 31 2021</t>
  </si>
  <si>
    <t>2021</t>
  </si>
  <si>
    <t>8</t>
  </si>
  <si>
    <t>53</t>
  </si>
  <si>
    <t>10.1186/s40537-021-00444-8</t>
  </si>
  <si>
    <t>http://dx.doi.org/10.1186/s40537-021-00444-8</t>
  </si>
  <si>
    <t>74</t>
  </si>
  <si>
    <t>Computer Science, Theory &amp; Methods</t>
  </si>
  <si>
    <t>Computer Science</t>
  </si>
  <si>
    <t>RI1ZI</t>
  </si>
  <si>
    <t>33816053</t>
  </si>
  <si>
    <t>WOS:000636709200001</t>
  </si>
  <si>
    <t>gold; Green Submitted</t>
  </si>
  <si>
    <t>474</t>
  </si>
  <si>
    <t>9</t>
  </si>
  <si>
    <t>Yamashita, R; Nishio, M; Do, RKG; Togashi, K</t>
  </si>
  <si>
    <t>Convolutional neural network (CNN), a class of artificial neural networks that has become dominant in various computer vision tasks, is attracting interest across a variety of domains, including radiology. CNN is designed to automatically and adaptively learn spatial hierarchies of features through backpropagation by using multiple building blocks, such as convolution layers, pooling layers, and fully connected layers. This review article offers a perspective on the basic concepts of CNN and its application to various radiological tasks, and discusses its challenges and future directions in the field of radiology. Two challenges in applying CNN to radiological tasks, small dataset and overfitting, will also be covered in this article, as well as techniques to minimize them. Being familiar with the concepts and advantages, as well as limitations, of CNN is essential to leverage its potential in diagnostic radiology, with the goal of augmenting the performance of radiologists and improving patient care.Key PointsConvolutional neural network is a class of deep learning methods which has become dominant in various computer vision tasks and is attracting interest across a variety of domains, including radiology.Convolutional neural network is composed of multiple building blocks, such as convolution layers, pooling layers, and fully connected layers, and is designed to automatically and adaptively learn spatial hierarchies of features through a backpropagation algorithm.Familiarity with the concepts and advantages, as well as limitations, of convolutional neural network is essential to leverage its potential to improve radiologist performance and, eventually, patient care.</t>
  </si>
  <si>
    <t>Yamashita, Rikiya; Nishio, Mizuho; Do, Richard Kinh Gian; Togashi, Kaori</t>
  </si>
  <si>
    <t>Yamashita, R (corresponding author), Kyoto Univ, Grad Sch Med, Dept Diagnost Imaging &amp; Nucl Med, Sakyo Ku, 54 Kawahara Cho, Kyoto 6068507, Japan.; Yamashita, R (corresponding author), Mem Sloan Kettering Canc Ctr, Dept Radiol, 1275 York Ave, New York, NY 10065 USA.</t>
  </si>
  <si>
    <t>rickdom2610@gmail.com</t>
  </si>
  <si>
    <t>JSPS KAKENHI [JP16K19883]</t>
  </si>
  <si>
    <t>JSPS KAKENHI (Ministry of Education, Culture, Sports, Science and Technology, Japan (MEXT), Japan Society for the Promotion of Science, Grants-in-Aid for Scientific Research (KAKENHI))</t>
  </si>
  <si>
    <t>We would like to acknowledge Yasuhisa Kurata, MD, PhD, Department of Diagnostic Imaging and Nuclear Medicine, Kyoto University Graduate School of Medicine. This study was partly supported by JSPS KAKENHI (grant number JP16K19883).</t>
  </si>
  <si>
    <t>[Yamashita, Rikiya; Nishio, Mizuho; Togashi, Kaori] Kyoto Univ, Grad Sch Med, Dept Diagnost Imaging &amp; Nucl Med, Sakyo Ku, 54 Kawahara Cho, Kyoto 6068507, Japan; [Yamashita, Rikiya; Do, Richard Kinh Gian] Mem Sloan Kettering Canc Ctr, Dept Radiol, 1275 York Ave, New York, NY 10065 USA; [Nishio, Mizuho] Kyoto Univ Hosp, Preempt Med &amp; Lifestyle Dis Res Ctr, Sakyo Ku, 53 Kawahara Cho, Kyoto 6068507, Japan</t>
  </si>
  <si>
    <t>Kyoto University; Memorial Sloan Kettering Cancer Center; Kyoto University</t>
  </si>
  <si>
    <t>Convolutional neural networks: an overview and application in radiology</t>
  </si>
  <si>
    <t>INSIGHTS INTO IMAGING</t>
  </si>
  <si>
    <t>Machine learning; Deep learning; Convolutional neural network; Medical imaging; Radiology</t>
  </si>
  <si>
    <t>COMPUTER-AIDED DETECTION; LOW-DOSE CT; DEEP; CANCER; CLASSIFICATION; INFORMATION; NODULES</t>
  </si>
  <si>
    <t>Nishio, Mizuho/ACC-0897-2022</t>
  </si>
  <si>
    <t>Yamashita, Rikiya/0000-0002-2686-2333; Do, Richard/0000-0002-6554-0310</t>
  </si>
  <si>
    <t>61</t>
  </si>
  <si>
    <t>2849</t>
  </si>
  <si>
    <t>3542</t>
  </si>
  <si>
    <t>23</t>
  </si>
  <si>
    <t>426</t>
  </si>
  <si>
    <t>SPRINGER WIEN</t>
  </si>
  <si>
    <t>Vienna</t>
  </si>
  <si>
    <t>Prinz-Eugen-Strasse 8-10, A-1040 Vienna, AUSTRIA</t>
  </si>
  <si>
    <t>1869-4101</t>
  </si>
  <si>
    <t>INSIGHTS IMAGING</t>
  </si>
  <si>
    <t>Insights Imaging</t>
  </si>
  <si>
    <t>AUG 2018</t>
  </si>
  <si>
    <t>2018</t>
  </si>
  <si>
    <t>4</t>
  </si>
  <si>
    <t>611</t>
  </si>
  <si>
    <t>629</t>
  </si>
  <si>
    <t>10.1007/s13244-018-0639-9</t>
  </si>
  <si>
    <t>http://dx.doi.org/10.1007/s13244-018-0639-9</t>
  </si>
  <si>
    <t>19</t>
  </si>
  <si>
    <t>Radiology, Nuclear Medicine &amp; Medical Imaging</t>
  </si>
  <si>
    <t>GR5NE</t>
  </si>
  <si>
    <t>29934920</t>
  </si>
  <si>
    <t>WOS:000442680100018</t>
  </si>
  <si>
    <t>133</t>
  </si>
  <si>
    <t>433</t>
  </si>
  <si>
    <t>5</t>
  </si>
  <si>
    <t>Thirunavukarasu, AJ; Ting, DSJ; Elangovan, K; Gutierrez, L; Tan, TF; Ting, DSW</t>
  </si>
  <si>
    <t>This review explains how large language models (LLMs), such as ChatGPT, are developed and discusses their strengths and limitations in the context of potential clinical applications.Large language models (LLMs) can respond to free-text queries without being specifically trained in the task in question, causing excitement and concern about their use in healthcare settings. ChatGPT is a generative artificial intelligence (AI) chatbot produced through sophisticated fine-tuning of an LLM, and other tools are emerging through similar developmental processes. Here we outline how LLM applications such as ChatGPT are developed, and we discuss how they are being leveraged in clinical settings. We consider the strengths and limitations of LLMs and their potential to improve the efficiency and effectiveness of clinical, educational and research work in medicine. LLM chatbots have already been deployed in a range of biomedical contexts, with impressive but mixed results. This review acts as a primer for interested clinicians, who will determine if and how LLM technology is used in healthcare for the benefit of patients and practitioners.</t>
  </si>
  <si>
    <t>Thirunavukarasu, Arun James; Ting, Darren Shu Jeng; Elangovan, Kabilan; Gutierrez, Laura; Tan, Ting Fang; Ting, Daniel Shu Wei</t>
  </si>
  <si>
    <t>Ting, DSW (corresponding author), Singapore Eye Res Inst, Singapore Natl Eye Ctr, Artificial Intelligence &amp; Digital Innovat Res Grp, Singapore, Singapore.; Ting, DSW (corresponding author), Duke Natl Univ Singapore, Dept Ophthalmol &amp; Visual Sci, Med Sch, Singapore, Singapore.; Ting, DSW (corresponding author), Stanford Univ, Byers Eye Inst, Palo Alto, CA 94303 USA.</t>
  </si>
  <si>
    <t>daniel.ting@duke-nus.edu.sg</t>
  </si>
  <si>
    <t>National Medical Research Council, Singapore [NMCR/HSRG/0087/2018, MOH-000655-00, MOH-001014-00]; Duke-NUS Medical School [Duke-NUS/RSF/2021/0018, 05/FY2020/EX/15-A58]; Agency for Science, Technology and Research [A20H4g2141, H20C6a0032]; Singapore Ministry of Health (MOH) [MOH-001014-00] Funding Source: Singapore Ministry of Health (MOH)</t>
  </si>
  <si>
    <t>National Medical Research Council, Singapore (National Medical Research Council, Singapore); Duke-NUS Medical School; Agency for Science, Technology and Research; Singapore Ministry of Health (MOH) (Ministry of Education, Singapore, Ministry of Health - Singapore)</t>
  </si>
  <si>
    <t>D.S.W.T. is supported by the National Medical Research Council, Singapore (NMCR/HSRG/0087/2018, MOH-000655-00 and MOH-001014-00), the Duke-NUS Medical School (Duke-NUS/RSF/2021/0018 and 05/FY2020/EX/15-A58) and the Agency for Science, Technology and Research (A20H4g2141 and H20C6a0032). These funders were not involved in the conception, execution or reporting of this review.</t>
  </si>
  <si>
    <t>[Thirunavukarasu, Arun James] Univ Cambridge, Sch Clin Med, Cambridge, England; [Thirunavukarasu, Arun James] Univ Cambridge, Corpus Christi Coll, Cambridge, England; [Ting, Darren Shu Jeng] Univ Birmingham, Inst Inflammat &amp; Ageing, Acad Unit Ophthalmol, Birmingham, England; [Ting, Darren Shu Jeng] Birmingham &amp; Midland Eye Ctr, Birmingham, England; [Ting, Darren Shu Jeng] Univ Nottingham, Sch Med, Acad Ophthalmol, Nottingham, England; [Elangovan, Kabilan; Gutierrez, Laura; Tan, Ting Fang; Ting, Daniel Shu Wei] Singapore Eye Res Inst, Singapore Natl Eye Ctr, Artificial Intelligence &amp; Digital Innovat Res Grp, Singapore, Singapore; [Tan, Ting Fang; Ting, Daniel Shu Wei] Duke Natl Univ Singapore, Dept Ophthalmol &amp; Visual Sci, Med Sch, Singapore, Singapore; [Ting, Daniel Shu Wei] Stanford Univ, Byers Eye Inst, Palo Alto, CA 94303 USA</t>
  </si>
  <si>
    <t>University of Cambridge; University of Cambridge; University of Birmingham; University of Nottingham; Singapore National Eye Center; National University of Singapore; National University of Singapore; Stanford University</t>
  </si>
  <si>
    <t>Large language models in medicine</t>
  </si>
  <si>
    <t>CHATGPT</t>
  </si>
  <si>
    <t>Thirunavukarasu, Arun/ABC-0806-2022; Gutierrez-Sinisterra, Laura/IYJ-6582-2023; Ting, Daniel/QOC-0597-2026</t>
  </si>
  <si>
    <t>Thirunavukarasu, Arun/0000-0001-8968-4768; Gutierrez-Sinisterra, Laura/0000-0001-7416-2350; Elangovan, Kabilan/0000-0002-7711-7368</t>
  </si>
  <si>
    <t>118</t>
  </si>
  <si>
    <t>2816</t>
  </si>
  <si>
    <t>3231</t>
  </si>
  <si>
    <t>175</t>
  </si>
  <si>
    <t>1724</t>
  </si>
  <si>
    <t>AUG 2023</t>
  </si>
  <si>
    <t>2023</t>
  </si>
  <si>
    <t>29</t>
  </si>
  <si>
    <t>1930</t>
  </si>
  <si>
    <t>1940</t>
  </si>
  <si>
    <t>10.1038/s41591-023-02448-8</t>
  </si>
  <si>
    <t>http://dx.doi.org/10.1038/s41591-023-02448-8</t>
  </si>
  <si>
    <t>JUL 2023</t>
  </si>
  <si>
    <t>11</t>
  </si>
  <si>
    <t>P2ZO9</t>
  </si>
  <si>
    <t>37460753</t>
  </si>
  <si>
    <t>WOS:001032505800003</t>
  </si>
  <si>
    <t>63</t>
  </si>
  <si>
    <t>710</t>
  </si>
  <si>
    <t>Rajkomar, A; Dean, J; Kohane, I</t>
  </si>
  <si>
    <t>A 49-year-old patient notices a painless rash on his shoulder but does not seek care. Months later, his wife asks him to see a doctor, who diagnoses a seborrheic keratosis. Later, when the patient undergoes a screening colonoscopy, a nurse notices a dark macule on his shoulder and advises him to have it evaluated. One month later, the patient sees a dermatologist, who obtains a biopsy specimen of the lesion. The findings reveal a noncancerous pigmented lesion. Still concerned, the dermatologist requests a second reading of the biopsy specimen, and invasive melanoma is diagnosed. An oncologist initiates treatment with systemic chemotherapy. A physician friend asks the patient why he is not receiving immunotherapy.</t>
  </si>
  <si>
    <t>Rajkomar, Alvin; Dean, Jeffrey; Kohane, Isaac</t>
  </si>
  <si>
    <t>Science Citation Index Expanded (SCI-EXPANDED); Social Science Citation Index (SSCI)</t>
  </si>
  <si>
    <t>Kohane, I (corresponding author), Harvard Med Sch, Dept Biomed Informat, 10 Shattuck St, Boston, MA 02115 USA.</t>
  </si>
  <si>
    <t>isaac_kohane@harvard.edu</t>
  </si>
  <si>
    <t>[Rajkomar, Alvin; Dean, Jeffrey] Google, Mountain View, CA USA; [Kohane, Isaac] Harvard Med Sch, Dept Biomed Informat, 10 Shattuck St, Boston, MA 02115 USA</t>
  </si>
  <si>
    <t>Alphabet Inc.; Google Incorporated; Harvard University; Harvard Medical School</t>
  </si>
  <si>
    <t>Machine Learning in Medicine</t>
  </si>
  <si>
    <t>NEW ENGLAND JOURNAL OF MEDICINE</t>
  </si>
  <si>
    <t>HEALTH-CARE; PREDICTIVE ANALYTICS; DIABETIC-RETINOPATHY; BIG DATA; RISK; TIME; VALIDATION; RECORDS; CLASSIFICATION; STANDARDS</t>
  </si>
  <si>
    <t>kohane, Isaac/IQW-2413-2023</t>
  </si>
  <si>
    <t>dean, jay/0000-0003-1362-0500</t>
  </si>
  <si>
    <t>91</t>
  </si>
  <si>
    <t>2679</t>
  </si>
  <si>
    <t>3290</t>
  </si>
  <si>
    <t>24</t>
  </si>
  <si>
    <t>600</t>
  </si>
  <si>
    <t>MASSACHUSETTS MEDICAL SOC</t>
  </si>
  <si>
    <t>WALTHAM</t>
  </si>
  <si>
    <t>WALTHAM WOODS CENTER, 860 WINTER ST,, WALTHAM, MA 02451-1413 USA</t>
  </si>
  <si>
    <t>0028-4793</t>
  </si>
  <si>
    <t>1533-4406</t>
  </si>
  <si>
    <t>NEW ENGL J MED</t>
  </si>
  <si>
    <t>N. Engl. J. Med.</t>
  </si>
  <si>
    <t>APR 4 2019</t>
  </si>
  <si>
    <t>380</t>
  </si>
  <si>
    <t>14</t>
  </si>
  <si>
    <t>1347</t>
  </si>
  <si>
    <t>1358</t>
  </si>
  <si>
    <t>10.1056/NEJMra1814259</t>
  </si>
  <si>
    <t>http://dx.doi.org/10.1056/NEJMra1814259</t>
  </si>
  <si>
    <t>12</t>
  </si>
  <si>
    <t>Medicine, General &amp; Internal</t>
  </si>
  <si>
    <t>General &amp; Internal Medicine</t>
  </si>
  <si>
    <t>HR8DR</t>
  </si>
  <si>
    <t>30943338</t>
  </si>
  <si>
    <t>WOS:000463386900011</t>
  </si>
  <si>
    <t>148</t>
  </si>
  <si>
    <t>575</t>
  </si>
  <si>
    <t>Hosny, A; Parmar, C; Quackenbush, J; Schwartz, LH; Aerts, HJWL</t>
  </si>
  <si>
    <t>Artificial intelligence (AI) algorithms, particularly deep learning, have demonstrated remarkable progress in image-recognition tasks. Methods ranging from convolutional neural networks to variational autoencoders have found myriad applications in the medical image analysis field, propelling it forward at a rapid pace. Historically, in radiology practice, trained physicians visually assessed medical images for the detection, characterization and monitoring of diseases. AI methods excel at automatically recognizing complex patterns in imaging data and providing quantitative, rather than qualitative, assessments of radiographic characteristics. In this Opinion article, we establish a general understanding of AI methods, particularly those pertaining to image-based tasks. We explore how these methods could impact multiple facets of radiology, with a general focus on applications in oncology, and demonstrate ways in which these methods are advancing the field. Finally, we discuss the challenges facing clinical implementation and provide our perspective on how the domain could be advanced.</t>
  </si>
  <si>
    <t>Hosny, Ahmed; Parmar, Chintan; Quackenbush, John; Schwartz, Lawrence H.; Aerts, Hugo J. W. L.</t>
  </si>
  <si>
    <t>Aerts, HJWL (corresponding author), Harvard Med Sch, Dana Farber Canc Inst, Dept Radiat Oncol, Boston, MA 02115 USA.; Aerts, HJWL (corresponding author), Harvard Med Sch, Brigham &amp; Womens Hosp, Dana Farber Canc Inst, Dept Radiol, Boston, MA 02115 USA.</t>
  </si>
  <si>
    <t>Hugo_Aerts@dfci.harvard.edu</t>
  </si>
  <si>
    <t>US National Institutes of Health [NIH-USA U24CA194354, NIH-USA U01CA190234]</t>
  </si>
  <si>
    <t>US National Institutes of Health (United States Department of Health &amp; Human Services, National Institutes of Health (NIH) - USA)</t>
  </si>
  <si>
    <t>The authors acknowledge financial support from the US National Institutes of Health (NIH-USA U24CA194354 and NIH-USA U01CA190234).</t>
  </si>
  <si>
    <t>[Hosny, Ahmed; Parmar, Chintan; Aerts, Hugo J. W. L.] Harvard Med Sch, Dana Farber Canc Inst, Dept Radiat Oncol, Boston, MA 02115 USA; [Quackenbush, John] Dana Farber Canc Inst, Dept Biostat &amp; Computat Biol, Boston, MA 02115 USA; [Quackenbush, John] Dana Farber Canc Inst, Dept Canc Biol, Boston, MA 02115 USA; [Schwartz, Lawrence H.] Columbia Univ Coll Phys &amp; Surg, Dept Radiol, New York, NY 10032 USA; [Schwartz, Lawrence H.] New York Presbyterian Hosp, Dept Radiol, New York, NY USA; [Aerts, Hugo J. W. L.] Harvard Med Sch, Brigham &amp; Womens Hosp, Dana Farber Canc Inst, Dept Radiol, Boston, MA 02115 USA</t>
  </si>
  <si>
    <t>Harvard University; Harvard University Medical Affiliates; Dana-Farber Cancer Institute; Harvard University; Harvard University Medical Affiliates; Dana-Farber Cancer Institute; Cornell University; Weill Cornell Medicine; NewYork-Presbyterian Hospital; Harvard University; Harvard Medical School; Harvard University Medical Affiliates; Brigham &amp; Women's Hospital; Dana-Farber Cancer Institute</t>
  </si>
  <si>
    <t>Artificial intelligence in radiology</t>
  </si>
  <si>
    <t>NATURE REVIEWS CANCER</t>
  </si>
  <si>
    <t>COMPUTER-AIDED DIAGNOSIS; MACHINE LEARNING-METHODS; NEURAL-NETWORKS; DEEP; CANCER; SEGMENTATION; RADIOMICS; INFORMATION; ACCURACY; METASTASIS</t>
  </si>
  <si>
    <t>Quackenbush, John/JJD-1148-2023; Aerts, Hugo/ABF-2821-2020; Parmar, Chintan/J-2977-2019</t>
  </si>
  <si>
    <t>Quackenbush, John/0000-0002-2702-5879; Aerts, Hugo/0000-0002-2122-2003; Parmar, Chintan/0000-0002-2140-814X</t>
  </si>
  <si>
    <t>122</t>
  </si>
  <si>
    <t>2617</t>
  </si>
  <si>
    <t>3196</t>
  </si>
  <si>
    <t>37</t>
  </si>
  <si>
    <t>1200</t>
  </si>
  <si>
    <t>1474-175X</t>
  </si>
  <si>
    <t>1474-1768</t>
  </si>
  <si>
    <t>NAT REV CANCER</t>
  </si>
  <si>
    <t>Nat. Rev. Cancer</t>
  </si>
  <si>
    <t>18</t>
  </si>
  <si>
    <t>500</t>
  </si>
  <si>
    <t>510</t>
  </si>
  <si>
    <t>10.1038/s41568-018-0016-5</t>
  </si>
  <si>
    <t>http://dx.doi.org/10.1038/s41568-018-0016-5</t>
  </si>
  <si>
    <t>Oncology</t>
  </si>
  <si>
    <t>GN9YJ</t>
  </si>
  <si>
    <t>29777175</t>
  </si>
  <si>
    <t>WOS:000439569600010</t>
  </si>
  <si>
    <t>Green Submitted</t>
  </si>
  <si>
    <t>28</t>
  </si>
  <si>
    <t>634</t>
  </si>
  <si>
    <t>Wynants, L; Van Calster, B; Collins, GS; Riley, RD; Heinze, G; Schuit, E; Albu, E; Arshi, B; Bellou, V; Bonten, MMJ; Dahly, DL; Damen, JA; Debray, TPA; de Jong, VMT; De Vos, M; Dhiman, P; Ensor, J; Gao, S; Haller, MC; Harhay, MO; Henckaerts, L; Heus, P; Hoogland, J; Hudda, M; Jenniskens, K; Kammer, M; Kreuzberger, N; Lohmann, A; Levis, B; Luijken, K; Ma, J; Martin, GP; McLernon, DJ; Navarro, CLA; Reitsma, JB; Sergeant, JC; Shi, CH; Skoetz, N; Smits, LJM; Snell, KIE; Sperrin, M; Spijker, R; Steyerberg, EW; Takada, T; Tzoulaki, I; van Kuijk, SMJ; van Bussel, BCT; van der Horst, ICC; Reeve, K; van Royen, FS; Verbakel, JY; Wallisch, C; Wilkinson, J; Wolff, R; Hooft, L; Moons, KGM; van Smeden, M</t>
  </si>
  <si>
    <t>OBJECTIVETo review and critically appraise published and preprint reports of prediction models for diagnosing coronavirus disease 2019 (covid-19) in patients with suspected infection, for prognosis of patients with covid-19, and for detecting people in the general population at risk of being admitted to hospital for covid-19 pneumonia.DESIGNRapid systematic review and critical appraisal.DATA SOURCESPubMed and Embase through Ovid, Arxiv, medRxiv, and bioRxiv up to 24 March 2020.STUDY SELECTIONStudies that developed or validated a multivariable covid-19 related prediction model.DATA EXTRACTIONAt least two authors independently extracted data using the CHARMS (critical appraisal and data extraction for systematic reviews of prediction modelling studies) checklist; risk of bias was assessed using PROBAST (prediction model risk of bias assessment tool).RESULTS2696 titles were screened, and 27 studies describing 31 prediction models were included. Three models were identified for predicting hospital admission from pneumonia and other events (as proxy outcomes for covid-19 pneumonia) in the general population; 18 diagnostic models for detecting covid-19 infection (13 were machine learning based on computed tomography scans); and 10 prognostic models for predicting mortality risk, progression to severe disease, or length of hospital stay. Only one study used patient data from outside of China. The most reported predictors of presence of covid-19 in patients with suspected disease included age, body temperature, and signs and symptoms. The most reported predictors of severe prognosis in patients with covid-19 included age, sex, features derived from computed tomography scans, C reactive protein, lactic dehydrogenase, and lymphocyte count. C index estimates ranged from 0.73 to 0.81 in prediction models for the general population (reported for all three models), from 0.81 to more than 0.99 in diagnostic models (reported for 13 of the 18 models), and from 0.85 to 0.98 in prognostic models (reported for six of the 10 models). All studies were rated at high risk of bias, mostly because of non-representative selection of control patients, exclusion of patients who had not experienced the event of interest by the end of the study, and high risk of model overfitting. Reporting quality varied substantially between studies. Most reports did not include a description of the study population or intended use of the models, and calibration of predictions was rarely assessed.CONCLUSIONPrediction models for covid-19 are quickly entering the academic literature to support medical decision making at a time when they are urgently needed. This review indicates that proposed models are poorly reported, at high risk of bias, and their reported performance is probably optimistic. Immediate sharing of well documented individual participant data from covid-19 studies is needed for collaborative efforts to develop more rigorous prediction models and validate existing ones. The predictors identified in included studies could be considered as candidate predictors for new models. Methodological guidance should be followed because unreliable predictions could cause more harm than benefit in guiding clinical decisions. Finally, studies should adhere to the TRIPOD (transparent reporting of a multivariable prediction model for individual prognosis or diagnosis) reporting guideline.</t>
  </si>
  <si>
    <t>Wynants, Laure; Van Calster, Ben; Collins, Gary S.; Riley, Richard D.; Heinze, Georg; Schuit, Ewoud; Albu, Elena; Arshi, Banafsheh; Bellou, Vanesa; Bonten, Marc M. J.; Dahly, Darren L.; Damen, Johanna A.; Debray, Thomas P. A.; de Jong, Valentijn M. T.; De Vos, Maarten; Dhiman, Paula; Ensor, Joie; Gao, Shan; Haller, Maria C.; Harhay, Michael O.; Henckaerts, Liesbet; Heus, Pauline; Hoogland, Jeroen; Hudda, Mohammed; Jenniskens, Kevin; Kammer, Michael; Kreuzberger, Nina; Lohmann, Anna; Levis, Brooke; Luijken, Kim; Ma, Jie; Martin, Glen P.; McLernon, David J.; Andaur Navarro, Constanza L.; Reitsma, Johannes B.; Sergeant, Jamie C.; Shi, Chunhu; Skoetz, Nicole; Smits, Luc J. M.; Snell, Kym I. E.; Sperrin, Matthew; Spijker, Rene; Steyerberg, Ewout W.; Takada, Toshihiko; Tzoulaki, Ioanna; van Kuijk, Sander M. J.; van Bussel, Bas C. T.; van der Horst, Iwan C. C.; Reeve, Kelly; van Royen, Florien S.; Verbakel, Jan Y.; Wallisch, Christine; Wilkinson, Jack; Wolff, Robert; Hooft, Lotty; Moons, Karel G. M.; van Smeden, Maarten</t>
  </si>
  <si>
    <t>Wynants, L (corresponding author), Maastricht Univ, CAPHRI Care &amp; Publ Hlth Res Inst, Dept Epidemiol, Peter Debyepl 1, NL-6229 HA Maastricht, Netherlands.; Wynants, L (corresponding author), Katholieke Univ Leuven, Dept Dev &amp; Regenerat, Leuven, Belgium.</t>
  </si>
  <si>
    <t>laure.wynants@maastrichtuniversity.nl</t>
  </si>
  <si>
    <t>FWO [G0B4716N]; Internal Funds KU Leuven [C24/15/037]; Netherlands Organisation for Health Research and Development [91617050]; Cochrane Collaboration (SMF 2018); National Institute for Health Research School for Primary Care Research (NIHR SPCR); NIHR Biomedical Research Centre, Oxford; Cancer Research UK [C49297/A27294]; Cancer Research UK [16895] Funding Source: researchfish; National Heart Lung and Blood Institute [R00HL141678] Funding Source: NIH RePORTER</t>
  </si>
  <si>
    <t>FWO (FWO); Internal Funds KU Leuven; Netherlands Organisation for Health Research and Development (Netherlands Organization for Health Research and Development); Cochrane Collaboration (SMF 2018); National Institute for Health Research School for Primary Care Research (NIHR SPCR); NIHR Biomedical Research Centre, Oxford (National Institutes of Health Research (NIHR)); Cancer Research UK (Cancer Research UK); Cancer Research UK (Cancer Research UK); National Heart Lung and Blood Institute (United States Department of Health &amp; Human Services, National Institutes of Health (NIH) - USA, NIH National Heart Lung &amp; Blood Institute (NHLBI))</t>
  </si>
  <si>
    <t>LW is a postdoctoral fellow of Research FoundationFlanders (FWO). BVC received support from FWO (grant G0B4716N) and Internal Funds KU Leuven (grant C24/15/037). TPAD acknowledges financial support from the Netherlands Organisation for Health Research and Development (grant No 91617050). KGMM gratefully acknowledges financial support from Cochrane Collaboration (SMF 2018). KIES is funded by the National Institute for Health Research School for Primary Care Research (NIHR SPCR). The views expressed are those of the author(s) and not necessarily those of the NHS, the NIHR, or the Department of Health and Social Care. GSC was supported by the NIHR Biomedical Research Centre, Oxford, and Cancer Research UK (programme grant C49297/A27294). The funders played no role in study design, data collection, data analysis, data interpretation, or reporting. The guarantors had full access to all the data in the study, take responsibility for the integrity of the data and the accuracy of the data analysis, and had final responsibility for the decision to submit for publication.</t>
  </si>
  <si>
    <t>[Wynants, Laure] Maastricht Univ, CAPHRI Care &amp; Publ Hlth Res Inst, Dept Epidemiol, Peter Debyepl 1, NL-6229 HA Maastricht, Netherlands; [Wynants, Laure; Van Calster, Ben] Katholieke Univ Leuven, Dept Dev &amp; Regenerat, Leuven, Belgium; [Van Calster, Ben] Leiden Univ, Med Ctr, Dept Biomed Data Sci, Leiden, Netherlands; [Collins, Gary S.; Dhiman, Paula] Univ Oxford, Ctr Stat Med, Nuffield Dept Orthopaed, Musculoskeletal Sci, Oxford, England; [Collins, Gary S.; Dhiman, Paula; Ma, Jie] John Radcliffe Hosp, NIHR Oxford Biomed Res Ctr, Oxford, England; [Riley, Richard D.; Ensor, Joie; Levis, Brooke; Snell, Kym I. E.] Keele Univ, Sch Med, Ctr Prognosis Res, Keele, Staffs, England; [Heinze, Georg; Haller, Maria C.; Harhay, Michael O.; Kammer, Michael; Wallisch, Christine] Med Univ Vienna, Sect Clin Biometr, Ctr Med Stat Informat &amp; Intelligent Syst, Vienna, Austria; [Schuit, Ewoud; Bonten, Marc M. J.; Damen, Johanna A.; Debray, Thomas P. A.; de Jong, Valentijn M. T.; Heus, Pauline; Hoogland, Jeroen; Jenniskens, Kevin; Andaur Navarro, Constanza L.; Reitsma, Johannes B.; van Royen, Florien S.; Hooft, Lotty; Moons, Karel G. M.; van Smeden, Maarten] Univ Utrecht, Univ Med Ctr Utrecht, Julius Ctr Hlth Sci &amp; Primary Care, Utrecht, Netherlands; [Schuit, Ewoud; Damen, Johanna A.; de Jong, Valentijn M. T.; Heus, Pauline; Jenniskens, Kevin; Andaur Navarro, Constanza L.; Reitsma, Johannes B.; Hooft, Lotty; Moons, Karel G. M.] Univ Utrecht, Univ Med Ctr Utrecht, Cochrane Netherlands, Utrecht, Netherlands; [Bellou, Vanesa] Univ Ioannina, Med Sch, Dept Hyg &amp; Epidemiol, Ioannina, Greece; [Bonten, Marc M. J.] Univ Med Ctr Utrecht, Dept Med Microbiol, Utrecht, Netherlands; [Dahly, Darren L.] HRB Clin Res Facil, Cork, Ireland; [Dahly, Darren L.] Univ Coll Cork, Sch Publ Hlth, Cork, Ireland; [Debray, Thomas P. A.] Smart Data Anal &amp; Stat BV, Utrecht, Netherlands; [De Vos, Maarten] Katholieke Univ Leuven, ESAT Stadius, Dept Elect Engn, Leuven, Belgium; [Haller, Maria C.] Hosp Elisabethinen, Ordensklinikum Linz, Dept Nephrol, Linz, Austria; [Harhay, Michael O.] Univ Penn, Perelman Sch Med, Dept Biostat Epidemiol &amp; Informat, Philadelphia, PA USA; [Harhay, Michael O.] Univ Penn, Perelman Sch Med, Dept Med, Palliat &amp; Adv Illness Res Ctr, Philadelphia, PA USA; [Harhay, Michael O.] Univ Penn, Perelman Sch Med, Dept Med, Div Pulm &amp; Crit Care Med, Philadelphia, PA USA; [Henckaerts, Liesbet] KU Leuven Univ Leuven, Dept Microbiol Immunol &amp; Transplantat, Leuven, Belgium; [Henckaerts, Liesbet] KU Leuven Univ Hosp Leuven, Dept Gen Internal Med, Leuven, Belgium; [Hudda, Mohammed] St Georges Univ London, Populat Hlth Res Inst, Cranmer Terrace, London, England; [Kammer, Michael; Skoetz, Nicole] Med Univ Vienna, Dept Nephrol, Vienna, Austria; [Kreuzberger, Nina] Univ Cologne, Fac Med, Dept Internal Med 1, Evidence Based Oncol, Cologne, Germany; [Kreuzberger, Nina] Univ Cologne, Fac Med, Ctr Integrated Oncol Aachen Bonn Cologne Dusseldo, Cologne, Germany; [Kreuzberger, Nina] Univ Cologne, Fac Med, Univ Hosp Cologne, Cologne, Germany; [Lohmann, Anna; Luijken, Kim; Wilkinson, Jack] Leiden Univ, Med Ctr, Dept Clin Epidemiol, Leiden, Netherlands; [Martin, Glen P.] Univ Manchester, Div Informat Imaging &amp; Data Sci, Fac Biol Med &amp; Hlth, Manchester Acad Hlth Sci Ctr, Manchester, Lancs, England; [McLernon, David J.] Univ Aberdeen, Inst Appl Hlth Sci, Aberdeen, Scotland; [Sergeant, Jamie C.] Univ Manchester, Ctr Biostat, Manchester Acad Hlth Sci Ctr, Manchester, Lancs, England; [Sergeant, Jamie C.] Univ Manchester, Ctr Epidemiol Versus Arthrit, Manchester Acad Hlth Sci Ctr, Ctr Musculoskeletal Res, Manchester, Lancs, England; [Shi, Chunhu] Univ Manchester, Sch Hlth Sci, Div Nursing Midwifery &amp; Social Work, Manchester, Lancs, England; [Sperrin, Matthew] Univ Manchester, Fac Biol Med &amp; Hlth, Manchester, Lancs, England; [Spijker, Rene] Univ Amsterdam, Amsterdam UMC, Amsterdam Publ Hlth, Amsterdam, Netherlands; [Takada, Toshihiko] Fukushima Med Univ, Dept Gen Med, Shirakawa Satellite Teaching &amp; Res, Fukushima, Japan; [Tzoulaki, Ioanna] Imperial Coll London, Sch Publ Hlth, Dept Epidemiol &amp; Biostat, London, England; [van Kuijk, Sander M. J.] Maastricht Univ Med Ctr, Dept Clin Epidemiol &amp; Med Technol Assessment, Maastricht, Netherlands; [van Bussel, Bas C. T.; van der Horst, Iwan C. C.] Maastricht Univ, Maastricht Univ Med Ctr, Dept Intens Care Med, Maastricht, Netherlands; [Reeve, Kelly] Univ Zurich, Epidemiol Biostat &amp; Prevent Inst, Zurich, Switzerland; [Verbakel, Jan Y.] Katholieke Univ Leuven, Dept Publ Hlth &amp; Primary Care, EPI Ctr, Leuven, Belgium; [Verbakel, Jan Y.] Univ Oxford, Nuffield Dept Primary Care Hlth Sci, NIHR Community Healthcare Medtech &amp; IVD Cooperat, Oxford, England; [Wallisch, Christine] Charite Univ Med Berlin, Berlin, Germany; [Wallisch, Christine] Free Univ Berlin, Berlin, Germany; [Wallisch, Christine] Humboldt Univ, Berlin, Germany; [Wallisch, Christine] Berlin Inst Hlth, Berlin, Germany; [Wolff, Robert] Kleijnen Systemat Reviews, York, N Yorkshire, England</t>
  </si>
  <si>
    <t>Maastricht University; KU Leuven; Leiden University; Leiden University - Excl LUMC; Leiden University Medical Center (LUMC); University of Oxford; University of Oxford; Keele University; Medical University of Vienna; Utrecht University; Utrecht University Medical Center; Utrecht University; Utrecht University Medical Center; University of Ioannina; Utrecht University; Utrecht University Medical Center; Health Research Board - Ireland; University College Cork; KU Leuven; Ordensklinikum Linz Elisabethinen; University of Pennsylvania; Pennsylvania Medicine; University of Pennsylvania; Pennsylvania Medicine; University of Pennsylvania; Pennsylvania Medicine; KU Leuven; KU Leuven; City St Georges, University of London; Medical University of Vienna; University of Cologne; University of Cologne; University of Cologne; Leiden University; Leiden University - Excl LUMC; Leiden University Medical Center (LUMC); University of Manchester; University of Aberdeen; University of Manchester; University of Manchester; University of Manchester; University of Manchester; University of Amsterdam; Fukushima Medical University; Imperial College London; Maastricht University; Maastricht University Medical Centre (MUMC); Maastricht University; Maastricht University Medical Centre (MUMC); University of Zurich; Swiss School of Public Health (SSPH+); KU Leuven; University of Oxford; Free University of Berlin; Humboldt University of Berlin; Charite Universitatsmedizin Berlin; Free University of Berlin; Humboldt University of Berlin; Free University of Berlin; Humboldt University of Berlin; Charite Universitatsmedizin Berlin; Berlin Institute of Health; Kleijnen Systematic Reviews</t>
  </si>
  <si>
    <t>Prediction models for diagnosis and prognosis of covid-19 infection: systematic review and critical appraisal</t>
  </si>
  <si>
    <t>BMJ-BRITISH MEDICAL JOURNAL</t>
  </si>
  <si>
    <t>EXPLANATION; RISK</t>
  </si>
  <si>
    <t>De Vos, Maarten/Q-4650-2018; Wolff, Robert/E-2322-2016; Snell, Kym/L-1918-2015; Tzoulaki, Ioanna/ABE-6269-2020; Steyerberg, Ewout/C-1509-2018; Smits, Luc/C-5331-2008; van Kuijk, Sander/AAH-3239-2021; Moons, Karel GM/JPA-4011-2023; Schuit, Ewoud/N-1869-2014; Verbakel, Jan/E-6758-2015; Van Calster, Ben/F-9150-2010; Wallisch, Christine/V-2272-2019; Henckaerts, Liesbet/AAB-5706-2021; Collins, Gary/A-2258-2014; Sergeant, Jamie/B-2534-2015; van der Horst, Iwan/AFU-8433-2022; Spijker, Rene/AAB-5165-2019; Reitsma, Johannes B/PCT-8920-2025; Ensor, Joie/AAE-9109-2019; McLernon, David/D-5167-2012; Hooft, Lotty/PCC-6420-2025; de Jong, Valentijn Marnix Theodoor/AAD-1088-2019; Hudda, Mohammed/JKH-5709-2023; Martin, Glen Philip/I-7824-2019; Lohmann, Anna/V-7512-2019; Wilkinson, Jack/AAJ-5643-2021; Wynants, Laure/AAA-2723-2020; Heinze, Georg/J-7413-2012; Riley, Richard D/G-2406-2011; van Smeden, Maarten/Y-7034-2019; Debray, Thomas/J-7413-2012; Kreuzberger, Nina/ABE-4014-2020; van Bussel, Bas/LUY-4693-2024</t>
  </si>
  <si>
    <t>Sperrin, Matthew/0000-0002-5351-9960; De Vos, Maarten/0000-0002-3482-5145; Wolff, Robert/0000-0003-3270-7791; Haller, Maria C/0000-0003-4635-6291; Snell, Kym/0000-0001-9373-6591; Schilhart-Wallisch, Christine/0000-0003-3943-6234; Smits, Luc/0000-0003-0785-1345; Damen, Johanna/0000-0001-7401-4593; van Kuijk, Sander/0000-0003-2796-729X; Heus, Pauline/0000-0002-6886-4652; Verbakel, Jan/0000-0002-7166-7211; Van Calster, Ben/0000-0003-1613-7450; Henckaerts, Liesbet/0000-0003-2880-1400; Debray, Thomas/0000-0002-1790-2719; Collins, Gary/0000-0002-2772-2316; van Smeden, Maarten/0000-0002-5529-1541; Sergeant, Jamie/0000-0002-9000-4413; Spijker, Rene/0000-0003-4445-1201; Bellou, Vanesa/0000-0003-1960-048X; Reitsma, Johannes B/0000-0003-4026-4345; Ma, Jie/0000-0002-3900-1903; Ensor, Joie/0000-0001-7481-0282; Andaur Navarro, Constanza L/0000-0002-7745-2887; McLernon, David/0000-0001-8905-2429; Hooft, Lotty/0000-0002-7950-2980; de Jong, Valentijn Marnix Theodoor/0000-0001-9921-3468; Hudda, Mohammed/0000-0001-7894-1159; Kammer, Michael/0000-0003-4821-9928; Shi, Chunhu/0000-0003-0151-0451; Martin, Glen Philip/0000-0002-3410-9472; Wilkinson, Jack/0000-0003-3513-4677; Wynants, Laure/0000-0002-3037-122X; Hoogland, Jeroen/0000-0002-2397-6052; Dahly, Darren/0000-0003-0110-324X; Heinze, Georg/0000-0003-1147-8491; Riley, Richard D/0000-0001-8699-0735; van Smeden, Maarten/0000-0002-5529-1541; Debray, Thomas/0000-0002-1790-2719; Kreuzberger, Nina/0000-0001-8922-0488; van Bussel, Bas/0000-0003-1621-7848</t>
  </si>
  <si>
    <t>71</t>
  </si>
  <si>
    <t>2217</t>
  </si>
  <si>
    <t>2499</t>
  </si>
  <si>
    <t>7</t>
  </si>
  <si>
    <t>522</t>
  </si>
  <si>
    <t>BMJ PUBLISHING GROUP</t>
  </si>
  <si>
    <t>BRITISH MED ASSOC HOUSE, TAVISTOCK SQUARE, LONDON WC1H 9JR, ENGLAND</t>
  </si>
  <si>
    <t>0959-535X</t>
  </si>
  <si>
    <t>1756-1833</t>
  </si>
  <si>
    <t>BMJ-BRIT MED J</t>
  </si>
  <si>
    <t>BMJ-British Medical Journal</t>
  </si>
  <si>
    <t>APR 7 2020</t>
  </si>
  <si>
    <t>2020</t>
  </si>
  <si>
    <t>369</t>
  </si>
  <si>
    <t>m1328</t>
  </si>
  <si>
    <t>10.1136/bmj.m1328</t>
  </si>
  <si>
    <t>http://dx.doi.org/10.1136/bmj.m1328</t>
  </si>
  <si>
    <t>LF8ZN</t>
  </si>
  <si>
    <t>32265220</t>
  </si>
  <si>
    <t>WOS:000527703000001</t>
  </si>
  <si>
    <t>hybrid; Green Submitted; Green Accepted; Green Published</t>
  </si>
  <si>
    <t>52</t>
  </si>
  <si>
    <t>323</t>
  </si>
  <si>
    <t>Linardatos, P; Papastefanopoulos, V; Kotsiantis, S</t>
  </si>
  <si>
    <t>Recent advances in artificial intelligence (AI) have led to its widespread industrial adoption, with machine learning systems demonstrating superhuman performance in a significant number of tasks. However, this surge in performance, has often been achieved through increased model complexity, turning such systems into "black box" approaches and causing uncertainty regarding the way they operate and, ultimately, the way that they come to decisions. This ambiguity has made it problematic for machine learning systems to be adopted in sensitive yet critical domains, where their value could be immense, such as healthcare. As a result, scientific interest in the field of Explainable Artificial Intelligence (XAI), a field that is concerned with the development of new methods that explain and interpret machine learning models, has been tremendously reignited over recent years. This study focuses on machine learning interpretability methods; more specifically, a literature review and taxonomy of these methods are presented, as well as links to their programming implementations, in the hope that this survey would serve as a reference point for both theorists and practitioners.</t>
  </si>
  <si>
    <t>Linardatos, Pantelis; Papastefanopoulos, Vasilis; Kotsiantis, Sotiris</t>
  </si>
  <si>
    <t>Linardatos, P (corresponding author), Univ Patras, Dept Math, Patras 26504, Greece.</t>
  </si>
  <si>
    <t>vasileios.papastefanopoulos@upatras.gr; sotos@math.upatras.gr; p.linardatos@upnet.gr</t>
  </si>
  <si>
    <t>[Linardatos, Pantelis; Papastefanopoulos, Vasilis; Kotsiantis, Sotiris] Univ Patras, Dept Math, Patras 26504, Greece</t>
  </si>
  <si>
    <t>University of Patras</t>
  </si>
  <si>
    <t>Explainable AI: A Review of Machine Learning Interpretability Methods</t>
  </si>
  <si>
    <t>ENTROPY</t>
  </si>
  <si>
    <t>xai; machine learning; explainability; interpretability; fairness; sensitivity; black-box</t>
  </si>
  <si>
    <t>GLOBAL SENSITIVITY INDEXES; BLACK-BOX; MODEL; EXPLANATIONS; PREDICTIONS; ROBUSTNESS; DESIGN</t>
  </si>
  <si>
    <t>kotsiantis, sotiris/A-8308-2016; Papastefanopoulos, Vasilis/ABI-3803-2020</t>
  </si>
  <si>
    <t>Linardatos, Pantelis/0000-0003-1132-4724; Mezui, Kevin/0009-0001-0558-7133; kotsiantis, sotiris/0000-0002-2247-3082; Papastefanopoulos, Vasilis/0000-0001-8169-1373; Jurewicz, Mateusz/0000-0003-4211-2185</t>
  </si>
  <si>
    <t>165</t>
  </si>
  <si>
    <t>2143</t>
  </si>
  <si>
    <t>2570</t>
  </si>
  <si>
    <t>1526</t>
  </si>
  <si>
    <t>MDPI</t>
  </si>
  <si>
    <t>BASEL</t>
  </si>
  <si>
    <t>MDPI AG, Grosspeteranlage 5, CH-4052 BASEL, SWITZERLAND</t>
  </si>
  <si>
    <t>1099-4300</t>
  </si>
  <si>
    <t>ENTROPY-SWITZ</t>
  </si>
  <si>
    <t>Entropy</t>
  </si>
  <si>
    <t>JAN 2021</t>
  </si>
  <si>
    <t>10.3390/e23010018</t>
  </si>
  <si>
    <t>http://dx.doi.org/10.3390/e23010018</t>
  </si>
  <si>
    <t>45</t>
  </si>
  <si>
    <t>Physics, Multidisciplinary</t>
  </si>
  <si>
    <t>Physics</t>
  </si>
  <si>
    <t>PX0OW</t>
  </si>
  <si>
    <t>33375658</t>
  </si>
  <si>
    <t>WOS:000611065800001</t>
  </si>
  <si>
    <t>47</t>
  </si>
  <si>
    <t>243</t>
  </si>
  <si>
    <t>2</t>
  </si>
  <si>
    <t>Abdar, M; Pourpanah, F; Hussain, S; Rezazadegan, D; Liu, L; Ghavamzadeh, M; Fieguth, P; Cao, XC; Khosravi, A; Acharya, UR; Makarenkov, V; Nahavandi, S</t>
  </si>
  <si>
    <t>Uncertainty quantification (UQ) methods play a pivotal role in reducing the impact of uncertainties during both optimization and decision making processes. They have been applied to solve a variety of real-world problems in science and engineering. Bayesian approximation and ensemble learning techniques are two widely-used types of uncertainty quantification (UQ) methods. In this regard, researchers have proposed different UQ methods and examined their performance in a variety of applications such as computer vision (e.g., self 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investigates the application of these methods in reinforcement learning, and highlights fundamental research challenges and directions associated with UQ.</t>
  </si>
  <si>
    <t>Abdar, Moloud; Pourpanah, Farhad; Hussain, Sadiq; Rezazadegan, Dana; Liu, Li; Ghavamzadeh, Mohammad; Fieguth, Paul; Cao, Xiaochun; Khosravi, Abbas; Acharya, U. Rajendra; Makarenkov, Vladimir; Nahavandi, Saeid</t>
  </si>
  <si>
    <t>Abdar, M (corresponding author), Deakin Univ, Inst Intelligent Syst Res &amp; Innovat IISRI, Geelong, Vic, Australia.</t>
  </si>
  <si>
    <t>li.liu@oulu.fi; abbas.khosravi@deakin.edu.au; pfieguth@uwaterloo.ca; aru@np.edu.sg; drezazadegan@swin.edu.au; caoxiaochun@iie.ac.cn; sadiq@dibru.ac.in; ghavamza@google.com; m.abdar1987@gmail.com; farhad.086@gmail.com; makarenkov.vladimir@uqam.ca; saeid.nahavandi@deakin.edu.au</t>
  </si>
  <si>
    <t>[Abdar, Moloud; Khosravi, Abbas; Nahavandi, Saeid] Deakin Univ, Inst Intelligent Syst Res &amp; Innovat IISRI, Geelong, Vic, Australia; [Pourpanah, Farhad] Shenzhen Univ, Coll Math &amp; Stat, Guangdong Key Lab Intelligent Informat Proc, Shenzhen, Peoples R China; [Hussain, Sadiq] Dibrugarh Univ, Dibrugarh, Assam, India; [Rezazadegan, Dana] Swinburne Univ Technol, Dept Comp Sci &amp; Software Engn, Melbourne, Vic, Australia; [Liu, Li] Univ Oulu, Ctr Machine Vis &amp; Signal Anal, Oulu, Finland; [Fieguth, Paul] Univ Waterloo, Dept Syst Design Engn, Waterloo, ON, Canada; [Cao, Xiaochun] Chinese Acad Sci, Inst Informat Engn, State Key Lab Informat Secur, Beijing, Peoples R China; [Acharya, U. Rajendra] Ngee Ann Polytech, Dept Elect &amp; Comp Engn, Singapore, Singapore; [Acharya, U. Rajendra] SUSS Univ, Sch Sci &amp; Technol, Dept Biomed Engn, Singapore, Singapore; [Acharya, U. Rajendra] Asia Univ, Dept Biomed Informat &amp; Med Engn, Taichung, Taiwan; [Makarenkov, Vladimir] Univ Quebec Montreal, Dept Comp Sci, Montreal, PQ, Canada</t>
  </si>
  <si>
    <t>Deakin University; Shenzhen University; Dibrugarh University; Swinburne University of Technology; University of Oulu; University of Waterloo; Chinese Academy of Sciences; Institute of Information Engineering, CAS; Singapore University of Social Sciences (SUSS); Asia University Taiwan; University of Quebec; University of Quebec Montreal</t>
  </si>
  <si>
    <t>A review of uncertainty quantification in deep learning: Techniques, applications and challenges</t>
  </si>
  <si>
    <t>INFORMATION FUSION</t>
  </si>
  <si>
    <t>Artificial intelligence; Uncertainty quantification; Deep learning; Machine learning; Bayesian statistics; Ensemble learning</t>
  </si>
  <si>
    <t>MEDICAL IMAGE SEGMENTATION; NEURAL-NETWORKS; VARIATIONAL INFERENCE; MOLECULAR-PROPERTIES; MACHINE; MODEL; NET; INFORMATION; TEMPERATURE; PREDICTION</t>
  </si>
  <si>
    <t>Liu, Li/JQW-6992-2023; Cao, Xiaochun/PJT-3362-2026; Pourpanah, Farhad/W-5356-2019; Nahavandi, Saeid/AAE-5536-2022; Acharya, U Rajendra/E-3791-2010; Khosravi, Abbas/AAQ-8102-2021; Hussain, Sadiq/ABA-9849-2020; Abdar, Moloud/B-8451-2017</t>
  </si>
  <si>
    <t>Cao, Xiaochun/0000-0001-7141-708X; Pourpanah, Farhad/0000-0002-7122-9975; Acharya, U Rajendra/0000-0003-2689-8552; Fieguth, Paul/0000-0001-7260-2260; Rezazadegan, Dana/0000-0002-0097-3801; Khosravi, Abbas/0000-0001-6927-0744; Hussain, Sadiq/0000-0002-9840-4796; Abdar, Moloud/0000-0002-3059-6357</t>
  </si>
  <si>
    <t>716</t>
  </si>
  <si>
    <t>2140</t>
  </si>
  <si>
    <t>2516</t>
  </si>
  <si>
    <t>112</t>
  </si>
  <si>
    <t>1421</t>
  </si>
  <si>
    <t>ELSEVIER</t>
  </si>
  <si>
    <t>AMSTERDAM</t>
  </si>
  <si>
    <t>RADARWEG 29, 1043 NX AMSTERDAM, NETHERLANDS</t>
  </si>
  <si>
    <t>1566-2535</t>
  </si>
  <si>
    <t>1872-6305</t>
  </si>
  <si>
    <t>INFORM FUSION</t>
  </si>
  <si>
    <t>Inf. Fusion</t>
  </si>
  <si>
    <t>DEC 2021</t>
  </si>
  <si>
    <t>76</t>
  </si>
  <si>
    <t>297</t>
  </si>
  <si>
    <t>10.1016/j.inffus.2021.05.008</t>
  </si>
  <si>
    <t>http://dx.doi.org/10.1016/j.inffus.2021.05.008</t>
  </si>
  <si>
    <t>JUN 2021</t>
  </si>
  <si>
    <t>55</t>
  </si>
  <si>
    <t>Computer Science, Artificial Intelligence; Computer Science, Theory &amp; Methods</t>
  </si>
  <si>
    <t>UA0PU</t>
  </si>
  <si>
    <t>WOS:000684868400005</t>
  </si>
  <si>
    <t>hybrid; Green Submitted</t>
  </si>
  <si>
    <t>60</t>
  </si>
  <si>
    <t>858</t>
  </si>
  <si>
    <t>Vamathevan, J; Clark, D; Czodrowski, P; Dunham, I; Ferran, E; Lee, G; Li, B; Madabhushi, A; Shah, P; Spitzer, M; Zhao, SR</t>
  </si>
  <si>
    <t>Drug discovery and development pipelines are long, complex and depend on numerous factors. Machine learning (ML) approaches provide a set of tools that can improve discovery and decision making for well-specified questions with abundant, high-quality data. Opportunities to apply ML occur in all stages of drug discovery. Examples include target validation, identification of prognostic biomarkers and analysis of digital pathology data in clinical trials. Applications have ranged in context and methodology, with some approaches yielding accurate predictions and insights. The challenges of applying ML lie primarily with the lack of interpretability and repeatability of ML-generated results, which may limit their application. In all areas, systematic and comprehensive high-dimensional data still need to be generated. With ongoing efforts to tackle these issues, as well as increasing awareness of the factors needed to validate ML approaches, the application of ML can promote data-driven decision making and has the potential to speed up the process and reduce failure rates in drug discovery and development.</t>
  </si>
  <si>
    <t>Vamathevan, Jessica; Clark, Dominic; Czodrowski, Paul; Dunham, Ian; Ferran, Edgardo; Lee, George; Li, Bin; Madabhushi, Anant; Shah, Parantu; Spitzer, Michaela; Zhao, Shanrong</t>
  </si>
  <si>
    <t>Vamathevan, J (corresponding author), European Bioinformat Inst, European Mol Biol Lab, Cambridge, England.</t>
  </si>
  <si>
    <t>jessicav@ebi.ac.uk</t>
  </si>
  <si>
    <t>NCI NIH HHS [U24 CA199374, R01 CA220581, R01 CA208236, R01 CA216579, R01 CA202752] Funding Source: Medline; BLRD VA [I01 BX004121] Funding Source: Medline; National Cancer Institute [R01CA216579, R01CA208236, R01CA220581] Funding Source: NIH RePORTER</t>
  </si>
  <si>
    <t>NCI NIH HHS (United States Department of Health &amp; Human Services, National Institutes of Health (NIH) - USA, NIH National Cancer Institute (NCI)); BLRD VA; National Cancer Institute (United States Department of Health &amp; Human Services, National Institutes of Health (NIH) - USA, NIH National Cancer Institute (NCI))</t>
  </si>
  <si>
    <t>[Vamathevan, Jessica; Clark, Dominic; Ferran, Edgardo] European Bioinformat Inst, European Mol Biol Lab, Cambridge, England; [Czodrowski, Paul] Tech Univ Dortmund, Dortmund, Germany; [Dunham, Ian; Spitzer, Michaela] European Bioinformat Inst, Open Targets &amp; European Mol Biol Lab, Cambridge, England; [Lee, George] Bristol Myers Squibb Co, Princeton, NJ USA; [Li, Bin] Takeda Pharmaceut Int Co, Cambridge, MA USA; [Madabhushi, Anant] Case Western Reserve Univ, Cleveland, OH 44106 USA; [Madabhushi, Anant] Louis Stokes Cleveland Vet Affair Med Ctr, Cleveland, OH USA; [Shah, Parantu] EMD Serono R&amp;D Inst, Billerica, MA USA; [Zhao, Shanrong] Pfizer Worldwide Res &amp; Dev, Cambridge, MA USA</t>
  </si>
  <si>
    <t>European Molecular Biology Laboratory (EMBL); European Bioinformatics Institute; Dortmund University of Technology; European Molecular Biology Laboratory (EMBL); European Bioinformatics Institute; Bristol-Myers Squibb; Takeda Pharmaceutical Company Ltd; Takeda Pharmaceuticals International, Inc.; University System of Ohio; Case Western Reserve University; University System of Ohio; US Department of Veterans Affairs; Case Western Reserve University; Veterans Health Administration (VHA); Louis Stokes Cleveland Veterans Affairs Medical Center; Pfizer; Pfizer USA</t>
  </si>
  <si>
    <t>Applications of machine learning in drug discovery and development</t>
  </si>
  <si>
    <t>NATURE REVIEWS DRUG DISCOVERY</t>
  </si>
  <si>
    <t>TUMOR-INFILTRATING LYMPHOCYTES; MULTIPLE-MYELOMA; NEURAL-NETWORKS; PREDICTION; EXPRESSION; IDENTIFICATION; MODEL; DIMENSIONALITY; CLASSIFICATION; MUTATIONS</t>
  </si>
  <si>
    <t>Madabhushi, Anant/AAG-2908-2019</t>
  </si>
  <si>
    <t>Vamathevan, Jessica/0000-0003-2016-9754; Dunham, Ian/0000-0003-2525-5598; Clark, Dominic/0000-0002-2227-8834; Ferran, Edgardo/0000-0003-2092-2486; Czodrowski, Paul/0000-0002-7390-8795; Spitzer, Michaela/0000-0003-1967-3726</t>
  </si>
  <si>
    <t>114</t>
  </si>
  <si>
    <t>2044</t>
  </si>
  <si>
    <t>2523</t>
  </si>
  <si>
    <t>30</t>
  </si>
  <si>
    <t>696</t>
  </si>
  <si>
    <t>1474-1776</t>
  </si>
  <si>
    <t>1474-1784</t>
  </si>
  <si>
    <t>NAT REV DRUG DISCOV</t>
  </si>
  <si>
    <t>Nat. Rev. Drug Discov.</t>
  </si>
  <si>
    <t>JUN 2019</t>
  </si>
  <si>
    <t>6</t>
  </si>
  <si>
    <t>463</t>
  </si>
  <si>
    <t>477</t>
  </si>
  <si>
    <t>10.1038/s41573-019-0024-5</t>
  </si>
  <si>
    <t>http://dx.doi.org/10.1038/s41573-019-0024-5</t>
  </si>
  <si>
    <t>Biotechnology &amp; Applied Microbiology; Pharmacology &amp; Pharmacy</t>
  </si>
  <si>
    <t>IB2DY</t>
  </si>
  <si>
    <t>30976107</t>
  </si>
  <si>
    <t>WOS:000470081100015</t>
  </si>
  <si>
    <t>22</t>
  </si>
  <si>
    <t>299</t>
  </si>
  <si>
    <t>Alowais, SA; Alghamdi, SS; Alsuhebany, N; Alqahtani, T; Alshaya, AI; Almohareb, SN; Aldairem, A; Alrashed, M; Bin Saleh, K; Badreldin, HA; Al Yami, MS; Al Harbi, S; Albekairy, AM</t>
  </si>
  <si>
    <t>IntroductionHealthcare systems are complex and challenging for all stakeholders, but artificial intelligence (AI) has transformed various fields, including healthcare, with the potential to improve patient care and quality of life. Rapid AI advancements can revolutionize healthcare by integrating it into clinical practice. Reporting AI's role in clinical practice is crucial for successful implementation by equipping healthcare providers with essential knowledge and tools.Research SignificanceThis review article provides a comprehensive and up-to-date overview of the current state of AI in clinical practice, including its potential applications in disease diagnosis, treatment recommendations, and patient engagement. It also discusses the associated challenges, covering ethical and legal considerations and the need for human expertise. By doing so, it enhances understanding of AI's significance in healthcare and supports healthcare organizations in effectively adopting AI technologies.Materials and MethodsThe current investigation analyzed the use of AI in the healthcare system with a comprehensive review of relevant indexed literature, such as PubMed/Medline, Scopus, and EMBASE, with no time constraints but limited to articles published in English. The focused question explores the impact of applying AI in healthcare settings and the potential outcomes of this application.ResultsIntegrating AI into healthcare holds excellent potential for improving disease diagnosis, treatment selection, and clinical laboratory testing. AI tools can leverage large datasets and identify patterns to surpass human performance in several healthcare aspects. AI offers increased accuracy, reduced costs, and time savings while minimizing human errors. It can revolutionize personalized medicine, optimize medication dosages, enhance population health management, establish guidelines, provide virtual health assistants, support mental health care, improve patient education, and influence patient-physician trust.ConclusionAI can be used to diagnose diseases, develop personalized treatment plans, and assist clinicians with decision-making. Rather than simply automating tasks, AI is about developing technologies that can enhance patient care across healthcare settings. However, challenges related to data privacy, bias, and the need for human expertise must be addressed for the responsible and effective implementation of AI in healthcare.</t>
  </si>
  <si>
    <t>Alowais, Shuroug A.; Alghamdi, Sahar S.; Alsuhebany, Nada; Alqahtani, Tariq; Alshaya, Abdulrahman I.; Almohareb, Sumaya N.; Aldairem, Atheer; Alrashed, Mohammed; Bin Saleh, Khalid; Badreldin, Hisham A.; Al Yami, Majed S.; Al Harbi, Shmeylan; Albekairy, Abdulkareem M.</t>
  </si>
  <si>
    <t>Alowais, SA (corresponding author), King Saud Bin Abdulaziz Univ Hlth Sci, Coll Pharm, Dept Pharm Practice, Prince Mutib Ibn Abdullah Ibn Abdulaziz Rd, Riyadh 14611, Saudi Arabia.; Alowais, SA (corresponding author), King Abdullah Int Med Res Ctr, Riyadh, Saudi Arabia.; Alowais, SA (corresponding author), Natl Guard Hlth Affairs, Pharmaceut Care Dept, King Abdulaziz Med City, Riyadh, Saudi Arabia.</t>
  </si>
  <si>
    <t>owaiss@ksau-hs.edu.sa</t>
  </si>
  <si>
    <t>Not applicable.</t>
  </si>
  <si>
    <t>[Alowais, Shuroug A.; Alsuhebany, Nada; Alshaya, Abdulrahman I.; Almohareb, Sumaya N.; Aldairem, Atheer; Alrashed, Mohammed; Bin Saleh, Khalid; Badreldin, Hisham A.; Al Yami, Majed S.; Al Harbi, Shmeylan; Albekairy, Abdulkareem M.] King Saud Bin Abdulaziz Univ Hlth Sci, Coll Pharm, Dept Pharm Practice, Prince Mutib Ibn Abdullah Ibn Abdulaziz Rd, Riyadh 14611, Saudi Arabia; [Alowais, Shuroug A.; Alghamdi, Sahar S.; Alsuhebany, Nada; Alqahtani, Tariq; Alshaya, Abdulrahman I.; Almohareb, Sumaya N.; Aldairem, Atheer; Alrashed, Mohammed; Bin Saleh, Khalid; Badreldin, Hisham A.; Al Yami, Majed S.; Al Harbi, Shmeylan; Albekairy, Abdulkareem M.] King Abdullah Int Med Res Ctr, Riyadh, Saudi Arabia; [Alowais, Shuroug A.; Alghamdi, Sahar S.; Alsuhebany, Nada; Alqahtani, Tariq; Alshaya, Abdulrahman I.; Almohareb, Sumaya N.; Aldairem, Atheer; Alrashed, Mohammed; Bin Saleh, Khalid; Badreldin, Hisham A.; Al Yami, Majed S.; Al Harbi, Shmeylan; Albekairy, Abdulkareem M.] Natl Guard Hlth Affairs, Pharmaceut Care Dept, King Abdulaziz Med City, Riyadh, Saudi Arabia; [Alghamdi, Sahar S.; Alqahtani, Tariq] King Saud Bin Abdulaziz Univ Hlth Sci, Coll Pharm, Dept Pharmaceut Sci, Riyadh, Saudi Arabia</t>
  </si>
  <si>
    <t>King Saud Bin Abdulaziz University for Health Sciences; King Saud Bin Abdulaziz University for Health Sciences; King Abdullah International Medical Research Center (KAIMRC); King Saud Bin Abdulaziz University for Health Sciences; King Abdulaziz Medical City - Riyadh; Ministry of National Guard - Health Affairs; King Saud Bin Abdulaziz University for Health Sciences</t>
  </si>
  <si>
    <t>Revolutionizing healthcare: the role of artificial intelligence in clinical practice</t>
  </si>
  <si>
    <t>BMC MEDICAL EDUCATION</t>
  </si>
  <si>
    <t>AI; Healthcare; Patient care; Quality of life; Clinicians; Decision-making; Personalized treatment plans</t>
  </si>
  <si>
    <t>PREDICTIVE ANALYTICS; MEDICINE; PATIENT; CANCER; AI; CLASSIFICATION; VALIDATION; SUPPORT; SYSTEM; TRENDS</t>
  </si>
  <si>
    <t>Badreldin, Hisham/AAV-2605-2021; Alghamdi, Sahar/GSN-5377-2022</t>
  </si>
  <si>
    <t>Alqahtani, Tariq/0009-0007-1094-6835</t>
  </si>
  <si>
    <t>124</t>
  </si>
  <si>
    <t>1834</t>
  </si>
  <si>
    <t>2266</t>
  </si>
  <si>
    <t>169</t>
  </si>
  <si>
    <t>761</t>
  </si>
  <si>
    <t>BMC</t>
  </si>
  <si>
    <t>CAMPUS, 4 CRINAN ST, LONDON N1 9XW, ENGLAND</t>
  </si>
  <si>
    <t>1472-6920</t>
  </si>
  <si>
    <t>BMC MED EDUC</t>
  </si>
  <si>
    <t>BMC Med. Educ.</t>
  </si>
  <si>
    <t>SEP 22 2023</t>
  </si>
  <si>
    <t>689</t>
  </si>
  <si>
    <t>10.1186/s12909-023-04698-z</t>
  </si>
  <si>
    <t>http://dx.doi.org/10.1186/s12909-023-04698-z</t>
  </si>
  <si>
    <t>Education &amp; Educational Research; Education, Scientific Disciplines</t>
  </si>
  <si>
    <t>Education &amp; Educational Research</t>
  </si>
  <si>
    <t>S8QH2</t>
  </si>
  <si>
    <t>37740191</t>
  </si>
  <si>
    <t>WOS:001073754200001</t>
  </si>
  <si>
    <t>392</t>
  </si>
  <si>
    <t>Yu, KH; Beam, AL; Kohane, IS</t>
  </si>
  <si>
    <t>Artificial intelligence (AI) is gradually changing medical practice. With recent progress in digitized data acquisition, machine learning and computing infrastructure, AI applications are expanding into areas that were previously thought to be only the province of human experts. In this Review Article, we outline recent breakthroughs in AI technologies and their biomedical applications, identify the challenges for further progress in medical AI systems, and summarize the economic, legal and social implications of AI in healthcare.</t>
  </si>
  <si>
    <t>Yu, Kun-Hsing; Beam, Andrew L.; Kohane, Isaac S.</t>
  </si>
  <si>
    <t>Kohane, IS (corresponding author), Harvard Med Sch, Dept Biomed Informat, Boston, MA 02115 USA.; Kohane, IS (corresponding author), Boston Childrens Hosp, Boston, MA 02115 USA.</t>
  </si>
  <si>
    <t>Isaac_Kohane@hms.harvard.edu</t>
  </si>
  <si>
    <t>Harvard Data Science Postdoctoral Fellowship; NIH [OT3OD025466]</t>
  </si>
  <si>
    <t>Harvard Data Science Postdoctoral Fellowship; NIH (United States Department of Health &amp; Human Services, National Institutes of Health (NIH) - USA)</t>
  </si>
  <si>
    <t>K.-H.Y. is supported by a Harvard Data Science Postdoctoral Fellowship. I.S.K. was supported in part by the NIH grant OT3OD025466. Figure 4 was generated by using the computational infrastructure supported by the AWS Cloud Credits for Research, the Microsoft Azure Research Award, and the NVIDIA GPU Grant Programme.</t>
  </si>
  <si>
    <t>[Yu, Kun-Hsing; Beam, Andrew L.; Kohane, Isaac S.] Harvard Med Sch, Dept Biomed Informat, Boston, MA 02115 USA; [Kohane, Isaac S.] Boston Childrens Hosp, Boston, MA 02115 USA</t>
  </si>
  <si>
    <t>Harvard University; Harvard Medical School; Harvard University; Harvard University Medical Affiliates; Boston Children's Hospital</t>
  </si>
  <si>
    <t>Artificial intelligence in healthcare</t>
  </si>
  <si>
    <t>NATURE BIOMEDICAL ENGINEERING</t>
  </si>
  <si>
    <t>CLINICAL DECISION-SUPPORT; ORDER ENTRY SYSTEMS; DIABETIC-RETINOPATHY; FUNDUS PHOTOGRAPHY; CANCER-PATIENTS; NEURAL-NETWORK; UNITED-STATES; DIAGNOSIS; FUTURE; CLASSIFICATION</t>
  </si>
  <si>
    <t>kohane, Isaac/IQW-2413-2023; Beam, Andrew/HKE-7517-2023; Yu, Kun-Hsing/J-3300-2019</t>
  </si>
  <si>
    <t>147</t>
  </si>
  <si>
    <t>1814</t>
  </si>
  <si>
    <t>2244</t>
  </si>
  <si>
    <t>38</t>
  </si>
  <si>
    <t>1123</t>
  </si>
  <si>
    <t>2157-846X</t>
  </si>
  <si>
    <t>NAT BIOMED ENG</t>
  </si>
  <si>
    <t>Nat. Biomed. Eng</t>
  </si>
  <si>
    <t>OCT 2018</t>
  </si>
  <si>
    <t>10</t>
  </si>
  <si>
    <t>719</t>
  </si>
  <si>
    <t>731</t>
  </si>
  <si>
    <t>10.1038/s41551-018-0305-z</t>
  </si>
  <si>
    <t>http://dx.doi.org/10.1038/s41551-018-0305-z</t>
  </si>
  <si>
    <t>Engineering, Biomedical</t>
  </si>
  <si>
    <t>Engineering</t>
  </si>
  <si>
    <t>GW4SN</t>
  </si>
  <si>
    <t>31015651</t>
  </si>
  <si>
    <t>WOS:000446910800006</t>
  </si>
  <si>
    <t>86</t>
  </si>
  <si>
    <t>16</t>
  </si>
  <si>
    <t>Wang, C; Bai, JY; Chen, XY; Song, JJ; Zhang, Y; Wang, HW; Suo, HY</t>
  </si>
  <si>
    <t>Host health and disease are influenced by changes in the abundance and structure of intestinal flora. Current strategies are focused on regulating the structure of intestinal flora to ensure host health by alleviating disease. However, these strategies are limited by multiple factors, such as host genotype, physiology (microbiome, immunity, and gender), intervention, and diet. Accordingly, we reviewed the prospects and limitations of all strategies regulating the structure and abundance of microflora, including probiotics, prebiotics, diet, fecal microbiota transplantation, antibiotics, and phages. Some new technologies that can improve these strategies are also introduced. Compared with other strategies, diets and prebiotics are associated with reduced risk and high security. Besides, phages have the potential for application in the targeted regulation of intestinal microbiota due to their high specificity. Notably, the variability in individual microflora and their metabolic response to different interventions should be considered. Future studies should use artificial intelligence combined with multi-omics to investigate the host genome and physiology based on factors, such as blood type, dietary habits, and exercise, in order to develop individualized intervention strategies to improve host health.</t>
  </si>
  <si>
    <t>Wang, Chen; Bai, Junying; Chen, Xiaoyong; Song, Jiajia; Zhang, Yu; Wang, Hongwei; Suo, Huayi</t>
  </si>
  <si>
    <t>Suo, HY (corresponding author), Southwest Univ, Coll Food Sci, Chongqing, Peoples R China.</t>
  </si>
  <si>
    <t>birget@swu.edu.cn</t>
  </si>
  <si>
    <t>University Innovation Research Group in Chongqing [CXQT21007]; Key Construction Disciplines of Traditional Chinese Medicine in Chongqing [2021-4322190044]; Major Science and Technology Special Projects in Tibet Autonomous Region [XZ202201ZD0001N]</t>
  </si>
  <si>
    <t>University Innovation Research Group in Chongqing; Key Construction Disciplines of Traditional Chinese Medicine in Chongqing; Major Science and Technology Special Projects in Tibet Autonomous Region</t>
  </si>
  <si>
    <t>This work was supported by University Innovation Research Group in Chongqing: (CXQT21007), Key Construction Disciplines of Traditional Chinese Medicine in Chongqing (2021-4322190044), Major Science and Technology Special Projects in Tibet Autonomous Region [grant numbers XZ202201ZD0001N].</t>
  </si>
  <si>
    <t>[Wang, Chen; Chen, Xiaoyong; Song, Jiajia; Zhang, Yu; Wang, Hongwei; Suo, Huayi] Southwest Univ, Coll Food Sci, Chongqing, Peoples R China; [Bai, Junying] Southwest Univ, Citrus Res Inst, Natl Citrus Engn Res Ctr, Chongqing, Peoples R China</t>
  </si>
  <si>
    <t>Southwest University - China; Southwest University - China</t>
  </si>
  <si>
    <t>Gut microbiome-based strategies for host health and disease</t>
  </si>
  <si>
    <t>CRITICAL REVIEWS IN FOOD SCIENCE AND NUTRITION</t>
  </si>
  <si>
    <t>Fecal microbiota transplantation; gut microbiota; multi-omics; prebiotics; probiotics</t>
  </si>
  <si>
    <t>VITAMIN-D DEFICIENCY; CLINICAL CHARACTERISTICS; COVID-19 PATIENTS; IMMUNE-SYSTEM; MODULATION; ZINC; METAANALYSIS; RECEPTOR; RISK</t>
  </si>
  <si>
    <t>Wang, Chen/HNI-0480-2023; Chen, Xiaoyong/GQZ-8355-2022; Bai, Junying/GRN-9783-2022; Song, Jiajia/HSG-0414-2023</t>
  </si>
  <si>
    <t>Chen, Xiaoyong/0000-0003-4205-3613; Wang, Hongwei/0009-0002-4322-2247; Song, Jiajia/0000-0001-6753-518X</t>
  </si>
  <si>
    <t>106</t>
  </si>
  <si>
    <t>1772</t>
  </si>
  <si>
    <t>1873</t>
  </si>
  <si>
    <t>95</t>
  </si>
  <si>
    <t>TAYLOR &amp; FRANCIS INC</t>
  </si>
  <si>
    <t>PHILADELPHIA</t>
  </si>
  <si>
    <t>530 WALNUT STREET, STE 850, PHILADELPHIA, PA 19106 USA</t>
  </si>
  <si>
    <t>1040-8398</t>
  </si>
  <si>
    <t>1549-7852</t>
  </si>
  <si>
    <t>CRIT REV FOOD SCI</t>
  </si>
  <si>
    <t>Crit. Rev. Food Sci. Nutr.</t>
  </si>
  <si>
    <t>JUL 25 2024</t>
  </si>
  <si>
    <t>2024</t>
  </si>
  <si>
    <t>64</t>
  </si>
  <si>
    <t>6834</t>
  </si>
  <si>
    <t>6849</t>
  </si>
  <si>
    <t>10.1080/10408398.2023.2176464</t>
  </si>
  <si>
    <t>http://dx.doi.org/10.1080/10408398.2023.2176464</t>
  </si>
  <si>
    <t>FEB 2023</t>
  </si>
  <si>
    <t>Food Science &amp; Technology; Nutrition &amp; Dietetics</t>
  </si>
  <si>
    <t>XE2V4</t>
  </si>
  <si>
    <t>36803092</t>
  </si>
  <si>
    <t>WOS:000934237100001</t>
  </si>
  <si>
    <t>192</t>
  </si>
  <si>
    <t>Sallam, M</t>
  </si>
  <si>
    <t>ChatGPT is an artificial intelligence (AI)-based conversational large language model (LLM). The potential applications of LLMs in health care education, research, and practice could be promising if the associated valid concerns are proactively examined and addressed. The current systematic review aimed to investigate the utility of ChatGPT in health care education, research, and practice and to highlight its potential limitations. Using the PRIMSA guidelines, a systematic search was conducted to retrieve English records in PubMed/MEDLINE and Google Scholar (published research or preprints) that examined ChatGPT in the context of health care education, research, or practice. A total of 60 records were eligible for inclusion. Benefits of ChatGPT were cited in 51/60 (85.0%) records and included: (1) improved scientific writing and enhancing research equity and versatility; (2) utility in health care research (efficient analysis of datasets, code generation, literature reviews, saving time to focus on experimental design, and drug discovery and development); (3) benefits in health care practice (streamlining the workflow, cost saving, documentation, personalized medicine, and improved health literacy); and (4) benefits in health care education including improved personalized learning and the focus on critical thinking and problem-based learning. Concerns regarding ChatGPT use were stated in 58/60 (96.7%) records including ethical, copyright, transparency, and legal issues, the risk of bias, plagiarism, lack of originality, inaccurate content with risk of hallucination, limited knowledge, incorrect citations, cybersecurity issues, and risk of infodemics. The promising applications of ChatGPT can induce paradigm shifts in health care education, research, and practice. However, the embrace of this AI chatbot should be conducted with extreme caution considering its potential limitations. As it currently stands, ChatGPT does not qualify to be listed as an author in scientific articles unless the ICMJE/COPE guidelines are revised or amended. An initiative involving all stakeholders in health care education, research, and practice is urgently needed. This will help to set a code of ethics to guide the responsible use of ChatGPT among other LLMs in health care and academia.</t>
  </si>
  <si>
    <t>Sallam, Malik</t>
  </si>
  <si>
    <t>Sallam, M (corresponding author), Univ Jordan, Sch Med, Dept Pathol Microbiol &amp; Forens Med, Amman 11942, Jordan.; Sallam, M (corresponding author), Jordan Univ Hosp, Dept Clin Labs &amp; Forens Med, Amman 11942, Jordan.</t>
  </si>
  <si>
    <t>malik.sallam@ju.edu.jo</t>
  </si>
  <si>
    <t>[Sallam, Malik] Univ Jordan, Sch Med, Dept Pathol Microbiol &amp; Forens Med, Amman 11942, Jordan; [Sallam, Malik] Jordan Univ Hosp, Dept Clin Labs &amp; Forens Med, Amman 11942, Jordan</t>
  </si>
  <si>
    <t>University of Jordan; University of Jordan</t>
  </si>
  <si>
    <t>ChatGPT Utility in Healthcare Education, Research, and Practice: Systematic Review on the Promising Perspectives and Valid Concerns</t>
  </si>
  <si>
    <t>HEALTHCARE</t>
  </si>
  <si>
    <t>machine learning; digital health; artificial intelligence; healthcare; ethics</t>
  </si>
  <si>
    <t>ARTIFICIAL-INTELLIGENCE; SCIENCE; MEDICINE; FUTURE</t>
  </si>
  <si>
    <t>Sallam, Malik/O-5021-2014</t>
  </si>
  <si>
    <t>Sallam, Malik/0000-0002-0165-9670</t>
  </si>
  <si>
    <t>96</t>
  </si>
  <si>
    <t>1769</t>
  </si>
  <si>
    <t>2176</t>
  </si>
  <si>
    <t>235</t>
  </si>
  <si>
    <t>2507</t>
  </si>
  <si>
    <t>2227-9032</t>
  </si>
  <si>
    <t>HEALTHCARE-BASEL</t>
  </si>
  <si>
    <t>Healthcare</t>
  </si>
  <si>
    <t>MAR 2023</t>
  </si>
  <si>
    <t>887</t>
  </si>
  <si>
    <t>10.3390/healthcare11060887</t>
  </si>
  <si>
    <t>http://dx.doi.org/10.3390/healthcare11060887</t>
  </si>
  <si>
    <t>20</t>
  </si>
  <si>
    <t>Health Care Sciences &amp; Services; Health Policy &amp; Services</t>
  </si>
  <si>
    <t>Health Care Sciences &amp; Services</t>
  </si>
  <si>
    <t>A7AM3</t>
  </si>
  <si>
    <t>36981544</t>
  </si>
  <si>
    <t>WOS:000956609200001</t>
  </si>
  <si>
    <t>42</t>
  </si>
  <si>
    <t>382</t>
  </si>
  <si>
    <t>Miotto, R; Wang, F; Wang, S; Jiang, XQ; Dudley, JT</t>
  </si>
  <si>
    <t>Gaining knowledge and actionable insights from complex, high-dimensional and heterogeneous biomedical data remains a key challenge in transforming health care. Various types of data have been emerging in modern biomedical research, including electronic health records, imaging, -omics, sensor data and text, which are complex, heterogeneous, poorly annotated and generally unstructured. Traditional data mining and statistical learning approaches typically need to first perform feature engineering to obtain effective and more robust features from those data, and then build prediction or clustering models on top of them. There are lots of challenges on both steps in a scenario of complicated data and lacking of sufficient domain knowledge. The latest advances in deep learning technologies provide new effective paradigms to obtain end-to-end learning models from complex data. In this article, we review the recent literature on applying deep learning technologies to advance the health care domain. Based on the analyzed work, we suggest that deep learning approaches could be the vehicle for translating big biomedical data into improved human health. However, we also note limitations and needs for improved methods development and applications, especially in terms of ease-of-understanding for domain experts and citizen scientists. We discuss such challenges and suggest developing holistic and meaningful interpretable architectures to bridge deep learning models and human interpretability.</t>
  </si>
  <si>
    <t>Miotto, Riccardo; Wang, Fei; Wang, Shuang; Jiang, Xiaoqian; Dudley, Joel T.</t>
  </si>
  <si>
    <t>Wang, F (corresponding author), Cornell Univ, Weill Cornell Med, Dept Healthcare Policy &amp; Res, New York, NY 10021 USA.</t>
  </si>
  <si>
    <t>few2001@med.cornell.edu</t>
  </si>
  <si>
    <t>National Institute of Health: National Human Genome Research Institute [R00-HG008175]; National Library of Medicine [R21-LM012060]; National Institute of Biomedical Imaging Bioengineering [U01EB023685]; National Institute of Diabetes and Digestive and Kidney Diseases [R01-DK098242-03]; National Cancer Institute [U54-CA189201-02]; National Center for Advancing Translational Sciences Clinical and Translational Science Awards [UL1TR000067]; National Science Foundation: Information and Intelligent Systems [1650723]; National Center for Advancing Translational Sciences [U01TR002062] Funding Source: NIH RePORTER; Direct For Computer &amp; Info Scie &amp; Enginr; Div Of Information &amp; Intelligent Systems [1650723] Funding Source: National Science Foundation</t>
  </si>
  <si>
    <t>National Institute of Health: National Human Genome Research Institute (United States Department of Health &amp; Human Services, National Institutes of Health (NIH) - USA, NIH National Human Genome Research Institute (NHGRI)); National Library of Medicine (United States Department of Health &amp; Human Services, National Institutes of Health (NIH) - USA, NIH National Library of Medicine (NLM)); National Institute of Biomedical Imaging Bioengineering (United States Department of Health &amp; Human Services, National Institutes of Health (NIH) - USA, NIH National Institute of Biomedical Imaging &amp; Bioengineering (NIBIB)); National Institute of Diabetes and Digestive and Kidney Diseases (United States Department of Health &amp; Human Services, National Institutes of Health (NIH) - USA, NIH National Institute of Diabetes &amp; Digestive &amp; Kidney Diseases (NIDDK)); National Cancer Institute (United States Department of Health &amp; Human Services, National Institutes of Health (NIH) - USA, NIH National Cancer Institute (NCI)); National Center for Advancing Translational Sciences Clinical and Translational Science Awards; National Science Foundation: Information and Intelligent Systems; National Center for Advancing Translational Sciences (United States Department of Health &amp; Human Services, National Institutes of Health (NIH) - USA, NIH National Center for Advancing Translational Sciences (NCATS)); Direct For Computer &amp; Info Scie &amp; Enginr; Div Of Information &amp; Intelligent Systems (National Science Foundation (NSF), NSF - Directorate for Computer &amp; Information Science &amp; Engineering (CISE), NSF - Division of Information &amp; Intelligent Systems (IIS))</t>
  </si>
  <si>
    <t>This study was supported by the following grants from the National Institute of Health: National Human Genome Research Institute (R00-HG008175) to S.W.; and National Library of Medicine (R21-LM012060); National Institute of Biomedical Imaging &amp; Bioengineering (U01EB023685); (R01GM118609) to X.J.; National Institute of Diabetes and Digestive and Kidney Diseases (R01-DK098242-03); National Cancer Institute (U54-CA189201-02); and National Center for Advancing Translational Sciences (UL1TR000067) Clinical and Translational Science Awards to J.T.D. This study was also supported by the National Science Foundation: Information and Intelligent Systems (1650723) to F.W. The funders had no role in study design, data collection and analysis, decision to publish or preparation of the manuscript.</t>
  </si>
  <si>
    <t>[Miotto, Riccardo] Cornell Univ, Weill Cornell Med, Dept Healthcare Policy &amp; Res, Div Hlth Informat, New York, NY 10021 USA; [Wang, Shuang; Jiang, Xiaoqian] Univ Calif San Diego, Dept Biomed Informat, La Jolla, CA 92093 USA; [Dudley, Joel T.] Inst Next Generat Healthcare, New York, NY USA; [Dudley, Joel T.] Icahn Sch Med Mt Sinai, Dept Genet &amp; Genom Sci, New York, NY 10029 USA</t>
  </si>
  <si>
    <t>Cornell University; Weill Cornell Medicine; University of California System; University of California San Diego; Icahn School of Medicine at Mount Sinai</t>
  </si>
  <si>
    <t>Deep learning for healthcare: review, opportunities and challenges</t>
  </si>
  <si>
    <t>BRIEFINGS IN BIOINFORMATICS</t>
  </si>
  <si>
    <t>deep learning; health care; biomedical informatics; translational bioinformatics; genomics; electronic health records</t>
  </si>
  <si>
    <t>NEURAL-NETWORKS; REPRESENTATION; ALGORITHM; MEDICINE; GENETICS; PATIENT; RECORDS</t>
  </si>
  <si>
    <t>Wang, Fei/HRA-7319-2023; Dudley, Joel/E-9283-2010; Jiang, Xiaoqian/K-6752-2012</t>
  </si>
  <si>
    <t>Jiang, Xiaoqian/0000-0001-9933-2205; Miotto, Riccardo/0000-0002-7815-6000</t>
  </si>
  <si>
    <t>113</t>
  </si>
  <si>
    <t>1736</t>
  </si>
  <si>
    <t>2225</t>
  </si>
  <si>
    <t>182</t>
  </si>
  <si>
    <t>OXFORD UNIV PRESS</t>
  </si>
  <si>
    <t>OXFORD</t>
  </si>
  <si>
    <t>GREAT CLARENDON ST, OXFORD OX2 6DP, ENGLAND</t>
  </si>
  <si>
    <t>1467-5463</t>
  </si>
  <si>
    <t>1477-4054</t>
  </si>
  <si>
    <t>BRIEF BIOINFORM</t>
  </si>
  <si>
    <t>Brief. Bioinform.</t>
  </si>
  <si>
    <t>NOV 2018</t>
  </si>
  <si>
    <t>1236</t>
  </si>
  <si>
    <t>1246</t>
  </si>
  <si>
    <t>10.1093/bib/bbx044</t>
  </si>
  <si>
    <t>http://dx.doi.org/10.1093/bib/bbx044</t>
  </si>
  <si>
    <t>Biochemical Research Methods; Mathematical &amp; Computational Biology</t>
  </si>
  <si>
    <t>Biochemistry &amp; Molecular Biology; Mathematical &amp; Computational Biology</t>
  </si>
  <si>
    <t>HI8EZ</t>
  </si>
  <si>
    <t>28481991</t>
  </si>
  <si>
    <t>WOS:000456689400011</t>
  </si>
  <si>
    <t>Bronze</t>
  </si>
  <si>
    <t>Shastri, BJ; Tait, AN; de Lima, TF; Pernice, WHP; Bhaskaran, H; Wright, CD; Prucnal, PR</t>
  </si>
  <si>
    <t>Research in photonic computing has flourished due to the proliferation of optoelectronic components on photonic integration platforms. Photonic integrated circuits have enabled ultrafast artificial neural networks, providing a framework for a new class of information processing machines. Algorithms running on such hardware have the potential to address the growing demand for machine learning and artificial intelligence in areas such as medical diagnosis, telecommunications, and high-performance and scientific computing. In parallel, the development of neuromorphic electronics has highlighted challenges in that domain, particularly related to processor latency. Neuromorphic photonics offers sub-nanosecond latencies, providing a complementary opportunity to extend the domain of artificial intelligence. Here, we review recent advances in integrated photonic neuromorphic systems, discuss current and future challenges, and outline the advances in science and technology needed to meet those challenges.</t>
  </si>
  <si>
    <t>Shastri, Bhavin J.; Tait, Alexander N.; de Lima, T. Ferreira; Pernice, Wolfram H. P.; Bhaskaran, Harish; Wright, C. D.; Prucnal, Paul R.</t>
  </si>
  <si>
    <t>Shastri, BJ (corresponding author), Queens Univ, Dept Phys Engn Phys &amp; Astron, Kingston, ON, Canada.; Shastri, BJ; Tait, AN (corresponding author), Princeton Univ, Dept Elect Engn, Princeton, NJ 08544 USA.; Tait, AN (corresponding author), NIST, Appl Phys Div, Boulder, CO 80309 USA.</t>
  </si>
  <si>
    <t>alexander.tait@nist.gov; shastri@ieee.org</t>
  </si>
  <si>
    <t>Natural Sciences and Engineering Research Council of Canada (NSERC); Office of Naval Research (ONR); Defense Advanced Research Projects Agency (DARPA); National Science Foundation (NSF); EPSRC [EP/R001677/1, EP/J018694/1] Funding Source: UKRI; Engineering and Physical Sciences Research Council [EP/J018694/1] Funding Source: researchfish</t>
  </si>
  <si>
    <t>Natural Sciences and Engineering Research Council of Canada (NSERC) (Natural Sciences and Engineering Research Council of Canada (NSERC)); Office of Naval Research (ONR) (United States Department of Defense, United States Navy, Office of Naval Research); Defense Advanced Research Projects Agency (DARPA) (United States Department of Defense, Defense Advanced Research Projects Agency (DARPA)); National Science Foundation (NSF) (National Science Foundation (NSF)); EPSRC (UK Research &amp; Innovation (UKRI), Engineering &amp; Physical Sciences Research Council (EPSRC)); Engineering and Physical Sciences Research Council (UK Research &amp; Innovation (UKRI), Engineering &amp; Physical Sciences Research Council (EPSRC))</t>
  </si>
  <si>
    <t>B.J.S. acknowledges support from the Natural Sciences and Engineering Research Council of Canada (NSERC). T.F.d.L. and P.R.P. acknowledge support from the Office of Naval Research (ONR), Defense Advanced Research Projects Agency (DARPA) and National Science Foundation (NSF). We thank J. Shainline, P. Kuo and N. Sanford for editorial contributions.</t>
  </si>
  <si>
    <t>[Shastri, Bhavin J.] Queens Univ, Dept Phys Engn Phys &amp; Astron, Kingston, ON, Canada; [Shastri, Bhavin J.; Tait, Alexander N.; de Lima, T. Ferreira; Prucnal, Paul R.] Princeton Univ, Dept Elect Engn, Princeton, NJ 08544 USA; [Tait, Alexander N.] NIST, Appl Phys Div, Boulder, CO 80309 USA; [Pernice, Wolfram H. P.] Univ Munster, Inst Phys, Munster, Germany; [Pernice, Wolfram H. P.] Univ Munster, Ctr Soft Nanosci SoN, Munster, Germany; [Bhaskaran, Harish] Univ Oxford, Dept Mat, Oxford, England; [Wright, C. D.] Univ Exeter, Dept Engn, Exeter, Devon, England</t>
  </si>
  <si>
    <t>Queens University - Canada; Princeton University; National Institute of Standards &amp; Technology (NIST) - USA; University of Munster; University of Munster; University of Oxford; University of Exeter</t>
  </si>
  <si>
    <t>Photonics for artificial intelligence and neuromorphic computing</t>
  </si>
  <si>
    <t>NATURE PHOTONICS</t>
  </si>
  <si>
    <t>NEURAL-NETWORKS; LITHIUM-NIOBATE; MODULATOR; LASERS; IMPLEMENTATION; INTEGRATION; PERFORMANCE; MACHINE; MEMORY; CLASSIFICATION</t>
  </si>
  <si>
    <t>Pernice, Wolfram/F-6406-2014; Shastri, Bhavin/C-9003-2011; Bhaskaran, Harish/AAU-5844-2021</t>
  </si>
  <si>
    <t>Ferreira de Lima, Thomas/0000-0002-0362-5183; Shastri, Bhavin/0000-0001-5040-8248; , Paul/0000-0002-5291-5830; Bhaskaran, Harish/0000-0003-0774-8110</t>
  </si>
  <si>
    <t>136</t>
  </si>
  <si>
    <t>1619</t>
  </si>
  <si>
    <t>1872</t>
  </si>
  <si>
    <t>67</t>
  </si>
  <si>
    <t>1478</t>
  </si>
  <si>
    <t>1749-4885</t>
  </si>
  <si>
    <t>1749-4893</t>
  </si>
  <si>
    <t>NAT PHOTONICS</t>
  </si>
  <si>
    <t>Nat. Photonics</t>
  </si>
  <si>
    <t>FEB 2021</t>
  </si>
  <si>
    <t>102</t>
  </si>
  <si>
    <t>10.1038/s41566-020-00754-y</t>
  </si>
  <si>
    <t>http://dx.doi.org/10.1038/s41566-020-00754-y</t>
  </si>
  <si>
    <t>Optics; Physics, Applied</t>
  </si>
  <si>
    <t>Optics; Physics</t>
  </si>
  <si>
    <t>QA5PL</t>
  </si>
  <si>
    <t>WOS:000613495900009</t>
  </si>
  <si>
    <t>397</t>
  </si>
  <si>
    <t>Christodoulou, E; Ma, J; Collins, GS; Steyerberg, EW; Verbakel, JY; Van Calster, B</t>
  </si>
  <si>
    <t>Objectives: The objective of this study was to compare performance of logistic regression (LR) with machine learning (ML) for clinical prediction modeling in the literature.Study Design and Setting: We conducted a Medline literature search (1/2016 to 8/2017) and extracted comparisons between LR and ML models for binary outcomes.Results: We included 71 of 927 studies. The median sample size was 1,250 (range 72-3,994,872), with 19 predictors considered (range 5-563) and eight events per predictor (range 0.3-6,697). The most common ML methods were classification trees, random forests, artificial neural networks, and support vector machines. In 48 (68%) studies, we observed potential bias in the validation procedures. Sixty-four (90%) studies used the area under the receiver operating characteristic curve (AUC) to assess discrimination. Calibration was not addressed in 56 (79%) studies. We identified 282 comparisons between an LR and ML model (AUC range, 0.52-0.99). For 145 comparisons at low risk of bias, the difference in logit(AUC) between LR and ML was 0.00 (95% confidence interval, -0.18 to 0.18). For 137 comparisons at high risk of bias, logit(AUC) was 0.34 (0.20-0.47) higher for ML.Conclusion: We found no evidence of superior performance of ML over LR. Improvements in methodology and reporting are needed for studies that compare modeling algorithms. (C) 2019 Elsevier Inc. All rights reserved.</t>
  </si>
  <si>
    <t>Christodoulou, Evangelia; Ma, Jie; Collins, Gary S.; Steyerberg, Ewout W.; Verbakel, Jan Y.; Van Calster, Ben</t>
  </si>
  <si>
    <t>Van Calster, B (corresponding author), Katholieke Univ Leuven, Dept Dev &amp; Regenerat, Herestr 49 Box 805, B-3000 Leuven, Belgium.; Van Calster, B (corresponding author), Leiden Univ, Med Ctr, Dept Biomed Data Sci, Albinusdreef 2, NL-2333 ZA Leiden, Netherlands.</t>
  </si>
  <si>
    <t>ben.vancalster@kuleuven.be</t>
  </si>
  <si>
    <t>Research Foundation-Flanders (FWO) [G0B4716N]; Internal Funds KU Leuven [C24/15/037]; Cancer Research UK [5529/A16895]; NIHR Biomedical Research Centre, Oxford, UK; Cancer Research UK [16895] Funding Source: researchfish</t>
  </si>
  <si>
    <t>Research Foundation-Flanders (FWO) (FWO); Internal Funds KU Leuven; Cancer Research UK (Cancer Research UK); NIHR Biomedical Research Centre, Oxford, UK (National Institutes of Health Research (NIHR)); Cancer Research UK (Cancer Research UK)</t>
  </si>
  <si>
    <t>This work was supported by the Research Foundation-Flanders (FWO) [grant G0B4716N]; Internal Funds KU Leuven [grant C24/15/037]; Cancer Research UK [grant 5529/A16895]; the NIHR Biomedical Research Centre, Oxford, UK. The funding sources had no role in the conception, design, data collection, analysis, or reporting of this study.</t>
  </si>
  <si>
    <t>[Christodoulou, Evangelia; Verbakel, Jan Y.; Van Calster, Ben] Katholieke Univ Leuven, Dept Dev &amp; Regenerat, Herestr 49 Box 805, B-3000 Leuven, Belgium; [Ma, Jie; Collins, Gary S.] Univ Oxford, Ctr Stat Med, Nuffield Dept Orthopaed Rheumatol &amp; Musculoskelet, Botnar Res Ctr, Windmill Rd, Oxford OX3 7LD, England; [Collins, Gary S.] Oxford Univ Hosp NHS Fdn Trust, Oxford, England; [Steyerberg, Ewout W.; Van Calster, Ben] Leiden Univ, Med Ctr, Dept Biomed Data Sci, Albinusdreef 2, NL-2333 ZA Leiden, Netherlands; [Verbakel, Jan Y.] Katholieke Univ Leuven, Dept Publ Hlth &amp; Primary Care, Kapucijnenvoer 33J Box 7001, B-3000 Leuven, Belgium; [Verbakel, Jan Y.] Univ Oxford, Nuffield Dept Primary Care Hlth Sci, Woodstock Rd, Oxford OX2 6GG, England</t>
  </si>
  <si>
    <t>KU Leuven; University of Oxford; Oxford University Hospitals NHS Foundation Trust; Leiden University; Leiden University - Excl LUMC; Leiden University Medical Center (LUMC); KU Leuven; University of Oxford</t>
  </si>
  <si>
    <t>A systematic review shows no performance benefit of machine learning over logistic regression for clinical prediction models</t>
  </si>
  <si>
    <t>JOURNAL OF CLINICAL EPIDEMIOLOGY</t>
  </si>
  <si>
    <t>Clinical prediction models; Logistic regression; Machine learning; AUC; Calibration; Reporting</t>
  </si>
  <si>
    <t>ARTIFICIAL NEURAL-NETWORKS; BIG DATA; EMERGENCY-DEPARTMENT; VEIN-THROMBOSIS; RISK; CANCER; FAILURE; CLASSIFICATION; DIAGNOSIS; MORTALITY</t>
  </si>
  <si>
    <t>Verbakel, Jan/E-6758-2015; Christodoulou, Evangelia/AAF-5643-2021; Collins, Gary/A-2258-2014; Van Calster, Ben/F-9150-2010; Steyerberg, Ewout/C-1509-2018</t>
  </si>
  <si>
    <t>Verbakel, Jan/0000-0002-7166-7211; Christodoulou, Evangelia/0000-0001-7900-5952; Collins, Gary/0000-0002-2772-2316; Van Calster, Ben/0000-0003-1613-7450; Ma, Jie/0000-0002-3900-1903</t>
  </si>
  <si>
    <t>1510</t>
  </si>
  <si>
    <t>1701</t>
  </si>
  <si>
    <t>17</t>
  </si>
  <si>
    <t>358</t>
  </si>
  <si>
    <t>ELSEVIER SCIENCE INC</t>
  </si>
  <si>
    <t>NEW YORK</t>
  </si>
  <si>
    <t>STE 800, 230 PARK AVE, NEW YORK, NY 10169 USA</t>
  </si>
  <si>
    <t>0895-4356</t>
  </si>
  <si>
    <t>1878-5921</t>
  </si>
  <si>
    <t>J CLIN EPIDEMIOL</t>
  </si>
  <si>
    <t>J. Clin. Epidemiol.</t>
  </si>
  <si>
    <t>110</t>
  </si>
  <si>
    <t>10.1016/j.jclinepi.2019.02.004</t>
  </si>
  <si>
    <t>http://dx.doi.org/10.1016/j.jclinepi.2019.02.004</t>
  </si>
  <si>
    <t>Health Care Sciences &amp; Services; Public, Environmental &amp; Occupational Health</t>
  </si>
  <si>
    <t>IZ6LW</t>
  </si>
  <si>
    <t>30763612</t>
  </si>
  <si>
    <t>WOS:000487194400003</t>
  </si>
  <si>
    <t>Green Accepted</t>
  </si>
  <si>
    <t>606</t>
  </si>
  <si>
    <t>Ching, T; Himmelstein, DS; Beaulieu-Jones, BK; Kalinin, AA; Do, BT; Way, GP; Ferrero, E; Agapow, PM; Zietz, M; Hoffman, MM; Xie, W; Rosen, GL; Lengerich, BJ; Israeli, J; Lanchantin, J; Woloszynek, S; Carpenter, AE; Shrikumar, A; Xu, JB; Cofer, EM; Lavender, CA; Turaga, SC; Alexandari, AM; Lu, ZY; Harris, DJ; DeCaprio, D; Qi, YJ; Kundaje, A; Peng, YF; Wiley, LK; Segler, MHS; Boca, SM; Swamidass, SJ; Huang, A; Gitter, A; Greene, CS</t>
  </si>
  <si>
    <t>Deep learning describes a class of machine learning algorithms that are capable of combining raw inputs into layers of intermediate features. These algorithms have recently shown impressive results across a variety of domains. Biology and medicine are data-rich disciplines, but the data are complex and often ill-understood. Hence, deep learning techniques may be particularly well suited to solve problems of these fields. We examine applications of deep learning to a variety of biomedical problems-patient classification, fundamental biological processes and treatment of patients-and discuss whether deep learning will be able to transform these tasks or if the biomedical sphere poses unique challenges. Following from an extensive literature review, we find that deep learning has yet to revolutionize biomedicine or definitively resolve any of the most pressing challenges in the field, but promising advances have been made on the prior state of the art. Even though improvements over previous baselines have been modest in general, the recent progress indicates that deep learning methods will provide valuable means for speeding up or aiding human investigation. Though progress has been made linking a specific neural network's prediction to input features, understanding how users should interpret these models to make testable hypotheses about the system under study remains an open challenge. Furthermore, the limited amount of labelled data for training presents problems in some domains, as do legal and privacy constraints on work with sensitive health records. Nonetheless, we foresee deep learning enabling changes at both bench and bedside with the potential to transform several areas of biology and medicine.</t>
  </si>
  <si>
    <t>Ching, Travers; Himmelstein, Daniel S.; Beaulieu-Jones, Brett K.; Kalinin, Alexandr A.; Do, Brian T.; Way, Gregory P.; Ferrero, Enrico; Agapow, Paul-Michael; Zietz, Michael; Hoffman, Michael M.; Xie, Wei; Rosen, Gail L.; Lengerich, Benjamin J.; Israeli, Johnny; Lanchantin, Jack; Woloszynek, Stephen; Carpenter, Anne E.; Shrikumar, Avanti; Xu, Jinbo; Cofer, Evan M.; Lavender, Christopher A.; Turaga, Srinivas C.; Alexandari, Amr M.; Lu, Zhiyong; Harris, David J.; DeCaprio, Dave; Qi, Yanjun; Kundaje, Anshul; Peng, Yifan; Wiley, Laura K.; Segler, Marwin H. S.; Boca, Simina M.; Swamidass, S. Joshua; Huang, Austin; Gitter, Anthony; Greene, Casey S.</t>
  </si>
  <si>
    <t>Greene, CS (corresponding author), Univ Penn, Perelman Sch Med, Dept Syst Pharmacol &amp; Translat Therapeut, Philadelphia, PA 19104 USA.; Gitter, A (corresponding author), Univ Wisconsin, Dept Biostat &amp; Med Informat, Madison, WI 53706 USA.; Gitter, A (corresponding author), Morgridge Inst Res, Madison, WI 53715 USA.</t>
  </si>
  <si>
    <t>greenescientist@gmail.com; gitter@biostat.wisc.edu</t>
  </si>
  <si>
    <t>Gordon and Betty Moore Foundation [GBMF4552, GBMF4563]; Howard Hughes Medical Institute; National Institutes of Health [DP2GM123485, P30CA051008, R01AI116794, R01GM089652, R01GM089753, R01LM012222, R01LM012482, R21CA220398, T32GM007753, T32HG000046, U54AI117924]; National Institutes of Health Intramural Research Program; National Library of Medicine; National Science Foundation [1245632, 1531594, 1564955]; Natural Sciences and Engineering Research Council of Canada [RGPIN-2015-3948]; Roy and Diana Vagelos Scholars Program in the Molecular Life Sciences; National Center for Advancing Translational Sciences [UL1TR001409] Funding Source: NIH RePORTER; National Human Genome Research Institute [T32HG000046] Funding Source: NIH RePORTER; National Institute of Environmental Health Sciences [P30ES013508] Funding Source: NIH RePORTER; National Institute of General Medical Sciences [T32GM007753, R35GM122547, R01GM089753] Funding Source: NIH RePORTER; National Library of Medicine [ZIALM091813] Funding Source: NIH RePORTER; Direct For Education and Human Resources; Division Of Undergraduate Education [1245632] Funding Source: National Science Foundation; Div Of Biological Infrastructure; Direct For Biological Sciences [1564955] Funding Source: National Science Foundation; Office of Advanced Cyberinfrastructure (OAC); Direct For Computer &amp; Info Scie &amp; Enginr [1531594] Funding Source: National Science Foundation; Gordon and Betty Moore Foundation (GBMF) [GBMF4563] Funding Source: Gordon and Betty Moore Foundation (GBMF)</t>
  </si>
  <si>
    <t>Gordon and Betty Moore Foundation (Gordon &amp; Betty Moore Foundation); Howard Hughes Medical Institute (Howard Hughes Medical Institute); National Institutes of Health (United States Department of Health &amp; Human Services, National Institutes of Health (NIH) - USA); National Institutes of Health Intramural Research Program (United States Department of Health &amp; Human Services, National Institutes of Health (NIH) - USA); National Library of Medicine (United States Department of Health &amp; Human Services, National Institutes of Health (NIH) - USA, NIH National Library of Medicine (NLM)); National Science Foundation (National Science Foundation (NSF)); Natural Sciences and Engineering Research Council of Canada (Natural Sciences and Engineering Research Council of Canada (NSERC)); Roy and Diana Vagelos Scholars Program in the Molecular Life Sciences; National Center for Advancing Translational Sciences (United States Department of Health &amp; Human Services, National Institutes of Health (NIH) - USA, NIH National Center for Advancing Translational Sciences (NCATS)); National Human Genome Research Institute (United States Department of Health &amp; Human Services, National Institutes of Health (NIH) - USA, NIH National Human Genome Research Institute (NHGRI)); National Institute of Environmental Health Sciences (United States Department of Health &amp; Human Services, National Institutes of Health (NIH) - USA, NIH National Institute of Environmental Health Sciences (NIEHS)); National Institute of General Medical Sciences (United States Department of Health &amp; Human Services, National Institutes of Health (NIH) - USA, NIH National Institute of General Medical Sciences (NIGMS)); National Library of Medicine (United States Department of Health &amp; Human Services, National Institutes of Health (NIH) - USA, NIH National Library of Medicine (NLM)); Direct For Education and Human Resources; Division Of Undergraduate Education (National Science Foundation (NSF), NSF - Directorate for STEM Education (EDU)); Div Of Biological Infrastructure; Direct For Biological Sciences (National Science Foundation (NSF), NSF - Directorate for Biological Sciences (BIO)); Office of Advanced Cyberinfrastructure (OAC); Direct For Computer &amp; Info Scie &amp; Enginr (National Science Foundation (NSF), NSF - Directorate for Computer &amp; Information Science &amp; Engineering (CISE)); Gordon and Betty Moore Foundation (GBMF) (Gordon &amp; Betty Moore Foundation)</t>
  </si>
  <si>
    <t>We acknowledge funding from the Gordon and Betty Moore Foundation awards GBMF4552 (C.S.G. and D.S.H.) and GBMF4563 (D.J.H.); the Howard Hughes Medical Institute (S.C.T.); the National Institutes of Health awards DP2GM123485 (A.K.), P30CA051008 (S.M.B.), R01AI116794 (B.K.B.), R01GM089652 (A.E.C.), R01GM089753 (J.X.), R01LM012222 (S.J.S.), R01LM012482 (S.J.S.), R21CA220398 (S.M.B.), T32GM007753 (B.T.D.), T32HG000046 (G.P.W.) and U54AI117924 (A.G.); the National Institutes of Health Intramural Research Program and National Library of Medicine (Y.P. and Z.L.); the National Science Foundation awards 1245632 (G.L.R.), 1531594 (E.M.C.) and 1564955 (J.X.); the Natural Sciences and Engineering Research Council of Canada award RGPIN-2015-3948 (M.M.H.) and the Roy and Diana Vagelos Scholars Program in the Molecular Life Sciences (M.Z.).</t>
  </si>
  <si>
    <t>[Ching, Travers] Univ Hawaii Manoa, Mol Biosci &amp; Bioengn Grad Prog, Honolulu, HI USA; [Himmelstein, Daniel S.; Way, Gregory P.; Greene, Casey S.] Univ Penn, Perelman Sch Med, Dept Syst Pharmacol &amp; Translat Therapeut, Philadelphia, PA 19104 USA; [Beaulieu-Jones, Brett K.] Univ Penn, Perelman Sch Med, Genom &amp; Computat Biol Grad Grp, Philadelphia, PA 19104 USA; [Kalinin, Alexandr A.] Univ Michigan, Sch Med, Dept Computat Med &amp; Bioinformat, Ann Arbor, MI USA; [Do, Brian T.] Harvard Med Sch, Boston, MA USA; [Ferrero, Enrico] GlaxoSmithKline, Computat Biol &amp; Stats, Target Sci, Stevenage, Herts, England; [Agapow, Paul-Michael] Imperial Coll London, Data Sci Inst, London, England; [Hoffman, Michael M.] Princess Margaret Canc Ctr, Toronto, ON, Canada; [Hoffman, Michael M.] Univ Toronto, Dept Med Biophys, Toronto, ON, Canada; [Hoffman, Michael M.] Univ Toronto, Dept Comp Sci, Toronto, ON, Canada; [Xie, Wei] Vanderbilt Univ, Elect Engn &amp; Comp Sci, 221 Kirkland Hall, Nashville, TN 37235 USA; [Rosen, Gail L.] Drexel Univ, Dept Elect &amp; Comp Engn, Ecol &amp; Evolutionary Signal Proc &amp; Informat Lab, Philadelphia, PA 19104 USA; [Lengerich, Benjamin J.] Carnegie Mellon Univ, Sch Comp Sci, Computat Biol Dept, Pittsburgh, PA USA; [Israeli, Johnny] Stanford Univ, Biophys Program, Stanford, CA 94305 USA; [Shrikumar, Avanti; Kundaje, Anshul] Stanford Univ, Dept Comp Sci, Stanford, CA 94305 USA; [Kundaje, Anshul] Stanford Univ, Dept Genet, Stanford, CA 94305 USA; [Lanchantin, Jack] Univ Virginia, Dept Comp Sci, Charlottesville, VA 22903 USA; [Carpenter, Anne E.] Broad Inst Harvard, Imaging Platform, Cambridge, MA USA; [Carpenter, Anne E.] MIT, 77 Massachusetts Ave, Cambridge, MA 02139 USA; [Xu, Jinbo] Toyota Technol Inst, Chicago, IL USA; [Cofer, Evan M.] Trinity Univ, Dept Comp Sci, San Antonio, TX USA; [Cofer, Evan M.] Princeton Univ, Lewis Sigler Inst Integrat Genom, Princeton, NJ 08544 USA; [Lavender, Christopher A.] NIEHS, NIH, Integrat Bioinformat, POB 12233, Res Triangle Pk, NC 27709 USA; [Turaga, Srinivas C.] Howard Hughes Med Inst, Janelia Res Campus, Ashbum, VA USA; [Lu, Zhiyong; Peng, Yifan] NIH, Natl Ctr Biotechnol Informat, Bethesda, MD USA; [Lu, Zhiyong; Peng, Yifan] NIH, Natl Lib Med, Bethesda, MD USA; [Harris, David J.] Univ Florida, Dept Wildlife Ecol &amp; Conservat, Gainesville, FL USA; [DeCaprio, Dave] ClosedLoop Ai, Austin, TX USA; [Wiley, Laura K.] Univ Colorado, Sch Med, Div Biomed Informat &amp; Personalized Med, Aurora, CO USA; [Segler, Marwin H. S.] Westfal Wilhelms Univ Munster, Inst Organ Chem, Munster, Germany; [Boca, Simina M.] Georgetown Univ, Med Ctr, Innovat Ctr Biomed Informat, Washington, DC 20007 USA; [Swamidass, S. Joshua] Washington Univ, Dept Pathol &amp; Immunol, St Louis, MO USA; [Huang, Austin] Brown Univ, Dept Med, Providence, RI 02912 USA; [Gitter, Anthony] Univ Wisconsin, Dept Biostat &amp; Med Informat, Madison, WI 53706 USA; [Gitter, Anthony] Morgridge Inst Res, Madison, WI 53715 USA</t>
  </si>
  <si>
    <t>University of Hawaii System; University of Hawaii Manoa; University of Pennsylvania; Pennsylvania Medicine; University of Pennsylvania; Pennsylvania Medicine; University of Michigan System; University of Michigan; Harvard University; Harvard Medical School; GlaxoSmithKline; Glaxosmithkline United Kingdom; Imperial College London; University of Toronto; University Health Network Toronto; Princess Margaret Cancer Centre; University of Toronto; University of Toronto; Vanderbilt University; Drexel University; Carnegie Mellon University; Stanford University; Stanford University; Stanford University; Stanford Medicine; University of Virginia; Harvard University; Massachusetts Institute of Technology (MIT); Broad Institute; Massachusetts Institute of Technology (MIT); Toyota Technological Institute; Toyota Technological Institute - Chicago; Trinity University; Princeton University; National Institutes of Health (NIH) - USA; NIH National Institute of Environmental Health Sciences (NIEHS); Howard Hughes Medical Institute; National Institutes of Health (NIH) - USA; National Institutes of Health (NIH) - USA; NIH National Library of Medicine (NLM); State University System of Florida; University of Florida; University of Colorado System; University of Colorado Anschutz; University of Munster; Georgetown University; Washington University (WUSTL); Brown University; University of Wisconsin System; University of Wisconsin Madison; University of Wisconsin System; University of Wisconsin Madison; The Morgridge Institute for Research, Inc.</t>
  </si>
  <si>
    <t>Opportunities and obstacles for deep learning in biology and medicine</t>
  </si>
  <si>
    <t>JOURNAL OF THE ROYAL SOCIETY INTERFACE</t>
  </si>
  <si>
    <t>deep learning; genomics; precision medicine; machine learning</t>
  </si>
  <si>
    <t>CONVOLUTIONAL NEURAL-NETWORKS; PROTEIN-PROTEIN INTERACTION; ELECTRONIC HEALTH RECORDS; COMPUTER-AIDED DETECTION; HIGH-THROUGHPUT; GENE-EXPRESSION; SECONDARY STRUCTURE; DRUG DISCOVERY; SINGLE-CELL; DECISION-SUPPORT</t>
  </si>
  <si>
    <t>Greene, Casey/L-2057-2015; Agapow, Paul/I-2702-2017; Lu, Zhiyong/H-3622-2016; Way, Gregory/H-6250-2019; Boca, Simina/ABE-3747-2020; Himmelstein, Daniel/J-8986-2013; Kalinin, Alexan/AAA-5171-2019; Wiley, Laura/N-4216-2019; Swamidass, S. Joshua/H-3331-2019; Carpenter, Anne/C-4982-2008; Hoffman, Michael/I-1924-2012; Peng, Yifan/M-1605-2016; Kundaje, Anshul/Y-2739-2019</t>
  </si>
  <si>
    <t>Agapow, Paul/0000-0003-1126-1479; Do, Brian/0000-0003-4992-2623; Ching, Travers/0000-0002-5577-3516; Way, Gregory/0000-0002-0503-9348; Beaulieu-Jones, Brett K/0000-0002-6700-1468; Lengerich, Ben/0000-0001-8690-9554; Boca, Simina/0000-0002-1400-3398; Lavender, Christopher/0000-0002-7762-1089; Himmelstein, Daniel/0000-0002-3012-7446; Kalinin, Alexan/0000-0003-4563-3226; Wiley, Laura/0000-0001-6681-9754; Swamidass, S. Joshua/0000-0003-2191-0778; DeCaprio, Dave/0000-0001-8931-9461; Carpenter, Anne/0000-0003-1555-8261; Hoffman, Michael/0000-0002-4517-1562; Ferrero, Enrico/0000-0002-8362-100X; Gitter, Anthony/0000-0002-5324-9833; Peng, Yifan/0000-0001-9309-8331; Zietz, Michael/0000-0003-0539-630X; Kundaje, Anshul/0000-0003-3084-2287; Rosen, Gail/0000-0003-1763-5750</t>
  </si>
  <si>
    <t>546</t>
  </si>
  <si>
    <t>1460</t>
  </si>
  <si>
    <t>1768</t>
  </si>
  <si>
    <t>697</t>
  </si>
  <si>
    <t>ROYAL SOC</t>
  </si>
  <si>
    <t>6-9 CARLTON HOUSE TERRACE, LONDON SW1Y 5AG, ENGLAND</t>
  </si>
  <si>
    <t>1742-5689</t>
  </si>
  <si>
    <t>1742-5662</t>
  </si>
  <si>
    <t>J R SOC INTERFACE</t>
  </si>
  <si>
    <t>J. R. Soc. Interface</t>
  </si>
  <si>
    <t>APR 2018</t>
  </si>
  <si>
    <t>141</t>
  </si>
  <si>
    <t>20170387</t>
  </si>
  <si>
    <t>10.1098/rsif.2017.0387</t>
  </si>
  <si>
    <t>http://dx.doi.org/10.1098/rsif.2017.0387</t>
  </si>
  <si>
    <t>Multidisciplinary Sciences</t>
  </si>
  <si>
    <t>Science &amp; Technology - Other Topics</t>
  </si>
  <si>
    <t>GE3ID</t>
  </si>
  <si>
    <t>29618526</t>
  </si>
  <si>
    <t>WOS:000431106100001</t>
  </si>
  <si>
    <t>26</t>
  </si>
  <si>
    <t>300</t>
  </si>
  <si>
    <t>Lundervold, AS; Lundervold, A</t>
  </si>
  <si>
    <t>What has happened in machine learning lately, and what does it mean for the future of medical image analysis? Machine learning has witnessed a tremendous amount of attention over the last few years. The current boom started around 2009 when so-called deep artificial neural networks began outperforming other established models on a number of important benchmarks. Deep neural networks are now the state-of-the-art machine learning models across a variety of areas, from image analysis to natural language processing, and widely deployed in academia and industry. These developments have a huge potential for medical imaging technology, medical data analysis, medical diagnostics and healthcare in general, slowly being realized. We provide a short overview of recent advances and some associated challenges in machine learning applied to medical image processing and image analysis. As this has become a very broad and fast expanding field we will not survey the entire landscape of applications, but put particular focus on deep learning in MRI.Our aim is threefold: (i) give a brief introduction to deep learning with pointers to core references; (ii) indicate how deep learning has been applied to the entire MRI processing chain, from acquisition to image retrieval, from segmentation to disease prediction; (iii) provide a starting point for people interested in experimenting and perhaps contributing to the field of deep learning for medical imaging by pointing out good educational resources, state-of-the-art open-source code, and interesting sources of data and problems related medical imaging.</t>
  </si>
  <si>
    <t>Lundervold, Alexander Selvikvag; Lundervold, Arvid</t>
  </si>
  <si>
    <t>Lundervold, AS (corresponding author), Haukeland Hosp, Mohn Med Imaging &amp; Visualizat Ctr MMIV, Bergen, Norway.</t>
  </si>
  <si>
    <t>mfyal@uib.no; allu@hvl.no</t>
  </si>
  <si>
    <t>Bergen Research Foundation through the project "Computational medical imaging and machine learning methods, infrastructure and applications"</t>
  </si>
  <si>
    <t>We thank Renate Griiner for useful discussions. The anonymous reviewers gave us excellent constructive feedback that led to several improvements throughout the article. Our work was financially supported by the Bergen Research Foundation through the project "Computational medical imaging and machine learning methods, infrastructure and applications".</t>
  </si>
  <si>
    <t>[Lundervold, Alexander Selvikvag; Lundervold, Arvid] Haukeland Hosp, Mohn Med Imaging &amp; Visualizat Ctr MMIV, Bergen, Norway; [Lundervold, Alexander Selvikvag] Western Norway Univ Appl Sci, Dept Comp Math &amp; Phys, Bergen, Norway; [Lundervold, Arvid] Univ Bergen, Dept Biomed, Neuroinformat &amp; Image Anal Lab, Bergen, Norway; [Lundervold, Arvid] Western Norway Univ Appl Sci, Dept Hlth &amp; Functioning, Bergen, Norway</t>
  </si>
  <si>
    <t>University of Bergen; Haukeland University Hospital; Western Norway University of Applied Sciences; University of Bergen; Western Norway University of Applied Sciences</t>
  </si>
  <si>
    <t>An overview of deep learning in medical imaging focusing on MRI</t>
  </si>
  <si>
    <t>ZEITSCHRIFT FUR MEDIZINISCHE PHYSIK</t>
  </si>
  <si>
    <t>Machine learning; Deep learning; Medical imaging; MRI</t>
  </si>
  <si>
    <t>CONVOLUTIONAL NEURAL-NETWORKS; MULTILAYER FEEDFORWARD NETWORKS; GENERATIVE ADVERSARIAL NETWORKS; PROSPECTIVE MOTION CORRECTION; MAGNETIC-RESONANCE IMAGES; OF-THE-ART; BRAIN MRI; MULTISPECTRAL ANALYSIS; ARTIFICIAL-INTELLIGENCE; ATTENUATION CORRECTION</t>
  </si>
  <si>
    <t>Lundervold, Arvid/0000-0002-0032-4182; Lundervold, Alexander/0000-0001-8663-4247</t>
  </si>
  <si>
    <t>1374</t>
  </si>
  <si>
    <t>1692</t>
  </si>
  <si>
    <t>878</t>
  </si>
  <si>
    <t>0939-3889</t>
  </si>
  <si>
    <t>1876-4436</t>
  </si>
  <si>
    <t>Z MED PHYS</t>
  </si>
  <si>
    <t>Z. Med. Phys.</t>
  </si>
  <si>
    <t>SI</t>
  </si>
  <si>
    <t>127</t>
  </si>
  <si>
    <t>10.1016/j.zemedi.2018.11.002</t>
  </si>
  <si>
    <t>http://dx.doi.org/10.1016/j.zemedi.2018.11.002</t>
  </si>
  <si>
    <t>IA9SN</t>
  </si>
  <si>
    <t>30553609</t>
  </si>
  <si>
    <t>WOS:000469897200003</t>
  </si>
  <si>
    <t>hybrid; Green Published; Green Submitted</t>
  </si>
  <si>
    <t>207</t>
  </si>
  <si>
    <t>3</t>
  </si>
  <si>
    <t>Hassija, V; Chamola, V; Mahapatra, A; Singal, A; Goel, D; Huang, KZ; Scardapane, S; Spinelli, I; Mahmud, M; Hussain, A</t>
  </si>
  <si>
    <t>Recent years have seen a tremendous growth in Artificial Intelligence (AI)-based methodological development in a broad range of domains. In this rapidly evolving field, large number of methods are being reported using machine learning (ML) and Deep Learning (DL) models. Majority of these models are inherently complex and lacks explanations of the decision making process causing these models to be termed as 'Black-Box'. One of the major bottlenecks to adopt such models in mission-critical application domains, such as banking, e-commerce, healthcare, and public services and safety, is the difficulty in interpreting them. Due to the rapid proleferation of these AI models, explaining their learning and decision making process are getting harder which require transparency and easy predictability. Aiming to collate the current state-of-the-art in interpreting the black-box models, this study provides a comprehensive analysis of the explainable AI (XAI) models. To reduce false negative and false positive outcomes of these back-box models, finding flaws in them is still difficult and inefficient. In this paper, the development of XAI is reviewed meticulously through careful selection and analysis of the current state-of-the-art of XAI research. It also provides a comprehensive and in-depth evaluation of the XAI frameworks and their efficacy to serve as a starting point of XAI for applied and theoretical researchers. Towards the end, it highlights emerging and critical issues pertaining to XAI research to showcase major, model-specific trends for better explanation, enhanced transparency, and improved prediction accuracy.</t>
  </si>
  <si>
    <t>Hassija, Vikas; Chamola, Vinay; Mahapatra, Atmesh; Singal, Abhinandan; Goel, Divyansh; Huang, Kaizhu; Scardapane, Simone; Spinelli, Indro; Mahmud, Mufti; Hussain, Amir</t>
  </si>
  <si>
    <t>Chamola, V (corresponding author), BITS Pilani, Dept Elect &amp; Elect Engn, Campus, Pilani 333031, India.; Mahmud, M (corresponding author), Nottingham Trent Univ, Dept Comp Sci, Clifton Lane, Nottingham NG11 8NS, England.; Mahmud, M (corresponding author), Nottingham Trent Univ, Comp &amp; Informat Res Ctr, Clifton Lane, Nottingham NG11 8NS, England.; Mahmud, M (corresponding author), Nottingham Trent Univ, Med Technol Innovat Facil, Clifton Lane, Nottingham NG11 8NS, England.</t>
  </si>
  <si>
    <t>vinay.chamola@pilani.bits-pilani.ac.in; divyanshgoel10@gmail.com; mufti.mahmud@ntu.ac.uk; Italysimone.scardapane@uniroma1.it; kaizhu.huang@dukekunshan.edu.cn; vikas.hassijafcs@kiit.ac.in; abhi.singal7@gmail.com; indro.spinelli@roma1.infn.it; A.Hussain@napier.ac.uk</t>
  </si>
  <si>
    <t>CHIST-ERA [CHIST-ERA-19-XAI-009]; European Commission [2020-1-UK01-KA201-079167, 618615-EPP-1-2020-1-UKEPPKA2-CBHEJP]</t>
  </si>
  <si>
    <t>CHIST-ERA; European Commission (European Union (EU), European Commission Joint Research Centre)</t>
  </si>
  <si>
    <t>This work was partially supported by the CHIST-ERA grant CHIST-ERA-19-XAI-009. M. Mahmud was supported by supported by the AI-TOP (2020-1-UK01-KA201-079167) and DIVERSASIA (618615-EPP-1-2020-1-UKEPPKA2-CBHEJP) projects funded by the European Commission under the Erasmus+ programme.</t>
  </si>
  <si>
    <t>[Hassija, Vikas] Kalinga Inst Ind Technol, Sch Comp Engn, Bhubaneswar, India; [Chamola, Vinay; Mahapatra, Atmesh] BITS Pilani, Dept Elect &amp; Elect Engn, Campus, Pilani 333031, India; [Singal, Abhinandan; Goel, Divyansh] Jaypee Inst Informat Technol, Dept Comp Sci &amp; IT, Noida 201304, India; [Huang, Kaizhu] Duke Kunshan Univ, Kunshan 215316, Jiangsu, Peoples R China; [Scardapane, Simone] Sapienza Univ Rome, Rome, Italy; [Spinelli, Indro] Ist Nazl Fis Nucl, Sez Roma, Rome, Italy; [Mahmud, Mufti] Nottingham Trent Univ, Dept Comp Sci, Clifton Lane, Nottingham NG11 8NS, England; [Mahmud, Mufti] Nottingham Trent Univ, Comp &amp; Informat Res Ctr, Clifton Lane, Nottingham NG11 8NS, England; [Mahmud, Mufti] Nottingham Trent Univ, Med Technol Innovat Facil, Clifton Lane, Nottingham NG11 8NS, England; [Hussain, Amir] Edinburgh Napier Univ, Sch Comp, Edinburgh, Scotland</t>
  </si>
  <si>
    <t>Kalinga Institute of Industrial Technology (KIIT); Birla Institute of Technology &amp; Science Pilani (BITS Pilani); Jaypee Institute of Information Technology (JIIT); Duke Kunshan University; Sapienza University Rome; Istituto Nazionale di Fisica Nucleare (INFN); Nottingham Trent University; Nottingham Trent University; Nottingham Trent University; Edinburgh Napier University</t>
  </si>
  <si>
    <t>Interpreting Black-Box Models: A Review on Explainable Artificial Intelligence</t>
  </si>
  <si>
    <t>COGNITIVE COMPUTATION</t>
  </si>
  <si>
    <t>Machine learning; XAI; Black-box models; Interpretability; Transparency; Responsible AI</t>
  </si>
  <si>
    <t>PREDICTION; ALGORITHMS; FRAMEWORK; RULES</t>
  </si>
  <si>
    <t>Huang, Kaizhu/LKL-1952-2024; Mahmud, Mufti/C-7752-2012; Scardapane, Simone/AAA-2267-2020; Hussain, Amir/AAG-6299-2020; hassija, vikas/AAD-3186-2019; Spinelli, Indro/ADW-9831-2022</t>
  </si>
  <si>
    <t>Mahmud, Mufti/0000-0002-2037-8348; Hussain, Amir/0000-0002-8080-082X; Chamola, Vinay/0000-0002-6730-3060; hassija, vikas/0009-0003-9023-1661</t>
  </si>
  <si>
    <t>188</t>
  </si>
  <si>
    <t>1373</t>
  </si>
  <si>
    <t>1611</t>
  </si>
  <si>
    <t>100</t>
  </si>
  <si>
    <t>666</t>
  </si>
  <si>
    <t>SPRINGER</t>
  </si>
  <si>
    <t>ONE NEW YORK PLAZA, SUITE 4600, NEW YORK, NY, UNITED STATES</t>
  </si>
  <si>
    <t>1866-9956</t>
  </si>
  <si>
    <t>1866-9964</t>
  </si>
  <si>
    <t>COGN COMPUT</t>
  </si>
  <si>
    <t>Cogn. Comput.</t>
  </si>
  <si>
    <t>JAN 2024</t>
  </si>
  <si>
    <t>10.1007/s12559-023-10179-8</t>
  </si>
  <si>
    <t>http://dx.doi.org/10.1007/s12559-023-10179-8</t>
  </si>
  <si>
    <t>Computer Science, Artificial Intelligence; Neurosciences</t>
  </si>
  <si>
    <t>Computer Science; Neurosciences &amp; Neurology</t>
  </si>
  <si>
    <t>FB2A4</t>
  </si>
  <si>
    <t>WOS:001060142200001</t>
  </si>
  <si>
    <t>58</t>
  </si>
  <si>
    <t>Siddique, N; Paheding, S; Elkin, CP; Devabhaktuni, V</t>
  </si>
  <si>
    <t>U-net is an image segmentation technique developed primarily for image segmentation tasks. These traits provide U-net with a high utility within the medical imaging community and have resulted in extensive adoption of U-net as the primary tool for segmentation tasks in medical imaging. The success of U-net is evident in its widespread use in nearly all major image modalities, from CT scans and MRI to X-rays and microscopy. Furthermore, while U-net is largely a segmentation tool, there have been instances of the use of U-net in other applications. Given that U-net's potential is still increasing, this narrative literature review examines the numerous developments and breakthroughs in the U-net architecture and provides observations on recent trends. We also discuss the many innovations that have advanced in deep learning and discuss how these tools facilitate U-net. In addition, we review the different image modalities and application areas that have been enhanced by U-net.</t>
  </si>
  <si>
    <t>Siddique, Nahian; Paheding, Sidike; Elkin, Colin P.; Devabhaktuni, Vijay</t>
  </si>
  <si>
    <t>Paheding, S (corresponding author), Michigan Technol Univ, Dept Appl Comp, Houghton, MI 49931 USA.</t>
  </si>
  <si>
    <t>spahedin@mtu.edu</t>
  </si>
  <si>
    <t>[Siddique, Nahian; Elkin, Colin P.; Devabhaktuni, Vijay] Purdue Univ Northwest, Dept Elect &amp; Comp Engn, Hammond, IN 46323 USA; [Paheding, Sidike] Michigan Technol Univ, Dept Appl Comp, Houghton, MI 49931 USA</t>
  </si>
  <si>
    <t>Purdue University System; Purdue University Northwest; Michigan Technological University</t>
  </si>
  <si>
    <t>U-Net and Its Variants for Medical Image Segmentation: A Review of Theory and Applications</t>
  </si>
  <si>
    <t>IEEE ACCESS</t>
  </si>
  <si>
    <t>Image segmentation; Convolution; Biomedical imaging; Three-dimensional displays; Logic gates; Deep learning; Computer architecture; Biomedical imaging; deep learning; neural network architecture; segmentation; U-net</t>
  </si>
  <si>
    <t>SKIN-LESION SEGMENTATION; CONVOLUTIONAL NEURAL-NETWORKS; ORGANS-AT-RISK; ARCHITECTURE; UNET; MRI; CASCADE; MODEL; SIZE</t>
  </si>
  <si>
    <t>Paheding, Sidike/O-5094-2019</t>
  </si>
  <si>
    <t>Siddique, Nahian/0000-0002-4810-7793</t>
  </si>
  <si>
    <t>385</t>
  </si>
  <si>
    <t>1362</t>
  </si>
  <si>
    <t>1590</t>
  </si>
  <si>
    <t>98</t>
  </si>
  <si>
    <t>1514</t>
  </si>
  <si>
    <t>IEEE-INST ELECTRICAL ELECTRONICS ENGINEERS INC</t>
  </si>
  <si>
    <t>PISCATAWAY</t>
  </si>
  <si>
    <t>445 HOES LANE, PISCATAWAY, NJ 08855-4141 USA</t>
  </si>
  <si>
    <t>2169-3536</t>
  </si>
  <si>
    <t>IEEE Access</t>
  </si>
  <si>
    <t>82031</t>
  </si>
  <si>
    <t>82057</t>
  </si>
  <si>
    <t>10.1109/ACCESS.2021.3086020</t>
  </si>
  <si>
    <t>http://dx.doi.org/10.1109/ACCESS.2021.3086020</t>
  </si>
  <si>
    <t>27</t>
  </si>
  <si>
    <t>Computer Science, Information Systems; Engineering, Electrical &amp; Electronic; Telecommunications</t>
  </si>
  <si>
    <t>Computer Science; Engineering; Telecommunications</t>
  </si>
  <si>
    <t>TK1WJ</t>
  </si>
  <si>
    <t>WOS:000673957200001</t>
  </si>
  <si>
    <t>36</t>
  </si>
  <si>
    <t>125</t>
  </si>
  <si>
    <t>Shrestha, A; Mahmood, A</t>
  </si>
  <si>
    <t>Deep learning (DL) is playing an increasingly important role in our lives. It has already made a huge impact in areas, such as cancer diagnosis, precision medicine, self-driving cars, predictive forecasting, and speech recognition. The painstakingly handcrafted feature extractors used in traditional learning, classification, and pattern recognition systems are not scalable for large-sized data sets. In many cases, depending on the problem complexity, DL can also overcome the limitations of earlier shallow networks that prevented efficient training and abstractions of hierarchical representations of multi-dimensional training data. Deep neural network (DNN) uses multiple (deep) layers of units with highly optimized algorithms and architectures. This paper reviews several optimization methods to improve the accuracy of the training and to reduce training time. We delve into the math behind training algorithms used in recent deep networks. We describe current shortcomings, enhancements, and implementations. The review also covers different types of deep architectures, such as deep convolution networks, deep residual networks, recurrent neural networks, reinforcement learning, variational autoencoders, and others.</t>
  </si>
  <si>
    <t>Shrestha, Ajay; Mahmood, Ausif</t>
  </si>
  <si>
    <t>Shrestha, A (corresponding author), Univ Bridgeport, Dept Comp Sci &amp; Engn, Bridgeport, CT 06604 USA.</t>
  </si>
  <si>
    <t>shrestha@my.bridgeport.edu</t>
  </si>
  <si>
    <t>[Shrestha, Ajay; Mahmood, Ausif] Univ Bridgeport, Dept Comp Sci &amp; Engn, Bridgeport, CT 06604 USA</t>
  </si>
  <si>
    <t>University of Bridgeport</t>
  </si>
  <si>
    <t>Review of Deep Learning Algorithms and Architectures</t>
  </si>
  <si>
    <t>Machine learning algorithm; optimization; artificial intelligence; deep neural network architectures; convolution neural network; backpropagation; supervised and unsupervised learning</t>
  </si>
  <si>
    <t>NEURAL-NETWORKS; CLASSIFICATION; MODEL; MACHINE</t>
  </si>
  <si>
    <t>Shrestha, Ajay/LOR-4028-2024</t>
  </si>
  <si>
    <t>Shrestha, Ajay/0000-0001-5595-5953</t>
  </si>
  <si>
    <t>1276</t>
  </si>
  <si>
    <t>1521</t>
  </si>
  <si>
    <t>1323</t>
  </si>
  <si>
    <t>53040</t>
  </si>
  <si>
    <t>53065</t>
  </si>
  <si>
    <t>10.1109/ACCESS.2019.2912200</t>
  </si>
  <si>
    <t>http://dx.doi.org/10.1109/ACCESS.2019.2912200</t>
  </si>
  <si>
    <t>HW3LO</t>
  </si>
  <si>
    <t>WOS:000466593700001</t>
  </si>
  <si>
    <t>269</t>
  </si>
  <si>
    <t>Yi, X; Walia, E; Babyn, P</t>
  </si>
  <si>
    <t>Generative adversarial networks have gained a lot of attention in the computer vision community due to their capability of data generation without explicitly modelling the probability density function. The adversarial loss brought by the discriminator provides a clever way of incorporating unlabeled samples into training and imposing higher order consistency. This has proven to be useful in many cases, such as domain adaptation, data augmentation, and image-to-image translation. These properties have attracted researchers in the medical imaging community, and we have seen rapid adoption in many traditional and novel applications, such as image reconstruction, segmentation, detection, classification, and cross modality synthesis. Based on our observations, this trend will continue and we therefore conducted a review of recent advances in medical imaging using the adversarial training scheme with the hope of benefiting researchers interested in this technique. (C) 2019 Elsevier B.V. All rights reserved.</t>
  </si>
  <si>
    <t>Yi, Xin; Walia, Ekta; Babyn, Paul</t>
  </si>
  <si>
    <t>Yi, X (corresponding author), Univ Saskatchewan, Dept Med Imaging, 103 Hosp Dr, Saskatoon, SK S7N 0W8, Canada.</t>
  </si>
  <si>
    <t>paul.babyn@saskhealthauthority.ca; xiy525@mail.usask.ca; ewb178@mail.usask.ca</t>
  </si>
  <si>
    <t>[Yi, Xin; Walia, Ekta; Babyn, Paul] Univ Saskatchewan, Dept Med Imaging, 103 Hosp Dr, Saskatoon, SK S7N 0W8, Canada; [Walia, Ekta] Philips Canada, 281 Hillmt Rd, Markham, ON L6C 2S3, Canada</t>
  </si>
  <si>
    <t>University of Saskatchewan</t>
  </si>
  <si>
    <t>Generative adversarial network in medical imaging: A review</t>
  </si>
  <si>
    <t>MEDICAL IMAGE ANALYSIS</t>
  </si>
  <si>
    <t>Deep learning; Generative adversarial network; Generative model; Medical imaging; Review</t>
  </si>
  <si>
    <t>LOW-DOSE CT; QUALITY ASSESSMENT; IMAGES; SEGMENTATION; DATABASE; GAN</t>
  </si>
  <si>
    <t>yi, xin/AAC-9894-2020</t>
  </si>
  <si>
    <t>yi, xin/0000-0001-8546-0580</t>
  </si>
  <si>
    <t>257</t>
  </si>
  <si>
    <t>1238</t>
  </si>
  <si>
    <t>1489</t>
  </si>
  <si>
    <t>891</t>
  </si>
  <si>
    <t>1361-8415</t>
  </si>
  <si>
    <t>1361-8423</t>
  </si>
  <si>
    <t>MED IMAGE ANAL</t>
  </si>
  <si>
    <t>Med. Image Anal.</t>
  </si>
  <si>
    <t>DEC 2019</t>
  </si>
  <si>
    <t>101552</t>
  </si>
  <si>
    <t>10.1016/j.media.2019.101552</t>
  </si>
  <si>
    <t>http://dx.doi.org/10.1016/j.media.2019.101552</t>
  </si>
  <si>
    <t>Computer Science, Artificial Intelligence; Computer Science, Interdisciplinary Applications; Engineering, Biomedical; Radiology, Nuclear Medicine &amp; Medical Imaging</t>
  </si>
  <si>
    <t>Computer Science; Engineering; Radiology, Nuclear Medicine &amp; Medical Imaging</t>
  </si>
  <si>
    <t>JN0PE</t>
  </si>
  <si>
    <t>31521965</t>
  </si>
  <si>
    <t>WOS:000496605700015</t>
  </si>
  <si>
    <t>386</t>
  </si>
  <si>
    <t>Rivera, SC; Liu, XX; Chan, AW; Denniston, AK; Calvert, MJ</t>
  </si>
  <si>
    <t>The SPIRIT 2013 statement aims to improve the completeness of clinical trial protocol reporting by providing evidence-based recommendations for the minimum set of items to be addressed. This guidance has been instrumental in promoting transparent evaluation of new interventions. More recently, there has been a growing recognition that interventions involving artificial intelligence (AI) need to undergo rigorous, prospective evaluation to demonstrate their impact on health outcomes. The SPIRIT-AI (Standard Protocol Items: Recommendations for Interventional Trials-Artificial Intelligence) extension is a new reporting guideline for clinical trial protocols evaluating interventions with an AI component. It was developed in parallel with its companion statement for trial reports: CONSORT-AI (Consolidated Standards of Reporting Trials-Artificial Intelligence). Both guidelines were developed through a staged consensus process involving literature review and expert consultation to generate 26 candidate items, which were consulted upon by an international multi-stakeholder group in a two-stage Delphi survey (103 stakeholders), agreed upon in a consensus meeting (31 stakeholders) and refined through a checklist pilot (34 participants). The SPIRIT-AI extension includes 15 new items that were considered sufficiently important for clinical trial protocols of AI interventions. These new items should be routinely reported in addition to the core SPIRIT 2013 items. SPIRIT-AI recommends that investigators provide clear descriptions of the AI intervention, including instructions and skills required for use, the setting in which the AI intervention will be integrated, considerations for the handling of input and output data, the human-AI interaction and analysis of error cases. SPIRIT-AI will help promote transparency and completeness for clinical trial protocols for AI interventions. Its use will assist editors and peer reviewers, as well as the general readership, to understand, interpret, and critically appraise the design and risk of bias for a planned clinical trial.</t>
  </si>
  <si>
    <t>Rivera, Samantha Cruz; Liu, Xiaoxuan; Chan, An-Wen; Denniston, Alastair K.; Calvert, Melanie J.</t>
  </si>
  <si>
    <t>Denniston, AK (corresponding author), Univ Birmingham, Coll Med &amp; Dent Sci, Inst Inflammat &amp; Ageing, Birmingham B15 2TT, W Midlands, England.</t>
  </si>
  <si>
    <t>a.denniston@bham.ac.uk</t>
  </si>
  <si>
    <t>Wellcome Trust Institutional Strategic Support Fund: Digital Health Pilot Grant; Research England (part of UK Research and Innovation); Health Data Research UK; Alan Turing Institute; University of Birmingham, UK; NIHR Birmingham Biomedical Research Centre; NIHR Surgical Reconstruction and Microbiology Research Centre; NIHR ARC West Midlands at the University of Birmingham; University Hospitals Birmingham NHS Foundation Trust; Innovate UK (part of UK Research and Innovation); Health Foundation; Macmillan Cancer Support; UCB Pharma; University of Ottawa Research Chair; US Food and Drug Administration (FDA); Office of the Director at the National Library of Medicine (NLM), US National Institutes of Health (NIH); NIH [7K01HL141771-02]; UKRI Future Leaders Fellowship; Moorfields Eye Charity Career Development Award; Engineering and Physical Sciences Research Council; UK Research and Innovation (UKRI); Accenture; Warwick Impact Fund; European Regional Development Fund; Alan Turing Institute [TU/ASG/R-SPEH-113] Funding Source: researchfish; Medical Research Council [HDR-9002, MC_PC_19005] Funding Source: researchfish; National Institute for Health Research [CS-2014-14-023] Funding Source: researchfish; National Eye Institute [K23EY029246] Funding Source: NIH RePORTER; National Heart Lung and Blood Institute [K01HL141771] Funding Source: NIH RePORTER; FLF [MR/T019050/1] Funding Source: UKRI; ISCF [MC_PC_19005] Funding Source: UKRI</t>
  </si>
  <si>
    <t>Wellcome Trust Institutional Strategic Support Fund: Digital Health Pilot Grant (Wellcome Trust); Research England (part of UK Research and Innovation) (UK Research &amp; Innovation (UKRI)); Health Data Research UK; Alan Turing Institute; University of Birmingham, UK (University of Birmingham); NIHR Birmingham Biomedical Research Centre; NIHR Surgical Reconstruction and Microbiology Research Centre; NIHR ARC West Midlands at the University of Birmingham (University of Birmingham); University Hospitals Birmingham NHS Foundation Trust; Innovate UK (part of UK Research and Innovation) (UK Research &amp; Innovation (UKRI), Innovate UK); Health Foundation; Macmillan Cancer Support; UCB Pharma (UCB Pharma SA); University of Ottawa Research Chair (University of Ottawa); US Food and Drug Administration (FDA); Office of the Director at the National Library of Medicine (NLM), US National Institutes of Health (NIH); NIH (United States Department of Health &amp; Human Services, National Institutes of Health (NIH) - USA); UKRI Future Leaders Fellowship (UK Research &amp; Innovation (UKRI)); Moorfields Eye Charity Career Development Award; Engineering and Physical Sciences Research Council (UK Research &amp; Innovation (UKRI), Engineering &amp; Physical Sciences Research Council (EPSRC)); UK Research and Innovation (UKRI) (UK Research &amp; Innovation (UKRI)); Accenture; Warwick Impact Fund (University of Warwick); European Regional Development Fund (European Union (EU)); Alan Turing Institute; Medical Research Council (UK Research &amp; Innovation (UKRI), Medical Research Council UK (MRC)); National Institute for Health Research (National Institutes of Health Research (NIHR)); National Eye Institute (United States Department of Health &amp; Human Services, National Institutes of Health (NIH) - USA, NIH National Eye Institute (NEI)); National Heart Lung and Blood Institute (United States Department of Health &amp; Human Services, National Institutes of Health (NIH) - USA, NIH National Heart Lung &amp; Blood Institute (NHLBI)); FLF (UK Research &amp; Innovation (UKRI)); ISCF (UK Research &amp; Innovation (UKRI))</t>
  </si>
  <si>
    <t>We thank the participants who were involved in the Delphi study and Pilot study (Supplementary Note), Eliot Marston for providing strategic support (University of Birmingham, Birmingham, UK), and Charlotte Radovanovic (University Hospitals Birmingham NHS Foundation Trust, UK) and Anita Walker (University of Birmingham, UK) for administrative support. The views expressed in this publication are those of the authors, Delphi participants and stakeholder participants and may not represent the views of the broader stakeholder group or host institution. This work was funded by a Wellcome Trust Institutional Strategic Support Fund: Digital Health Pilot Grant, Research England (part of UK Research and Innovation), Health Data Research UK, and the Alan Turing Institute. The study was sponsored by the University of Birmingham, UK. The study funders and sponsors had no role in the design and conduct of the study; collection, management, analysis and interpretation of the data; preparation, review or approval of the manuscript; or decision to submit the manuscript for publication. MJC is a National Institute for Health Research (NIHR) Senior Investigator and receives funding from the NIHR Birmingham Biomedical Research Centre; the NIHR Surgical Reconstruction and Microbiology Research Centre and NITHR ARC West Midlands at the University of Birmingham and University Hospitals Birmingham NHS Foundation Trust; Health Data Research UK; Innovate UK (part of UK Research and Innovation); the Health Foundation; Macmillan Cancer Support; and UCB Pharma. ADa and JJD are also NIHR Senior Investigators. The views expressed in this article are those of the author(s) and not necessarily those of the NIHR, or the Department of Health and Social Care. DM is supported by a University of Ottawa Research Chair. MKEZ is supported by the US Food and Drug Administration (FDA), and DP is supported in part by the Office of the Director at the National Library of Medicine (NLM), US National Institutes of Health (NIH). AB is supported by an NIH award 7K01HL141771-02. PAK received grants from UKRI Future Leaders Fellowship and from Moorfields Eye Charity Career Development Award. SJV received funding from the Engineering and Physical Sciences Research Council, UK Research and Innovation (UKRI), Accenture, Warwick Impact Fund, Health Data Research UK, and European Regional Development Fund. SR is an employee of the UKRI. This article may not be consistent with NIH and/or FDA's views or policies. It reflects only the views and opinions of the authors.</t>
  </si>
  <si>
    <t>[Rivera, Samantha Cruz; Denniston, Alastair K.; Calvert, Melanie J.] Univ Birmingham, Ctr Patient Reported Outcome Res, Inst Appl Hlth Res, Birmingham, W Midlands, England; [Liu, Xiaoxuan; Denniston, Alastair K.] Univ Birmingham, Acad Unit Ophthalmol, Inst Inflammat &amp; Ageing, Coll Med &amp; Dent Sci, Birmingham, W Midlands, England; [Rivera, Samantha Cruz; Liu, Xiaoxuan; Denniston, Alastair K.; Calvert, Melanie J.] Univ Birmingham, Birmingham Hlth Partners Ctr Regulatory Sci &amp; Inn, Birmingham, W Midlands, England; [Liu, Xiaoxuan; Denniston, Alastair K.] Univ Hosp Birmingham NHS Fdn Trust, Dept Ophthalmol, Birmingham, W Midlands, England; [Liu, Xiaoxuan] Moorfields Eye Hosp NHS Fdn Trust, London, England; [Denniston, Alastair K.] Moorfields Hosp London NHS Fdn Trust, Natl Inst Hlth Res, Biomed Res Ctr ForOphthalmol, London, England; [Denniston, Alastair K.] UCL, Inst Ophthalmol, London, England; [Liu, Xiaoxuan; Denniston, Alastair K.; Calvert, Melanie J.] Hlth Data Res UK, London, England; [Calvert, Melanie J.] Univ Birmingham, Natl Inst Hlth Res, Surg Reconstruct &amp; Microbiol Ctr, Birmingham, W Midlands, England; [Calvert, Melanie J.] Univ Birmingham, Natl Inst Hlth Res, Birmingham Biomed Res Ctr, Birmingham, W Midlands, England; [Calvert, Melanie J.] Univ Hosp Birmingham NHS Fdn Trust Birmingham, Birmingham, W Midlands, England; [Calvert, Melanie J.] Natl Inst Hlth Res, Appl Res Collaborat West Midlands, Birmingham, W Midlands, England; [Chan, An-Wen] Univ Toronto, WomensColl Res Inst, Womens Coll Hosp, Dept Med, Toronto, ON, Canada</t>
  </si>
  <si>
    <t>University of Birmingham; University of Birmingham; University of Birmingham; University of Birmingham; University of London; University College London; Moorfields Eye Hospital NHS Foundation Trust; University of London; University College London; University of Birmingham; University of Birmingham; University Hospital Birmingham NHS Foundation Trust; University of Toronto; Womens College Hospital</t>
  </si>
  <si>
    <t>SPIRIT-Al CONSORT-Al Working Grp</t>
  </si>
  <si>
    <t>Guidelines for clinical trial protocols for interventions involving artificial intelligence: the SPIRIT-AI extension</t>
  </si>
  <si>
    <t>LANCET DIGITAL HEALTH</t>
  </si>
  <si>
    <t>SYSTEM; PREDICTION; STATEMENT; CANCER</t>
  </si>
  <si>
    <t>Calvert, Melanie/F-7055-2011; Chan, An-Wen/JPX-0277-2023; Denniston, Alastair/ABD-1238-2020</t>
  </si>
  <si>
    <t>50</t>
  </si>
  <si>
    <t>1356</t>
  </si>
  <si>
    <t>94</t>
  </si>
  <si>
    <t>2589-7500</t>
  </si>
  <si>
    <t>LANCET DIGIT HEALTH</t>
  </si>
  <si>
    <t>Lancet Digit. Health</t>
  </si>
  <si>
    <t>OCT 2020</t>
  </si>
  <si>
    <t>E549</t>
  </si>
  <si>
    <t>E560</t>
  </si>
  <si>
    <t>10.1016/S2589-7500(20)30219-3</t>
  </si>
  <si>
    <t>http://dx.doi.org/10.1016/S2589-7500(20)30219-3</t>
  </si>
  <si>
    <t>Medical Informatics; Medicine, General &amp; Internal</t>
  </si>
  <si>
    <t>Medical Informatics; General &amp; Internal Medicine</t>
  </si>
  <si>
    <t>OF3XN</t>
  </si>
  <si>
    <t>32908284</t>
  </si>
  <si>
    <t>WOS:000581145100012</t>
  </si>
  <si>
    <t>gold; Green Accepted; Green Submitted</t>
  </si>
  <si>
    <t>230</t>
  </si>
  <si>
    <t>Liu, XX; Rivera, SC; Moher, D; Calvert, MJ; Denniston, AK</t>
  </si>
  <si>
    <t>The CONSORT 2010 statement provides minimum guidelines for reporting randomised trials. Its widespread use has been instrumental in ensuring transparency in the evaluation of new interventions. More recently, there has been a growing recognition that interventions involving artificial intelligence (AI) need to undergo rigorous, prospective evaluation to demonstrate impact on health outcomes. The CONSORT-AI (Consolidated Standards of Reporting Trials-Artificial Intelligence) extension is a new reporting guideline for clinical trials evaluating interventions with an AI component. It was developed in parallel with its companion statement for clinical trial protocols: SPIRIT-AI (Standard Protocol Items: Recommendations for Interventional Trials-Artificial Intelligence). Both guidelines were developed through a staged consensus process involving literature review and expert consultation to generate 29 candidate items, which were assessed by an international multi-stakeholder group in a two-stage Delphi survey (103 stakeholders), agreed upon in a two-day consensus meeting (31 stakeholders), and refined through a checklist pilot (34 participants). The CONSORT-AI extension includes 14 new items that were considered sufficiently important for AI interventions that they should be routinely reported in addition to the core CONSORT 2010 items. CONSORT-AI recommends that investigators provide clear descriptions of the AI intervention, including instructions and skills required for use, the setting in which the AI intervention is integrated, the handling of inputs and outputs of the AI intervention, the human-AI interaction and provision of an analysis of error cases. CONSORT-AI will help promote transparency and completeness in reporting clinical trials for AI interventions. It will assist editors and peer reviewers, as well as the general readership, to understand, interpret, and critically appraise the quality of clinical trial design and risk of bias in the reported outcomes.</t>
  </si>
  <si>
    <t>Liu, Xiaoxuan; Rivera, Samantha Cruz; Moher, David; Calvert, Melanie J.; Denniston, Alastair K.</t>
  </si>
  <si>
    <t>Wellcome Trust Institutional Strategic Support Fund: Digital Health Pilot Grant; Research England (part of UK Research and Innovation); Health Data Research UK; Alan Turing Institute; University of Birmingham, UK; NIHR Birmingham Biomedical Research Centre; NIHR Surgical Reconstruction and Microbiology Research Centre; NIHR ARC West Midlands at the University of Birmingham; University Hospitals Birmingham NHS Foundation Trust; Health Foundation; Innovate UK (part of UK Research and Innovation); Macmillan Cancer Support; UCB Pharma; University of Ottawa Research Chair; US Food and Drug Administration (FDA); Office of the Director at the National Library of Medicine (NLM), US National Institutes of Health (NIH); NIH [7K01HL141771-02]; UKRI Future Leaders Fellowship; Moorfields Eye Charity Career Development Award; Engineering and Physical Sciences Research Council; UK Research and Innovation (UKRI); Accenture; Warwick Impact Fund; European Regional Development Fund; ISCF [MC_PC_19005] Funding Source: UKRI; Alan Turing Institute [TU/ASG/R-SPEH-113] Funding Source: researchfish; Medical Research Council [HDR-9002, MC_PC_19005] Funding Source: researchfish; National Institute for Health Research [CS-2014-14-023] Funding Source: researchfish; National Eye Institute [K23EY029246] Funding Source: NIH RePORTER; National Heart Lung and Blood Institute [K01HL141771] Funding Source: NIH RePORTER</t>
  </si>
  <si>
    <t>Wellcome Trust Institutional Strategic Support Fund: Digital Health Pilot Grant (Wellcome Trust); Research England (part of UK Research and Innovation) (UK Research &amp; Innovation (UKRI)); Health Data Research UK; Alan Turing Institute; University of Birmingham, UK (University of Birmingham); NIHR Birmingham Biomedical Research Centre; NIHR Surgical Reconstruction and Microbiology Research Centre; NIHR ARC West Midlands at the University of Birmingham (University of Birmingham); University Hospitals Birmingham NHS Foundation Trust; Health Foundation; Innovate UK (part of UK Research and Innovation) (UK Research &amp; Innovation (UKRI), Innovate UK); Macmillan Cancer Support; UCB Pharma (UCB Pharma SA); University of Ottawa Research Chair (University of Ottawa); US Food and Drug Administration (FDA); Office of the Director at the National Library of Medicine (NLM), US National Institutes of Health (NIH); NIH (United States Department of Health &amp; Human Services, National Institutes of Health (NIH) - USA); UKRI Future Leaders Fellowship (UK Research &amp; Innovation (UKRI)); Moorfields Eye Charity Career Development Award; Engineering and Physical Sciences Research Council (UK Research &amp; Innovation (UKRI), Engineering &amp; Physical Sciences Research Council (EPSRC)); UK Research and Innovation (UKRI) (UK Research &amp; Innovation (UKRI)); Accenture; Warwick Impact Fund (University of Warwick); European Regional Development Fund (European Union (EU)); ISCF (UK Research &amp; Innovation (UKRI)); Alan Turing Institute; Medical Research Council (UK Research &amp; Innovation (UKRI), Medical Research Council UK (MRC)); National Institute for Health Research (National Institutes of Health Research (NIHR)); National Eye Institute (United States Department of Health &amp; Human Services, National Institutes of Health (NIH) - USA, NIH National Eye Institute (NEI)); National Heart Lung and Blood Institute (United States Department of Health &amp; Human Services, National Institutes of Health (NIH) - USA, NIH National Heart Lung &amp; Blood Institute (NHLBI))</t>
  </si>
  <si>
    <t>We thank the participants who were involved in the Delphi study and Pilot study (Supplementary Note), Eliot Marston for providing strategic support (University of Birmingham, Birmingham, UK), and Charlotte Radovanovic (University Hospitals Birmingham NHS Foundation Trust, UK) and Anita Walker (University of Birmingham, UK) for administrative support. The views expressed in this publication are those of the authors, Delphi participants and stakeholder participants and may not represent the views of the broader stakeholder group or host institution. This work was funded by a Wellcome Trust Institutional Strategic Support Fund: Digital Health Pilot Grant, Research England (part of UK Research and Innovation), Health Data Research UK, and the Alan Turing Institute. The study was sponsored by the University of Birmingham, UK. The study funders and sponsors had no role in the design and conduct of the study; collection, management, analysis and interpretation of the data; preparation, review or approval of the manuscript; or decision to submit the manuscript for publication. MJC is a National Institute for Health Research (NIHR) Senior Investigator and receives funding from the NIHR Birmingham Biomedical Research Centre; the NIHR Surgical Reconstruction and Microbiology Research Centre and NIHR ARC West Midlands at the University of Birmingham and University Hospitals Birmingham NHS Foundation Trust; Health Data Research UK; Innovate UK (part of UK Research and Innovation); the Health Foundation; Macmillan Cancer Support; and UCB Pharma. ADa and JJD are also NIHR Senior Investigators. The views expressed in this article are those of the author(s) and not necessarily those of the NIHR, or the Department of Health and Social Care. DM is supported by a University of Ottawa Research Chair. MKEZ is supported by the US Food and Drug Administration (FDA), and DP is supported in part by the Office of the Director at the National Library of Medicine (NLM), US National Institutes of Health (NIH). AB is supported by an NIH award 7K01HL141771-02. PAK received grants from UKRI Future Leaders Fellowship and from Moorfields Eye Charity Career Development Award. SJV received funding from the Engineering and Physical Sciences Research Council, UK Research and Innovation (UKRI), Accenture, Warwick Impact Fund, Health Data Research UK, and European Regional Development Fund. SR is an employee of the UKRI. This article may not be consistent with NIH and/or FDA's views or policies. It reflects only the views and opinions of the authors.</t>
  </si>
  <si>
    <t>[Liu, Xiaoxuan; Denniston, Alastair K.] Univ Birmingham, Acad Unit Ophthalmol, Inst Inflammat &amp; Ageing, Coll Med &amp; Dent Sci, Birmingham, W Midlands, England; [Rivera, Samantha Cruz; Calvert, Melanie J.; Denniston, Alastair K.] Univ Birmingham, Ctr Patient Reported Outcome Res, Inst Appl Hlth Res, Birmingham, W Midlands, England; [Liu, Xiaoxuan; Rivera, Samantha Cruz; Calvert, Melanie J.; Denniston, Alastair K.] Univ Birmingham, Birrningham Hlth Partners Ctr Regulatory Sci &amp; In, Birmingham, W Midlands, England; [Liu, Xiaoxuan; Denniston, Alastair K.] Univ Hosp Birmingham NHS Fdn Trust, Dept Ophthalmol, Birmingham, W Midlands, England; [Liu, Xiaoxuan] Moorfields Eye Hosp NHS Fdn Trust, London, England; [Denniston, Alastair K.] Moorfields Eye Hosp London NHS Fdn Trust, Natl Inst Hlth Res, Biomed Res Ctr Ophthalmol, London, England; [Denniston, Alastair K.] UCL, Inst Ophthalmol, London, England; [Liu, Xiaoxuan; Calvert, Melanie J.; Denniston, Alastair K.] Hlth Data Res UK, London, England; [Moher, David] Ottawa Hosp, Ctr Journalol, Clin Epidemiol Program, Res Inst, Ottawa, ON, Canada; [Calvert, Melanie J.] Univ Birmingham, Natl Inst Hlth Res, Surg Reconstruct &amp; Microbiol Ctr, Birmingham, W Midlands, England; [Calvert, Melanie J.] Univ Birmingham, Natl Inst Hlth Res, Birmingham Biomed Res Ctr, Birmingham, W Midlands, England; [Calvert, Melanie J.] Univ Hosp Birmingham NHS Fdn Trust, Birmingham, W Midlands, England; [Calvert, Melanie J.] Inst Hlth Res, Appl Res Collaborat West Midlands, Birmingham, W Midlands, England; [Moher, David] Univ Ottawa, Sch Epidemiol &amp; Publ Hlth, Ottawa, ON, Canada</t>
  </si>
  <si>
    <t>University of Birmingham; University of Birmingham; University of Birmingham; University of Birmingham; University of London; University College London; Moorfields Eye Hospital NHS Foundation Trust; University of London; University College London; University of London; University College London; University of Ottawa; Ottawa Hospital Research Institute; University of Birmingham; University of Birmingham; University of Birmingham; University of Ottawa</t>
  </si>
  <si>
    <t>Reporting guidelines for clinical trial reports for interventions involving artificial intelligence: the CONSORT-AI extension</t>
  </si>
  <si>
    <t>RANDOMIZED-TRIALS; HEALTH-CARE; SYSTEM; QUALITY; PREDICTION; STATEMENT; CANCER</t>
  </si>
  <si>
    <t>Calvert, Melanie/F-7055-2011; Liu, Xiaoxuan/ABD-1238-2020; Moher, David/I-3408-2019; Denniston, Alastair/ABD-1238-2020</t>
  </si>
  <si>
    <t>Calvert, Melanie/0000-0002-1856-837X; Liu, Xiaoxuan/0000-0002-1286-0038; Liu, Xiaoxuan/0000-0002-1286-0038; Denniston, Alastair/0000-0001-7849-0087</t>
  </si>
  <si>
    <t>1407</t>
  </si>
  <si>
    <t>E537</t>
  </si>
  <si>
    <t>E548</t>
  </si>
  <si>
    <t>10.1016/S2589-7500(20)30218-1</t>
  </si>
  <si>
    <t>http://dx.doi.org/10.1016/S2589-7500(20)30218-1</t>
  </si>
  <si>
    <t>32909959</t>
  </si>
  <si>
    <t>WOS:000581145100011</t>
  </si>
  <si>
    <t>Holzinger, A; Langs, G; Denk, H; Zatloukal, K; Müller, H</t>
  </si>
  <si>
    <t>Explainable artificial intelligence (AI) is attracting much interest in medicine. Technically, the problem of explainability is as old as AI itself and classic AI represented comprehensible retraceable approaches. However, their weakness was in dealing with uncertainties of the real world. Through the introduction of probabilistic learning, applications became increasingly successful, but increasingly opaque. Explainable AI deals with the implementation of transparency and traceability of statistical black-box machine learning methods, particularly deep learning (DL). We argue that there is a need to go beyond explainable AI. To reach a level of explainable medicine we need causability. In the same way that usability encompasses measurements for the quality of use, causability encompasses measurements for the quality of explanations. In this article, we provide some necessary definitions to discriminate between explainability and causability as well as a use-case of DL interpretation and of human explanation in histopathology. The main contribution of this article is the notion of causability, which is differentiated from explainability in that causability is a property of a person, while explainability is a property of a system This article is categorized under: Fundamental Concepts of Data and Knowledge &gt; Human Centricity and User Interaction</t>
  </si>
  <si>
    <t>Holzinger, Andreas; Langs, Georg; Denk, Helmut; Zatloukal, Kurt; Mueller, Heimo</t>
  </si>
  <si>
    <t>Holzinger, A (corresponding author), Med Univ Graz, Inst Med Informat Stat &amp; Documentat, A-8036 Graz, Austria.</t>
  </si>
  <si>
    <t>andreas.holzinger@medunigraz.at</t>
  </si>
  <si>
    <t>FeatureCloud [826078]; Hochschulraum-Infrastrukturmittelfonds; MEFO; Austrian Science Fund FWF [I2714-B31]; EU under H2020 [765148]; Austrian Science Fund (FWF) [I2714] Funding Source: Austrian Science Fund (FWF)</t>
  </si>
  <si>
    <t>FeatureCloud; Hochschulraum-Infrastrukturmittelfonds; MEFO; Austrian Science Fund FWF (Austrian Science Fund (FWF)); EU under H2020; Austrian Science Fund (FWF) (Austrian Science Fund (FWF))</t>
  </si>
  <si>
    <t>FeatureCloud, Grant/Award Number: 826078 H2020 EU Project; Hochschulraum-Infrastrukturmittelfonds; MEFO, Grant/Award Number: MEFO-Graz; This work was partially supported by the Austrian Science Fund FWF (I2714-B31) and the EU under H2020 (765148)</t>
  </si>
  <si>
    <t>[Holzinger, Andreas; Mueller, Heimo] Med Univ Graz, Inst Med Informat Stat &amp; Documentat, A-8036 Graz, Austria; [Langs, Georg] Med Univ Vienna, Computat Imaging Res Lab, Dept Biomed Imaging &amp; Image Guided Therapy, Vienna, Austria; [Denk, Helmut; Zatloukal, Kurt; Mueller, Heimo] Med Univ Graz, Inst Pathol, Graz, Austria</t>
  </si>
  <si>
    <t>Medical University of Graz; Medical University of Vienna; Medical University of Graz</t>
  </si>
  <si>
    <t>Causability and explainability of artificial intelligence in medicine</t>
  </si>
  <si>
    <t>WILEY INTERDISCIPLINARY REVIEWS-DATA MINING AND KNOWLEDGE DISCOVERY</t>
  </si>
  <si>
    <t>artificial intelligence; causability; explainability; explainable AI; histopathology; medicine</t>
  </si>
  <si>
    <t>NEURAL-NETWORKS; DEEP; USABILITY; CANCER</t>
  </si>
  <si>
    <t>Müller, Heimo/GQH-6478-2022; HOLZINGER, Andreas/E-9530-2010</t>
  </si>
  <si>
    <t>Langs, Georg/0000-0002-5536-6873; Müller, Heimo/0000-0002-9691-4872; HOLZINGER, Andreas/0000-0002-6786-5194</t>
  </si>
  <si>
    <t>85</t>
  </si>
  <si>
    <t>1178</t>
  </si>
  <si>
    <t>1427</t>
  </si>
  <si>
    <t>462</t>
  </si>
  <si>
    <t>WILEY</t>
  </si>
  <si>
    <t>HOBOKEN</t>
  </si>
  <si>
    <t>111 RIVER ST, HOBOKEN 07030-5774, NJ USA</t>
  </si>
  <si>
    <t>1942-4787</t>
  </si>
  <si>
    <t>1942-4795</t>
  </si>
  <si>
    <t>WIRES DATA MIN KNOWL</t>
  </si>
  <si>
    <t>Wiley Interdiscip. Rev.-Data Mining Knowl. Discov.</t>
  </si>
  <si>
    <t>JUL 2019</t>
  </si>
  <si>
    <t>e1312</t>
  </si>
  <si>
    <t>10.1002/widm.1312</t>
  </si>
  <si>
    <t>http://dx.doi.org/10.1002/widm.1312</t>
  </si>
  <si>
    <t>IC9HP</t>
  </si>
  <si>
    <t>32089788</t>
  </si>
  <si>
    <t>WOS:000471293100005</t>
  </si>
  <si>
    <t>59</t>
  </si>
  <si>
    <t>108</t>
  </si>
  <si>
    <t>Dong, S; Wang, P; Abbas, K</t>
  </si>
  <si>
    <t>Deep learning, a branch of machine learning, is a frontier for artificial intelligence, aiming to be closer to its primary goal-artificial intelligence. This paper mainly adopts the summary and the induction methods of deep learning. Firstly, it introduces the global development and the current situation of deep learning. Secondly, it describes the structural principle, the characteristics, and some kinds of classic models of deep learning, such as stacked auto encoder, deep belief network, deep Boltzmann machine, and convolutional neural network. Thirdly, it presents the latest developments and applications of deep learning in many fields such as speech processing, computer vision, natural language processing, and medical applications. Finally, it puts forward the problems and the future research directions of deep learning. (C) 2021 Elsevier Inc. All rights reserved.</t>
  </si>
  <si>
    <t>Dong, Shi; Wang, Ping; Abbas, Khushnood</t>
  </si>
  <si>
    <t>Dong, S (corresponding author), Zhoukou Normal Univ, Sch Comp Sci &amp; Technol, Zhoukou 466000, Henan, Peoples R China.; Dong, S (corresponding author), Beijing Univ Posts &amp; Telecommun, State key Lab Networking &amp; Switching Technol, Beijing 100876, Peoples R China.</t>
  </si>
  <si>
    <t>njbsok@163.com</t>
  </si>
  <si>
    <t>Science and Technology Plan Projects of Henan Province [192102210125, 202102210379]; Zhoukou Normal University [ZKNUC2018019]; Open Foundation of State key Laboratory of Networking and Switching Technology (Beijing University of Posts and Telecommunications) [SKLNST-2020-2-01]</t>
  </si>
  <si>
    <t>Science and Technology Plan Projects of Henan Province; Zhoukou Normal University; Open Foundation of State key Laboratory of Networking and Switching Technology (Beijing University of Posts and Telecommunications)</t>
  </si>
  <si>
    <t>The authors would like to thank the anonymous reviewers for their helpful comments to improve the technical quality of the paper. This paper is supported by Science and Technology Plan Projects of Henan Province (Grant No. 192102210125, 202102210379), Zhoukou Normal University super scientific project grant ZKNUC2018019 and Open Foundation of State key Laboratory of Networking and Switching Technology (Beijing University of Posts and Telecommunications) (Grant No. SKLNST-2020-2-01).</t>
  </si>
  <si>
    <t>[Dong, Shi; Wang, Ping; Abbas, Khushnood] Zhoukou Normal Univ, Sch Comp Sci &amp; Technol, Zhoukou 466000, Henan, Peoples R China; [Dong, Shi] Beijing Univ Posts &amp; Telecommun, State key Lab Networking &amp; Switching Technol, Beijing 100876, Peoples R China</t>
  </si>
  <si>
    <t>Zhoukou Normal University; Beijing University of Posts &amp; Telecommunications</t>
  </si>
  <si>
    <t>A survey on deep learning and its applications</t>
  </si>
  <si>
    <t>COMPUTER SCIENCE REVIEW</t>
  </si>
  <si>
    <t>Deep learning; Stacked auto encoder; Deep belief networks; Deep Boltzmann machine; Convolutional neural network</t>
  </si>
  <si>
    <t>OBJECT DETECTION; NEURAL-NETWORKS; VEHICLE DETECTION; IMAGE; CLASSIFICATION; SEGMENTATION; ALGORITHM; DROPOUT; SYSTEMS</t>
  </si>
  <si>
    <t>Abbas, Khushnood/I-6735-2017; Dong, Shi/ITT-3871-2023</t>
  </si>
  <si>
    <t>Abbas, Khushnood/0000-0002-0096-3179; Dong, Shi/0000-0003-4616-6519</t>
  </si>
  <si>
    <t>202</t>
  </si>
  <si>
    <t>1156</t>
  </si>
  <si>
    <t>1340</t>
  </si>
  <si>
    <t>84</t>
  </si>
  <si>
    <t>3500</t>
  </si>
  <si>
    <t>1574-0137</t>
  </si>
  <si>
    <t>1876-7745</t>
  </si>
  <si>
    <t>COMPUT SCI REV</t>
  </si>
  <si>
    <t>Comput. Sci. Rev.</t>
  </si>
  <si>
    <t>MAY 2021</t>
  </si>
  <si>
    <t>40</t>
  </si>
  <si>
    <t>100379</t>
  </si>
  <si>
    <t>10.1016/j.cosrev.2021.100379</t>
  </si>
  <si>
    <t>http://dx.doi.org/10.1016/j.cosrev.2021.100379</t>
  </si>
  <si>
    <t>MAR 2021</t>
  </si>
  <si>
    <t>Computer Science, Information Systems; Computer Science, Software Engineering; Computer Science, Theory &amp; Methods</t>
  </si>
  <si>
    <t>SV0EF</t>
  </si>
  <si>
    <t>WOS:000663500200003</t>
  </si>
  <si>
    <t>152</t>
  </si>
  <si>
    <t>Alom, MZ; Taha, TM; Yakopcic, C; Westberg, S; Sidike, P; Nasrin, MS; Hasan, M; Van Essen, BC; Awwal, AAS; Asari, VK</t>
  </si>
  <si>
    <t>In recent years, deep learning has garnered tremendous success in a variety of application domains. This new field of machine learning has been growing rapidly and has been applied to most traditional application domains, as well as some new areas that present more opportunities. Different methods have been proposed based on different categories of learning, including supervised, semi-supervised, and un-supervised learning. Experimental results show state-of-the-art performance using deep learning when compared to traditional machine learning approaches in the fields of image processing, computer vision, speech recognition, machine translation, art, medical imaging, medical information processing, robotics and control, bioinformatics, natural language processing, cybersecurity, and many others. This survey presents a brief survey on the advances that have occurred in the area of Deep Learning (DL), starting with the Deep Neural Network (DNN). The survey goes on to cover Convolutional Neural Network (CNN), Recurrent Neural Network (RNN), including Long Short-Term Memory (LSTM) and Gated Recurrent Units (GRU), Auto-Encoder (AE), Deep Belief Network (DBN), Generative Adversarial Network (GAN), and Deep Reinforcement Learning (DRL). Additionally, we have discussed recent developments, such as advanced variant DL techniques based on these DL approaches. This work considers most of the papers published after 2012 from when the history of deep learning began. Furthermore, DL approaches that have been explored and evaluated in different application domains are also included in this survey. We also included recently developed frameworks, SDKs, and benchmark datasets that are used for implementing and evaluating deep learning approaches. There are some surveys that have been published on DL using neural networks and a survey on Reinforcement Learning (RL). However, those papers have not discussed individual advanced techniques for training large-scale deep learning models and the recently developed method of generative models.</t>
  </si>
  <si>
    <t>Alom, Md Zahangir; Taha, Tarek M.; Yakopcic, Chris; Westberg, Stefan; Sidike, Paheding; Nasrin, Mst Shamima; Hasan, Mahmudul; Van Essen, Brian C.; Awwal, Abdul A. S.; Asari, Vijayan K.</t>
  </si>
  <si>
    <t>Alom, MZ (corresponding author), Univ Dayton, Dept Elect &amp; Comp Engn, Dayton, OH 45469 USA.</t>
  </si>
  <si>
    <t>vanessen1@llnl.gov; cyakopcic1@udayton.edu; mahmud.ucr@gmail.com; vasari1@udayton.edu; sidike.paheding@slu.edu; alomm1@udayton.edu; nasrinm1@udayton.edu; ttaha1@udayton.edu; westbergs1@udayton.edu; awwal1@llnl.gov</t>
  </si>
  <si>
    <t>National Science Foundation [1718633, 1309708]; Directorate For Engineering; Div Of Electrical, Commun &amp; Cyber Sys [1309708] Funding Source: National Science Foundation; Division of Computing and Communication Foundations; Direct For Computer &amp; Info Scie &amp; Enginr [1718633] Funding Source: National Science Foundation</t>
  </si>
  <si>
    <t>National Science Foundation (National Science Foundation (NSF)); Directorate For Engineering; Div Of Electrical, Commun &amp; Cyber Sys (National Science Foundation (NSF), NSF - Directorate for Engineering (ENG), NSF - Division of Electrical, Communications &amp; Cyber Systems (ECCS)); Division of Computing and Communication Foundations; Direct For Computer &amp; Info Scie &amp; Enginr (National Science Foundation (NSF), NSF - Directorate for Computer &amp; Information Science &amp; Engineering (CISE))</t>
  </si>
  <si>
    <t>This work was supported by the National Science Foundation under awards 1718633 and 1309708.</t>
  </si>
  <si>
    <t>[Alom, Md Zahangir; Taha, Tarek M.; Yakopcic, Chris; Westberg, Stefan; Nasrin, Mst Shamima; Asari, Vijayan K.] Univ Dayton, Dept Elect &amp; Comp Engn, Dayton, OH 45469 USA; [Sidike, Paheding] St Louis Univ, Dept Earth &amp; Atmospher Sci, St Louis, MO 63108 USA; [Hasan, Mahmudul] Comcast Labs, Washington, DC 20005 USA; [Van Essen, Brian C.; Awwal, Abdul A. S.] LLNL, Livermore, CA 94550 USA</t>
  </si>
  <si>
    <t>University System of Ohio; University of Dayton; Saint Louis University; United States Department of Energy (DOE); Lawrence Livermore National Laboratory</t>
  </si>
  <si>
    <t>A State-of-the-Art Survey on Deep Learning Theory and Architectures</t>
  </si>
  <si>
    <t>ELECTRONICS</t>
  </si>
  <si>
    <t>deep learning; convolutional neural network (CNN); recurrent neural network (RNN); auto-encoder (AE); restricted Boltzmann machine (RBM); deep belief network (DBN); generative adversarial network (GAN); deep reinforcement learning (DRL); transfer learning</t>
  </si>
  <si>
    <t>NEURAL-NETWORKS; IMAGE CLASSIFICATION; REPRESENTATIONS; SEGMENTATION; CHALLENGES; ALGORITHM; DOMAINS; GAME; GO</t>
  </si>
  <si>
    <t>329</t>
  </si>
  <si>
    <t>1139</t>
  </si>
  <si>
    <t>1322</t>
  </si>
  <si>
    <t>33</t>
  </si>
  <si>
    <t>1984</t>
  </si>
  <si>
    <t>2079-9292</t>
  </si>
  <si>
    <t>ELECTRONICS-SWITZ</t>
  </si>
  <si>
    <t>Electronics</t>
  </si>
  <si>
    <t>MAR 5 2019</t>
  </si>
  <si>
    <t>292</t>
  </si>
  <si>
    <t>10.3390/electronics8030292</t>
  </si>
  <si>
    <t>http://dx.doi.org/10.3390/electronics8030292</t>
  </si>
  <si>
    <t>66</t>
  </si>
  <si>
    <t>Computer Science, Information Systems; Engineering, Electrical &amp; Electronic; Physics, Applied</t>
  </si>
  <si>
    <t>Computer Science; Engineering; Physics</t>
  </si>
  <si>
    <t>HT0EY</t>
  </si>
  <si>
    <t>WOS:000464239600001</t>
  </si>
  <si>
    <t>455</t>
  </si>
  <si>
    <t>Hsieh, CY; Su, CC; Shao, SC; Sung, SF; Lin, SJ; Yang, YHK; Lai, ECC</t>
  </si>
  <si>
    <t>Taiwan's National Health Insurance Research Database (NHIRD) exemplifies a population-level data source for generating real-world evidence to support clinical decisions and health care policy-making. Like with all claims databases, there have been some validity concerns of studies using the NHIRD, such as the accuracy of diagnosis codes and issues around unmeasured confounders. Endeavors to validate diagnosed codes or to develop methodologic approaches to address unmeasured confounders have largely increased the reliability of NHIRD studies. Recently, Taiwan's Ministry of Health and Welfare (MOHW) established a Health and Welfare Data Center (HWDC), a data repository site that centralizes the NHIRD and about 70 other health-related databases for data management and analyses. To strengthen the protection of data privacy, investigators are required to conduct on-site analysis at an HWDC through remote connection to MOHW servers. Although the tight regulation of this on-site analysis has led to inconvenience for analysts and has increased time and costs required for research, the HWDC has created opportunities for enriched dimensions of study by linking across the NHIRD and other databases. In the near future, researchers will have greater opportunity to distill knowledge from the NHIRD linked to hospital-based electronic medical records databases containing unstructured patient-level information by using artificial intelligence techniques, including machine learning and natural language processes. We believe that NHIRD with multiple data sources could represent a powerful research engine with enriched dimensions and could serve as a guiding light for real-world evidence-based medicine in Taiwan.</t>
  </si>
  <si>
    <t>Hsieh, Cheng-Yang; Su, Chien-Chou; Shao, Shih-Chieh; Sung, Sheng-Feng; Lin, Swu-Jane; Yang, Yea-Huei Kao; Lai, Edward Chia-Cheng</t>
  </si>
  <si>
    <t>Lai, ECC (corresponding author), Natl Cheng Kung Univ, Inst Clin Pharm &amp; Pharmaceut Sci, Sch Pharm, Coll Med, 1,Univ Rd, Tainan 701, Taiwan.</t>
  </si>
  <si>
    <t>edward_lai@mail.ncku.edu.tw</t>
  </si>
  <si>
    <t>Ministry of Science and Technology of Taiwan [107-2320-B-006-070-MY3]</t>
  </si>
  <si>
    <t>Ministry of Science and Technology of Taiwan (National Science &amp; Technology Council (NSTC) Taiwan)</t>
  </si>
  <si>
    <t>This work was supported by Ministry of Science and Technology of Taiwan (107-2320-B-006-070-MY3). The authors thank Health Data Science Center, National Cheng Kung University Hospital for providing administrative support. The funding institutions of this study had no further role in the collection, analysis, and interpretation of data, the writing of this paper, or the decision to submit it for publication.</t>
  </si>
  <si>
    <t>[Hsieh, Cheng-Yang; Su, Chien-Chou; Shao, Shih-Chieh; Yang, Yea-Huei Kao; Lai, Edward Chia-Cheng] Natl Cheng Kung Univ, Inst Clin Pharm &amp; Pharmaceut Sci, Sch Pharm, Coll Med, 1,Univ Rd, Tainan 701, Taiwan; [Hsieh, Cheng-Yang] Tainan Sin Lau Hosp, Dept Neurol, Tainan, Taiwan; [Shao, Shih-Chieh] Chang Gung Mem Hosp, Dept Pharm, Keelung, Taiwan; [Sung, Sheng-Feng] Chiayi Christian Hosp, Div Neurol, Dept Internal Med, Ditmanson Med Fdn, Chiayi, Taiwan; [Sung, Sheng-Feng] Natl Chung Cheng Univ, Dept Informat Management, Chiayi, Chiayi, Taiwan; [Sung, Sheng-Feng] Natl Chung Cheng Univ, Inst Healthcare Informat Management, Chiayi, Chiayi, Taiwan; [Lin, Swu-Jane] Univ Illinois, Coll Pharm, Dept Pharm Syst Outcomes &amp; Policy, Chicago, IL USA; [Lai, Edward Chia-Cheng] Natl Cheng Kung Univ Hosp, Dept Pharm, Tainan, Taiwan</t>
  </si>
  <si>
    <t>National Cheng Kung University; Chang Gung Memorial Hospital; Chia-Yi Christian Hospital; National Chung Cheng University; National Chung Cheng University; University of Illinois System; University of Illinois Chicago; University of Illinois Chicago Hospital; National Cheng Kung University; National Cheng Kung University Hospital</t>
  </si>
  <si>
    <t>Taiwan's National Health Insurance Research Database: past and future</t>
  </si>
  <si>
    <t>CLINICAL EPIDEMIOLOGY</t>
  </si>
  <si>
    <t>Health and Welfare Data Center of Taiwan; real-world data; big data analysis; validation; database cross-linkage</t>
  </si>
  <si>
    <t>ADVERSE DRUG-REACTIONS; STROKE SEVERITY INDEX; ISCHEMIC-STROKE; RISK-FACTORS; ASSOCIATION; VALIDATION; MULTICOUNTRY; PERFORMANCE; INHIBITORS; INFECTION</t>
  </si>
  <si>
    <t>Hsieh, Cheng-Yang/W-4841-2019; Shao, Shih-Chieh/AGJ-3165-2022</t>
  </si>
  <si>
    <t>Lai, Edward Chia-Cheng/0000-0002-5852-7652; Sung, Sheng-Feng/0000-0002-6253-8813; Hsieh, Cheng-Yang/0000-0002-8772-4073; Lin, Swu-Jane/0000-0003-0953-9988; Su, Chien-Chou/0000-0001-5046-125X; Shao, Shih-Chieh/0000-0003-4867-6686</t>
  </si>
  <si>
    <t>1121</t>
  </si>
  <si>
    <t>1138</t>
  </si>
  <si>
    <t>151</t>
  </si>
  <si>
    <t>DOVE MEDICAL PRESS LTD</t>
  </si>
  <si>
    <t>ALBANY</t>
  </si>
  <si>
    <t>PO BOX 300-008, ALBANY, AUCKLAND 0752, NEW ZEALAND</t>
  </si>
  <si>
    <t>1179-1349</t>
  </si>
  <si>
    <t>CLIN EPIDEMIOL</t>
  </si>
  <si>
    <t>Clin. Epidemiol.</t>
  </si>
  <si>
    <t>349</t>
  </si>
  <si>
    <t>10.2147/CLEP.S196293</t>
  </si>
  <si>
    <t>http://dx.doi.org/10.2147/CLEP.S196293</t>
  </si>
  <si>
    <t>Public, Environmental &amp; Occupational Health</t>
  </si>
  <si>
    <t>HX0XG</t>
  </si>
  <si>
    <t>31118821</t>
  </si>
  <si>
    <t>WOS:000467113200001</t>
  </si>
  <si>
    <t>Xu, YJ; Liu, X; Cao, X; Huang, CP; Liu, EK; Qian, S; Liu, XC; Wu, YJ; Dong, FL; Qiu, CW; Qiu, JJ; Hua, KQ; Su, WT; Wu, J; Xu, HY; Han, Y; Fu, CG; Yin, ZG; Liu, M; Roepman, R; Dietmann, S; Virta, M; Kengara, F; Zhang, Z; Zhang, LF; Zhao, TL; Dai, J; Yang, JL; Lan, L; Luo, M; Liu, ZF; An, T; Zhang, B; He, X; Cong, S; Liu, XH; Zhang, W; Lewis, JP; Tiedje, JM; Wang, Q; An, ZL; Wang, F; Zhang, LB; Huang, T; Lu, C; Cai, ZP; Wang, F; Zhang, JB</t>
  </si>
  <si>
    <t>Y Artificial intelligence (AI) coupled with promising machine learning (ML) techniques well known from computer science is broadly affecting many aspects of various fields including science and technology, industry, and even our day-to-day life. The ML techniques have been developed to analyze high-throughput data with a view to obtaining useful insights, categorizing, predicting, and making evidence-based decisions in novel ways, which will promote the growth of novel applications and fuel the sustainable booming of AI. This paper undertakes a comprehensive survey on the development and application of AI in different aspects of fundamental sciences, including information science, mathematics, medical science, materials science, geoscience, life science, physics, and chemistry. The challenges that each discipline of science meets, and the potentials of AI techniques to handle these challenges, are discussed in detail. Moreover, we shed light on new research trends entailing the integration of AI into each scientific discipline. The aim of this paper is to provide a broad research guideline on fundamental sciences with potential infusion of AI, to help motivate researchers to deeply understand the state-of-the-art applications of AI-based fundamental sciences, and thereby to help promote the continuous development of these fundamental sciences.</t>
  </si>
  <si>
    <t>Xu, Yongjun; Liu, Xin; Cao, Xin; Huang, Changping; Liu, Enke; Qian, Sen; Liu, Xingchen; Wu, Yanjun; Dong, Fengliang; Qiu, Cheng-Wei; Qiu, Junjun; Hua, Keqin; Su, Wentao; Wu, Jian; Xu, Huiyu; Han, Yong; Fu, Chenguang; Yin, Zhigang; Liu, Miao; Roepman, Ronald; Dietmann, Sabine; Virta, Marko; Kengara, Fredrick; Zhang, Ze; Zhang, Lifu; Zhao, Taolan; Dai, Ji; Yang, Jialiang; Lan, Liang; Luo, Ming; Liu, Zhaofeng; An, Tao; Zhang, Bin; He, Xiao; Cong, Shan; Liu, Xiaohong; Zhang, Wei; Lewis, James P.; Tiedje, James M.; Wang, Qi; An, Zhulin; Wang, Fei; Zhang, Libo; Huang, Tao; Lu, Chuan; Cai, Zhipeng; Wang, Fang; Zhang, Jiabao</t>
  </si>
  <si>
    <t>Emerging Sources Citation Index (ESCI)</t>
  </si>
  <si>
    <t>Wang, Q; An, ZL; Wang, F (corresponding author), Chinese Acad Sci, Inst Comp Technol, Beijing 100190, Peoples R China.; Zhang, LB (corresponding author), Chinese Acad Sci, Inst Software, Beijing 100190, Peoples R China.; Huang, T (corresponding author), Chinese Acad Sci, Shanghai Inst Nutr &amp; Hlth, Shanghai 200031, Peoples R China.; Lu, C (corresponding author), Aberystwyth Univ, Dept Comp Sci, Aberystwyth SY23 3FL, Ceredigion, Wales.; Cai, ZP (corresponding author), Georgia State Univ, Dept Comp Sci, Atlanta, GA 30303 USA.; Wang, F; Zhang, JB (corresponding author), Chinese Acad Sci, Inst Soil Sci, Nanjing 210008, Peoples R China.; Wang, Q; An, ZL; Wang, F; Zhang, LB; Wang, F; Zhang, JB (corresponding author), Univ Chinese Acad Sci, Beijing 100049, Peoples R China.; Wang, Q (corresponding author), Zhejiang Lab, Hangzhou 311121, Peoples R China.</t>
  </si>
  <si>
    <t>wangfang@issas.ac.cn; wangqi08@ict.ac.cn; libo@iscas.ac.cn; zcai@gsu.edu; anzhulin@ict.ac.cn; cul@aber.ac.uk; wangfei@ict.ac.cn; jiabaozhang@issac.ac.cn; huangtao@sibs.ac.cn</t>
  </si>
  <si>
    <t>National Key RAMP;D Program of China [2018YFA0404603, 2019YFA0704900, 2020YFC1807000, 2020YFB1313700]; Youth Innovation Promotion Association CAS [2011225, 2012006, 2013002, 2015316, 2016275, 2017017, 2017086, 2017120, 2017204, 2017300, 2017399, 2018356, 2020111, 2020179, Y201664, Y201822, Y201911]; NSFC [12075253, 52173241, 61902376]; Foundation of State Key Laboratory of Particle Detection and Electronics [SKLPDE-ZZ201902]; Program of Science AMP; Technology Service Network of CAS [KFJ-STS-QYZX050]; Fundamental Science Center of the National Nature Science Foundation of China [52088101, 11971466]; Scientific Instrument Developing Project of CAS [ZDKYYQ20210003]; Strategic Priority Research Program (B) of CAS [XDB33000000]; National Science Foundation of Fujian Province for Distinguished Young Scholars [2019J06023]; Key Research Program of Frontier Sciences, CAS [ZDBS-LY-7022, ZDBS-LY-DQC012]; CAS Project for Young Scientists in Basic Research [YSBR005]</t>
  </si>
  <si>
    <t>National Key RAMP;D Program of China; Youth Innovation Promotion Association CAS; NSFC (National Natural Science Foundation of China (NSFC)); Foundation of State Key Laboratory of Particle Detection and Electronics; Program of Science AMP; Technology Service Network of CAS; Fundamental Science Center of the National Nature Science Foundation of China (National Natural Science Foundation of China (NSFC)); Scientific Instrument Developing Project of CAS; Strategic Priority Research Program (B) of CAS; National Science Foundation of Fujian Province for Distinguished Young Scholars; Key Research Program of Frontier Sciences, CAS; CAS Project for Young Scientists in Basic Research</t>
  </si>
  <si>
    <t>This work was partially supported by the National Key R&amp;D Program of China (2018YFA0404603, 2019YFA0704900, 2020YFC1807000, and 2020YFB1313700), the Youth Innovation Promotion Association CAS (2011225, 2012006, 2013002, 2015316, 2016275, 2017017, 2017086, 2017120, 2017204, 2017300, 2017399, 2018356, 2020111, 2020179, Y201664, Y201822, and Y201911), NSFC (nos. 12075253, 52173241, and 61902376), the Foundation of State Key Laboratory of Particle Detection and Electronics (SKLPDE-ZZ201902), the Program of Science &amp; Technology Service Network of CAS (KFJ-STS-QYZX050), the Fundamental Science Center of the National Nature Science Foundation of China (nos. 52088101 and 11971466), the Scientific Instrument Developing Project of CAS (ZDKYYQ20210003), the Strategic Priority Research Program (B) of CAS (XDB33000000), the National Science Foundation of Fujian Province for Distinguished Young Scholars (2019J06023), the Key Research Program of Frontier Sciences, CAS (nos. ZDBS-LY-7022 and ZDBS-LY-DQC012), the CAS Project for Young Scientists in Basic Research (no. YSBR005). The study is dedicated to the 10th anniversary of the Youth Innovation Promotion Association of the Chinese Academy of Sciences.</t>
  </si>
  <si>
    <t>[Xu, Yongjun; Wang, Qi; An, Zhulin; Wang, Fei] Chinese Acad Sci, Inst Comp Technol, Beijing 100190, Peoples R China; [Wu, Yanjun; Zhang, Libo] Chinese Acad Sci, Inst Software, Beijing 100190, Peoples R China; [Dong, Fengliang] Natl Ctr Nanosci &amp; Technol, Beijing 100190, Peoples R China; [Qiu, Cheng-Wei] Natl Univ Singapore, Dept Elect &amp; Comp Engn, Singapore 117583, Singapore; [Liu, Xin] Chinese Acad Sci, Acad Math &amp; Syst Sci, Beijing 100190, Peoples R China; [Qiu, Junjun; Hua, Keqin] Fudan Univ, Obstet &amp; Gynaecol Hosp, Dept Gynaecol, Shanghai 200011, Peoples R China; [Su, Wentao] Dalian Polytech Univ, Sch Food Sci &amp; Technol, Dalian 116034, Peoples R China; [Xu, Huiyu] Peking Univ Third Hosp, Dept Obstet &amp; Gynecol, Beijing 100191, Peoples R China; [Han, Yong] Zhejiang Prov Peoples Hosp, Hangzhou 310014, Peoples R China; [Cao, Xin] Fudan Univ, Zhongshan Hosp, Inst Clin Sci, Shanghai 200032, Peoples R China; [Liu, Enke; Liu, Miao] Chinese Acad Sci, Inst Phys, Beijing 100190, Peoples R China; [Fu, Chenguang] Zhejiang Univ, Sch Mat Sci &amp; Engn, Hangzhou 310027, Peoples R China; [Yin, Zhigang] Chinese Acad Sci, Fujian Inst Res Struct Matter, Fuzhou 350002, Peoples R China; [Roepman, Ronald] Radboud Univ Nijmegen, Med Ctr, NL-6500 Nijmegen, Netherlands; [Dietmann, Sabine] Washington Univ, Inst Informat, Sch Med, St Louis, MO 63110 USA; [Virta, Marko] Univ Helsinki, Dept Microbiol, Helsinki 00014, Finland; [Kengara, Fredrick] Bomet Univ Coll, Sch Pure &amp; Appl Sci, Bomet 20400, Kenya; [Huang, Changping; Zhang, Lifu] Chinese Acad Sci, Aerosp Informat Res Inst, Beijing 100094, Peoples R China; [Zhang, Ze; Zhang, Lifu] Shihezi Univ, Agr Coll, Shihezi 832000, Xinjiang, Peoples R China; [Zhao, Taolan] Chinese Acad Sci, Inst Genet &amp; Dev Biol, Beijing 100101, Peoples R China; [Dai, Ji] Chinese Acad Sci, Brain Cognit &amp; Brain Dis Inst, Shenzhen Inst Adv Technol, Shenzhen 518055, Peoples R China; [Yang, Jialiang] Geneis Beijing Co Ltd, Beijing 100102, Peoples R China; [Lan, Liang] Hong Kong Baptist Univ, Dept Commun Studies, Hong Kong, Peoples R China; [Luo, Ming] Chinese Acad Sci, South China Bot Garden, Guangzhou 510650, Peoples R China; [Huang, Tao] Chinese Acad Sci, Shanghai Inst Nutr &amp; Hlth, Shanghai 200031, Peoples R China; [Qian, Sen; Liu, Zhaofeng; He, Xiao] Chinese Acad Sci, Inst High Energy Phys, Beijing 100049, Peoples R China; [An, Tao] Chinese Acad Sci, Shanghai Astron Observ, Shanghai 200030, Peoples R China; [Liu, Xingchen; Zhang, Bin; Lewis, James P.] Chinese Acad Sci, Inst Coal Chem, Taiyuan 030001, Peoples R China; [Cong, Shan] Chinese Acad Sci, Suzhou Inst Nanotech &amp; Nanobion, Suzhou 215123, Peoples R China; [Liu, Xiaohong; Zhang, Wei] Chinese Acad Sci, Chongqing Inst Green &amp; Intelligent Technol, Chongqing 400714, Peoples R China; [Lu, Chuan] Aberystwyth Univ, Dept Comp Sci, Aberystwyth SY23 3FL, Ceredigion, Wales; [Cai, Zhipeng] Georgia State Univ, Dept Comp Sci, Atlanta, GA 30303 USA; [Wang, Fang; Zhang, Jiabao] Chinese Acad Sci, Inst Soil Sci, Nanjing 210008, Peoples R China; [Tiedje, James M.] Michigan State Univ, Ctr Microbial Ecol, Dept Plant Soil &amp; Microbial Sci, E Lansing, MI 48824 USA; [Xu, Yongjun; Liu, Xin; Huang, Changping; Wu, Yanjun; Dong, Fengliang; Dai, Ji; Liu, Zhaofeng; Wang, Qi; An, Zhulin; Wang, Fei; Zhang, Libo; Wang, Fang; Zhang, Jiabao] Univ Chinese Acad Sci, Beijing 100049, Peoples R China; [Qiu, Junjun; Hua, Keqin] Shanghai Key Lab Female Reprod Endocrine Related, Shanghai 200011, Peoples R China; [Liu, Enke; Liu, Miao] Songshan Lake Mat Lab, Dongguan 523808, Guangdong, Peoples R China; [Dai, Ji] Shenzhen Hong Kong Inst Brain Sci Shenzhen Fundam, Shenzhen 518055, Peoples R China; [Luo, Ming] Chinese Acad Sci, Ctr Econ Bot, Core Bot Gardens, Guangzhou 510650, Peoples R China; [Wang, Qi] Zhejiang Lab, Hangzhou 311121, Peoples R China; [Wu, Jian] Zhejiang Univ, Affiliated Hosp 2, Sch Med, Hangzhou 310058, Peoples R China; [Wu, Jian] Zhejiang Univ, Sch Publ Hlth, Hangzhou 310058, Peoples R China</t>
  </si>
  <si>
    <t>Chinese Academy of Sciences; Institute of Computing Technology, CAS; Chinese Academy of Sciences; Institute of Software, CAS; Chinese Academy of Sciences; National Center for Nanoscience &amp; Technology, CAS; National University of Singapore; Chinese Academy of Sciences; Academy of Mathematics &amp; System Sciences, CAS; Fudan University; Dalian Polytechnic University; Peking University; Hangzhou Medical College; Zhejiang Provincial People's Hospital; Fudan University; Chinese Academy of Sciences; Institute of Physics, CAS; Zhejiang University; Chinese Academy of Sciences; Fujian Institute of Research on the Structure of Matter, CAS; Radboud University Nijmegen; Washington University (WUSTL); University of Helsinki; Finland National Institute for Health &amp; Welfare; Chinese Academy of Sciences; Aerospace Information Research Institute, CAS; Shihezi University; Chinese Academy of Sciences; Institute of Genetics &amp; Developmental Biology, CAS; Chinese Academy of Sciences; Shenzhen Institute of Advanced Technology, CAS; Hong Kong Baptist University; Chinese Academy of Sciences; South China Botanical Garden, CAS; Chinese Academy of Sciences; Shanghai Institute of Nutrition &amp; Health, CAS; Chinese Academy of Sciences; Institute of High Energy Physics, CAS; Chinese Academy of Sciences; Shanghai Astronomical Observatory, CAS; Chinese Academy of Sciences; Institute of Coal Chemistry, CAS; Chinese Academy of Sciences; Suzhou Institute of Nano-Tech &amp; Nano-Bionics, CAS; Chinese Academy of Sciences; Chongqing Institute of Green &amp; Intelligent Technology, CAS; Aberystwyth University; University System of Georgia; Georgia State University; Chinese Academy of Sciences; Nanjing Institute of Soil Science, CAS; Michigan State University; Chinese Academy of Sciences; University of Chinese Academy of Sciences, CAS; Shanghai Academy of Science &amp; Technology; Songshan Lake Materials Laboratory; Chinese Academy of Sciences; Zhejiang Laboratory; Zhejiang University; Zhejiang University</t>
  </si>
  <si>
    <t>Artificial intelligence: A powerful paradigm for scientific research</t>
  </si>
  <si>
    <t>INNOVATION</t>
  </si>
  <si>
    <t>artificial intelligence; machine learning; deep learning; information science; mathematics; medical science; materials science; geoscience; life science; physics; chemistry</t>
  </si>
  <si>
    <t>NEURAL-NETWORKS; DEEP; IDENTIFICATION; OPTIMIZATION; NEUROSCIENCE; PREDICTION; ALGORITHM; SYMMETRY; CATALOG; MODELS</t>
  </si>
  <si>
    <t>huang, yanshan/AAF-7518-2021; Zhang, Lifu/KZU-2255-2024; Liu, Xin/OGQ-7780-2025; Dietmann, Sabine./KEH-8629-2024; Lewis, James/AET-1558-2022; Zhang, Bin/D-5581-2019; Yang, Jialiang/GSD-8161-2022; Qiu, Chengwei/AAI-6274-2021; Roepman, Ronald/B-1339-2014; Fu, Chenguang/J-6939-2014; Su, Wentao/AAJ-9629-2020; Yin, Zhigang/E-4679-2016; Wang, Fei/AAD-7044-2020; Cong, Shan/K-8216-2018; Virta, Marko/JAN-7343-2023; He, Xiao/D-6584-2014; liu, zhaofeng/GXV-7283-2022; Tiedje, James/ABH-7937-2022; Liu, Enke/B-8999-2008; Cai, Zhipeng/AAA-7659-2021; Liu, Miao/L-8806-2019; Zhang, Wei/H-2082-2012; Kengara, Freick Orori/U-4945-2017; Liu, Xingchen/AAN-1150-2021; Xu, Yongjun/PNH-0793-2026; ZHANG, Libo/AAP-4097-2020; Dai, Ji/GNH-5395-2022; Wang, Fang/AAG-4654-2020</t>
  </si>
  <si>
    <t>Yang, Jialiang/0000-0003-4689-8672; Qiu, Chengwei/0000-0002-6605-500X; Fu, Chenguang/0000-0002-9545-3277; Yin, Zhigang/0000-0002-1645-9524; Wang, Fei/0000-0002-3282-0535; Dong, Fengliang/0000-0001-6008-7011; Cong, Shan/0000-0002-5305-1237; 戴, 辑/0000-0003-2917-2941; He, Xiao/0000-0002-5188-4382; 刘, 歆/0000-0002-5705-0805; Liu, Enke/0000-0002-5498-993X; Cai, Zhipeng/0000-0001-6017-975X; Lu, Chuan/0000-0002-4898-6679; Liu, Miao/0000-0002-1843-9519; Zhang, Wei/0000-0002-9756-9994; Kengara, Freick Orori/0000-0001-9199-8002; Liu, Xingchen/0000-0002-9704-5728; Xu, Yongjun/0000-0002-3588-0461; An, Zhulin/0000-0002-7593-8293; WANG, Qi/0000-0002-2749-2135</t>
  </si>
  <si>
    <t>187</t>
  </si>
  <si>
    <t>1114</t>
  </si>
  <si>
    <t>1466</t>
  </si>
  <si>
    <t>32</t>
  </si>
  <si>
    <t>413</t>
  </si>
  <si>
    <t>CELL PRESS</t>
  </si>
  <si>
    <t>CAMBRIDGE</t>
  </si>
  <si>
    <t>50 HAMPSHIRE ST, FLOOR 5, CAMBRIDGE, MA 02139 USA</t>
  </si>
  <si>
    <t>2666-6758</t>
  </si>
  <si>
    <t>INNOVATION-AMSTERDAM</t>
  </si>
  <si>
    <t>Innovation-Amsterdam</t>
  </si>
  <si>
    <t>NOV 28 2021</t>
  </si>
  <si>
    <t>100179</t>
  </si>
  <si>
    <t>10.1016/j.xinn.2021.100179</t>
  </si>
  <si>
    <t>http://dx.doi.org/10.1016/j.xinn.2021.100179</t>
  </si>
  <si>
    <t>NOV 2021</t>
  </si>
  <si>
    <t>21</t>
  </si>
  <si>
    <t>YN4RU</t>
  </si>
  <si>
    <t>34877560</t>
  </si>
  <si>
    <t>WOS:000747248500027</t>
  </si>
  <si>
    <t>247</t>
  </si>
  <si>
    <t>Liu, XX; Faes, L; Kale, AU; Wagner, SK; Fu, DJ; Bruynseels, A; Mahendiran, T; Moraes, G; Shamdas, M; Kern, C; Ledsam, JR; Schmid, MK; Balaskas, K; Topol, EJ; Bachmann, LM; Keane, PA; Denniston, AK</t>
  </si>
  <si>
    <t>Background Deep learning offers considerable promise for medical diagnostics. We aimed to evaluate the diagnostic accuracy of deep learning algorithms versus health-care professionals in classifying diseases using medical imaging.Methods In this systematic review and meta-analysis, we searched Ovid-MEDLINE, Embase, Science Citation Index, and Conference Proceedings Citation Index for studies published from Jan 1,2012, to June 6,2019. Studies comparing the diagnostic performance of deep learning models and health-care professionals based on medical imaging, for any disease, were included. We excluded studies that used medical waveform data graphics material or investigated the accuracy of image segmentation rather than disease classification. We extracted binary diagnostic accuracy data and constructed contingency tables to derive the outcomes of interest: sensitivity and specificity. Studies undertaking an out-of-sample external validation were included in a meta -analysis, using a unified hierarchical model. This study is registered with PROSPERO, CRD42018091176.Findings Our search identified 31587 studies, of which 82 (describing 147 patient cohorts) were included. 69 studies provided enough data to construct contingency tables, enabling calculation of test accuracy, with sensitivity ranging from 9.7% to 100.0% (mean 79.1%, SD 0.2) and specificity ranging from 38.9% to 100.0% (mean 88.3%, SD 0.1). An out-of-sample external validation was done in 25 studies, of which 14 made the comparison between deep learning models and health-care professionals in the same sample. Comparison of the performance between health-care professionals in these 14 studies, when restricting the analysis to the contingency table for each study reporting the highest accuracy, found a pooled sensitivity of 87.0% (95% CI 83.0-90.2) for deep learning models and 86.4% (79.9-91.0) for health-care professionals, and a pooled specificity of 92.5% (95% CI 85.1-96.4) for deep learning models and 90. 5% (80.6-95.7) for health-care professionals.Interpretation Our review found the diagnostic performance of deep learning models to be equivalent to that of health-care professionals. However, a major finding of the review is that few studies presented externally validated results or compared the performance of deep learning models and health-care professionals using the same sample. Additionally, poor reporting is prevalent in deep learning studies, which limits reliable interpretation of the reported diagnostic accuracy. New reporting standards that address specific challenges of deep learning could improve future studies, enabling greater confidence in the results of future evaluations of this promising technology. Copyright (C) 2019 The Author(s). Published by Elsevier Ltd.</t>
  </si>
  <si>
    <t>Liu, Xiaoxuan; Faes, Livia; Kale, Aditya U.; Wagner, Siegfried K.; Fu, Dun Jack; Bruynseels, Alice; Mahendiran, Thushika; Moraes, Gabriella; Shamdas, Mohith; Kern, Christoph; Ledsam, Joseph R.; Schmid, Martin K.; Balaskas, Konstantinos; Topol, Eric J.; Bachmann, Lucas M.; Keane, Pearse A.; Denniston, Alastair K.</t>
  </si>
  <si>
    <t>Denniston, AK (corresponding author), Univ Birmingham, Univ Hosp Birmingham NHS Fdn Trust, Birmingham B15 2TH, W Midlands, England.</t>
  </si>
  <si>
    <t>Academy of Medical Sciences (AMS) [AMS-SGCL6-Keane] Funding Source: researchfish; Fight for Sight [1381] Funding Source: researchfish; Medical Research Council [HDR-9002, MC_PC_19005] Funding Source: researchfish; National Institute for Health Research [CL-2010-18-004, CS-2014-14-023] Funding Source: researchfish; Wellcome Trust [200141/Z/15/Z] Funding Source: researchfish; ISCF [MC_PC_19005] Funding Source: UKRI</t>
  </si>
  <si>
    <t>Academy of Medical Sciences (AMS) (Academy of Medical Sciences (AMS)); Fight for Sight; Medical Research Council (UK Research &amp; Innovation (UKRI), Medical Research Council UK (MRC)); National Institute for Health Research (National Institutes of Health Research (NIHR)); Wellcome Trust (Wellcome Trust); ISCF (UK Research &amp; Innovation (UKRI))</t>
  </si>
  <si>
    <t>[Liu, Xiaoxuan; Kale, Aditya U.; Bruynseels, Alice; Mahendiran, Thushika; Denniston, Alastair K.] Univ Hosp Birmingham NHS Fdn Trust, Dept Ophthalmol, Birmingham, W Midlands, England; [Liu, Xiaoxuan; Shamdas, Mohith; Denniston, Alastair K.] Univ Birmingham, Acad Unit Ophthalmol, Inst Inflammat &amp; Ageing, Coll Med &amp; Dent Sci, Birmingham, W Midlands, England; [Denniston, Alastair K.] Univ Birmingham, Ctr Patient Reported Outcome Res, Inst Appl Hlth Res, Birmingham, W Midlands, England; [Liu, Xiaoxuan; Faes, Livia; Fu, Dun Jack; Moraes, Gabriella; Kern, Christoph; Balaskas, Konstantinos] Moorfields Eye Hosp NHS Fdn Trust, Med Retina Dept, London, England; [Faes, Livia; Schmid, Martin K.] Cantonal Hosp Lucerne, Eye Clin, Luzern, Switzerland; [Wagner, Siegfried K.; Balaskas, Konstantinos; Keane, Pearse A.; Denniston, Alastair K.] Moorfields Eye Hosp NHS Fdn Trust, NIHR Biomed Res Ctr Ophthalmol, London, England; [Wagner, Siegfried K.; Balaskas, Konstantinos; Keane, Pearse A.; Denniston, Alastair K.] UCL Inst Ophthalmol, London, England; [Kern, Christoph] Ludwig Maximilian Univ Munich, Univ Eye Hosp, Munich, Germany; [Ledsam, Joseph R.] DeepMind, London, England; [Topol, Eric J.] Scripps Res Translat Inst, La Jolla, CA USA; [Bachmann, Lucas M.] Res Consultants, Medignit, Zurich, Switzerland; [Liu, Xiaoxuan; Keane, Pearse A.; Denniston, Alastair K.] Hlth Data Res UK, London, England</t>
  </si>
  <si>
    <t>University of Birmingham; University of Birmingham; University of Birmingham; University of London; University College London; Moorfields Eye Hospital NHS Foundation Trust; Lucerne Cantonal Hospital; University of London; University College London; Moorfields Eye Hospital NHS Foundation Trust; University of London; University College London; University of Munich; Alphabet Inc.; DeepMind</t>
  </si>
  <si>
    <t>A comparison of deep learning performance against health-care professionals in detecting diseases from medical imaging: a systematic review and meta-analysis</t>
  </si>
  <si>
    <t>CONVOLUTIONAL NEURAL-NETWORK; ARTIFICIAL-INTELLIGENCE; CLASSIFICATION; DIAGNOSIS; ACCURACY; ULTRASONOGRAPHY; DISTINCTION; HEMORRHAGE; ALGORITHM; NODULES</t>
  </si>
  <si>
    <t>Balaskas, Konstantinos/ABD-5979-2020; Denniston, Alastair/ABD-1238-2020; Liu, Xiaoxuan/ABD-1238-2020; Bachmann, Lucas/C-9686-2011; Topol, Eric/JOZ-4372-2023; Keane, Pearse/AAE-5709-2019; Wagner, Siegfried/HNR-9338-2023; /M-3802-2014</t>
  </si>
  <si>
    <t>Denniston, Alastair/0000-0001-7849-0087; Shaas, Mohith/0000-0001-6059-964X; Kale, Aditya Uday/0000-0002-2186-1446; Liu, Xiaoxuan/0000-0002-1286-0038; Topol, Eric/0000-0002-1478-4729; Keane, Pearse/0000-0002-9239-745X; Liu, Xiaoxuan/0000-0002-1286-0038; Ledsam, Joseph/0000-0001-9917-7196</t>
  </si>
  <si>
    <t>115</t>
  </si>
  <si>
    <t>1106</t>
  </si>
  <si>
    <t>1145</t>
  </si>
  <si>
    <t>271</t>
  </si>
  <si>
    <t>OCT 2019</t>
  </si>
  <si>
    <t>E271</t>
  </si>
  <si>
    <t>E297</t>
  </si>
  <si>
    <t>10.1016/S2589-7500(19)30123-2</t>
  </si>
  <si>
    <t>http://dx.doi.org/10.1016/S2589-7500(19)30123-2</t>
  </si>
  <si>
    <t>LD2NQ</t>
  </si>
  <si>
    <t>WOS:000525871300011</t>
  </si>
  <si>
    <t>275</t>
  </si>
  <si>
    <t>van Timmeren, JE; Cester, D; Tanadini-Lang, S; Alkadhi, H; Baessler, B</t>
  </si>
  <si>
    <t>Radiomics is a quantitative approach to medical imaging, which aims at enhancing the existing data available to clinicians by means of advanced mathematical analysis. Through mathematical extraction of the spatial distribution of signal intensities and pixel interrelationships, radiomics quantifies textural information by using analysis methods from the field of artificial intelligence. Various studies from different fields in imaging have been published so far, highlighting the potential of radiomics to enhance clinical decision-making. However, the field faces several important challenges, which are mainly caused by the various technical factors influencing the extracted radiomic features. The aim of the present review is twofold: first, we present the typical workflow of a radiomics analysis and deliver a practical "how-to" guide for a typical radiomics analysis. Second, we discuss the current limitations of radiomics, suggest potential improvements, and summarize relevant literature on the subject.</t>
  </si>
  <si>
    <t>van Timmeren, Janita E.; Cester, Davide; Tanadini-Lang, Stephanie; Alkadhi, Hatem; Baessler, Bettina</t>
  </si>
  <si>
    <t>Baessler, B (corresponding author), Univ Zurich, Univ Hosp Zurich, Inst Diagnost &amp; Intervent Radiol, Raemistr 100, CH-8091 Zurich, Switzerland.</t>
  </si>
  <si>
    <t>Bettina.Baessler@usz.ch</t>
  </si>
  <si>
    <t>[van Timmeren, Janita E.; Tanadini-Lang, Stephanie] Univ Zurich, Univ Hosp Zurich, Dept Radiat Oncol, Raemistr 100, CH-8091 Zurich, Switzerland; [Cester, Davide; Alkadhi, Hatem; Baessler, Bettina] Univ Zurich, Univ Hosp Zurich, Inst Diagnost &amp; Intervent Radiol, Raemistr 100, CH-8091 Zurich, Switzerland</t>
  </si>
  <si>
    <t>University of Zurich; University Zurich Hospital; University of Zurich; University Zurich Hospital</t>
  </si>
  <si>
    <t>Radiomics in medical imaging-"how-to" guide and critical reflection</t>
  </si>
  <si>
    <t>Radiomics; Quantitative imaging biomarkers; Machine learning; Standardization; Robustness</t>
  </si>
  <si>
    <t>GRAY-LEVEL DISCRETIZATION; CELL LUNG-CANCER; TEXTURE FEATURES; FEATURE STABILITY; TEST-RETEST; HETEROGENEITY QUANTIFICATION; RECONSTRUCTION SETTINGS; QUANTITATIVE FEATURES; PROGNOSTIC VALUE; MRI ACQUISITION</t>
  </si>
  <si>
    <t>Cester, Davide/ABE-4803-2020; Baessler, Bettina/AAE-9137-2020; van Timmeren, Janita/AAL-4456-2020</t>
  </si>
  <si>
    <t>Cester, Davide/0000-0001-6937-6127; Baessler, Bettina/0000-0002-3244-3864; Tanadini-Lang, Stephanie/0000-0002-4387-1522; van Timmeren, Janita/0000-0002-8166-6853; Alkadhi, Hatem/0000-0002-2581-2166</t>
  </si>
  <si>
    <t>130</t>
  </si>
  <si>
    <t>1066</t>
  </si>
  <si>
    <t>1186</t>
  </si>
  <si>
    <t>AUG 12 2020</t>
  </si>
  <si>
    <t>10.1186/s13244-020-00887-2</t>
  </si>
  <si>
    <t>http://dx.doi.org/10.1186/s13244-020-00887-2</t>
  </si>
  <si>
    <t>NG3WF</t>
  </si>
  <si>
    <t>32785796</t>
  </si>
  <si>
    <t>WOS:000563915600001</t>
  </si>
  <si>
    <t>327</t>
  </si>
  <si>
    <t>Ting, DSW; Pasquale, LR; Peng, L; Campbell, JP; Lee, AY; Raman, R; Tan, GSW; Schmetterer, L; Keane, PA; Wong, TY</t>
  </si>
  <si>
    <t>Artificial intelligence (AI) based on deep learning (DL) has sparked tremendous global interest in recent years. DL has been widely adopted in image recognition, speech recognition and natural language processing, but is only beginning to impact on healthcare. In ophthalmology, DL has been applied to fundus photographs, optical coherence tomography and visual fields, achieving robust classification performance in the detection of diabetic retinopathy and retinopathy of prematurity, the glaucoma-like disc, macular oedema and age-related macular degeneration. DL in ocular imaging may be used in conjunction with telemedicine as a possible solution to screen, diagnose and monitor major eye diseases for patients in primary care and community settings. Nonetheless, there are also potential challenges with DL application in ophthalmology, including clinical and technical challenges, explainability of the algorithm results, medicolegal issues, and physician and patient acceptance of the AI 'black-box' algorithms. DL could potentially revolutionise how ophthalmology is practised in the future. This review provides a summary of the state-of-the-art DL systems described for ophthalmic applications, potential challenges in clinical deployment and the path forward.</t>
  </si>
  <si>
    <t>Ting, Daniel Shu Wei; Pasquale, Louis R.; Peng, Lily; Campbell, John Peter; Lee, Aaron Y.; Raman, Rajiv; Tan, Gavin Siew Wei; Schmetterer, Leopold; Keane, Pearse A.; Wong, Tien Yin</t>
  </si>
  <si>
    <t>Ting, DSW (corresponding author), Singapore Natl Eye Ctr, Duke NUS Med Sch, Ophthalmol, Singapore 168751, Singapore.</t>
  </si>
  <si>
    <t>daniel.ting.s.w@singhealth.com.sg</t>
  </si>
  <si>
    <t>National Medical Research Council (NMRC), Ministry of Health (MOH), Singapore National Health Innovation Center, Innovation to Develop Grant [NHIC-I2D-1409022]; SingHealth Foundation Research Grant [SHF/FG648S/2015]; Tanoto Foundation; Singapore Epidemiology of Eye Diseases; NMRC, MOH [0796/2003, IRG07nov013, IRG09nov014, STaR/0003/2008, STaR/2013, CG/SERI/2010]; Biomedical Research Council [08/1/35/19/550, 09/1/35/19/616]; Singapore Integrated Diabetic Retinopathy Programme (SiDRP); MOH, Singapore [AIC/RPDD/SIDRP/SERI/FY2013/0018, AIC/HPD/FY2016/0912]; National Institutes of Health [K12 EY027720, R01EY019474, P30EY10572, P41EB015896]; National Science Foundation [SCH-1622542, SCH-1622536, SCH-1622679]; Research to Prevent Blindness; UK National Institute for Health Research (NIHR) Clinician Scientist Award [NIHR-CS--2014-12-023]; National Institute for Health Research [CL-2010-18-004, CS-2014-14-023] Funding Source: researchfish; National Eye Institute [K12EY027720, P30EY010572] Funding Source: NIH RePORTER</t>
  </si>
  <si>
    <t>National Medical Research Council (NMRC), Ministry of Health (MOH), Singapore National Health Innovation Center, Innovation to Develop Grant (Ministry of Health - Singapore, National Medical Research Council, Singapore); SingHealth Foundation Research Grant (SingHealth); Tanoto Foundation; Singapore Epidemiology of Eye Diseases; NMRC, MOH; Biomedical Research Council (Agency for Science Technology &amp; Research (A*STAR)); Singapore Integrated Diabetic Retinopathy Programme (SiDRP); MOH, Singapore (Ministry of Health - Singapore); National Institutes of Health (United States Department of Health &amp; Human Services, National Institutes of Health (NIH) - USA); National Science Foundation (National Science Foundation (NSF)); Research to Prevent Blindness (Research to Prevent Blindness (RPB)); UK National Institute for Health Research (NIHR) Clinician Scientist Award (National Institutes of Health Research (NIHR)); National Institute for Health Research (National Institutes of Health Research (NIHR)); National Eye Institute (United States Department of Health &amp; Human Services, National Institutes of Health (NIH) - USA, NIH National Eye Institute (NEI))</t>
  </si>
  <si>
    <t>This project received funding from the National Medical Research Council (NMRC), Ministry of Health (MOH), Singapore National Health Innovation Center, Innovation to Develop Grant (NHIC-I2D-1409022), SingHealth Foundation Research Grant (SHF/FG648S/2015), and the Tanoto Foundation, and unrestricted donations to the Retina Division, Johns Hopkins University School of Medicine. For the Singapore Epidemiology of Eye Diseases (SEED) study, we received funding from NMRC, MOH (grants 0796/2003, IRG07nov013, IRG09nov014, STaR/0003/2008 and STaR/2013; CG/SERI/2010) and Biomedical Research Council (grants 08/1/35/19/550 and 09/1/35/19/616). The Singapore Integrated Diabetic Retinopathy Programme (SiDRP) received funding from the MOH, Singapore (grants AIC/RPDD/SIDRP/SERI/FY2013/0018 and AIC/HPD/FY2016/0912). In USA, it is supported by the National Institutes of Health (K12 EY027720, R01EY019474, P30EY10572, P41EB015896), by the National Science Foundation (SCH-1622542, SCH-1622536, SCH-1622679) and by unrestricted departmental funding from Research to Prevent Blindness. PAK is supported by a UK National Institute for Health Research (NIHR) Clinician Scientist Award (NIHR-CS--2014-12-023). The views expressed are those of the authors and not necessarily those of the NHS, the NIHR or the Department of Health.</t>
  </si>
  <si>
    <t>[Ting, Daniel Shu Wei; Tan, Gavin Siew Wei; Schmetterer, Leopold; Wong, Tien Yin] Natl Univ Singapore, Singapore Eye Res Inst, Singapore Natl Eye Ctr, Duke NUS Med Sch, Singapore, Singapore; [Pasquale, Louis R.] Mt Sinai Hosp, Dept Ophthalmol, New York, NY 10029 USA; [Peng, Lily] Google AI Healthcare, Mountain View, CA USA; [Campbell, John Peter] Oregon Hlth &amp; Sci Univ, Casey Eye Inst, Portland, OR 97201 USA; [Lee, Aaron Y.] Univ Washington, Sch Med, Dept Ophthalmol, Seattle, WA 98195 USA; [Raman, Rajiv] Sankara Nethralaya, Vitreoretinal Dept, Chennai, Tamil Nadu, India; [Schmetterer, Leopold] Nanyang Technol Univ, Lee Kong Chian Sch Med, Dept Ophthalmol, Singapore, Singapore; [Schmetterer, Leopold] Med Univ Vienna, Dept Clin Pharmacol, Vienna, Austria; [Schmetterer, Leopold] Med Univ Vienna, Ctr Med Phys &amp; Biomed Engn, Vienna, Austria; [Keane, Pearse A.] Moorfields Eye Hosp, Vitreoretinal Serv, London, England</t>
  </si>
  <si>
    <t>National University of Singapore; Singapore National Eye Center; Icahn School of Medicine at Mount Sinai; Oregon Health &amp; Science University; University of Washington; University of Washington Seattle; Nanyang Technological University; Medical University of Vienna; Medical University of Vienna; University of London; University College London; Moorfields Eye Hospital NHS Foundation Trust</t>
  </si>
  <si>
    <t>Artificial intelligence and deep learning in ophthalmology</t>
  </si>
  <si>
    <t>BRITISH JOURNAL OF OPHTHALMOLOGY</t>
  </si>
  <si>
    <t>imaging; retina; glaucoma; telemedicine; public health</t>
  </si>
  <si>
    <t>MAJOR RISK-FACTORS; DIABETIC-RETINOPATHY; MACULAR DEGENERATION; GLOBAL PREVALENCE; AUTOMATIC SEGMENTATION; INTRAOCULAR-PRESSURE; GLAUCOMA PROGRESSION; NEURAL-NETWORKS; RETINAL LAYER; PREMATURITY</t>
  </si>
  <si>
    <t>Keane, Pearse/AAE-5709-2019; Wong, Tien Y/AAC-9724-2020; Schmetterer, Leopold/KIE-1924-2024; Lee, Aaron/AAT-2839-2020; Raman, Rajiv/A-7234-2009; Ting, Daniel/QOC-0597-2026; Tan, Gavin/HNS-5461-2023</t>
  </si>
  <si>
    <t>Keane, Pearse/0000-0002-9239-745X; Pasquale, Louis R/0000-0002-5835-3496; Wong, Tien Y/0000-0002-8448-1264; Bidwai, Pooja Vishal/0000-0002-3077-4395; Schmetterer, Leopold/0000-0002-7189-1707; Lee, Aaron/0000-0002-7452-1648</t>
  </si>
  <si>
    <t>72</t>
  </si>
  <si>
    <t>1017</t>
  </si>
  <si>
    <t>1190</t>
  </si>
  <si>
    <t>630</t>
  </si>
  <si>
    <t>0007-1161</t>
  </si>
  <si>
    <t>1468-2079</t>
  </si>
  <si>
    <t>BRIT J OPHTHALMOL</t>
  </si>
  <si>
    <t>Br. J. Ophthalmol.</t>
  </si>
  <si>
    <t>FEB 2019</t>
  </si>
  <si>
    <t>103</t>
  </si>
  <si>
    <t>10.1136/bjophthalmol-2018-313173</t>
  </si>
  <si>
    <t>http://dx.doi.org/10.1136/bjophthalmol-2018-313173</t>
  </si>
  <si>
    <t>Ophthalmology</t>
  </si>
  <si>
    <t>HL8YJ</t>
  </si>
  <si>
    <t>30361278</t>
  </si>
  <si>
    <t>WOS:000459028400003</t>
  </si>
  <si>
    <t>240</t>
  </si>
  <si>
    <t>Johnson, KB; Wei, WQ; Weeraratne, D; Frisse, ME; Misulis, K; Rhee, K; Zhao, J; Snowdon, JL</t>
  </si>
  <si>
    <t>The convergence of artificial intelligence (AI) and precision medicine promises to revolutionize health care. Precision medicine methods identify phenotypes of patients with less-common responses to treatment or unique healthcare needs. AI leverages sophisticated computation and inference to generate insights, enables the system to reason and learn, and empowers clinician decision making through augmented intelligence. Recent literature suggests that translational research exploring this convergence will help solve the most difficult challenges facing precision medicine, especially those in which nongenomic and genomic determinants, combined with information from patient symptoms, clinical history, and lifestyles, will facilitate personalized diagnosis and prognostication.</t>
  </si>
  <si>
    <t>Johnson, Kevin B.; Wei, Wei-Qi; Weeraratne, Dilhan; Frisse, Mark E.; Misulis, Karl; Rhee, Kyu; Zhao, Juan; Snowdon, Jane L.</t>
  </si>
  <si>
    <t>Johnson, KB (corresponding author), Vanderbilt Univ, Med Ctr, Dept Biomed Informat, Nashville, TN 37235 USA.; Johnson, KB (corresponding author), Vanderbilt Univ, Med Ctr, Dept Pediat, Nashville, TN 37232 USA.</t>
  </si>
  <si>
    <t>Kevin.johnson@vumc.org</t>
  </si>
  <si>
    <t>IBM Watson Health; Vanderbilt University Medical Center; National Institute of General Medical Sciences [R01GM139891] Funding Source: NIH RePORTER; National Institute on Aging [R01AG069900] Funding Source: NIH RePORTER</t>
  </si>
  <si>
    <t>IBM Watson Health (International Business Machines (IBM)); Vanderbilt University Medical Center (Vanderbilt University); National Institute of General Medical Sciences (United States Department of Health &amp; Human Services, National Institutes of Health (NIH) - USA, NIH National Institute of General Medical Sciences (NIGMS)); National Institute on Aging (United States Department of Health &amp; Human Services, National Institutes of Health (NIH) - USA, NIH National Institute on Aging (NIA))</t>
  </si>
  <si>
    <t>This work was funded by a partnership between IBM Watson Health and Vanderbilt University Medical Center.</t>
  </si>
  <si>
    <t>[Johnson, Kevin B.; Wei, Wei-Qi; Frisse, Mark E.; Misulis, Karl; Zhao, Juan] Vanderbilt Univ, Med Ctr, Dept Biomed Informat, Nashville, TN 37235 USA; [Johnson, Kevin B.] Vanderbilt Univ, Med Ctr, Dept Pediat, Nashville, TN 37232 USA; [Weeraratne, Dilhan; Rhee, Kyu; Snowdon, Jane L.] IBM Watson Hlth, Cambridge, MA USA; [Misulis, Karl] Vanderbilt Univ, Med Ctr, Dept Clin Neurol, Nashville, TN USA</t>
  </si>
  <si>
    <t>Vanderbilt University; Vanderbilt University; Vanderbilt University</t>
  </si>
  <si>
    <t>Precision Medicine, AI, and the Future of Personalized Health Care</t>
  </si>
  <si>
    <t>CTS-CLINICAL AND TRANSLATIONAL SCIENCE</t>
  </si>
  <si>
    <t>ARTIFICIAL-INTELLIGENCE; PEDIATRIC MEDULLOBLASTOMA; DIABETIC-RETINOPATHY; IMAGE-ANALYSIS; BREAST-CANCER; IMPLEMENTATION; HOMELESSNESS; GENOMICS; SYSTEM; PREDICTION</t>
  </si>
  <si>
    <t>/B-3824-2016</t>
  </si>
  <si>
    <t>1010</t>
  </si>
  <si>
    <t>1306</t>
  </si>
  <si>
    <t>200</t>
  </si>
  <si>
    <t>1752-8054</t>
  </si>
  <si>
    <t>1752-8062</t>
  </si>
  <si>
    <t>CTS-CLIN TRANSL SCI</t>
  </si>
  <si>
    <t>CTS-Clin. Transl. Sci.</t>
  </si>
  <si>
    <t>93</t>
  </si>
  <si>
    <t>10.1111/cts.12884</t>
  </si>
  <si>
    <t>http://dx.doi.org/10.1111/cts.12884</t>
  </si>
  <si>
    <t>Medicine, Research &amp; Experimental</t>
  </si>
  <si>
    <t>Research &amp; Experimental Medicine</t>
  </si>
  <si>
    <t>QF6TH</t>
  </si>
  <si>
    <t>32961010</t>
  </si>
  <si>
    <t>WOS:000579560100001</t>
  </si>
  <si>
    <t>456</t>
  </si>
  <si>
    <t>Paul, D; Sanap, G; Shenoy, S; Kalyane, D; Kalia, K; Tekade, RK</t>
  </si>
  <si>
    <t>The use of artificial intelligence (AI) has been increasing in various sectors of society, particularly the pharmaceutical industry. In this review, we highlight the use of AI in diverse sectors of the pharmaceutical industry, including drug discovery and development, drug repurposing, improving pharmaceutical productivity, and clinical trials, among others; such use reduces the human workload as well as achieving targets in a short period of time. We also discuss crosstalk betweenArtificial Intelligence (AI) has recently started to gear-up its application in various sectors of the society with the pharmaceutical industry as a frontrunner beneficiary. This review highlights the impactful use of AI in diverse areas of the pharmaceutical sectors viz., drug discovery and development, drug repurposing, improving pharmaceutical productivity, clinical trials, etc. to name a few, thus reducing the human workload as well as achieving targets in a short period. Crosstalk on the tools and techniques utilized in enforcing AI, ongoing challenges, and ways to overcome them, along with the future of AI in the pharmaceutical industry, is also discussed.</t>
  </si>
  <si>
    <t>Paul, Debleena; Sanap, Gaurav; Shenoy, Snehal; Kalyane, Dnyaneshwar; Kalia, Kiran; Tekade, Rakesh K.</t>
  </si>
  <si>
    <t>Tekade, RK (corresponding author), Govt India, Dept Pharmaceut, Minist Chem &amp; Fertilizers,Inst Natl Importance, Natl Inst Pharmaceut Educ &amp; ResearchAhmedabad NIP, Opp Air Force Stn, Gandhinagar 382355, Gujarat, India.</t>
  </si>
  <si>
    <t>rakeshtekade@gmail.com</t>
  </si>
  <si>
    <t>Department of Pharmaceuticals, Ministry of Chemicals and Fertilizers, Government of India; Science and Engineering Research Board, Department of Science and Technology, Government of India [ECR/2016/001964]; N-PDF [PDF/2016/003329]</t>
  </si>
  <si>
    <t>Department of Pharmaceuticals, Ministry of Chemicals and Fertilizers, Government of India; Science and Engineering Research Board, Department of Science and Technology, Government of India; N-PDF</t>
  </si>
  <si>
    <t>The authors acknowledge the Department of Pharmaceuticals, Ministry of Chemicals and Fertilizers, Government of India for financial support. R.K.T. would like to acknowledge the Science and Engineering Research Board (Statutory Body Established through an Act of Parliament: SERB Act 2008), Department of Science and Technology, Government of India for a grant (Grant #ECR/2016/001964) and N-PDF for funding (PDF/2016/003329) research in his laboratory.</t>
  </si>
  <si>
    <t>[Paul, Debleena; Sanap, Gaurav; Shenoy, Snehal; Kalyane, Dnyaneshwar; Kalia, Kiran; Tekade, Rakesh K.] Govt India, Dept Pharmaceut, Minist Chem &amp; Fertilizers,Inst Natl Importance, Natl Inst Pharmaceut Educ &amp; ResearchAhmedabad NIP, Opp Air Force Stn, Gandhinagar 382355, Gujarat, India</t>
  </si>
  <si>
    <t>Artificial intelligence in drug discovery and development</t>
  </si>
  <si>
    <t>DRUG DISCOVERY TODAY</t>
  </si>
  <si>
    <t>NEURAL-NETWORKS; POSITIONING STRATEGIES; PREDICTION; PROTEIN; COMPUTER; DESIGN; POLYPHARMACOLOGY; IDENTIFICATION; RELEASE; SUCCESS</t>
  </si>
  <si>
    <t>Tekade, Rakesh/H-5005-2015</t>
  </si>
  <si>
    <t>Sanap, Gaurav/0000-0003-1928-6590; Kalyane, Dnyaneshwar/0009-0005-6025-9721; Tekade, Rakesh/0000-0002-3024-3148</t>
  </si>
  <si>
    <t>1004</t>
  </si>
  <si>
    <t>1185</t>
  </si>
  <si>
    <t>473</t>
  </si>
  <si>
    <t>ELSEVIER SCI LTD</t>
  </si>
  <si>
    <t>London</t>
  </si>
  <si>
    <t>125 London Wall, London, ENGLAND</t>
  </si>
  <si>
    <t>1359-6446</t>
  </si>
  <si>
    <t>1878-5832</t>
  </si>
  <si>
    <t>DRUG DISCOV TODAY</t>
  </si>
  <si>
    <t>Drug Discov. Today</t>
  </si>
  <si>
    <t>JAN 2020</t>
  </si>
  <si>
    <t>80</t>
  </si>
  <si>
    <t>10.1016/j.drudis.2020.10.010</t>
  </si>
  <si>
    <t>http://dx.doi.org/10.1016/j.drudis.2020.10.010</t>
  </si>
  <si>
    <t>Pharmacology &amp; Pharmacy</t>
  </si>
  <si>
    <t>RC2SV</t>
  </si>
  <si>
    <t>33099022</t>
  </si>
  <si>
    <t>WOS:000632655700004</t>
  </si>
  <si>
    <t>Anwar, SM; Majid, M; Qayyum, A; Awais, M; Alnowami, M; Khan, MK</t>
  </si>
  <si>
    <t>The science of solving clinical problems by analyzing images generated in clinical practice is known as medical image analysis. The aim is to extract information in an affective and efficient manner for improved clinical diagnosis. The recent advances in the field of biomedical engineering have made medical image analysis one of the top research and development area. One of the reasons for this advancement is the application of machine learning techniques for the analysis of medical images. Deep learning is successfully used as a tool for machine learning, where a neural network is capable of automatically learning features. This is in contrast to those methods where traditionally hand crafted features are used. The selection and calculation of these features is a challenging task. Among deep learning techniques, deep convolutional networks are actively used for the purpose of medical image analysis. This includes application areas such as segmentation, abnormality detection, disease classification, computer aided diagnosis and retrieval. In this study, a comprehensive review of the current state-of-the-art in medical image analysis using deep convolutional networks is presented. The challenges and potential of these techniques are also highlighted.</t>
  </si>
  <si>
    <t>Anwar, Syed Muhammad; Majid, Muhammad; Qayyum, Adnan; Awais, Muhammad; Alnowami, Majdi; Khan, Muhammad Khurram</t>
  </si>
  <si>
    <t>Majid, M (corresponding author), Univ Engn &amp; Technol Taxila, Dept Comp Engn, Taxila 47050, Pakistan.</t>
  </si>
  <si>
    <t>m.majid@uettaxila.edu.pk</t>
  </si>
  <si>
    <t>[Anwar, Syed Muhammad] Univ Engn &amp; Technol Taxila, Dept Software Engn, Taxila 47050, Pakistan; [Majid, Muhammad; Qayyum, Adnan] Univ Engn &amp; Technol Taxila, Dept Comp Engn, Taxila 47050, Pakistan; [Awais, Muhammad] Univ Surrey, CVSSP, Guildford, Surrey, England; [Alnowami, Majdi] King Abdulaziz Univ, Dept Nucl Engn, Jeddah, Saudi Arabia; [Khan, Muhammad Khurram] King Saud Univ, CoEIA, Riyadh 11653, Saudi Arabia</t>
  </si>
  <si>
    <t>University of Engineering &amp; Technology Taxila; University of Engineering &amp; Technology Taxila; University of Surrey; King Abdulaziz University; King Saud University</t>
  </si>
  <si>
    <t>Medical Image Analysis using Convolutional Neural Networks: A Review</t>
  </si>
  <si>
    <t>JOURNAL OF MEDICAL SYSTEMS</t>
  </si>
  <si>
    <t>Convolutional neural network; Computer aided diagnosis; Segmentation; Classification; Medical image analysis</t>
  </si>
  <si>
    <t>COMPUTER-AIDED DIAGNOSIS; BRAIN-TUMOR SEGMENTATION; CLASSIFICATION; RETRIEVAL; BINARY; ALGORITHM; SCLEROSIS; DISC; CUP; CNN</t>
  </si>
  <si>
    <t>Majid, Muhammad/Z-5667-2019; Anwar, Syed/AGY-3965-2022; Alnowami, Majdi/J-6025-2012; Qayyum, Adnan/OMN-2548-2025; KHAN, MUHAMMAD KHURRAM/E-4836-2014</t>
  </si>
  <si>
    <t>Majid, Muhammad/0000-0003-3662-2525; Anwar, Syed/0000-0002-8179-3959; Alnowami, Majdi/0000-0003-2578-4019; KHAN, MUHAMMAD KHURRAM/0000-0001-6636-0533</t>
  </si>
  <si>
    <t>92</t>
  </si>
  <si>
    <t>991</t>
  </si>
  <si>
    <t>0148-5598</t>
  </si>
  <si>
    <t>1573-689X</t>
  </si>
  <si>
    <t>J MED SYST</t>
  </si>
  <si>
    <t>J. Med. Syst.</t>
  </si>
  <si>
    <t>226</t>
  </si>
  <si>
    <t>10.1007/s10916-018-1088-1</t>
  </si>
  <si>
    <t>http://dx.doi.org/10.1007/s10916-018-1088-1</t>
  </si>
  <si>
    <t>Health Care Sciences &amp; Services; Medical Informatics</t>
  </si>
  <si>
    <t>GW2TD</t>
  </si>
  <si>
    <t>30298337</t>
  </si>
  <si>
    <t>WOS:000446738200001</t>
  </si>
  <si>
    <t>Kaissis, GA; Makowski, MR; Rückert, D; Braren, RF</t>
  </si>
  <si>
    <t>The broad application of artificial intelligence techniques in medicine is currently hindered by limited dataset availability for algorithm training and validation, due to the absence of standardized electronic medical records, and strict legal and ethical requirements to protect patient privacy. In medical imaging, harmonized data exchange formats such as Digital Imaging and Communication in Medicine and electronic data storage are the standard, partially addressing the first issue, but the requirements for privacy preservation are equally strict. To prevent patient privacy compromise while promoting scientific research on large datasets that aims to improve patient care, the implementation of technical solutions to simultaneously address the demands for data protection and utilization is mandatory. Here we present an overview of current and next-generation methods for federated, secure and privacy-preserving artificial intelligence with a focus on medical imaging applications, alongside potential attack vectors and future prospects in medical imaging and beyond.Medical imaging data is often subject to privacy and intellectual property restrictions. AI techniques can help out by offering tools like federated learning to bridge the gap between personal data protection and data utilisation for research and clinical routine, but these tools need to be secure.</t>
  </si>
  <si>
    <t>Kaissis, Georgios A.; Makowski, Marcus R.; Ruckert, Daniel; Braren, Rickmer F.</t>
  </si>
  <si>
    <t>Braren, RF (corresponding author), Tech Univ Munich, Fac Med, Dept Diagnost &amp; Intervent Radiol, Munich, Germany.</t>
  </si>
  <si>
    <t>rbraren@tum.de</t>
  </si>
  <si>
    <t>[Kaissis, Georgios A.; Makowski, Marcus R.; Braren, Rickmer F.] Tech Univ Munich, Fac Med, Dept Diagnost &amp; Intervent Radiol, Munich, Germany; [Kaissis, Georgios A.; Ruckert, Daniel] Imperial Coll London, Dept Comp, London, England; [Kaissis, Georgios A.] OpenMined, London, England</t>
  </si>
  <si>
    <t>Technical University of Munich; Imperial College London</t>
  </si>
  <si>
    <t>Secure, privacy-preserving and federated machine learning in medical imaging</t>
  </si>
  <si>
    <t>NATURE MACHINE INTELLIGENCE</t>
  </si>
  <si>
    <t>BREAST-CANCER; PREDICTION; INFERENCE; ATTACKS; AGE</t>
  </si>
  <si>
    <t>Braren, Rickmer/U-3254-2018; Rueckert, Daniel/C-4393-2008; Makowski, Marcus/Q-7957-2018</t>
  </si>
  <si>
    <t>Braren, Rickmer/0000-0001-6039-6957; Rueckert, Daniel/0000-0002-5683-5889</t>
  </si>
  <si>
    <t>99</t>
  </si>
  <si>
    <t>950</t>
  </si>
  <si>
    <t>1140</t>
  </si>
  <si>
    <t>2522-5839</t>
  </si>
  <si>
    <t>NAT MACH INTELL</t>
  </si>
  <si>
    <t>Nat. Mach. Intell.</t>
  </si>
  <si>
    <t>JUN 2020</t>
  </si>
  <si>
    <t>305</t>
  </si>
  <si>
    <t>311</t>
  </si>
  <si>
    <t>10.1038/s42256-020-0186-1</t>
  </si>
  <si>
    <t>http://dx.doi.org/10.1038/s42256-020-0186-1</t>
  </si>
  <si>
    <t>Computer Science, Artificial Intelligence; Computer Science, Interdisciplinary Applications</t>
  </si>
  <si>
    <t>NL4IP</t>
  </si>
  <si>
    <t>WOS:000567382000007</t>
  </si>
  <si>
    <t>135</t>
  </si>
  <si>
    <t>Hashimoto, DA; Rosman, G; Rus, D; Meireles, OR</t>
  </si>
  <si>
    <t>Objective: The aim of this review was to summarize major topics in artificial intelligence (AI), including their applications and limitations in surgery. This paper reviews the key capabilities of AI to help surgeons understand and critically evaluate new AI applications and to contribute to new developments.Summary Background Data: AI is composed of various subfields that each provide potential solutions to clinical problems. Each of the core subfields of AI reviewed in this piece has also been used in other industries such as the autonomous car, social networks, and deep learning computers.Methods: A review of AI papers across computer science, statistics, and medical sources was conducted to identify key concepts and techniques within AI that are driving innovation across industries, including surgery. Limitations and challenges of working with AI were also reviewed.Results: Four main subfields of AI were defined: (1) machine learning, (2) artificial neural networks, (3) natural language processing, and (4) computer vision. Their current and future applications to surgical practice were introduced, including big data analytics and clinical decision support systems. The implications of AI for surgeons and the role of surgeons in advancing the technology to optimize clinical effectiveness were discussed.Conclusions: Surgeons are well positioned to help integrate AI into modern practice. Surgeons should partner with data scientists to capture data across phases of care and to provide clinical context, for AI has the potential to revolutionize the way surgery is taught and practiced with the promise of a future optimized for the highest quality patient care.</t>
  </si>
  <si>
    <t>Hashimoto, Daniel A.; Rosman, Guy; Rus, Daniela; Meireles, Ozanan R.</t>
  </si>
  <si>
    <t>Hashimoto, DA (corresponding author), Massachusetts Gen Hosp, Dept Surg, 55 Fruit St,GRB 425, Boston, MA 02114 USA.</t>
  </si>
  <si>
    <t>dahashimoto@mgh.harvard.edu</t>
  </si>
  <si>
    <t>NIH [T32DK007754-16A1]; Massachusetts General Hospital Edward D. Churchill Fellowship; Natural Orifice Surgery Consortium for Assessment and Research (NOSCAR); Toyota Research Institute; National Institute of Diabetes and Digestive and Kidney Diseases [T32DK007754] Funding Source: NIH RePORTER</t>
  </si>
  <si>
    <t>NIH (United States Department of Health &amp; Human Services, National Institutes of Health (NIH) - USA); Massachusetts General Hospital Edward D. Churchill Fellowship; Natural Orifice Surgery Consortium for Assessment and Research (NOSCAR); Toyota Research Institute; National Institute of Diabetes and Digestive and Kidney Diseases (United States Department of Health &amp; Human Services, National Institutes of Health (NIH) - USA, NIH National Institute of Diabetes &amp; Digestive &amp; Kidney Diseases (NIDDK))</t>
  </si>
  <si>
    <t>Daniel Hashimoto is financially supported by NIH grant T32DK007754-16A1 and the Massachusetts General Hospital Edward D. Churchill Fellowship. Drs. Ozanan Meireles and Daniel Hashimoto have grant funding from the Natural Orifice Surgery Consortium for Assessment and Research (NOSCAR) for research related to computer vision in endoscopic surgery. Guy Rosman and Daniela Rus are grant funded by Toyota Research Institute for research on autonomous vehicles. The content is solely the responsibility of the authors and does not necessarily represent the official views of the NIH, NOSCAR, or TRI.</t>
  </si>
  <si>
    <t>[Hashimoto, Daniel A.; Meireles, Ozanan R.] Massachusetts Gen Hosp, Dept Surg, 55 Fruit St,GRB 425, Boston, MA 02114 USA; [Rosman, Guy; Rus, Daniela] MIT, Comp Sci &amp; Artificial Intelligence Lab, Boston, MA USA</t>
  </si>
  <si>
    <t>Harvard University; Harvard University Medical Affiliates; Massachusetts General Hospital; Massachusetts Institute of Technology (MIT)</t>
  </si>
  <si>
    <t>Artificial Intelligence in Surgery: Promises and Perils</t>
  </si>
  <si>
    <t>ANNALS OF SURGERY</t>
  </si>
  <si>
    <t>artificial intelligence; clinical decision support; computer-assisted surgery; computer vision; deep learning; machine learning; natural language processing; neural networks; surgery</t>
  </si>
  <si>
    <t>NEURAL-NETWORKS; VIDEO; CANCER; CLASSIFICATION; COMPLICATIONS; PREDICTION; MEDICINE; FUTURE</t>
  </si>
  <si>
    <t>Rosman, Guy/JXN-4008-2024; Hashimoto, Daniel/H-3473-2019</t>
  </si>
  <si>
    <t>949</t>
  </si>
  <si>
    <t>1160</t>
  </si>
  <si>
    <t>427</t>
  </si>
  <si>
    <t>LIPPINCOTT WILLIAMS &amp; WILKINS</t>
  </si>
  <si>
    <t>TWO COMMERCE SQ, 2001 MARKET ST, PHILADELPHIA, PA 19103 USA</t>
  </si>
  <si>
    <t>0003-4932</t>
  </si>
  <si>
    <t>1528-1140</t>
  </si>
  <si>
    <t>ANN SURG</t>
  </si>
  <si>
    <t>Ann. Surg.</t>
  </si>
  <si>
    <t>JUL 2018</t>
  </si>
  <si>
    <t>268</t>
  </si>
  <si>
    <t>70</t>
  </si>
  <si>
    <t>10.1097/SLA.0000000000002693</t>
  </si>
  <si>
    <t>http://dx.doi.org/10.1097/SLA.0000000000002693</t>
  </si>
  <si>
    <t>Surgery</t>
  </si>
  <si>
    <t>HD6PA</t>
  </si>
  <si>
    <t>29389679</t>
  </si>
  <si>
    <t>WOS:000452662400036</t>
  </si>
  <si>
    <t>170</t>
  </si>
  <si>
    <t>Price, WN; Cohen, IG</t>
  </si>
  <si>
    <t>Big data has become the ubiquitous watch word of medical innovation. The rapid development of machine-learning techniques and artificial intelligence in particular has promised to revolutionize medical practice from the allocation of resources to the diagnosis of complex diseases. But with big data comes big risks and challenges, among them significant questions about patient privacy. Here, we outline the legal and ethical challenges big data brings to patient privacy. We discuss, among other topics, how best to conceive of health privacy; the importance of equity, consent, and patient governance in data collection; discrimination in data uses; and how to handle data breaches. We close by sketching possible ways forward for the regulatory system.</t>
  </si>
  <si>
    <t>Price, W. Nicholson; Cohen, I. Glenn</t>
  </si>
  <si>
    <t>Cohen, IG (corresponding author), Petrie Flom Ctr Hlth Law Policy Biotechnol &amp; Bioe, Project Personalized Med Artificial Intelligence, Cambridge, MA 02138 USA.; Cohen, IG (corresponding author), Univ Copenhagen, Ctr Adv Studies Biomed Innovat Law, Copenhagen, Denmark.; Cohen, IG (corresponding author), Harvard Law Sch, Cambridge, MA 02138 USA.</t>
  </si>
  <si>
    <t>igcohen@law.harvard.edu</t>
  </si>
  <si>
    <t>National Cancer Institute [R01CA214829] Funding Source: NIH RePORTER; Novo Nordisk Fonden [NNF17SA0027784] Funding Source: researchfish; NCI NIH HHS [R01 CA214829] Funding Source: Medline</t>
  </si>
  <si>
    <t>National Cancer Institute (United States Department of Health &amp; Human Services, National Institutes of Health (NIH) - USA, NIH National Cancer Institute (NCI)); Novo Nordisk Fonden (Novo Nordisk Foundation); NCI NIH HHS (United States Department of Health &amp; Human Services, National Institutes of Health (NIH) - USA, NIH National Cancer Institute (NCI))</t>
  </si>
  <si>
    <t>[Price, W. Nicholson] Univ Michigan, Law Sch, Ann Arbor, MI 48109 USA; [Price, W. Nicholson; Cohen, I. Glenn] Petrie Flom Ctr Hlth Law Policy Biotechnol &amp; Bioe, Project Personalized Med Artificial Intelligence, Cambridge, MA 02138 USA; [Price, W. Nicholson; Cohen, I. Glenn] Univ Copenhagen, Ctr Adv Studies Biomed Innovat Law, Copenhagen, Denmark; [Cohen, I. Glenn] Harvard Law Sch, Cambridge, MA 02138 USA</t>
  </si>
  <si>
    <t>University of Michigan System; University of Michigan; University of Copenhagen; Harvard University</t>
  </si>
  <si>
    <t>Privacy in the age of medical big data</t>
  </si>
  <si>
    <t>HEALTH; LEGAL; SYSTEM</t>
  </si>
  <si>
    <t>Price, Nicholson/0000-0003-0729-290X</t>
  </si>
  <si>
    <t>938</t>
  </si>
  <si>
    <t>1157</t>
  </si>
  <si>
    <t>43</t>
  </si>
  <si>
    <t>10.1038/s41591-018-0272-7</t>
  </si>
  <si>
    <t>http://dx.doi.org/10.1038/s41591-018-0272-7</t>
  </si>
  <si>
    <t>30617331</t>
  </si>
  <si>
    <t>WOS:000455027700018</t>
  </si>
  <si>
    <t>527</t>
  </si>
  <si>
    <t>Thomford, NE; Senthebane, DA; Rowe, A; Munro, D; Seele, P; Maroyi, A; Dzobo, K</t>
  </si>
  <si>
    <t>The therapeutic properties of plants have been recognised since time immemorial. Many pathological conditions have been treated using plant-derived medicines. These medicines are used as concoctions or concentrated plant extracts without isolation of active compounds. Modern medicine however, requires the isolation and purification of one or two active compounds. There are however a lot of global health challenges with diseases such as cancer, degenerative diseases, HIV/AIDS and diabetes, of which modern medicine is struggling to provide cures. Many times the isolation of active compound has made the compound ineffective. Drug discovery is a multidimensional problem requiring several parameters of both natural and synthetic compounds such as safety, pharmacokinetics and efficacy to be evaluated during drug candidate selection. The advent of latest technologies that enhance drug design hypotheses such as Artificial Intelligence, the use of organ-on chip' and microfluidics technologies, means that automation has become part of drug discovery. This has resulted in increased speed in drug discovery and evaluation of the safety, pharmacokinetics and efficacy of candidate compounds whilst allowing novel ways of drug design and synthesis based on natural compounds. Recent advances in analytical and computational techniques have opened new avenues to process complex natural products and to use their structures to derive new and innovative drugs. Indeed, we are in the era of computational molecular design, as applied to natural products. Predictive computational softwares have contributed to the discovery of molecular targets of natural products and their derivatives. In future the use of quantum computing, computational softwares and databases in modelling molecular interactions and predicting features and parameters needed for drug development, such as pharmacokinetic and pharmacodynamics, will result in few false positive leads in drug development. This review discusses plant-based natural product drug discovery and how innovative technologies play a role in next-generation drug discovery.</t>
  </si>
  <si>
    <t>Thomford, Nicholas Ekow; Senthebane, Dimakatso Alice; Rowe, Arielle; Munro, Daniella; Seele, Palesa; Maroyi, Alfred; Dzobo, Kevin</t>
  </si>
  <si>
    <t>Dzobo, K (corresponding author), Univ Cape Town, ICGEB, Cape Town Component, Wernher &amp; Beit Bldg South,Med Campus,Anzio Rd, ZA-7925 Cape Town, South Africa.; Dzobo, K (corresponding author), Univ Cape Town, Fac Hlth Sci, Div Med Biochem, Anzio Rd, ZA-7925 Cape Town, South Africa.; Dzobo, K (corresponding author), Univ Cape Town, Fac Hlth Sci, Inst Infect Dis &amp; Mol Med, Anzio Rd, ZA-7925 Cape Town, South Africa.</t>
  </si>
  <si>
    <t>amaroyi@ufh.ac.za; kd.dzobo@uct.ac.za; nicholas.thomford@uct.ac.za; MNRDAN002@myuct.ac.za; arielle.rowe@icgeb.org; SLXPAL001@myuct.ac.za; SNTDIM001@myuct.ac.za</t>
  </si>
  <si>
    <t>National Research Foundation (NRF) of South Africa [91457: RCA13101656402]; International Centre for Genetic Engineering and Biotechnology (ICGEB) [2015/0001]; Faculty of Health Sciences, UCT; University of Cape Town</t>
  </si>
  <si>
    <t>National Research Foundation (NRF) of South Africa (National Research Foundation - South Africa); International Centre for Genetic Engineering and Biotechnology (ICGEB); Faculty of Health Sciences, UCT; University of Cape Town (University of Cape Town)</t>
  </si>
  <si>
    <t>The funding for this research was provided by the National Research Foundation (NRF) of South Africa (Grant Number: 91457: RCA13101656402), International Centre for Genetic Engineering and Biotechnology (ICGEB) (Grant Number: 2015/0001), Faculty of Health Sciences, UCT and the University of Cape Town.</t>
  </si>
  <si>
    <t>[Thomford, Nicholas Ekow; Munro, Daniella] Univ Cape Town, Fac Hlth Sci, Dept Pathol, Pharmacogen &amp; Drug Metab Grp,Div Human Genet, Anzio Rd, ZA-7925 Cape Town, South Africa; [Thomford, Nicholas Ekow; Munro, Daniella] Univ Cape Town, Fac Hlth Sci, Inst Infect Dis &amp; Mol Med, Anzio Rd, ZA-7925 Cape Town, South Africa; [Thomford, Nicholas Ekow] Univ Cape Coast, Sch Med Sci, Cape Coast, Ghana; [Senthebane, Dimakatso Alice; Rowe, Arielle; Dzobo, Kevin] Univ Cape Town, ICGEB, Cape Town Component, Wernher &amp; Beit Bldg South,Med Campus,Anzio Rd, ZA-7925 Cape Town, South Africa; [Senthebane, Dimakatso Alice; Dzobo, Kevin] Univ Cape Town, Fac Hlth Sci, Div Med Biochem, Anzio Rd, ZA-7925 Cape Town, South Africa; [Senthebane, Dimakatso Alice; Dzobo, Kevin] Univ Cape Town, Fac Hlth Sci, Inst Infect Dis &amp; Mol Med, Anzio Rd, ZA-7925 Cape Town, South Africa; [Seele, Palesa] Univ Cape Town, Fac Hlth Sci, Dept Integrat Biomed Sci, Div Chem &amp; Syst Biol, Anzio Rd, ZA-7925 Cape Town, South Africa; [Maroyi, Alfred] Univ Ft Hare, Dept Bot, Alice X1314, Alice, South Africa</t>
  </si>
  <si>
    <t>University of Cape Town; University of Cape Town; University of Cape Coast; International Center for Genetic Engineering &amp; Biotechnology (ICGEB); ICGEB Cape Town; University of Cape Town; University of Cape Town; University of Cape Town; University of Cape Town; University of Fort Hare</t>
  </si>
  <si>
    <t>Natural Products for Drug Discovery in the 21st Century: Innovations for Novel Drug Discovery</t>
  </si>
  <si>
    <t>INTERNATIONAL JOURNAL OF MOLECULAR SCIENCES</t>
  </si>
  <si>
    <t>natural products; drug design and development; innovation; automation; computational softwares; bioinformatics; precision medicine; omics; global health</t>
  </si>
  <si>
    <t>TRADITIONAL CHINESE MEDICINE; COUNTER-CURRENT CHROMATOGRAPHY; SPECTROMETRY-BASED PROTEOMICS; ACUTE LYMPHOBLASTIC-LEUKEMIA; ORIENTED ORGANIC-SYNTHESIS; DEVELOPMENT SUCCESS RATES; WIDE DNA METHYLATION; ON-A-CHIP; BIG DATA; AMINO-ACIDS</t>
  </si>
  <si>
    <t>Maroyi, Alfred/L-6995-2013; THOMFORD, NICHOLAS EKOW/Q-7621-2018; Seele, Palesa Pamela/NTQ-8808-2025</t>
  </si>
  <si>
    <t>Senthebane, Dimakatso Alice/0000-0003-3837-4318; Rowe, Arielle/0000-0002-3763-0490; Maroyi, Alfred/0000-0001-7965-3415; THOMFORD, NICHOLAS EKOW/0000-0002-3152-5817; Dzobo, Kevin/0000-0003-1334-4665; Seele, Palesa Pamela/0000-0002-3178-5424</t>
  </si>
  <si>
    <t>307</t>
  </si>
  <si>
    <t>928</t>
  </si>
  <si>
    <t>1097</t>
  </si>
  <si>
    <t>572</t>
  </si>
  <si>
    <t>1661-6596</t>
  </si>
  <si>
    <t>1422-0067</t>
  </si>
  <si>
    <t>INT J MOL SCI</t>
  </si>
  <si>
    <t>Int. J. Mol. Sci.</t>
  </si>
  <si>
    <t>JUN 2018</t>
  </si>
  <si>
    <t>1578</t>
  </si>
  <si>
    <t>10.3390/ijms19061578</t>
  </si>
  <si>
    <t>http://dx.doi.org/10.3390/ijms19061578</t>
  </si>
  <si>
    <t>Biochemistry &amp; Molecular Biology; Chemistry, Multidisciplinary</t>
  </si>
  <si>
    <t>Biochemistry &amp; Molecular Biology; Chemistry</t>
  </si>
  <si>
    <t>GK8UZ</t>
  </si>
  <si>
    <t>29799486</t>
  </si>
  <si>
    <t>WOS:000436506600033</t>
  </si>
  <si>
    <t>234</t>
  </si>
  <si>
    <t>Haug, CJ; Drazen, JM</t>
  </si>
  <si>
    <t>AI and Machine Learning in Clinical Medicine, 2023This first article in a series describes the history of artificial intelligence in medicine; the use of AI in image analysis, identification of disease outbreaks, and diagnosis; and the use of chatbots.</t>
  </si>
  <si>
    <t>Haug, Charlotte J. J.; Drazen, Jeffrey M. M.</t>
  </si>
  <si>
    <t>Haug, CJ (corresponding author), Aamotveien 63, N-0880 Oslo, Norway.</t>
  </si>
  <si>
    <t>charlottejohanne@gmail.com</t>
  </si>
  <si>
    <t>[Haug, Charlotte J. J.] Aamotveien 63, N-0880 Oslo, Norway</t>
  </si>
  <si>
    <t>Artificial Intelligence and Machine Learning in Clinical Medicine, 2023</t>
  </si>
  <si>
    <t>/AFV-8406-2022; Drazen, Jeffrey/E-5841-2012</t>
  </si>
  <si>
    <t>Haug, Charlotte Johanne/0000-0001-8217-7376</t>
  </si>
  <si>
    <t>927</t>
  </si>
  <si>
    <t>987</t>
  </si>
  <si>
    <t>MAR 30 2023</t>
  </si>
  <si>
    <t>388</t>
  </si>
  <si>
    <t>1201</t>
  </si>
  <si>
    <t>1208</t>
  </si>
  <si>
    <t>10.1056/NEJMra2302038</t>
  </si>
  <si>
    <t>http://dx.doi.org/10.1056/NEJMra2302038</t>
  </si>
  <si>
    <t>G5BZ0</t>
  </si>
  <si>
    <t>36988595</t>
  </si>
  <si>
    <t>WOS:000989319200011</t>
  </si>
  <si>
    <t>Laranjo, L; Dunn, AG; Tong, HL; Kocaballi, AB; Chen, J; Bashir, R; Surian, D; Gallego, B; Magrabi, F; Lau, AYS; Coiera, E</t>
  </si>
  <si>
    <t>Objective: Our objective was to review the characteristics, current applications, and evaluation measures of conversational agents with unconstrained natural language input capabilities used for health-related purposes.Methods: We searched PubMed, Embase, CINAHL, PsycInfo, and ACM Digital using a predefined search strategy. Studies were included if they focused on consumers or healthcare professionals; involved a conversational agent using any unconstrained natural language input; and reported evaluation measures resulting from user interaction with the system. Studies were screened by independent reviewers and Cohen's kappa measured inter-coder agreement.Results: The database search retrieved 1513 citations; 17 articles (14 different conversational agents) met the inclusion criteria. Dialogue management strategies were mostly finite-state and frame-based (6 and 7 conversational agents, respectively); agent-based strategies were present in one type of system. Two studies were randomized controlled trials (RCTs), 1 was cross-sectional, and the remaining were quasi-experimental. Half of the conversational agents supported consumers with health tasks such as self-care. The only RCT evaluating the efficacy of a conversational agent found a significant effect in reducing depression symptoms (effect size d 1/4 0.44, p 1/4 .04). Patient safety was rarely evaluated in the included studies.Conclusions: The use of conversational agents with unconstrained natural language input capabilities for health-related purposes is an emerging field of research, where the few published studies were mainly quasiexperimental, and rarely evaluated efficacy or safety. Future studies would benefit from more robust experimental designs and standardized reporting.</t>
  </si>
  <si>
    <t>Laranjo, Liliana; Dunn, Adam G.; Tong, Huong Ly; Kocaballi, Ahmet Baki; Chen, Jessica; Bashir, Rabia; Surian, Didi; Gallego, Blanca; Magrabi, Farah; Lau, Annie Y. S.; Coiera, Enrico</t>
  </si>
  <si>
    <t>Laranjo, L (corresponding author), Macquarie Univ, Australian Inst Hlth Innovat, Ctr Hlth Informat, Level 6,75 Talavera Rd, Sydney, NSW 2113, Australia.</t>
  </si>
  <si>
    <t>liliana.laranjo@mq.edu.au</t>
  </si>
  <si>
    <t>National Health and Medical Research Council (NHMRC) [APP1134919]</t>
  </si>
  <si>
    <t>National Health and Medical Research Council (NHMRC) (National Health &amp; Medical Research Council (NHMRC) of Australia)</t>
  </si>
  <si>
    <t>This research was supported by the National Health and Medical Research Council (NHMRC) grant APP1134919 (Centre for Research Excellence in Digital Health) and Program Grant APP1054146.</t>
  </si>
  <si>
    <t>[Laranjo, Liliana; Dunn, Adam G.; Tong, Huong Ly; Kocaballi, Ahmet Baki; Chen, Jessica; Bashir, Rabia; Surian, Didi; Gallego, Blanca; Magrabi, Farah; Lau, Annie Y. S.; Coiera, Enrico] Macquarie Univ, Australian Inst Hlth Innovat, Ctr Hlth Informat, Level 6,75 Talavera Rd, Sydney, NSW 2113, Australia</t>
  </si>
  <si>
    <t>Macquarie University</t>
  </si>
  <si>
    <t>Conversational agents in healthcare: a systematic review</t>
  </si>
  <si>
    <t>JOURNAL OF THE AMERICAN MEDICAL INFORMATICS ASSOCIATION</t>
  </si>
  <si>
    <t>artificial intelligence [Mesh]; medical informatics [Mesh]; conversational agent; dialogue system</t>
  </si>
  <si>
    <t>SPOKEN DIALOGUE; UNINTENDED CONSEQUENCES; VIRTUAL HUMAN; INTERVENTIONS; RECOGNITION; TECHNOLOGY; LANGUAGE; QUALITY</t>
  </si>
  <si>
    <t>Kocaballi, Ahmet Baki/R-3136-2019; Surian, Didi/M-3244-2019; Laranjo, Liliana/D-5356-2017; Magrabi, Farah/AFO-8425-2022; Tong, Huong Ly/J-2764-2019; Bashir, Rabia/Q-3225-2019; Dunn, Adam/H-4425-2019</t>
  </si>
  <si>
    <t>Kocaballi, Ahmet Baki/0000-0002-8328-5317; Surian, Didi/0000-0003-2299-2971; Lau, Annie Y.S/0000-0002-3028-4222; Laranjo, Liliana/0000-0003-1020-3402; Magrabi, Farah/0000-0002-8426-5588; Tong, Huong Ly/0000-0002-8462-0105; Gallego Luxan, Blanca/0000-0002-3704-7975; Bashir, Rabia/0000-0002-9613-8957; Dunn, Adam/0000-0002-1720-8209</t>
  </si>
  <si>
    <t>896</t>
  </si>
  <si>
    <t>1059</t>
  </si>
  <si>
    <t>256</t>
  </si>
  <si>
    <t>1067-5027</t>
  </si>
  <si>
    <t>1527-974X</t>
  </si>
  <si>
    <t>J AM MED INFORM ASSN</t>
  </si>
  <si>
    <t>J. Am. Med. Inf. Assoc.</t>
  </si>
  <si>
    <t>SEP 2018</t>
  </si>
  <si>
    <t>1248</t>
  </si>
  <si>
    <t>1258</t>
  </si>
  <si>
    <t>10.1093/jamia/ocy072</t>
  </si>
  <si>
    <t>http://dx.doi.org/10.1093/jamia/ocy072</t>
  </si>
  <si>
    <t>Computer Science, Information Systems; Computer Science, Interdisciplinary Applications; Health Care Sciences &amp; Services; Information Science &amp; Library Science; Medical Informatics</t>
  </si>
  <si>
    <t>Computer Science; Health Care Sciences &amp; Services; Information Science &amp; Library Science; Medical Informatics</t>
  </si>
  <si>
    <t>GS3SS</t>
  </si>
  <si>
    <t>30010941</t>
  </si>
  <si>
    <t>WOS:000443542400020</t>
  </si>
  <si>
    <t>Dave, T; Athaluri, SA; Singh, S</t>
  </si>
  <si>
    <t>This paper presents an analysis of the advantages, limitations, ethical considerations, future prospects, and practical applications of ChatGPT and artificial intelligence (AI) in the healthcare and medical domains. ChatGPT is an advanced language model that uses deep learning techniques to produce human-like responses to natural language inputs. It is part of the family of generative pre-training transformer (GPT) models developed by OpenAI and is currently one of the largest publicly available language models. ChatGPT is capable of capturing the nuances and intricacies of human language, allowing it to generate appropriate and contextually relevant responses across a broad spectrum of prompts. The potential applications of ChatGPT in the medical field range from identifying potential research topics to assisting professionals in clinical and laboratory diagnosis. Additionally, it can be used to help medical students, doctors, nurses, and all members of the healthcare fraternity to know about updates and new developments in their respective fields. The development of virtual assistants to aid patients in managing their health is another important application of ChatGPT in medicine. Despite its potential applications, the use of ChatGPT and other AI tools in medical writing also poses ethical and legal concerns. These include possible infringement of copyright laws, medico-legal complications, and the need for transparency in AI-generated content. In conclusion, ChatGPT has several potential applications in the medical and healthcare fields. However, these applications come with several limitations and ethical considerations which are presented in detail along with future prospects in medicine and healthcare.</t>
  </si>
  <si>
    <t>Dave, Tirth; Athaluri, Sai Anirudh; Singh, Satyam</t>
  </si>
  <si>
    <t>Dave, T (corresponding author), Bukovinian State Med Univ, Internal Med, Chernovtsy, Ukraine.</t>
  </si>
  <si>
    <t>tirth.snehal.dave@gmail.com</t>
  </si>
  <si>
    <t>[Dave, Tirth] Bukovinian State Med Univ, Internal Med, Chernovtsy, Ukraine; [Athaluri, Sai Anirudh] Rangaraya Med Coll, Kakinada, Andhra Pradesh, India; [Singh, Satyam] GSVM Med Coll, Kanpur, Uttar Pradesh, India</t>
  </si>
  <si>
    <t>Bukovinian State Medical University; G.S.V.M. Medical College, Kanpur</t>
  </si>
  <si>
    <t>ChatGPT in medicine: an overview of its applications, advantages, limitations, future prospects, and ethical considerations</t>
  </si>
  <si>
    <t>FRONTIERS IN ARTIFICIAL INTELLIGENCE</t>
  </si>
  <si>
    <t>ChatGPT; artificial intelligence; AI; natural language processing; generative pre-training transformer; medicine; healthcare</t>
  </si>
  <si>
    <t>Dave, Tirth/HCI-4105-2022</t>
  </si>
  <si>
    <t>Athaluri, Sai/0000-0003-2709-6500; Singh, Satyam/0000-0002-2377-1145; Dave, Tirth/0000-0001-7935-7333</t>
  </si>
  <si>
    <t>894</t>
  </si>
  <si>
    <t>403</t>
  </si>
  <si>
    <t>FRONTIERS MEDIA SA</t>
  </si>
  <si>
    <t>LAUSANNE</t>
  </si>
  <si>
    <t>AVENUE DU TRIBUNAL FEDERAL 34, LAUSANNE, CH-1015, SWITZERLAND</t>
  </si>
  <si>
    <t>2624-8212</t>
  </si>
  <si>
    <t>FRONT ARTIF INTELL</t>
  </si>
  <si>
    <t>Front. Artif. Intell.</t>
  </si>
  <si>
    <t>MAY 4 2023</t>
  </si>
  <si>
    <t>1169595</t>
  </si>
  <si>
    <t>10.3389/frai.2023.1169595</t>
  </si>
  <si>
    <t>http://dx.doi.org/10.3389/frai.2023.1169595</t>
  </si>
  <si>
    <t>Computer Science, Artificial Intelligence; Computer Science, Information Systems</t>
  </si>
  <si>
    <t>G5WA0</t>
  </si>
  <si>
    <t>37215063</t>
  </si>
  <si>
    <t>WOS:000989845200001</t>
  </si>
  <si>
    <t>166</t>
  </si>
  <si>
    <t>Esteva, A; Chou, K; Yeung, S; Naik, N; Madani, A; Mottaghi, A; Liu, Y; Topol, E; Dean, J; Socher, R</t>
  </si>
  <si>
    <t>A decade of unprecedented progress in artificial intelligence (AI) has demonstrated the potential for many fields-including medicine-to benefit from the insights that AI techniques can extract from data. Here we survey recent progress in the development of modern computer vision techniques-powered by deep learning-for medical applications, focusing on medical imaging, medical video, and clinical deployment. We start by briefly summarizing a decade of progress in convolutional neural networks, including the vision tasks they enable, in the context of healthcare. Next, we discuss several example medical imaging applications that stand to benefit-including cardiology, pathology, dermatology, ophthalmology-and propose new avenues for continued work. We then expand into general medical video, highlighting ways in which clinical workflows can integrate computer vision to enhance care. Finally, we discuss the challenges and hurdles required for real-world clinical deployment of these technologies.</t>
  </si>
  <si>
    <t>Esteva, Andre; Chou, Katherine; Yeung, Serena; Naik, Nikhil; Madani, Ali; Mottaghi, Ali; Liu, Yun; Topol, Eric; Dean, Jeff; Socher, Richard</t>
  </si>
  <si>
    <t>Esteva, A (corresponding author), Salesforce AI Res, San Francisco, CA 94105 USA.</t>
  </si>
  <si>
    <t>andre.esteva@gmail.com</t>
  </si>
  <si>
    <t>[Esteva, Andre; Naik, Nikhil; Madani, Ali; Socher, Richard] Salesforce AI Res, San Francisco, CA 94105 USA; [Chou, Katherine; Liu, Yun; Dean, Jeff] Google Res, Mountain View, CA USA; [Yeung, Serena; Mottaghi, Ali] Stanford Univ, Stanford, CA 94305 USA; [Topol, Eric] Scripps Res Translat Inst, La Jolla, CA USA</t>
  </si>
  <si>
    <t>Salesforce; Alphabet Inc.; Google Incorporated; Stanford University</t>
  </si>
  <si>
    <t>Deep learning-enabled medical computer vision</t>
  </si>
  <si>
    <t>NPJ DIGITAL MEDICINE</t>
  </si>
  <si>
    <t>CONVOLUTIONAL NEURAL-NETWORK; ARTIFICIAL-INTELLIGENCE; DIABETIC-RETINOPATHY; DIGITAL MEDICINE; SKIN-CANCER; RECOGNITION; IMAGES; CLASSIFICATION; DERMATOLOGISTS; SEGMENTATION</t>
  </si>
  <si>
    <t>Topol, Eric J./JOZ-4372-2023</t>
  </si>
  <si>
    <t>Liu, Yun/0000-0003-4079-8275; Yeung-Levy, Serena/0000-0003-0529-0628</t>
  </si>
  <si>
    <t>155</t>
  </si>
  <si>
    <t>893</t>
  </si>
  <si>
    <t>1093</t>
  </si>
  <si>
    <t>638</t>
  </si>
  <si>
    <t>2398-6352</t>
  </si>
  <si>
    <t>NPJ DIGIT MED</t>
  </si>
  <si>
    <t>npj Digit. Med.</t>
  </si>
  <si>
    <t>JAN 8 2021</t>
  </si>
  <si>
    <t>10.1038/s41746-020-00376-2</t>
  </si>
  <si>
    <t>http://dx.doi.org/10.1038/s41746-020-00376-2</t>
  </si>
  <si>
    <t>PW0LZ</t>
  </si>
  <si>
    <t>33420381</t>
  </si>
  <si>
    <t>WOS:000610370300001</t>
  </si>
  <si>
    <t>31</t>
  </si>
  <si>
    <t>335</t>
  </si>
  <si>
    <t>Sun, LM; Liu, HM; Ye, YQ; Lei, Y; Islam, R; Tan, SM; Tong, RS; Miao, YB; Cai, LL</t>
  </si>
  <si>
    <t>Smart nanoparticles, which can respond to biological cues or be guided by them, are emerging as a promising drug delivery platform for precise cancer treatment. The field of oncology, nanotechnology, and biomedicine has witnessed rapid progress, leading to innovative developments in smart nanoparticles for safer and more effective cancer therapy. In this review, we will highlight recent advancements in smart nanoparticles, including polymeric nanoparticles, dendrimers, micelles, liposomes, protein nanoparticles, cell membrane nanoparticles, mesoporous silica nanoparticles, gold nanoparticles, iron oxide nanoparticles, quantum dots, carbon nanotubes, black phosphorus, MOF nanoparticles, and others. We will focus on their classification, structures, synthesis, and intelligent features. These smart nanoparticles possess the ability to respond to various external and internal stimuli, such as enzymes, pH, temperature, optics, and magnetism, making them intelligent systems. Additionally, this review will explore the latest studies on tumor targeting by functionalizing the surfaces of smart nanoparticles with tumor-specific ligands like antibodies, peptides, transferrin, and folic acid. We will also summarize different types of drug delivery options, including small molecules, peptides, proteins, nucleic acids, and even living cells, for their potential use in cancer therapy. While the potential of smart nanoparticles is promising, we will also acknowledge the challenges and clinical prospects associated with their use. Finally, we will propose a blueprint that involves the use of artificial intelligence-powered nanoparticles in cancer treatment applications. By harnessing the potential of smart nanoparticles, this review aims to usher in a new era of precise and personalized cancer therapy, providing patients with individualized treatment options.</t>
  </si>
  <si>
    <t>Sun, Leming; Liu, Hongmei; Ye, Yanqi; Lei, Yang; Islam, Rehmat; Tan, Sumin; Tong, Rongsheng; Miao, Yang-Bao; Cai, Lulu</t>
  </si>
  <si>
    <t>Cai, LL (corresponding author), Univ Elect Sci &amp; Technol China, Sichuan Prov Peoples Hosp, Sch Med, Dept Pharm,Personalized Drug Therapy Key Lab Sichu, Chengdu 610072, Peoples R China.; Miao, YB (corresponding author), Univ Elect Sci &amp; Technol China, Sichuan Prov Peoples Hosp, Sch Med, Dept Haematol, Chengdu 610072, Peoples R China.</t>
  </si>
  <si>
    <t>miaoyangbao@gmail.com; cailulu@med.uestc.edu.cn</t>
  </si>
  <si>
    <t>This work was supported by the National Natural Science Foundation of China (U2230123, 31900984, 81972901, 82304969, 82304789), the National Key Research and Development Program of China (2020YFC2005500), the Central Guide Local Science and Technology Deve [U2230123, 31900984, 81972901, 82304969, 82304789]; National Natural Science Foundation of China [2020YFC2005500]; National Key Research and Development Program of China [2022ZYD0080]; Central Guide Local Science and Technology Development Fund [2023YFS0110, 2023YFS0125, 2023YFS0131, 2023NSFSC0033, 2022YFS0159, 2022YFS0606, 2019YFS0514]; Key Research and Development Program of Science and Technology Department of Sichuan Province [2022M710623, 2022M720670]; China Postdoctoral Science Foundation</t>
  </si>
  <si>
    <t>This work was supported by the National Natural Science Foundation of China (U2230123, 31900984, 81972901, 82304969, 82304789), the National Key Research and Development Program of China (2020YFC2005500), the Central Guide Local Science and Technology Deve; National Natural Science Foundation of China (National Natural Science Foundation of China (NSFC)); National Key Research and Development Program of China (National Key Research &amp; Development Program of China); Central Guide Local Science and Technology Development Fund; Key Research and Development Program of Science and Technology Department of Sichuan Province; China Postdoctoral Science Foundation (China Postdoctoral Science Foundation)</t>
  </si>
  <si>
    <t>This work was supported by the National Natural Science Foundation of China (U2230123, 31900984, 81972901, 82304969, 82304789), the National Key Research and Development Program of China (2020YFC2005500), the Central Guide Local Science and Technology Development Fund (2022ZYD0080), the Key Research and Development Program of Science and Technology Department of Sichuan Province (2023YFS0110, 2023YFS0125, 2023YFS0131, 2023NSFSC0033, 2022YFS0159, 2022YFS0606, 2019YFS0514), and China Postdoctoral Science Foundation (2022M710623, 2022M720670).</t>
  </si>
  <si>
    <t>[Sun, Leming; Liu, Hongmei; Tan, Sumin; Tong, Rongsheng; Cai, Lulu] Univ Elect Sci &amp; Technol China, Sichuan Prov Peoples Hosp, Sch Med, Dept Pharm,Personalized Drug Therapy Key Lab Sichu, Chengdu 610072, Peoples R China; [Sun, Leming; Lei, Yang; Islam, Rehmat] Northwestern Polytech Univ, Sch Life Sci, Engn Res Ctr, Chinese Minist Educ Biol Diag Treatment &amp; Protect, Xian 710072, Peoples R China; [Ye, Yanqi] Sorrento Therapeut Inc, 4955 Directors Pl, San Diego, CA 92121 USA; [Miao, Yang-Bao] Univ Elect Sci &amp; Technol China, Sichuan Prov Peoples Hosp, Sch Med, Dept Haematol, Chengdu 610072, Peoples R China</t>
  </si>
  <si>
    <t>Sichuan Provincial People's Hospital; University of Electronic Science &amp; Technology of China; Northwestern Polytechnical University; Sichuan Provincial People's Hospital; University of Electronic Science &amp; Technology of China</t>
  </si>
  <si>
    <t>Smart nanoparticles for cancer therapy</t>
  </si>
  <si>
    <t>SIGNAL TRANSDUCTION AND TARGETED THERAPY</t>
  </si>
  <si>
    <t>MESOPOROUS SILICA NANOPARTICLES; WALLED CARBON NANOTUBES; DRUG-DELIVERY SYSTEM; BLACK PHOSPHORUS NANOPARTICLES; SECRETED PHOSPHOLIPASES A(2); IRON-OXIDE NANOPARTICLES; MOF-DERIVED NANOHYBRIDS; ACUTE MYELOID-LEUKEMIA; T-CELL THERAPY; IN-VIVO</t>
  </si>
  <si>
    <t>ISLAM, REHMAT/AAU-4378-2021; Sun, Leming/AAG-7969-2019</t>
  </si>
  <si>
    <t>ISLAM, REHMAT/0000-0003-1445-1833; Yang-Bao, Miao/0000-0001-7705-8567; Sun, Leming/0000-0002-3188-9557</t>
  </si>
  <si>
    <t>353</t>
  </si>
  <si>
    <t>865</t>
  </si>
  <si>
    <t>967</t>
  </si>
  <si>
    <t>677</t>
  </si>
  <si>
    <t>THE CAMPUS, 4 CRINAN ST, LONDON, N1 9XW, ENGLAND</t>
  </si>
  <si>
    <t>2095-9907</t>
  </si>
  <si>
    <t>2059-3635</t>
  </si>
  <si>
    <t>SIGNAL TRANSDUCT TAR</t>
  </si>
  <si>
    <t>Signal Transduct. Target. Ther.</t>
  </si>
  <si>
    <t>NOV 3 2023</t>
  </si>
  <si>
    <t>418</t>
  </si>
  <si>
    <t>10.1038/s41392-023-01642-x</t>
  </si>
  <si>
    <t>http://dx.doi.org/10.1038/s41392-023-01642-x</t>
  </si>
  <si>
    <t>Biochemistry &amp; Molecular Biology; Cell Biology</t>
  </si>
  <si>
    <t>W5QB4</t>
  </si>
  <si>
    <t>37919282</t>
  </si>
  <si>
    <t>WOS:001092160000001</t>
  </si>
  <si>
    <t>69</t>
  </si>
  <si>
    <t>Gui, J; Sun, ZA; Wen, YG; Tao, DC; Ye, JP</t>
  </si>
  <si>
    <t>Generative adversarial networks (GANs) have recently become a hot research topic; however, they have been studied since 2014, and a large number of algorithms have been proposed. Nevertheless, few comprehensive studies explain the connections among different GAN variants and how they have evolved. In this paper, we attempt to provide a review of the various GAN methods from the perspectives of algorithms, theory, and applications. First, the motivations, mathematical representations, and structures of most GAN algorithms are introduced in detail, and we compare their commonalities and differences. Second, theoretical issues related to GANs are investigated. Finally, typical applications of GANs in image processing and computer vision, natural language processing, music, speech and audio, the medical field, and data science are discussed.</t>
  </si>
  <si>
    <t>Gui, Jie; Sun, Zhenan; Wen, Yonggang; Tao, Dacheng; Ye, Jieping</t>
  </si>
  <si>
    <t>Gui, J (corresponding author), Southeast Univ, Sch Cyber Sci &amp; Engn, Nanjing 211100, Jiangsu, Peoples R China.; Gui, J (corresponding author), Purple Mt Labs, Nanjing 210000, Peoples R China.</t>
  </si>
  <si>
    <t>ygwen@ntu.edu.sg; jieping@gmail.com; znsun@nlpr.ia.ac.cn; dacheng.tao@gmail.com; guijie@seu.edu.cn</t>
  </si>
  <si>
    <t>National Science Foundation of China [62172090, 62172089]; National Key R&amp;D Project of China [2021QY2102]; CAAI-Huawei MindSpore Open Fund; Alibaba Group through Alibaba Innovative Research Program; Fundamental Research Funds for the Central Universities [2242022R10071]; Grant of the Singapore National Research Foundation (NRF); Jiangsu Provincial Double-Innovation Doctor Program [JSSCBS20210075]</t>
  </si>
  <si>
    <t>National Science Foundation of China (National Natural Science Foundation of China (NSFC)); National Key R&amp;D Project of China; CAAI-Huawei MindSpore Open Fund; Alibaba Group through Alibaba Innovative Research Program; Fundamental Research Funds for the Central Universities (Fundamental Research Funds for the Central Universities); Grant of the Singapore National Research Foundation (NRF); Jiangsu Provincial Double-Innovation Doctor Program</t>
  </si>
  <si>
    <t>This work was supported in part by the National Science Foundation of China under Grants 62172090 and 62172089, in part by the National Key R&amp;D Project of China under Grant 2021QY2102, in part by CAAI-Huawei MindSpore Open Fund, in part by Alibaba Group through Alibaba Innovative Research Program, in part by the Fundamental Research Funds for the Central Universities under Grant 2242022R10071, in part by the Grant of the Singapore National Research Foundation (NRF) under Sustainable Tropical Data Center Testbed (STDCT) Project, and in part by Jiangsu Provincial Double-Innovation Doctor Program under Grant JSSCBS20210075.</t>
  </si>
  <si>
    <t>[Gui, Jie] Southeast Univ, Sch Cyber Sci &amp; Engn, Nanjing 211100, Jiangsu, Peoples R China; [Gui, Jie] Purple Mt Labs, Nanjing 210000, Peoples R China; [Gui, Jie] Univ Michigan, Dept Computat Med &amp; Bioinformat, Ann Arbor, MI USA; [Sun, Zhenan] Chinese Acad Sci, Ctr Res Intelligent Percept &amp; Comp, Beijing 100190, Peoples R China; [Wen, Yonggang] Nanyang Technol Univ, Sch Comp Sci &amp; Engn, Singapore 639798, Singapore; [Tao, Dacheng] JD Explore Acad, Hong Kong, Peoples R China; [Tao, Dacheng] Univ Sydney, Sch Comp Sci, Sydney, Australia; [Ye, Jieping] Beike, Beijing, Peoples R China; [Ye, Jieping] Univ Michigan, Ann Arbor, MI 48109 USA</t>
  </si>
  <si>
    <t>Southeast University - China; Purple Mountain Laboratories; University of Michigan System; University of Michigan; Chinese Academy of Sciences; Institute of Automation, CAS; Nanyang Technological University; University of Sydney; University of Michigan System; University of Michigan</t>
  </si>
  <si>
    <t>A Review on Generative Adversarial Networks: Algorithms, Theory, and Applications</t>
  </si>
  <si>
    <t>IEEE TRANSACTIONS ON KNOWLEDGE AND DATA ENGINEERING</t>
  </si>
  <si>
    <t>Generators; Generative adversarial networks; Data models; Linear programming; Natural language processing; Machine learning algorithms; Inference algorithms; Deep learning; generative adversarial networks; algorithm; theory; applications</t>
  </si>
  <si>
    <t>IMAGE SYNTHESIS; LEARNING ALGORITHM; GAN; TEXT</t>
  </si>
  <si>
    <t>Tao, Dacheng/A-5449-2012; Wen, Yonggang/P-9406-2017</t>
  </si>
  <si>
    <t>Tao, Dacheng/0000-0001-7225-5449; Wen, Yonggang/0000-0002-2751-5114</t>
  </si>
  <si>
    <t>331</t>
  </si>
  <si>
    <t>863</t>
  </si>
  <si>
    <t>986</t>
  </si>
  <si>
    <t>62</t>
  </si>
  <si>
    <t>447</t>
  </si>
  <si>
    <t>IEEE COMPUTER SOC</t>
  </si>
  <si>
    <t>LOS ALAMITOS</t>
  </si>
  <si>
    <t>10662 LOS VAQUEROS CIRCLE, PO BOX 3014, LOS ALAMITOS, CA 90720-1314 USA</t>
  </si>
  <si>
    <t>1041-4347</t>
  </si>
  <si>
    <t>1558-2191</t>
  </si>
  <si>
    <t>IEEE T KNOWL DATA EN</t>
  </si>
  <si>
    <t>IEEE Trans. Knowl. Data Eng.</t>
  </si>
  <si>
    <t>APR 1 2023</t>
  </si>
  <si>
    <t>35</t>
  </si>
  <si>
    <t>3313</t>
  </si>
  <si>
    <t>3332</t>
  </si>
  <si>
    <t>10.1109/TKDE.2021.3130191</t>
  </si>
  <si>
    <t>http://dx.doi.org/10.1109/TKDE.2021.3130191</t>
  </si>
  <si>
    <t>Computer Science, Artificial Intelligence; Computer Science, Information Systems; Engineering, Electrical &amp; Electronic</t>
  </si>
  <si>
    <t>Computer Science; Engineering</t>
  </si>
  <si>
    <t>C9SI5</t>
  </si>
  <si>
    <t>WOS:000965229000001</t>
  </si>
  <si>
    <t>143</t>
  </si>
  <si>
    <t>Shi, F; Wang, J; Shi, J; Wu, ZY; Wang, Q; Tang, ZY; He, KL; Shi, YH; Shen, DG</t>
  </si>
  <si>
    <t>The pandemic of coronavirus disease 2019 (COVID-19) is spreading all over the world. Medical imaging such as X-ray and computed tomography (CT) plays an essential role in the global fight against COVID-19, whereas the recently emerging artificial intelligence (AI) technologies further strengthen the power of the imaging tools and help medical specialists. We hereby review the rapid responses in the community of medical imaging (empowered by AI) toward COVID-19. For example, AI-empowered image acquisition can significantly help automate the scanning procedure and also reshape the workflow with minimal contact to patients, providing the best protection to the imaging technicians. Also, AI can improve work efficiency by accurate delineation of infections in X-ray and CT images, facilitating subsequent quantification. Moreover, the computer-aided platforms help radiologists make clinical decisions, i.e., for disease diagnosis, tracking, and prognosis. In this review paper, we thus cover the entire pipeline of medical imaging and analysis techniques involved with COVID-19, including image acquisition, segmentation, diagnosis, and follow-up. We particularly focus on the integration of AI with X-ray and CT, both of which are widely used in the frontline hospitals, in order to depict the latest progress of medical imaging and radiology fighting against COVID-19.</t>
  </si>
  <si>
    <t>Shi, Feng; Wang, Jun; Shi, Jun; Wu, Ziyan; Wang, Qian; Tang, Zhenyu; He, Kelei; Shi, Yinghuan; Shen, Dinggang</t>
  </si>
  <si>
    <t>Shen, DG (corresponding author), Shanghai United Imaging Intelligence Co Ltd, Dept Res &amp; Dev, Shanghai 200232, Peoples R China.</t>
  </si>
  <si>
    <t>dinggang.shen@gmail.com; junshi@shu.edu.cn; wang.qian@sjtu.edu.cn; syh@nju.edu.cn; feng.shi@united-imaging.com; hkl@nju.edu.cn; wangjun_shu@shu.edu.cn; tangzhenyu@buaa.edu.cn; ziyan.wu@united-imaging.com</t>
  </si>
  <si>
    <t>Shanghai Science and Technology Foundation [18010500600, 19QC1400600]; National Key Research and Development Program of China [2018YFC0116400]; Natural Science Foundation of Jiangsu Province [BK20181339]</t>
  </si>
  <si>
    <t>Shanghai Science and Technology Foundation; National Key Research and Development Program of China (National Key Research &amp; Development Program of China); Natural Science Foundation of Jiangsu Province (Natural Science Foundation of Jiangsu Province)</t>
  </si>
  <si>
    <t>This work was supported in part by the Shanghai Science and Technology Foundation under Grants 18010500600 and 19QC1400600, in part by the National Key Research and Development Program of China under Grant 2018YFC0116400, and in part by the Natural Science Foundation of Jiangsu Province under Grant BK20181339.</t>
  </si>
  <si>
    <t>[Shi, Feng; Shen, Dinggang] Shanghai United Imaging Intelligence Co Ltd, Dept Res &amp; Dev, Shanghai 200232, Peoples R China; [Wang, Jun; Shi, Jun] Shanghai Univ, Sch Commun &amp; Informat Engn, Shanghai Inst Adv Commun &amp; Data Sci, Key Lab Specialty Fiber Opt &amp; Opt Access Networks, Shanghai 200444, Peoples R China; [Wu, Ziyan] United Imaging Intelligence, Cambridge, MA 02140 USA; [Wang, Qian] Shanghai Jiao Tong Univ, Sch Biomed Engn, Inst Med Imaging Technol, Shanghai 200030, Peoples R China; [Tang, Zhenyu] Beihang Univ, Beijing Adv Innovat Ctr Big Data &amp; Brain Comp, Beijing 100191, Peoples R China; [He, Kelei] Nanjing Univ, Med Sch, Nanjing 210093, Jiangsu, Peoples R China; [He, Kelei] Nanjing Univ, Natl Inst Healthcare Data Sci, Nanjing 210093, Jiangsu, Peoples R China; [Shi, Yinghuan] Nanjing Univ, Natl Key Lab Novel Software &amp; Technol, Nanjing 210093, Jiangsu, Peoples R China; [Shi, Yinghuan] Nanjing Univ, Natl Inst Healthcare Data Sci, Nanjing 210093, Jiangsu, Peoples R China</t>
  </si>
  <si>
    <t>Shanghai University; Shanghai Jiao Tong University; Beihang University; Nanjing University; Nanjing University; Nanjing University; Nanjing University</t>
  </si>
  <si>
    <t>Review of Artificial Intelligence Techniques in Imaging Data Acquisition, Segmentation, and Diagnosis for COVID-19</t>
  </si>
  <si>
    <t>IEEE REVIEWS IN BIOMEDICAL ENGINEERING</t>
  </si>
  <si>
    <t>Computed tomography; Artificial intelligence; Image segmentation; Biomedical imaging; X-ray imaging; Three-dimensional displays; COVID-19; COVID-19; artificial intelligence; image acquisition; segmentation; diagnosis</t>
  </si>
  <si>
    <t>CT</t>
  </si>
  <si>
    <t>Shi, Feng/G-3247-2012; Shen, Dinggang/ABF-6812-2020; Tang, Zhenyu/AAO-6764-2021; Wang, Qian/AAY-9494-2020; Wang, Jun/ACJ-7398-2022</t>
  </si>
  <si>
    <t>Shi, Feng/0000-0003-1522-9943; He, Kelei/0000-0002-7264-9437; Wang, Jun/0000-0001-9548-0411</t>
  </si>
  <si>
    <t>836</t>
  </si>
  <si>
    <t>994</t>
  </si>
  <si>
    <t>618</t>
  </si>
  <si>
    <t>1937-3333</t>
  </si>
  <si>
    <t>1941-1189</t>
  </si>
  <si>
    <t>IEEE REV BIOMED ENG</t>
  </si>
  <si>
    <t>IEEE Rev. Biomed. Eng.</t>
  </si>
  <si>
    <t>10.1109/RBME.2020.2987975</t>
  </si>
  <si>
    <t>http://dx.doi.org/10.1109/RBME.2020.2987975</t>
  </si>
  <si>
    <t>WI6CE</t>
  </si>
  <si>
    <t>32305937</t>
  </si>
  <si>
    <t>WOS:000708445300005</t>
  </si>
  <si>
    <t>343</t>
  </si>
  <si>
    <t>Xiong, X; Zheng, LW; Ding, Y; Chen, YF; Cai, YW; Wang, LP; Huang, L; Liu, CC; Shao, ZM; Yu, KD</t>
  </si>
  <si>
    <t>Breast cancer, characterized by unique epidemiological patterns and significant heterogeneity, remains one of the leading causes of malignancy-related deaths in women. The increasingly nuanced molecular subtypes of breast cancer have enhanced the comprehension and precision treatment of this disease. The mechanisms of tumorigenesis and progression of breast cancer have been central to scientific research, with investigations spanning various perspectives such as tumor stemness, intra-tumoral microbiota, and circadian rhythms. Technological advancements, particularly those integrated with artificial intelligence, have significantly improved the accuracy of breast cancer detection and diagnosis. The emergence of novel therapeutic concepts and drugs represents a paradigm shift towards personalized medicine. Evidence suggests that optimal diagnosis and treatment models tailored to individual patient risk and expected subtypes are crucial, supporting the era of precision oncology for breast cancer. Despite the rapid advancements in oncology and the increasing emphasis on the clinical precision treatment of breast cancer, a comprehensive update and summary of the panoramic knowledge related to this disease are needed. In this review, we provide a thorough overview of the global status of breast cancer, including its epidemiology, risk factors, pathophysiology, and molecular subtyping. Additionally, we elaborate on the latest research into mechanisms contributing to breast cancer progression, emerging treatment strategies, and long-term patient management. This review offers valuable insights into the latest advancements in Breast Cancer Research, thereby facilitating future progress in both basic research and clinical application.</t>
  </si>
  <si>
    <t>Xiong, Xin; Zheng, Le-Wei; Ding, Yu; Chen, Yu-Fei; Cai, Yu-Wen; Wang, Lei-Ping; Huang, Liang; Liu, Cui-Cui; Shao, Zhi-Ming; Yu, Ke-Da</t>
  </si>
  <si>
    <t>Yu, KD (corresponding author), Fudan Univ, Shanghai Canc Ctr, Shanghai Med Coll,Dept Oncol, Canc Inst,Dept Breast Surg,Key Lab Breast Canc Sha, Shanghai, Peoples R China.</t>
  </si>
  <si>
    <t>yukeda@fudan.edu.cn</t>
  </si>
  <si>
    <t>National Natural Science Foundation of China (National Science Foundation of China)</t>
  </si>
  <si>
    <t>National Natural Science Foundation of China (National Science Foundation of China) (National Natural Science Foundation of China (NSFC))</t>
  </si>
  <si>
    <t>The figures were created with Biorender.com.</t>
  </si>
  <si>
    <t>[Xiong, Xin; Zheng, Le-Wei; Chen, Yu-Fei; Cai, Yu-Wen; Huang, Liang; Liu, Cui-Cui; Shao, Zhi-Ming; Yu, Ke-Da] Fudan Univ, Shanghai Canc Ctr, Shanghai Med Coll,Dept Oncol, Canc Inst,Dept Breast Surg,Key Lab Breast Canc Sha, Shanghai, Peoples R China; [Ding, Yu] Guiyang Maternal &amp; Child Hlth Care Hosp, Dept Breast &amp; Thyroid, Guiyang, Peoples R China; [Ding, Yu] Guiyang Childrens Hosp, Guiyang, Peoples R China; [Ding, Yu] Guizhou Med Univ, Dept Clin Med, Guiyang, Peoples R China; [Wang, Lei-Ping] Fudan Univ, Shanghai Canc Ctr, Shanghai Med Coll, Dept Breast &amp; Urol Med Oncol,Dept Oncol, Shanghai, Peoples R China</t>
  </si>
  <si>
    <t>Fudan University; Guizhou Medical University; Fudan University</t>
  </si>
  <si>
    <t>Breast cancer: pathogenesis and treatments</t>
  </si>
  <si>
    <t>PATHOLOGICAL COMPLETE RESPONSE; NEOADJUVANT SYSTEMIC THERAPY; PLUS ENDOCRINE THERAPY; MODERATE-INTENSITY EXERCISE; RANDOMIZED CONTROLLED-TRIAL; ESTROGEN-RECEPTOR DEGRADER; PROGRESSION-FREE SURVIVAL; CIRCULATING TUMOR DNA; DISEASE-FREE SURVIVAL; SCALP COOLING DEVICE</t>
  </si>
  <si>
    <t>Cai, Yuwen/LUZ-0429-2024</t>
  </si>
  <si>
    <t>yu, ke-da/0000-0002-2883-1282; Liu, Cui-Cui/0009-0005-7444-5314; Ding, Yu/0009-0007-1103-6817; Chen, Yufei/0009-0007-7434-2168</t>
  </si>
  <si>
    <t>558</t>
  </si>
  <si>
    <t>834</t>
  </si>
  <si>
    <t>941</t>
  </si>
  <si>
    <t>362</t>
  </si>
  <si>
    <t>FEB 19 2025</t>
  </si>
  <si>
    <t>2025</t>
  </si>
  <si>
    <t>49</t>
  </si>
  <si>
    <t>10.1038/s41392-024-02108-4</t>
  </si>
  <si>
    <t>http://dx.doi.org/10.1038/s41392-024-02108-4</t>
  </si>
  <si>
    <t>X4G3R</t>
  </si>
  <si>
    <t>39966355</t>
  </si>
  <si>
    <t>WOS:001424950700002</t>
  </si>
  <si>
    <t>81</t>
  </si>
  <si>
    <t>326</t>
  </si>
  <si>
    <t>Duering, M; Biessels, GJ; Brodtmann, A; Chen, CSP; Cordonnier, C; de Leeuw, FE; Debette, S; Frayne, R; Jouvent, E; Rost, NS; ter Telgte, A; Salman, RA; Backes, WH; Bae, HJ; Brown, R; Chabriat, H; De Luca, A; deCarli, C; Dewenter, A; Doubal, FN; Ewers, M; Field, TS; Ganesh, A; Greenberg, S; Helmer, KG; Hilal, S; Jochems, ACC; Jokinen, H; Kuijf, H; Lam, BYK; Lebenberg, J; MacIntosh, BJ; Maillard, P; Mok, VCT; Pantoni, L; Rudilosso, S; Satizabal, CL; Schirmer, MD; Schmidt, R; Smith, C; Staals, J; Thrippleton, MJ; van Veluw, SJ; Vemuri, P; Wang, YL; Werring, D; Zedde, M; Akinyemi, RO; Del Brutto, OH; Markus, HS; Zhu, YC; Smith, EE; Dichgans, M; Wardlaw, JM</t>
  </si>
  <si>
    <t>Cerebral small vessel disease (SVD) is common during ageing and can present as stroke, cognitive decline, neurobehavioural symptoms, or functional impairment. SVD frequently coexists with neurodegenerative disease, and can exacerbate cognitive and other symptoms and affect activities of daily living. Standards for Reporting Vascular Changes on Neuroimaging 1 (STRIVE-1) categorised and standardised the diverse features of SVD that are visible on structural MRI. Since then, new information on these established SVD markers and novel MRI sequences and imaging features have emerged. As the effect of combined SVD imaging features becomes clearer, a key role for quantitative imaging biomarkers to determine sub-visible tissue damage, subtle abnormalities visible at high-field strength MRI, and lesion-symptom patterns, is also apparent. Together with rapidly emerging machine learning methods, these metrics can more comprehensively capture the effect of SVD on the brain than the structural MRI features alone and serve as intermediary outcomes in clinical trials and future routine practice. Using a similar approach to that adopted in STRIVE-1, we updated the guidance on neuroimaging of vascular changes in studies of ageing and neurodegeneration to create STRIVE-2.</t>
  </si>
  <si>
    <t>Duering, Marco; Biessels, Geert Jan; Brodtmann, Amy; Chen, Christopher; Cordonnier, Charlotte; de Leeuw, Frank-Erik; Debette, Stephanie; Frayne, Richard; Jouvent, Eric; Rost, Natalia S.; ter Telgte, Annemieke; Salman, Rustam Al-Shahi; Backes, Walter H.; Bae, Hee-Joon; Brown, Rosalind; Chabriat, Hugues; De Luca, Alberto; deCarli, Charles; Dewenter, Anna; Doubal, Fergus N.; Ewers, Michael; Field, Thalia S.; Ganesh, Aravind; Greenberg, Steven; Helmer, Karl G.; Hilal, Saima; Jochems, Angela C. C.; Jokinen, Hanna; Kuijf, Hugo; Lam, Bonnie Y. K.; Lebenberg, Jessica; MacIntosh, Bradley J.; Maillard, Pauline; Mok, Vincent C. T.; Pantoni, Leonardo; Rudilosso, Salvatore; Satizabal, Claudia L.; Schirmer, Markus D.; Schmidt, Reinhold; Smith, Colin; Staals, Julie; Thrippleton, Michael J.; van Veluw, Susanne J.; Vemuri, Prashanthi; Wang, Yilong; Werring, David; Zedde, Marialuisa; Akinyemi, Rufus O.; Del Brutto, Oscar H.; Markus, Hugh S.; Zhu, Yi-Cheng; Smith, Eric E.; Dichgans, Martin; Wardlaw, Joanna M.</t>
  </si>
  <si>
    <t>Duering, M (corresponding author), Univ Hosp, Inst Stroke &amp; Dementia Res ISD, LMU Munich, D-81377 Munich, Germany.; Wardlaw, JM (corresponding author), Univ Edinburgh, Ctr Clin Brain Sci, Edinburgh EH16 4SB, Scotland.</t>
  </si>
  <si>
    <t>joanna.wardlaw@ed.ac.uk; marco.duering@med.uni-muenchen.de</t>
  </si>
  <si>
    <t>British Heart Foundation [FS/13/72/30531, PG/14/50/30891, SP/12/2/29422, CS/18/2/33719, FS/17/53/33119] Funding Source: Medline; Medical Research Council [G1002605, G108/613, MR/R014140/1] Funding Source: Medline; NHGRI NIH HHS [U01 HG010273] Funding Source: Medline; British Heart Foundation [PG/14/50/30891, CS/18/2/33719, SP/12/2/29422, FS/13/72/30531] Funding Source: researchfish; Medical Research Council [G108/613, G1002605, MR/R014140/1] Funding Source: researchfish; MRC [MR/R014140/1] Funding Source: UKRI</t>
  </si>
  <si>
    <t>British Heart Foundation (British Heart Foundation); Medical Research Council (UK Research &amp; Innovation (UKRI), Medical Research Council UK (MRC)); NHGRI NIH HHS (United States Department of Health &amp; Human Services, National Institutes of Health (NIH) - USA, NIH National Human Genome Research Institute (NHGRI)); British Heart Foundation (British Heart Foundation); Medical Research Council (UK Research &amp; Innovation (UKRI), Medical Research Council UK (MRC)); MRC (UK Research &amp; Innovation (UKRI), Medical Research Council UK (MRC))</t>
  </si>
  <si>
    <t>[Duering, Marco; Dewenter, Anna; Ewers, Michael; Dichgans, Martin] Univ Hosp, Inst Stroke &amp; Dementia Res ISD, LMU Munich, D-81377 Munich, Germany; [Duering, Marco] Univ Basel, Med Image Anal Ctr, Basel, Switzerland; [Duering, Marco] Univ Basel, Dept Biomed Engn, Basel, Switzerland; [Biessels, Geert Jan] Univ Med Ctr Utrecht, Dept Neurol, Utrecht, Netherlands; [De Luca, Alberto; Kuijf, Hugo] Univ Med Ctr Utrecht, Image Sci Inst, UMC Utrecht Brain Ctr, Utrecht, Netherlands; [Brodtmann, Amy] Monash Univ, Cent Clin Sch, Cognit Hlth Initiat, Melbourne, Vic, Australia; [Brodtmann, Amy] Univ Melbourne, Florey Inst Neurosci &amp; Mental Hlth, Melbourne, Vic, Australia; [Chen, Christopher] Natl Univ Singapore, Memory Aging &amp; Cognit Ctr, Yong Loo Lin Sch Med, Dept Pharmacol, Singapore, Singapore; [Chen, Christopher] Natl Univ Singapore, Memory Aging &amp; Cognit Ctr, Yong Loo Lin Sch Med, Dept Psychol Med, Singapore, Singapore; [Cordonnier, Charlotte] Univ Lille, INSERM, CHU Lille, U1172 Lille Neurosci &amp; Cognit LilNCog, Lille, France; [de Leeuw, Frank-Erik] Radboudumc, Donders Ctr Med Neurosci, Dept Neurol, Nijmegen, Netherlands; [Debette, Stephanie] Univ Bordeaux, Bordeaux Populat Hlth Res Ctr, INSERM, UMR 1219, Bordeaux, France; [Frayne, Richard; Ganesh, Aravind; Smith, Eric E.] Univ Calgary, Dept Clin Neurosci, Calgary, AB, Canada; [Ganesh, Aravind; Smith, Eric E.] Univ Calgary, Dept Community Hlth Sci, Calgary, AB, Canada; [Frayne, Richard; Smith, Eric E.] Univ Calgary, Dept Radiol, Calgary, AB, Canada; [Frayne, Richard; Ganesh, Aravind; Smith, Eric E.] Univ Calgary, Hotchkiss Brain Inst, Calgary, AB, Canada; [Frayne, Richard] Univ Calgary, Seaman Family MR Res Ctr, Foothills Med Ctr, Calgary, AB, Canada; [Ganesh, Aravind] Univ Calgary, Mathison Ctr Mental Hlth Res &amp; Educ, Calgary, AB, Canada; [Debette, Stephanie] CHU Bordeaux, Inst Neurodegenerat Dis, Dept Neurol, Bordeaux, France; [Jouvent, Eric; Lebenberg, Jessica] Univ Paris Cite, Lariboisiere Hosp, AP HP, Translat Neurovasc Ctr,FHU NeuroVasc, Paris, France; [Jouvent, Eric; Lebenberg, Jessica] Univ Paris Cite, INSERM UMR 1141, NeuroDiderot, Paris, France; [Rost, Natalia S.; Greenberg, Steven; Schirmer, Markus D.; van Veluw, Susanne J.] Massachusetts Gen Hosp, Dept Neurol, Boston, MA USA; [Helmer, Karl G.] Massachusetts Gen Hosp, Dept Radiol, Boston, MA USA; [Helmer, Karl G.] Athinoula A Martinos Ctr Biomed Imaging, Boston, MA USA; [ter Telgte, Annemieke] VASCage Res Ctr Vasc Ageing &amp; Stroke, Innsbruck, Austria; [Salman, Rustam Al-Shahi; Brown, Rosalind; Doubal, Fergus N.; Jochems, Angela C. C.; Smith, Colin; Thrippleton, Michael J.; Wardlaw, Joanna M.] Univ Edinburgh, Ctr Clin Brain Sci, Edinburgh EH16 4SB, Scotland; [Brown, Rosalind; Jochems, Angela C. C.; Wardlaw, Joanna M.] Univ Edinburgh, UK Dementia Res Inst, Edinburgh, Scotland; [Thrippleton, Michael J.] Univ Edinburgh, Edinburgh Imaging, Edinburgh, Scotland; Univ Edinburgh, Ctr Clin Brain Sci, Edinburgh, Scotland; [Backes, Walter H.] Maastricht Univ Med Ctr, Sch Mental Hlth &amp; Neurosci, Maastricht, Netherlands; [Backes, Walter H.; Staals, Julie] Maastricht Univ Med Ctr, Sch Cardiovasc Dis, Maastricht, Netherlands; [Backes, Walter H.] Maastricht Univ Med Ctr, Dept Radiol &amp; Nucl Med, Maastricht, Netherlands; [Staals, Julie] Maastricht Univ Med Ctr, Dept Neurol, Maastricht, Netherlands; [Bae, Hee-Joon] Seoul Natl Univ, Dept Neurol, Coll Med, Seoul, South Korea; [Bae, Hee-Joon] Seoul Natl Univ, Cerebrovasc Dis Ctr, Bundang Hosp, Seongn Si, South Korea; [Chabriat, Hugues] Univ Paris Cite, Ctr Neurovasc Translat, CERVCO, INSERM U1141,FHU NeuroVasc, Paris, France; [deCarli, Charles; Maillard, Pauline] Univ Calif Davis, Dept Neurol, Davis, CA USA; [deCarli, Charles; Maillard, Pauline] Univ Calif Davis, Ctr Neurosci, Davis, CA USA; [Field, Thalia S.] Univ British Columbia, Djavad Mowafaghian Ctr Brain Hlth, Vancouver, BC, Canada; [Field, Thalia S.] Univ British Columbia, Vancouver Stroke Program, Div Neurol, Vancouver, BC, Canada; [Helmer, Karl G.] Harvard Med Sch, Dept Radiol, Boston, MA USA; [Hilal, Saima] Natl Univ Singapore, Saw Swee Hock Sch Publ Hlth, Singapore, Singapore; [Hilal, Saima] Natl Univ Hlth Syst, Singapore, Singapore; [Jokinen, Hanna] Univ Helsinki, Helsinki Univ Hosp, Div Neuropsychol, HUS Neuroctr, Helsinki, Finland; [Jokinen, Hanna] Univ Helsinki, Fac Med, Dept Psychol &amp; Logoped, Helsinki, Finland; [Lam, Bonnie Y. K.; Mok, Vincent C. T.] Chinese Univ Hong Kong, Fac Med, Dept Med &amp; Therapeut, Div Neurol, Hong Kong, Peoples R China; [Lam, Bonnie Y. K.; Mok, Vincent C. T.] Chinese Univ Hong Kong, Gerald Choa Neurosci Inst, Hong Kong, Peoples R China; [Lam, Bonnie Y. K.; Mok, Vincent C. T.] Chinese Univ Hong Kong, Margaret KL Cheung Res Ctr Management Parkinsonism, Hong Kong, Peoples R China; [Lam, Bonnie Y. K.; Mok, Vincent C. T.] Chinese Univ Hong Kong, Therese Pei Fong Chow Res Ctr Prevent Dementia, Hong Kong, Peoples R China; [Lam, Bonnie Y. K.; Mok, Vincent C. T.] Chinese Univ Hong Kong, Lui Che Woo Inst Innovat Med, Hong Kong, Peoples R China; [Lam, Bonnie Y. K.; Mok, Vincent C. T.] Chinese Univ Hong Kong, Li Ka Shing Inst Hlth Sci, Hong Kong, Peoples R China; [Lam, Bonnie Y. K.; Mok, Vincent C. T.] Chinese Univ Hong Kong, Lau Tat Chuen Res Ctr Brain Degenerat Dis Chinese, Hong Kong, Peoples R China; [Lam, Bonnie Y. K.] Univ Oxford, Wellcome Ctr Integrat Neuroimaging, Nuffield Dept Clin Neurosci, Oxford, England; [MacIntosh, Bradley J.] Sunnybrook Res Inst, Sandra E Black Ctr Brain Resilience &amp; Repair, Hurvitz Brain Sci, Phys Sci Platform, Toronto, ON, Canada; [MacIntosh, Bradley J.] Univ Toronto, Dept Med Biophys, Toronto, ON, Canada; [MacIntosh, Bradley J.] Oslo Univ Hosp, Computat Radiol &amp; Artificial Intelligence Unit, Radiol &amp; Nucl Med, Oslo, Norway; [Pantoni, Leonardo] Univ Milan, Dept Biomed &amp; Clin Sci, Milan, Italy; [Rudilosso, Salvatore] Hosp Clin Barcelona, Comprehens Stroke Ctr, Dept Neurosci, Barcelona, Spain; [Rudilosso, Salvatore] August Pi I Sunyer Biomed Res Inst IDIBAPS, Barcelona, Spain; [Satizabal, Claudia L.] Univ Texas Hlth Sci Ctr San Antonio, Glenn Biggs Inst Alzheimers &amp; Neurodegenerat Dis, San Antonio, TX USA; [Satizabal, Claudia L.] Univ Texas Hlth Sci Ctr San Antonio, Dept Populat Hlth Sci, San Antonio, TX USA; [Satizabal, Claudia L.] Boston Univ, Dept Neurol, Med Ctr, Boston, MA USA; [Satizabal, Claudia L.] Framingham Heart Dis Epidemiol Study, Framingham, MA USA; [Schmidt, Reinhold] Med Univ Graz, Dept Neurol, Graz, Austria; [Vemuri, Prashanthi] Mayo Clin, Dept Radiol, Rochester, MN USA; [Wang, Yilong] Capital Med Univ, Beijing Tiantan Hosp, Beijing, Peoples R China; [Werring, David] UCL Queen Sq Inst Neurol, Stroke Res Ctr, London, England; [Zedde, Marialuisa] Azienda Unita Sanit IRCCS Reggio Emilia, Dept Neuromotor Physiol &amp; Rehabil, Neurol Unit, Stroke Unit, Reggio Emilia, Italy; [Akinyemi, Rufus O.] Univ Ibadan, Inst Adv Med Res &amp; Training, Coll Med, Neurosci &amp; Ageing Res Unit, Ibadan, Nigeria; [Del Brutto, Oscar H.] Univ Especialidades Espiritu Santo, Sch Med, Guayaquil, Ecuador; [Del Brutto, Oscar H.] Univ Especialidades Espiritu Santo, Res Ctr, Guayaquil, Ecuador; [Markus, Hugh S.] Univ Cambridge, Dept Clin Neurosci, Stroke Res Grp, Cambridge, England; [Zhu, Yi-Cheng] Peking Union Med Coll Hosp, Dept Neurol, Beijing, Peoples R China; [Dichgans, Martin] Munich Cluster Syst Neurol SyNergy, Munich, Germany; [Dichgans, Martin] German Ctr Neurodegenerat Dis DZNE, Munich, Germany; [Dichgans, Martin] German Ctr Cardiovasc Res DZHK, Munich, Germany</t>
  </si>
  <si>
    <t>University of Munich; University of Basel; University of Basel; Utrecht University; Utrecht University Medical Center; Utrecht University; Utrecht University Medical Center; Monash University; Florey Institute of Neuroscience &amp; Mental Health; University of Melbourne; National University of Singapore; National University of Singapore; Institut National de la Sante et de la Recherche Medicale (Inserm); Universite de Lille; CHU Lille; Radboud University Nijmegen; Universite de Bordeaux; Institut National de la Sante et de la Recherche Medicale (Inserm); University of Calgary; University of Calgary; University of Calgary; University of Calgary; University of Calgary; University Calgary Hospital; University of Calgary; Universite de Bordeaux; CHU Bordeaux; Universite Paris Cite; Assistance Publique Hopitaux Paris (APHP); Hopital Universitaire Lariboisiere-Fernand-Widal - APHP; Hopital Universitaire Ambroise-Pare - APHP; Institut National de la Sante et de la Recherche Medicale (Inserm); Universite Paris Cite; Harvard University; Harvard University Medical Affiliates; Massachusetts General Hospital; Harvard University; Harvard University Medical Affiliates; Massachusetts General Hospital; University of Edinburgh; University of Edinburgh; University of Edinburgh; University of Edinburgh; Maastricht University; Maastricht University Medical Centre (MUMC); Maastricht University; Maastricht University Medical Centre (MUMC); Maastricht University; Maastricht University Medical Centre (MUMC); Maastricht University; Maastricht University Medical Centre (MUMC); Seoul National University (SNU); Seoul National University (SNU); Seoul National University Hospital; Institut National de la Sante et de la Recherche Medicale (Inserm); Universite Paris Cite; University of California System; University of California Davis; University of California System; University of California Davis; University of British Columbia; University of British Columbia; Harvard University; Harvard Medical School; National University of Singapore; National University of Singapore; University of Helsinki; Helsinki University Central Hospital; University of Helsinki; Chinese University of Hong Kong; Chinese University of Hong Kong; Chinese University of Hong Kong; Chinese University of Hong Kong; Chinese University of Hong Kong; Chinese University of Hong Kong; Chinese University of Hong Kong; University of Oxford; University of Toronto; Sunnybrook Health Science Center; Sunnybrook Research Institute; University of Toronto; University of Oslo; University of Milan; Luigi Sacco Hospital; University of Barcelona; Hospital Clinic de Barcelona; University of Barcelona; Hospital Clinic de Barcelona; IDIBAPS; University of Texas System; University of Texas at San Antonio; University of Texas System; University of Texas at San Antonio; Boston University; Framingham Heart Study; Medical University of Graz; Mayo Clinic; Capital Medical University; University of London; University College London; University of Ibadan; Universidad de Especialidades Espiritu Santo; Universidad de Especialidades Espiritu Santo; University of Cambridge; Chinese Academy of Medical Sciences - Peking Union Medical College; Peking Union Medical College Hospital; University of Munich; Helmholtz Association; German Center for Neurodegenerative Diseases (DZNE); German Centre for Cardiovascular Research</t>
  </si>
  <si>
    <t>Neuroimaging standards for research into small vessel disease-advances since 2013</t>
  </si>
  <si>
    <t>LANCET NEUROLOGY</t>
  </si>
  <si>
    <t>WHITE-MATTER HYPERINTENSITIES; CEREBRAL AMYLOID ANGIOPATHY; PERIVASCULAR SPACES; RISK-FACTORS; DIFFUSION MRI; STROKE; BRAIN; MICROBLEEDS; HEMORRHAGE; BURDEN</t>
  </si>
  <si>
    <t>Jochems, Angela/GLS-0284-2022; Dichgans, Martin/HCH-3247-2022; Lam, Bonnie/J-7578-2016; smith, Eric/KGL-0324-2024; Schirmer, Markus/L-3955-2019; Chabriat, Hugues/G-5699-2010; GANESH, DR. A/JJD-0095-2023; Frayne, Richard/AAA-9217-2021; De Luca, Alberto/I-2717-2019; Akinyemi, Rufus/X-2370-2019; Greenberg, Steven/JOZ-2441-2023; Field, Thalia/G-8477-2019; Debette, Stephanie/T-4946-2019; Werring, David/Q-8435-2019; Zhu, Yi-Cheng/L-3890-2013; Kuijf, Hugo/G-2711-2013; de Leeuw, Frank-Erik/E-4795-2012; Mok, Vincent/N-6421-2015; Zedde, Marialuisa/T-4692-2019; Al-Shahi Salman, Rustam/IAM-4339-2023; Jouvent, Eric/B-4320-2014; Maillard, Pauline/N-7600-2018; Vemuri, Prashanthi/K-7030-2012; Wardlaw, Joanna/Y-3456-2019; lebenberg, jessica/AAQ-7790-2021; Hilal, Saima/D-6028-2016; Chen, Christopher/E-7023-2013; Jokinen, Hanna/AAG-5863-2019; staals, julie/LOR-7903-2024; Duering, Marco/AAE-6949-2021; Rudilosso, Salvatore/B-9265-2018; Cordonnier, Charlotte/O-3258-2017; ter Telgte, Annemieke/HGB-2617-2022</t>
  </si>
  <si>
    <t>Thrippleton, Michael/0000-0001-7858-9917; Brodtmann, Amy/0000-0001-9466-2862; Dichgans, Martin/0000-0002-0654-387X; Schirmer, Markus/0000-0001-9561-0239; DeCarli, Charles/0000-0003-1914-2693; Field, Thalia/0000-0002-1176-0633; Satizabal, Claudia L/0000-0002-1115-4430; Kuijf, Hugo/0000-0001-6997-9059; Doubal, Fergus/0000-0002-2769-3148; Al-Shahi Salman, Rustam/0000-0002-2108-9222; Maillard, Pauline/0000-0003-3516-6345; Vemuri, Prashanthi/0000-0003-4286-0589; lebenberg, jessica/0000-0002-5403-8288; Chen, Christopher/0000-0002-1047-9225; Jokinen, Hanna/0000-0001-7889-1120; Joche, Angela/0000-0001-7392-3066; Duering, Marco/0000-0003-2302-3136; Rudilosso, Salvatore/0000-0002-8775-6884; Dewenter, Anna/0000-0002-5636-196X</t>
  </si>
  <si>
    <t>101</t>
  </si>
  <si>
    <t>818</t>
  </si>
  <si>
    <t>953</t>
  </si>
  <si>
    <t>101 Park Avenue, 24th Floor, NEW YORK, NY, UNITED STATES</t>
  </si>
  <si>
    <t>1474-4422</t>
  </si>
  <si>
    <t>1474-4465</t>
  </si>
  <si>
    <t>LANCET NEUROL</t>
  </si>
  <si>
    <t>Lancet Neurol.</t>
  </si>
  <si>
    <t>602</t>
  </si>
  <si>
    <t>10.1016/S1474-4422(23)00131-X</t>
  </si>
  <si>
    <t>http://dx.doi.org/10.1016/S1474-4422(23)00131-X</t>
  </si>
  <si>
    <t>JUN 2023</t>
  </si>
  <si>
    <t>Clinical Neurology</t>
  </si>
  <si>
    <t>Neurosciences &amp; Neurology</t>
  </si>
  <si>
    <t>O2RP9</t>
  </si>
  <si>
    <t>37236211</t>
  </si>
  <si>
    <t>WOS:001042347100001</t>
  </si>
  <si>
    <t>Green Accepted; Green Submitted</t>
  </si>
  <si>
    <t>184</t>
  </si>
  <si>
    <t>Nagendran, M; Chen, Y; Lovejoy, CA; Gordon, AC; Komorowski, M; Harvey, H; Topol, EJ; Ioannidis, JPA; Collins, GS; Maruthappu, M</t>
  </si>
  <si>
    <t>OBJECTIVETo systematically examine the design, reporting standards, risk of bias, and claims of studies comparing the performance of diagnostic deep learning algorithms for medical imaging with that of expert clinicians.DESIGNSystematic review.DATA SOURCESMedline, Embase, Cochrane Central Register of Controlled Trials, and the World Health Organization trial registry from 2010 to June 2019.ELIGIBILITY CRITERIA FOR SELECTING STUDIESRandomised trial registrations and non-randomised studies comparing the performance of a deep learning algorithm in medical imaging with a contemporary group of one or more expert clinicians. Medical imaging has seen a growing interest in deep learning research. The main distinguishing feature of convolutional neural networks (CNNs) in deep learning is that when CNNs are fed with raw data, they develop their own representations needed for pattern recognition. The algorithm learns for itself the features of an image that are important for classification rather than being told by humans which features to use. The selected studies aimed to use medical imaging for predicting absolute risk of existing disease or classification into diagnostic groups (eg, disease or non-disease). For example, raw chest radiographs tagged with a label such as pneumothorax or no pneumothorax and the CNN learning which pixel patterns suggest pneumothorax.REVIEW METHODSAdherence to reporting standards was assessed by using CONSORT (consolidated standards of reporting trials) for randomised studies and TRIPOD (transparent reporting of a multivariable prediction model for individual prognosis or diagnosis) for non-randomised studies. Risk of bias was assessed by using the Cochrane risk of bias tool for randomised studies and PROBAST (prediction model risk of bias assessment tool) for non-randomised studies.RESULTSOnly 10 records were found for deep learning randomised clinical trials, two of which have been published (with low risk of bias, except for lack of blinding, and high adherence to reporting standards) and eight are ongoing. Of 81 non-randomised clinical trials identified, only nine were prospective and just six were tested in a real world clinical setting. The median number of experts in the comparator group was only four (interquartile range 2-9). Full access to all datasets and code was severely limited (unavailable in 95% and 93% of studies, respectively). The overall risk of bias was high in 58 of 81 studies and adherence to reporting standards was suboptimal (&lt;50% adherence for 12 of 29 TRIPOD items). 61 of 81 studies stated in their abstract that performance of artificial intelligence was at least comparable to (or better than) that of clinicians. Only 31 of 81 studies (38%) stated that further prospective studies or trials were required.CONCLUSIONSFew prospective deep learning studies and randomised trials exist in medical imaging. Most nonrandomised trials are not prospective, are at high risk of bias, and deviate from existing reporting standards. Data and code availability are lacking in most studies, and human comparator groups are often small. Future studies should diminish risk of bias, enhance real world clinical relevance, improve reporting and transparency, and appropriately temper conclusions.STUDY REGISTRATIONPROSPERO CRD42019123605.</t>
  </si>
  <si>
    <t>Nagendran, Myura; Chen, Yang; Lovejoy, Christopher A.; Gordon, Anthony C.; Komorowski, Matthieu; Harvey, Hugh; Topol, Eric J.; Ioannidis, John P. A.; Collins, Gary S.; Maruthappu, Mahiben</t>
  </si>
  <si>
    <t>Nagendran, M (corresponding author), Imperial Coll London, Intens Care, St Marys Campus,Praed St, London W2 1NY, England.</t>
  </si>
  <si>
    <t>nagendran@imperial.ac.uk</t>
  </si>
  <si>
    <t>National Institute for Health Research (NIHR) academic clinical fellowships; UK NIHR research professor award [RP-2015-06-018]; NIHR Imperial Biomedical Research Centre; Laura and John Arnold Foundation; NIHR Oxford Biomedical Research Centre; Cancer Research UK [C49297/A27294]; Cancer Research UK [16895] Funding Source: researchfish; National Institute for Health Research [RP-2015-06-018] Funding Source: researchfish</t>
  </si>
  <si>
    <t>National Institute for Health Research (NIHR) academic clinical fellowships (National Institutes of Health Research (NIHR)); UK NIHR research professor award; NIHR Imperial Biomedical Research Centre; Laura and John Arnold Foundation; NIHR Oxford Biomedical Research Centre (National Institutes of Health Research (NIHR)); Cancer Research UK (Cancer Research UK); Cancer Research UK (Cancer Research UK); National Institute for Health Research (National Institutes of Health Research (NIHR))</t>
  </si>
  <si>
    <t>There is no specific funding for this study. MN and YC are supported by National Institute for Health Research (NIHR) academic clinical fellowships. ACG is funded by a UK NIHR research professor award (RP-2015-06-018). MN and ACG are both supported by the NIHR Imperial Biomedical Research Centre. The Meta-Research Innovation Center at Stanford (METRICS) has been funded by a grant from the Laura and John Arnold Foundation. GSC is supported by the NIHR Oxford Biomedical Research Centre and Cancer Research UK (grant C49297/A27294).</t>
  </si>
  <si>
    <t>[Nagendran, Myura; Gordon, Anthony C.] Imperial Coll London, Dept Surg &amp; Canc, Div Anaesthet Pain Med &amp; Intens Care, London, England; [Chen, Yang] UCL, Inst Cardiovasc Sci, London, England; [Lovejoy, Christopher A.; Maruthappu, Mahiben] Cera Care, London, England; [Gordon, Anthony C.] Imperial Coll Healthcare NHS Trust, Ctr Perioperat &amp; Crit Care Res, London, England; [Komorowski, Matthieu] Imperial Coll London, Dept Bioengn, London, England; [Harvey, Hugh] Hardian Hlth, London, England; [Topol, Eric J.] Scripps Res Translat Inst, La Jolla, CA USA; [Ioannidis, John P. A.] Stanford Univ, Dept Med, Stanford, CA 94305 USA; [Ioannidis, John P. A.] Stanford Univ, Dept Hlth Res &amp; Policy, Stanford, CA 94305 USA; [Ioannidis, John P. A.] Stanford Univ, Dept Biomed Data Sci, Stanford, CA 94305 USA; [Ioannidis, John P. A.] Stanford Univ, Dept Stat, Stanford, CA 94305 USA; [Ioannidis, John P. A.] Stanford Univ, Meta Res Innovat Ctr Stanford METRICS, Stanford, CA 94305 USA; [Collins, Gary S.] Univ Oxford, Ctr Stat Med, Oxford, England; [Collins, Gary S.] Oxford Univ Hosp NHS Trust, NIHR Oxford Biomed Res Ctr, Oxford, England</t>
  </si>
  <si>
    <t>Imperial College London; University of London; University College London; Imperial College London; Imperial College London; Stanford University; Stanford Medicine; Stanford University; Stanford Medicine; Stanford University; Stanford University; Stanford University; University of Oxford; University of Oxford; Oxford University Hospitals NHS Foundation Trust</t>
  </si>
  <si>
    <t>Artificial intelligence versus clinicians: systematic review of design, reporting standards, and claims of deep learning studies</t>
  </si>
  <si>
    <t>PREDICTION MODEL; REDUCING WASTE; APPLICABILITY; EXPLANATION; PROBAST; RISK; BIAS; TOOL; FDA</t>
  </si>
  <si>
    <t>Topol, Eric/JOZ-4372-2023; Gordon, Anthony/A-3472-2012; Chen, Yang/ABF-7660-2021; Collins, Gary/A-2258-2014; Ioannidis, John P/G-9836-2011</t>
  </si>
  <si>
    <t>Topol, Eric/0000-0002-1478-4729; Nagendran, Myura/0000-0002-4656-5096; Lovejoy, Christopher Anew/0000-0003-0919-1264; Gordon, Anthony/0000-0002-0419-547X; Komorowski, Matthieu/0000-0003-0559-5747; Chen, Yang/0000-0001-6032-3387; Collins, Gary/0000-0002-2772-2316; Ioannidis, John P/0000-0003-3118-6859</t>
  </si>
  <si>
    <t>41</t>
  </si>
  <si>
    <t>807</t>
  </si>
  <si>
    <t>149</t>
  </si>
  <si>
    <t>MAR 25 2020</t>
  </si>
  <si>
    <t>368</t>
  </si>
  <si>
    <t>m689</t>
  </si>
  <si>
    <t>10.1136/bmj.m689</t>
  </si>
  <si>
    <t>http://dx.doi.org/10.1136/bmj.m689</t>
  </si>
  <si>
    <t>LA2DX</t>
  </si>
  <si>
    <t>32213531</t>
  </si>
  <si>
    <t>WOS:000523764500002</t>
  </si>
  <si>
    <t>hybrid; Green Submitted; Green Published</t>
  </si>
  <si>
    <t>78</t>
  </si>
  <si>
    <t>191</t>
  </si>
  <si>
    <t>Liu, ZY; Wang, S; Dong, D; Wei, JW; Fang, C; Zhou, XZ; Sun, K; Li, LF; Li, B; Wang, MY; Tian, J</t>
  </si>
  <si>
    <t>Medical imaging can assess the tumor and its environment in their entirety, which makes it suitable for monitoring the temporal and spatial characteristics of the tumor. Progress in computational methods, especially in artificial intelligence for medical image process and analysis, has converted these images into quantitative and minable data associated with clinical events in oncology management. This concept was first described as radiomics in 2012. Since then, computer scientists, radiologists, and oncologists have gravitated towards this new tool and exploited advanced methodologies to mine the information behind medical images. On the basis of a great quantity of radiographic images and novel computational technologies, researchers developed and validated radiomic models that may improve the accuracy of diagnoses and therapy response assessments. Here, we review the recent methodological developments in radiomics, including data acquisition, tumor segmentation, feature extraction, and modelling, as well as the rapidly developing deep learning technology. Moreover, we outline the main applications of radiomics in diagnosis, treatment planning and evaluations in the field of oncology with the aim of developing quantitative and personalized medicine. Finally, we discuss the challenges in the field of radiomics and the scope and clinical applicability of these methods.</t>
  </si>
  <si>
    <t>Liu, Zhenyu; Wang, Shuo; Dong, Di; Wei, Jingwei; Fang, Cheng; Zhou, Xuezhi; Sun, Kai; Li, Longfei; Li, Bo; Wang, Meiyun; Tian, Jie</t>
  </si>
  <si>
    <t>Wang, MY (corresponding author), Zhengzhou Univ, Peoples Hosp, Zhengzhou 450003, Henan, Peoples R China.; Li, B (corresponding author), Southwest Med Univ, Affiliated Hosp, Dept Hepatobiliary Surg, Luzhou 646000, Sichuan, Peoples R China.; Tian, J (corresponding author), Chinese Acad Sci, Inst Automat, Beijing 100190, Peoples R China.; Wang, MY (corresponding author), Zhengzhou Univ, Henan Prov Peoples Hosp, Zhengzhou 450003, Henan, Peoples R China.</t>
  </si>
  <si>
    <t>liboer2002@126.com; marian9999@163.com; jie.tian@ia.ac.cn</t>
  </si>
  <si>
    <t>Beijing Natural Science Foundation [7182109]; National Natural Science Foundation of China [81772012, 81227901]; National Key Research and Development Plan of China [2017YFA0205200]; Chinese Academy of Sciences [GJJSTD20170004]</t>
  </si>
  <si>
    <t>Beijing Natural Science Foundation (Beijing Natural Science Foundation); National Natural Science Foundation of China (National Natural Science Foundation of China (NSFC)); National Key Research and Development Plan of China (National Key Research &amp; Development Program of China); Chinese Academy of Sciences (Chinese Academy of Sciences)</t>
  </si>
  <si>
    <t>This paper is supported by the Beijing Natural Science Foundation under Grant No. 7182109, the National Natural Science Foundation of China (Grant Nos. 81772012 and 81227901), the National Key Research and Development Plan of China under Grant Nos. 2017YFA0205200, Chinese Academy of Sciences under Grant No. GJJSTD20170004. The authors would like to acknowledge the instrumental and technical support of Multi-modal biomedical imaging experimental platform, Institute of Automation, Chinese Academy of Sciences.</t>
  </si>
  <si>
    <t>[Liu, Zhenyu; Wang, Shuo; Dong, Di; Wei, Jingwei; Zhou, Xuezhi; Sun, Kai; Li, Longfei; Tian, Jie] Chinese Acad Sci, Key Lab Mol Imaging, Inst Automat, Beijing 100190, Peoples R China; [Wang, Meiyun] Zhengzhou Univ, Henan Prov Peoples Hosp, Dept Radiol, Zhengzhou 450003, Henan, Peoples R China; [Wang, Meiyun] Zhengzhou Univ, Peoples Hosp, Zhengzhou 450003, Henan, Peoples R China; [Fang, Cheng; Li, Bo] Southwest Med Univ, Affiliated Hosp, Dept Hepatobiliary Surg, Luzhou 646000, Sichuan, Peoples R China; [Zhou, Xuezhi; Sun, Kai; Tian, Jie] Xidian Univ, Sch Life Sci &amp; Technol, Minist Educ, Engn Res Ctr Mol &amp; Neuro Imaging, Xian 710126, Shaanxi, Peoples R China; [Liu, Zhenyu; Wang, Shuo; Dong, Di; Wei, Jingwei] Univ Chinese Acad Sci, Beijing 100080, Peoples R China; [Li, Longfei] Zhengzhou Univ, Collaborat Innovat Ctr Internet Healthcare, Zhengzhou 450052, Henan, Peoples R China; [Tian, Jie] Beihang Univ, Beijing Adv Innovat Ctr Big Data Based Precis Med, Beijing 100191, Peoples R China</t>
  </si>
  <si>
    <t>Chinese Academy of Sciences; Institute of Automation, CAS; Zhengzhou University; Zhengzhou University; Southwest Medical University; Xidian University; Chinese Academy of Sciences; University of Chinese Academy of Sciences, CAS; Zhengzhou University; Beihang University</t>
  </si>
  <si>
    <t>The Applications of Radiomics in Precision Diagnosis and Treatment of Oncology: Opportunities and Challenges</t>
  </si>
  <si>
    <t>THERANOSTICS</t>
  </si>
  <si>
    <t>radiomics; medical imaging; precision diagnosis and treatment; oncology</t>
  </si>
  <si>
    <t>LYMPH-NODE METASTASIS; LOWER-GRADE GLIOMAS; FACTOR RECEPTOR MUTATION; TEXTURE ANALYSIS; RECTAL-CANCER; BREAST-CANCER; PREOPERATIVE PREDICTION; POTENTIAL BIOMARKER; MRI FEATURES; RESPONSE PREDICTION</t>
  </si>
  <si>
    <t>Dong, Di/F-6600-2017; Zhou, Xuezhi/ACX-6966-2022; Liu, Zhenyu/G-8444-2018; Tian, Jie/H-1190-2011; Li, Longfei/W-1440-2019; 刘, 振宇/G-8444-2018; Wang, Shuo/V-5903-2019</t>
  </si>
  <si>
    <t>Dong, Di/0000-0003-0783-3171; Wang, Meiyun/0000-0002-7163-2617; 刘, 振宇/0000-0001-7559-8519</t>
  </si>
  <si>
    <t>788</t>
  </si>
  <si>
    <t>924</t>
  </si>
  <si>
    <t>496</t>
  </si>
  <si>
    <t>IVYSPRING INT PUBL</t>
  </si>
  <si>
    <t>LAKE HAVEN</t>
  </si>
  <si>
    <t>PO BOX 4546, LAKE HAVEN, NSW 2263, AUSTRALIA</t>
  </si>
  <si>
    <t>1838-7640</t>
  </si>
  <si>
    <t>Theranostics</t>
  </si>
  <si>
    <t>1303</t>
  </si>
  <si>
    <t>10.7150/thno.30309</t>
  </si>
  <si>
    <t>http://dx.doi.org/10.7150/thno.30309</t>
  </si>
  <si>
    <t>HM3DU</t>
  </si>
  <si>
    <t>30867832</t>
  </si>
  <si>
    <t>WOS:000459354100007</t>
  </si>
  <si>
    <t>Tajbakhsh, N; Jeyaseelan, L; Li, Q; Chiang, J; Wu, ZH; Ding, XW</t>
  </si>
  <si>
    <t>The medical imaging literature has witnessed remarkable progress in high-performing segmentation models based on convolutional neural networks. Despite the new performance highs, the recent advanced segmentation models still require large, representative, and high quality annotated datasets. However, rarely do we have a perfect training dataset, particularly in the field of medical imaging, where data and annotations are both expensive to acquire. Recently, a large body of research has studied the problem of medical image segmentation with imperfect datasets, tackling two major dataset limitations: scarce annotations where only limited annotated data is available for training, and weak annotations where the training data has only sparse annotations, noisy annotations, or image-level annotations. In this article, we provide a detailed review of the solutions above, summarizing both the technical novelties and empirical results. We further compare the benefits and requirements of the surveyed methodologies and provide our recommended solutions. We hope this survey article increases the community awareness of the techniques that are available to handle imperfect medical image segmentation datasets. (C) 2020 Elsevier B.V. All rights reserved.</t>
  </si>
  <si>
    <t>Tajbakhsh, Nima; Jeyaseelan, Laura; Li, Qian; Chiang, Jeffrey; Wu, Zhihao; Ding, Xiaowei</t>
  </si>
  <si>
    <t>Tajbakhsh, N (corresponding author), VoxelCloud Inc, Los Angeles, CA 90024 USA.</t>
  </si>
  <si>
    <t>nima@asu.edu</t>
  </si>
  <si>
    <t>[Tajbakhsh, Nima; Jeyaseelan, Laura; Li, Qian; Chiang, Jeffrey; Wu, Zhihao; Ding, Xiaowei] VoxelCloud Inc, Los Angeles, CA 90024 USA</t>
  </si>
  <si>
    <t>Embracing imperfect datasets: A review of deep learning solutions for medical image segmentation</t>
  </si>
  <si>
    <t>Medical image segmentation; Imperfect dataset; Scarce annotations; Noisy annotations; Unreliable annotations; Sparse annotations; And weak annotations</t>
  </si>
  <si>
    <t>CONVOLUTIONAL NEURAL-NETWORKS; CNN</t>
  </si>
  <si>
    <t>Tajbakhsh, Nima/AAC-1354-2019; Li, Qian/LZG-6591-2025</t>
  </si>
  <si>
    <t>Wu, Zhihao/0000-0002-2613-2410; Li, Qian/0000-0002-0533-6852; Chiang, Jeffrey/0000-0002-6843-1355</t>
  </si>
  <si>
    <t>168</t>
  </si>
  <si>
    <t>784</t>
  </si>
  <si>
    <t>907</t>
  </si>
  <si>
    <t>394</t>
  </si>
  <si>
    <t>JUL 2020</t>
  </si>
  <si>
    <t>101693</t>
  </si>
  <si>
    <t>10.1016/j.media.2020.101693</t>
  </si>
  <si>
    <t>http://dx.doi.org/10.1016/j.media.2020.101693</t>
  </si>
  <si>
    <t>LU6BT</t>
  </si>
  <si>
    <t>32289663</t>
  </si>
  <si>
    <t>WOS:000537839100007</t>
  </si>
  <si>
    <t>146</t>
  </si>
  <si>
    <t>Clusmann, J; Kolbinger, FR; Muti, HS; Carrero, ZI; Eckardt, JN; Laleh, NG; Löffler, CML; Schwarzkopf, SC; Unger, M; Veldhuizen, GP; Wagner, SJ; Kather, JN</t>
  </si>
  <si>
    <t>Large language models (LLMs) are artificial intelligence (AI) tools specifically trained to process and generate text. LLMs attracted substantial public attention after OpenAI's ChatGPT was made publicly available in November 2022. LLMs can often answer questions, summarize, paraphrase and translate text on a level that is nearly indistinguishable from human capabilities. The possibility to actively interact with models like ChatGPT makes LLMs attractive tools in various fields, including medicine. While these models have the potential to democratize medical knowledge and facilitate access to healthcare, they could equally distribute misinformation and exacerbate scientific misconduct due to a lack of accountability and transparency. In this article, we provide a systematic and comprehensive overview of the potentials and limitations of LLMs in clinical practice, medical research and medical education.Clusmann et al. describe how large language models such as ChatGPT could be used in medical practice, research and education. These models could democratize medical knowledge and facilitate access to healthcare, but there are also potential limitations to be considered.</t>
  </si>
  <si>
    <t>Clusmann, Jan; Kolbinger, Fiona R.; Muti, Hannah Sophie; Carrero, Zunamys I.; Eckardt, Jan-Niklas; Laleh, Narmin Ghaffari; Loeffler, Chiara Maria Lavinia; Schwarzkopf, Sophie-Caroline; Unger, Michaela; Veldhuizen, Gregory P.; Wagner, Sophia J.; Kather, Jakob Nikolas</t>
  </si>
  <si>
    <t>Kather, JN (corresponding author), TUD Dresden Univ Technol, Else Kroener Fresenius Ctr Digital Hlth, Dresden, Germany.; Kather, JN (corresponding author), Univ Hosp RWTH Aachen, Dept Med 3, Aachen, Germany.; Kather, JN (corresponding author), Univ Hosp Dresden, Dept Med 1, Dresden, Germany.; Kather, JN (corresponding author), Univ Hosp Heidelberg, Natl Ctr Tumor Dis NCT, Med Oncol, Heidelberg, Germany.</t>
  </si>
  <si>
    <t>jakob-nikolas.kather@alumni.dkfz.de</t>
  </si>
  <si>
    <t>Add-on Fellowship of the Joachim Herz Foundation; Helmholtz Association under the joint research school "Munich School for Data Science-MUDS"; BMBF (Federal Ministry of Education and Research) in DAAD project as part of the program Konrad Zuse Schools of Excellence in Artificial Intelligence [57616814]; German Federal Ministry of Health (DEEP LIVER) [ZMVI1-2520DAT111]; Max-Eder-Programme of the German Cancer Aid [70113864]; German Federal Ministry of Education and Research (PEARL) [01KD2104C]; German Academic Exchange Service (SECAI) [57616814]</t>
  </si>
  <si>
    <t>Add-on Fellowship of the Joachim Herz Foundation; Helmholtz Association under the joint research school "Munich School for Data Science-MUDS"; BMBF (Federal Ministry of Education and Research) in DAAD project as part of the program Konrad Zuse Schools of Excellence in Artificial Intelligence; German Federal Ministry of Health (DEEP LIVER); Max-Eder-Programme of the German Cancer Aid; German Federal Ministry of Education and Research (PEARL); German Academic Exchange Service (SECAI)</t>
  </si>
  <si>
    <t>F.R.K. and S.J.W. were supported by the Add-on Fellowship of the Joachim Herz Foundation. S.J.W. was supported by the Helmholtz Association under the joint research school "Munich School for Data Science-MUDS". G.P.V. was supported by BMBF (Federal Ministry of Education and Research) in DAAD project 57616814 (SECAI, School of Embedded Composite AI, https://secai.org/) as part of the program Konrad Zuse Schools of Excellence in Artificial Intelligence. J.N.K. is supported by the German Federal Ministry of Health (DEEP LIVER, ZMVI1-2520DAT111) and the Max-Eder-Programme of the German Cancer Aid (grant #70113864), the German Federal Ministry of Education and Research (PEARL, 01KD2104C), and the German Academic Exchange Service (SECAI, 57616814).</t>
  </si>
  <si>
    <t>[Clusmann, Jan; Kolbinger, Fiona R.; Muti, Hannah Sophie; Carrero, Zunamys I.; Eckardt, Jan-Niklas; Laleh, Narmin Ghaffari; Loeffler, Chiara Maria Lavinia; Unger, Michaela; Veldhuizen, Gregory P.; Kather, Jakob Nikolas] TUD Dresden Univ Technol, Else Kroener Fresenius Ctr Digital Hlth, Dresden, Germany; [Clusmann, Jan; Laleh, Narmin Ghaffari; Kather, Jakob Nikolas] Univ Hosp RWTH Aachen, Dept Med 3, Aachen, Germany; [Kolbinger, Fiona R.; Muti, Hannah Sophie; Schwarzkopf, Sophie-Caroline] TUD Dresden Univ Technol, Univ Hosp, Dept Visceral Thorac &amp; Vasc Surg, Dresden, Germany; [Kolbinger, Fiona R.; Muti, Hannah Sophie; Schwarzkopf, Sophie-Caroline] TUD Dresden Univ Technol, Fac Med Carl Gustav Carus, Dresden, Germany; [Eckardt, Jan-Niklas; Loeffler, Chiara Maria Lavinia; Kather, Jakob Nikolas] Univ Hosp Dresden, Dept Med 1, Dresden, Germany; [Wagner, Sophia J.] German Res Ctr Environm &amp; Hlth, Helmholtz Munich, Munich, Germany; [Wagner, Sophia J.] Tech Univ Munich, Sch Computat Informat &amp; Technol, Munich, Germany; [Kather, Jakob Nikolas] Univ Hosp Heidelberg, Natl Ctr Tumor Dis NCT, Med Oncol, Heidelberg, Germany</t>
  </si>
  <si>
    <t>RWTH Aachen University; RWTH Aachen University Hospital; Technische Universitat Dresden; Carl Gustav Carus University Hospital; Technische Universitat Dresden; Technische Universitat Dresden; Carl Gustav Carus University Hospital; Helmholtz Association; Helmholtz-Center Munich - German Research Center for Environmental Health; Technical University of Munich; Ruprecht Karls University Heidelberg; Helmholtz Association; National Center for Tumor Diseases; German Cancer Research Center (DKFZ)</t>
  </si>
  <si>
    <t>The future landscape of large language models in medicine</t>
  </si>
  <si>
    <t>COMMUNICATIONS MEDICINE</t>
  </si>
  <si>
    <t>PATIENT SAFETY; COMMUNICATION; IMPACT; CARE</t>
  </si>
  <si>
    <t>Kolbinger, Fiona R/ABG-4194-2020; Clusmann, Jan/LSK-6626-2024; Kather, Jakob Nikolas/D-4279-2015; Wagner, Sophia/HII-6467-2022</t>
  </si>
  <si>
    <t>Kolbinger, Fiona R/0000-0003-2265-4809; Unger, Michaela/0000-0001-5811-0200; Carrero, Zunamys/0000-0001-8501-1566; Clusmann, Jan/0000-0003-2925-8438; Kather, Jakob Nikolas/0000-0002-3730-5348; Eckardt, Jan-Niklas/0000-0002-3649-2823; Veldhuizen, Gregory/0000-0001-7364-8498</t>
  </si>
  <si>
    <t>772</t>
  </si>
  <si>
    <t>870</t>
  </si>
  <si>
    <t>119</t>
  </si>
  <si>
    <t>2730-664X</t>
  </si>
  <si>
    <t>COMMUN MED-LONDON</t>
  </si>
  <si>
    <t>Commun. Med.</t>
  </si>
  <si>
    <t>OCT 10 2023</t>
  </si>
  <si>
    <t>10.1038/s43856-023-00370-1</t>
  </si>
  <si>
    <t>http://dx.doi.org/10.1038/s43856-023-00370-1</t>
  </si>
  <si>
    <t>T5TE1</t>
  </si>
  <si>
    <t>37816837</t>
  </si>
  <si>
    <t>WOS:001078603900001</t>
  </si>
  <si>
    <t>176</t>
  </si>
  <si>
    <t>Huang, SC; Pareek, A; Seyyedi, S; Banerjee, I; Lungren, MP</t>
  </si>
  <si>
    <t>Advancements in deep learning techniques carry the potential to make significant contributions to healthcare, particularly in fields that utilize medical imaging for diagnosis, prognosis, and treatment decisions. The current state-of-the-art deep learning models for radiology applications consider only pixel-value information without data informing clinical context. Yet in practice, pertinent and accurate non-imaging data based on the clinical history and laboratory data enable physicians to interpret imaging findings in the appropriate clinical context, leading to a higher diagnostic accuracy, informative clinical decision making, and improved patient outcomes. To achieve a similar goal using deep learning, medical imaging pixel-based models must also achieve the capability to process contextual data from electronic health records (EHR) in addition to pixel data. In this paper, we describe different data fusion techniques that can be applied to combine medical imaging with EHR, and systematically review medical data fusion literature published between 2012 and 2020. We conducted a systematic search on PubMed and Scopus for original research articles leveraging deep learning for fusion of multimodality data. In total, we screened 985 studies and extracted data from 17 papers. By means of this systematic review, we present current knowledge, summarize important results and provide implementation guidelines to serve as a reference for researchers interested in the application of multimodal fusion in medical imaging.</t>
  </si>
  <si>
    <t>Huang, Shih-Cheng; Pareek, Anuj; Seyyedi, Saeed; Banerjee, Imon; Lungren, Matthew P.</t>
  </si>
  <si>
    <t>Huang, SC (corresponding author), Stanford Univ, Dept Biomed Data Sci, Stanford, CA 94305 USA.; Huang, SC (corresponding author), Stanford Univ, Ctr Artificial Intelligence Med &amp; Imaging, Stanford, CA 94305 USA.</t>
  </si>
  <si>
    <t>mschuang@stanford.edu</t>
  </si>
  <si>
    <t>National Library of Medicine of the National Institutes of Health [R01LM012966]; National Library of Medicine [R01LM012966] Funding Source: NIH RePORTER</t>
  </si>
  <si>
    <t>National Library of Medicine of the National Institutes of Health (United States Department of Health &amp; Human Services, National Institutes of Health (NIH) - USA, NIH National Library of Medicine (NLM)); National Library of Medicine (United States Department of Health &amp; Human Services, National Institutes of Health (NIH) - USA, NIH National Library of Medicine (NLM))</t>
  </si>
  <si>
    <t>The authors wish to thank John Alexander Borghi from Stanford Lane Medical Library for his help with creating the systematic search. The research reported in this publication was supported by the National Library of Medicine of the National Institutes of Health under Award Number R01LM012966. The content is solely the responsibility of the authors and does not necessarily represent the official views of the National Institutes of Health.</t>
  </si>
  <si>
    <t>[Huang, Shih-Cheng; Lungren, Matthew P.] Stanford Univ, Dept Biomed Data Sci, Stanford, CA 94305 USA; [Huang, Shih-Cheng; Pareek, Anuj; Seyyedi, Saeed; Banerjee, Imon; Lungren, Matthew P.] Stanford Univ, Ctr Artificial Intelligence Med &amp; Imaging, Stanford, CA 94305 USA; [Pareek, Anuj; Seyyedi, Saeed; Lungren, Matthew P.] Stanford Univ, Dept Radiol, Stanford, CA 94305 USA; [Banerjee, Imon] Emory Univ, Dept Biomed Informat, Atlanta, GA 30322 USA; [Banerjee, Imon] Emory Univ, Dept Radiol, Atlanta, GA 30322 USA</t>
  </si>
  <si>
    <t>Stanford University; Stanford University; Stanford University; Stanford Medicine; Emory University; Emory University</t>
  </si>
  <si>
    <t>Fusion of medical imaging and electronic health records using deep learning: a systematic review and implementation guidelines</t>
  </si>
  <si>
    <t>CLINICAL INFORMATION; MODELS</t>
  </si>
  <si>
    <t>Huang, Shih-Cheng/0000-0001-9882-833X; Banerjee, Imon/0000-0002-3327-8004</t>
  </si>
  <si>
    <t>54</t>
  </si>
  <si>
    <t>898</t>
  </si>
  <si>
    <t>212</t>
  </si>
  <si>
    <t>OCT 16 2020</t>
  </si>
  <si>
    <t>10.1038/s41746-020-00341-z</t>
  </si>
  <si>
    <t>http://dx.doi.org/10.1038/s41746-020-00341-z</t>
  </si>
  <si>
    <t>OI5AO</t>
  </si>
  <si>
    <t>33083571</t>
  </si>
  <si>
    <t>WOS:000583291400003</t>
  </si>
  <si>
    <t>Johnson, KW; Soto, JT; Glicksberg, BS; Shameer, K; Miotto, R; Ali, M; Ashley, E; Dudley, JT</t>
  </si>
  <si>
    <t>Artificial intelligence and machine learning are poised to influence nearly every aspect of the human condition, and cardiology is not an exception to this trend. This paper provides a guide for clinicians on relevant aspects of artificial intelligence and machine learning, reviews selected applications of these methods in cardiology to date, and identifies how cardiovascular medicine could incorporate artificial intelligence in the future. In particular, the paper first reviews predictive modeling concepts relevant to cardiology such as feature selection and frequent pitfalls such as improper dichotomization. Second, it discusses common algorithms used in supervised learning and reviews selected applications in cardiology and related disciplines. Third, it describes the advent of deep learning and related methods collectively called unsupervised learning, provides contextual examples both in general medicine and in cardiovascular medicine, and then explains how these methods could be applied to enable precision cardiology and improve patient outcomes. (C) 2018 The Authors. Published by Elsevier on behalf of the American College of Cardiology Foundation.</t>
  </si>
  <si>
    <t>Johnson, Kipp W.; Soto, Jessica Torres; Glicksberg, Benjamin S.; Shameer, Khader; Miotto, Riccardo; Ali, Mohsin; Ashley, Euan; Dudley, Joel T.</t>
  </si>
  <si>
    <t>Dudley, JT (corresponding author), Mt Sinai Univ, Icahn Sch Med, 770 Lexington Ave,15th Floor, New York, NY 10065 USA.</t>
  </si>
  <si>
    <t>joel.dudley@mssm.edu</t>
  </si>
  <si>
    <t>National Institutes of Health: National Institute of Diabetes and Digestive and Kidney Diseases [R01DK098242]; National Cancer Institute [U54CA189201, U54-CA189201-02]; Illuminating the Druggable Genome; Knowledge Management Center - National Institutes of Health Common Fund; National Center for Advancing Translational Sciences and Clinical and Translational Science Award [UL1TR000067]; McKinsey; Google; LEK Consulting; Parthenon-EY; Philips Healthcare; Kencore Health; Janssen Pharmaceuticals; GlaxoSmithKline; AstraZeneca; Hoffman-La Roche</t>
  </si>
  <si>
    <t>National Institutes of Health: National Institute of Diabetes and Digestive and Kidney Diseases (United States Department of Health &amp; Human Services, National Institutes of Health (NIH) - USA, NIH National Institute of Diabetes &amp; Digestive &amp; Kidney Diseases (NIDDK)); National Cancer Institute (United States Department of Health &amp; Human Services, National Institutes of Health (NIH) - USA, NIH National Cancer Institute (NCI)); Illuminating the Druggable Genome; Knowledge Management Center - National Institutes of Health Common Fund (United States Department of Health &amp; Human Services, National Institutes of Health (NIH) - USA, NIH Office of the Director); National Center for Advancing Translational Sciences and Clinical and Translational Science Award; McKinsey; Google (Google Incorporated); LEK Consulting; Parthenon-EY; Philips Healthcare; Kencore Health; Janssen Pharmaceuticals (Johnson &amp; Johnson, Johnson &amp; Johnson USA, Janssen Biotech Inc); GlaxoSmithKline (GlaxoSmithKline); AstraZeneca (AstraZeneca); Hoffman-La Roche</t>
  </si>
  <si>
    <t>Dr. Dudley is supported by the following grants from the National Institutes of Health: National Institute of Diabetes and Digestive and Kidney Diseases grant R01DK098242; National Cancer Institute grant U54CA189201; Illuminating the Druggable Genome; Knowledge Management Center sponsored by the National Institutes of Health Common Fund; National Cancer Institute grant U54-CA189201-02; and the National Center for Advancing Translational Sciences and Clinical and Translational Science Award UL1TR000067. Dr. Shameer has received consulting fees or honoraria from McKinsey, Google, LEK Consulting, Parthenon-EY, Philips Healthcare, and Kencore Health. Dr. Dudley has received consulting fees or honoraria from Janssen Pharmaceuticals, GlaxoSmithKline, AstraZeneca, and Hoffman-La Roche; is a scientific advisor to LAM Therapeutics, NuMedii, and Ayasdi; and holds equity in NuMedii, Ayasdi, and Ontomics. Dr. Ashley is founder of Personalis Inc. and Deepcell Inc; and is an advisor to Genome Medical and SequenceBio. All other authors have reported that they have no relationships relevant to the contents of this paper to disclose. Mort Naghavi, MD, served as Guest Editor for this paper.</t>
  </si>
  <si>
    <t>[Johnson, Kipp W.; Glicksberg, Benjamin S.; Miotto, Riccardo; Ali, Mohsin; Dudley, Joel T.] Mt Sinai Hlth Syst, Inst Next Generat Healthcare, New York, NY 10029 USA; [Johnson, Kipp W.; Glicksberg, Benjamin S.; Miotto, Riccardo; Ali, Mohsin; Dudley, Joel T.] Icahn Sch Med Mt Sinai, Dept Genet &amp; Genom Sci, New York, NY 10029 USA; [Soto, Jessica Torres; Ashley, Euan] Stanford Univ, Div Cardiovasc Med, Palo Alto, CA 94304 USA; [Soto, Jessica Torres; Ashley, Euan] Stanford Univ, Dept Med, Palo Alto, CA 94304 USA; [Soto, Jessica Torres; Ashley, Euan] Stanford Univ, Dept Genet, Palo Alto, CA 94304 USA; [Soto, Jessica Torres; Ashley, Euan] Stanford Univ, Dept Biomed Data Sci, Palo Alto, CA 94304 USA; [Soto, Jessica Torres; Ashley, Euan] Stanford Univ, Ctr Inherited Cardiovasc Dis, Palo Alto, CA 94304 USA; [Glicksberg, Benjamin S.] Univ Calif San Francisco, Inst Computat Hlth Sci, San Francisco, CA 94143 USA; [Shameer, Khader] Northwell Hlth, Ctr Res Informat &amp; Innovat, Dept Informat Serv, New Hyde Pk, NY USA</t>
  </si>
  <si>
    <t>Icahn School of Medicine at Mount Sinai; Icahn School of Medicine at Mount Sinai; Stanford University; Stanford University; Stanford Medicine; Stanford Medicine; Stanford University; Stanford University; Stanford University; University of California System; University of California San Francisco; Northwell Health</t>
  </si>
  <si>
    <t>Artificial Intelligence in Cardiology</t>
  </si>
  <si>
    <t>JACC-JOURNAL OF THE AMERICAN COLLEGE OF CARDIOLOGY</t>
  </si>
  <si>
    <t>artificial intelligence; cardiology; machine learning; precision medicine</t>
  </si>
  <si>
    <t>HEART-FAILURE; PRECISION MEDICINE; PREDICTION MODEL; CLASSIFICATION; REGRESSION; PATIENT; RISK; WIDE; CARE</t>
  </si>
  <si>
    <t>Glicksberg, Benjamin/I-9500-2019; Khader, Shameer/J-2564-2016; Johnson, Kipp/I-1260-2019; , Mohsin Ali Farhad/GOP-2831-2022; Dudley, Joel/E-9283-2010</t>
  </si>
  <si>
    <t>Glicksberg, Benjamin/0000-0003-4515-8090; Johnson, Kipp/0000-0002-5102-741X; Miotto, Riccardo/0000-0002-7815-6000; , Mohsin Ali Farhad/0000-0001-9737-3273</t>
  </si>
  <si>
    <t>765</t>
  </si>
  <si>
    <t>943</t>
  </si>
  <si>
    <t>569</t>
  </si>
  <si>
    <t>0735-1097</t>
  </si>
  <si>
    <t>1558-3597</t>
  </si>
  <si>
    <t>J AM COLL CARDIOL</t>
  </si>
  <si>
    <t>J. Am. Coll. Cardiol.</t>
  </si>
  <si>
    <t>JUN 12 2018</t>
  </si>
  <si>
    <t>2668</t>
  </si>
  <si>
    <t>10.1016/j.jacc.2018.03.521</t>
  </si>
  <si>
    <t>http://dx.doi.org/10.1016/j.jacc.2018.03.521</t>
  </si>
  <si>
    <t>Cardiac &amp; Cardiovascular Systems</t>
  </si>
  <si>
    <t>Cardiovascular System &amp; Cardiology</t>
  </si>
  <si>
    <t>GJ0FC</t>
  </si>
  <si>
    <t>29880128</t>
  </si>
  <si>
    <t>WOS:000434924500011</t>
  </si>
  <si>
    <t>hybrid</t>
  </si>
  <si>
    <t>140</t>
  </si>
  <si>
    <t>Zhou, SK; Greenspan, H; Davatzikos, C; Duncan, JS; Van Ginneken, B; Madabhushi, A; Prince, JL; Rueckert, D; Summers, RM</t>
  </si>
  <si>
    <t>Since its renaissance, deep learning (DL) has been widely used in various medical imaging tasks and has achieved remarkable success in many medical imaging applications, thereby propelling us into the so-called artificial intelligence (AI) era. It is known that the success of AI is mostly attributed to the availability of big data with annotations for a single task and the advances in high-performance computing. However, medical imaging presents unique challenges that confront DL approaches. In this survey article, we first present traits of medical imaging, highlight both clinical needs and technical challenges in medical imaging, and describe how emerging trends in DL are addressing these issues. We cover the topics of network architecture, sparse and noisy labels, federating learning, interpretability, uncertainty quantification, and so on. Then, we present several case studies that are commonly found in clinical practice, including digital pathology and chest, brain, cardiovascular, and abdominal imaging. Rather than presenting an exhaustive literature survey, we instead describe some prominent research highlights related to these case study applications. We conclude with a discussion and presentation of promising future directions.</t>
  </si>
  <si>
    <t>Zhou, S. Kevin; Greenspan, Hayit; Davatzikos, Christos; Duncan, James S.; Van Ginneken, Bram; Madabhushi, Anant; Prince, Jerry L.; Rueckert, Daniel; Summers, Ronald M.</t>
  </si>
  <si>
    <t>Zhou, SK (corresponding author), Univ Sci &amp; Technol China, Sch Biomed Engn, Hefei 230052, Peoples R China.</t>
  </si>
  <si>
    <t>zhoushaohua@ict.ac.cn</t>
  </si>
  <si>
    <t>National Institutes of Health [1U24CA199374-01, R01CA202752-01A1, R01CA208236-01A1, R01CA216579-01A1, R01CA220581-01A1, 1U01CA239055-01, 1U54CA254566-01, 1U01CA248226-01, 1R43EB028736-01]; VA Merit Review Award from the Biomedical Laboratory Research and Development Service of the United States Department of Veterans Affairs [IBX004121A]; Israeli Science Foundation (ISF); Ministry of Science Technology; National Institutes of Health Clinical Center</t>
  </si>
  <si>
    <t>National Institutes of Health (United States Department of Health &amp; Human Services, National Institutes of Health (NIH) - USA); VA Merit Review Award from the Biomedical Laboratory Research and Development Service of the United States Department of Veterans Affairs (US Department of Veterans Affairs); Israeli Science Foundation (ISF) (Israel Science Foundation); Ministry of Science Technology; National Institutes of Health Clinical Center (United States Department of Health &amp; Human Services, National Institutes of Health (NIH) - USA)</t>
  </si>
  <si>
    <t>The work of Anant Madabhushi was supported in part by the National Institutes of Health under Award 1U24CA199374-01, Award R01CA202752-01A1, Award R01CA208236-01A1, Award R01CA216579-01A1, Award R01CA220581-01A1, Award 1U01CA239055-01, Award 1U54CA254566-01, Award 1U01CA248226-01, and Award 1R43EB028736-01 and in part by the VA Merit Review Award IBX004121A from the Biomedical Laboratory Research and Development Service of the United States Department of Veterans Affairs. The work of Hayit Greenspan was supported in part by the Israeli Science Foundation (ISF) and in part by the Ministry of Science &amp; Technology. The work of Ronald M. Summers was supported by the National Institutes of Health Clinical Center.</t>
  </si>
  <si>
    <t>[Zhou, S. Kevin] Univ Sci &amp; Technol China, Sch Biomed Engn, Hefei 230052, Peoples R China; [Zhou, S. Kevin] Chinese Acad Sci, Inst Comp Technol, Beijing 100190, Peoples R China; [Greenspan, Hayit] Tel Aviv Univ, Fac Engn, Dept Biomed Engn, IL-69978 Tel Aviv, Israel; [Davatzikos, Christos] Univ Penn, Radiol Dept, Philadelphia, PA 19104 USA; [Davatzikos, Christos] Univ Penn, Elect &amp; Syst Engn Dept, Philadelphia, PA 19104 USA; [Duncan, James S.] Yale Univ, Dept Biomed Engn, New Haven, CT 06520 USA; [Duncan, James S.] Yale Univ, Dept Radiol &amp; Biomed Imaging, New Haven, CT 06520 USA; [Van Ginneken, Bram] Radboud Univ Nijmegen Med Ctr, NL-6525 GA Nijmegen, Netherlands; [Madabhushi, Anant] Case Western Reserve Univ, Dept Biomed Engn, Cleveland, OH 44106 USA; [Madabhushi, Anant] Louis Stokes Cleveland Vet Adm Med Ctr, Cleveland, OH 44106 USA; [Prince, Jerry L.] Johns Hopkins Univ, Elect &amp; Comp Engn Dept, Baltimore, MD 21218 USA; [Rueckert, Daniel] Tech Univ Munich TU Munich, Klinikum Rechts Isar, D-81675 Munich, Germany; [Rueckert, Daniel] Imperial Coll London, Dept Comp, London SW7 2AZ, England; [Summers, Ronald M.] NIH, Clin Ctr, Bldg 10, Bethesda, MD 20892 USA</t>
  </si>
  <si>
    <t>Chinese Academy of Sciences; University of Science &amp; Technology of China, CAS; Chinese Academy of Sciences; Institute of Computing Technology, CAS; Tel Aviv University; University of Pennsylvania; University of Pennsylvania; Yale University; Yale University; Radboud University Nijmegen; University System of Ohio; Case Western Reserve University; University System of Ohio; US Department of Veterans Affairs; Case Western Reserve University; Veterans Health Administration (VHA); Louis Stokes Cleveland Veterans Affairs Medical Center; Johns Hopkins University; Technical University of Munich; Imperial College London; National Institutes of Health (NIH) - USA; NIH Clinical Center (CC)</t>
  </si>
  <si>
    <t>A Review of Deep Learning in Medical Imaging: Imaging Traits, Technology Trends, Case Studies With Progress Highlights, and Future Promises</t>
  </si>
  <si>
    <t>PROCEEDINGS OF THE IEEE</t>
  </si>
  <si>
    <t>Imaging; Medical diagnostic imaging; Image segmentation; Diseases; Task analysis; Medical services; Computed tomography; Deep learning (DL); medical imaging; survey</t>
  </si>
  <si>
    <t>CONVOLUTIONAL NEURAL-NETWORK; PROSTATE-CANCER; RISK CATEGORIES; BRAIN AGE; SEGMENTATION; CNN; VALIDATION; EXTRACTION; DIAGNOSIS; BIOPSIES</t>
  </si>
  <si>
    <t>Summers, Ronald/AAX-6290-2021; Madabhushi, Anant/AAG-2908-2019; Prince, Jerry/A-3281-2010; Davatzikos, Christos/ABE-2057-2021; Rueckert, Daniel/C-4393-2008; van Ginneken, Bram/A-3728-2012</t>
  </si>
  <si>
    <t>Duncan, James/0000-0002-5167-9856; Madabhushi, Anant/0000-0002-5741-0399; Zhou, Shaohua Kevin/0000-0002-6881-4444; Greenspan, Hayit/0000-0001-6908-7552; Rueckert, Daniel/0000-0002-5683-5889</t>
  </si>
  <si>
    <t>215</t>
  </si>
  <si>
    <t>902</t>
  </si>
  <si>
    <t>524</t>
  </si>
  <si>
    <t>0018-9219</t>
  </si>
  <si>
    <t>1558-2256</t>
  </si>
  <si>
    <t>P IEEE</t>
  </si>
  <si>
    <t>Proc. IEEE</t>
  </si>
  <si>
    <t>109</t>
  </si>
  <si>
    <t>820</t>
  </si>
  <si>
    <t>838</t>
  </si>
  <si>
    <t>10.1109/JPROC.2021.3054390</t>
  </si>
  <si>
    <t>http://dx.doi.org/10.1109/JPROC.2021.3054390</t>
  </si>
  <si>
    <t>Engineering, Electrical &amp; Electronic</t>
  </si>
  <si>
    <t>RV5UD</t>
  </si>
  <si>
    <t>37786449</t>
  </si>
  <si>
    <t>WOS:000645896700010</t>
  </si>
  <si>
    <t>270</t>
  </si>
  <si>
    <t>Handelman, GS; Kok, HK; Chandra, RV; Razavi, AH; Lee, MJ; Asadi, H</t>
  </si>
  <si>
    <t>Machine learning (ML) is a burgeoning field of medicine with huge resources being applied to fuse computer science and statistics to medical problems. Proponents of ML extol its ability to deal with large, complex and disparate data, often found within medicine and feel that ML is the future for biomedical research, personalized medicine, computer-aided diagnosis to significantly advance global health care. However, the concepts of ML are unfamiliar to many medical professionals and there is untapped potential in the use of ML as a research tool. In this article, we provide an overview of the theory behind ML, explore the common ML algorithms used in medicine including their pitfalls and discuss the potential future of ML in medicine.</t>
  </si>
  <si>
    <t>Handelman, G. S.; Kok, H. K.; Chandra, R. V.; Razavi, A. H.; Lee, M. J.; Asadi, H.</t>
  </si>
  <si>
    <t>Handelman, GS (corresponding author), Royal Victoria Hosp, Dept Radiol, Grosvenor Rd, Belfast, Antrim, North Ireland.</t>
  </si>
  <si>
    <t>guyhandelman@rcsi.ie</t>
  </si>
  <si>
    <t>[Handelman, G. S.] Royal Victoria Hosp, Belfast, Antrim, North Ireland; [Kok, H. K.] Northern Hosp Radiol, Intervent Radiol Serv, Epping, NSW, Australia; [Chandra, R. V.; Asadi, H.] Monash Hlth, Intervent Neuroradiol Serv, Monash Imaging, Clayton, Vic, Australia; [Chandra, R. V.] Monash Univ, Fac Med Nursing &amp; Hlth Sci, Clayton, Vic, Australia; [Razavi, A. H.] Univ Ottawa, Sch Informat Technol &amp; Engn, Ottawa, ON, Canada; [Razavi, A. H.] BCE Corp Secur, Ottawa, ON, Canada; [Lee, M. J.] Beaumont Hosp, Dept Radiol, Dublin, Ireland; [Lee, M. J.] Royal Coll Surgeons Ireland, Dublin, Ireland; [Asadi, H.] Austin Hlth, Dept Radiol, Intervent Neuroradiol Serv, Heidelberg, Vic, Australia; [Asadi, H.] Deakin Univ, Sch Med, Fac Hlth, Waurn Ponds, Vic, Australia</t>
  </si>
  <si>
    <t>Monash Health; Monash University; University of Ottawa; Beaumont Hospital Dublin; Royal College of Surgeons in Ireland - RCSI; Austin Research Institute; Florey Institute of Neuroscience &amp; Mental Health; Howard Florey Institute Affiliates; Deakin University</t>
  </si>
  <si>
    <t>eDoctor: machine learning and the future of medicine</t>
  </si>
  <si>
    <t>JOURNAL OF INTERNAL MEDICINE</t>
  </si>
  <si>
    <t>artificial intelligence; machine learning; medicine; supervised machine learning; unsupervised machine learning</t>
  </si>
  <si>
    <t>ARTIFICIAL-INTELLIGENCE; NEURAL-NETWORKS; LOGISTIC-REGRESSION; IMAGE RETRIEVAL; CANCER; CLASSIFICATION; PREDICTION; VALIDATION; DIAGNOSIS; MODELS</t>
  </si>
  <si>
    <t>Chandra, Ronil/GPK-0357-2022</t>
  </si>
  <si>
    <t>Chandra, Ronil/0000-0001-7555-2297</t>
  </si>
  <si>
    <t>97</t>
  </si>
  <si>
    <t>762</t>
  </si>
  <si>
    <t>869</t>
  </si>
  <si>
    <t>503</t>
  </si>
  <si>
    <t>0954-6820</t>
  </si>
  <si>
    <t>1365-2796</t>
  </si>
  <si>
    <t>J INTERN MED</t>
  </si>
  <si>
    <t>J. Intern. Med.</t>
  </si>
  <si>
    <t>DEC 2018</t>
  </si>
  <si>
    <t>284</t>
  </si>
  <si>
    <t>603</t>
  </si>
  <si>
    <t>619</t>
  </si>
  <si>
    <t>10.1111/joim.12822</t>
  </si>
  <si>
    <t>http://dx.doi.org/10.1111/joim.12822</t>
  </si>
  <si>
    <t>HA8BQ</t>
  </si>
  <si>
    <t>30102808</t>
  </si>
  <si>
    <t>WOS:000450513100004</t>
  </si>
  <si>
    <t>Bronze; Green Submitted</t>
  </si>
  <si>
    <t>277</t>
  </si>
  <si>
    <t>Fogel, DB</t>
  </si>
  <si>
    <t>Clinical trials are time consuming, expensive, and often burdensome on patients. Clinical trials can fail for many reasons. This survey reviews many of these reasons and offers insights on opportunities for improving the likelihood of creating and executing successful clinical trials. Literature from the past 30 years was reviewed for relevant data. Common patterns in reported successful trials are identified, including factors regarding the study site, study coordinator/investigator, and the effects on participating patients. Specific instances where artificial intelligence can help improve clinical trials are identified.</t>
  </si>
  <si>
    <t>Fogel, David B.</t>
  </si>
  <si>
    <t>Fogel, DB (corresponding author), Trialsai, 4520 Execut Dr,Suite 200, San Diego, CA 92121 USA.</t>
  </si>
  <si>
    <t>david@trials.al</t>
  </si>
  <si>
    <t>[Fogel, David B.] Trialsai, 4520 Execut Dr,Suite 200, San Diego, CA 92121 USA</t>
  </si>
  <si>
    <t>Factors associated with clinical trials that fail and opportunities for improving the likelihood of success: A review</t>
  </si>
  <si>
    <t>CONTEMPORARY CLINICAL TRIALS COMMUNICATIONS</t>
  </si>
  <si>
    <t>Clinical trials; Enrollment; Patient burden; Pharmaceutical trials; Retention; Recruitment</t>
  </si>
  <si>
    <t>TYPE-2 DIABETES-MELLITUS; ACUTE CORONARY SYNDROME; CANCER-TREATMENT; RECRUITMENT STRATEGIES; PATIENT PARTICIPATION; RANDOMIZED-TRIALS; INFORMED-CONSENT; HEART-FAILURE; SOCIAL MEDIA; CARE</t>
  </si>
  <si>
    <t>745</t>
  </si>
  <si>
    <t>911</t>
  </si>
  <si>
    <t>ELSEVIER INC</t>
  </si>
  <si>
    <t>SAN DIEGO</t>
  </si>
  <si>
    <t>525 B STREET, STE 1900, SAN DIEGO, CA 92101-4495 USA</t>
  </si>
  <si>
    <t>2451-8654</t>
  </si>
  <si>
    <t>CONT CLIN TRIAL COMM</t>
  </si>
  <si>
    <t>Contemp. Clin. Trials Commun.</t>
  </si>
  <si>
    <t>164</t>
  </si>
  <si>
    <t>10.1016/j.conctc.2018.08.001</t>
  </si>
  <si>
    <t>http://dx.doi.org/10.1016/j.conctc.2018.08.001</t>
  </si>
  <si>
    <t>GS3FV</t>
  </si>
  <si>
    <t>30112460</t>
  </si>
  <si>
    <t>WOS:000443472200024</t>
  </si>
  <si>
    <t>46</t>
  </si>
  <si>
    <t>Shi, JD; Liu, S; Zhang, LS; Yang, B; Shu, L; Yang, Y; Ren, M; Wang, Y; Chen, JW; Chen, W; Choi, Y; Tao, XM</t>
  </si>
  <si>
    <t>The programmable nature of smart textiles makes them an indispensable part of an emerging new technology field. Smart textile-integrated microelectronic systems (STIMES), which combine microelectronics and technology such as artificial intelligence and augmented or virtual reality, have been intensively explored. A vast range of research activities have been reported. Many promising applications in healthcare, the internet of things (IoT), smart city management, robotics, etc., have been demonstrated around the world. A timely overview and comprehensive review of progress of this field in the last five years are provided. Several main aspects are covered: functional materials, major fabrication processes of smart textile components, functional devices, system architectures and heterogeneous integration, wearable applications in human and nonhuman-related areas, and the safety and security of STIMES. The major types of textile-integrated nonconventional functional devices are discussed in detail: sensors, actuators, displays, antennas, energy harvesters and their hybrids, batteries and supercapacitors, circuit boards, and memory devices.</t>
  </si>
  <si>
    <t>Shi, Jidong; Liu, Su; Zhang, Lisha; Yang, Bao; Shu, Lin; Yang, Ying; Ren, Ming; Wang, Yang; Chen, Jiewei; Chen, Wei; Choi, Yang; Tao, Xiaoming</t>
  </si>
  <si>
    <t>Chen, W; Choi, Y; Tao, XM (corresponding author), Hong Kong Polytech Univ, Inst Text &amp; Clothing, Res Ctr Smart Wearable Technol, Hong Kong 999077, Peoples R China.; Choi, Y (corresponding author), Hong Kong Polytech Univ, Dept Appl Phys, Hong Kong 999077, Peoples R China.</t>
  </si>
  <si>
    <t>xiao-ming.tao@polyu.edu.hk; ychai@polyu.edu.hk; weii.chen@polyu.edu.hk</t>
  </si>
  <si>
    <t>Ministry of Science and Technology of the People's Republic of China; National Key RAMP;D Program of China [2018YFC2000900]; Research Grants Council, Hong Kong [15215214E, 15204715E, 1521016E, 15200917E]</t>
  </si>
  <si>
    <t>Ministry of Science and Technology of the People's Republic of China (Ministry of Science and Technology, China); National Key RAMP;D Program of China; Research Grants Council, Hong Kong (Hong Kong Research Grants Council)</t>
  </si>
  <si>
    <t>J.D.S. and S.L. contributed equally to this work. This work was supported by Ministry of Science and Technology of the People's Republic of China, National Key R&amp;D Program of China (No. 2018YFC2000900) and Research Grants Council, Hong Kong (Grant Nos. 15215214E, 15204715E, 1521016E, and 15200917E). The authors thank Dr. Wei Zeng for helpful discussions. The authors also thank Xujiao Ding for drawing Figure 1.</t>
  </si>
  <si>
    <t>[Shi, Jidong; Liu, Su; Zhang, Lisha; Yang, Bao; Chen, Wei; Choi, Yang; Tao, Xiaoming] Hong Kong Polytech Univ, Inst Text &amp; Clothing, Res Ctr Smart Wearable Technol, Hong Kong 999077, Peoples R China; [Shu, Lin] South China Univ Technol, Sch Elect &amp; Informat Engn, Guangzhou 510640, Guangdong, Peoples R China; [Yang, Ying; Ren, Ming] Chinese Acad Sci, Suzhou Inst Nanotech &amp; Nanobion, I Lab, Suzhou 215123, Peoples R China; [Wang, Yang; Chen, Jiewei; Choi, Yang] Hong Kong Polytech Univ, Dept Appl Phys, Hong Kong 999077, Peoples R China</t>
  </si>
  <si>
    <t>Hong Kong Polytechnic University; South China University of Technology; Chinese Academy of Sciences; Suzhou Institute of Nano-Tech &amp; Nano-Bionics, CAS; Hong Kong Polytechnic University</t>
  </si>
  <si>
    <t>Smart Textile-Integrated Microelectronic Systems for Wearable Applications</t>
  </si>
  <si>
    <t>ADVANCED MATERIALS</t>
  </si>
  <si>
    <t>actuators; energy harvesting; sensors; smart textiles; wearable electronics</t>
  </si>
  <si>
    <t>ELECTROMAGNETIC-TRIBOELECTRIC NANOGENERATOR; CARBON NANOTUBE NETWORKS; ANISOTROPIC CONDUCTIVE ADHESIVE; SCAVENGING BIOMECHANICAL ENERGY; THERMOELECTRIC-POWER GENERATOR; FLIP-CHIP JOINTS; GRAPHENE OXIDE; STRAIN SENSORS; THIN-FILMS; SOLAR-CELL</t>
  </si>
  <si>
    <t>YANG, Bao/AAL-4815-2020; Tao, Xiaoming/A-9992-2010; CHEN, WEI/AAS-1391-2020; Wang, Yang/D-7088-2015; SHU, LIN/HZI-5404-2023</t>
  </si>
  <si>
    <t>Ren, Ming/0000-0002-5617-6502; YANG, Bao/0000-0003-3638-0212; Tao, Xiaoming/0000-0002-2406-0695; CHEN, WEI/0000-0001-9527-110X; Zhang, Lisha/0000-0003-3678-8357; Wang, Yang/0000-0001-5057-1870; Shi, Jidong/0000-0001-8291-7100</t>
  </si>
  <si>
    <t>521</t>
  </si>
  <si>
    <t>741</t>
  </si>
  <si>
    <t>2272</t>
  </si>
  <si>
    <t>WILEY-V C H VERLAG GMBH</t>
  </si>
  <si>
    <t>WEINHEIM</t>
  </si>
  <si>
    <t>POSTFACH 101161, 69451 WEINHEIM, GERMANY</t>
  </si>
  <si>
    <t>0935-9648</t>
  </si>
  <si>
    <t>1521-4095</t>
  </si>
  <si>
    <t>ADV MATER</t>
  </si>
  <si>
    <t>Adv. Mater.</t>
  </si>
  <si>
    <t>FEB 2020</t>
  </si>
  <si>
    <t>1901958</t>
  </si>
  <si>
    <t>10.1002/adma.201901958</t>
  </si>
  <si>
    <t>http://dx.doi.org/10.1002/adma.201901958</t>
  </si>
  <si>
    <t>Chemistry, Multidisciplinary; Chemistry, Physical; Nanoscience &amp; Nanotechnology; Materials Science, Multidisciplinary; Physics, Applied; Physics, Condensed Matter</t>
  </si>
  <si>
    <t>Chemistry; Science &amp; Technology - Other Topics; Materials Science; Physics</t>
  </si>
  <si>
    <t>KK2GK</t>
  </si>
  <si>
    <t>31273850</t>
  </si>
  <si>
    <t>WOS:000474099300001</t>
  </si>
  <si>
    <t>123</t>
  </si>
  <si>
    <t>Faust, O; Hagiwara, Y; Hong, TJ; Lih, OS; Acharya, UR</t>
  </si>
  <si>
    <t>Background and objective: We have cast the net into the ocean of knowledge to retrieve the latest scientific research on deep learning methods for physiological signals. We found 53 research papers on this topic, published from 01.01.2008 to 31.12.2017.Methods: An initial bibliometric analysis shows that the reviewed papers focused on Electromyogram( EMG), Electroencephalogram(EEG), Electrocardiogram(ECG), and Electrooculogram(EOG). These four categories were used to structure the subsequent content review.Results: During the content review, we understood that deep learning performs better for big and varied datasets than classic analysis and machine classification methods. Deep learning algorithms try to develop the model by using all the available input.Conclusions: This review paper depicts the application of various deep learning algorithms used till recently, but in future it will be used for more healthcare areas to improve the quality of diagnosis. (C) 2018 Elsevier B.V. All rights reserved.</t>
  </si>
  <si>
    <t>Faust, Oliver; Hagiwara, Yuki; Hong, Tan Jen; Lih, Oh Shu; Acharya, U. Rajendra</t>
  </si>
  <si>
    <t>Faust, O (corresponding author), Sheffield Hallam Univ, Dept Engn &amp; Math, Sheffield, S Yorkshire, England.</t>
  </si>
  <si>
    <t>o.faust@shu.ac.uk</t>
  </si>
  <si>
    <t>[Faust, Oliver] Sheffield Hallam Univ, Dept Engn &amp; Math, Sheffield, S Yorkshire, England; [Hagiwara, Yuki; Hong, Tan Jen; Lih, Oh Shu; Acharya, U. Rajendra] Ngee Ann Polytech, Dept Elect &amp; Comp Engn, Singapore, Singapore; [Acharya, U. Rajendra] SIM Univ, Sch Sci &amp; Technol, Dept Biomed Engn, Singapore, Singapore; [Acharya, U. Rajendra] Univ Malaya, Fac Med, Dept Biomed Imaging, Kuala Lumpur, Malaysia</t>
  </si>
  <si>
    <t>Sheffield Hallam University; Singapore University of Social Sciences (SUSS); Universiti Malaya</t>
  </si>
  <si>
    <t>Deep learning for healthcare applications based on physiological signals: A review</t>
  </si>
  <si>
    <t>COMPUTER METHODS AND PROGRAMS IN BIOMEDICINE</t>
  </si>
  <si>
    <t>Deep learning; Physiological signals; Electrocardiogram; Electroencephalogram; Electromyogram; Electrooculogram</t>
  </si>
  <si>
    <t>CONVOLUTIONAL NEURAL-NETWORK; SEIZURE-PREDICTION METHODS; BRAIN-COMPUTER INTERFACE; CORONARY-ARTERY-DISEASE; AUTOMATED DETECTION; MYOCARDIAL-INFARCTION; CLASSIFICATION; ARTIFACTS; COMMUNICATION; COMPETITION</t>
  </si>
  <si>
    <t>Hagiwara, Yuki/HCH-1847-2022; Tan, Jen Hong/AAD-3664-2020; Acharya, U Rajendra/E-3791-2010; Faust, Oliver/AAP-9371-2021; OH, Shu Lih/GRX-8386-2022</t>
  </si>
  <si>
    <t>Hagiwara, Yuki/0000-0002-5418-738X; Tan, Jen Hong/0000-0002-7785-2987; Acharya, U Rajendra/0000-0003-2689-8552; Faust, Oliver/0000-0002-3979-4077; OH, Shu Lih/0000-0003-3006-1958</t>
  </si>
  <si>
    <t>730</t>
  </si>
  <si>
    <t>854</t>
  </si>
  <si>
    <t>1264</t>
  </si>
  <si>
    <t>ELSEVIER IRELAND LTD</t>
  </si>
  <si>
    <t>CLARE</t>
  </si>
  <si>
    <t>ELSEVIER HOUSE, BROOKVALE PLAZA, EAST PARK SHANNON, CO, CLARE, 00000, IRELAND</t>
  </si>
  <si>
    <t>0169-2607</t>
  </si>
  <si>
    <t>1872-7565</t>
  </si>
  <si>
    <t>COMPUT METH PROG BIO</t>
  </si>
  <si>
    <t>Comput. Meth. Programs Biomed.</t>
  </si>
  <si>
    <t>161</t>
  </si>
  <si>
    <t>10.1016/j.cmpb.2018.04.005</t>
  </si>
  <si>
    <t>http://dx.doi.org/10.1016/j.cmpb.2018.04.005</t>
  </si>
  <si>
    <t>Computer Science, Interdisciplinary Applications; Computer Science, Theory &amp; Methods; Engineering, Biomedical; Medical Informatics</t>
  </si>
  <si>
    <t>Computer Science; Engineering; Medical Informatics</t>
  </si>
  <si>
    <t>GH3TJ</t>
  </si>
  <si>
    <t>29852952</t>
  </si>
  <si>
    <t>WOS:000433324800002</t>
  </si>
  <si>
    <t>Chlap, P; Min, H; Vandenberg, N; Dowling, J; Holloway, L; Haworth, A</t>
  </si>
  <si>
    <t>Research in artificial intelligence for radiology and radiotherapy has recently become increasingly reliant on the use of deep learning-based algorithms. While the performance of the models which these algorithms produce can significantly outperform more traditional machine learning methods, they do rely on larger datasets being available for training. To address this issue, data augmentation has become a popular method for increasing the size of a training dataset, particularly in fields where large datasets aren't typically available, which is often the case when working with medical images. Data augmentation aims to generate additional data which is used to train the model and has been shown to improve performance when validated on a separate unseen dataset. This approach has become commonplace so to help understand the types of data augmentation techniques used in state-of-the-art deep learning models, we conducted a systematic review of the literature where data augmentation was utilised on medical images (limited to CT and MRI) to train a deep learning model. Articles were categorised into basic, deformable, deep learning or other data augmentation techniques. As artificial intelligence models trained using augmented data make their way into the clinic, this review aims to give an insight to these techniques and confidence in the validity of the models produced.</t>
  </si>
  <si>
    <t>Chlap, Phillip; Min, Hang; Vandenberg, Nym; Dowling, Jason; Holloway, Lois; Haworth, Annette</t>
  </si>
  <si>
    <t>Chlap, P (corresponding author), Ingham Inst, 1 Campbell St, Liverpool, NSW 2170, Australia.</t>
  </si>
  <si>
    <t>phillip.chlap@unsw.edu.au</t>
  </si>
  <si>
    <t>Australian Government Research Training Program (RTP) Scholarship</t>
  </si>
  <si>
    <t>Australian Government Research Training Program (RTP) Scholarship (Australian Government, Department of Industry, Innovation and Science)</t>
  </si>
  <si>
    <t>We would like to thank Dr. Jesmin Shafiq and the University of New South Wales library staff for their advice and guidance in conducting the systematic review. We would also like to thank Mr. Siyu Liu from the University of Queensland for providing the images in Figure 6 of using GAN to generate synthetic images from semantic labels. Phillip Chlap is supported by an Australian Government Research Training Program (RTP) Scholarship.</t>
  </si>
  <si>
    <t>[Chlap, Phillip; Min, Hang; Dowling, Jason; Holloway, Lois] Univ New S Wales, South Western Sydney Clin Sch, Sydney, NSW 2052, Australia; [Chlap, Phillip; Min, Hang; Holloway, Lois] Ingham Inst Appl Med Res, Sydney, NSW 1241, Australia; [Chlap, Phillip; Holloway, Lois] Liverpool Hosp, Liverpool &amp; Macarthur Canc Therapy Ctr, Sydney, NSW 2170, Australia; CSIRO Hlth &amp; Biosecur, Australian eHlth &amp; Res Ctr, Brisbane, Qld 4000, Australia; [Vandenberg, Nym; Holloway, Lois; Haworth, Annette] Univ Sydney, Inst Med Phys, Sydney, NSW 2006, Australia; [Haworth, Annette] Univ Wollongong, Ctr Med Radiat Phys, Wollongong, NSW 2522, Australia</t>
  </si>
  <si>
    <t>University of New South Wales Sydney; Ingham Institute for Applied Medical Research; Liverpool Hospital; Commonwealth Scientific &amp; Industrial Research Organisation (CSIRO); CSIRO Health &amp; Biosecurity; Australian e-Health Research Centre; University of Sydney; University of Wollongong</t>
  </si>
  <si>
    <t>A review of medical image data augmentation techniques for deep learning applications</t>
  </si>
  <si>
    <t>JOURNAL OF MEDICAL IMAGING AND RADIATION ONCOLOGY</t>
  </si>
  <si>
    <t>CT; data augmentation; deep learning; medical imaging; MRI</t>
  </si>
  <si>
    <t>GENERATIVE ADVERSARIAL NETWORKS; CONVOLUTIONAL NEURAL-NETWORKS; BRAIN-TUMOR CLASSIFICATION; RADIATION-THERAPY; RISK PREDICTION; SEGMENTATION; MRI; MODEL; CANCER; ROBUST</t>
  </si>
  <si>
    <t>Haworth, Annette/AAV-1028-2020; Min, Hang/IYJ-1901-2023; Dowling, Jason/A-1420-2008</t>
  </si>
  <si>
    <t>Haworth, Annette/0000-0003-1382-7747; Holloway, Lois/0000-0003-4337-2165; Min, Hang/0000-0002-9323-7167; Dowling, Jason/0000-0001-9349-2275</t>
  </si>
  <si>
    <t>196</t>
  </si>
  <si>
    <t>708</t>
  </si>
  <si>
    <t>810</t>
  </si>
  <si>
    <t>373</t>
  </si>
  <si>
    <t>1754-9477</t>
  </si>
  <si>
    <t>1754-9485</t>
  </si>
  <si>
    <t>J MED IMAG RADIAT ON</t>
  </si>
  <si>
    <t>J. Med. Imag. Radiat. Oncol.</t>
  </si>
  <si>
    <t>AUG 2021</t>
  </si>
  <si>
    <t>65</t>
  </si>
  <si>
    <t>545</t>
  </si>
  <si>
    <t>563</t>
  </si>
  <si>
    <t>10.1111/1754-9485.13261</t>
  </si>
  <si>
    <t>http://dx.doi.org/10.1111/1754-9485.13261</t>
  </si>
  <si>
    <t>TT2DX</t>
  </si>
  <si>
    <t>34145766</t>
  </si>
  <si>
    <t>WOS:000663222700001</t>
  </si>
  <si>
    <t>Reel, PS; Reel, S; Pearson, E; Trucco, E; Jefferson, E</t>
  </si>
  <si>
    <t>With the development of modern high-throughput omic measurement platforms, it has become essential for biomedical studies to undertake an integrative (combined) approach to fully utilise these data to gain insights into biological systems. Data from various omics sources such as genetics, proteomics, and metabolomics can be integrated to unravel the intricate working of systems biology using machine learning-based predictive algorithms. Machine learning methods offer novel techniques to integrate and analyse the various omics data enabling the discovery of new biomarkers. These biomarkers have the potential to help in accurate disease prediction, patient stratification and delivery of precision medicine. This review paper explores different integrative machine learning methods which have been used to provide an in-depth understanding of biological systems during normal physiological functioning and in the presence of a disease. It provides insight and recommendations for interdisciplinary professionals who envisage employing machine learning skills in multi-omics studies.</t>
  </si>
  <si>
    <t>Reel, Parminder S.; Reel, Smarti; Pearson, Ewan; Trucco, Emanuele; Jefferson, Emily</t>
  </si>
  <si>
    <t>Jefferson, E (corresponding author), Univ Dundee, Sch Med, Div Populat Hlth &amp; Genom, Dundee, Scotland.</t>
  </si>
  <si>
    <t>e.r.jefferson@dundee.ac.uk</t>
  </si>
  <si>
    <t>European Union [633983]; National Institute for Health Research (NIHR) global health research unit on global diabetes outcomes research at the University of Dundee (INSPIRED project) [16/136/102]; Wellcome Trust [102820/Z/13/Z] Funding Source: researchfish</t>
  </si>
  <si>
    <t>European Union (European Union (EU)); National Institute for Health Research (NIHR) global health research unit on global diabetes outcomes research at the University of Dundee (INSPIRED project); Wellcome Trust (Wellcome Trust)</t>
  </si>
  <si>
    <t>This project has received funding from the European Union's Horizon 2020 research and innovation programme under grant agreement No 633983. Ewan Pearson and Emanuele Trucco would like to acknowledge the National Institute for Health Research (NIHR) global health research unit on global diabetes outcomes research at the University of Dundee (INSPIRED project, Award number 16/136/102) for useful discussions.</t>
  </si>
  <si>
    <t>[Reel, Parminder S.; Reel, Smarti; Pearson, Ewan; Jefferson, Emily] Univ Dundee, Sch Med, Div Populat Hlth &amp; Genom, Dundee, Scotland; [Trucco, Emanuele] Univ Dundee, Sch Sci &amp; Engn, VAMPIRE project, Comp, Dundee, Scotland</t>
  </si>
  <si>
    <t>University of Dundee; University of Dundee</t>
  </si>
  <si>
    <t>Using machine learning approaches for multi-omics data analysis: A review</t>
  </si>
  <si>
    <t>BIOTECHNOLOGY ADVANCES</t>
  </si>
  <si>
    <t>Multi-omics; Machine Learning; Predictive Modelling; Supervised Learning; Unsupervised Learning; Systems Biology</t>
  </si>
  <si>
    <t>LATENT VARIABLE MODEL; C-REACTIVE PROTEIN; PRECISION MEDICINE; DATA INTEGRATION; GENE-EXPRESSION; HIGH-THROUGHPUT; BIG DATA; ALZHEIMERS-DISEASE; DNA METHYLATION; NEURAL-NETWORKS</t>
  </si>
  <si>
    <t>Pearson, Ewan/JFK-7030-2023; Reel, Parminder Singh/AFK-2737-2022</t>
  </si>
  <si>
    <t>Reel, Smarti/0000-0002-6092-9175; Jefferson, Emily/0000-0003-2992-7582; Pearson, Ewan/0000-0001-9237-8585; Trucco, Emanuele/0000-0002-5055-0794; Reel, Parminder Singh/0000-0001-7796-1457</t>
  </si>
  <si>
    <t>705</t>
  </si>
  <si>
    <t>800</t>
  </si>
  <si>
    <t>662</t>
  </si>
  <si>
    <t>PERGAMON-ELSEVIER SCIENCE LTD</t>
  </si>
  <si>
    <t>THE BOULEVARD, LANGFORD LANE, KIDLINGTON, OXFORD OX5 1GB, ENGLAND</t>
  </si>
  <si>
    <t>0734-9750</t>
  </si>
  <si>
    <t>1873-1899</t>
  </si>
  <si>
    <t>BIOTECHNOL ADV</t>
  </si>
  <si>
    <t>Biotechnol. Adv.</t>
  </si>
  <si>
    <t>JUL-AUG 2021</t>
  </si>
  <si>
    <t>107739</t>
  </si>
  <si>
    <t>10.1016/j.biotechadv.2021.107739</t>
  </si>
  <si>
    <t>http://dx.doi.org/10.1016/j.biotechadv.2021.107739</t>
  </si>
  <si>
    <t>APR 2021</t>
  </si>
  <si>
    <t>Biotechnology &amp; Applied Microbiology</t>
  </si>
  <si>
    <t>SU9AA</t>
  </si>
  <si>
    <t>33794304</t>
  </si>
  <si>
    <t>WOS:000663421300008</t>
  </si>
  <si>
    <t>142</t>
  </si>
  <si>
    <t>Willemink, MJ; Koszek, WA; Hardell, C; Wu, J; Fleischmann, D; Harvey, H; Folio, LR; Summers, RM; Rubin, DL; Lungren, MP</t>
  </si>
  <si>
    <t>Artificial intelligence (AI) continues to garter substantial interest in medical imaging. The potential applications are vast and include the entirety of the. medical imaging life cycle from image exertion to diagnosis to outcome prediction. The chief obstacles to development and clinical implementation of AI algorithms include availability of sufficiently large, curated, and representative training data that includes expert labeling (eg, annotations). Current supervised AI methods require a curation proem for data to optimally train, validate, and test algorithms. Currently, most and research group industry have limited data access based on small sample sizes from small geographic areas. In addition, die preparation of data is a costly and time-intensive process, the results of which ate algorithms with limited utility and poor generalization. In this article, the authors describe fundamental steps for preparing medical imaging data in AI algorithm development, explain current limitations to data curation, and explore new approaches to address the problem of data availability. (C) RSNA, 2020</t>
  </si>
  <si>
    <t>Willemink, Martin J.; Koszek, Wojciech A.; Hardell, Cailin; Wu, Jie; Fleischmann, Dominik; Harvey, Hugh; Folio, Les R.; Summers, Ronald M.; Rubin, Daniel L.; Lungren, Matthew P.</t>
  </si>
  <si>
    <t>Willemink, MJ (corresponding author), Stanford Univ, Sch Med, Dept Radiol, 300 Pasteur Dr,S-072, Stanford, CA 94305 USA.; Willemink, MJ (corresponding author), Segmed, Menlo Pk, CA 94025 USA.</t>
  </si>
  <si>
    <t>willemink@stanford.edu</t>
  </si>
  <si>
    <t>Intramural Research Program of the National Institutes of Health (NIH) Clinical Center; National Library of Medicine of the NIH [R01LM012966]; Stanford Child Health Research Institute (Stanford NIH-National Center for Advancing Translational Sciences Clinical and Translational Science Awards) [UL1 TR001085]; National Cancer Institute of the NIH [U01CA142555, 1U01CA190214, 1U01CA187947, 1U01CA242879]; National Cancer Institute [U01CA242879] Funding Source: NIH RePORTER; National Library of Medicine [R01LM012966] Funding Source: NIH RePORTER</t>
  </si>
  <si>
    <t>Intramural Research Program of the National Institutes of Health (NIH) Clinical Center (United States Department of Health &amp; Human Services, National Institutes of Health (NIH) - USA, Office of the Administrator (NIH)); National Library of Medicine of the NIH; Stanford Child Health Research Institute (Stanford NIH-National Center for Advancing Translational Sciences Clinical and Translational Science Awards); National Cancer Institute of the NIH (United States Department of Health &amp; Human Services, National Institutes of Health (NIH) - USA, NIH National Cancer Institute (NCI)); National Cancer Institute (United States Department of Health &amp; Human Services, National Institutes of Health (NIH) - USA, NIH National Cancer Institute (NCI)); National Library of Medicine (United States Department of Health &amp; Human Services, National Institutes of Health (NIH) - USA, NIH National Library of Medicine (NLM))</t>
  </si>
  <si>
    <t>Supported in part by the Intramural Research Program of the National Institutes of Health (NIH) Clinical Center, the National Library of Medicine of the NIH (R01LM012966), Stanford Child Health Research Institute (Stanford NIH-National Center for Advancing Translational Sciences Clinical and Translational Science Awards [UL1 TR001085]), and the National Cancer Institute of the NIH (U01CA142555, 1U01CA190214, 1U01CA187947, 1U01CA242879).</t>
  </si>
  <si>
    <t>[Willemink, Martin J.; Fleischmann, Dominik; Rubin, Daniel L.; Lungren, Matthew P.] Stanford Univ, Sch Med, Dept Radiol, 300 Pasteur Dr,S-072, Stanford, CA 94305 USA; [Willemink, Martin J.; Koszek, Wojciech A.; Hardell, Cailin; Wu, Jie] Segmed, Menlo Pk, CA 94025 USA; [Wu, Jie] Stanford Univ, Sch Engn, Stanford, CA 94305 USA; [Harvey, Hugh] UCL, Inst Cognit Neurosci, London, England; [Folio, Les R.] Natl Inst Hlth Clin Ctr, Radiol &amp; Imaging Sci, Bethesda, MD USA; [Summers, Ronald M.] NIH, Imaging Biomarkers &amp; Comp Aided Diag Lab, Clin Ctr, Bldg 10, Bethesda, MD 20892 USA; [Rubin, Daniel L.] Stanford Univ, Sch Med, Dept Biomed Data Sci, Stanford, CA 94305 USA; [Lungren, Matthew P.] Stanford Ctr Artificial Intelligence Med &amp; Imagin, Stanford, CA USA</t>
  </si>
  <si>
    <t>Stanford University; Stanford Medicine; Stanford University; University of London; University College London; National Institutes of Health (NIH) - USA; NIH Clinical Center (CC); National Institutes of Health (NIH) - USA; NIH Clinical Center (CC); Stanford University; Stanford Medicine</t>
  </si>
  <si>
    <t>Preparing Medical Imaging Data for Machine Learning</t>
  </si>
  <si>
    <t>RADIOLOGY</t>
  </si>
  <si>
    <t>COMPUTER-AIDED DETECTION; ARTIFICIAL-INTELLIGENCE; DE-IDENTIFICATION; RADIOLOGY REPORTS; CT COLONOGRAPHY; PERFORMANCE; VALIDATION; SYSTEM; ALGORITHM; PLATFORM</t>
  </si>
  <si>
    <t>Summers, Ronald/AAX-6290-2021; Willemink, Martin/GRX-4798-2022; Wu, Jie/OMM-8357-2025; Folio, Les/AAO-5456-2021</t>
  </si>
  <si>
    <t>Koszek, Wojciech/0000-0002-8949-8858; Fleischmann, Dominik/0000-0003-0715-0952; Willemink, Martin/0000-0002-6991-6557; Lungren, Matthew/0000-0002-8591-5861</t>
  </si>
  <si>
    <t>829</t>
  </si>
  <si>
    <t>RADIOLOGICAL SOC NORTH AMERICA (RSNA)</t>
  </si>
  <si>
    <t>OAK BROOK</t>
  </si>
  <si>
    <t>820 JORIE BLVD, SUITE 200, OAK BROOK, ILLINOIS, UNITED STATES</t>
  </si>
  <si>
    <t>0033-8419</t>
  </si>
  <si>
    <t>Radiology</t>
  </si>
  <si>
    <t>APR 2020</t>
  </si>
  <si>
    <t>295</t>
  </si>
  <si>
    <t>10.1148/radiol.2020192224</t>
  </si>
  <si>
    <t>http://dx.doi.org/10.1148/radiol.2020192224</t>
  </si>
  <si>
    <t>KV1EC</t>
  </si>
  <si>
    <t>32068507</t>
  </si>
  <si>
    <t>WOS:000520166000002</t>
  </si>
  <si>
    <t>Taghanaki, SA; Abhishek, K; Cohen, JP; Cohen-Adad, J; Hamarneh, G</t>
  </si>
  <si>
    <t>The semantic image segmentation task consists of classifying each pixel of an image into an instance, where each instance corresponds to a class. This task is a part of the concept of scene understanding or better explaining the global context of an image. In the medical image analysis domain, image segmentation can be used for image-guided interventions, radiotherapy, or improved radiological diagnostics. In this review, we categorize the leading deep learning-based medical and non-medical image segmentation solutions into six main groups of deep architectural, data synthesis-based, loss function-based, sequenced models, weakly supervised, and multi-task methods and provide a comprehensive review of the contributions in each of these groups. Further, for each group, we analyze each variant of these groups and discuss the limitations of the current approaches and present potential future research directions for semantic image segmentation.</t>
  </si>
  <si>
    <t>Asgari Taghanaki, Saeid; Abhishek, Kumar; Cohen, Joseph Paul; Cohen-Adad, Julien; Hamarneh, Ghassan</t>
  </si>
  <si>
    <t>Taghanaki, SA (corresponding author), Simon Fraser Univ, Sch Comp Sci, Burnaby, BC, Canada.</t>
  </si>
  <si>
    <t>joseph@josephpcohen.com; kabhishe@sfu.ca; sasgarit@sfu.ca; jcohen@polymtl.ca; hamarneh@sfu.ca</t>
  </si>
  <si>
    <t>[Asgari Taghanaki, Saeid; Abhishek, Kumar; Hamarneh, Ghassan] Simon Fraser Univ, Sch Comp Sci, Burnaby, BC, Canada; [Cohen, Joseph Paul] Univ Montreal, Mila, Montreal, PQ, Canada; [Cohen-Adad, Julien] Polytech Montreal, NeuroPoly Lab, Inst Biomed Engn, Montreal, PQ, Canada</t>
  </si>
  <si>
    <t>Simon Fraser University; Mila Quebec Artificial Intelligence Institute; Universite de Montreal; Universite de Montreal; Polytechnique Montreal</t>
  </si>
  <si>
    <t>Deep semantic segmentation of natural and medical images: a review</t>
  </si>
  <si>
    <t>ARTIFICIAL INTELLIGENCE REVIEW</t>
  </si>
  <si>
    <t>Semantic image segmentation; Deep learning</t>
  </si>
  <si>
    <t>OBJECT DETECTION; NEURAL-NETWORKS; U-NET; DATABASE; SEARCH; VIDEO</t>
  </si>
  <si>
    <t>Hamarneh, Ghassan/AAE-6673-2021; Cohen-Adad, Julien/AGE-6526-2022</t>
  </si>
  <si>
    <t>Hamarneh, Ghassan/0000-0001-5040-7448</t>
  </si>
  <si>
    <t>253</t>
  </si>
  <si>
    <t>692</t>
  </si>
  <si>
    <t>779</t>
  </si>
  <si>
    <t>954</t>
  </si>
  <si>
    <t>DORDRECHT</t>
  </si>
  <si>
    <t>VAN GODEWIJCKSTRAAT 30, 3311 GZ DORDRECHT, NETHERLANDS</t>
  </si>
  <si>
    <t>0269-2821</t>
  </si>
  <si>
    <t>1573-7462</t>
  </si>
  <si>
    <t>ARTIF INTELL REV</t>
  </si>
  <si>
    <t>Artif. Intell. Rev.</t>
  </si>
  <si>
    <t>137</t>
  </si>
  <si>
    <t>178</t>
  </si>
  <si>
    <t>10.1007/s10462-020-09854-1</t>
  </si>
  <si>
    <t>http://dx.doi.org/10.1007/s10462-020-09854-1</t>
  </si>
  <si>
    <t>Computer Science, Artificial Intelligence</t>
  </si>
  <si>
    <t>PU3JQ</t>
  </si>
  <si>
    <t>WOS:000539923400001</t>
  </si>
  <si>
    <t>Khan, MJ; Khan, HS; Yousaf, A; Khurshid, K; Abbas, A</t>
  </si>
  <si>
    <t>Over the past three decades, significant developments have been made in hyperspectral imaging due to which it has emerged as an effective tool in numerous civil, environmental, and military applications. Modern sensor technologies are capable of covering large surfaces of earth with exceptional spatial, spectral, and temporal resolutions. Due to these features, hyperspectral imaging has been effectively used in numerous remote sensing applications requiring estimation of physical parameters of many complex surfaces and identification of visually similar materials having fine spectral signatures. In the recent years, ground based hyperspectral imaging has gained immense interest in the research on electronic imaging for food inspection, forensic science, medical surgery and diagnosis, and military applications. This review focuses on the fundamentals of hyperspectral image analysis and its modern applications such as food quality and safety assessment, medical diagnosis and image guided surgery, forensic document examination, defense and homeland security, remote sensing applications such as precision agriculture and water resource management and material identification and mapping of artworks. Moreover, recent research on the use of hyperspectral imaging for examination of forgery detection in questioned documents, aided by deep learning, is also presented. This review can be a useful baseline for future research in hyperspectral image analysis.</t>
  </si>
  <si>
    <t>Khan, Muhammad Jaleed; Khan, Hamid Saeed; Yousaf, Adeel; Khurshid, Khurram; Abbas, Asad</t>
  </si>
  <si>
    <t>Khan, MJ (corresponding author), Inst Space Technol, Dept Elect Engn, Islamabad 44000, Pakistan.</t>
  </si>
  <si>
    <t>mjk093@gmail.com</t>
  </si>
  <si>
    <t>[Khan, Muhammad Jaleed; Yousaf, Adeel; Khurshid, Khurram] Inst Space Technol, Dept Elect Engn, Islamabad 44000, Pakistan; [Khan, Hamid Saeed] IBM Corp, Global Business Serv, Islamabad 46000, Pakistan; [Abbas, Asad] Univ Newcastle, Sch Elect Engn &amp; Comp, Callaghan, NSW 2308, Australia</t>
  </si>
  <si>
    <t>University of Newcastle</t>
  </si>
  <si>
    <t>Modern Trends in Hyperspectral Image Analysis: A Review</t>
  </si>
  <si>
    <t>Agriculture; document images; food quality and safety; hyperspectral imaging; medical imaging; remote sensing</t>
  </si>
  <si>
    <t>PREDICTING INTRAMUSCULAR FAT; WORKS-OF-ART; ANOMALY DETECTION; FLOOD DETECTION; PORK COLOR; QUALITY; SPECTROSCOPY; VEGETATION; PIGMENTS; MEAT</t>
  </si>
  <si>
    <t>Khan, Jaleed/P-5082-2019</t>
  </si>
  <si>
    <t>Khan, Jaleed/0000-0003-4727-4722; Yousaf, Adeel/0000-0003-0275-903X</t>
  </si>
  <si>
    <t>129</t>
  </si>
  <si>
    <t>754</t>
  </si>
  <si>
    <t>14118</t>
  </si>
  <si>
    <t>14129</t>
  </si>
  <si>
    <t>10.1109/ACCESS.2018.2812999</t>
  </si>
  <si>
    <t>http://dx.doi.org/10.1109/ACCESS.2018.2812999</t>
  </si>
  <si>
    <t>GB7IR</t>
  </si>
  <si>
    <t>WOS:000429248600001</t>
  </si>
  <si>
    <t>Aggarwal, R; Sounderajah, V; Martin, G; Ting, DSW; Karthikesalingam, A; King, D; Ashrafian, H; Darzi, A</t>
  </si>
  <si>
    <t>Deep learning (DL) has the potential to transform medical diagnostics. However, the diagnostic accuracy of DL is uncertain. Our aim was to evaluate the diagnostic accuracy of DL algorithms to identify pathology in medical imaging. Searches were conducted in Medline and EMBASE up to January 2020. We identified 11,921 studies, of which 503 were included in the systematic review. Eighty-two studies in ophthalmology, 82 in breast disease and 115 in respiratory disease were included for meta-analysis. Two hundred twenty-four studies in other specialities were included for qualitative review. Peer-reviewed studies that reported on the diagnostic accuracy of DL algorithms to identify pathology using medical imaging were included. Primary outcomes were measures of diagnostic accuracy, study design and reporting standards in the literature. Estimates were pooled using random-effects meta-analysis. In ophthalmology, AUC's ranged between 0.933 and 1 for diagnosing diabetic retinopathy, age-related macular degeneration and glaucoma on retinal fundus photographs and optical coherence tomography. In respiratory imaging, AUC's ranged between 0.864 and 0.937 for diagnosing lung nodules or lung cancer on chest X-ray or CT scan. For breast imaging, AUC's ranged between 0.868 and 0.909 for diagnosing breast cancer on mammogram, ultrasound, MRI and digital breast tomosynthesis. Heterogeneity was high between studies and extensive variation in methodology, terminology and outcome measures was noted. This can lead to an overestimation of the diagnostic accuracy of DL algorithms on medical imaging. There is an immediate need for the development of artificial intelligence-specific EQUATOR guidelines, particularly STARD, in order to provide guidance around key issues in this field.</t>
  </si>
  <si>
    <t>Aggarwal, Ravi; Sounderajah, Viknesh; Martin, Guy; Ting, Daniel S. W.; Karthikesalingam, Alan; King, Dominic; Ashrafian, Hutan; Darzi, Ara</t>
  </si>
  <si>
    <t>Ashrafian, H (corresponding author), Imperial Coll London, Inst Global Hlth Innovat, London, England.</t>
  </si>
  <si>
    <t>h.ashrafian@imperial.ac.uk</t>
  </si>
  <si>
    <t>National Institute for Health Research [NF-SI-0510-10186, NF-SI-0617-10038] Funding Source: researchfish; Medical Research Council [MC_PC_18032] Funding Source: Medline</t>
  </si>
  <si>
    <t>National Institute for Health Research (National Institutes of Health Research (NIHR)); Medical Research Council (UK Research &amp; Innovation (UKRI), Medical Research Council UK (MRC))</t>
  </si>
  <si>
    <t>[Aggarwal, Ravi; Sounderajah, Viknesh; Martin, Guy; Karthikesalingam, Alan; King, Dominic; Ashrafian, Hutan; Darzi, Ara] Imperial Coll London, Inst Global Hlth Innovat, London, England; [Ting, Daniel S. W.] Singapore Natl Eye Ctr, Singapore Eye Res Inst, Singapore, Singapore</t>
  </si>
  <si>
    <t>Imperial College London; National University of Singapore; Singapore National Eye Center</t>
  </si>
  <si>
    <t>Diagnostic accuracy of deep learning in medical imaging: a systematic review and meta-analysis</t>
  </si>
  <si>
    <t>CONVOLUTIONAL NEURAL-NETWORK; ARTIFICIAL-INTELLIGENCE; DIABETIC-RETINOPATHY; ANALYSIS-SOFTWARE; BREAST-CANCER; BIG DATA; IMAGES; CLASSIFICATION; PERFORMANCE; VALIDATION</t>
  </si>
  <si>
    <t>Ting, Daniel/QOC-0597-2026</t>
  </si>
  <si>
    <t>Ashrafian, Hutan/0000-0003-1668-0672; Bidwai, Pooja Vishal/0000-0002-3077-4395; Martin, Guy/0000-0002-5759-962X; Sounderajah, Viknesh/0000-0002-4595-8402</t>
  </si>
  <si>
    <t>781</t>
  </si>
  <si>
    <t>APR 7 2021</t>
  </si>
  <si>
    <t>10.1038/s41746-021-00438-z</t>
  </si>
  <si>
    <t>http://dx.doi.org/10.1038/s41746-021-00438-z</t>
  </si>
  <si>
    <t>RJ7DO</t>
  </si>
  <si>
    <t>33828217</t>
  </si>
  <si>
    <t>WOS:000637760900001</t>
  </si>
  <si>
    <t>gold; Green Submitted; Green Accepted</t>
  </si>
  <si>
    <t>Tran, KA; Kondrashova, O; Bradley, A; Williams, ED; Pearson, J; Waddell, N</t>
  </si>
  <si>
    <t>Deep learning is a subdiscipline of artificial intelligence that uses a machine learning technique called artificial neural networks to extract patterns and make predictions from large data sets. The increasing adoption of deep learning across healthcare domains together with the availability of highly characterised cancer datasets has accelerated research into the utility of deep learning in the analysis of the complex biology of cancer. While early results are promising, this is a rapidly evolving field with new knowledge emerging in both cancer biology and deep learning. In this review, we provide an overview of emerging deep learning techniques and how they are being applied to oncology. We focus on the deep learning applications for omics data types, including genomic, methylation and transcriptomic data, as well as histopathology-based genomic inference, and provide perspectives on how the different data types can be integrated to develop decision support tools. We provide specific examples of how deep learning may be applied in cancer diagnosis, prognosis and treatment management. We also assess the current limitations and challenges for the application of deep learning in precision oncology, including the lack of phenotypically rich data and the need for more explainable deep learning models. Finally, we conclude with a discussion of how current obstacles can be overcome to enable future clinical utilisation of deep learning.</t>
  </si>
  <si>
    <t>Tran, Khoa A.; Kondrashova, Olga; Bradley, Andrew; Williams, Elizabeth D.; Pearson, John, V; Waddell, Nicola</t>
  </si>
  <si>
    <t>Waddell, N (corresponding author), QIMR Berghofer Med Res Inst, Dept Genet &amp; Computat Biol, Brisbane, Qld 4006, Australia.</t>
  </si>
  <si>
    <t>Nic.Waddell@qimrberghofer.edu.au</t>
  </si>
  <si>
    <t>National Health and Medical Research Council of Australia (NHMRC) Senior Research Fellowship [APP1139071]</t>
  </si>
  <si>
    <t>National Health and Medical Research Council of Australia (NHMRC) Senior Research Fellowship (National Health &amp; Medical Research Council (NHMRC) of Australia)</t>
  </si>
  <si>
    <t>Y Nicola Waddell is supported by a National Health and Medical Research Council of Australia (NHMRC) Senior Research Fellowship (APP1139071).</t>
  </si>
  <si>
    <t>[Tran, Khoa A.; Kondrashova, Olga; Pearson, John, V; Waddell, Nicola] QIMR Berghofer Med Res Inst, Dept Genet &amp; Computat Biol, Brisbane, Qld 4006, Australia; [Tran, Khoa A.; Williams, Elizabeth D.] Queensland Univ Technol QUT, Fac Hlth, Sch Biomed Sci, Brisbane, Qld 4059, Australia; [Williams, Elizabeth D.] Australian Prostate Canc Res Ctr Queensland APCRC, Brisbane, Qld 4102, Australia; [Williams, Elizabeth D.] Queensland Bladder Canc Initiat QBCI, Brisbane, Qld 4102, Australia; [Bradley, Andrew] Queensland Univ Technol QUT, Fac Engn, Brisbane, Qld 4000, Australia</t>
  </si>
  <si>
    <t>QIMR Berghofer Medical Research Institute; Queensland University of Technology (QUT); Queensland University of Technology (QUT)</t>
  </si>
  <si>
    <t>Deep learning in cancer diagnosis, prognosis and treatment selection</t>
  </si>
  <si>
    <t>GENOME MEDICINE</t>
  </si>
  <si>
    <t>Artificial intelligence; Deep learning; Multi-modal learning; Explainability; Cancer genomics; Precision oncology; Cancer of unknown primary; Molecular subtypes; Prognosis; Tumour microenvironment; Pharmacogenomics</t>
  </si>
  <si>
    <t>GENE-EXPRESSION; BREAST-CANCER; TISSUE; PHARMACOGENOMICS; SUBTYPES; HETEROGENEITY; PREDICTION; LANDSCAPE; NETWORKS</t>
  </si>
  <si>
    <t>Bradley, Andrew/C-5685-2009; Willia, Elizabeth/NSV-3246-2025; Waddell, Nicola/H-4929-2015; Kondrashova, Olga/ACR-0132-2022; Pearson, John/AAT-4211-2020</t>
  </si>
  <si>
    <t>Bradley, Andrew/0000-0003-0109-6844; Willia, Elizabeth/0000-0002-3364-6655; Tran, Khoa/0000-0001-7376-5061; Waddell, Nicola/0000-0002-3950-2476; Pearson, John/0000-0003-0904-4598</t>
  </si>
  <si>
    <t>688</t>
  </si>
  <si>
    <t>812</t>
  </si>
  <si>
    <t>332</t>
  </si>
  <si>
    <t>1756-994X</t>
  </si>
  <si>
    <t>GENOME MED</t>
  </si>
  <si>
    <t>Genome Med.</t>
  </si>
  <si>
    <t>SEP 27 2021</t>
  </si>
  <si>
    <t>10.1186/s13073-021-00968-x</t>
  </si>
  <si>
    <t>http://dx.doi.org/10.1186/s13073-021-00968-x</t>
  </si>
  <si>
    <t>Genetics &amp; Heredity</t>
  </si>
  <si>
    <t>UW8GY</t>
  </si>
  <si>
    <t>34579788</t>
  </si>
  <si>
    <t>WOS:000700392500001</t>
  </si>
  <si>
    <t>254</t>
  </si>
  <si>
    <t>Muratov, EN; Bajorath, J; Sheridan, RP; Tetko, IV; Filimonov, D; Poroikov, V; Oprea, TI; Baskin, II; Varnek, A; Roitberg, A; Isayev, O; Curtarolo, S; Fourches, D; Cohen, Y; Aspuru-Guzik, A; Winkler, DA; Agrafiotis, D; Cherkasov, A; Tropsha, A</t>
  </si>
  <si>
    <t>Prediction of chemical bioactivity and physical properties has been one of the most important applications of statistical and more recently, machine learning and artificial intelligence methods in chemical sciences. This field of research, broadly known as quantitative structure-activity relationships (QSAR) modeling, has developed many important algorithms and has found a broad range of applications in physical organic and medicinal chemistry in the past 55+ years. This Perspective summarizes recent technological advances in QSAR modeling but it also highlights the applicability of algorithms, modeling methods, and validation practices developed in QSAR to a wide range of research areas outside of traditional QSAR boundaries including synthesis planning, nanotechnology, materials science, biomaterials, and clinical informatics. As modern research methods generate rapidly increasing amounts of data, the knowledge of robust data-driven modelling methods professed within the QSAR field can become essential for scientists working both within and outside of chemical research. We hope that this contribution highlighting the generalizable components of QSAR modeling will serve to address this challenge.</t>
  </si>
  <si>
    <t>Muratov, Eugene N.; Bajorath, Jurgen; Sheridan, Robert P.; Tetko, Igor, V; Filimonov, Dmitry; Poroikov, Vladimir; Oprea, Tudor, I; Baskin, Igor I.; Varnek, Alexandre; Roitberg, Adrian; Isayev, Olexandr; Curtarolo, Stefano; Fourches, Denis; Cohen, Yoram; Aspuru-Guzik, Alan; Winkler, David A.; Agrafiotis, Dimitris; Cherkasov, Artem; Tropsha, Alexander</t>
  </si>
  <si>
    <t>Tropsha, A (corresponding author), Univ N Carolina, UNC Eshelman Sch Pharm, Chapel Hill, NC 27515 USA.; Cherkasov, A (corresponding author), Univ British Columbia, Vancouver Prostate Ctr, Vancouver, BC, Canada.</t>
  </si>
  <si>
    <t>acherkasov@prostatecentre.com; alex_tropsha@unc.edu</t>
  </si>
  <si>
    <t>NIH [U01CA207160, U24CA224370, U24TR002278, U01CA239108]; Russian Program for Basic Research of State Academies of Sciences; European Union's Horizon 2020 research and innovation program under the Marie Skodowska-Curie grant [676434]; NSF [CHE-1802831, CHE-1802789]; Army Research Office (ARO) [W911NF1810315]; NIH Office of the Director [U24TR002278, U24CA224370] Funding Source: NIH RePORTER; U.S. Department of Defense (DOD) [W911NF1810315] Funding Source: U.S. Department of Defense (DOD); Novo Nordisk Foundation Center for Protein Research [PI Søren Brunak] Funding Source: researchfish</t>
  </si>
  <si>
    <t>NIH (United States Department of Health &amp; Human Services, National Institutes of Health (NIH) - USA); Russian Program for Basic Research of State Academies of Sciences; European Union's Horizon 2020 research and innovation program under the Marie Skodowska-Curie grant; NSF (National Science Foundation (NSF)); Army Research Office (ARO) (Army Research Office); NIH Office of the Director (United States Department of Health &amp; Human Services, National Institutes of Health (NIH) - USA, NIH Office of the Director); U.S. Department of Defense (DOD) (United States Department of Defense); Novo Nordisk Foundation Center for Protein Research (Novo Nordisk Foundation)</t>
  </si>
  <si>
    <t>This review combined a series of separately written, invited contributions from the various coauthors (some sections with multiple coauthors). Primary attributions for the various contributed sections are as follows: Introduction - E. Muratov and A. Tropsha; Chemical similarity - J. Bajorath; Modern trends in QSAR modeling - R. Sheridan; QSAR in chemical safety assessment - I. Tetko; Multi-target profiling and polypharmacology - D. Filimonov and V. Poroikov; QSAR-like approaches in chemical genomics - T. Oprea and A. Cherkasov; QSAR in synthetic organic chemistry - I. Baskin and A. Varnek; Closed-loop discovery and automation - A. Aspuru-Guzik; Machine learning approaches in quantum chemistry - O. Isayev and A. Roitberg; Materials informatics - S. Curtarolo; Nanomaterials informatics - Y. Cohen and D. Fourches; Biomaterials and regenerative medicine - D. Winkler; Clinical and health informatics - D. Agrafiotis and T. Oprea; Outlook and Conclusions - E. Muratov, A. Cherkasov, and A. Tropsha. Final editing was accomplished by A. Tropsha, who also takes primary responsibility for the final content. Mentioning of trade names or commercial products does not constitute endorsement or recommendation for use. The authors acknowledge the seminal contributions of Corwin Hansch and Toshio Fujita in the initial development of the QSAR field and of Frank Burden in the development of sparse feature selection and Bayesian regularization of neural networks for QSAR. The authors acknowledge many fruitful discussions with members of their groups. TIO acknowledge NIH funding support (U24CA224370, U24TR002278, and U01CA239108). AT and EM acknowledge NIH funding support (U01CA207160). VP and DF would like to acknowledge the support of the Russian Program for Basic Research of State Academies of Sciences for 2013-2020. AV, JB and IVT acknowledge funding by the European Union's Horizon 2020 research and innovation program under the Marie Skodowska-Curie grant agreement No. 676434, "Big Data in Chemistry". AER thanks NSF CHE-1802831 and OI thanks NSF CHE-1802789. DF thanks Army Research Office (ARO) W911NF1810315.</t>
  </si>
  <si>
    <t>[Muratov, Eugene N.; Isayev, Olexandr; Tropsha, Alexander] Univ N Carolina, UNC Eshelman Sch Pharm, Chapel Hill, NC 27515 USA; [Muratov, Eugene N.] Univ Fed Paraiba, Dept Pharmaceut Sci, Joao Pessoa, PB, Brazil; [Bajorath, Jurgen] Univ Bonn, Dept Life Sci Informat, Bonn, Germany; [Sheridan, Robert P.] Merck &amp; Co Inc, Kenilworth, NJ USA; [Tetko, Igor, V] Helmholtz Zentrum Munchen Deutsch Forschungszentr, Inst Struct Biol, Neuherberg, Germany; [Tetko, Igor, V] BIGCHEM GmbH, Neuherberg, Germany; [Filimonov, Dmitry; Poroikov, Vladimir] Inst Biomed Chem, Moscow, Russia; [Oprea, Tudor, I] Univ New Mexico, Dept Internal Med, Albuquerque, NM 87131 USA; [Oprea, Tudor, I] Univ New Mexico, UNM Comprehens Canc Ctr, Albuquerque, NM 87131 USA; [Oprea, Tudor, I] Gothenburg Univ, Dept Rheumatol, Gothenburg, Sweden; [Oprea, Tudor, I] Univ Copenhagen, Novo Nordisk Fdn Ctr Prot Res, Copenhagen, Denmark; [Baskin, Igor I.; Varnek, Alexandre] Univ Strasbourg, Dept Chem, Strasbourg, France; [Baskin, Igor I.] Moscow MV Lomonosov State Univ, Fac Phys, Moscow, Russia; [Roitberg, Adrian] Univ Florida, Dept Chem, Gainesville, FL 32611 USA; [Curtarolo, Stefano] Duke Univ, Ctr Autonomous Mat Design, Mat Sci, Durham, NC USA; [Fourches, Denis] North Carolina State Univ, Dept Chem, Raleigh, NC USA; [Cohen, Yoram] Univ Calif Los Angeles, Inst Environm &amp; Sustainabil, Los Angeles, CA USA; [Aspuru-Guzik, Alan] Univ Toronto, Dept Chem, Toronto, ON, Canada; [Winkler, David A.] Monash Univ, Monash Inst Pharmaceut Sci, Melbourne, Vic, Australia; [Winkler, David A.] La Trobe Univ, La Trobe Inst Mol Sci, Bundooru, Australia; [Winkler, David A.] CSIRO Mfg, Clayton, Vic, Australia; [Winkler, David A.] Univ Nottingham, Sch Pharm, Nottingham, England; [Agrafiotis, Dimitris] NIBR, Cambridge, MA USA; [Cherkasov, Artem] Univ British Columbia, Vancouver Prostate Ctr, Vancouver, BC, Canada</t>
  </si>
  <si>
    <t>University of North Carolina; University of North Carolina Chapel Hill; Universidade Federal da Paraiba; University of Bonn; Merck &amp; Company; Merck &amp; Company USA; Helmholtz Association; Helmholtz-Center Munich - German Research Center for Environmental Health; Russian Academy of Medical Sciences; Institute of Biomedical Chemistry; University of New Mexico; University of New Mexico's Health Sciences Center; University of New Mexico; University of New Mexico's Health Sciences Center; University of Gothenburg; University of Copenhagen; Universites de Strasbourg Etablissements Associes; Universite de Strasbourg; Lomonosov Moscow State University; State University System of Florida; University of Florida; Duke University; North Carolina State University; University of California System; University of California Los Angeles; University of Toronto; Monash University; La Trobe University; Commonwealth Scientific &amp; Industrial Research Organisation (CSIRO); University of Nottingham; University of British Columbia</t>
  </si>
  <si>
    <t>QSAR without borders</t>
  </si>
  <si>
    <t>CHEMICAL SOCIETY REVIEWS</t>
  </si>
  <si>
    <t>QUANTITATIVE STRUCTURE-ACTIVITY; ADVERSE OUTCOME PATHWAYS; ACTIVITY-RELATIONSHIP MODELS; MATCHED MOLECULAR PAIRS; DATA MINING TECHNIQUES; DEEP NEURAL-NETWORKS; BIOLOGICAL-ACTIVITY; INDUSTRIAL-CHEMICALS; ACTIVITY PREDICTION; ORGANIC-REACTIONS</t>
  </si>
  <si>
    <t>Roitberg, Adrian/A-2378-2009; Fourches, Denis/H-4336-2019; Cherkasov, Artem/A-2134-2012; Muratov, Eugene/C-4454-2014; Filimonov, Dmitry/HMD-4190-2023; Curtarolo, Stefano/ABD-7672-2021; Oprea, Tudor/A-5746-2011; Isayev, Olexandr/B-7944-2008; Cohen, Yoram/M-8802-2014; Tropsha, Alexander/AAB-8324-2020; Poroikov, Vladimir/O-2769-2013; Aspuru-Guzik, Alan/A-4984-2008; Tetko, Igor/B-1540-2010; Baskin, Igor/I-2490-2012; Winkler, Dave/A-3774-2008</t>
  </si>
  <si>
    <t>Roitberg, Adrian/0000-0003-3963-8784; Muratov, Eugene/0000-0003-4616-7036; Oprea, Tudor/0000-0002-6195-6976; Isayev, Olexandr/0000-0001-7581-8497; Cohen, Yoram/0000-0002-0756-4699; Tropsha, Alexander/0000-0003-3802-8896; Cherkasov, Artem/0000-0002-1599-1439; Poroikov, Vladimir/0000-0001-7937-2621; Tetko, Igor/0000-0002-6855-0012; Bajorath, Jürgen/0000-0002-0557-5714; Varnek, Alexandre/0000-0003-1886-925X; Baskin, Igor/0000-0003-0874-1148; Winkler, Dave/0000-0002-7301-6076</t>
  </si>
  <si>
    <t>351</t>
  </si>
  <si>
    <t>686</t>
  </si>
  <si>
    <t>789</t>
  </si>
  <si>
    <t>648</t>
  </si>
  <si>
    <t>ROYAL SOC CHEMISTRY</t>
  </si>
  <si>
    <t>THOMAS GRAHAM HOUSE, SCIENCE PARK, MILTON RD, CAMBRIDGE CB4 0WF, CAMBS, ENGLAND</t>
  </si>
  <si>
    <t>0306-0012</t>
  </si>
  <si>
    <t>1460-4744</t>
  </si>
  <si>
    <t>CHEM SOC REV</t>
  </si>
  <si>
    <t>Chem. Soc. Rev.</t>
  </si>
  <si>
    <t>JUN 7 2020</t>
  </si>
  <si>
    <t>3525</t>
  </si>
  <si>
    <t>3564</t>
  </si>
  <si>
    <t>10.1039/d0cs00098a</t>
  </si>
  <si>
    <t>http://dx.doi.org/10.1039/d0cs00098a</t>
  </si>
  <si>
    <t>Chemistry, Multidisciplinary</t>
  </si>
  <si>
    <t>Chemistry</t>
  </si>
  <si>
    <t>LY5NI</t>
  </si>
  <si>
    <t>32356548</t>
  </si>
  <si>
    <t>WOS:000540575800007</t>
  </si>
  <si>
    <t>van der Laak, J; Litjens, G; Ciompi, F</t>
  </si>
  <si>
    <t>Recent advances in machine learning techniques have created opportunities to improve medical diagnostics, but implementing these advances in the clinic will not be without challenge.Machine learning techniques have great potential to improve medical diagnostics, offering ways to improve accuracy, reproducibility and speed, and to ease workloads for clinicians. In the field of histopathology, deep learning algorithms have been developed that perform similarly to trained pathologists for tasks such as tumor detection and grading. However, despite these promising results, very few algorithms have reached clinical implementation, challenging the balance between hope and hype for these new techniques. This Review provides an overview of the current state of the field, as well as describing the challenges that still need to be addressed before artificial intelligence in histopathology can achieve clinical value.</t>
  </si>
  <si>
    <t>van der Laak, Jeroen; Litjens, Geert; Ciompi, Francesco</t>
  </si>
  <si>
    <t>van der Laak, J (corresponding author), Radboud Univ Nijmegen Med Ctr, Dept Pathol, Nijmegen, Netherlands.; van der Laak, J (corresponding author), Linkoping Univ, Ctr Med Image Sci &amp; Visualizat, Linkoping, Sweden.</t>
  </si>
  <si>
    <t>jeroen.vanderlaak@radboudumc.nl</t>
  </si>
  <si>
    <t>[van der Laak, Jeroen; Litjens, Geert; Ciompi, Francesco] Radboud Univ Nijmegen Med Ctr, Dept Pathol, Nijmegen, Netherlands; [van der Laak, Jeroen] Linkoping Univ, Ctr Med Image Sci &amp; Visualizat, Linkoping, Sweden</t>
  </si>
  <si>
    <t>Radboud University Nijmegen; Linkoping University</t>
  </si>
  <si>
    <t>Deep learning in histopathology: the path to the clinic</t>
  </si>
  <si>
    <t>TUMOR-INFILTRATING LYMPHOCYTES; ARTIFICIAL-INTELLIGENCE; BREAST-CANCER; COMPUTATIONAL PATHOLOGY; MITOSIS DETECTION; PROSTATE-CANCER; SEGMENTATION; PREDICTION; CLASSIFICATION; VALIDATION</t>
  </si>
  <si>
    <t>Ciompi, Francesco/P-5598-2015; Litjens, Geert/A-2319-2016; van der Laak, Jeroen/IVV-5737-2023</t>
  </si>
  <si>
    <t>Ciompi, Francesco/0000-0001-8327-9606; Litjens, Geert/0000-0003-1554-1291; Hương, Lương Thị Mỹ/0000-0003-1174-9829; van der Laak, Jeroen/0000-0001-7982-0754</t>
  </si>
  <si>
    <t>144</t>
  </si>
  <si>
    <t>675</t>
  </si>
  <si>
    <t>774</t>
  </si>
  <si>
    <t>211</t>
  </si>
  <si>
    <t>775</t>
  </si>
  <si>
    <t>10.1038/s41591-021-01343-4</t>
  </si>
  <si>
    <t>http://dx.doi.org/10.1038/s41591-021-01343-4</t>
  </si>
  <si>
    <t>SC5GH</t>
  </si>
  <si>
    <t>33990804</t>
  </si>
  <si>
    <t>WOS:000650698900017</t>
  </si>
  <si>
    <t>157</t>
  </si>
  <si>
    <t>Park, SH; Han, K</t>
  </si>
  <si>
    <t>The use of artificial intelligence in medicine is currently an issue of great interest, especially with regard to the diagnostic or predictive analysis of medical images. Adoption of an artificial intelligence tool in clinical practice requires careful confirmation of its clinical utility. Herein, the authors explain key methodology points involved in a clinical evaluation of artificial intelligence technology for use in medicine, especially high-dimensional or overparameterized diagnostic or predictive models in which artificial deep neural networks are used, mainly from the standpoints of clinical epidemiology and biostatistics. First, statistical methods for assessing the discrimination and calibration performances of a diagnostic or predictive model are summarized. Next, the effects of disease manifestation spectrum and disease prevalence on the performance results are explained, followed by a discussion of the difference between evaluating the performance with use of internal and external datasets, the importance of using an adequate external dataset obtained from a well-defined clinical cohort to avoid overestimating the clinical performance as a result of overfitting in high-dimensional or overparameterized classification model and spectrum bias, and the essentials for achieving a more robust clinical evaluation. Finally, the authors review the role of clinical trials and observational outcome studies for ultimate clinical verification of diagnostic or predictive artificial intelligence tools through patient outcomes, beyond performance metrics, and how to design such studies. (C) RSNA, 2018</t>
  </si>
  <si>
    <t>Park, Seong Ho; Han, Kyunghwa</t>
  </si>
  <si>
    <t>Park, SH (corresponding author), Univ Ulsan, Asan Med Ctr, Coll Med, Dept Radiol, 88 Olymp Ro 43 Gil, Seoul 05505, South Korea.; Park, SH (corresponding author), Univ Ulsan, Asan Med Ctr, Res Inst Radiol, Coll Med, 88 Olymp Ro 43 Gil, Seoul 05505, South Korea.</t>
  </si>
  <si>
    <t>parksh.radiology@gmail.com</t>
  </si>
  <si>
    <t>Industrial Strategic Technology Development Program - Ministry of Trade, Industry and Energy [10072064]</t>
  </si>
  <si>
    <t>Industrial Strategic Technology Development Program - Ministry of Trade, Industry and Energy</t>
  </si>
  <si>
    <t>S.H.P. supported by the Industrial Strategic Technology Development Program (grant 10072064) funded by the Ministry of Trade, Industry and Energy.</t>
  </si>
  <si>
    <t>[Park, Seong Ho] Univ Ulsan, Asan Med Ctr, Coll Med, Dept Radiol, 88 Olymp Ro 43 Gil, Seoul 05505, South Korea; [Park, Seong Ho] Univ Ulsan, Asan Med Ctr, Res Inst Radiol, Coll Med, 88 Olymp Ro 43 Gil, Seoul 05505, South Korea; [Han, Kyunghwa] Yonsei Univ, Res Inst Radiol Sci, Coll Med, Dept Radiol, Seoul, South Korea</t>
  </si>
  <si>
    <t>University of Ulsan; Asan Medical Center; University of Ulsan; Asan Medical Center; Yonsei University; Yonsei University Health System</t>
  </si>
  <si>
    <t>Methodologic Guide for Evaluating Clinical Performance and Effect of Artificial Intelligence Technology for Medical Diagnosis and Prediction</t>
  </si>
  <si>
    <t>CLASSIFICATION; DESIGN; INFANT; MODELS; SYSTEM</t>
  </si>
  <si>
    <t>Han, Kyunghwa/0000-0002-5687-7237</t>
  </si>
  <si>
    <t>670</t>
  </si>
  <si>
    <t>768</t>
  </si>
  <si>
    <t>1527-1315</t>
  </si>
  <si>
    <t>MAR 2018</t>
  </si>
  <si>
    <t>286</t>
  </si>
  <si>
    <t>809</t>
  </si>
  <si>
    <t>10.1148/radiol.2017171920</t>
  </si>
  <si>
    <t>http://dx.doi.org/10.1148/radiol.2017171920</t>
  </si>
  <si>
    <t>FW8LC</t>
  </si>
  <si>
    <t>29309734</t>
  </si>
  <si>
    <t>WOS:000425583200006</t>
  </si>
  <si>
    <t>Guo, YM; Liu, Y; Georgiou, T; Lew, MS</t>
  </si>
  <si>
    <t>During the long history of computer vision, one of the grand challenges has been semantic segmentation which is the ability to segment an unknown image into different parts and objects (e. g., beach, ocean, sun, dog, swimmer). Furthermore, segmentation is even deeper than object recognition because recognition is not necessary for segmentation. Specifically, humans can perform image segmentation without even knowing what the objects are (for example, in satellite imagery or medical X-ray scans, there may be several objects which are unknown, but they can still be segmented within the image typically for further investigation). Performing segmentation without knowing the exact identity of all objects in the scene is an important part of our visual understanding process which can give us a powerful model to understand the world and also be used to improve or augment existing computer vision techniques. Herein this work, we review the field of semantic segmentation as pertaining to deep convolutional neural networks. We provide comprehensive coverage of the top approaches and summarize the strengths, weaknesses and major challenges.</t>
  </si>
  <si>
    <t>Guo, Yanming; Liu, Yu; Georgiou, Theodoros; Lew, Michael S.</t>
  </si>
  <si>
    <t>Lew, MS (corresponding author), Leiden Univ, LIACS, Niels Bohrweg 1, NL-2333 CA Leiden, Netherlands.</t>
  </si>
  <si>
    <t>y.guo@liacs.leidenuniv.nl; y.liu@liacs.leidenuniv.nl; t.georgiou@liacs.leidenuniv.nl; m.s.k.lew@liacs.leidenuniv.nl</t>
  </si>
  <si>
    <t>[Guo, Yanming; Liu, Yu; Georgiou, Theodoros; Lew, Michael S.] Leiden Univ, LIACS, Niels Bohrweg 1, NL-2333 CA Leiden, Netherlands</t>
  </si>
  <si>
    <t>Leiden University; Leiden University - Excl LUMC</t>
  </si>
  <si>
    <t>A review of semantic segmentation using deep neural networks</t>
  </si>
  <si>
    <t>INTERNATIONAL JOURNAL OF MULTIMEDIA INFORMATION RETRIEVAL</t>
  </si>
  <si>
    <t>Image segmentation; Computer vision; Deep learning; Convolutional neural networks; Machine learning</t>
  </si>
  <si>
    <t>IMAGE</t>
  </si>
  <si>
    <t>669</t>
  </si>
  <si>
    <t>771</t>
  </si>
  <si>
    <t>2192-6611</t>
  </si>
  <si>
    <t>2192-662X</t>
  </si>
  <si>
    <t>INT J MULTIMED INF R</t>
  </si>
  <si>
    <t>Int. J. Multimed. Inf. Retr.</t>
  </si>
  <si>
    <t>87</t>
  </si>
  <si>
    <t>10.1007/s13735-017-0141-z</t>
  </si>
  <si>
    <t>http://dx.doi.org/10.1007/s13735-017-0141-z</t>
  </si>
  <si>
    <t>Computer Science, Artificial Intelligence; Computer Science, Software Engineering</t>
  </si>
  <si>
    <t>GR5AE</t>
  </si>
  <si>
    <t>WOS:000442633600001</t>
  </si>
  <si>
    <t>Azad, R; Aghdam, EK; Rauland, A; Jia, YW; Avval, AH; Bozorgpour, A; Karimijafarbigloo, S; Cohen, JP; Adeli, E; Merhof, D</t>
  </si>
  <si>
    <t>Automatic medical image segmentation is a crucial topic in the medical domain and successively a critical counterpart in the computer-aided diagnosis paradigm. U-Net is the most widespread image segmentation architecture due to its flexibility, optimized modular design, and success in all medical image modalities. Over the years, the U-Net model has received tremendous attention from academic and industrial researchers who have extended it to address the scale and complexity created by medical tasks. These extensions are commonly related to enhancing the U-Net's backbone, bottleneck, or skip connections, or including representation learning, or combining it with a Transformer architecture, or even addressing probabilistic prediction of the segmentation map. Having a compendium of different previously proposed U-Net variants makes it easier for machine learning researchers to identify relevant research questions and understand the challenges of the biological tasks that challenge the model. In this work, we discuss the practical aspects of the U-Net model and organize each variant model into a taxonomy. Moreover, to measure the performance of these strategies in a clinical application, we propose fair evaluations of some unique and famous designs on well-known datasets. Furthermore, we provide a comprehensive implementation library with trained models. In addition, for ease of future studies, we created an online list of U-Net papers with their possible official implementation.</t>
  </si>
  <si>
    <t>Azad, Reza; Aghdam, Ehsan Khodapanah; Rauland, Amelie; Jia, Yiwei; Avval, Atlas Haddadi; Bozorgpour, Afshin; Karimijafarbigloo, Sanaz; Cohen, Joseph Paul; Adeli, Ehsan; Merhof, Dorit</t>
  </si>
  <si>
    <t>Merhof, D (corresponding author), Univ Regensburg, Fac Informat &amp; Data Sci, D-93053 Regensburg, Germany.</t>
  </si>
  <si>
    <t>dorit.merhof@ur.de</t>
  </si>
  <si>
    <t>[Azad, Reza; Rauland, Amelie; Jia, Yiwei] Rhein Westfal TH Aachen, Fac Elect Engn, Informat Technol, D-52074 Aachen, Germany; [Azad, Reza; Bozorgpour, Afshin; Karimijafarbigloo, Sanaz; Merhof, Dorit] Univ Regensburg, Fac Informat &amp; Data Sci, D-93053 Regensburg, Germany; [Avval, Atlas Haddadi] Mashhad Univ Med Sci, Sch Med, Mashhad 9177899191, Razavi Khorasan, Iran; [Cohen, Joseph Paul] Stanford Univ, Ctr Artificial Intelligence Med &amp; Imaging, Palo Alto, CA 94304 USA; [Adeli, Ehsan] Stanford Univ, Stanford, CA 94305 USA; [Merhof, Dorit] Fraunhofer Inst Digital Med MEVIS, D-28359 Bremen, Germany</t>
  </si>
  <si>
    <t>RWTH Aachen University; University of Regensburg; Mashhad University of Medical Sciences; Stanford University; Stanford University</t>
  </si>
  <si>
    <t>Medical Image Segmentation Review: The Success of U-Net</t>
  </si>
  <si>
    <t>IEEE TRANSACTIONS ON PATTERN ANALYSIS AND MACHINE INTELLIGENCE</t>
  </si>
  <si>
    <t>Image segmentation; Biomedical imaging; Taxonomy; Computer architecture; Feature extraction; Transformers; Task analysis; Convolutional neural network; deep learning; medical image segmentation; transformer; U-Net</t>
  </si>
  <si>
    <t>UNET PLUS PLUS; NETWORK; CANCER; CLASSIFICATION; ARCHITECTURE; ATTENTION; LIVER</t>
  </si>
  <si>
    <t>azad, reza/HJH-3295-2023; Haddadi Avval, Atlas/ABH-3524-2021; Rauland, Amelie/KEJ-3838-2024</t>
  </si>
  <si>
    <t>Bozorgpour, Afshin/0000-0003-1857-1058; Jia, Yiwei/0000-0002-5824-8821; azad, reza/0000-0002-4772-2161; Adeli, Ehsan/0000-0002-0579-7763; Haddadi Avval, Atlas/0000-0002-3896-7810; Cohen, Joseph Paul/0000-0002-1334-3059; Khodapanah Aghdam, Ehsan/0000-0002-2849-1070</t>
  </si>
  <si>
    <t>643</t>
  </si>
  <si>
    <t>120</t>
  </si>
  <si>
    <t>0162-8828</t>
  </si>
  <si>
    <t>1939-3539</t>
  </si>
  <si>
    <t>IEEE T PATTERN ANAL</t>
  </si>
  <si>
    <t>IEEE Trans. Pattern Anal. Mach. Intell.</t>
  </si>
  <si>
    <t>DEC 2024</t>
  </si>
  <si>
    <t>10076</t>
  </si>
  <si>
    <t>10095</t>
  </si>
  <si>
    <t>10.1109/TPAMI.2024.3435571</t>
  </si>
  <si>
    <t>http://dx.doi.org/10.1109/TPAMI.2024.3435571</t>
  </si>
  <si>
    <t>Computer Science, Artificial Intelligence; Engineering, Electrical &amp; Electronic</t>
  </si>
  <si>
    <t>N4Z1T</t>
  </si>
  <si>
    <t>39167505</t>
  </si>
  <si>
    <t>WOS:001364431200162</t>
  </si>
  <si>
    <t>Siontis, KC; Noseworthy, PA; Attia, ZI; Friedman, PA</t>
  </si>
  <si>
    <t>In this Review, Friedman and colleagues summarize the use of artificial intelligence-enhanced electrocardiography in the detection of cardiovascular disease in at-risk populations, discuss its implications for clinical decision-making in patients with cardiovascular disease and critically appraise potential limitations and unknowns.The application of artificial intelligence (AI) to the electrocardiogram (ECG), a ubiquitous and standardized test, is an example of the ongoing transformative effect of AI on cardiovascular medicine. Although the ECG has long offered valuable insights into cardiac and non-cardiac health and disease, its interpretation requires considerable human expertise. Advanced AI methods, such as deep-learning convolutional neural networks, have enabled rapid, human-like interpretation of the ECG, while signals and patterns largely unrecognizable to human interpreters can be detected by multilayer AI networks with precision, making the ECG a powerful, non-invasive biomarker. Large sets of digital ECGs linked to rich clinical data have been used to develop AI models for the detection of left ventricular dysfunction, silent (previously undocumented and asymptomatic) atrial fibrillation and hypertrophic cardiomyopathy, as well as the determination of a person's age, sex and race, among other phenotypes. The clinical and population-level implications of AI-based ECG phenotyping continue to emerge, particularly with the rapid rise in the availability of mobile and wearable ECG technologies. In this Review, we summarize the current and future state of the AI-enhanced ECG in the detection of cardiovascular disease in at-risk populations, discuss its implications for clinical decision-making in patients with cardiovascular disease and critically appraise potential limitations and unknowns.</t>
  </si>
  <si>
    <t>Siontis, Konstantinos C.; Noseworthy, Peter A.; Attia, Zachi I.; Friedman, Paul A.</t>
  </si>
  <si>
    <t>Friedman, PA (corresponding author), Mayo Clin, Dept Cardiovasc Med, Rochester, MN 55905 USA.</t>
  </si>
  <si>
    <t>friedman.paul@mayo.edu</t>
  </si>
  <si>
    <t>[Siontis, Konstantinos C.; Noseworthy, Peter A.; Attia, Zachi I.; Friedman, Paul A.] Mayo Clin, Dept Cardiovasc Med, Rochester, MN 55905 USA</t>
  </si>
  <si>
    <t>Mayo Clinic</t>
  </si>
  <si>
    <t>Artificial intelligence-enhanced electrocardiography in cardiovascular disease management</t>
  </si>
  <si>
    <t>NATURE REVIEWS CARDIOLOGY</t>
  </si>
  <si>
    <t>ATRIAL-FIBRILLATION; HYPERTROPHIC CARDIOMYOPATHY; SYSTOLIC DYSFUNCTION; HEART-FAILURE; COMMUNITY; COMPUTER; ASSOCIATION; PREVALENCE; POTASSIUM; STROKE</t>
  </si>
  <si>
    <t>Attia, Zachi/AAI-2497-2019</t>
  </si>
  <si>
    <t>Attia, Zachi/0000-0002-9706-7900</t>
  </si>
  <si>
    <t>68</t>
  </si>
  <si>
    <t>640</t>
  </si>
  <si>
    <t>751</t>
  </si>
  <si>
    <t>359</t>
  </si>
  <si>
    <t>1759-5002</t>
  </si>
  <si>
    <t>1759-5010</t>
  </si>
  <si>
    <t>NAT REV CARDIOL</t>
  </si>
  <si>
    <t>Nat. Rev. Cardiol.</t>
  </si>
  <si>
    <t>JUL 2021</t>
  </si>
  <si>
    <t>465</t>
  </si>
  <si>
    <t>478</t>
  </si>
  <si>
    <t>10.1038/s41569-020-00503-2</t>
  </si>
  <si>
    <t>http://dx.doi.org/10.1038/s41569-020-00503-2</t>
  </si>
  <si>
    <t>SU2WX</t>
  </si>
  <si>
    <t>33526938</t>
  </si>
  <si>
    <t>WOS:000613593200001</t>
  </si>
  <si>
    <t>372</t>
  </si>
  <si>
    <t>Khan, S; Barve, KH; Kumar, MS</t>
  </si>
  <si>
    <t>Background: The only conclusive way to diagnose Alzheimer's is to carry out brain autopsy of the patient's brain tissue and ascertain whether the subject had Alzheimer's or any other form of dementia. However, due to the non-feasibility of such methods, to diagnose and conclude the conditions, medical practitioners use tests that examine a patient's mental ability.Objective: Accurate diagnosis at an early stage is the need of the hour for initiation of therapy. The cause for most Alzheimer's cases still remains unknown except where genetic distinctions have been observed. Thus, a standard drug regimen ensues in every Alzheimer's patient, irrespective of the cause, which may not always be beneficial in halting or reversing the disease progression. To provide a better life to such patients by suppressing existing symptoms, early diagnosis, curative therapy, site-specific delivery of drugs, and application of hyphenated methods like artificial intelligence need to be brought into the main field of Alzheimer's therapeutics.Methods: In this review, we have compiled existing hypotheses to explain the cause of the disease, and highlighted gene therapy, immunotherapy, peptidomimetics, metal chelators, probiotics and quantum dots as advancements in the existing strategies to manage Alzheimer's.Conclusion: Biomarkers, brain-imaging, and theranostics, along with artificial intelligence, are understood to be the future of the management of Alzheimer's.</t>
  </si>
  <si>
    <t>Khan, Sahil; Barve, Kalyani H.; Kumar, Maushmi S.</t>
  </si>
  <si>
    <t>Kumar, MS (corresponding author), SVKMS NMIMS, Shobhaben Pratapbhai Patel Sch Pharm &amp; Technol Ma, VL Mehta Rd, Mumbai 400056, Maharashtra, India.</t>
  </si>
  <si>
    <t>maushmiskumar@gmail.com</t>
  </si>
  <si>
    <t>[Khan, Sahil; Barve, Kalyani H.; Kumar, Maushmi S.] SVKMS NMIMS, Shobhaben Pratapbhai Patel Sch Pharm &amp; Technol Ma, VL Mehta Rd, Mumbai 400056, Maharashtra, India</t>
  </si>
  <si>
    <t>SVKM's NMIMS (Deemed to be University)</t>
  </si>
  <si>
    <t>Recent Advancements in Pathogenesis, Diagnostics and Treatment of Alzheimer's Disease</t>
  </si>
  <si>
    <t>CURRENT NEUROPHARMACOLOGY</t>
  </si>
  <si>
    <t>Artificial intelligence; biomarkers; brain imaging; mild cognitive impairment; theranostics; gene therapy</t>
  </si>
  <si>
    <t>C-REACTIVE PROTEIN; MILD COGNITIVE IMPAIRMENT; BETA-AMYLOID AGGREGATION; GRAPHENE QUANTUM DOTS; ARTIFICIAL-INTELLIGENCE; OXIDATIVE STRESS; MEMORY; HYPOTHESIS; INFLAMMATION; INHIBITORS</t>
  </si>
  <si>
    <t>kumar, Maushmi/ABA-6795-2021; , kalyani/I-1155-2019; Barve, Kalyani/I-1155-2019</t>
  </si>
  <si>
    <t>kumar, Maushmi/0000-0001-5097-3271; , kalyani/0000-0003-4166-3380</t>
  </si>
  <si>
    <t>770</t>
  </si>
  <si>
    <t>267</t>
  </si>
  <si>
    <t>BENTHAM SCIENCE PUBL LTD</t>
  </si>
  <si>
    <t>SHARJAH</t>
  </si>
  <si>
    <t>EXECUTIVE STE Y-2, PO BOX 7917, SAIF ZONE, 1200 BR SHARJAH, U ARAB EMIRATES</t>
  </si>
  <si>
    <t>1570-159X</t>
  </si>
  <si>
    <t>1875-6190</t>
  </si>
  <si>
    <t>CURR NEUROPHARMACOL</t>
  </si>
  <si>
    <t>Curr. Neuropharmacol.</t>
  </si>
  <si>
    <t>1125</t>
  </si>
  <si>
    <t>10.2174/1570159X18666200528142429</t>
  </si>
  <si>
    <t>http://dx.doi.org/10.2174/1570159X18666200528142429</t>
  </si>
  <si>
    <t>Neurosciences; Pharmacology &amp; Pharmacy</t>
  </si>
  <si>
    <t>Neurosciences &amp; Neurology; Pharmacology &amp; Pharmacy</t>
  </si>
  <si>
    <t>OS1PE</t>
  </si>
  <si>
    <t>32484110</t>
  </si>
  <si>
    <t>WOS:000589936500005</t>
  </si>
  <si>
    <t>Taye, MM</t>
  </si>
  <si>
    <t>In recent years, deep learning (DL) has been the most popular computational approach in the field of machine learning (ML), achieving exceptional results on a variety of complex cognitive tasks, matching or even surpassing human performance. Deep learning technology, which grew out of artificial neural networks (ANN), has become a big deal in computing because it can learn from data. The ability to learn enormous volumes of data is one of the benefits of deep learning. In the past few years, the field of deep learning has grown quickly, and it has been used successfully in a wide range of traditional fields. In numerous disciplines, including cybersecurity, natural language processing, bioinformatics, robotics and control, and medical information processing, deep learning has outperformed well-known machine learning approaches. In order to provide a more ideal starting point from which to create a comprehensive understanding of deep learning, also, this article aims to provide a more detailed overview of the most significant facets of deep learning, including the most current developments in the field. Moreover, this paper discusses the significance of deep learning and the various deep learning techniques and networks. Additionally, it provides an overview of real-world application areas where deep learning techniques can be utilised. We conclude by identifying possible characteristics for future generations of deep learning modelling and providing research suggestions. On the same hand, this article intends to provide a comprehensive overview of deep learning modelling that can serve as a resource for academics and industry people alike. Lastly, we provide additional issues and recommended solutions to assist researchers in comprehending the existing research gaps. Various approaches, deep learning architectures, strategies, and applications are discussed in this work.</t>
  </si>
  <si>
    <t>Taye, Mohammad Mustafa</t>
  </si>
  <si>
    <t>Taye, MM (corresponding author), Philadelphia Univ, Data Sci &amp; Artificial Intelligence, Amman 19392, Jordan.</t>
  </si>
  <si>
    <t>mtaye@philadelphia.edu.jo</t>
  </si>
  <si>
    <t>[Taye, Mohammad Mustafa] Philadelphia Univ, Data Sci &amp; Artificial Intelligence, Amman 19392, Jordan</t>
  </si>
  <si>
    <t>Philadelphia University Jordan</t>
  </si>
  <si>
    <t>Understanding of Machine Learning with Deep Learning: Architectures, Workflow, Applications and Future Directions</t>
  </si>
  <si>
    <t>COMPUTERS</t>
  </si>
  <si>
    <t>machine learning (ML); deep learning (DL); recurrent neural network (RNN); convolutional neural networks (CNN) artificial intelligence (AI)</t>
  </si>
  <si>
    <t>CONVOLUTIONAL NEURAL-NETWORKS; ALGORITHM</t>
  </si>
  <si>
    <t>Taye, Mohammad/0009-0000-9248-7423</t>
  </si>
  <si>
    <t>780</t>
  </si>
  <si>
    <t>172</t>
  </si>
  <si>
    <t>2073-431X</t>
  </si>
  <si>
    <t>Computers</t>
  </si>
  <si>
    <t>APR 25 2023</t>
  </si>
  <si>
    <t>10.3390/computers12050091</t>
  </si>
  <si>
    <t>http://dx.doi.org/10.3390/computers12050091</t>
  </si>
  <si>
    <t>Computer Science, Interdisciplinary Applications</t>
  </si>
  <si>
    <t>H7OK6</t>
  </si>
  <si>
    <t>WOS:000997810700001</t>
  </si>
  <si>
    <t>Zhou, T; Yuan, ZN; Weng, JY; Pei, DQ; Du, X; He, C; Lai, PL</t>
  </si>
  <si>
    <t>Mesenchymal stromal cells (MSCs), also known as mesenchymal stem cells, have been intensely investigated for clinical applications within the last decades. However, the majority of registered clinical trials applying MSC therapy for diverse human diseases have fallen short of expectations, despite the encouraging pre-clinical outcomes in varied animal disease models. This can be attributable to inconsistent criteria for MSCs identity across studies and their inherited heterogeneity. Nowadays, with the emergence of advanced biological techniques and substantial improvements in bio-engineered materials, strategies have been developed to overcome clinical challenges in MSC application. Here in this review, we will discuss the major challenges of MSC therapies in clinical application, the factors impacting the diversity of MSCs, the potential approaches that modify MSC products with the highest therapeutic potential, and finally the usage of MSCs for COVID-19 pandemic disease.</t>
  </si>
  <si>
    <t>Zhou, Tian; Yuan, Zenan; Weng, Jianyu; Pei, Duanqing; Du, Xin; He, Chang; Lai, Peilong</t>
  </si>
  <si>
    <t>Du, X; Lai, PL (corresponding author), Guangdong Acad Med Sci, Guangdong Prov Peoples Hosp, Dept Hematol, Guangzhou 510080, Peoples R China.; He, C (corresponding author), Sun Yat Sen Univ, Zhongshan Ophthalm Ctr, State Key Lab Ophthalmol, Guangzhou 510060, Peoples R China.</t>
  </si>
  <si>
    <t>hech33@mail.sysu.edu.cn; miyadu@hotmail.com; lai_peilong@163.com</t>
  </si>
  <si>
    <t>National Key R&amp;D Program of China [2017YFE0131600]; National Natural Science Foundation of China [81870121, 81700825, 81671585, 82070176]; Natural Science Foundation of Guangdong Province, China [2019B020236004, 2019B151502006]; Science and Technology Planning Project of Guangdong Province, China [2017B020230004]; Science and Technology Program of Guangzhou, China [201906010076, 201803040005]</t>
  </si>
  <si>
    <t>National Key R&amp;D Program of China (National Key Research &amp; Development Program of China); National Natural Science Foundation of China (National Natural Science Foundation of China (NSFC)); Natural Science Foundation of Guangdong Province, China (National Natural Science Foundation of Guangdong Province); Science and Technology Planning Project of Guangdong Province, China (Science and Technology Planning Project of Guangdong Province); Science and Technology Program of Guangzhou, China (Science &amp; Technology Programme of Guangzhou)</t>
  </si>
  <si>
    <t>This work was supported by the National Key R&amp;D Program of China (No. 2017YFE0131600), National Natural Science Foundation of China (Nos. 81870121, 81700825, 81671585, 82070176), Natural Science Foundation of Guangdong Province, China (Nos. 2019B020236004, 2019B151502006), Science and Technology Planning Project of Guangdong Province, China (No. 2017B020230004), and Science and Technology Program of Guangzhou, China (Nos. 201906010076, 201803040005).</t>
  </si>
  <si>
    <t>[Zhou, Tian; Weng, Jianyu; Du, Xin; Lai, Peilong] Guangdong Acad Med Sci, Guangdong Prov Peoples Hosp, Dept Hematol, Guangzhou 510080, Peoples R China; [Zhou, Tian; He, Chang] Sun Yat Sen Univ, Zhongshan Ophthalm Ctr, State Key Lab Ophthalmol, Guangzhou 510060, Peoples R China; [Yuan, Zenan] Sun Yat Sen Univ, Affiliated Hosp 3, Dept Hepat Surg, Guangzhou 510630, Peoples R China; [Yuan, Zenan] Sun Yat Sen Univ, Affiliated Hosp 3, Liver Transplantat Ctr, Guangzhou 510630, Peoples R China; [Pei, Duanqing] Univ Chinese Acad Sci, Guangdong Prov Key Lab Stem Cell &amp; Regenerat Med, South China Inst Stem Cell Biol &amp; Regenerat Med, Guangzhou Inst Biomed &amp; Hlth,Chinese Acad Sci, Guangzhou 510530, Peoples R China</t>
  </si>
  <si>
    <t>Guangdong Academy of Medical Sciences &amp; Guangdong General Hospital; Southern Medical University - China; Sun Yat Sen University; Sun Yat Sen University; Sun Yat Sen University; Chinese Academy of Sciences; University of Chinese Academy of Sciences, CAS; Guangzhou Institute of Biomedicine &amp; Health, CAS</t>
  </si>
  <si>
    <t>Challenges and advances in clinical applications of mesenchymal stromal cells</t>
  </si>
  <si>
    <t>JOURNAL OF HEMATOLOGY &amp; ONCOLOGY</t>
  </si>
  <si>
    <t>Mesenchymal stromal cells; Clinical applications; Heterogeneity; Artificial intelligence (AI); Extracellular vesicles; COVID-19</t>
  </si>
  <si>
    <t>CANCER STEM-CELLS; BONE-MARROW; EXTRACELLULAR VESICLES; STEM/STROMAL CELLS; CHONDROGENIC DIFFERENTIATION; MYOCARDIAL-INFARCTION; MITOTIC CHECKPOINT; OXIDATIVE STRESS; CYCLIN A2; HYDROGEL</t>
  </si>
  <si>
    <t>Weng, Jianyu/0000-0001-5446-292X; Zhou, Tian/0000-0002-7871-8798</t>
  </si>
  <si>
    <t>625</t>
  </si>
  <si>
    <t>691</t>
  </si>
  <si>
    <t>1756-8722</t>
  </si>
  <si>
    <t>J HEMATOL ONCOL</t>
  </si>
  <si>
    <t>J. Hematol. Oncol.</t>
  </si>
  <si>
    <t>FEB 12 2021</t>
  </si>
  <si>
    <t>10.1186/s13045-021-01037-x</t>
  </si>
  <si>
    <t>http://dx.doi.org/10.1186/s13045-021-01037-x</t>
  </si>
  <si>
    <t>Oncology; Hematology</t>
  </si>
  <si>
    <t>QG4IG</t>
  </si>
  <si>
    <t>33579329</t>
  </si>
  <si>
    <t>WOS:000617550400001</t>
  </si>
  <si>
    <t>Zhang, P; Zhang, DF; Zhou, W; Wang, L; Wang, BY; Zhang, TY; Li, S</t>
  </si>
  <si>
    <t>Network pharmacology (NP) provides a new methodological perspective for understanding traditional medicine from a holistic perspective, giving rise to frontiers such as traditional Chinese medicine network pharmacology (TCM-NP). With the development of artificial intelligence (AI) technology, it is key for NP to develop network-based AI methods to reveal the treatment mechanism of complex diseases from massive omics data. In this review, focusing on the TCM-NP, we summarize involved AI methods into three categories: network relationship mining, network target positioning and network target navigating, and present the typical application of TCM-NP in uncovering biological basis and clinical value of Cold/Hot syndromes. Collectively, our review provides researchers with an innovative overview of the methodological progress of NP and its application in TCM from the AI perspective.</t>
  </si>
  <si>
    <t>Zhang, Peng; Zhang, Dingfan; Zhou, Wuai; Wang, Lan; Wang, Boyang; Zhang, Tingyu; Li, Shao</t>
  </si>
  <si>
    <t>Li, S (corresponding author), Tsinghua Univ, Beijing, Peoples R China.</t>
  </si>
  <si>
    <t>zhouwuai@yeah.net; zpzx@mail.tsinghua.edu.cn; zhangdf21@mails.tsinghua.edu.cn; ty-zhang22@mails.tsinghua.edu.cn; shaoli@mail.tsinghua.edu.cn; wang-by20@mails.tsinghua.edu.cn; wanglan20@mails.tsinghua.edu.cn</t>
  </si>
  <si>
    <t>National Natural Science Foundation of China [T2341008, 82305047]; Tsinghua-Toyota Joint Research Fund; Anhui Province Traditional Chinese Medicine Science and Technology Research Project [202303a07020001]</t>
  </si>
  <si>
    <t>National Natural Science Foundation of China (National Natural Science Foundation of China (NSFC)); Tsinghua-Toyota Joint Research Fund; Anhui Province Traditional Chinese Medicine Science and Technology Research Project</t>
  </si>
  <si>
    <t>This work is supported by research grants from the National Natural Science Foundation of China [T2341008, 82305047] and sponsored by Tsinghua-Toyota Joint Research Fund, and Anhui Province Traditional Chinese Medicine Science and Technology Research Project [202303a07020001].</t>
  </si>
  <si>
    <t>[Zhang, Peng; Li, Shao] Tsinghua Univ, Beijing, Peoples R China; [Zhou, Wuai] China Mobile Informat Syst Integrat Co Ltd, Beijing, Peoples R China; [Li, Shao] Royal Soc Chem Biol, London, England</t>
  </si>
  <si>
    <t>Tsinghua University</t>
  </si>
  <si>
    <t>Network pharmacology: towards the artificial intelligence-based precision traditional Chinese medicine</t>
  </si>
  <si>
    <t>network pharmacology; traditional Chinese medicine; network target; artificial intelligence; deep learning</t>
  </si>
  <si>
    <t>DISEASE; CELL; REPRESENTATION; HETEROGENEITY; PREDICTION; CONTEXT; GENES</t>
  </si>
  <si>
    <t>Li, Shao/GPX-5473-2022; Zhang, Dingfan/HGA-0595-2022; WANG, LAN/OLP-6057-2025; Peng, Zhang/IUP-6492-2023</t>
  </si>
  <si>
    <t>Wang, Boyang/0000-0002-5514-7339</t>
  </si>
  <si>
    <t>614</t>
  </si>
  <si>
    <t>672</t>
  </si>
  <si>
    <t>117</t>
  </si>
  <si>
    <t>957</t>
  </si>
  <si>
    <t>bbad518</t>
  </si>
  <si>
    <t>10.1093/bib/bbad518</t>
  </si>
  <si>
    <t>http://dx.doi.org/10.1093/bib/bbad518</t>
  </si>
  <si>
    <t>JL6Y9</t>
  </si>
  <si>
    <t>38197310</t>
  </si>
  <si>
    <t>WOS:001173375300038</t>
  </si>
  <si>
    <t>Chamola, V; Hassija, V; Gupta, V; Guizani, M</t>
  </si>
  <si>
    <t>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 The scarcity of resources to endure the COVID-19 outbreak combined with the fear of overburdened healthcare systems has forced a majority of these countries into a state of partial or complete lockdown. The number of laboratory-confirmed coronavirus cases has been increasing at an alarming rate throughout the world, with reportedly more than 3 million confirmed cases as of 30 April 2020. Adding to these woes, numerous false reports, misinformation, and unsolicited fears in regards to coronavirus, are being circulated regularly since the outbreak of the COVID-19. In response to such acts, we draw on various reliable sources to present a detailed review of all the major aspects associated with the COVID-19 pandemic. In addition to the direct health implications associated with the outbreak of COVID-19, this study highlights its impact on the global economy. In drawing things to a close, we explore the use of technologies such as the Internet of Things (IoT), Unmanned Aerial Vehicles (UAVs), blockchain, Artificial Intelligence (AI), and 5G, among others, to help mitigate the impact of COVID-19 outbreak.</t>
  </si>
  <si>
    <t>Chamola, Vinay; Hassija, Vikas; Gupta, Vatsal; Guizani, Mohsen</t>
  </si>
  <si>
    <t>Guizani, M (corresponding author), Qatar Univ, Dept Comp Sci &amp; Engn, Doha, Qatar.</t>
  </si>
  <si>
    <t>mguizani@ieee.org</t>
  </si>
  <si>
    <t>Qatar National Research Fund (a member of the Qatar Foundation) [NPRP10-1205-160012]</t>
  </si>
  <si>
    <t>Qatar National Research Fund (a member of the Qatar Foundation) (Qatar National Research Fund (QNRF), Qatar Foundation (QF))</t>
  </si>
  <si>
    <t>This work was supported by the Qatar National Research Fund (a member of the Qatar Foundation) under Grant NPRP10-1205-160012.</t>
  </si>
  <si>
    <t>[Chamola, Vinay] Birla Inst Technol &amp; Sci Bits, Dept Elect &amp; Elect Engn, Pilani 333031, Rajasthan, India; [Hassija, Vikas; Gupta, Vatsal] Jaypee Inst Informat Technol, Dept CSE &amp; II, Noida 201309, India; [Guizani, Mohsen] Qatar Univ, Dept Comp Sci &amp; Engn, Doha, Qatar</t>
  </si>
  <si>
    <t>Birla Institute of Technology &amp; Science Pilani (BITS Pilani); Jaypee Institute of Information Technology (JIIT); Qatar University</t>
  </si>
  <si>
    <t>A Comprehensive Review of the COVID-19 Pandemic and the Role of IoT, Drones, AI, Blockchain, and 5G in Managing its Impact</t>
  </si>
  <si>
    <t>Coronavirus; COVID-19; pandemic; transmission stages; global economic impact; UAVs for disaster management; Blockchain; IoMT applications; IoT; AI; 5G</t>
  </si>
  <si>
    <t>CORONAVIRUS; PREDICTION; FRAMEWORK; INTERNET; ARBIDOL</t>
  </si>
  <si>
    <t>Gupta, Vatsal/ABC-9125-2020; hassija, vikas/AAY-3020-2021; Mohsen, Guizani/D-9103-2018</t>
  </si>
  <si>
    <t>Chamola, Vinay/0000-0002-6730-3060; Gupta, Vatsal/0000-0001-9225-7193; hassija, vikas/0009-0003-9023-1661</t>
  </si>
  <si>
    <t>400</t>
  </si>
  <si>
    <t>90225</t>
  </si>
  <si>
    <t>90265</t>
  </si>
  <si>
    <t>10.1109/ACCESS.2020.2992341</t>
  </si>
  <si>
    <t>http://dx.doi.org/10.1109/ACCESS.2020.2992341</t>
  </si>
  <si>
    <t>LV8XZ</t>
  </si>
  <si>
    <t>WOS:000538727700107</t>
  </si>
  <si>
    <t>374</t>
  </si>
  <si>
    <t>Wang, GC; Zhao, D; Spring, DJ; DePinho, RA</t>
  </si>
  <si>
    <t>Despite the high long-term survival in localized prostate cancer, metastatic prostate cancer remains largely incurable even after intensive multimodal therapy. The lethality of advanced disease is driven by the lack of therapeutic regimens capable of generating durable responses in the setting of extreme tumor heterogeneity on the genetic and cell biological levels. Here, we review available prostate cancer model systems, the prostate cancer genome atlas, cellular and functional heterogeneity in the tumor microenvironment, tumor-intrinsic and tumor-extrinsic mechanisms underlying therapeutic resistance, and technological advances focused on disease detection and management. These advances, along with an improved understanding of the adaptive responses to conventional cancer therapies, anti-androgen therapy, and immunotherapy, are catalyzing development of more effective therapeutic strategies for advanced disease. In particular, knowledge of the heterotypic interactions between and coevolution of cancer and host cells in the tumor microenvironment has illuminated novel therapeutic combinations with a strong potential for more durable therapeutic responses and eventual cures for advanced disease. Improved disease management will also benefit from artificial intelligence-based expert decision support systems for proper standard of care, prognostic determinant biomarkers to minimize overtreatment of localized disease, and new standards of care accelerated by next-generation adaptive clinical trials.</t>
  </si>
  <si>
    <t>Wang, Guocan; Zhao, Di; Spring, Denise J.; DePinho, Ronald A.</t>
  </si>
  <si>
    <t>Wang, GC (corresponding author), Univ Texas MD Anderson Canc Ctr, Dept Genitourinary Med Oncol, Houston, TX 77030 USA.; DePinho, RA (corresponding author), Univ Texas MD Anderson Canc Ctr, Dept Canc Biol, Houston, TX 77030 USA.</t>
  </si>
  <si>
    <t>gwang6@mdanderson.org; rdepinho@mdanderson.org</t>
  </si>
  <si>
    <t>Prostate Cancer Moon Shot at the University of Texas MD Anderson Cancer Center; Institutional Research Grant (IRG) Program at the University of Texas MD Anderson Cancer Center; University of Texas Star Award; National Institutes of Health [R00CA194289]; Prostate Cancer Foundation [17YOUN18]; MD Anderson's Prostate Cancer Moon Shot</t>
  </si>
  <si>
    <t>Prostate Cancer Moon Shot at the University of Texas MD Anderson Cancer Center; Institutional Research Grant (IRG) Program at the University of Texas MD Anderson Cancer Center; University of Texas Star Award; National Institutes of Health (United States Department of Health &amp; Human Services, National Institutes of Health (NIH) - USA); Prostate Cancer Foundation (Prostate Cancer Foundation); MD Anderson's Prostate Cancer Moon Shot</t>
  </si>
  <si>
    <t>We thank Christopher J. Logothetis, Filippo G. Giancotti, and Prasenjit Dey for critical reading of the manuscript and insightful comments. G.W. is supported by the Prostate Cancer Moon Shot and Institutional Research Grant (IRG) Program at the University of Texas MD Anderson Cancer Center. G.W. is also supported by the University of Texas Star Award and National Institutes of Health grant R00CA194289. D.Z. is supported by Prostate Cancer Foundation Young Investigator Award 17YOUN18. R.A.D. is supported by MD Anderson's Prostate Cancer Moon Shot.</t>
  </si>
  <si>
    <t>[Wang, Guocan] Univ Texas MD Anderson Canc Ctr, Dept Genitourinary Med Oncol, Houston, TX 77030 USA; [Zhao, Di; Spring, Denise J.; DePinho, Ronald A.] Univ Texas MD Anderson Canc Ctr, Dept Canc Biol, Houston, TX 77030 USA</t>
  </si>
  <si>
    <t>University of Texas System; UTMD Anderson Cancer Center; University of Texas System; UTMD Anderson Cancer Center</t>
  </si>
  <si>
    <t>Genetics and biology of prostate cancer</t>
  </si>
  <si>
    <t>GENES &amp; DEVELOPMENT</t>
  </si>
  <si>
    <t>prostate cancer; therapy resistance; tumor microenvironment</t>
  </si>
  <si>
    <t>REGULATORY T-CELLS; CIRCULATING TUMOR-CELLS; GENOME-WIDE ASSOCIATION; EPITHELIAL-MESENCHYMAL TRANSITION; ANDROGEN-DEPRIVATION THERAPY; PATIENT-DERIVED XENOGRAFTS; ISUP CONSENSUS CONFERENCE; RNA EXPRESSION SIGNATURE; LUMINAL PROGENITOR CELLS; ENGINEERED MOUSE MODELS</t>
  </si>
  <si>
    <t>Zhao, Di/QTU-0907-2026</t>
  </si>
  <si>
    <t>DePinho, Ronald/0000-0002-5625-577X; Spring, Denise J/0000-0002-4593-0901; Zhao, Di/0000-0001-6253-7127</t>
  </si>
  <si>
    <t>743</t>
  </si>
  <si>
    <t>116</t>
  </si>
  <si>
    <t>COLD SPRING HARBOR LAB PRESS, PUBLICATIONS DEPT</t>
  </si>
  <si>
    <t>COLD SPRING HARBOR</t>
  </si>
  <si>
    <t>1 BUNGTOWN RD, COLD SPRING HARBOR, NY 11724 USA</t>
  </si>
  <si>
    <t>0890-9369</t>
  </si>
  <si>
    <t>1549-5477</t>
  </si>
  <si>
    <t>GENE DEV</t>
  </si>
  <si>
    <t>Genes Dev.</t>
  </si>
  <si>
    <t>SEP 1 2018</t>
  </si>
  <si>
    <t>17-18</t>
  </si>
  <si>
    <t>1105</t>
  </si>
  <si>
    <t>10.1101/gad.315739.118</t>
  </si>
  <si>
    <t>http://dx.doi.org/10.1101/gad.315739.118</t>
  </si>
  <si>
    <t>Cell Biology; Developmental Biology; Genetics &amp; Heredity</t>
  </si>
  <si>
    <t>GS3YV</t>
  </si>
  <si>
    <t>30181359</t>
  </si>
  <si>
    <t>WOS:000443566500002</t>
  </si>
  <si>
    <t>Liu, SF; Wang, Y; Yang, X; Lei, BY; Liu, L; Li, SX; Ni, D; Wang, TF</t>
  </si>
  <si>
    <t>Ultrasound (US) has become one of the most commonly performed imaging modalities in clinical practice. It is a rapidly evolving technology with certain advantages and with unique challenges that include low imaging quality and high variability. From the perspective of image analysis, it is essential to develop advanced automatic US image analysis methods to assist in US diagnosis and/or to make such assessment more objective and accurate. Deep learning has recently emerged as the leading machine learning tool in various research fields, and especially in general imaging analysis and computer vision. Deep learning also shows huge potential for various automatic US image analysis tasks. This review first briefly introduces several popular deep learning architectures, and then summarizes and thoroughly discusses their applications in various specific tasks in US image analysis, such as classification, detection, and segmentation. Finally, the open challenges and potential trends of the future application of deep learning in medical US image analysis are discussed. (C) 2019 THE AUTHORS. Published by Elsevier LTD on behalf of Chinese Academy of Engineering and Higher Education Press Limited Company.</t>
  </si>
  <si>
    <t>Liu, Shengfeng; Wang, Yi; Yang, Xin; Lei, Baiying; Liu, Li; Li, Shawn Xiang; Ni, Dong; Wang, Tianfu</t>
  </si>
  <si>
    <t>Ni, D; Wang, TF (corresponding author), Shenzhen Univ, Natl Reg Key Technol Engn Lab Med Ultrasound, Shenzhen 518060, Peoples R China.; Ni, D; Wang, TF (corresponding author), Shenzhen Univ, Guangdong Prov Key Lab Biomed Measurements &amp; Ultr, Shenzhen 518060, Peoples R China.; Ni, D; Wang, TF (corresponding author), Shenzhen Univ, Sch Biomed Engn, Hlth Sci Ctr, Shenzhen 518060, Peoples R China.</t>
  </si>
  <si>
    <t>nidong@szu.edu.cn; tfwang@szu.edu.cn</t>
  </si>
  <si>
    <t>National Natural Science Foundation of China [61571304, 81571758, 61701312]; National Key Research and Development Program of China [2016YFC0104703]; Medical Scientific Research Foundation of Guangdong Province, China [B2018031]; Shenzhen Peacock Plan [KQTD2016053112051497]</t>
  </si>
  <si>
    <t>National Natural Science Foundation of China (National Natural Science Foundation of China (NSFC)); National Key Research and Development Program of China (National Key Research &amp; Development Program of China); Medical Scientific Research Foundation of Guangdong Province, China; Shenzhen Peacock Plan</t>
  </si>
  <si>
    <t>This work was supported in part by the National Natural Science Foundation of China (61571304, 81571758, and 61701312), in part by the National Key Research and Development Program of China (2016YFC0104703), in part by the Medical Scientific Research Foundation of Guangdong Province, China (B2018031), and in part by the Shenzhen Peacock Plan (KQTD2016053112051497).</t>
  </si>
  <si>
    <t>[Liu, Shengfeng; Wang, Yi; Lei, Baiying; Liu, Li; Li, Shawn Xiang; Ni, Dong; Wang, Tianfu] Shenzhen Univ, Natl Reg Key Technol Engn Lab Med Ultrasound, Shenzhen 518060, Peoples R China; [Liu, Shengfeng; Wang, Yi; Lei, Baiying; Liu, Li; Li, Shawn Xiang; Ni, Dong; Wang, Tianfu] Shenzhen Univ, Guangdong Prov Key Lab Biomed Measurements &amp; Ultr, Shenzhen 518060, Peoples R China; [Liu, Shengfeng; Wang, Yi; Lei, Baiying; Liu, Li; Li, Shawn Xiang; Ni, Dong; Wang, Tianfu] Shenzhen Univ, Sch Biomed Engn, Hlth Sci Ctr, Shenzhen 518060, Peoples R China; [Yang, Xin] Chinese Univ Hong Kong, Dept Comp Sci &amp; Engn, Hong Kong, Peoples R China</t>
  </si>
  <si>
    <t>Shenzhen University; Shenzhen University; Shenzhen University; Chinese University of Hong Kong</t>
  </si>
  <si>
    <t>Deep Learning in Medical Ultrasound Analysis: A Review</t>
  </si>
  <si>
    <t>ENGINEERING</t>
  </si>
  <si>
    <t>Deep learning; Medical ultrasound analysis; Classification; Segmentation; Detection</t>
  </si>
  <si>
    <t>CONVOLUTIONAL NEURAL-NETWORKS; STANDARD PLANE LOCALIZATION; THYROID-NODULE CLASSIFICATION; LEFT-VENTRICLE; AUTOMATIC SEGMENTATION; IMAGE SEGMENTATION; BREAST-LESIONS; 1ST TRIMESTER; ARCHITECTURES; DIAGNOSIS</t>
  </si>
  <si>
    <t>Lei, Baiying/GQO-8422-2022; liu, shengfeng/N-2303-2018</t>
  </si>
  <si>
    <t>刘, 盛锋/0000-0002-6902-3329</t>
  </si>
  <si>
    <t>601</t>
  </si>
  <si>
    <t>706</t>
  </si>
  <si>
    <t>2095-8099</t>
  </si>
  <si>
    <t>2096-0026</t>
  </si>
  <si>
    <t>ENGINEERING-PRC</t>
  </si>
  <si>
    <t>APR 2019</t>
  </si>
  <si>
    <t>261</t>
  </si>
  <si>
    <t>10.1016/j.eng.2018.11.020</t>
  </si>
  <si>
    <t>http://dx.doi.org/10.1016/j.eng.2018.11.020</t>
  </si>
  <si>
    <t>Engineering, Multidisciplinary</t>
  </si>
  <si>
    <t>HT7OB</t>
  </si>
  <si>
    <t>WOS:000464753200011</t>
  </si>
  <si>
    <t>Liu, XB; Song, LP; Liu, S; Zhang, YD</t>
  </si>
  <si>
    <t>As an emerging biomedical image processing technology, medical image segmentation has made great contributions to sustainable medical care. Now it has become an important research direction in the field of computer vision. With the rapid development of deep learning, medical image processing based on deep convolutional neural networks has become a research hotspot. This paper focuses on the research of medical image segmentation based on deep learning. First, the basic ideas and characteristics of medical image segmentation based on deep learning are introduced. By explaining its research status and summarizing the three main methods of medical image segmentation and their own limitations, the future development direction is expanded. Based on the discussion of different pathological tissues and organs, the specificity between them and their classic segmentation algorithms are summarized. Despite the great achievements of medical image segmentation in recent years, medical image segmentation based on deep learning has still encountered difficulties in research. For example, the segmentation accuracy is not high, the number of medical images in the data set is small and the resolution is low. The inaccurate segmentation results are unable to meet the actual clinical requirements. Aiming at the above problems, a comprehensive review of current medical image segmentation methods based on deep learning is provided to help researchers solve existing problems.</t>
  </si>
  <si>
    <t>Liu, Xiangbin; Song, Liping; Liu, Shuai; Zhang, Yudong</t>
  </si>
  <si>
    <t>Liu, S (corresponding author), Hunan Normal Univ, Hunan Prov Key Lab Intelligent Comp &amp; Language In, Changsha 410000, Peoples R China.; Liu, S (corresponding author), Hunan Normal Univ, Coll Informat Sci &amp; Engn, Changsha 410000, Peoples R China.; Liu, S (corresponding author), Xiangjiang Inst Artificial Intelligence, Changsha 410000, Peoples R China.; Zhang, YD (corresponding author), Univ Leicester, Sch Informat, Leicester LE1 7RH, Leics, England.</t>
  </si>
  <si>
    <t>liushuai@hunnu.edu.cn; song@smail.hunnu.edu.cn; yudongzhang@ieee.org; xbliufrank@hunnu.edu.cn</t>
  </si>
  <si>
    <t>Natural Science Foundation of Hunan Province [2020JJ4434]; Key Scientific Research Projects of Department of Education of Hunan Province [19A312]; Hunan Provincial Science &amp; Technology Project Foundation [2018TP1018, 2018RS3065]; Scientific Research Fund of Hunan Provincial Education [14C0710]</t>
  </si>
  <si>
    <t>Natural Science Foundation of Hunan Province (Natural Science Foundation of Hunan Province); Key Scientific Research Projects of Department of Education of Hunan Province; Hunan Provincial Science &amp; Technology Project Foundation; Scientific Research Fund of Hunan Provincial Education</t>
  </si>
  <si>
    <t>This research was funded by the Natural Science Foundation of Hunan Province with No.2020JJ4434, Key Scientific Research Projects of Department of Education of Hunan Province with No.19A312; Hunan Provincial Science &amp; Technology Project Foundation (2018TP1018, 2018RS3065); Scientific Research Fund of Hunan Provincial Education(14C0710).</t>
  </si>
  <si>
    <t>[Liu, Xiangbin; Song, Liping; Liu, Shuai] Hunan Normal Univ, Hunan Prov Key Lab Intelligent Comp &amp; Language In, Changsha 410000, Peoples R China; [Liu, Xiangbin; Song, Liping; Liu, Shuai] Hunan Normal Univ, Coll Informat Sci &amp; Engn, Changsha 410000, Peoples R China; [Liu, Xiangbin; Song, Liping; Liu, Shuai] Xiangjiang Inst Artificial Intelligence, Changsha 410000, Peoples R China; [Zhang, Yudong] Univ Leicester, Sch Informat, Leicester LE1 7RH, Leics, England</t>
  </si>
  <si>
    <t>Hunan Normal University; Hunan Normal University; University of Leicester</t>
  </si>
  <si>
    <t>A Review of Deep-Learning-Based Medical Image Segmentation Methods</t>
  </si>
  <si>
    <t>SUSTAINABILITY</t>
  </si>
  <si>
    <t>image segmentation; deep learning; convolutional neural network; medical image</t>
  </si>
  <si>
    <t>SEMANTIC SEGMENTATION; ALGORITHMS</t>
  </si>
  <si>
    <t>Liu, Shuai/P-3939-2017; Zhang, Yudong/I-7633-2013</t>
  </si>
  <si>
    <t>Liu, Shuai/0000-0001-9909-0664; Zhang, Yudong/0000-0002-4870-1493</t>
  </si>
  <si>
    <t>599</t>
  </si>
  <si>
    <t>709</t>
  </si>
  <si>
    <t>57</t>
  </si>
  <si>
    <t>1260</t>
  </si>
  <si>
    <t>2071-1050</t>
  </si>
  <si>
    <t>SUSTAINABILITY-BASEL</t>
  </si>
  <si>
    <t>Sustainability</t>
  </si>
  <si>
    <t>1224</t>
  </si>
  <si>
    <t>10.3390/su13031224</t>
  </si>
  <si>
    <t>http://dx.doi.org/10.3390/su13031224</t>
  </si>
  <si>
    <t>Green &amp; Sustainable Science &amp; Technology; Environmental Sciences; Environmental Studies</t>
  </si>
  <si>
    <t>Science &amp; Technology - Other Topics; Environmental Sciences &amp; Ecology</t>
  </si>
  <si>
    <t>QD6HP</t>
  </si>
  <si>
    <t>WOS:000615617000001</t>
  </si>
  <si>
    <t>104</t>
  </si>
  <si>
    <t>Challen, R; Denny, J; Pitt, M; Gompels, L; Edwards, T; Tsaneva-Atanasova, K</t>
  </si>
  <si>
    <t>Challen, Robert; Denny, Joshua; Pitt, Martin; Gompels, Luke; Edwards, Tom; Tsaneva-Atanasova, Krasimira</t>
  </si>
  <si>
    <t>Challen, R (corresponding author), Univ Exeter, Coll Engn Math &amp; Phys Sci, EPSRC Ctr Predict Modelling Healthcare, Exeter EX4 4QF, Devon, England.</t>
  </si>
  <si>
    <t>rc538@exeter.ac.uk</t>
  </si>
  <si>
    <t>Engineering and Physical Sciences Research Council [EP/N014391/1]; Engineering and Physical Sciences Research Council [EP/N014391/1] Funding Source: researchfish; EPSRC [EP/N014391/1] Funding Source: UKRI</t>
  </si>
  <si>
    <t>Engineering and Physical Sciences Research Council (UK Research &amp; Innovation (UKRI), Engineering &amp; Physical Sciences Research Council (EPSRC)); Engineering and Physical Sciences Research Council (UK Research &amp; Innovation (UKRI), Engineering &amp; Physical Sciences Research Council (EPSRC)); EPSRC (UK Research &amp; Innovation (UKRI), Engineering &amp; Physical Sciences Research Council (EPSRC))</t>
  </si>
  <si>
    <t>This article was funded by Engineering and Physical Sciences Research Council and the grant number is EP/N014391/1.</t>
  </si>
  <si>
    <t>[Challen, Robert; Tsaneva-Atanasova, Krasimira] Univ Exeter, Coll Engn Math &amp; Phys Sci, EPSRC Ctr Predict Modelling Healthcare, Exeter EX4 4QF, Devon, England; [Challen, Robert; Gompels, Luke; Edwards, Tom] Taunton &amp; Somerset NHS Fdn Trust, Taunton, Somerset, England; [Denny, Joshua] Vanderbilt Univ, Med Ctr, Dept Biomed Informat, Nashville, TN USA; [Denny, Joshua] Vanderbilt Univ, Med Ctr, Dept Med, Nashville, TN USA; [Pitt, Martin] Univ Exeter, Sch Med, NIHR CLAHRC South West Peninsula, St Lukes Campus, Exeter, Devon, England</t>
  </si>
  <si>
    <t>University of Exeter; UK Research &amp; Innovation (UKRI); Engineering &amp; Physical Sciences Research Council (EPSRC); Vanderbilt University; Vanderbilt University; University of Exeter</t>
  </si>
  <si>
    <t>Artificial intelligence, bias and clinical safety</t>
  </si>
  <si>
    <t>BMJ QUALITY &amp; SAFETY</t>
  </si>
  <si>
    <t>DECISION-SUPPORT-SYSTEMS; PHYSICIAN ORDER ENTRY; VALIDATION; ERRORS</t>
  </si>
  <si>
    <t>Tsaneva-Atanasova, Krasimira/AAG-6766-2019; Denny, Josh/AAL-3359-2021</t>
  </si>
  <si>
    <t>Tsaneva-Atanasova, Krasimira/0000-0002-6294-7051; Challen, Robert/0000-0002-5504-7768</t>
  </si>
  <si>
    <t>598</t>
  </si>
  <si>
    <t>444</t>
  </si>
  <si>
    <t>2044-5415</t>
  </si>
  <si>
    <t>2044-5423</t>
  </si>
  <si>
    <t>BMJ QUAL SAF</t>
  </si>
  <si>
    <t>BMJ Qual. Saf.</t>
  </si>
  <si>
    <t>MAR 2019</t>
  </si>
  <si>
    <t>231</t>
  </si>
  <si>
    <t>237</t>
  </si>
  <si>
    <t>10.1136/bmjqs-2018-008370</t>
  </si>
  <si>
    <t>http://dx.doi.org/10.1136/bmjqs-2018-008370</t>
  </si>
  <si>
    <t>ID7FW</t>
  </si>
  <si>
    <t>30636200</t>
  </si>
  <si>
    <t>WOS:000471848700010</t>
  </si>
  <si>
    <t>Vora, LK; Gholap, AD; Jetha, K; Thakur, RRS; Solanki, HK; Chavda, VP</t>
  </si>
  <si>
    <t>Artificial intelligence (AI) has emerged as a powerful tool that harnesses anthropomorphic knowledge and provides expedited solutions to complex challenges. Remarkable advancements in AI technology and machine learning present a transformative opportunity in the drug discovery, formulation, and testing of pharmaceutical dosage forms. By utilizing AI algorithms that analyze extensive biological data, including genomics and proteomics, researchers can identify disease-associated targets and predict their interactions with potential drug candidates. This enables a more efficient and targeted approach to drug discovery, thereby increasing the likelihood of successful drug approvals. Furthermore, AI can contribute to reducing development costs by optimizing research and development processes. Machine learning algorithms assist in experimental design and can predict the pharmacokinetics and toxicity of drug candidates. This capability enables the prioritization and optimization of lead compounds, reducing the need for extensive and costly animal testing. Personalized medicine approaches can be facilitated through AI algorithms that analyze real-world patient data, leading to more effective treatment outcomes and improved patient adherence. This comprehensive review explores the wide-ranging applications of AI in drug discovery, drug delivery dosage form designs, process optimization, testing, and pharmacokinetics/pharmacodynamics (PK/PD) studies. This review provides an overview of various AI-based approaches utilized in pharmaceutical technology, highlighting their benefits and drawbacks. Nevertheless, the continued investment in and exploration of AI in the pharmaceutical industry offer exciting prospects for enhancing drug development processes and patient care.</t>
  </si>
  <si>
    <t>Vora, Lalitkumar K.; Gholap, Amol D.; Jetha, Keshava; Thakur, Raghu Raj Singh; Solanki, Hetvi K.; Chavda, Vivek P.</t>
  </si>
  <si>
    <t>Vora, LK (corresponding author), Queens Univ Belfast, Sch Pharm, 97 Lisburn Rd, Belfast BT9 7BL, North Ireland.; Chavda, VP (corresponding author), L M Coll Pharm, Dept Pharmaceut &amp; Pharmaceut Technol, Ahmadabad 380009, Gujarat, India.</t>
  </si>
  <si>
    <t>vivek7chavda@gmail.com; amolg@sjipr.edu.in; r.thakur@qub.ac.uk; l.vora@qub.ac.uk; keshavjetha@gmail.com</t>
  </si>
  <si>
    <t>[Vora, Lalitkumar K.; Thakur, Raghu Raj Singh] Queens Univ Belfast, Sch Pharm, 97 Lisburn Rd, Belfast BT9 7BL, North Ireland; [Gholap, Amol D.] St John Inst Pharm &amp; Res, Dept Pharmaceut, Palghat 401404, Maharashtra, India; [Jetha, Keshava; Chavda, Vivek P.] L M Coll Pharm, Dept Pharmaceut &amp; Pharmaceut Technol, Ahmadabad 380009, Gujarat, India; [Jetha, Keshava] Gujarat Technol Univ, Ph D Sect, Ahmadabad 382424, Gujarat, India; [Solanki, Hetvi K.] L M Coll Pharm, Pharm Sect, Ahmadabad 380009, Gujarat, India</t>
  </si>
  <si>
    <t>Queens University Belfast; Gujarat Technological University</t>
  </si>
  <si>
    <t>Artificial Intelligence in Pharmaceutical Technology and Drug Delivery Design</t>
  </si>
  <si>
    <t>PHARMACEUTICS</t>
  </si>
  <si>
    <t>artificial intelligence (AI); machine learning; drug discovery; formulation; dosage form testing; pharmacokinetics; pharmacodynamics; PBPK; QSAR</t>
  </si>
  <si>
    <t>NEURAL-NETWORKS; BAYESIAN-APPROACH; IN-VITRO; FORMULATION; OPTIMIZATION; OPPORTUNITIES; CHALLENGES; DISCOVERY; MEDICINES; EXOSOMES</t>
  </si>
  <si>
    <t>Gholap., M. Pharm, Amol/HTS-0004-2023; Gholap, Amol/HTS-0004-2023; Chavda, Vivek/ADR-8736-2022; Vora, Lalitkumar K/ABA-7080-2020</t>
  </si>
  <si>
    <t>Gholap., M. Pharm, Amol/0000-0003-4145-4060; Sodha, Devram/0009-0005-2988-5492; Chavda, Vivek/0000-0002-7701-8597; Thakur Singh, Raghu Raj/0000-0001-7582-2082; Vora, Lalitkumar K/0000-0001-8106-9066; Jetha, Keshava/0000-0003-4195-6087</t>
  </si>
  <si>
    <t>241</t>
  </si>
  <si>
    <t>596</t>
  </si>
  <si>
    <t>1999-4923</t>
  </si>
  <si>
    <t>Pharmaceutics</t>
  </si>
  <si>
    <t>1916</t>
  </si>
  <si>
    <t>10.3390/pharmaceutics15071916</t>
  </si>
  <si>
    <t>http://dx.doi.org/10.3390/pharmaceutics15071916</t>
  </si>
  <si>
    <t>N4EN0</t>
  </si>
  <si>
    <t>37514102</t>
  </si>
  <si>
    <t>WOS:001036563700001</t>
  </si>
  <si>
    <t>gold; Green Submitted; Green Published</t>
  </si>
  <si>
    <t>Morley, J; Machado, CC; Burr, C; Cowls, J; Joshi, I; Taddeo, M; Floridi, L</t>
  </si>
  <si>
    <t>This article presents a mapping review of the literature concerning the ethics of artificial intelligence (AI) in health care. The goal of this review is to summarise current debates and identify open questions for future research. Five literature databases were searched to support the following research question: how can the primary ethical risks presented by AI-health be categorised, and what issues must policymakers, regulators and developers consider in order to be 'ethically mindful? A series of screening stages were carried out-for example, removing articles that focused on digital health in general (e.g. data sharing, data access, data privacy, surveillance/nudging, consent, ownership of health data, evidence of efficacy)-yielding a total of 156 papers that were included in the review.We find that ethical issues can be (a) epistemic, related to misguided, inconclusive or inscrutable evidence; (b) normative, related to unfair outcomes and transformative effectives; or (c) related to traceability. We further find that these ethical issues arise at six levels of abstraction: individual, interpersonal, group, institutional, and societal or sectoral. Finally, we outline a number of considerations for policymakers and regulators, mapping these to existing literature, and categorising each as epistemic, normative or traceability-related and at the relevant level of abstraction. Our goal is to inform policymakers, regulators and developers of what they must consider if they are to enable health and care systems to capitalise on the dual advantage of ethical AI; maximising the opportunities to cut costs, improve care, and improve the efficiency of health and care systems, whilst proactively avoiding the potential harms. We argue that if action is not swiftly taken in this regard, a new 'AI winter' could occur due to chilling effects related to a loss of public trust in the benefits of AI for health care.</t>
  </si>
  <si>
    <t>Morley, Jessica; Machado, Caio C., V; Burr, Christopher; Cowls, Josh; Joshi, Indra; Taddeo, Mariarosaria; Floridi, Luciano</t>
  </si>
  <si>
    <t>Morley, J (corresponding author), Univ Oxford, Oxford Internet Inst, 1 St Giles, Oxford OX1 3JS, England.</t>
  </si>
  <si>
    <t>jessica.morley@oii.ox.ac.uk</t>
  </si>
  <si>
    <t>PETRAS Internet of Things research hub - PETRAS - UK Engineering and Physical Sciences Research Council (EPSRC) [EP/N023013/1]; Microsoft grant; Google grant; Engineering and Physical Sciences Research Council [EP/N023013/1] Funding Source: researchfish; EPSRC [EP/N023013/1] Funding Source: UKRI</t>
  </si>
  <si>
    <t>PETRAS Internet of Things research hub - PETRAS - UK Engineering and Physical Sciences Research Council (EPSRC) (UK Research &amp; Innovation (UKRI), Engineering &amp; Physical Sciences Research Council (EPSRC)); Microsoft grant (Microsoft); Google grant (Google Incorporated); Engineering and Physical Sciences Research Council (UK Research &amp; Innovation (UKRI), Engineering &amp; Physical Sciences Research Council (EPSRC)); EPSRC (UK Research &amp; Innovation (UKRI), Engineering &amp; Physical Sciences Research Council (EPSRC))</t>
  </si>
  <si>
    <t>Taddeo's and Floridi's work was partially supported by Privacy and Trust Stream -Social lead of the PETRAS Internet of Things research hub -PETRAS is funded by the UK Engineering and Physical Sciences Research Council (EPSRC), grant agreement no. EP/N023013/1 Machado's, Taddeo's and Floridi's work was also partially supported by a Microsoft grant and a Google grant.</t>
  </si>
  <si>
    <t>[Morley, Jessica; Machado, Caio C., V; Burr, Christopher; Cowls, Josh; Taddeo, Mariarosaria; Floridi, Luciano] Univ Oxford, Oxford Internet Inst, 1 St Giles, Oxford OX1 3JS, England; [Cowls, Josh; Taddeo, Mariarosaria; Floridi, Luciano] British Lib, Alan Turing Inst, 96 Euston Rd, London NW1 2DB, England; [Taddeo, Mariarosaria; Floridi, Luciano] Univ Oxford, Dept Comp Sci, 15 Parks Rd, Oxford OX1 3QD, England; [Joshi, Indra] NHSX, Skipton House,80 London Rd, London SE1 6LH, England</t>
  </si>
  <si>
    <t>University of Oxford; Alan Turing Institute; University of Oxford</t>
  </si>
  <si>
    <t>The ethics of AI in health care: A mapping review</t>
  </si>
  <si>
    <t>SOCIAL SCIENCE &amp; MEDICINE</t>
  </si>
  <si>
    <t>Artificial intelligence; Ethics; Healthcare; Health policies; Machine learning</t>
  </si>
  <si>
    <t>ARTIFICIAL-INTELLIGENCE; DIGITAL HEALTH; BIG DATA; LEGAL; MEDICINE; ASSOCIATION; COLLECTION; PREDICTION; DIAGNOSIS; ISSUES</t>
  </si>
  <si>
    <t>Floridi, Luciano/G-7699-2014</t>
  </si>
  <si>
    <t>Morley, Jessica/0000-0001-5221-4770; Floridi, Luciano/0000-0002-5444-2280; Burr, Christopher/0000-0003-0386-8182</t>
  </si>
  <si>
    <t>595</t>
  </si>
  <si>
    <t>787</t>
  </si>
  <si>
    <t>425</t>
  </si>
  <si>
    <t>0277-9536</t>
  </si>
  <si>
    <t>1873-5347</t>
  </si>
  <si>
    <t>SOC SCI MED</t>
  </si>
  <si>
    <t>Soc. Sci. Med.</t>
  </si>
  <si>
    <t>SEP 2020</t>
  </si>
  <si>
    <t>260</t>
  </si>
  <si>
    <t>113172</t>
  </si>
  <si>
    <t>10.1016/j.socscimed.2020.113172</t>
  </si>
  <si>
    <t>http://dx.doi.org/10.1016/j.socscimed.2020.113172</t>
  </si>
  <si>
    <t>Public, Environmental &amp; Occupational Health; Social Sciences, Biomedical</t>
  </si>
  <si>
    <t>Public, Environmental &amp; Occupational Health; Biomedical Social Sciences</t>
  </si>
  <si>
    <t>NH4EK</t>
  </si>
  <si>
    <t>32702587</t>
  </si>
  <si>
    <t>WOS:000564624400022</t>
  </si>
  <si>
    <t>263</t>
  </si>
  <si>
    <t>Schneider, P; Walters, WP; Plowright, AT; Sieroka, N; Listgarten, J; Goodnow, RA Jr; Fisher, J; Jansen, JM; Duca, JS; Rush, TS; Zentgraf, M; Hill, JE; Krutoholow, E; Kohler, M; Blaney, J; Funatsu, K; Luebkemann, C; Schneider, G</t>
  </si>
  <si>
    <t>Artificial intelligence (AI) tools are increasingly being applied in drug discovery. This article presents the views of a group of international experts on the 'grand challenges' in small-molecule drug discovery with AI, including obtaining appropriate data sets, generating new hypotheses, optimizing in a multi-objective manner, reducing cycle times and changing the research culture.Artificial intelligence (AI) tools are increasingly being applied in drug discovery. While some protagonists point to vast opportunities potentially offered by such tools, others remain sceptical, waiting for a clear impact to be shown in drug discovery projects. The reality is probably somewhere in-between these extremes, yet it is clear that AI is providing new challenges not only for the scientists involved but also for the biopharma industry and its established processes for discovering and developing new medicines. This article presents the views of a diverse group of international experts on the 'grand challenges' in small-molecule drug discovery with AI and the approaches to address them.</t>
  </si>
  <si>
    <t>Schneider, Petra; Walters, W. Patrick; Plowright, Alleyn T.; Sieroka, Norman; Listgarten, Jennifer; Goodnow, Robert A., Jr.; Fisher, Jasmin; Jansen, Johanna M.; Duca, Jose S.; Rush, Thomas S.; Zentgraf, Matthias; Hill, John Edward; Krutoholow, Elizabeth; Kohler, Matthias; Blaney, Jeff; Funatsu, Kimito; Luebkemann, Chris; Schneider, Gisbert</t>
  </si>
  <si>
    <t>Schneider, G (corresponding author), Swiss Fed Inst Technol, Dept Chem &amp; Appl Biosci, RETHINK, Zurich, Switzerland.</t>
  </si>
  <si>
    <t>gisbert@ethz.ch</t>
  </si>
  <si>
    <t>[Schneider, Petra; Luebkemann, Chris; Schneider, Gisbert] Swiss Fed Inst Technol, Dept Chem &amp; Appl Biosci, RETHINK, Zurich, Switzerland; [Walters, W. Patrick] Relay Therapeut, Cambridge, MA USA; [Plowright, Alleyn T.] Sanofi Aventis Deutschland GmbH, Integrated Drug Discovery, Frankfurt, Germany; [Sieroka, Norman] Univ Bremen, Inst Philosophy, Bremen, Germany; [Listgarten, Jennifer] Univ Calif Berkeley, Elect Engn &amp; Comp Sci, Berkeley, CA 94720 USA; [Goodnow, Robert A., Jr.] Pharmaron USA LLC, Boston, MA USA; [Fisher, Jasmin] Univ Cambridge, Dept Biochem, Cambridge, England; [Fisher, Jasmin] UCL, UCL Canc Inst, London, England; [Jansen, Johanna M.] Novartis Inst BioMed Res, Emeryville, CA USA; [Duca, Jose S.] Novartis Inst BioMed Res, Cambridge, MA USA; [Rush, Thomas S.] ATOM Consortium, San Francisco, CA USA; [Zentgraf, Matthias] Boehringer Ingelheim Pharma GmbH &amp; Co KG, Med Chem, Biberach, Germany; [Hill, John Edward] Hlth Life Consultants, New York, NY USA; [Krutoholow, Elizabeth] Bloomberg LP, Bloomberg Intelligence, London, England; [Kohler, Matthias] SETH Zurich, Dept Architecture, Zurich, Switzerland; [Blaney, Jeff] Genentech Inc, 1 DNA Way, San Francisco, CA USA; [Funatsu, Kimito] Univ Tokyo, Dept Chem Syst Engn, Tokyo, Japan; [Funatsu, Kimito] Nara Inst Sci &amp; Technol, Data Sci Ctr, Nara, Japan; [Luebkemann, Chris] Arup Global Foresight, San Francisco, CA USA</t>
  </si>
  <si>
    <t>Swiss Federal Institutes of Technology Domain; ETH Zurich; Sanofi-Aventis; Sanofi Germany; University of Bremen; University of California System; University of California Berkeley; University of Cambridge; University of London; University College London; Novartis; Novartis USA; Novartis; Novartis USA; Boehringer Ingelheim; Bloomberg L.P.; Roche Holding; Roche Holding USA; Genentech; University of Tokyo; Nara Institute of Science &amp; Technology</t>
  </si>
  <si>
    <t>Rethinking drug design in the artificial intelligence era</t>
  </si>
  <si>
    <t>DE-NOVO DESIGN; LIGAND EFFICIENCY METRICS; THROUGHPUT SCREENING DATA; CHEMICAL SPACE; NEURAL-NETWORKS; MEDICINAL CHEMISTRY; MULTIOBJECTIVE OPTIMIZATION; DISCOVERY; AUTOMATION; STRATEGIES</t>
  </si>
  <si>
    <t>Schneider, Gisbert/ABK-4953-2022; Funatsu, Kimito/HLX-4335-2023</t>
  </si>
  <si>
    <t>Schneider, Gisbert/0000-0001-6706-1084; Duca, Jose/0000-0002-0880-5618; Sieroka, Norman/0000-0002-2824-7641; Fisher, Jasmin/0000-0003-4477-9047; Schneider, Petra/0000-0001-8296-6105; Funatsu, Kimito/0009-0009-8200-1616; Listgarten, Jennifer/0000-0002-6600-1431</t>
  </si>
  <si>
    <t>181</t>
  </si>
  <si>
    <t>682</t>
  </si>
  <si>
    <t>MAY 2020</t>
  </si>
  <si>
    <t>364</t>
  </si>
  <si>
    <t>10.1038/s41573-019-0050-3</t>
  </si>
  <si>
    <t>http://dx.doi.org/10.1038/s41573-019-0050-3</t>
  </si>
  <si>
    <t>LO0LY</t>
  </si>
  <si>
    <t>31801986</t>
  </si>
  <si>
    <t>WOS:000533322800012</t>
  </si>
  <si>
    <t>Kaur, H; Pannu, HS; Malhi, AK</t>
  </si>
  <si>
    <t>In machine learning, the data imbalance imposes challenges to perform data analytics in almost all areas of real-world research. The raw primary data often suffers from the skewed perspective of data distribution of one class over the other as in the case of computer vision, information security, marketing, and medical science. The goal of this article is to present a comparative analysis of the approaches from the reference of data pre-processing, algorithmic and hybrid paradigms for contemporary imbalance data analysis techniques, and their comparative study in lieu of different data distribution and their application areas.</t>
  </si>
  <si>
    <t>Kaur, Harsurinder; Pannu, Husanbir Singh; Malhi, Avleen Kaur</t>
  </si>
  <si>
    <t>Kaur, H (corresponding author), Thapar Inst Engn &amp; Technol, CSED, Patiala 147004, Punjab, India.</t>
  </si>
  <si>
    <t>hspannu@thapar.edu; avleen@thapar.edu; hkaur_me16@thapar.edu</t>
  </si>
  <si>
    <t>[Kaur, Harsurinder; Pannu, Husanbir Singh; Malhi, Avleen Kaur] Thapar Inst Engn &amp; Technol, CSED, Patiala 147004, Punjab, India</t>
  </si>
  <si>
    <t>Thapar Institute of Engineering &amp; Technology</t>
  </si>
  <si>
    <t>A Systematic Review on Imbalanced Data Challenges in Machine Learning: Applications and Solutions</t>
  </si>
  <si>
    <t>ACM COMPUTING SURVEYS</t>
  </si>
  <si>
    <t>Data imbalance; machine learning; data analysis; sampling</t>
  </si>
  <si>
    <t>SUPPORT VECTOR MACHINE; FEATURE-SELECTION TECHNIQUES; RANDOM FOREST; INTRUSION DETECTION; FRAUD DETECTION; NEURAL-NETWORK; CLASSIFICATION PROBLEMS; TEXT CLASSIFICATION; SAMPLING APPROACH; DECISION TREE</t>
  </si>
  <si>
    <t>591</t>
  </si>
  <si>
    <t>704</t>
  </si>
  <si>
    <t>432</t>
  </si>
  <si>
    <t>ASSOC COMPUTING MACHINERY</t>
  </si>
  <si>
    <t>1601 Broadway, 10th Floor, NEW YORK, NY USA</t>
  </si>
  <si>
    <t>0360-0300</t>
  </si>
  <si>
    <t>1557-7341</t>
  </si>
  <si>
    <t>ACM COMPUT SURV</t>
  </si>
  <si>
    <t>ACM Comput. Surv.</t>
  </si>
  <si>
    <t>SEP 2019</t>
  </si>
  <si>
    <t>79</t>
  </si>
  <si>
    <t>10.1145/3343440</t>
  </si>
  <si>
    <t>http://dx.doi.org/10.1145/3343440</t>
  </si>
  <si>
    <t>JC8UH</t>
  </si>
  <si>
    <t>WOS:000489551100015</t>
  </si>
  <si>
    <t>217</t>
  </si>
  <si>
    <t>Bzdok, D; Meyer-Lindenberg, A</t>
  </si>
  <si>
    <t>The nature of mental illness remains a conundrum. Traditional disease categories are increasingly suspected to misrepresent the causes underlying mental disturbance. Yet psychiatrists and investigators now have an unprecedented opportunity to benefit from complex patterns in brain, behavior, and genes using methods from machine learning (e.g., support vector machines, modern neural-network algorithms, cross-validation procedures). Combining these analysis techniques with a wealth of data from consortia and repositories has the potential to advance a biologically grounded redefinition of major psychiatric disorders. Increasing evidence suggests that data-derived subgroups of psychiatric patients can better predict treatment outcomes than DSM/ICD diagnoses can. In a new era of evidence-based psychiatry tailored to single patients, objectively measurable endophenotypes could allow for early disease detection, individualized treatment selection, and dosage adjustment to reduce the burden of disease. This primer aims to introduce clinicians and researchers to the opportunities and challenges in bringing machine intelligence into psychiatric practice.</t>
  </si>
  <si>
    <t>Bzdok, Danilo; Meyer-Lindenberg, Andreas</t>
  </si>
  <si>
    <t>Bzdok, D (corresponding author), Res Ctr Julich, Inst Neurosci &amp; Med 1, Pauwelsstr 30, D-52074 Aachen, Germany.</t>
  </si>
  <si>
    <t>danilo.bzdok@rwth-aachen.de</t>
  </si>
  <si>
    <t>German Research Foundation (DFG) [BZ2/2-1, BZ2/3-1, BZ2/4-1]; International Research Training Group [IRTG2150]; Amazon AWS; German National Academic Foundation; START-Program of the Faculty of Medicine, Rheinisch-Westfalische Technische Hochschule Aachen University</t>
  </si>
  <si>
    <t>German Research Foundation (DFG) (German Research Foundation (DFG)); International Research Training Group; Amazon AWS; German National Academic Foundation; START-Program of the Faculty of Medicine, Rheinisch-Westfalische Technische Hochschule Aachen University</t>
  </si>
  <si>
    <t>This work was supported by the German Research Foundation (DFG, BZ2/2-1, BZ2/3-1, and BZ2/4-1 to DB), International Research Training Group (Grant No. IRTG2150 to DB), Amazon AWS Research Grant (2016 and 2017) to DB, the German National Academic Foundation (DB), and the START-Program of the Faculty of Medicine, Rheinisch-Westfalische Technische Hochschule Aachen University (DB).</t>
  </si>
  <si>
    <t>[Bzdok, Danilo] Rhein Westfal TH Aachen, Dept Psychiat Psychotherapy &amp; Psychosomat, Aachen, Germany; [Bzdok, Danilo] Julich Aachen Res Alliance, JARA BRAIN, Aachen, Germany; [Meyer-Lindenberg, Andreas] Heidelberg Univ, Med Fac Mannheim, Dept Psychiat &amp; Psychotherapy, Mannheim, Germany; [Meyer-Lindenberg, Andreas] Heidelberg Univ, Med Fac Mannheim, Bernstein Ctr Computat Neurosci Heidelberg Mannhe, Mannheim, Germany; [Bzdok, Danilo] INRIA, Parietal Team, Neurospin, Gif Sur Yvette, France</t>
  </si>
  <si>
    <t>RWTH Aachen University; RWTH Aachen University Hospital; Ruprecht Karls University Heidelberg; Ruprecht Karls University Heidelberg; Inria</t>
  </si>
  <si>
    <t>Machine Learning for Precision Psychiatry: Opportunities and Challenges</t>
  </si>
  <si>
    <t>BIOLOGICAL PSYCHIATRY-COGNITIVE NEUROSCIENCE AND NEUROIMAGING</t>
  </si>
  <si>
    <t>Artificial intelligence; Endophenotypes; Machine learning; Null-hypothesis testing; Personalized medicine; Predictive analytics; Research Domain Criteria (RDoC); Single-subject prediction</t>
  </si>
  <si>
    <t>DISORDERS; BRAIN; BIOMARKERS; CLASSIFICATION; NEUROSCIENCE; EFFICACY</t>
  </si>
  <si>
    <t>Meyer-Lindenberg, Andreas/H-1076-2011; Bzdok, Danilo/AEW-0113-2022</t>
  </si>
  <si>
    <t>51</t>
  </si>
  <si>
    <t>589</t>
  </si>
  <si>
    <t>2451-9022</t>
  </si>
  <si>
    <t>2451-9030</t>
  </si>
  <si>
    <t>BIOL PSYCHIAT-COGN N</t>
  </si>
  <si>
    <t>Biol. Psychiat.-Cogn. Neurosci. Neuroimag.</t>
  </si>
  <si>
    <t>223</t>
  </si>
  <si>
    <t>10.1016/j.bpsc.2017.11.007</t>
  </si>
  <si>
    <t>http://dx.doi.org/10.1016/j.bpsc.2017.11.007</t>
  </si>
  <si>
    <t>Neurosciences; Psychiatry</t>
  </si>
  <si>
    <t>Neurosciences &amp; Neurology; Psychiatry</t>
  </si>
  <si>
    <t>JJ7NR</t>
  </si>
  <si>
    <t>29486863</t>
  </si>
  <si>
    <t>WOS:000494340900007</t>
  </si>
  <si>
    <t>Schmidt-Erfurth, U; Sadeghipour, A; Gerendas, BS; Waldstein, SM; Bogunovic, H</t>
  </si>
  <si>
    <t>Major advances in diagnostic technologies are offering unprecedented insight into the condition of the retina and beyond ocular disease. Digital images providing millions of morphological datasets can fast and non-invasively be analyzed in a comprehensive manner using artificial intelligence (AI). Methods based on machine learning (ML) and particularly deep learning (DL) are able to identify, localize and quantify pathological features in almost every macular and retinal disease. Convolutional neural networks thereby mimic the path of the human brain for object recognition through learning of pathological features from training sets, supervised ML, or even extrapolation from patterns recognized independently, unsupervised ML. The methods of AI-based retinal analyses are diverse and differ widely in their applicability, interpretability and reliability in different datasets and diseases. Fully automated AI-based systems have recently been approved for screening of diabetic retinopathy (DR). The overall potential of ML/DL includes screening, diagnostic grading as well as guidance of therapy with automated detection of disease activity, recurrences, quantification of therapeutic effects and identification of relevant targets for novel therapeutic approaches. Prediction and prognostic conclusions further expand the potential benefit of AI in retina which will enable personalized health care as well as large scale management and will empower the ophthalmologist to provide high quality diagnosis/therapy and successfully deal with the complexity of 21st century ophthalmology.</t>
  </si>
  <si>
    <t>Schmidt-Erfurth, Ursula; Sadeghipour, Amir; Gerendas, Bianca S.; Waldstein, Sebastian M.; Bogunovic, Hrvoje</t>
  </si>
  <si>
    <t>Schmidt-Erfurth, U (corresponding author), Med Univ Vienna, Dept Ophthalmol, Vienna Reading Ctr, Christian Doppler Lab Ophthalm Image Anal, Spitalgasse 23, A-1090 Vienna, Austria.</t>
  </si>
  <si>
    <t>ursula.schmidt-erfurth@meduniwien.ac.at</t>
  </si>
  <si>
    <t>Christian Doppler Laboratory for Ophthalmic Image Analysis (OPTIMA)</t>
  </si>
  <si>
    <t>Christian Doppler Laboratory for Ophthalmic Image Analysis (OPTIMA).</t>
  </si>
  <si>
    <t>[Schmidt-Erfurth, Ursula; Sadeghipour, Amir; Gerendas, Bianca S.; Waldstein, Sebastian M.; Bogunovic, Hrvoje] Med Univ Vienna, Dept Ophthalmol, Vienna Reading Ctr, Christian Doppler Lab Ophthalm Image Anal, Spitalgasse 23, A-1090 Vienna, Austria</t>
  </si>
  <si>
    <t>Medical University of Vienna</t>
  </si>
  <si>
    <t>Artificial intelligence in retina</t>
  </si>
  <si>
    <t>PROGRESS IN RETINAL AND EYE RESEARCH</t>
  </si>
  <si>
    <t>Artificial intelligence (AI); Machine learning (ML); Deep learning (DL); Automated screening; Prognosis and prediction; Personalized healthcare (PHC)</t>
  </si>
  <si>
    <t>OPTICAL COHERENCE TOMOGRAPHY; DIABETIC MACULAR EDEMA; FULLY AUTOMATED DETECTION; VISUAL-FIELD THRESHOLDS; DEEP LEARNING ALGORITHM; ANTI-VEGF THERAPY; TREAT-AND-EXTEND; SD-OCT; GEOGRAPHIC ATROPHY; NEURAL-NETWORK</t>
  </si>
  <si>
    <t>Bogunović, Hrvoje/J-3445-2014</t>
  </si>
  <si>
    <t>Bogunović, Hrvoje/0000-0002-9168-0894; Sadeghipour, Amir/0000-0003-2379-7895; Gerendas, Bianca S/0000-0001-8940-8130; Waldstein, Sebastian/0000-0003-2899-6279; Schmidt-Erfurth, Ursula/0000-0002-7788-7311</t>
  </si>
  <si>
    <t>193</t>
  </si>
  <si>
    <t>587</t>
  </si>
  <si>
    <t>660</t>
  </si>
  <si>
    <t>282</t>
  </si>
  <si>
    <t>1350-9462</t>
  </si>
  <si>
    <t>1873-1635</t>
  </si>
  <si>
    <t>PROG RETIN EYE RES</t>
  </si>
  <si>
    <t>Prog. Retin. Eye Res.</t>
  </si>
  <si>
    <t>10.1016/j.preteyeres.2018.07.004</t>
  </si>
  <si>
    <t>http://dx.doi.org/10.1016/j.preteyeres.2018.07.004</t>
  </si>
  <si>
    <t>HD5OJ</t>
  </si>
  <si>
    <t>30076935</t>
  </si>
  <si>
    <t>WOS:000452579500001</t>
  </si>
  <si>
    <t>Choy, G; Khalilzadeh, O; Michalski, M; Do, S; Samir, AE; Pianykh, OS; Geis, JR; Pandharipande, PV; Brink, JA; Dreyer, KJ</t>
  </si>
  <si>
    <t>Recent advances and future perspectives of machine learning techniques offer promising applications in medical imaging. Machine learning has the potential to improve different steps of the radiology workflow including order scheduling and triage, clinical decision support systems, detection and interpretation of findings, postprocessing and dose estimation, examination quality control, and radiology reporting. In this article, the authors review examples of current applications of machine learning and artificial intelligence techniques in diagnostic radiology. In addition, the future impact and natural extension of these techniques in radiology practice are discussed. (c) RSNA, 2018</t>
  </si>
  <si>
    <t>Choy, Garry; Khalilzadeh, Omid; Michalski, Mark; Do, Synho; Samir, Anthony E.; Pianykh, Oleg S.; Geis, J. Raymond; Pandharipande, Pari V.; Brink, James A.; Dreyer, Keith J.</t>
  </si>
  <si>
    <t>Choy, G (corresponding author), Harvard Med Sch, Massachusetts Gen Hosp, Dept Radiol, 55 Fruit St, Boston, MA 02114 USA.</t>
  </si>
  <si>
    <t>gchoy@partners.org</t>
  </si>
  <si>
    <t>NIBIB NIH HHS [K23 EB020710] Funding Source: Medline</t>
  </si>
  <si>
    <t>NIBIB NIH HHS (United States Department of Health &amp; Human Services, National Institutes of Health (NIH) - USA, NIH National Institute of Biomedical Imaging &amp; Bioengineering (NIBIB))</t>
  </si>
  <si>
    <t>[Choy, Garry; Khalilzadeh, Omid; Michalski, Mark; Do, Synho; Samir, Anthony E.; Pianykh, Oleg S.; Pandharipande, Pari V.; Brink, James A.; Dreyer, Keith J.] Harvard Med Sch, Massachusetts Gen Hosp, Dept Radiol, 55 Fruit St, Boston, MA 02114 USA; [Geis, J. Raymond] Univ Colorado, Sch Med, Dept Radiol, Aurora, CO USA; [Khalilzadeh, Omid] Icahn Sch Med Mt Sinai, Mt Sinai Hlth Syst, Dept Radiol, New York, NY 10029 USA</t>
  </si>
  <si>
    <t>Harvard University; Harvard Medical School; Harvard University Medical Affiliates; Massachusetts General Hospital; University of Colorado System; University of Colorado Anschutz; Icahn School of Medicine at Mount Sinai</t>
  </si>
  <si>
    <t>Current Applications and Future Impact of Machine Learning in Radiology</t>
  </si>
  <si>
    <t>CONVOLUTIONAL NEURAL-NETWORK; FREE DIFFUSION MRI; ARTIFICIAL-INTELLIGENCE; SEGMENTATION METHODS; AIDED DIAGNOSIS; PROSTATE-CANCER; CT IMAGES; CLASSIFICATION; PATIENT; LESIONS</t>
  </si>
  <si>
    <t>Pianykh, Oleg/N-2456-2015</t>
  </si>
  <si>
    <t>584</t>
  </si>
  <si>
    <t>288</t>
  </si>
  <si>
    <t>318</t>
  </si>
  <si>
    <t>328</t>
  </si>
  <si>
    <t>10.1148/radiol.2018171820</t>
  </si>
  <si>
    <t>http://dx.doi.org/10.1148/radiol.2018171820</t>
  </si>
  <si>
    <t>GQ6HN</t>
  </si>
  <si>
    <t>29944078</t>
  </si>
  <si>
    <t>WOS:000441808100002</t>
  </si>
  <si>
    <t>Secinaro, S; Calandra, D; Secinaro, A; Muthurangu, V; Biancone, P</t>
  </si>
  <si>
    <t>Background/Introduction Artificial intelligence (AI) in the healthcare sector is receiving attention from researchers and health professionals. Few previous studies have investigated this topic from a multi-disciplinary perspective, including accounting, business and management, decision sciences and health professions. Methods The structured literature review with its reliable and replicable research protocol allowed the researchers to extract 288 peer-reviewed papers from Scopus. The authors used qualitative and quantitative variables to analyse authors, journals, keywords, and collaboration networks among researchers. Additionally, the paper benefited from the Bibliometrix R software package. Results The investigation showed that the literature in this field is emerging. It focuses on health services management, predictive medicine, patient data and diagnostics, and clinical decision-making. The United States, China, and the United Kingdom contributed the highest number of studies. Keyword analysis revealed that AI can support physicians in making a diagnosis, predicting the spread of diseases and customising treatment paths. Conclusions The literature reveals several AI applications for health services and a stream of research that has not fully been covered. For instance, AI projects require skills and data quality awareness for data-intensive analysis and knowledge-based management. Insights can help researchers and health professionals understand and address future research on AI in the healthcare field.</t>
  </si>
  <si>
    <t>Secinaro, Silvana; Calandra, Davide; Secinaro, Aurelio; Muthurangu, Vivek; Biancone, Paolo</t>
  </si>
  <si>
    <t>Calandra, D (corresponding author), Univ Turin, Dept Management, Turin, Italy.</t>
  </si>
  <si>
    <t>davide.calandra@unito.it</t>
  </si>
  <si>
    <t>British Heart Foundation [NH/18/1/33511] Funding Source: Medline</t>
  </si>
  <si>
    <t>British Heart Foundation (British Heart Foundation)</t>
  </si>
  <si>
    <t>[Secinaro, Silvana; Calandra, Davide; Biancone, Paolo] Univ Turin, Dept Management, Turin, Italy; [Secinaro, Aurelio] Osped Pediat Bambino Gesu, Rome, Italy; [Muthurangu, Vivek] UCL, Inst Child Hlth, London, England</t>
  </si>
  <si>
    <t>University of Turin; IRCCS Bambino Gesu; University of London; University College London</t>
  </si>
  <si>
    <t>The role of artificial intelligence in healthcare: a structured literature review</t>
  </si>
  <si>
    <t>BMC MEDICAL INFORMATICS AND DECISION MAKING</t>
  </si>
  <si>
    <t>Artificial intelligence; Healthcare; Patient data; Clinical decision-making; Management</t>
  </si>
  <si>
    <t>BIBLIOMETRIC ANALYSIS; TECHNOLOGY; TOOL; NEED; ART</t>
  </si>
  <si>
    <t>Muthurangu, Vivek/B-6877-2009; Secinaro, Aurelio/K-7531-2016; Calandra, Davide/W-6281-2018; Biancone, Paolo Pietro/AAP-9454-2020; Secinaro, Silvana/AAC-8115-2020</t>
  </si>
  <si>
    <t>Muthurangu, Vivek/0000-0002-4292-6456; Secinaro, Aurelio/0000-0002-2611-8061; Calandra, Davide/0000-0001-5159-7167; Biancone, Paolo Pietro/0000-0002-4819-9878</t>
  </si>
  <si>
    <t>574</t>
  </si>
  <si>
    <t>760</t>
  </si>
  <si>
    <t>387</t>
  </si>
  <si>
    <t>1472-6947</t>
  </si>
  <si>
    <t>BMC MED INFORM DECIS</t>
  </si>
  <si>
    <t>BMC Med. Inform. Decis. Mak.</t>
  </si>
  <si>
    <t>APR 10 2021</t>
  </si>
  <si>
    <t>10.1186/s12911-021-01488-9</t>
  </si>
  <si>
    <t>http://dx.doi.org/10.1186/s12911-021-01488-9</t>
  </si>
  <si>
    <t>Medical Informatics</t>
  </si>
  <si>
    <t>RK9IF</t>
  </si>
  <si>
    <t>33836752</t>
  </si>
  <si>
    <t>WOS:000638599800001</t>
  </si>
  <si>
    <t>Corral-Acero, J; Margara, F; Marciniak, M; Rodero, C; Loncaric, F; Feng, YJ; Gilbert, A; Fernandes, JF; Bukhari, HA; Wajdan, A; Martinez, MV; Santos, MS; Shamohammdi, M; Luo, HX; Westphal, P; Leeson, P; DiAchille, P; Gurev, V; Mayr, M; Geris, L; Pathmanathan, P; Morrison, T; Cornelussen, R; Prinzen, F; Delhaas, T; Doltra, A; Sitges, M; Vigmond, EJ; Zacur, E; Grau, V; Rodriguez, B; Remme, EW; Niederer, S; Mortier, P; McLeod, K; Potse, M; Pueyo, E; Bueno-Orovio, A; Lamata, P</t>
  </si>
  <si>
    <t>Providing therapies tailored to each patient is the vision of precision medicine, enabled by the increasing ability to capture extensive data about individual patients. In this position paper, we argue that the second enabling pillar towards this vision is the increasing power of computers and algorithms to learn, reason, and build the 'digital twin' of a patient. Computational models are boosting the capacity to draw diagnosis and prognosis, and future treatments will be tailored not only to current health status and data, but also to an accurate projection of the pathways to restore health by model predictions. The early steps of the digital twin in the area of cardiovascular medicine are reviewed in this article, together with a discussion of the challenges and opportunities ahead. We emphasize the synergies between mechanistic and statistical models in accelerating cardiovascular research and enabling the vision of precision medicine.</t>
  </si>
  <si>
    <t>Corral-Acero, Jorge; Margara, Francesca; Marciniak, Maciej; Rodero, Cristobal; Loncaric, Filip; Feng, Yingjing; Gilbert, Andrew; Fernandes, Joao F.; Bukhari, Hassaan A.; Wajdan, Ali; Martinez, Manuel Villegas; Santos, Mariana Sousa; Shamohammdi, Mehrdad; Luo, Hongxing; Westphal, Philip; Leeson, Paul; DiAchille, Paolo; Gurev, Viatcheslav; Mayr, Manuel; Geris, Liesbet; Pathmanathan, Pras; Morrison, Tina; Cornelussen, Richard; Prinzen, Frits; Delhaas, Tammo; Doltra, Ada; Sitges, Marta; Vigmond, Edward J.; Zacur, Ernesto; Grau, Vicente; Rodriguez, Blanca; Remme, Espen W.; Niederer, Steven; Mortier, Peter; McLeod, Kristin; Potse, Mark; Pueyo, Esther; Bueno-Orovio, Alfonso; Lamata, Pablo</t>
  </si>
  <si>
    <t>Lamata, P (corresponding author), Kings Coll London, Dept Biomed Engn, Div Imaging Sci &amp; Biomed Engn, London, England.</t>
  </si>
  <si>
    <t>pablo.lamata@kcl.uk</t>
  </si>
  <si>
    <t>EU [675451, 823712, 764738, 766082]; Wellcome/EPSRC Centre for Medical Engineering [WT 203148/Z/16/Z]; National Research Agency (ANR) [ANR-10-IAHU-04]; British Heart Foundation [RE/13/2/30182, RE/13/1/30181, TG/17/3/33406, PG/16/75/32383, FS/17/22/32644, CH/16/3/21406, RG/16/14/32397]; ERC [638284]; Wellcome Trust [214290/Z/18/Z, 209450/Z/17/Z]; NC3RS [NC/P001076/1]; Wellcome Trust [214290/Z/18/Z] Funding Source: Wellcome Trust; British Heart Foundation [RG/16/14/32397, CH/16/3/32406] Funding Source: researchfish; National Centre for the Replacement, Refinement and Reduction of Animals in Research (NC3Rs) [NC/P001076/1] Funding Source: researchfish; European Research Council (ERC) [638284] Funding Source: European Research Council (ERC)</t>
  </si>
  <si>
    <t>EU (European Union (EU)); Wellcome/EPSRC Centre for Medical Engineering (UK Research &amp; Innovation (UKRI), Engineering &amp; Physical Sciences Research Council (EPSRC), Wellcome Trust); National Research Agency (ANR) (Agence Nationale de la Recherche (ANR)); British Heart Foundation (British Heart Foundation); ERC (European Research Council (ERC)); Wellcome Trust (Wellcome Trust); NC3RS (UK Research &amp; Innovation (UKRI), National Centre for the Replacement, Refinement &amp; Reduction of Animals in Research (NC3Rs)); Wellcome Trust; British Heart Foundation (British Heart Foundation); National Centre for the Replacement, Refinement and Reduction of Animals in Research (NC3Rs) (UK Research &amp; Innovation (UKRI), National Centre for the Replacement, Refinement &amp; Reduction of Animals in Research (NC3Rs)); European Research Council (ERC) (European Research Council (ERC))</t>
  </si>
  <si>
    <t>This work was supported by the EU's Horizon 2020 Marie Sklodowska-Curie ITN Projects (g.a. 764738 and 766082), the EU's Horizon 2020 research and innovation programme (g.a. 675451 and 823712), the Wellcome/EPSRC Centre for Medical Engineering (WT 203148/Z/16/Z), the National Research Agency (ANR) (g.a. ANR-10-IAHU-04), the NC3RS (NC/P001076/1) and the British Heart Foundation (RE/13/2/30182, RE/13/1/30181, TG/17/3/33406, PG/16/75/32383, FS/17/22/32644, CH/16/3/21406, RG/16/14/32397). E.Pueyo holds an ERC Starting Grant (g.a. 638284). B. Rodriguez and P.Lamata hold Wellcome Trust Senior Research Fellowships (214290/Z/18/Z, 209450/Z/17/Z).</t>
  </si>
  <si>
    <t>[Corral-Acero, Jorge; Zacur, Ernesto; Grau, Vicente] Univ Oxford, Dept Engn Sci, Oxford, England; [Margara, Francesca; Rodriguez, Blanca; Bueno-Orovio, Alfonso] Univ Oxford, British Heart Fdn Ctr Res Excellence, Dept Comp Sci, Oxford, England; [Marciniak, Maciej; Rodero, Cristobal; Fernandes, Joao F.; Niederer, Steven; Lamata, Pablo] Kings Coll London, Dept Biomed Engn, Div Imaging Sci &amp; Biomed Engn, London, England; [Loncaric, Filip; Doltra, Ada; Sitges, Marta] Univ Barcelona, Hosp Clin, Inst Clin Cardiovasc, Inst Invest Biomed August Pi i Sunyer IDIBAPS, Barcelona, Spain; [Feng, Yingjing; Vigmond, Edward J.; Potse, Mark] Fdn Bordeaux Univ, Electrophysiol &amp; Heart Modeling Inst, IHU Liryc, F-33600 Pessac, France; [Feng, Yingjing; Bukhari, Hassaan A.; Vigmond, Edward J.; Potse, Mark] Univ Bordeaux, IMB, UMR 5251, F-33400 Talence, France; [Gilbert, Andrew; McLeod, Kristin] GE Vingmed Ultrasound, Horton, Norway; [Bukhari, Hassaan A.; Pueyo, Esther] Univ Zaragoza, Aragon Inst Engn Res, IIS Aragon, Zaragoza, Spain; [Wajdan, Ali; Martinez, Manuel Villegas; Remme, Espen W.] Oslo Univ Hosp, Rikshosp, Intervent Ctr, Oslo, Norway; [Santos, Mariana Sousa; Mortier, Peter] FEops NV, Ghent, Belgium; [Shamohammdi, Mehrdad; Luo, Hongxing; Prinzen, Frits; Delhaas, Tammo] Maastricht Univ, CARIM Sch Cardiovasc Dis, Maastricht, Netherlands; [Westphal, Philip; Cornelussen, Richard] Medtron PLC, Bakken Res Ctr, Maastricht, Netherlands; [Leeson, Paul] Univ Oxford, John Radcliffe Hosp, Radcliffe Dept Med, Div Cardiovasc Med,Oxford Cardiovasc Clin Res Fac, Oxford, England; [DiAchille, Paolo; Gurev, Viatcheslav] IBM TJ Watson Res Ctr, Healthcare &amp; Life Sci Res, Yorktown Hts, NY USA; [Mayr, Manuel] Kings Coll London, Kings British Heart Fdn Ctr, London, England; [Geris, Liesbet] Virtual Physiol Human Inst, Leuven, Belgium; [Pathmanathan, Pras; Morrison, Tina] US FDA, Ctr Devices &amp; Radiol Hlth, Silver Spring, MD USA; [Sitges, Marta] Inst Salud Carlos III, CERCA Programme Generalitat, CIBERCV, CB16-11-00354, Catalunya, Spain; [Potse, Mark] Inria Bordeaux Sud Ouest, CARMEN Team, F-33400 Talence, France; [Pueyo, Esther] CIBER Bioengn Biomat &amp; Nanomed CIBER BBN, Madrid, Spain</t>
  </si>
  <si>
    <t>University of Oxford; University of Oxford; University of London; King's College London; University of Barcelona; Hospital Clinic de Barcelona; IDIBAPS; CHU Bordeaux; Universite de Bordeaux; Universite de Bordeaux; Centre National de la Recherche Scientifique (CNRS); CNRS - National Institute for Mathematical Sciences (INSMI); University of Zaragoza; University of Oslo; National Hospital Norway; Maastricht University; Maastricht University Medical Centre (MUMC); Medtronic Bakken Research Center B.V.; University of Oxford; International Business Machines (IBM); IBM USA; University of London; King's College London; US Food &amp; Drug Administration (FDA); CIBER - Centro de Investigacion Biomedica en Red; Instituto de Salud Carlos III; CIBERCV; CIBER - Centro de Investigacion Biomedica en Red; CIBERBBN</t>
  </si>
  <si>
    <t>The 'Digital Twin' to enable the vision of precision cardiology</t>
  </si>
  <si>
    <t>EUROPEAN HEART JOURNAL</t>
  </si>
  <si>
    <t>Precision medicine; Digital twin; Computational modelling; Artificial intelligence</t>
  </si>
  <si>
    <t>CT ANGIOGRAPHY; BLOOD-FLOW; BIG DATA; MEDICINE; HEART; RISK; INFORMATION; PRESSURE; CHANNEL; TRIAL</t>
  </si>
  <si>
    <t>Bueno-Orovio, Alfonso/K-7225-2013; Leeson, Paul/K-6964-2012; Pueyo, Esther/C-6945-2009; Feng, Yingjing/ITV-3845-2023; geris, liesbet/D-2343-2016; Zacur, Ernesto/K-9001-2019; Lamata, Pablo/AAE-7884-2020; Vigmond, Edward/E-8988-2012</t>
  </si>
  <si>
    <t>Gilbert, Anew/0000-0001-5758-1756; Remme, Espen W/0000-0002-8551-5382; Leeson, Paul/0000-0001-9181-9297; Mayr, Manuel/0000-0002-0597-829X; Marciniak, Maciej/0000-0002-4277-7446; Feng, Yingjing/0000-0003-1077-2074; Corral Acero, Jorge/0000-0001-5450-7948; Grau, Vicente/0000-0001-8139-3480; Rodriguez, Blanca/0000-0001-6361-3339; geris, liesbet/0000-0002-8180-1445; Rodero, Cristobal/0000-0001-7921-7840; Zacur, Ernesto/0000-0001-9647-7417; Margara, Francesca/0000-0003-2792-7087; Doltra, Adelina/0000-0003-3539-6917; Fernandes, Joao Filipe/0000-0002-4621-1837; Bukhari, Hassaan/0000-0001-5976-0483; Lamata, Pablo/0000-0002-3097-4928; Vigmond, Edward/0000-0003-1388-3589; Loncaric, Filip/0000-0002-7865-1108</t>
  </si>
  <si>
    <t>89</t>
  </si>
  <si>
    <t>671</t>
  </si>
  <si>
    <t>0195-668X</t>
  </si>
  <si>
    <t>1522-9645</t>
  </si>
  <si>
    <t>EUR HEART J</t>
  </si>
  <si>
    <t>Eur. Heart J.</t>
  </si>
  <si>
    <t>DEC 21 2020</t>
  </si>
  <si>
    <t>48</t>
  </si>
  <si>
    <t>4556</t>
  </si>
  <si>
    <t>+</t>
  </si>
  <si>
    <t>10.1093/eurheartj/ehaa159</t>
  </si>
  <si>
    <t>http://dx.doi.org/10.1093/eurheartj/ehaa159</t>
  </si>
  <si>
    <t>PT1XM</t>
  </si>
  <si>
    <t>32128588</t>
  </si>
  <si>
    <t>WOS:000608413100010</t>
  </si>
  <si>
    <t>hybrid; Green Submitted; Green Published; Green Accepted</t>
  </si>
  <si>
    <t>Shi, QF; Dong, BW; He, TYY; Sun, ZD; Zhu, JX; Zhang, ZX; Lee, C</t>
  </si>
  <si>
    <t>The past few years have witnessed the significant impacts of wearable electronics/photonics on various aspects of our daily life, for example, healthcare monitoring and treatment, ambient monitoring, soft robotics, prosthetics, flexible display, communication, human-machine interactions, and so on. According to the development in recent years, the next-generation wearable electronics and photonics are advancing rapidly toward the era of artificial intelligence (AI) and internet of things (IoT), to achieve a higher level of comfort, convenience, connection, and intelligence. Herein, this review provides an opportune overview of the recent progress in wearable electronics, photonics, and systems, in terms of emerging materials, transducing mechanisms, structural configurations, applications, and their further integration with other technologies. First, development of general wearable electronics and photonics is summarized for the applications of physical sensing, chemical sensing, human-machine interaction, display, communication, and so on. Then self-sustainable wearable electronics/photonics and systems are discussed based on system integration with energy harvesting and storage technologies. Next, technology fusion of wearable systems and AI is reviewed, showing the emergence and rapid development of intelligent/smart systems. In the last section of this review, perspectives about the future development trends of the next-generation wearable electronics/photonics are provided, that is, toward multifunctional, self-sustainable, and intelligent wearable systems in the AI/IoT era.</t>
  </si>
  <si>
    <t>Shi, Qiongfeng; Dong, Bowei; He, Tianyiyi; Sun, Zhongda; Zhu, Jianxiong; Zhang, Zixuan; Lee, Chengkuo</t>
  </si>
  <si>
    <t>Lee, C (corresponding author), Natl Univ Singapore, Dept Elect &amp; Comp Engn, Singapore 117576, Singapore.</t>
  </si>
  <si>
    <t>elelc@nus.edu.sg</t>
  </si>
  <si>
    <t>Agency for Science, Technology and Research [A18A4b0055, R-263-000-C91-305]; National Research Foundation Singapore [AISG-GC2019-002, NRF-CRP15-2015-02]; National University of Singapore [HIFES Seed Funding-2017-01]</t>
  </si>
  <si>
    <t>Agency for Science, Technology and Research (Agency for Science Technology &amp; Research (A*STAR)); National Research Foundation Singapore (National Research Foundation, Singapore); National University of Singapore (National University of Singapore)</t>
  </si>
  <si>
    <t>Agency for Science, Technology and Research, Grant/Award Number: A18A4b0055; R-263-000-C91-305; National Research Foundation Singapore, Grant/Award Number: AISG-GC2019-002; NRF-CRP15-2015-02; National University of Singapore, Grant/Award Number: HIFES Seed Funding-2017-01</t>
  </si>
  <si>
    <t>[Shi, Qiongfeng; Dong, Bowei; He, Tianyiyi; Sun, Zhongda; Zhu, Jianxiong; Zhang, Zixuan; Lee, Chengkuo] Natl Univ Singapore, Dept Elect &amp; Comp Engn, Singapore 117576, Singapore; [Shi, Qiongfeng; Dong, Bowei; He, Tianyiyi; Sun, Zhongda; Zhu, Jianxiong; Zhang, Zixuan; Lee, Chengkuo] Natl Univ Singapore, Ctr Intelligent Sensors, Singapore 117608, Singapore; [Shi, Qiongfeng; Dong, Bowei; He, Tianyiyi; Sun, Zhongda; Zhu, Jianxiong; Zhang, Zixuan; Lee, Chengkuo] Natl Univ Singapore, MEMS, Singapore 117608, Singapore; [Shi, Qiongfeng; Dong, Bowei; He, Tianyiyi; Sun, Zhongda; Zhu, Jianxiong; Zhang, Zixuan; Lee, Chengkuo] Natl Univ Singapore, Hybrid Integrated Flexible Stretchable Elect Syst, Singapore 117608, Singapore; [Shi, Qiongfeng; Dong, Bowei; He, Tianyiyi; Sun, Zhongda; Zhu, Jianxiong; Zhang, Zixuan; Lee, Chengkuo] NUS Suzhou Res Inst NUSRI, Suzhou 215123, Peoples R China; [Lee, Chengkuo] Natl Univ Singapore, NUS Grad Sch Integrat Sci &amp; Engn, Singapore 117456, Singapore</t>
  </si>
  <si>
    <t>National University of Singapore; National University of Singapore; National University of Singapore; National University of Singapore; National University of Singapore</t>
  </si>
  <si>
    <t>Progress in wearable electronics/photonics-Moving toward the era of artificial intelligence and internet of things</t>
  </si>
  <si>
    <t>INFOMAT</t>
  </si>
  <si>
    <t>artificial intelligence; energy harvesting; human-machine interface; internet of things; wearable electronics; wearable photonics</t>
  </si>
  <si>
    <t>PIEZOELECTRIC ENERGY HARVESTER; TRIBOELECTRIC NANOGENERATOR; ELECTRONIC SKIN; WAVE-GUIDES; BIG DATA; FLEXIBLE ELECTRONICS; IDENTITY RECOGNITION; KEYSTROKE DYNAMICS; MONITORING-SYSTEM; PRESSURE SENSOR</t>
  </si>
  <si>
    <t>Lee, Chengkuo/R-3999-2018; Shi, Qiongfeng/Z-5767-2019; DONG, Bowei/E-1840-2017; zhu, jianxiong/AAR-8867-2021; Zhang, Zixuan/MIT-7583-2025; He, Tianyiyi/HNS-6401-2023</t>
  </si>
  <si>
    <t>Lee, Chengkuo/0000-0002-8886-3649; DONG, Bowei/0000-0002-4122-0953; zhu, jianxiong/0000-0002-9172-5255; Zhang, Zixuan/0000-0001-5020-7606</t>
  </si>
  <si>
    <t>301</t>
  </si>
  <si>
    <t>642</t>
  </si>
  <si>
    <t>39</t>
  </si>
  <si>
    <t>1054</t>
  </si>
  <si>
    <t>2567-3165</t>
  </si>
  <si>
    <t>InfoMat</t>
  </si>
  <si>
    <t>NOV 2020</t>
  </si>
  <si>
    <t>1131</t>
  </si>
  <si>
    <t>1162</t>
  </si>
  <si>
    <t>10.1002/inf2.12122</t>
  </si>
  <si>
    <t>http://dx.doi.org/10.1002/inf2.12122</t>
  </si>
  <si>
    <t>Materials Science, Multidisciplinary</t>
  </si>
  <si>
    <t>Materials Science</t>
  </si>
  <si>
    <t>NV7VS</t>
  </si>
  <si>
    <t>WOS:000549424300001</t>
  </si>
  <si>
    <t>Shatte, ABR; Hutchinson, DM; Teague, SJ</t>
  </si>
  <si>
    <t>BackgroundThis paper aims to synthesise the literature on machine learning (ML) and big data applications for mental health, highlighting current research and applications in practice.MethodsWe employed a scoping review methodology to rapidly map the field of ML in mental health. Eight health and information technology research databases were searched for papers covering this domain. Articles were assessed by two reviewers, and data were extracted on the article's mental health application, ML technique, data type, and study results. Articles were then synthesised via narrative review.ResultsThree hundred papers focusing on the application of ML to mental health were identified. Four main application domains emerged in the literature, including: (i) detection and diagnosis; (ii) prognosis, treatment and support; (iii) public health, and; (iv) research and clinical administration. The most common mental health conditions addressed included depression, schizophrenia, and Alzheimer's disease. ML techniques used included support vector machines, decision trees, neural networks, latent Dirichlet allocation, and clustering.ConclusionsOverall, the application of ML to mental health has demonstrated a range of benefits across the areas of diagnosis, treatment and support, research, and clinical administration. With the majority of studies identified focusing on the detection and diagnosis of mental health conditions, it is evident that there is significant room for the application of ML to other areas of psychology and mental health. The challenges of using ML techniques are discussed, as well as opportunities to improve and advance the field.</t>
  </si>
  <si>
    <t>Shatte, Adrian B. R.; Hutchinson, Delyse M.; Teague, Samantha J.</t>
  </si>
  <si>
    <t>Shatte, ABR (corresponding author), Federat Univ, Sch Sci Engn &amp; Informat Technol, Melbourne, Vic, Australia.; Shatte, ABR (corresponding author), Deakin Univ, Sch Psychol, Fac Hlth, Ctr Social &amp; Early Emot Dev, Geelong, Vic, Australia.</t>
  </si>
  <si>
    <t>a.shatte@federation.edu.au</t>
  </si>
  <si>
    <t>[Shatte, Adrian B. R.] Federat Univ, Sch Sci Engn &amp; Informat Technol, Melbourne, Vic, Australia; [Shatte, Adrian B. R.; Hutchinson, Delyse M.; Teague, Samantha J.] Deakin Univ, Sch Psychol, Fac Hlth, Ctr Social &amp; Early Emot Dev, Geelong, Vic, Australia; [Hutchinson, Delyse M.] Royal Childrens Hosp, Murdoch Childrens Res Inst, Ctr Adolescent Hlth, Melbourne, Vic, Australia; [Hutchinson, Delyse M.] Univ Melbourne, Royal Childrens Hosp, Dept Paediat, Melbourne, Vic, Australia; [Hutchinson, Delyse M.] Univ New South Wales, Natl Drug &amp; Alcohol Res Ctr, Sydney, NSW, Australia</t>
  </si>
  <si>
    <t>Federation University Australia; Deakin University; Royal Children's Hospital Melbourne; Murdoch Children's Research Institute; University of Melbourne; Royal Children's Hospital Melbourne; University of New South Wales Sydney</t>
  </si>
  <si>
    <t>Machine learning in mental health: a scoping review of methods and applications</t>
  </si>
  <si>
    <t>PSYCHOLOGICAL MEDICINE</t>
  </si>
  <si>
    <t>Big data; health informatics; machine learning; mental health</t>
  </si>
  <si>
    <t>MAJOR DEPRESSIVE DISORDER; POSTTRAUMATIC-STRESS-DISORDER; ATTENTION-DEFICIT/HYPERACTIVITY DISORDER; ALZHEIMERS-DISEASE; FUNCTIONAL CONNECTIVITY; SPECTRUM DISORDER; RESTING-STATE; 1ST-EPISODE SCHIZOPHRENIA; COGNITIVE IMPAIRMENT; OPTIMIZE PREDICTION</t>
  </si>
  <si>
    <t>Teague, Samantha/Z-2632-2019; Hutchinson, Delyse/I-8574-2017</t>
  </si>
  <si>
    <t>Teague, Samantha/0000-0002-0487-7307; Shatte, Adrian/0000-0002-6225-9697; Hutchinson, Delyse/0000-0003-3221-7143</t>
  </si>
  <si>
    <t>321</t>
  </si>
  <si>
    <t>567</t>
  </si>
  <si>
    <t>711</t>
  </si>
  <si>
    <t>487</t>
  </si>
  <si>
    <t>CAMBRIDGE UNIV PRESS</t>
  </si>
  <si>
    <t>EDINBURGH BLDG, SHAFTESBURY RD, CB2 8RU CAMBRIDGE, ENGLAND</t>
  </si>
  <si>
    <t>0033-2917</t>
  </si>
  <si>
    <t>1469-8978</t>
  </si>
  <si>
    <t>PSYCHOL MED</t>
  </si>
  <si>
    <t>Psychol. Med.</t>
  </si>
  <si>
    <t>1426</t>
  </si>
  <si>
    <t>1448</t>
  </si>
  <si>
    <t>10.1017/S0033291719000151</t>
  </si>
  <si>
    <t>http://dx.doi.org/10.1017/S0033291719000151</t>
  </si>
  <si>
    <t>Psychology, Clinical; Psychiatry; Psychology</t>
  </si>
  <si>
    <t>Psychology; Psychiatry</t>
  </si>
  <si>
    <t>II0VB</t>
  </si>
  <si>
    <t>30744717</t>
  </si>
  <si>
    <t>WOS:000474922400003</t>
  </si>
  <si>
    <t>Kaul, V; Enslin, S; Gross, SA</t>
  </si>
  <si>
    <t>Artificial intelligence (AI) was first described in 1950; however, several limitations in early models prevented widespread acceptance and application to medicine. In the early 2000s, many of these limitations were overcome by the advent of deep learning. Now that AI systems are capable of analyzing complex algorithms and self-learning, we enter a new age in medicine where AI can be applied to clinical practice through risk assessment models, improving diagnostic accuracy and workflow efficiency. This article presents a brief historical perspective on the evolution of AI over the last several decades and the introduction and development of AI in medicine in recent years. A brief summary of the major applications of AI in gastroenterology and endoscopy are also presented, which are reviewed in further detail by several other articles in this issue of Gastrointestinal Endoscopy.</t>
  </si>
  <si>
    <t>Kaul, Vivek; Enslin, Sarah; Gross, Seth A.</t>
  </si>
  <si>
    <t>Gross, SA (corresponding author), NYU Langone Hlth, Div Gastroenterol &amp; Hepatol, 240 E 38 St,23 Floor, New York, NY 10016 USA.</t>
  </si>
  <si>
    <t>[Kaul, Vivek; Enslin, Sarah] Univ Rochester, Med Ctr, Div Gastroenterol &amp; Hepatol, Rochester, NY 14642 USA; [Gross, Seth A.] NYU Langone Hlth Syst, Div Gastroenterol &amp; Hepatol, New York, NY USA</t>
  </si>
  <si>
    <t>University of Rochester; NYU Langone Medical Center</t>
  </si>
  <si>
    <t>History of artificial intelligence in medicine</t>
  </si>
  <si>
    <t>GASTROINTESTINAL ENDOSCOPY</t>
  </si>
  <si>
    <t>NEURAL-NETWORKS; CANCER; PREDICTION; WATSON</t>
  </si>
  <si>
    <t>565</t>
  </si>
  <si>
    <t>798</t>
  </si>
  <si>
    <t>145</t>
  </si>
  <si>
    <t>MOSBY-ELSEVIER</t>
  </si>
  <si>
    <t>360 PARK AVENUE SOUTH, NEW YORK, NY 10010-1710 USA</t>
  </si>
  <si>
    <t>0016-5107</t>
  </si>
  <si>
    <t>1097-6779</t>
  </si>
  <si>
    <t>GASTROINTEST ENDOSC</t>
  </si>
  <si>
    <t>Gastrointest. Endosc.</t>
  </si>
  <si>
    <t>10.1016/j.gie.2020.06.040</t>
  </si>
  <si>
    <t>http://dx.doi.org/10.1016/j.gie.2020.06.040</t>
  </si>
  <si>
    <t>Gastroenterology &amp; Hepatology</t>
  </si>
  <si>
    <t>NV5JN</t>
  </si>
  <si>
    <t>32565184</t>
  </si>
  <si>
    <t>WOS:000574357800002</t>
  </si>
  <si>
    <t>Raiaan, MAK; Mukta, MSH; Fatema, K; Fahad, NM; Sakib, S; Mim, MMJ; Ahmad, J; Ali, ME; Azam, S</t>
  </si>
  <si>
    <t>Large Language Models (LLMs) recently demonstrated extraordinary capability in various natural language processing (NLP) tasks including language translation, text generation, question answering, etc. Moreover, LLMs are new and essential part of computerized language processing, having the ability to understand complex verbal patterns and generate coherent and appropriate replies in a given context. Though this success of LLMs has prompted a substantial increase in research contributions, rapid growth has made it difficult to understand the overall impact of these improvements. Since a plethora of research on LLMs have been appeared within a short time, it is quite impossible to track all of these and get an overview of the current state of research in this area. Consequently, the research community would benefit from a short but thorough review of the recent changes in this area. This article thoroughly overviews LLMs, including their history, architectures, transformers, resources, training methods, applications, impacts, challenges, etc. This paper begins by discussing the fundamental concepts of LLMs with its traditional pipeline of the LLMs training phase. Then the paper provides an overview of the existing works, the history of LLMs, their evolution over time, the architecture of transformers in LLMs, the different resources of LLMs, and the different training methods that have been used to train them. The paper also demonstrates the datasets utilized in the studies. After that, the paper discusses the wide range of applications of LLMs, including biomedical and healthcare, education, social, business, and agriculture. The study also illustrates how LLMs create an impact on society and shape the future of AI and how they can be used to solve real-world problems. Finally, the paper also explores open issues and challenges to deploy LLMs in real-world scenario. Our review paper aims to help practitioners, researchers, and experts thoroughly understand the evolution of LLMs, pre-trained architectures, applications, challenges, and future goals.</t>
  </si>
  <si>
    <t>Raiaan, Mohaimenul Azam Khan; Mukta, Md. Saddam Hossain; Fatema, Kaniz; Fahad, Nur Mohammad; Sakib, Sadman; Mim, Most Marufatul Jannat; Ahmad, Jubaer; Ali, Mohammed Eunus; Azam, Sami</t>
  </si>
  <si>
    <t>Mukta, MSH (corresponding author), Lappeenranta Lahti Univ Technol, LUT Sch Engn Sci, Lappeenranta 53850, Finland.</t>
  </si>
  <si>
    <t>Saddam.Mukta@lut.fi</t>
  </si>
  <si>
    <t>Institute of Advance Research, United International University</t>
  </si>
  <si>
    <t>No Statement Available</t>
  </si>
  <si>
    <t>[Raiaan, Mohaimenul Azam Khan; Fahad, Nur Mohammad; Sakib, Sadman; Mim, Most Marufatul Jannat; Ahmad, Jubaer] United Int Univ, Dept Comp Sci &amp; Engn, Dhaka 1212, Bangladesh; [Mukta, Md. Saddam Hossain] Lappeenranta Lahti Univ Technol, LUT Sch Engn Sci, Lappeenranta 53850, Finland; [Fatema, Kaniz; Azam, Sami] Charles Darwin Univ, Fac Sci &amp; Technol, Casuarina, NT 0909, Australia; [Ali, Mohammed Eunus] Bangladesh Univ Engn &amp; Technol BUET, Dept CSE, Dhaka 1000, Bangladesh</t>
  </si>
  <si>
    <t>United International University (UIU); Lappeenranta-Lahti University of Technology LUT; Charles Darwin University; Bangladesh University of Engineering &amp; Technology (BUET)</t>
  </si>
  <si>
    <t>A Review on Large Language Models: Architectures, Applications, Taxonomies, Open Issues and Challenges</t>
  </si>
  <si>
    <t>Cognition; Artificial intelligence; Transformers; Training; Taxonomy; Task analysis; Surveys; Natural language processing; Question answering (information retrieval); Information analysis; Linguistics; Large language models (LLM); natural language processing (NLP); artificial intelligence; transformer; pre-trained models; taxonomy; application</t>
  </si>
  <si>
    <t>GPT-4; BIAS</t>
  </si>
  <si>
    <t>Ahmed, Jubaer/Y-9306-2019; Mukta, Saddam/GOE-6033-2022; Azam, Sami/AAK-3846-2021; Ali, Mohammed Eunus/R-3686-2019</t>
  </si>
  <si>
    <t>Raiaan, Mohaimenul Azam Khan/0009-0006-4793-5382; , Most Marufatul Jannat Mim/0009-0000-7138-2331; Fatema, Kaniz/0000-0002-0787-5403; Azam, Sami/0000-0001-7572-9750; Ali, Mohammed Eunus/0000-0002-0384-7616</t>
  </si>
  <si>
    <t>186</t>
  </si>
  <si>
    <t>564</t>
  </si>
  <si>
    <t>652</t>
  </si>
  <si>
    <t>826</t>
  </si>
  <si>
    <t>26839</t>
  </si>
  <si>
    <t>26874</t>
  </si>
  <si>
    <t>10.1109/ACCESS.2024.3365742</t>
  </si>
  <si>
    <t>http://dx.doi.org/10.1109/ACCESS.2024.3365742</t>
  </si>
  <si>
    <t>JK8N3</t>
  </si>
  <si>
    <t>WOS:001173153100001</t>
  </si>
  <si>
    <t>Fang, EF; Xie, CL; Schenkel, JA; Wu, CK; Long, Q; Cui, HH; Aman, Y; Frank, J; Liao, J; Zou, HC; Wang, NY; Wu, J; Liu, XT; Li, T; Fang, Y; Niu, ZM; Yang, G; Hong, JS; Wang, Q; Chen, GB; Li, J; Chen, HZ; Kang, L; Su, HX; Gilmour, BC; Zhu, XQ; Jiang, H; He, N; Tao, J; Leng, SX; Tong, TJ; Woo, J</t>
  </si>
  <si>
    <t>One of the key issues facing public healthcare is the global trend of an increasingly ageing society which continues to present policy makers and caregivers with formidable healthcare and socio-economic challenges. Ageing is the primary contributor to a broad spectrum of chronic disorders all associated with a lower quality of life in the elderly. In 2019, the Chinese population constituted 18 % of the world population, with 164.5 million Chinese citizens aged 65 and above (65+), and 26 million aged 80 or above (80+). China has become an ageing society, and as it continues to age it will continue to exacerbate the burden borne by current family and public healthcare systems. Major healthcare challenges involved with caring for the elderly in China include the management of chronic non-communicable diseases (CNCDs), physical frailty, neurodegenerative diseases, cardiovascular diseases, with emerging challenges such as providing sufficient dental care, combating the rising prevalence of sexually transmitted diseases among nursing home communities, providing support for increased incidences of immune diseases, and the growing necessity to provide palliative care for the elderly. At the governmental level, it is necessary to make long-term strategic plans to respond to the pressures of an ageing society, especially to establish a nationwide, affordable, annual health check system to facilitate early diagnosis and provide access to affordable treatments. China has begun work on several activities to address these issues including the recent completion of the of the Ten-year Health-Care Reform project, the implementation of the Healthy China 2030 Action Plan, and the opening of the National Clinical Research Center for Geriatric Disorders. There are also societal challenges, namely the shift from an extended family system in which the younger provide home care for their elderly family members, to the current trend in which young people are increasingly migrating towards major cities for work, increasing reliance on nursing homes to compensate, especially following the outcomes of the 'one child policy' and the 'empty-nest elderly' phenomenon. At the individual level, it is important to provide avenues for people to seek and improve their own knowledge of health and disease, to encourage them to seek medical check-ups to prevent/manage illness, and to find ways to promote modifiable health-related behaviors (social activity, exercise, healthy diets, reasonable diet supplements) to enable healthier, happier, longer, and more productive lives in the elderly. Finally, at the technological or treatment level, there is a focus on modern technologies to counteract the negative effects of ageing. Researchers are striving to produce drugs that can mimic the effects of 'exercising more, eating less', while other anti-ageing molecules from molecular gerontologists could help to improve 'healthspan' in the elderly. Machine learning, 'Big Data', and other novel technologies can also be used to monitor disease patterns at the population level and may be used to inform policy design in the future. Collectively, synergies across disciplines on policies, geriatric care, drug development, personal awareness, the use of big data, machine learning and personalized medicine will transform China into a country that enables the most for its elderly, maximizing and celebrating their longevity in the coming decades. This is the 2nd edition of the review paper (Fang EF et al., Ageing Re. Rev. 2015).</t>
  </si>
  <si>
    <t>Fang, Evandro F.; Xie, Chenglong; Schenkel, Joseph A.; Wu, Chenkai; Long, Qian; Cui, Honghua; Aman, Yahyah; Frank, Johannes; Liao, Jing; Zou, Huachun; Wang, Ninie Y.; Wu, Jing; Liu, Xiaoting; Li, Tao; Fang, Yuan; Niu, Zhangming; Yang, Guang; Hong, Jiangshui; Wang, Qian; Chen, Guobing; Li, Jun; Chen, Hou-Zao; Kang, Lin; Su, Huanxing; Gilmour, Brian C.; Zhu, Xinqiang; Jiang, Hong; He, Na; Tao, Jun; Leng, Sean Xiao; Tong, Tanjun; Woo, Jean</t>
  </si>
  <si>
    <t>Fang, EF (corresponding author), Univ Oslo, Dept Clin Mol Biol, N-1478 Lorenskog, Norway.; Fang, EF (corresponding author), Akershus Univ Hosp, N-1478 Lorenskog, Norway.</t>
  </si>
  <si>
    <t>zhangming@aladdinid.com; zouhuachun@mail.sysu.edu.cn; chenhouzao@ibms.cams.cn; j.a.schenkel@durham.ac.uk; liaojing5@mail.sysu.edu.cn; nhe@fudan.edu.cn; emailofwalter@gmail.com; ttj@bjmu.edu.cn; ninie.wang@pinetreecare.com; sleng1@jhmi.edu; jing.wu@gu.se; hongh_cui@126.com; e.f.fang@medisin.uio.no; zhuxq@zju.edu.cn; litao2@genomics.cn; y.fang@erasmusmc.nl; g.yang@imperial.ac.uk; jun_li@ibms.pumc.edu.cn; jianghong73868@126.com; xiechenglong1987@126.com; qian.long@dukekunshan.edu.cn; qiansmile320@163.com; chenkai.wu@dukekunshan.edu.cn; yahyah.aman@medisin.uio.no; jeanwoowong@cuhk.edu.hk; xtliu@zju.edu.cn; briancg@student.ibv.uio.no; taojungz123@163.com; kanglin_66@126.com; jfrank0990@gmail.com; guobingchen@jnu.edu.cn; huanxingsu@um.edu.mo</t>
  </si>
  <si>
    <t>HELSE SOR-OST [2017056, 2020001]; Research Council of Norway [262175, 277813]; National Natural Science Foundation of China [81971327, 71804201, U1801285, 13ZD163]; Akershus University Hospital Strategic grant [269901]; Norwegian Cancer Society [207819]; Natural Science Foundation of China [81703278]; Australian National Health and Medical Research Council Early Career Fellowship [APP1092621]; National Science and Technology Major Project of China [2018ZX10721102]; Sanming Project of Medicine in Shenzhen [SZSM201811071]; Open Research Fund of State Key Laboratory of Molecular Vaccinology and Molecular Diagnostics [SKLVD2019KF001]; Natural Science Foundation of Guangdong Province [2018A0303130046, 2017A030310346]; SYSU Scientific Research Foundation [17ykpy15]; National Key R&amp;D Program of China [2018YFC2002104, 2018YFC2002000]; CAMS Innovation Fund for Medical Sciences (CIFMS) [2017-I2M-3-008]; Natural Science Foundation of Guangzhou City [201904010111]; Zhejiang Social Science Foundation [19YSXK02ZD]; Suzhou Municipal Science and Technology Bureau [SS2019069]; Kunshan Government Research Fund; Aladdin Healthcare Technologies</t>
  </si>
  <si>
    <t>HELSE SOR-OST; Research Council of Norway (Research Council of Norway); National Natural Science Foundation of China (National Natural Science Foundation of China (NSFC)); Akershus University Hospital Strategic grant; Norwegian Cancer Society (Norwegian Cancer Society); Natural Science Foundation of China (National Natural Science Foundation of China (NSFC)); Australian National Health and Medical Research Council Early Career Fellowship (National Health &amp; Medical Research Council (NHMRC) of Australia); National Science and Technology Major Project of China (National Science and Technology Major Project of China); Sanming Project of Medicine in Shenzhen; Open Research Fund of State Key Laboratory of Molecular Vaccinology and Molecular Diagnostics; Natural Science Foundation of Guangdong Province (National Natural Science Foundation of Guangdong Province); SYSU Scientific Research Foundation; National Key R&amp;D Program of China (National Key Research &amp; Development Program of China); CAMS Innovation Fund for Medical Sciences (CIFMS) (CAMS Innovation Fund for Medical Sciences (CIFMS)); Natural Science Foundation of Guangzhou City; Zhejiang Social Science Foundation; Suzhou Municipal Science and Technology Bureau; Kunshan Government Research Fund; Aladdin Healthcare Technologies</t>
  </si>
  <si>
    <t>The authors acknowledge the valuable work of the many investigators whose published articles they were unable to cite owing to space limitations. The authors thank Dr. Vilhelm Bohr at the NIA and University of Copenhagen for reading of the manuscript. E.F.F. is supported by HELSE SOR-OST (#2017056, #2020001), the Research Council of Norway (#262175 and #277813), the National Natural Science Foundation of China (#81971327), an Akershus University Hospital Strategic grant (#269901), and a Rosa Sloyfe grant (#207819) from the Norwegian Cancer Society. H.C.Z. is supported by the Natural Science Foundation of China Young Scientist Fund (81703278), Australian National Health and Medical Research Council Early Career Fellowship (APP1092621), National Science and Technology Major Project of China (2018ZX10721102), Sanming Project of Medicine in Shenzhen [SZSM201811071] and the Open Research Fund of State Key Laboratory of Molecular Vaccinology and Molecular Diagnostics (SKLVD2019KF001). J.L. is supported by the National Natural Science Foundation of China (71804201), the Natural Science Foundation of Guangdong Province (#2018A0303130046, #2017A030310346) and SYSU Scientific Research Foundation (#17ykpy15). L.K. is supported by National Key R&amp;D Program of China (No. 2018YFC2002104) and the CAMS Innovation Fund for Medical Sciences (CIFMS #2017-I2M-3-008). G.B.C. is supported by the National Natural Science Foundation of China (#U1801285), National Key R&amp;D Program of China (#2018YFC2002000) and the Natural Science Foundation of Guangzhou City (#201904010111). X.T.L is supported by a Major Project of National Social Science Foundation of China (13&amp;ZD163), and a Major Project of Zhejiang Social Science Foundation (19YSXK02ZD). C.W. is supported by the Suzhou Municipal Science and Technology Bureau (SS2019069). QL is supported by Kunshan Government Research Fund. We thank Bowen Liang (Sun Yat-Sen University), Chuyao Wang (University of California, Davis) for their contribution to the manuscript. Z. Niu is supported by Aladdin Healthcare Technologies.</t>
  </si>
  <si>
    <t>[Fang, Evandro F.; Xie, Chenglong; Aman, Yahyah; Frank, Johannes] Univ Oslo, Dept Clin Mol Biol, N-1478 Lorenskog, Norway; [Fang, Evandro F.; Xie, Chenglong; Aman, Yahyah; Frank, Johannes] Akershus Univ Hosp, N-1478 Lorenskog, Norway; [Fang, Evandro F.; Gilmour, Brian C.] Norwegian Ctr Healthy Ageing Age, Oslo, Norway; [Fang, Evandro F.; Tao, Jun] Sun Yat Sen Univ, Affiliated Hosp 1, Dept Hypertens &amp; Vasc Dis, Guangzhou 510080, Peoples R China; [Fang, Evandro F.; Chen, Guobing] Jinan Univ, Inst Geriatr Immunol, Sch Med, Guangzhou 510632, Peoples R China; [Fang, Evandro F.; Wang, Qian] Zhengzhou Univ, Affiliated Hosp 1, Dept Geriatr, Zhengzhou 450052, Peoples R China; [Xie, Chenglong] Wenzhou Med Univ, Dept Neurol, Affiliated Hosp 1, Wenzhou, Peoples R China; [Schenkel, Joseph A.] Univ Durham, Dept Sports &amp; Exercise Sci, Durham, England; [Wu, Chenkai; Long, Qian] Duke Kunshan Univ, Global Hlth Res Ctr, Kunshan, Peoples R China; [Wu, Chenkai] Duke Univ, Duke Global Hlth Inst, Durham, NC 27710 USA; [Cui, Honghua] Fudan Univ, Shanghai Stomatol Hosp, Dept Endodont, Shanghai, Peoples R China; [Cui, Honghua] Fudan Univ, Shanghai Stomatol Hosp, Oral Biomed Engn Lab, Shanghai, Peoples R China; [Liao, Jing] Sun Yat Sen Univ, Sch Publ Hlth, Dept Med Stat &amp; Epidemiol, Guangzhou 510275, Peoples R China; [Liao, Jing] Sun Yat Sen Univ, Sun Yat sen Global Hlth Inst, Inst State Governance, Guangzhou 510275, Peoples R China; [Zou, Huachun] Sun Yat Sen Univ, Sch Publ Hlth Shenzhen, Shenzhen, Peoples R China; [Zou, Huachun] Univ New South Wales, Kirby Inst, Sydney, NSW, Australia; [Wang, Ninie Y.] Pinetree Care Grp, 515 Tower A,Guomen Plaza, Beijing 100028, Peoples R China; [Wu, Jing] Univ Gothenburg, Dept Sociol &amp; Work Sci, SE-40530 Gothenburg, Sweden; [Liu, Xiaoting] Zhejiang Univ, Sch Publ Affairs, Hangzhou 310058, Zhejiang, Peoples R China; [Li, Tao] BGI Shenzhen, Shenzhen 518083, Peoples R China; [Li, Tao] BGI Shenzhen, China Natl GeneBank, Shenzhen 518120, Peoples R China; [Fang, Yuan] Erasmus MC, Dept Publ Hlth, Rotterdam, Netherlands; [Niu, Zhangming] Aladdin Healthcare Technol Ltd, 25 City Rd, London EC1Y 1AA, England; [Yang, Guang] Royal Brompton Hosp, Cardiovasc Res Ctr, London SW3 6NP, England; [Yang, Guang] Imperial Coll London, Natl Heart &amp; Lung Inst, London SW7 2AZ, England; [Hong, Jiangshui] Mindrank AI, Hangzhou, Zhejiang, Peoples R China; [Li, Jun; Chen, Hou-Zao] Chinese Acad Med Sci CAMS, Inst Basic Med Sci, Dept Biochem &amp; Mol Biol, 5 Dondan Santiao Rd, Beijing 100730, Peoples R China; [Li, Jun; Chen, Hou-Zao] Peking Union Med Univ PUMC, 5 Dondan Santiao Rd, Beijing 100730, Peoples R China; [Kang, Lin] Peking Union Med Coll Hosp, Dept Geriatr, Beijing 100730, Peoples R China; [Su, Huanxing] Univ Macau, Inst Chinese Med Sci, State Key Lab Qual Res Chinese Med, Macau, Peoples R China; [Zhu, Xinqiang] Zhejiang Univ, Dept Toxicol, Sch Publ Hlth, Hangzhou 310058, Zhejiang, Peoples R China; [Zhu, Xinqiang] Zhejiang Univ, Affiliated Hosp 4, Sch Med, Yiwu 322000, Zhejiang, Peoples R China; [Jiang, Hong] Cent South Univ, Xiangya Hosp, Dept Neurol, Changsha 410008, Hunan, Peoples R China; [Jiang, Hong] Cent South Univ, Key Lab Hunan Prov Neurodegenerat Disorders, Changsha, Hunan, Peoples R China; [Jiang, Hong] Cent South Univ, Xiangya Hosp, Natl Clin Res Ctr Geriatr Disorders, Changsha 410008, Hunan, Peoples R China; [He, Na] Fudan Univ, Sch Publ Hlth, Shanghai 200032, Peoples R China; [He, Na] Fudan Univ, Key Lab Publ Hlth Safety, Minist Educ, Shanghai 200032, Peoples R China; [He, Na] Fudan Univ, Key Lab Hlth Technol Assessment, Minist Hlth, Shanghai 200032, Peoples R China; [Leng, Sean Xiao] Johns Hopkins Univ, Sch Med, Div Geriatr Med &amp; Gerontol, 5505 Hopkins Bayview Circle, Baltimore, MD 21224 USA; [Tong, Tanjun] Peking Univ, Beijing Key Lab Prot Posttranslat Modificat &amp; Cel, Sch Basic Med Sci, Dept Biochem &amp; Mol Biol,Hlth Sci Ctr,Res Ctr Agei, Beijing, Peoples R China; [Woo, Jean] Chinese Univ Hong Kong, Dept Med &amp; Therapeut, Hong Kong, Peoples R China</t>
  </si>
  <si>
    <t>University of Oslo; University of Oslo; Sun Yat Sen University; Jinan University; Zhengzhou University; Wenzhou Medical University; Durham University; Duke Kunshan University; Duke University; Fudan University; Fudan University; Sun Yat Sen University; Sun Yat Sen University; Sun Yat Sen University; University of New South Wales Sydney; Kirby Institute; University of Gothenburg; Zhejiang University; Beijing Genomics Institute (BGI); Beijing Genomics Institute (BGI); Erasmus University Rotterdam; Erasmus MC; Royal Brompton Hospital; Imperial College London; Chinese Academy of Medical Sciences - Peking Union Medical College; Chinese Academy of Medical Sciences - Peking Union Medical College; Peking Union Medical College Hospital; University of Macau; Zhejiang University; Zhejiang University; Central South University; Central South University; Central South University; Fudan University; Fudan University; Fudan University; Johns Hopkins University; Johns Hopkins Medicine; Peking University; Chinese University of Hong Kong</t>
  </si>
  <si>
    <t>A research agenda for ageing in China in the 21st century (2nd edition): Focusing on basic and translational research, long-term care, policy and social networks</t>
  </si>
  <si>
    <t>AGEING RESEARCH REVIEWS</t>
  </si>
  <si>
    <t>Ageing policy; Sexually transmitted diseases; Inflammageing; Dementia; Oral ageing; Square dancing</t>
  </si>
  <si>
    <t>PRIMARY-HEALTH-CARE; OLDER-ADULTS; DEPRESSIVE SYMPTOMS; ALZHEIMERS-DISEASE; INTEGRATED CARE; INFORMAL CARE; HONG-KONG; PALLIATIVE CARE; MAINLAND CHINA; GENETIC RISK</t>
  </si>
  <si>
    <t>Wang, Ninie Yan/KIK-3458-2024; Wu, Chenkai/IYT-2809-2023; Li, Jun/JCN-7354-2023; Xie, CL/V-4896-2019; Yang, Guang/S-5032-2016; Kang, Lin/GRR-8625-2022; Fang, Evandro Fei/AAC-5511-2019; Woo, Jean/K-2625-2014; LI, TAO/AAL-5932-2020; Su, Huanxing/X-3980-2019; Zou, Huachun/IZE-0933-2023</t>
  </si>
  <si>
    <t>Aman, Yahyah/0000-0003-3222-2153; Fang, Yuan/0000-0002-9472-2703; Wang, Ninie Yan/0000-0003-0011-5329; Li, Jun/0000-0002-0179-4151; Liao, Jing/0000-0001-6370-3430; Gilmour, Brian C/0000-0002-7163-4401; Kang, Lin/0000-0002-5034-5483; Fang, Evandro Fei/0000-0003-0355-7202; Woo, Jean/0000-0001-7593-3081; LI, TAO/0000-0001-7343-9688; Chen, Hou-Zao/0000-0001-6805-3182; Su, Huanxing/0000-0003-3254-825X</t>
  </si>
  <si>
    <t>279</t>
  </si>
  <si>
    <t>633</t>
  </si>
  <si>
    <t>1568-1637</t>
  </si>
  <si>
    <t>1872-9649</t>
  </si>
  <si>
    <t>AGEING RES REV</t>
  </si>
  <si>
    <t>Ageing Res. Rev.</t>
  </si>
  <si>
    <t>DEC 2020</t>
  </si>
  <si>
    <t>101174</t>
  </si>
  <si>
    <t>10.1016/j.arr.2020.101174</t>
  </si>
  <si>
    <t>http://dx.doi.org/10.1016/j.arr.2020.101174</t>
  </si>
  <si>
    <t>Cell Biology; Geriatrics &amp; Gerontology</t>
  </si>
  <si>
    <t>PA9GI</t>
  </si>
  <si>
    <t>32971255</t>
  </si>
  <si>
    <t>WOS:000595935300013</t>
  </si>
  <si>
    <t>190</t>
  </si>
  <si>
    <t>Hu, JC; Szymczak, S</t>
  </si>
  <si>
    <t>In longitudinal studies variables are measured repeatedly over time, leading to clustered and correlated observations. If the goal of the study is to develop prediction models, machine learning approaches such as the powerful random forest (RF) are often promising alternatives to standard statistical methods, especially in the context of high-dimensional data. In this paper, we review extensions of the standard RF method for the purpose of longitudinal data analysis. Extension methods are categorized according to the data structures for which they are designed. We consider both univariate and multivariate response longitudinal data and further categorize the repeated measurements according to whether the time effect is relevant. Even though most extensions are proposed for low-dimensional data, some can be applied to high-dimensional data. Information of available software implementations of the reviewed extensions is also given. We conclude with discussions on the limitations of our review and some future research directions.</t>
  </si>
  <si>
    <t>Hu, Jianchang; Szymczak, Silke</t>
  </si>
  <si>
    <t>Szymczak, S (corresponding author), Univ Lubeck, Inst Med Biometry &amp; Stat, Ratzeburger Allee 160, D-23562 Lubeck, Germany.</t>
  </si>
  <si>
    <t>silke.szymczak@uni-luebeck.de</t>
  </si>
  <si>
    <t>German Federal Ministry of Education and Research (BMBF) [01ZX1510]</t>
  </si>
  <si>
    <t>German Federal Ministry of Education and Research (BMBF) (Federal Ministry of Education &amp; Research (BMBF))</t>
  </si>
  <si>
    <t>This work was supported by the German Federal Ministry of Education and Research (BMBF) funded e:Med Programme on Systems Medicine [grant 01ZX1510 (ComorbSysMed) to S.S.].</t>
  </si>
  <si>
    <t>[Szymczak, Silke] Univ Lubeck, Inst Med Biometry &amp; Stat, Ratzeburger Allee 160, D-23562 Lubeck, Germany; [Hu, Jianchang] Univ Lubeck, Inst Med Biometry &amp; Stat, Lubeck, Germany; [Szymczak, Silke] Univ Lubeck, Inst Med Biometry &amp; Stat, Genet Epidemiol, Lubeck, Germany</t>
  </si>
  <si>
    <t>University of Lubeck; University of Lubeck; University of Lubeck</t>
  </si>
  <si>
    <t>A review on longitudinal data analysis with random forest</t>
  </si>
  <si>
    <t>machine learning; longitudinal data; repeated measurements; clustered data; multivariate response</t>
  </si>
  <si>
    <t>MULTIVARIATE REGRESSION TREES; PRECISION MEDICINE; CLASSIFICATION; PHARMACOGENOMICS</t>
  </si>
  <si>
    <t>Szymczak, Silke/HGT-8202-2022</t>
  </si>
  <si>
    <t>Hu, Jianchang/0000-0002-0960-1043</t>
  </si>
  <si>
    <t>561</t>
  </si>
  <si>
    <t>594</t>
  </si>
  <si>
    <t>MAR 19 2023</t>
  </si>
  <si>
    <t>10.1093/bib/bbad002</t>
  </si>
  <si>
    <t>http://dx.doi.org/10.1093/bib/bbad002</t>
  </si>
  <si>
    <t>JAN 2023</t>
  </si>
  <si>
    <t>O2IY7</t>
  </si>
  <si>
    <t>36653905</t>
  </si>
  <si>
    <t>WOS:000914936600001</t>
  </si>
  <si>
    <t>Waring, J; Lindvall, C; Umeton, R</t>
  </si>
  <si>
    <t>Objective: This work aims to provide a review of the existing literature in the field of automated machine learning (AutoML) to help healthcare professionals better utilize machine learning models "off-the-shelf" with limited data science expertise. We also identify the potential opportunities and barriers to using AutoML in healthcare, as well as existing applications of AutoML in healthcare.Methods: Published papers, accompanied with code, describing work in the field of AutoML from both a computer science perspective or a biomedical informatics perspective were reviewed. We also provide a short summary of a series of AutoML challenges hosted by ChaLearn.Results: A review of 101 papers in the field of AutoML revealed that these automated techniques can match or improve upon expert human performance in certain machine learning tasks, often in a shorter amount of time. The main limitation of AutoML at this point is the ability to get these systems to work efficiently on a large scale, i.e. beyond small- and medium-size retrospective datasets.Discussion: The utilization of machine learning techniques has the demonstrated potential to improve health outcomes, cut healthcare costs, and advance clinical research. However, most hospitals are not currently deploying machine learning solutions. One reason for this is that health care professionals often lack the machine learning expertise that is necessary to build a successful model, deploy it in production, and integrate it with the clinical workflow. In order to make machine learning techniques easier to apply and to reduce the demand for human experts, automated machine learning (AutoML) has emerged as a growing field that seeks to automatically select, compose, and parametrize machine learning models, so as to achieve optimal performance on a given task and/or dataset.Conclusion: While there have already been some use cases of AutoML in the healthcare field, more work needs to be done in order for there to be widespread adoption of AutoML in healthcare.</t>
  </si>
  <si>
    <t>Waring, Jonathan; Lindvall, Charlotta; Umeton, Renato</t>
  </si>
  <si>
    <t>Waring, J (corresponding author), Dana Farber Canc Inst, Dept Informat &amp; Analyt, Boston, MA 02215 USA.</t>
  </si>
  <si>
    <t>renato_umeton@dfci.harvard.edu; jonathan_waring@dfci.harvard.edu; charlotta_lindvall@dfci.harvard.edu</t>
  </si>
  <si>
    <t>[Waring, Jonathan; Umeton, Renato] Dana Farber Canc Inst, Dept Informat &amp; Analyt, Boston, MA 02215 USA; [Waring, Jonathan; Umeton, Renato] Harvard TH Chan Sch Publ Hlth, Dept Biostat, Boston, MA 02215 USA; [Lindvall, Charlotta] Dana Farber Canc Inst, Dept Pyschosocial Oncol &amp; Palliat Care, Boston, MA 02215 USA; [Lindvall, Charlotta] Brigham &amp; Womens Hosp, Dept Med, 75 Francis St, Boston, MA 02115 USA; [Umeton, Renato] MIT, 77 Massachusetts Ave, Cambridge, MA 02139 USA</t>
  </si>
  <si>
    <t>Harvard University; Harvard University Medical Affiliates; Dana-Farber Cancer Institute; Harvard University; Harvard T.H. Chan School of Public Health; Harvard University; Harvard University Medical Affiliates; Dana-Farber Cancer Institute; Harvard University; Harvard University Medical Affiliates; Brigham &amp; Women's Hospital; Massachusetts Institute of Technology (MIT)</t>
  </si>
  <si>
    <t>Automated machine learning: Review of the state-of-the-art and opportunities for healthcare</t>
  </si>
  <si>
    <t>ARTIFICIAL INTELLIGENCE IN MEDICINE</t>
  </si>
  <si>
    <t>Machine learning; Deep learning; Automated machine learning; AutoML; Healthcare</t>
  </si>
  <si>
    <t>BIG DATA; HYPERPARAMETER OPTIMIZATION; NEURAL-NETWORKS; REPRESENTATION; ANALYTICS; SELECTION; PATIENT; SYSTEM; RISK</t>
  </si>
  <si>
    <t>Umeton, Renato/0000-0002-5561-6932</t>
  </si>
  <si>
    <t>559</t>
  </si>
  <si>
    <t>665</t>
  </si>
  <si>
    <t>303</t>
  </si>
  <si>
    <t>0933-3657</t>
  </si>
  <si>
    <t>1873-2860</t>
  </si>
  <si>
    <t>ARTIF INTELL MED</t>
  </si>
  <si>
    <t>Artif. Intell. Med.</t>
  </si>
  <si>
    <t>101822</t>
  </si>
  <si>
    <t>10.1016/j.artmed.2020.101822</t>
  </si>
  <si>
    <t>http://dx.doi.org/10.1016/j.artmed.2020.101822</t>
  </si>
  <si>
    <t>Computer Science, Artificial Intelligence; Engineering, Biomedical; Medical Informatics</t>
  </si>
  <si>
    <t>LU5OP</t>
  </si>
  <si>
    <t>32499001</t>
  </si>
  <si>
    <t>WOS:000537804900016</t>
  </si>
  <si>
    <t>Xu, KC; Lu, YY; Takei, K</t>
  </si>
  <si>
    <t>Skin-inspired wearable devices hold great potentials in the next generation of smart portable electronics owing to their intriguing applications in healthcare monitoring, soft robotics, artificial intelligence, and human-machine interfaces. Despite tremendous research efforts dedicated to judiciously tailoring wearable devices in terms of their thickness, portability, flexibility, bendability as well as stretchability, the emerging Internet of Things demand the skin-interfaced flexible systems to be endowed with additional functionalities with the capability of mimicking skin-like perception and beyond. This review covers and highlights the latest advances of burgeoning multifunctional wearable electronics, primarily including versatile multimodal sensor systems, self-healing material-based devices, and self-powered flexible sensors. To render the penetration of human-interactive devices into global markets and households, economical manufacturing techniques are crucial to achieve large-scale flexible systems with high-throughput capability. The booming innovations in this research field will push the scientific community forward and benefit human beings in the near future.</t>
  </si>
  <si>
    <t>Xu, Kaichen; Lu, Yuyao; Takei, Kuniharu</t>
  </si>
  <si>
    <t>Takei, K (corresponding author), Osaka Prefecture Univ Sakai, Dept Phys &amp; Elect, Osaka 5998531, Japan.; Takei, K (corresponding author), JST PRESTO, Kawaguchi, Saitama 3320012, Japan.</t>
  </si>
  <si>
    <t>takei@pe.osakafu-u.ac.jp</t>
  </si>
  <si>
    <t>JST PRESTO [JPMJPR17J5]; JSPS KAKENHI [JP17H04926, JP18H05472]</t>
  </si>
  <si>
    <t>JST PRESTO (Japan Science &amp; Technology Agency (JST)); JSPS KAKENHI (Ministry of Education, Culture, Sports, Science and Technology, Japan (MEXT), Japan Society for the Promotion of Science, Grants-in-Aid for Scientific Research (KAKENHI))</t>
  </si>
  <si>
    <t>This study was supported by JST PRESTO (JPMJPR17J5) and JSPS KAKENHI grants (JP17H04926 and JP18H05472). This article is part of the special series on Advanced Intelligent Systems that showcases the outstanding achievements of leading international researchers on intelligent systems.</t>
  </si>
  <si>
    <t>[Xu, Kaichen; Lu, Yuyao; Takei, Kuniharu] Osaka Prefecture Univ Sakai, Dept Phys &amp; Elect, Osaka 5998531, Japan; [Takei, Kuniharu] JST PRESTO, Kawaguchi, Saitama 3320012, Japan</t>
  </si>
  <si>
    <t>Osaka Metropolitan University; Japan Science &amp; Technology Agency (JST)</t>
  </si>
  <si>
    <t>Multifunctional Skin-Inspired Flexible Sensor Systems for Wearable Electronics</t>
  </si>
  <si>
    <t>ADVANCED MATERIALS TECHNOLOGIES</t>
  </si>
  <si>
    <t>electronic skin; flexible wearable sensors; multifunctionality; self-healable devices; self-powered systems</t>
  </si>
  <si>
    <t>ENHANCED RAMAN-SCATTERING; CARBON NANOTUBE; HIGH-PERFORMANCE; STRAIN SENSORS; TEMPERATURE SENSORS; LARGE-AREA; BIMODAL SENSOR; PRESSURE; SURFACE; TACTILE</t>
  </si>
  <si>
    <t>XU, Kaichen/B-8733-2018; Takei, Kuniharu/JAO-2276-2023</t>
  </si>
  <si>
    <t>XU, Kaichen/0000-0003-4957-3144; Takei, Kuniharu/0000-0001-9166-3747</t>
  </si>
  <si>
    <t>556</t>
  </si>
  <si>
    <t>1781</t>
  </si>
  <si>
    <t>2365-709X</t>
  </si>
  <si>
    <t>ADV MATER TECHNOL-US</t>
  </si>
  <si>
    <t>Adv. Mater. Technol.</t>
  </si>
  <si>
    <t>1800628</t>
  </si>
  <si>
    <t>10.1002/admt.201800628</t>
  </si>
  <si>
    <t>http://dx.doi.org/10.1002/admt.201800628</t>
  </si>
  <si>
    <t>HO8TT</t>
  </si>
  <si>
    <t>WOS:000461232400002</t>
  </si>
  <si>
    <t>Sahiner, B; Pezeshk, A; Hadjiiski, LM; Wang, XS; Drukker, K; Cha, KH; Summers, RM; Giger, ML</t>
  </si>
  <si>
    <t>The goals of this review paper on deep learning (DL) in medical imaging and radiation therapy are to (a) summarize what has been achieved to date; (b) identify common and unique challenges, and strategies that researchers have taken to address these challenges; and (c) identify some of the promising avenues for the future both in terms of applications as well as technical innovations. We introduce the general principles of DL and convolutional neural networks, survey five major areas of application of DL in medical imaging and radiation therapy, identify common themes, discuss methods for dataset expansion, and conclude by summarizing lessons learned, remaining challenges, and future directions.</t>
  </si>
  <si>
    <t>Sahiner, Berkman; Pezeshk, Aria; Hadjiiski, Lubomir M.; Wang, Xiaosong; Drukker, Karen; Cha, Kenny H.; Summers, Ronald M.; Giger, Maryellen L.</t>
  </si>
  <si>
    <t>Sahiner, B (corresponding author), US FDA, DIDSR, OSEL, CDRH, Silver Spring, MD 20993 USA.</t>
  </si>
  <si>
    <t>berkman.sahiner@fda.hhs.gov</t>
  </si>
  <si>
    <t>NIH [CA 195564, CA 166945, CA 189240]; University of Chicago [CTSA UL1 TR000430]; U.S. Food and Drug Administration; Intramural Research Programs of the NIH Clinical Center</t>
  </si>
  <si>
    <t>NIH (United States Department of Health &amp; Human Services, National Institutes of Health (NIH) - USA); University of Chicago (University of Chicago); U.S. Food and Drug Administration (United States Department of Health &amp; Human Services, US Food &amp; Drug Administration (FDA)); Intramural Research Programs of the NIH Clinical Center (United States Department of Health &amp; Human Services, National Institutes of Health (NIH) - USA)</t>
  </si>
  <si>
    <t>MLG and KD were supported in part by NIH grants CA 195564, CA 166945, and CA 189240; and The University of Chicago CTSA UL1 TR000430 pilot awards. KHC was supported in part through a Critical Path grant from the U.S. Food and Drug Administration, and by an appointment to the Research Participation Program at the Center for Devices and Radiological Health administered by the Oak Ridge Institute for Science and Education through an interagency agreement between the U.S. Department of Energy and the U.S. Food and Drug Administration. XW and RMS were supported by the Intramural Research Programs of the NIH Clinical Center. The mention of commercial products, their sources, or their use in connection with material reported herein is not to be construed as either an actual or implied endorsement of such products by the Department of Health and Human Services.</t>
  </si>
  <si>
    <t>[Sahiner, Berkman; Pezeshk, Aria; Cha, Kenny H.] US FDA, DIDSR, OSEL, CDRH, Silver Spring, MD 20993 USA; [Hadjiiski, Lubomir M.] Univ Michigan, Dept Radiol, Ann Arbor, MI 48109 USA; [Wang, Xiaosong; Summers, Ronald M.] NIH, Imaging Biomarkers &amp; Comp Aided Diag Lab, Radiol &amp; Imaging Sci, Clin Ctr, Bethesda, MD 20892 USA; [Drukker, Karen; Giger, Maryellen L.] Univ Chicago, Dept Radiol, Chicago, IL 60637 USA</t>
  </si>
  <si>
    <t>US Food &amp; Drug Administration (FDA); University of Michigan System; University of Michigan; National Institutes of Health (NIH) - USA; NIH Clinical Center (CC); University of Chicago</t>
  </si>
  <si>
    <t>Deep learning in medical imaging and radiation therapy</t>
  </si>
  <si>
    <t>MEDICAL PHYSICS</t>
  </si>
  <si>
    <t>computer-aided detection/characterization; deep learning, machine learning; reconstruction; segmentation; treatment</t>
  </si>
  <si>
    <t>CONVOLUTIONAL NEURAL-NETWORK; COMPUTER-AIDED DIAGNOSIS; FALSE-POSITIVE REDUCTION; BREAST-CANCER DIAGNOSIS; DECISION-SUPPORT-SYSTEM; CLINICAL TARGET VOLUME; LOW-DOSE CT; AUTOMATIC SEGMENTATION; LEFT-VENTRICLE; DOMAIN ADAPTATION</t>
  </si>
  <si>
    <t>SAHINER, BERKMAN/Y-2482-2019; Summers, Ronald/AAX-6290-2021; Giger, Maryellen/AAH-1908-2021; Drukker, Karen/ABA-4844-2020; Wang, Xiaosong/Q-5040-2018</t>
  </si>
  <si>
    <t>SAHINER, BERKMAN/0000-0003-2804-2264; Drukker, Karen/0000-0001-6544-3476; Wang, Xiaosong/0000-0002-3840-5658</t>
  </si>
  <si>
    <t>383</t>
  </si>
  <si>
    <t>654</t>
  </si>
  <si>
    <t>441</t>
  </si>
  <si>
    <t>0094-2405</t>
  </si>
  <si>
    <t>2473-4209</t>
  </si>
  <si>
    <t>MED PHYS</t>
  </si>
  <si>
    <t>Med. Phys.</t>
  </si>
  <si>
    <t>e1</t>
  </si>
  <si>
    <t>e36</t>
  </si>
  <si>
    <t>10.1002/mp.13264</t>
  </si>
  <si>
    <t>http://dx.doi.org/10.1002/mp.13264</t>
  </si>
  <si>
    <t>HG5PJ</t>
  </si>
  <si>
    <t>30367497</t>
  </si>
  <si>
    <t>WOS:000455029900001</t>
  </si>
  <si>
    <t>183</t>
  </si>
  <si>
    <t>Mahmoudi, M; Landry, MP; Moore, A; Coreas, R</t>
  </si>
  <si>
    <t>The protein corona spontaneously develops and evolves on the surface of nanoscale materials when they are exposed to biological environments, altering their physiochemical properties and affecting their subsequent interactions with biosystems. In this Review, we provide an overview of the current state of protein corona research in nanomedicine. We next discuss remaining challenges in the research methodology and characterization of the protein corona that slow the development of nanoparticle therapeutics and diagnostics, and we address how artificial intelligence can advance protein corona research as a complement to experimental research efforts. We then review emerging opportunities provided by the protein corona to address major issues in healthcare and environmental sciences. This Review details how mechanistic insights into nanoparticle protein corona formation can broadly address unmet clinical and environmental needs, as well as enhance the safety and efficacy of nanobiotechnology products.Understanding the protein corona can advance nanomedicinal developments and elucidate how nanomaterials impact the environment. This Review discusses the evolution and challenges in characterizing the protein corona, explores how artificial intelligence can supplement experimental efforts and exposes emerging opportunities in nanomedicine and the environment.</t>
  </si>
  <si>
    <t>Mahmoudi, Morteza; Landry, Markita P.; Moore, Anna; Coreas, Roxana</t>
  </si>
  <si>
    <t>Mahmoudi, M (corresponding author), Michigan State Univ, Dept Radiol &amp; Precis Hlth Program, E Lansing, MI 48824 USA.; Coreas, R (corresponding author), Univ Calif Berkeley, Dept Chem &amp; Biomol Engn, Berkeley, CA 94720 USA.</t>
  </si>
  <si>
    <t>roxanacoreas@berkeley.edu; mahmou22@msu.edu</t>
  </si>
  <si>
    <t>US National Institute of Diabetes and Digestive and Kidney Diseases [DK131417]; Burroughs Wellcome Fund Career Award at the Scientific Interface; Dreyfus Foundation Award; Philomathia Foundation; NIH MIRA Award [R35GM128922]; NIH R21 NIDA [1R03DA052810]; NSF CAREER Award [2046159]; NSF CBET Award [1733575]; Sloan Foundation Award; USDA BBT EAGER Award; CZI; Moore Foundation Award; DOE Office of Science [DE-SC0020366]; U.S. Department of Energy (DOE) [DE-SC0020366] Funding Source: U.S. Department of Energy (DOE); National Institute of Diabetes and Digestive and Kidney Diseases [R01DK131417] Funding Source: NIH RePORTER; National Institute of General Medical Sciences [R35GM128922] Funding Source: NIH RePORTER; Directorate For Engineering; Div Of Chem, Bioeng, Env, &amp; Transp Sys [2046159, 1733575] Funding Source: National Science Foundation</t>
  </si>
  <si>
    <t>US National Institute of Diabetes and Digestive and Kidney Diseases (United States Department of Health &amp; Human Services, National Institutes of Health (NIH) - USA, NIH National Institute of Diabetes &amp; Digestive &amp; Kidney Diseases (NIDDK)); Burroughs Wellcome Fund Career Award at the Scientific Interface (Burroughs Wellcome Fund); Dreyfus Foundation Award; Philomathia Foundation (ACEV Foundation); NIH MIRA Award; NIH R21 NIDA; NSF CAREER Award (National Science Foundation (NSF), NSF - Office of the Director (OD)); NSF CBET Award (National Science Foundation (NSF)); Sloan Foundation Award (Alfred P. Sloan Foundation); USDA BBT EAGER Award; CZI (Chan Zuckerberg Initiative (CZI)); Moore Foundation Award; DOE Office of Science (United States Department of Energy (DOE)); U.S. Department of Energy (DOE) (United States Department of Energy (DOE)); National Institute of Diabetes and Digestive and Kidney Diseases (United States Department of Health &amp; Human Services, National Institutes of Health (NIH) - USA, NIH National Institute of Diabetes &amp; Digestive &amp; Kidney Diseases (NIDDK)); National Institute of General Medical Sciences (United States Department of Health &amp; Human Services, National Institutes of Health (NIH) - USA, NIH National Institute of General Medical Sciences (NIGMS)); Directorate For Engineering; Div Of Chem, Bioeng, Env, &amp; Transp Sys (National Science Foundation (NSF), NSF - Directorate for Engineering (ENG))</t>
  </si>
  <si>
    <t>The authors acknowledge support of the US National Institute of Diabetes and Digestive and Kidney Diseases (grant DK131417) (to M.M.), a Burroughs Wellcome Fund Career Award at the Scientific Interface (to M.P.L.), a Dreyfus Foundation Award (to M.P.L.), the Philomathia Foundation (to M.P.L.), an NIH MIRA Award R35GM128922 (to M.P.L.), an NIH R21 NIDA Award 1R03DA052810 (to M.P.L.), an NSF CAREER Award 2046159 (to M.P.L.), an NSF CBET Award 1733575 (to M.P.L.), a CZI Imaging Award (to M.P.L.), a Sloan Foundation Award (to M.P.L.), a USDA BBT EAGER Award (to M.P.L.), a Moore Foundation Award (to M.P.L.) and a DOE Office of Science grant DE-SC0020366 (to M.P.L.). M.P.L. is a Chan Zuckerberg Biohub investigator, a Hellen Wills Neuroscience Institute investigator and an IGI investigator.</t>
  </si>
  <si>
    <t>[Mahmoudi, Morteza; Moore, Anna] Michigan State Univ, Dept Radiol &amp; Precis Hlth Program, E Lansing, MI 48824 USA; [Landry, Markita P.; Coreas, Roxana] Univ Calif Berkeley, Dept Chem &amp; Biomol Engn, Berkeley, CA 94720 USA; [Landry, Markita P.] Innovat Genom Inst, Berkeley, CA USA; [Landry, Markita P.] Univ Calif Berkeley, Calif Inst Quantitat Biosci, Berkeley, CA USA; [Landry, Markita P.] Chan Zuckerberg Biohub, San Francisco, CA USA</t>
  </si>
  <si>
    <t>Michigan State University; University of California System; University of California Berkeley; University of California System; University of California Berkeley; Chan Zuckerberg Initiative (CZI)</t>
  </si>
  <si>
    <t>The protein corona from nanomedicine to environmental science</t>
  </si>
  <si>
    <t>NATURE REVIEWS MATERIALS</t>
  </si>
  <si>
    <t>IRON-OXIDE NANOPARTICLES; SMALL ORGANIC-COMPOUNDS; HUMAN BLOOD-PLASMA; ENGINEERED NANOPARTICLES; BIOMOLECULAR CORONA; POLYSTYRENE NANOPARTICLES; SILVER NANOPARTICLES; BIOMARKER DISCOVERY; BIOLOGICAL IDENTITY; SURFACE-PROPERTIES</t>
  </si>
  <si>
    <t>Coreas, Roxana/0000-0001-6057-4717; Landry, Markita/0000-0002-5832-8522</t>
  </si>
  <si>
    <t>549</t>
  </si>
  <si>
    <t>424</t>
  </si>
  <si>
    <t>2058-8437</t>
  </si>
  <si>
    <t>NAT REV MATER</t>
  </si>
  <si>
    <t>Nat. Rev. Mater.</t>
  </si>
  <si>
    <t>422</t>
  </si>
  <si>
    <t>438</t>
  </si>
  <si>
    <t>10.1038/s41578-023-00552-2</t>
  </si>
  <si>
    <t>http://dx.doi.org/10.1038/s41578-023-00552-2</t>
  </si>
  <si>
    <t>Nanoscience &amp; Nanotechnology; Materials Science, Multidisciplinary</t>
  </si>
  <si>
    <t>Science &amp; Technology - Other Topics; Materials Science</t>
  </si>
  <si>
    <t>K8KF5</t>
  </si>
  <si>
    <t>37361608</t>
  </si>
  <si>
    <t>WOS:000955844700001</t>
  </si>
  <si>
    <t>Bronze; Green Accepted</t>
  </si>
  <si>
    <t>205</t>
  </si>
  <si>
    <t>Bhinder, B; Gilvary, C; Madhukar, NS; Elemento, O</t>
  </si>
  <si>
    <t>Artificial intelligence (AI) is rapidly reshaping cancer research and personalized clinical care. Availability of high-dimensionality datasets coupled with advances in high-performance computing, as well as innovative deep learning architectures, has led to an explosion of AI use in various aspects of oncology research. These applications range from detection and classification of cancer, to molecular characterization of tumors and their microenvironment, to drug discovery and repurposing, to predicting treatment outcomes for patients. As these advances start penetrating the clinic, we foresee a shifting paradigm in cancer care becoming strongly driven by AI.Significance: AI has the potential to dramatically affect nearly all aspects of oncology-from enhancing diagnosis to personalizing treatment and discovering novel anticancer drugs. Here, we review the recent enormous progress in the application of AI to oncology, highlight limitations and pitfalls, and chart a path for adoption of AI in the cancer clinic.</t>
  </si>
  <si>
    <t>Bhinder, Bhavneet; Gilvary, Coryandar; Madhukar, Neel S.; Elemento, Olivier</t>
  </si>
  <si>
    <t>Elemento, O (corresponding author), Weill Cornell Med, Box 140,1305 York Ave, New York, NY 10065 USA.</t>
  </si>
  <si>
    <t>ole2001@med.cornell.edu</t>
  </si>
  <si>
    <t>NIH [UL1TR002384, R01CA194547]; Leukemia and Lymphoma Society Specialized Center of Research [180078-02, 7021-20]; National Center for Advancing Translational Sciences [UL1TR002384] Funding Source: NIH RePORTER</t>
  </si>
  <si>
    <t>NIH (United States Department of Health &amp; Human Services, National Institutes of Health (NIH) - USA); Leukemia and Lymphoma Society Specialized Center of Research; National Center for Advancing Translational Sciences (United States Department of Health &amp; Human Services, National Institutes of Health (NIH) - USA, NIH National Center for Advancing Translational Sciences (NCATS))</t>
  </si>
  <si>
    <t>O. Elemento is supported by NIH grants UL1TR002384 and R01CA194547, and the Leukemia and Lymphoma Society Specialized Center of Research grants 180078-02 and 7021-20.</t>
  </si>
  <si>
    <t>[Bhinder, Bhavneet; Elemento, Olivier] Weill Cornell Med, Caryl &amp; Israel Englander Inst Precis Med, New York, NY 10065 USA; [Bhinder, Bhavneet; Elemento, Olivier] Weill Cornell Med, Dept Physiol &amp; Biophys, New York, NY 10065 USA; [Gilvary, Coryandar; Madhukar, Neel S.; Elemento, Olivier] OneThree Biotech, New York, NY USA</t>
  </si>
  <si>
    <t>Cornell University; Weill Cornell Medicine; Cornell University; Weill Cornell Medicine</t>
  </si>
  <si>
    <t>Artificial Intelligence in Cancer Research and Precision Medicine</t>
  </si>
  <si>
    <t>CANCER DISCOVERY</t>
  </si>
  <si>
    <t>CONVOLUTIONAL NEURAL-NETWORK; DEEP LEARNING-MODEL; PREDICTING DRUG RESPONSE; UNKNOWN PRIMARY SITE; CLINICAL-RELEVANCE; COLORECTAL-CANCER; TUMOR; CLASSIFICATION; CARCINOMA; MACHINE</t>
  </si>
  <si>
    <t>Elemento, Olivier/ADL-3192-2022</t>
  </si>
  <si>
    <t>653</t>
  </si>
  <si>
    <t>AMER ASSOC CANCER RESEARCH</t>
  </si>
  <si>
    <t>615 CHESTNUT ST, 17TH FLOOR, PHILADELPHIA, PA 19106-4404 USA</t>
  </si>
  <si>
    <t>2159-8274</t>
  </si>
  <si>
    <t>2159-8290</t>
  </si>
  <si>
    <t>CANCER DISCOV</t>
  </si>
  <si>
    <t>Cancer Discov.</t>
  </si>
  <si>
    <t>900</t>
  </si>
  <si>
    <t>915</t>
  </si>
  <si>
    <t>10.1158/2159-8290.CD-21-0090</t>
  </si>
  <si>
    <t>http://dx.doi.org/10.1158/2159-8290.CD-21-0090</t>
  </si>
  <si>
    <t>RI5QV</t>
  </si>
  <si>
    <t>33811123</t>
  </si>
  <si>
    <t>WOS:000636962700011</t>
  </si>
  <si>
    <t>Ciotti, M; Ciccozzi, M; Terrinoni, A; Jiang, WC; Wang, CB; Bernardini, S</t>
  </si>
  <si>
    <t>In December 2019, an outbreak of pneumonia of unknown origin was reported in Wuhan, Hubei Province, China. Pneumonia cases were epidemiologically linked to the Huanan Seafood Wholesale Market. Inoculation of respiratory samples into human airway epithelial cells, Vero E6 and Huh7 cell lines, led to the isolation of a novel respiratory virus whose genome analysis showed it to be a novel coronavirus related to SARS-CoV, and therefore named severe acute respiratory syndrome coronavirus 2 (SARS-CoV-2). SARS-CoV-2 is a betacoronavirus belonging to the subgenusSarbecovirus. The global spread of SARS-CoV-2 and the thousands of deaths caused by coronavirus disease (COVID-19) led the World Health Organization to declare a pandemic on 12 March 2020. To date, the world has paid a high toll in this pandemic in terms of human lives lost, economic repercussions and increased poverty. In this review, we provide information regarding the epidemiology, serological and molecular diagnosis, origin of SARS-CoV-2 and its ability to infect human cells, and safety issues. Then we focus on the available therapies to fight COVID-19, the development of vaccines, the role of artificial intelligence in the management of the pandemic and limiting the spread of the virus, the impact of the COVID-19 epidemic on our lifestyle, and preparation for a possible second wave.</t>
  </si>
  <si>
    <t>Ciotti, Marco; Ciccozzi, Massimo; Terrinoni, Alessandro; Jiang, Wen-Can; Wang, Cheng-Bin; Bernardini, Sergio</t>
  </si>
  <si>
    <t>Bernardini, S (corresponding author), Univ Tor Vergata, Dept Expt Med, Via Montpellier 1, I-00133 Rome, Italy.</t>
  </si>
  <si>
    <t>bernardini@med.uniroma2.it</t>
  </si>
  <si>
    <t>[Ciotti, Marco] Tor Vergata Univ Covid Hosp, Virol Unit, Rome, Italy; [Ciccozzi, Massimo] Univ Campus Biomed Rome, Unit Med Stat &amp; Mol Epidemiol, Rome, Italy; [Terrinoni, Alessandro; Bernardini, Sergio] Univ Tor Vergata, Dept Expt Med, Via Montpellier 1, I-00133 Rome, Italy; [Jiang, Wen-Can; Wang, Cheng-Bin] Chinese Peoples Liberat Army Gen Hosp, Dept Lab Med, Beijing, Peoples R China; [Bernardini, Sergio] Int Federat Clin Chem &amp; Lab Med IFCC, Emerging Technol Div, Milan, Italy</t>
  </si>
  <si>
    <t>University Campus Bio-Medico - Rome Italy; University of Rome Tor Vergata; Chinese People's Liberation Army General Hospital</t>
  </si>
  <si>
    <t>The COVID-19 pandemic</t>
  </si>
  <si>
    <t>CRITICAL REVIEWS IN CLINICAL LABORATORY SCIENCES</t>
  </si>
  <si>
    <t>SARS-CoV-2; rRT-PCR; COVID-19; cytokine storm; pneumonia; ACE2; serology</t>
  </si>
  <si>
    <t>RESPIRATORY SYNDROME CORONAVIRUS; DISEASE 2019; SARS-CORONAVIRUS; CLINICAL CHARACTERISTICS; PROTEIN; APOPTOSIS; SARS-COV-2; REPLICATION; INFECTION; PNEUMONIA</t>
  </si>
  <si>
    <t>TERRINONI, Alessandro/J-1533-2012; Ciccozzi, Massimo/AAC-3271-2022</t>
  </si>
  <si>
    <t>544</t>
  </si>
  <si>
    <t>TAYLOR &amp; FRANCIS LTD</t>
  </si>
  <si>
    <t>ABINGDON</t>
  </si>
  <si>
    <t>2-4 PARK SQUARE, MILTON PARK, ABINGDON OR14 4RN, OXON, ENGLAND</t>
  </si>
  <si>
    <t>1040-8363</t>
  </si>
  <si>
    <t>1549-781X</t>
  </si>
  <si>
    <t>CRIT REV CL LAB SCI</t>
  </si>
  <si>
    <t>Crit. Rev. Clin. Lab. Sci.</t>
  </si>
  <si>
    <t>AUG 17 2020</t>
  </si>
  <si>
    <t>365</t>
  </si>
  <si>
    <t>10.1080/10408363.2020.1783198</t>
  </si>
  <si>
    <t>http://dx.doi.org/10.1080/10408363.2020.1783198</t>
  </si>
  <si>
    <t>Medical Laboratory Technology</t>
  </si>
  <si>
    <t>ND4LK</t>
  </si>
  <si>
    <t>WOS:000547158200001</t>
  </si>
  <si>
    <t>131</t>
  </si>
  <si>
    <t>Fleuren, LM; Klausch, TLT; Zwager, CL; Schoonmade, LJ; Guo, TJ; Roggeveen, LF; Swart, EL; Girbes, ARJ; Thoral, P; Ercole, A; Hoogendoorn, M; Elbers, PWG</t>
  </si>
  <si>
    <t>Purpose Early clinical recognition of sepsis can be challenging. With the advancement of machine learning, promising real-time models to predict sepsis have emerged. We assessed their performance by carrying out a systematic review and meta-analysis. Methods A systematic search was performed in PubMed, Embase.com and Scopus. Studies targeting sepsis, severe sepsis or septic shock in any hospital setting were eligible for inclusion. The index test was any supervised machine learning model for real-time prediction of these conditions. Quality of evidence was assessed using the Grading of Recommendations Assessment, Development and Evaluation (GRADE) methodology, with a tailored Quality Assessment of Diagnostic Accuracy Studies (QUADAS-2) checklist to evaluate risk of bias. Models with a reported area under the curve of the receiver operating characteristic (AUROC) metric were meta-analyzed to identify strongest contributors to model performance. Results After screening, a total of 28 papers were eligible for synthesis, from which 130 models were extracted. The majority of papers were developed in the intensive care unit (ICU, n = 15; 54%), followed by hospital wards (n = 7; 25%), the emergency department (ED, n = 4; 14%) and all of these settings (n = 2; 7%). For the prediction of sepsis, diagnostic test accuracy assessed by the AUROC ranged from 0.68-0.99 in the ICU, to 0.96-0.98 in-hospital and 0.87 to 0.97 in the ED. Varying sepsis definitions limit pooling of the performance across studies. Only three papers clinically implemented models with mixed results. In the multivariate analysis, temperature, lab values, and model type contributed most to model performance. Conclusion This systematic review and meta-analysis show that on retrospective data, individual machine learning models can accurately predict sepsis onset ahead of time. Although they present alternatives to traditional scoring systems, between-study heterogeneity limits the assessment of pooled results. Systematic reporting and clinical implementation studies are needed to bridge the gap between bytes and bedside.</t>
  </si>
  <si>
    <t>Fleuren, Lucas M.; Klausch, Thomas L. T.; Zwager, Charlotte L.; Schoonmade, Linda J.; Guo, Tingjie; Roggeveen, Luca F.; Swart, Eleonora L.; Girbes, Armand R. J.; Thoral, Patrick; Ercole, Ari; Hoogendoorn, Mark; Elbers, Paul W. G.</t>
  </si>
  <si>
    <t>Fleuren, LM (corresponding author), Vrije Univ Amsterdam, Amsterdam UMC, Res VUmc Intens Care Rev, Locat VUmc,Dept Intens Care Med,AI&amp;II,ACS,AMDS, Amsterdam, Netherlands.; Fleuren, LM (corresponding author), Vrije Univ Amsterdam, Dept Comp Sci, Computat Intelligence Grp, Amsterdam, Netherlands.</t>
  </si>
  <si>
    <t>l.fleuren@amsterdamumc.nl</t>
  </si>
  <si>
    <t>[Fleuren, Lucas M.; Zwager, Charlotte L.; Guo, Tingjie; Roggeveen, Luca F.; Girbes, Armand R. J.; Thoral, Patrick; Elbers, Paul W. G.] Vrije Univ Amsterdam, Amsterdam UMC, Res VUmc Intens Care Rev, Locat VUmc,Dept Intens Care Med,AI&amp;II,ACS,AMDS, Amsterdam, Netherlands; [Fleuren, Lucas M.; Roggeveen, Luca F.; Hoogendoorn, Mark] Vrije Univ Amsterdam, Dept Comp Sci, Computat Intelligence Grp, Amsterdam, Netherlands; [Klausch, Thomas L. T.] Vrije Univ Amsterdam, Locat VUmc, Amsterdam UMC, Dept Epidemiol &amp; Biostat, Vu Amsterdam, Netherlands; [Schoonmade, Linda J.] Vrije Univ Amsterdam, Locat VUmc, Amsterdam UMC, Med Lib, Amsterdam, Netherlands; [Swart, Eleonora L.] Vrije Univ Amsterdam, Locat VUmc, Amsterdam UMC, Dept Pharm, Amsterdam, Netherlands; [Ercole, Ari] Univ Cambridge, Div Anaesthesia, Cambridge, England; [Ercole, Ari; Elbers, Paul W. G.] European Soc Intens Care Med, Data Sci Sect, Brussels, Belgium</t>
  </si>
  <si>
    <t>Vrije Universiteit Amsterdam; University of Amsterdam; Vrije Universiteit Amsterdam; Vrije Universiteit Amsterdam; University of Amsterdam; Vrije Universiteit Amsterdam; University of Amsterdam; Vrije Universiteit Amsterdam; University of Cambridge</t>
  </si>
  <si>
    <t>Machine learning for the prediction of sepsis: a systematic review and meta-analysis of diagnostic test accuracy</t>
  </si>
  <si>
    <t>INTENSIVE CARE MEDICINE</t>
  </si>
  <si>
    <t>Machine learning; Sepsis; Septic shock; Prediction; Systematic review; Meta-analysis</t>
  </si>
  <si>
    <t>INTERNATIONAL CONSENSUS DEFINITIONS; SEPTIC SHOCK; MORTALITY; PERFORMANCE; CRITERIA; TRENDS; MODEL</t>
  </si>
  <si>
    <t>Elbers, Paul/AHA-0344-2022; Guo, Tingjie/MSX-7641-2025; Schoonmade, Linda/P-4413-2019; Ercole, Ari/B-6288-2009</t>
  </si>
  <si>
    <t>Swart, Eleonora/0000-0001-5138-7784; Roggeveen, Luca/0000-0001-6992-5587; Guo, Tingjie/0000-0002-7892-6220; Schoonmade, Linda/0000-0002-2407-5977; Ercole, Ari/0000-0001-8350-8093; Hoogendoorn, Mark/0000-0003-3356-3574</t>
  </si>
  <si>
    <t>537</t>
  </si>
  <si>
    <t>620</t>
  </si>
  <si>
    <t>180</t>
  </si>
  <si>
    <t>0342-4642</t>
  </si>
  <si>
    <t>1432-1238</t>
  </si>
  <si>
    <t>INTENS CARE MED</t>
  </si>
  <si>
    <t>Intensive Care Med.</t>
  </si>
  <si>
    <t>MAR 2020</t>
  </si>
  <si>
    <t>10.1007/s00134-019-05872-y</t>
  </si>
  <si>
    <t>http://dx.doi.org/10.1007/s00134-019-05872-y</t>
  </si>
  <si>
    <t>Critical Care Medicine</t>
  </si>
  <si>
    <t>KU8KH</t>
  </si>
  <si>
    <t>31965266</t>
  </si>
  <si>
    <t>WOS:000519960500001</t>
  </si>
  <si>
    <t>Wang, ZL</t>
  </si>
  <si>
    <t>Although the contact electrification (CE) (or usually called 'triboelectrification') effect has been known for over 2600 years, its scientific mechanism still remains debated after decades. Interest in studying CE has been recently revisited due to the invention of triboelectric nanogenerators (TENGs), which are the most effective approach for converting random, low-frequency mechanical energy (called high entropy energy) into electric power for distributed energy applications. This review is composed of three parts that are coherently linked, ranging from basic physics, through classical electrodynamics, to technological advances and engineering applications. First, the mechanisms of CE are studied for general cases involving solids, liquids and gas phases. Various physics models are presented to explain the fundamentals of CE by illustrating that electron transfer is the dominant mechanism for CE for solid-solid interfaces. Electron transfer also occurs in the CE at liquid-solid and liquid-liquid interfaces. An electron-cloud overlap model is proposed to explain CE in general. This electron transfer model is extended to liquid-solid interfaces, leading to a revision of the formation mechanism of the electric double layer at liquid-solid interfaces. Second, by adding a time-dependent polarization term P (s) created by the CE-induced surface electrostatic charges in the displacement field D , we expand Maxwell's equations to include both the medium polarizations due to electric field ( P ) and mechanical aggitation and medium boundary movement induced polarization term ( P (s)). From these, the output power, electromagnetic (EM) behaviour and current transport equation for a TENG are systematically derived from first principles. A general solution is presented for the modified Maxwell's equations, and analytical solutions for the output potential are provided for a few cases. The displacement current arising from epsilon partial differential E/ partial differential t is responsible for EM waves, while the newly added term partial differential P (s)/ partial differential t is responsible for energy and sensors. This work sets the standard theory for quantifying the performance and EM behaviour of TENGs in general. Finally, we review the applications of TENGs for harvesting all kinds of available mechanical energy that is wasted in our daily life, such as human motion, walking, vibration, mechanical triggering, rotating tires, wind, flowing water and more. A summary is provided about the applications of TENGs in energy science, environmental protection, wearable electronics, self-powered sensors, medical science, robotics and artificial intelligence.</t>
  </si>
  <si>
    <t>Wang, Zhong Lin</t>
  </si>
  <si>
    <t>Wang, ZL (corresponding author), Chinese Acad Sci, Beijing Inst Nanoenergy &amp; Nanosyst, Beijing 100083, Peoples R China.; Wang, ZL (corresponding author), Georgia Inst Technol, Sch Mat Sci &amp; Engn, Atlanta, GA 30332 USA.; Wang, ZL (corresponding author), Univ Chinese Acad Sci, Sch Nanosci &amp; Technol, Beijing 100049, Peoples R China.</t>
  </si>
  <si>
    <t>zhong.wang@mse.gatech.edu</t>
  </si>
  <si>
    <t>[Wang, Zhong Lin] Chinese Acad Sci, Beijing Inst Nanoenergy &amp; Nanosyst, Beijing 100083, Peoples R China; [Wang, Zhong Lin] Georgia Inst Technol, Sch Mat Sci &amp; Engn, Atlanta, GA 30332 USA; [Wang, Zhong Lin] Univ Chinese Acad Sci, Sch Nanosci &amp; Technol, Beijing 100049, Peoples R China</t>
  </si>
  <si>
    <t>Chinese Academy of Sciences; Beijing Institute of Nanoenergy &amp; Nanosystems, CAS; University System of Georgia; Georgia Institute of Technology; Chinese Academy of Sciences; University of Chinese Academy of Sciences, CAS</t>
  </si>
  <si>
    <t>From contact electrification to triboelectric nanogenerators</t>
  </si>
  <si>
    <t>REPORTS ON PROGRESS IN PHYSICS</t>
  </si>
  <si>
    <t>contact electrification; triboelectric nanogenerator; self-powered sensor; displacement current</t>
  </si>
  <si>
    <t>WATER-WAVE ENERGY; SCAVENGING BIOMECHANICAL ENERGY; FIGURE-OF-MERITS; PRESSURE SENSORS; HYBRID NANOGENERATOR; THERMIONIC EMISSION; KEYSTROKE DYNAMICS; COMPUTER-INTERFACE; MECHANICAL ENERGY; POWER MANAGEMENT</t>
  </si>
  <si>
    <t>Wang, Zhong Lin/E-2176-2011</t>
  </si>
  <si>
    <t>Wang, Zhong Lin/0000-0002-5530-0380</t>
  </si>
  <si>
    <t>246</t>
  </si>
  <si>
    <t>535</t>
  </si>
  <si>
    <t>578</t>
  </si>
  <si>
    <t>IOP Publishing Ltd</t>
  </si>
  <si>
    <t>Bristol</t>
  </si>
  <si>
    <t>No.2 The Distillery, Glassfields, Avon Street, Bristol, ENGLAND</t>
  </si>
  <si>
    <t>0034-4885</t>
  </si>
  <si>
    <t>1361-6633</t>
  </si>
  <si>
    <t>REP PROG PHYS</t>
  </si>
  <si>
    <t>Rep. Prog. Phys.</t>
  </si>
  <si>
    <t>SEP 2021</t>
  </si>
  <si>
    <t>096502</t>
  </si>
  <si>
    <t>10.1088/1361-6633/ac0a50</t>
  </si>
  <si>
    <t>http://dx.doi.org/10.1088/1361-6633/ac0a50</t>
  </si>
  <si>
    <t>UO0ZI</t>
  </si>
  <si>
    <t>34111846</t>
  </si>
  <si>
    <t>WOS:000694432000001</t>
  </si>
  <si>
    <t>Mennella, C; Maniscalco, U; De Pietro, G; Esposito, M</t>
  </si>
  <si>
    <t>Over the past decade, there has been a notable surge in AI-driven research, specifically geared toward enhancing crucial clinical processes and outcomes. The potential of AI-powered decision support systems to streamline clinical workflows, assist in diagnostics, and enable personalized treatment is increasingly evident. Nevertheless, the introduction of these cutting-edge solutions poses substantial challenges in clinical and care environments, necessitating a thorough exploration of ethical, legal, and regulatory considerations. A robust governance framework is imperative to foster the acceptance and successful implementation of AI in healthcare. This article delves deep into the critical ethical and regulatory concerns entangled with the deployment of AI systems in clinical practice. It not only provides a comprehensive overview of the role of AI technologies but also offers an insightful perspective on the ethical and regulatory challenges, making a pioneering contribution to the field. This research aims to address the current challenges in digital healthcare by presenting valuable recommendations for all stakeholders eager to advance the development and implementation of innovative AI systems.</t>
  </si>
  <si>
    <t>Mennella, Ciro; Maniscalco, Umberto; De Pietro, Giuseppe; Esposito, Massimo</t>
  </si>
  <si>
    <t>Maniscalco, U (corresponding author), CNR, Inst High Performance Comp &amp; Networking, ICAR, Rome, Italy.</t>
  </si>
  <si>
    <t>umberto.maniscalco@icar.cnr.it</t>
  </si>
  <si>
    <t>[Mennella, Ciro; Maniscalco, Umberto; De Pietro, Giuseppe; Esposito, Massimo] CNR, Inst High Performance Comp &amp; Networking, ICAR, Rome, Italy</t>
  </si>
  <si>
    <t>Consiglio Nazionale delle Ricerche (CNR); Istituto di Calcolo e Reti ad Alte Prestazioni (ICAR-CNR)</t>
  </si>
  <si>
    <t>Ethical and regulatory challenges of AI technologies in healthcare: A narrative review</t>
  </si>
  <si>
    <t>HELIYON</t>
  </si>
  <si>
    <t>Artificial intelligence; Technologies; Decision-making; Healthcare; Ethics; Regulatory guidelines</t>
  </si>
  <si>
    <t>ARTIFICIAL-INTELLIGENCE; OPPORTUNITIES; ISSUES</t>
  </si>
  <si>
    <t>MENNELLA, CIRO/HPH-2478-2023; De Pietro, Giuseppe/AAZ-1151-2020; Maniscalco, Umberto/GWC-0660-2022</t>
  </si>
  <si>
    <t>MENNELLA, CIRO/0000-0003-0419-7181; Maniscalco, Umberto/0000-0002-7157-8411</t>
  </si>
  <si>
    <t>107</t>
  </si>
  <si>
    <t>248</t>
  </si>
  <si>
    <t>2405-8440</t>
  </si>
  <si>
    <t>Heliyon</t>
  </si>
  <si>
    <t>FEB 29 2024</t>
  </si>
  <si>
    <t>e26297</t>
  </si>
  <si>
    <t>10.1016/j.heliyon.2024.e26297</t>
  </si>
  <si>
    <t>http://dx.doi.org/10.1016/j.heliyon.2024.e26297</t>
  </si>
  <si>
    <t>FEB 2024</t>
  </si>
  <si>
    <t>LT0N1</t>
  </si>
  <si>
    <t>38384518</t>
  </si>
  <si>
    <t>WOS:001188935900001</t>
  </si>
  <si>
    <t>Xiao, C; Choi, E; Sun, JM</t>
  </si>
  <si>
    <t>Objective: To conduct a systematic review of deep learning models for electronic health record (EHR) data, and illustrate various deep learning architectures for analyzing different data sources and their target applications. We also highlight ongoing research and identify open challenges in building deep learning models of EHRs.Design/method: We searched PubMed and Google Scholar for papers on deep learning studies using EHR data published between January 1, 2010, and January 31, 2018. We summarize them according to these axes: types of analytics tasks, types of deep learning model architectures, special challenges arising from health data and tasks and their potential solutions, as well as evaluation strategies.Results: We surveyed and analyzed multiple aspects of the 98 articles we found and identified the following analytics tasks: disease detection/classification, sequential prediction of clinical events, concept embedding, data augmentation, and EHR data privacy. We then studied how deep architectures were applied to these tasks. We also discussed some special challenges arising from modeling EHR data and reviewed a few popular approaches. Finally, we summarized how performance evaluations were conducted for each task.Discussion: Despite the early success in using deep learning for health analytics applications, there still exist a number of issues to be addressed. We discuss them in detail including data and label availability, the interpretability and transparency of the model, and ease of deployment.</t>
  </si>
  <si>
    <t>Xiao, Cao; Choi, Edward; Sun, Jimeng</t>
  </si>
  <si>
    <t>Sun, JM (corresponding author), Georgia Inst Technol, Sch Computat Sci &amp; Engn, 266 Ferst Dr, Atlanta, GA 30313 USA.</t>
  </si>
  <si>
    <t>jsun@cc.gatech.edu</t>
  </si>
  <si>
    <t>National Science Foundation [1418511, 1533768]; National Institutes of Health [1R01MD011682-01, R56HL138415]; Children's Healthcare of Atlanta; UCB; Division of Computing and Communication Foundations; Direct For Computer &amp; Info Scie &amp; Enginr [1533768] Funding Source: National Science Foundation; Div Of Information &amp; Intelligent Systems; Direct For Computer &amp; Info Scie &amp; Enginr [1418511] Funding Source: National Science Foundation; National Institute on Minority Health and Health Disparities [R01MD011682] Funding Source: NIH RePORTER</t>
  </si>
  <si>
    <t>National Science Foundation (National Science Foundation (NSF)); National Institutes of Health (United States Department of Health &amp; Human Services, National Institutes of Health (NIH) - USA); Children's Healthcare of Atlanta; UCB (UCB Pharma SA); Division of Computing and Communication Foundations; Direct For Computer &amp; Info Scie &amp; Enginr (National Science Foundation (NSF), NSF - Directorate for Computer &amp; Information Science &amp; Engineering (CISE)); Div Of Information &amp; Intelligent Systems; Direct For Computer &amp; Info Scie &amp; Enginr (National Science Foundation (NSF), NSF - Directorate for Computer &amp; Information Science &amp; Engineering (CISE), NSF - Division of Information &amp; Intelligent Systems (IIS)); National Institute on Minority Health and Health Disparities (United States Department of Health &amp; Human Services, National Institutes of Health (NIH) - USA, NIH National Institute on Minority Health &amp; Health Disparities (NIMHD))</t>
  </si>
  <si>
    <t>This work was supported by the National Science Foundation, award IIS-#1418511 and CCF-#1533768, and National Institutes of Health award 1R01MD011682-01 and R56HL138415, Children's Healthcare of Atlanta and UCB.</t>
  </si>
  <si>
    <t>[Xiao, Cao] IBM Res, AI Healthcare, Cambridge, MA USA; [Choi, Edward; Sun, Jimeng] Georgia Inst Technol, Sch Computat Sci &amp; Engn, 266 Ferst Dr, Atlanta, GA 30313 USA</t>
  </si>
  <si>
    <t>International Business Machines (IBM); IBM USA; University System of Georgia; Georgia Institute of Technology</t>
  </si>
  <si>
    <t>Opportunities and challenges in developing deep learning models using electronic health records data: a systematic review</t>
  </si>
  <si>
    <t>deep learning; neural networks; electronic health records; systematic review</t>
  </si>
  <si>
    <t>NEURAL-NETWORKS; CLASSIFYING RELATIONS; MEDICAL-RECORDS; CLINICAL NOTES; REPRESENTATIONS; IDENTIFICATION; CLASSIFICATION</t>
  </si>
  <si>
    <t>Choi, Edward/AAC-8825-2020</t>
  </si>
  <si>
    <t>Choi, Edward/0000-0002-5958-3509; Sun, Jimeng/0000-0003-1512-6426</t>
  </si>
  <si>
    <t>525</t>
  </si>
  <si>
    <t>656</t>
  </si>
  <si>
    <t>1419</t>
  </si>
  <si>
    <t>1428</t>
  </si>
  <si>
    <t>10.1093/jamia/ocy068</t>
  </si>
  <si>
    <t>http://dx.doi.org/10.1093/jamia/ocy068</t>
  </si>
  <si>
    <t>GX9ZB</t>
  </si>
  <si>
    <t>29893864</t>
  </si>
  <si>
    <t>WOS:000448166200019</t>
  </si>
  <si>
    <t>83</t>
  </si>
  <si>
    <t>Najjar, R</t>
  </si>
  <si>
    <t>This comprehensive review unfolds a detailed narrative of Artificial Intelligence (AI) making its foray into radiology, a move that is catalysing transformational shifts in the healthcare landscape. It traces the evolution of radiology, from the initial discovery of X-rays to the application of machine learning and deep learning in modern medical image analysis. The primary focus of this review is to shed light on AI applications in radiology, elucidating their seminal roles in image segmentation, computer-aided diagnosis, predictive analytics, and workflow optimisation. A spotlight is cast on the profound impact of AI on diagnostic processes, personalised medicine, and clinical workflows, with empirical evidence derived from a series of case studies across multiple medical disciplines. However, the integration of AI in radiology is not devoid of challenges. The review ventures into the labyrinth of obstacles that are inherent to AI-driven radiology-data quality, the 'black box' enigma, infrastructural and technical complexities, as well as ethical implications. Peering into the future, the review contends that the road ahead for AI in radiology is paved with promising opportunities. It advocates for continuous research, embracing avant-garde imaging technologies, and fostering robust collaborations between radiologists and AI developers. The conclusion underlines the role of AI as a catalyst for change in radiology, a stance that is firmly rooted in sustained innovation, dynamic partnerships, and a steadfast commitment to ethical responsibility.</t>
  </si>
  <si>
    <t>Najjar, Reabal</t>
  </si>
  <si>
    <t>Najjar, R (corresponding author), Canberra Hlth Serv, Canberra, ACT 2605, Australia.</t>
  </si>
  <si>
    <t>eabal.najjar@act.gov.au</t>
  </si>
  <si>
    <t>[Najjar, Reabal] Canberra Hlth Serv, Canberra, ACT 2605, Australia</t>
  </si>
  <si>
    <t>Redefining Radiology: A Review of Artificial Intelligence Integration in Medical Imaging</t>
  </si>
  <si>
    <t>DIAGNOSTICS</t>
  </si>
  <si>
    <t>medical imaging; radiology; artificial intelligence; machine learning; deep learning; convolutional neural networks; computer-aided diagnosis; radiomics</t>
  </si>
  <si>
    <t>ACUTE STROKE; CLASSIFICATION; RADIOMICS; HEALTH; ACR; ERA</t>
  </si>
  <si>
    <t>Najjar, Reabal/HKP-1204-2023</t>
  </si>
  <si>
    <t>Najjar, Reabal/0000-0001-7169-7077</t>
  </si>
  <si>
    <t>520</t>
  </si>
  <si>
    <t>627</t>
  </si>
  <si>
    <t>259</t>
  </si>
  <si>
    <t>2075-4418</t>
  </si>
  <si>
    <t>Diagnostics</t>
  </si>
  <si>
    <t>SEP 2023</t>
  </si>
  <si>
    <t>2760</t>
  </si>
  <si>
    <t>10.3390/diagnostics13172760</t>
  </si>
  <si>
    <t>http://dx.doi.org/10.3390/diagnostics13172760</t>
  </si>
  <si>
    <t>R0AK5</t>
  </si>
  <si>
    <t>37685300</t>
  </si>
  <si>
    <t>WOS:001061049600001</t>
  </si>
  <si>
    <t>Fu, YB; Lei, Y; Wang, TH; Curran, WJ; Liu, T; Yang, XF</t>
  </si>
  <si>
    <t>This paper presents a review of deep learning (DL)-based medical image registration methods. We summarized the latest developments and applications of DL-based registration methods in the medical field. These methods were classified into seven categories according to their methods, functions and popularity. A detailed review of each category was presented, highlighting important contributions and identifying specific challenges. A short assessment was presented following the detailed review of each category to summarize its achievements and future potential. We provided a comprehensive comparison among DL-based methods for lung and brain registration using benchmark datasets. Lastly, we analyzed the statistics of all the cited works from various aspects, revealing the popularity and future trend of DL-based medical image registration.</t>
  </si>
  <si>
    <t>Fu, Yabo; Lei, Yang; Wang, Tonghe; Curran, Walter J.; Liu, Tian; Yang, Xiaofeng</t>
  </si>
  <si>
    <t>Yang, XF (corresponding author), Emory Univ, Dept Radiat Oncol, Atlanta, GA 30322 USA.; Yang, XF (corresponding author), Emory Univ, Winship Canc Inst, Atlanta, GA 30322 USA.</t>
  </si>
  <si>
    <t>xiaofeng.yang@emory.edu</t>
  </si>
  <si>
    <t>National Cancer Institute of the National Institutes of Health [R01CA215718]; Dunwoody Golf Club Prostate Cancer Research Award; Winship Cancer Institute of Emory University; National Cancer Institute [R01CA215718] Funding Source: NIH RePORTER</t>
  </si>
  <si>
    <t>National Cancer Institute of the National Institutes of Health (United States Department of Health &amp; Human Services, National Institutes of Health (NIH) - USA, NIH National Cancer Institute (NCI)); Dunwoody Golf Club Prostate Cancer Research Award; Winship Cancer Institute of Emory University; National Cancer Institute (United States Department of Health &amp; Human Services, National Institutes of Health (NIH) - USA, NIH National Cancer Institute (NCI))</t>
  </si>
  <si>
    <t>This research is supported in part by the National Cancer Institute of the National Institutes of Health under Award Number R01CA215718, and Dunwoody Golf Club Prostate Cancer Research Award, a philanthropic award provided by the Winship Cancer Institute of Emory University.</t>
  </si>
  <si>
    <t>[Fu, Yabo; Lei, Yang; Wang, Tonghe; Curran, Walter J.; Liu, Tian; Yang, Xiaofeng] Emory Univ, Dept Radiat Oncol, Atlanta, GA 30322 USA; [Wang, Tonghe; Curran, Walter J.; Liu, Tian; Yang, Xiaofeng] Emory Univ, Winship Canc Inst, Atlanta, GA 30322 USA</t>
  </si>
  <si>
    <t>Emory University; Emory University</t>
  </si>
  <si>
    <t>Deep learning in medical image registration: a review</t>
  </si>
  <si>
    <t>PHYSICS IN MEDICINE AND BIOLOGY</t>
  </si>
  <si>
    <t>deep learning; medical image registration; review</t>
  </si>
  <si>
    <t>DEFORMABLE REGISTRATION; DOSE ACCUMULATION; NEURAL-NETWORKS; FRAMEWORK; RECONSTRUCTION; MOTION; ACCURACY; LOCALIZATION; SEGMENTATION; METRICS</t>
  </si>
  <si>
    <t>Yang, Xiaofeng/AAN-9258-2020; Wang, Tonghe/AAL-9431-2020; fu, yabo/LZH-8261-2025; Lei, Yang/AAE-5089-2019</t>
  </si>
  <si>
    <t>Yang, Xiaofeng/0000-0001-9023-5855; Wang, Tonghe/0000-0001-9021-1204; Lei, Yang/0000-0002-3572-0345</t>
  </si>
  <si>
    <t>518</t>
  </si>
  <si>
    <t>390</t>
  </si>
  <si>
    <t>0031-9155</t>
  </si>
  <si>
    <t>1361-6560</t>
  </si>
  <si>
    <t>PHYS MED BIOL</t>
  </si>
  <si>
    <t>Phys. Med. Biol.</t>
  </si>
  <si>
    <t>OCT 21 2020</t>
  </si>
  <si>
    <t>20TR01</t>
  </si>
  <si>
    <t>10.1088/1361-6560/ab843e</t>
  </si>
  <si>
    <t>http://dx.doi.org/10.1088/1361-6560/ab843e</t>
  </si>
  <si>
    <t>Engineering, Biomedical; Radiology, Nuclear Medicine &amp; Medical Imaging</t>
  </si>
  <si>
    <t>Engineering; Radiology, Nuclear Medicine &amp; Medical Imaging</t>
  </si>
  <si>
    <t>OI6MF</t>
  </si>
  <si>
    <t>32217829</t>
  </si>
  <si>
    <t>WOS:000583389600001</t>
  </si>
  <si>
    <t>Graham, S; Depp, C; Lee, EE; Nebeker, C; Tu, X; Kim, HC; Jeste, DV</t>
  </si>
  <si>
    <t>Purpose of Review Artificial intelligence (AI) technology holds both great promise to transform mental healthcare and potential pitfalls. This article provides an overview of AI and current applications in healthcare, a review of recent original research on AI specific to mental health, and a discussion of how AI can supplement clinical practice while considering its current limitations, areas needing additional research, and ethical implications regarding AI technology. Recent Findings We reviewed 28 studies of AI and mental health that used electronic health records (EHRs), mood rating scales, brain imaging data, novel monitoring systems (e.g., smartphone, video), and social media platforms to predict, classify, or subgroup mental health illnesses including depression, schizophrenia or other psychiatric illnesses, and suicide ideation and attempts. Collectively, these studies revealed high accuracies and provided excellent examples of AI's potential in mental healthcare, but most should be considered early proof-of-concept works demonstrating the potential of using machine learning (ML) algorithms to address mental health questions, and which types of algorithms yield the best performance. As AI techniques continue to be refined and improved, it will be possible to help mental health practitioners re-define mental illnesses more objectively than currently done in the DSM-5, identify these illnesses at an earlier or prodromal stage when interventions may be more effective, and personalize treatments based on an individual's unique characteristics. However, caution is necessary in order to avoid over-interpreting preliminary results, and more work is required to bridge the gap between AI in mental health research and clinical care.</t>
  </si>
  <si>
    <t>Graham, Sarah; Depp, Colin; Lee, Ellen E.; Nebeker, Camille; Tu, Xin; Kim, Ho-Cheol; Jeste, Dilip V.</t>
  </si>
  <si>
    <t>Jeste, DV (corresponding author), Univ Calif San Diego, Dept Psychiat, La Jolla, CA 92093 USA.; Jeste, DV (corresponding author), Univ Calif La Jolla, Sam &amp; Rose Stein Inst Res Aging, La Jolla, CA USA.; Jeste, DV (corresponding author), Univ Calif La Jolla, Dept Neurosci, La Jolla, CA USA.; Jeste, DV (corresponding author), Univ Calif San Diego, 9500 Gilman Dr,Mail Code 0664, La Jolla, CA 92093 USA.</t>
  </si>
  <si>
    <t>djeste@ucsd.edu</t>
  </si>
  <si>
    <t>National Institute of Mental Health T32 Geriatric Mental Health Program [MH019934]; IBM Research AI through the AI Horizons Network IBM-UCSD AI for Healthy Living (AIHL) Center; National Institutes of Health of CTSA funding [UL1TR001442]; Stein Institute for Research on Aging at the University of California San Diego; National Institute of Mental Health [T32MH019934] Funding Source: NIH RePORTER</t>
  </si>
  <si>
    <t>National Institute of Mental Health T32 Geriatric Mental Health Program; IBM Research AI through the AI Horizons Network IBM-UCSD AI for Healthy Living (AIHL) Center (International Business Machines (IBM)); National Institutes of Health of CTSA funding; Stein Institute for Research on Aging at the University of California San Diego; National Institute of Mental Health (United States Department of Health &amp; Human Services, National Institutes of Health (NIH) - USA, NIH National Institute of Mental Health (NIMH))</t>
  </si>
  <si>
    <t>This study was supported, in part, by the National Institute of Mental Health T32 Geriatric Mental Health Program (grant MH019934 to DVJ [PI]), the IBM Research AI through the AI Horizons Network IBM-UCSD AI for Healthy Living (AIHL) Center, by the Stein Institute for Research on Aging at the University of California San Diego, and by the National Institutes of Health, Grant UL1TR001442 of CTSA funding. The content is solely the responsibility of the authors and does not necessarily represent the official views of the NIH.</t>
  </si>
  <si>
    <t>[Graham, Sarah; Depp, Colin; Lee, Ellen E.; Tu, Xin; Jeste, Dilip V.] Univ Calif San Diego, Dept Psychiat, La Jolla, CA 92093 USA; [Graham, Sarah; Depp, Colin; Lee, Ellen E.; Tu, Xin; Jeste, Dilip V.] Univ Calif La Jolla, Sam &amp; Rose Stein Inst Res Aging, La Jolla, CA USA; [Depp, Colin; Lee, Ellen E.] VA San Diego Healthcare Syst, San Diego, CA USA; [Nebeker, Camille] Univ Calif La Jolla, Dept Family Med &amp; Publ Hlth, La Jolla, CA USA; [Kim, Ho-Cheol] IBM Res Almaden, Scalable Knowledge Intelligence, San Jose, CA USA; [Jeste, Dilip V.] Univ Calif La Jolla, Dept Neurosci, La Jolla, CA USA; [Jeste, Dilip V.] Univ Calif San Diego, 9500 Gilman Dr,Mail Code 0664, La Jolla, CA 92093 USA</t>
  </si>
  <si>
    <t>University of California System; University of California San Diego; University of California System; University of California San Diego; US Department of Veterans Affairs; Veterans Health Administration (VHA); VA San Diego Healthcare System; University of California System; University of California San Diego; International Business Machines (IBM); IBM USA; University of California System; University of California San Diego; University of California System; University of California San Diego</t>
  </si>
  <si>
    <t>Artificial Intelligence for Mental Health and Mental Illnesses: an Overview</t>
  </si>
  <si>
    <t>CURRENT PSYCHIATRY REPORTS</t>
  </si>
  <si>
    <t>Technology; Machine learning; Natural language processing; Deep learning; Schizophrenia; Depression; Suicide; Bioethics; Research ethics</t>
  </si>
  <si>
    <t>BIG DATA; MACHINE; DEPRESSION; CLASSIFICATION; PREDICTION; CARE; PERFORMANCE; STATISTICS; PSYCHIATRY; DRIVEN</t>
  </si>
  <si>
    <t>Lee, Ellen/AAV-7621-2020; depp, colin/D-1264-2009</t>
  </si>
  <si>
    <t>Lee, Ellen/0000-0002-2250-765X; Nebeker, Camille/0000-0001-6819-1796</t>
  </si>
  <si>
    <t>111</t>
  </si>
  <si>
    <t>1523-3812</t>
  </si>
  <si>
    <t>1535-1645</t>
  </si>
  <si>
    <t>CURR PSYCHIAT REP</t>
  </si>
  <si>
    <t>Curr. Psychiatry Rep.</t>
  </si>
  <si>
    <t>NOV 2019</t>
  </si>
  <si>
    <t>10.1007/s11920-019-1094-0</t>
  </si>
  <si>
    <t>http://dx.doi.org/10.1007/s11920-019-1094-0</t>
  </si>
  <si>
    <t>Psychiatry</t>
  </si>
  <si>
    <t>JM3TC</t>
  </si>
  <si>
    <t>31701320</t>
  </si>
  <si>
    <t>WOS:000496139900003</t>
  </si>
  <si>
    <t>Echle, A; Rindtorff, NT; Brinker, TJ; Luedde, T; Pearson, AT; Kather, JN</t>
  </si>
  <si>
    <t>Clinical workflows in oncology rely on predictive and prognostic molecular biomarkers. However, the growing number of these complex biomarkers tends to increase the cost and time for decision-making in routine daily oncology practice; furthermore, biomarkers often require tumour tissue on top of routine diagnostic material. Nevertheless, routinely available tumour tissue contains an abundance of clinically relevant information that is currently not fully exploited. Advances in deep learning (DL), an artificial intelligence (AI) technology, have enabled the extraction of previously hidden information directly from routine histology images of cancer, providing potentially clinically useful information. Here, we outline emerging concepts of how DL can extract biomarkers directly from histology images and summarise studies of basic and advanced image analysis for cancer histology. Basic image analysis tasks include detection, grading and subtyping of tumour tissue in histology images; they are aimed at automating pathology workflows and consequently do not immediately translate into clinical decisions. Exceeding such basic approaches, DL has also been used for advanced image analysis tasks, which have the potential of directly affecting clinical decision-making processes. These advanced approaches include inference of molecular features, prediction of survival and end-to-end prediction of therapy response. Predictions made by such DL systems could simplify and enrich clinical decision-making, but require rigorous external validation in clinical settings.</t>
  </si>
  <si>
    <t>Echle, Amelie; Rindtorff, Niklas Timon; Brinker, Titus Josef; Luedde, Tom; Pearson, Alexander Thomas; Kather, Jakob Nikolas</t>
  </si>
  <si>
    <t>Kather, JN (corresponding author), Univ Hosp RWTH Aachen, Dept Med 3, Aachen, Germany.; Kather, JN (corresponding author), German Canc Res Ctr, Heidelberg, Germany.</t>
  </si>
  <si>
    <t>jkather@ukaachen.de</t>
  </si>
  <si>
    <t>Max-Eder-Programme of the German Cancer Aid (Bonn, Germany) [70113864]; START Programme of the Medical Faculty Aachen (Aachen, Germany) [691906]; Projekt DEAL</t>
  </si>
  <si>
    <t>Max-Eder-Programme of the German Cancer Aid (Bonn, Germany); START Programme of the Medical Faculty Aachen (Aachen, Germany); Projekt DEAL (Projekt DEAL)</t>
  </si>
  <si>
    <t>J.N.K. is funded by the Max-Eder-Programme of the German Cancer Aid (Bonn, Germany, grant #70113864) and the START Programme of the Medical Faculty Aachen (Aachen, Germany, grant #691906). No other external funding is reported. Open Access funding enabled and organized by Projekt DEAL.</t>
  </si>
  <si>
    <t>[Echle, Amelie; Kather, Jakob Nikolas] Univ Hosp RWTH Aachen, Dept Med 3, Aachen, Germany; [Rindtorff, Niklas Timon; Kather, Jakob Nikolas] German Canc Res Ctr, Heidelberg, Germany; [Brinker, Titus Josef] German Canc Res Ctr, Natl Ctr Tumor Dis NCT, Heidelberg, Germany; [Luedde, Tom] Univ Hosp Duesseldorf, Dept Gastroenterol Hepatol &amp; Infect Dis, Dusseldorf, Germany; [Pearson, Alexander Thomas] Univ Chicago, Dept Med, Hematol Oncol Sect, Chicago, IL 60637 USA</t>
  </si>
  <si>
    <t>RWTH Aachen University; RWTH Aachen University Hospital; Helmholtz Association; German Cancer Research Center (DKFZ); Ruprecht Karls University Heidelberg; Helmholtz Association; National Center for Tumor Diseases; German Cancer Research Center (DKFZ); University of Chicago</t>
  </si>
  <si>
    <t>Deep learning in cancer pathology: a new generation of clinical biomarkers</t>
  </si>
  <si>
    <t>BRITISH JOURNAL OF CANCER</t>
  </si>
  <si>
    <t>COLORECTAL-CANCER; PROSTATE-CANCER; PREDICTION; CRIZOTINIB; DIAGNOSIS; PROGNOSIS; BIOPSIES; THERAPY; SYSTEM</t>
  </si>
  <si>
    <t>Kather, Jakob Nikolas/D-4279-2015; Luedde, Tom/AAE-9135-2022</t>
  </si>
  <si>
    <t>Echle, Amelie/0000-0003-0789-9509; Kather, Jakob Nikolas/0000-0002-3730-5348; Brinker, Titus Josef/0000-0002-3620-5919; Luedde, Tom/0000-0002-6288-8821</t>
  </si>
  <si>
    <t>513</t>
  </si>
  <si>
    <t>593</t>
  </si>
  <si>
    <t>0007-0920</t>
  </si>
  <si>
    <t>1532-1827</t>
  </si>
  <si>
    <t>BRIT J CANCER</t>
  </si>
  <si>
    <t>Br. J. Cancer</t>
  </si>
  <si>
    <t>FEB 16 2021</t>
  </si>
  <si>
    <t>10.1038/s41416-020-01122-x</t>
  </si>
  <si>
    <t>http://dx.doi.org/10.1038/s41416-020-01122-x</t>
  </si>
  <si>
    <t>QH6FS</t>
  </si>
  <si>
    <t>33204028</t>
  </si>
  <si>
    <t>WOS:000590213700004</t>
  </si>
  <si>
    <t>Dara, S; Dhamercherla, S; Jadav, SS; Babu, CHM; Ahsan, MJ</t>
  </si>
  <si>
    <t>This review provides the feasible literature on drug discovery through ML tools and techniques that are enforced in every phase of drug development to accelerate the research process and deduce the risk and expenditure in clinical trials. Machine learning techniques improve the decision-making in pharmaceutical data across various applications like QSAR analysis, hit discoveries, de novo drug architectures to retrieve accurate outcomes. Target validation, prognostic biomarkers, digital pathology are considered under problem statements in this review. ML challenges must be applicable for the main cause of inadequacy in interpretability outcomes that may restrict the applications in drug discovery. In clinical trials, absolute and methodological data must be generated to tackle many puzzles in validating ML techniques, improving decision-making, promoting awareness in ML approaches, and deducing risk failures in drug discovery.</t>
  </si>
  <si>
    <t>Dara, Suresh; Dhamercherla, Swetha; Jadav, Surender Singh; Babu, C. H. Madhu; Ahsan, Mohamed Jawed</t>
  </si>
  <si>
    <t>Dara, S (corresponding author), BV Raju Inst Technol, Dept Comp Sci &amp; Engn, Medak 502313, Telangana, India.; Jadav, SS (corresponding author), Ctr Mol Canc Res CMCR, Medak 502313, Telangana, India.; Jadav, SS (corresponding author), Vishnu Inst Pharmaceut Educ &amp; Res VIPER, Medak 502313, Telangana, India.</t>
  </si>
  <si>
    <t>darasuresh@live.in; jawedpharma@gmail.com; madhubabu.ch@bvrit.ac; jadavmedchem@gmail.com; swetha.07031998@gmail.com</t>
  </si>
  <si>
    <t>[Dara, Suresh; Dhamercherla, Swetha; Babu, C. H. Madhu] BV Raju Inst Technol, Dept Comp Sci &amp; Engn, Medak 502313, Telangana, India; [Jadav, Surender Singh] Ctr Mol Canc Res CMCR, Medak 502313, Telangana, India; [Jadav, Surender Singh] Vishnu Inst Pharmaceut Educ &amp; Res VIPER, Medak 502313, Telangana, India; [Ahsan, Mohamed Jawed] Maharishi Arvind Coll Pharm, Dept Pharmaceut Chem, Jaipur 302023, Rajasthan, India</t>
  </si>
  <si>
    <t>Machine Learning in Drug Discovery: A Review</t>
  </si>
  <si>
    <t>Artificial intelligence; Drug discovery; Machine learning; Target validation; Prognostic biomarkers; Digital pathology</t>
  </si>
  <si>
    <t>PROTEIN-PROTEIN-INTERACTION; SUPPORT VECTOR MACHINES; MULTIPLE-MYELOMA; NEURAL-NETWORKS; TARGET IDENTIFICATION; COMPUTATIONAL METHODS; DATA INTEGRATION; PREDICTION; DOCKING; DESIGN</t>
  </si>
  <si>
    <t>Jadav, Surender Singh/GZL-0921-2022; Dhamercherla, Swetha/AAE-4094-2022; dara, suresh/K-3809-2012; Ahsan, Mohamed Jawed/P-7328-2017</t>
  </si>
  <si>
    <t>Dhamercherla, Swetha/0000-0001-6540-5277; dara, suresh/0000-0002-1626-8701; Ahsan, Mohamed Jawed/0000-0002-6919-5489; Chunduri, Madhu Babu/0000-0003-1742-6473</t>
  </si>
  <si>
    <t>244</t>
  </si>
  <si>
    <t>508</t>
  </si>
  <si>
    <t>262</t>
  </si>
  <si>
    <t>MAR 2022</t>
  </si>
  <si>
    <t>2022</t>
  </si>
  <si>
    <t>1947</t>
  </si>
  <si>
    <t>1999</t>
  </si>
  <si>
    <t>10.1007/s10462-021-10058-4</t>
  </si>
  <si>
    <t>http://dx.doi.org/10.1007/s10462-021-10058-4</t>
  </si>
  <si>
    <t>ZV6TN</t>
  </si>
  <si>
    <t>34393317</t>
  </si>
  <si>
    <t>WOS:000684096000001</t>
  </si>
  <si>
    <t>Kaur, D; Uslu, S; Rittichier, KJ; Durresi, A</t>
  </si>
  <si>
    <t>Artificial intelligence (AI) and algorithmic decision making are having a profound impact on our daily lives. These systems are vastly used in different high-stakes applications like healthcare, business, government, education, and justice, moving us toward a more algorithmic society. However, despite so many advantages of these systems, they sometimes directly or indirectly cause harm to the users and society. Therefore, it has become essential to make these systems safe, reliable, and trustworthy. Several requirements, such as fairness, explainability, accountability, reliability, and acceptance, have been proposed in this direction to make these systems trustworthy. This survey analyzes all of these different requirements through the lens of the literature. It provides an overview of different approaches that can help mitigate AI risks and increase trust and acceptance of the systems by utilizing the users and society. It also discusses existing strategies for validating and verifying these systems and the current standardization efforts for trustworthy AI. Finally, we present a holistic view of the recent advancements in trustworthy AI to help the interested researchers grasp the crucial facets of the topic efficiently and offer possible future research directions.</t>
  </si>
  <si>
    <t>Kaur, Davinder; Uslu, Suleyman; Rittichier, Kaley J.; Durresi, Arjan</t>
  </si>
  <si>
    <t>Kaur, D (corresponding author), Indiana Univ Purdue Univ, Comp &amp; Informat Sci, 723 W Michigan St, Indianapolis, IN 46202 USA.</t>
  </si>
  <si>
    <t>suslu@iu.edu; krittich@iu.edu; davikaur@iu.edu; adurresi@iupui.edu</t>
  </si>
  <si>
    <t>National Science Foundation (NSF) [1547411]; U.S. Department of Agriculture (USDA); National Institute of Food and Agriculture (NIFA) [2017-67003-26057]; USDA-NIFA; NSF on the research program Innovations at the Nexus of Food, Energy, and Water Systems; Direct For Computer &amp; Info Scie &amp; Enginr; Office of Advanced Cyberinfrastructure (OAC) [1547411] Funding Source: National Science Foundation</t>
  </si>
  <si>
    <t>National Science Foundation (NSF) (National Science Foundation (NSF)); U.S. Department of Agriculture (USDA) (United States Department of Agriculture (USDA)); National Institute of Food and Agriculture (NIFA); USDA-NIFA (United States Department of Agriculture (USDA)); NSF on the research program Innovations at the Nexus of Food, Energy, and Water Systems; Direct For Computer &amp; Info Scie &amp; Enginr; Office of Advanced Cyberinfrastructure (OAC) (National Science Foundation (NSF), NSF - Directorate for Computer &amp; Information Science &amp; Engineering (CISE))</t>
  </si>
  <si>
    <t>This work was partially supported by the National Science Foundation (NSF) under grant 1547411 and by the U.S. Department of Agriculture (USDA), National Institute of Food and Agriculture (NIFA) (award 2017-67003-26057) via an interagency partnership between USDA-NIFA and the NSF on the research program Innovations at the Nexus of Food, Energy, and Water Systems.</t>
  </si>
  <si>
    <t>[Kaur, Davinder; Uslu, Suleyman; Rittichier, Kaley J.; Durresi, Arjan] Indiana Univ Purdue Univ, Comp &amp; Informat Sci, 723 W Michigan St, Indianapolis, IN 46202 USA</t>
  </si>
  <si>
    <t>Indiana University System; Indiana University Indianapolis; Purdue University System; Purdue University; Purdue University in Indianapolis</t>
  </si>
  <si>
    <t>Trustworthy Artificial Intelligence: A Review</t>
  </si>
  <si>
    <t>Artificial intelligence; machine learning; black-box problem; trustworthy AI; explainable AI; fairness; explainability; accountability; privacy; acceptance</t>
  </si>
  <si>
    <t>BIG DATA; ALGORITHM; FAIRNESS; ACCEPTANCE; FRAMEWORK; ANONYMITY; SYSTEMS; ETHICS; TRUST; BIAS</t>
  </si>
  <si>
    <t>Uslu, Suleyman/KVY-0431-2024; Kaur, Davinder/GQH-9233-2022</t>
  </si>
  <si>
    <t>Kaur, Davinder/0000-0001-6837-7355; Durresi, Arjan/0000-0002-5827-0877</t>
  </si>
  <si>
    <t>228</t>
  </si>
  <si>
    <t>505</t>
  </si>
  <si>
    <t>1771</t>
  </si>
  <si>
    <t>10.1145/3491209</t>
  </si>
  <si>
    <t>http://dx.doi.org/10.1145/3491209</t>
  </si>
  <si>
    <t>0H0VS</t>
  </si>
  <si>
    <t>WOS:000778458900016</t>
  </si>
  <si>
    <t>224</t>
  </si>
  <si>
    <t>Vujosevic, S; Aldington, SJ; Silva, P; Hernández, C; Scanlon, P; Peto, T; Simó, R</t>
  </si>
  <si>
    <t>Although the prevalence of all stages of diabetic retinopathy has been declining since 1980 in populations with improved diabetes control, the crude prevalence of visual impairment and blindness caused by diabetic retinopathy worldwide increased between 1990 and 2015, largely because of the increasing prevalence of type 2 diabetes, particularly in low-income and middle-income countries. Screening for diabetic retinopathy is essential to detect referable cases that need timely full ophthalmic examination and treatment to avoid permanent visual loss. In the past few years, personalised screening intervals that take into account several risk factors have been proposed, with good cost-effectiveness ratios. However, resources for nationwide screening programmes are scarce in many countries. New technologies, such as scanning confocal ophthalmology with ultrawide field imaging and handheld mobile devices, teleoplithalmology for remote grading, and artificial intelligence for automated detection and classification of diabetic retinopathy, are changing screening strategies and improving cost-effectiveness. Additionally, emerging evidence suggests that retinal imaging could be useful for identifying individuals at risk of cardiovascular disease or cognitive impairment, which could expand the role of diabetic retinopathy screening beyond the prevention of sight-threatening disease.</t>
  </si>
  <si>
    <t>Vujosevic, Stela; Aldington, Stephen J.; Silva, Paolo; Hernandez, Cristina; Scanlon, Peter; Peto, Tunde; Simo, Rafael</t>
  </si>
  <si>
    <t>Simó, R (corresponding author), Vall dHebron Res Inst, Diabet &amp; Metab Res Unit, Barcelona 08035, Spain.</t>
  </si>
  <si>
    <t>rafael.simo@vhir.org</t>
  </si>
  <si>
    <t>[Vujosevic, Stela] Univ Hosp Maggiore Carita, Eye Unit, Novara, Italy; [Aldington, Stephen J.; Scanlon, Peter] Gloucestershire Hosp NHS Fdn Trust, Dept Ophthalmol, Cheltenham, Glos, England; [Silva, Paolo] Harvard Med Sch, Joslin Diabet Ctr, Beetham Eye Inst, Boston, MA 02115 USA; [Silva, Paolo] Univ Philippines, Philippine Eye Res Inst, Manila, Philippines; [Hernandez, Cristina; Simo, Rafael] Vall dHebron Res Inst, Diabet &amp; Metab Res Unit, Barcelona 08035, Spain; [Hernandez, Cristina; Simo, Rafael] Autonomous Univ Barcelona, Dept Med &amp; Endocrinol, Barcelona, Spain; [Hernandez, Cristina; Simo, Rafael] Inst Salud Carlos III, Ctr Invest Biomed Red Diabet &amp; Enfermedades Metab, Madrid, Spain; [Peto, Tunde] Queens Univ Belfast, Ctr Publ Hlth, Belfast, Antrim, North Ireland</t>
  </si>
  <si>
    <t>Azienda Ospedaliera Maggiore della Carita di Novara; Gloucestershire Hospitals NHS Foundation Trust; Harvard University; Harvard Medical School; Harvard University Medical Affiliates; Joslin Diabetes Center, Inc.; University of the Philippines System; University of the Philippines Manila; Hospital Universitari Vall d'Hebron; Autonomous University of Barcelona; Vall d'Hebron Institut de Recerca (VHIR); Autonomous University of Barcelona; CIBER - Centro de Investigacion Biomedica en Red; Instituto de Salud Carlos III; CIBERDEM; Queens University Belfast</t>
  </si>
  <si>
    <t>Screening for diabetic retinopathy: new perspectives and challenges</t>
  </si>
  <si>
    <t>LANCET DIABETES &amp; ENDOCRINOLOGY</t>
  </si>
  <si>
    <t>PREVENTS RETINAL NEURODEGENERATION; CONTROL-CARDIOVASCULAR-RISK; MICROVASCULAR COMPLICATIONS; ARTIFICIAL-INTELLIGENCE; FUNDUS PHOTOGRAPHY; MEDICAL-MANAGEMENT; COST-EFFECTIVENESS; IMAGE-ANALYSIS; EYE DISEASE; PROGRAM</t>
  </si>
  <si>
    <t>Aldington, Steve/JBJ-7335-2023; Hernandez, Cristina/KGL-9001-2024; Peto, Tunde/G-8812-2018; Aldington, Steve/G-7828-2012</t>
  </si>
  <si>
    <t>Vujosevic, Stela/0000-0001-6773-9967; Hernandez, Cristina/0000-0002-3109-1721; Peto, Tunde/0000-0001-6265-0381; Aldington, Steve/0000-0003-1808-3580</t>
  </si>
  <si>
    <t>582</t>
  </si>
  <si>
    <t>204</t>
  </si>
  <si>
    <t>2213-8587</t>
  </si>
  <si>
    <t>2213-8595</t>
  </si>
  <si>
    <t>LANCET DIABETES ENDO</t>
  </si>
  <si>
    <t>Lancet Diabetes Endocrinol.</t>
  </si>
  <si>
    <t>337</t>
  </si>
  <si>
    <t>347</t>
  </si>
  <si>
    <t>10.1016/S2213-8587(19)30411-5</t>
  </si>
  <si>
    <t>http://dx.doi.org/10.1016/S2213-8587(19)30411-5</t>
  </si>
  <si>
    <t>Endocrinology &amp; Metabolism</t>
  </si>
  <si>
    <t>KW0LN</t>
  </si>
  <si>
    <t>32113513</t>
  </si>
  <si>
    <t>WOS:000520865400021</t>
  </si>
  <si>
    <t>198</t>
  </si>
  <si>
    <t>Swanson, K; Wu, E; Zhang, A; Alizadeh, AA; Zou, JM</t>
  </si>
  <si>
    <t>Machine learning (ML) is increasingly used in clinical oncology to diagnose cancers, predict patient out-comes, and inform treatment planning. Here, we review recent applications of ML across the clinical oncology workflow. We review how these techniques are applied to medical imaging and to molecular data obtained from liquid and solid tumor biopsies for cancer diagnosis, prognosis, and treatment design. We discuss key considerations in developing ML for the distinct challenges posed by imaging and molecular data. Finally, we examine ML models approved for cancer-related patient usage by regulatory agencies and discuss approaches to improve the clinical usefulness of ML.</t>
  </si>
  <si>
    <t>Swanson, Kyle; Wu, Eric; Zhang, Angela; Alizadeh, Ash A.; Zou, James</t>
  </si>
  <si>
    <t>Zou, JM (corresponding author), Stanford Univ, Dept Comp Sci, Stanford, CA 94305 USA.; Zou, JM (corresponding author), Stanford Univ, Dept Elect Engn, Stanford, CA 94305 USA.; Zou, JM (corresponding author), Stanford Univ, Dept Biomed Data Sci, Stanford, CA 94305 USA.</t>
  </si>
  <si>
    <t>jamesz@stanford.edu</t>
  </si>
  <si>
    <t>Knight-Hennessy Scholarship; National Institutes of Health [F30HL156478]; Stanford Bio-X SIGF Fellowship; Chan-Zuckerberg Investigator Award; National Heart Lung and Blood Institute [F30HL156478] Funding Source: NIH RePORTER</t>
  </si>
  <si>
    <t>Knight-Hennessy Scholarship; National Institutes of Health (United States Department of Health &amp; Human Services, National Institutes of Health (NIH) - USA); Stanford Bio-X SIGF Fellowship; Chan-Zuckerberg Investigator Award (Chan Zuckerberg Initiative (CZI)); National Heart Lung and Blood Institute (United States Department of Health &amp; Human Services, National Institutes of Health (NIH) - USA, NIH National Heart Lung &amp; Blood Institute (NHLBI))</t>
  </si>
  <si>
    <t>K.S. is supported by a Knight-Hennessy Scholarship. A.Z. is supported by the National Institutes of Health grant F30HL156478. E.W. is supported by a Stanford Bio-X SIGF Fellowship. J.Z. is supported by a Chan-Zuckerberg Investigator Award.</t>
  </si>
  <si>
    <t>[Swanson, Kyle; Zou, James] Stanford Univ, Dept Comp Sci, Stanford, CA 94305 USA; [Wu, Eric; Zou, James] Stanford Univ, Dept Elect Engn, Stanford, CA 94305 USA; [Zhang, Angela] Stanford Univ, Dept Genet, Stanford, CA USA; [Alizadeh, Ash A.] Stanford Univ, Dept Med, Stanford, CA USA; [Zou, James] Stanford Univ, Dept Biomed Data Sci, Stanford, CA 94305 USA</t>
  </si>
  <si>
    <t>Stanford University; Stanford University; Stanford University; Stanford Medicine; Stanford Medicine; Stanford University; Stanford University</t>
  </si>
  <si>
    <t>From patterns to patients: Advances in clinical machine learning for cancer diagnosis, prognosis, and treatment</t>
  </si>
  <si>
    <t>CELL</t>
  </si>
  <si>
    <t>ARTIFICIAL-INTELLIGENCE; GENE-EXPRESSION; LUNG-CANCER; SKIN-CANCER; DEEP; SYSTEM; CLASSIFICATION; VALIDATION; BIOPSIES; DENSITY</t>
  </si>
  <si>
    <t>Alizadeh, Arash Ash/C-5594-2009</t>
  </si>
  <si>
    <t>Alizadeh, Arash Ash/0000-0002-5153-5625</t>
  </si>
  <si>
    <t>289</t>
  </si>
  <si>
    <t>0092-8674</t>
  </si>
  <si>
    <t>1097-4172</t>
  </si>
  <si>
    <t>Cell</t>
  </si>
  <si>
    <t>APR 13 2023</t>
  </si>
  <si>
    <t>1791</t>
  </si>
  <si>
    <t>10.1016/j.cell.2023.01.035</t>
  </si>
  <si>
    <t>http://dx.doi.org/10.1016/j.cell.2023.01.035</t>
  </si>
  <si>
    <t>APR 2023</t>
  </si>
  <si>
    <t>G2TS2</t>
  </si>
  <si>
    <t>36905928</t>
  </si>
  <si>
    <t>WOS:000987749100001</t>
  </si>
  <si>
    <t>Boehm, KM; Khosravi, P; Vanguri, R; Gao, JJ; Shah, SP</t>
  </si>
  <si>
    <t>Advances in quantitative biomarker development have accelerated new forms of data-driven insights for patients with cancer. However, most approaches are limited to a single mode of data, leaving integrated approaches across modalities relatively underdeveloped. Multimodal integration of advanced molecular diagnostics, radiological and histological imaging, and codified clinical data presents opportunities to advance precision oncology beyond genomics and standard moleculartechniques. However, most medical datasets are still too sparse to be useful for the training of modern machine learning techniques, and significant challenges remain before this is remedied. Combined efforts of data engineering, computational methods for analysis of heterogeneous data and instantiation of synergistic data models in biomedical research are required for success. In this Perspective, we offer our opinions on synthesizing complementary modalities of data with emerging multimodal artificial intelligence methods. Advancing along this direction will result in a reimagined class of multimodal biomarkers to propel the field of precision oncology in the coming decade.</t>
  </si>
  <si>
    <t>Boehm, Kevin M.; Khosravi, Pegah; Vanguri, Rami; Gao, Jianjiong; Shah, Sohrab P.</t>
  </si>
  <si>
    <t>Shah, SP (corresponding author), Mem Sloan Kettering Canc Ctr, Dept Epidemiol &amp; Biostat, Computat Oncol, 1275 York Ave, New York, NY 10021 USA.</t>
  </si>
  <si>
    <t>shahs3@mskcc.org</t>
  </si>
  <si>
    <t>Nicholls-Biondi Endowed Chair in Computational Oncology; Susan G. Komen Scholars programme; National Cancer Institute (NCI) of the US National Institutes of Health (NIH) [F30CA257414]; Jonathan Grayer Fellowship of Gerstner Sloan Kettering Graduate School of Biomedical Sciences; Medical Scientist Training Program Grant from the National Institute of General Medical Sciences of the NIH [T32GM007739]; Cycle for Survival; NIH NCI Cancer Center Support Grant [P30 CA008748]; National Cancer Institute [P30CA008748, F30CA257414] Funding Source: NIH RePORTER; National Institute of General Medical Sciences [T32GM007739] Funding Source: NIH RePORTER</t>
  </si>
  <si>
    <t>Nicholls-Biondi Endowed Chair in Computational Oncology; Susan G. Komen Scholars programme (Susan G. Komen Breast Cancer Foundation); National Cancer Institute (NCI) of the US National Institutes of Health (NIH) (United States Department of Health &amp; Human Services, National Institutes of Health (NIH) - USA, NIH National Cancer Institute (NCI)); Jonathan Grayer Fellowship of Gerstner Sloan Kettering Graduate School of Biomedical Sciences; Medical Scientist Training Program Grant from the National Institute of General Medical Sciences of the NIH; Cycle for Survival; NIH NCI Cancer Center Support Grant; National Cancer Institute (United States Department of Health &amp; Human Services, National Institutes of Health (NIH) - USA, NIH National Cancer Institute (NCI)); National Institute of General Medical Sciences (United States Department of Health &amp; Human Services, National Institutes of Health (NIH) - USA, NIH National Institute of General Medical Sciences (NIGMS))</t>
  </si>
  <si>
    <t>The authors thank N. Rusk and W. Tansey for helpful comments on the manuscript. S. P.S. is supported by the Nicholls-Biondi Endowed Chair in Computational Oncology and the Susan G. Komen Scholars programme. K.M.B. is supported by the National Cancer Institute (NCI) of the US National Institutes of Health (NIH) under award number F30CA257414, the Jonathan Grayer Fellowship of Gerstner Sloan Kettering Graduate School of Biomedical Sciences and a Medical Scientist Training Program Grant from the National Institute of General Medical Sciences of the NIH under award number T32GM007739 to the Weill Cornell/Rockefeller/Sloan Kettering Tri-Institutional MD-PhD Program. MSK MIND is generously supported by Cycle for Survival. All authors are supported by NIH NCI Cancer Center Support Grant P30 CA008748.</t>
  </si>
  <si>
    <t>[Boehm, Kevin M.; Khosravi, Pegah; Vanguri, Rami; Gao, Jianjiong; Shah, Sohrab P.] Mem Sloan Kettering Canc Ctr, Dept Epidemiol &amp; Biostat, Computat Oncol, 1275 York Ave, New York, NY 10021 USA</t>
  </si>
  <si>
    <t>Memorial Sloan Kettering Cancer Center</t>
  </si>
  <si>
    <t>Harnessing multimodal data integration to advance precision oncology</t>
  </si>
  <si>
    <t>CELL LUNG-CANCER; ARTIFICIAL-INTELLIGENCE; BREAST-CANCER; NETWORK; PATHOLOGY; CHEMOTHERAPY; SURVIVAL</t>
  </si>
  <si>
    <t>Khosravi, Pegah/IWD-4672-2023; Gao, Jianjiong/B-5673-2016</t>
  </si>
  <si>
    <t>Boehm, Kevin/0000-0003-2426-5436; Khosravi, Pegah/0000-0003-3497-2820; Gao, Jianjiong/0000-0002-5739-1781; Shah, Sohrab/0000-0001-6402-523X</t>
  </si>
  <si>
    <t>493</t>
  </si>
  <si>
    <t>576</t>
  </si>
  <si>
    <t>FEB 2022</t>
  </si>
  <si>
    <t>126</t>
  </si>
  <si>
    <t>10.1038/s41568-021-00408-3</t>
  </si>
  <si>
    <t>http://dx.doi.org/10.1038/s41568-021-00408-3</t>
  </si>
  <si>
    <t>OCT 2021</t>
  </si>
  <si>
    <t>YS2KE</t>
  </si>
  <si>
    <t>34663944</t>
  </si>
  <si>
    <t>WOS:000708347800001</t>
  </si>
  <si>
    <t>Dey, D; Slomka, PJ; Leeson, P; Comaniciu, D; Shrestha, S; Sengupta, PP; Marwick, TH</t>
  </si>
  <si>
    <t>Data science is likely to lead to major changes in cardiovascular imaging. Problems with timing, efficiency, and missed diagnoses occur at all stages of the imaging chain. The application of artificial intelligence (AI) is dependent on robust data; the application of appropriate computational approaches and tools; and validation of its clinical application to image segmentation, automated measurements, and eventually, automated diagnosis. AI may reduce cost and improve value at the stages of image acquisition, interpretation, and decision-making. Moreover, the precision now possible with cardiovascular imaging, combined with "big data" from the electronic health record and pathology, is likely to better characterize disease and personalize therapy. This review summarizes recent promising applications of AI in cardiology and cardiac imaging, which potentially add value to patient care. (c) 2019 by the American College of Cardiology Foundation.</t>
  </si>
  <si>
    <t>Dey, Damini; Slomka, Piotr J.; Leeson, Paul; Comaniciu, Dorin; Shrestha, Sirish; Sengupta, Partho P.; Marwick, Thomas H.</t>
  </si>
  <si>
    <t>Marwick, TH (corresponding author), Baker Heart &amp; Diabet Res Inst, 75 Commercial Rd, Melbourne, Vic 3004, Australia.</t>
  </si>
  <si>
    <t>Tom.Marwick@bakeridi.edu.au</t>
  </si>
  <si>
    <t>National Health and Medical Research Council; National Heart, Lung, and Blood Institute [1R01HL133616]; Siemens Medical Solutions; Lantheus Medical Imaging; GE Medical Systems; British Heart Foundation [FS/11/65/28865] Funding Source: researchfish</t>
  </si>
  <si>
    <t>National Health and Medical Research Council (National Health &amp; Medical Research Council (NHMRC) of Australia); National Heart, Lung, and Blood Institute (United States Department of Health &amp; Human Services, National Institutes of Health (NIH) - USA, NIH National Heart Lung &amp; Blood Institute (NHLBI)); Siemens Medical Solutions (Siemens AG); Lantheus Medical Imaging; GE Medical Systems (General Electric); British Heart Foundation (British Heart Foundation)</t>
  </si>
  <si>
    <t>This study was supported in part by a Partnership Grant from the National Health and Medical Research Council and from National Heart, Lung, and Blood Institute grant 1R01HL133616. Dr. Dey has received software royalties from Cedars-Sinai Medical Center and has a patent. Dr. Slomka has received a research grant from Siemens Medical Solutions; and has received software royalties from Cedars Sinai. Dr. Leeson is a founder, stockholder, and non-executive director of Ultromics Ltd.; and has received a research grant from Lantheus Medical Imaging. Dr. Comaniciu is a salaried employee of Siemens Healthineers. Dr. Marwick has received research grant support from GE Medical Systems for the SUCCOUR study. All other authors have reported that they have no relationships relevant to the contents of this paper to disclose. Patrick W Serruys, M.D., Ph.D. served as Guest Associate Editor for this paper.</t>
  </si>
  <si>
    <t>[Dey, Damini; Slomka, Piotr J.] Cedars Sinai Med Ctr, Biomed Imaging Res Inst, Dept Biomed Sci, Los Angeles, CA 90048 USA; [Dey, Damini; Slomka, Piotr J.] Cedars Sinai Med Ctr, Biomed Imaging Res Inst, Dept Med, Los Angeles, CA 90048 USA; [Leeson, Paul] Univ Oxford, Radcliffe Dept Med, Oxford Cardiovasc Clin Res Facil, Oxford, England; [Comaniciu, Dorin] Siemens Corp Technol, Munich, Germany; [Shrestha, Sirish; Sengupta, Partho P.] West Virginia Univ, Sect Cardiol, Morgantown, WV 26506 USA; [Marwick, Thomas H.] Baker Heart &amp; Diabet Res Inst, 75 Commercial Rd, Melbourne, Vic 3004, Australia</t>
  </si>
  <si>
    <t>Cedars Sinai Medical Center; Cedars Sinai Medical Center; University of Oxford; Siemens AG; Siemens Germany; West Virginia University</t>
  </si>
  <si>
    <t>Artificial Intelligence in Cardiovascular Imaging JACC State-of-the-Art Review</t>
  </si>
  <si>
    <t>JOURNAL OF THE AMERICAN COLLEGE OF CARDIOLOGY</t>
  </si>
  <si>
    <t>artificial intelligence; cardiovascular imaging; deep learning; machine learning</t>
  </si>
  <si>
    <t>MYOCARDIAL-PERFUSION SPECT; CORONARY CT ANGIOGRAPHY; HEART-FAILURE; CARDIAC CT; PERICARDIAL FAT; MACHINE; PREDICTION; SEGMENTATION; DISEASE; IDENTIFICATION</t>
  </si>
  <si>
    <t>Leeson, Paul/K-6964-2012; Marwick, Thomas/AAK-3869-2021; Slomka, Piotr/GRX-0855-2022; Sengupta, Partho/AAG-9508-2020</t>
  </si>
  <si>
    <t>Dey, Damini/0000-0003-2236-6970; Leeson, Paul/0000-0001-9181-9297; Marwick, Thomas/0000-0001-9065-0899; Slomka, Piotr/0000-0002-6110-938X</t>
  </si>
  <si>
    <t>238</t>
  </si>
  <si>
    <t>MAR 26 2019</t>
  </si>
  <si>
    <t>73</t>
  </si>
  <si>
    <t>1317</t>
  </si>
  <si>
    <t>1335</t>
  </si>
  <si>
    <t>10.1016/j.jacc.2018.12.054</t>
  </si>
  <si>
    <t>http://dx.doi.org/10.1016/j.jacc.2018.12.054</t>
  </si>
  <si>
    <t>HP1ZB</t>
  </si>
  <si>
    <t>30898208</t>
  </si>
  <si>
    <t>WOS:000461466500012</t>
  </si>
  <si>
    <t>Singh, A; Sengupta, S; Lakshminarayanan, V</t>
  </si>
  <si>
    <t>Deep learning methods have been very effective for a variety of medical diagnostic tasks and have even outperformed human experts on some of those. However, the black-box nature of the algorithms has restricted their clinical use. Recent explainability studies aim to show the features that influence the decision of a model the most. The majority of literature reviews of this area have focused on taxonomy, ethics, and the need for explanations. A review of the current applications of explainable deep learning for different medical imaging tasks is presented here. The various approaches, challenges for clinical deployment, and the areas requiring further research are discussed here from a practical standpoint of a deep learning researcher designing a system for the clinical end-users.</t>
  </si>
  <si>
    <t>Singh, Amitojdeep; Sengupta, Sourya; Lakshminarayanan, Vasudevan</t>
  </si>
  <si>
    <t>Singh, A (corresponding author), Univ Waterloo, Sch Optometry &amp; Vis Sci, Theoret &amp; Expt Epistemol Lab, Waterloo, ON N2L 3G1, Canada.; Singh, A (corresponding author), Univ Waterloo, Dept Syst Design Engn, Waterloo, ON N2L 3G1, Canada.</t>
  </si>
  <si>
    <t>sourya.sengupta@uwaterloo.ca; amitojdeep.singh@uwaterloo.ca; vengulak@uwaterloo.ca</t>
  </si>
  <si>
    <t>NSERC; NVIDIA Titan V GPU Grant</t>
  </si>
  <si>
    <t>NSERC (Natural Sciences and Engineering Research Council of Canada (NSERC)); NVIDIA Titan V GPU Grant</t>
  </si>
  <si>
    <t>This work is supported by an NSERC Discovery Grant and NVIDIA Titan V GPU Grant to V.L. This research was enabled in part by Compute Canada (www.computecanada.ca).</t>
  </si>
  <si>
    <t>[Singh, Amitojdeep; Sengupta, Sourya; Lakshminarayanan, Vasudevan] Univ Waterloo, Sch Optometry &amp; Vis Sci, Theoret &amp; Expt Epistemol Lab, Waterloo, ON N2L 3G1, Canada; [Singh, Amitojdeep; Sengupta, Sourya; Lakshminarayanan, Vasudevan] Univ Waterloo, Dept Syst Design Engn, Waterloo, ON N2L 3G1, Canada</t>
  </si>
  <si>
    <t>University of Waterloo; University of Waterloo</t>
  </si>
  <si>
    <t>Explainable Deep Learning Models in Medical Image Analysis</t>
  </si>
  <si>
    <t>JOURNAL OF IMAGING</t>
  </si>
  <si>
    <t>explainability; explainable AI; XAI; deep learning; medical imaging; diagnosis</t>
  </si>
  <si>
    <t>CLASSIFICATION</t>
  </si>
  <si>
    <t>Lakshminarayanan, Vasudevan/L-6055-2018</t>
  </si>
  <si>
    <t>Lakshminarayanan, Vasudevan/0000-0002-3473-1245; Brar, Amitojdeep Singh/0000-0003-3874-9570</t>
  </si>
  <si>
    <t>492</t>
  </si>
  <si>
    <t>2313-433X</t>
  </si>
  <si>
    <t>J IMAGING</t>
  </si>
  <si>
    <t>J. Imaging</t>
  </si>
  <si>
    <t>10.3390/jimaging6060052</t>
  </si>
  <si>
    <t>http://dx.doi.org/10.3390/jimaging6060052</t>
  </si>
  <si>
    <t>Imaging Science &amp; Photographic Technology</t>
  </si>
  <si>
    <t>MO0SO</t>
  </si>
  <si>
    <t>34460598</t>
  </si>
  <si>
    <t>WOS:000551247200019</t>
  </si>
  <si>
    <t>Varnosfaderani, SM; Forouzanfar, M</t>
  </si>
  <si>
    <t>As healthcare systems around the world face challenges such as escalating costs, limited access, and growing demand for personalized care, artificial intelligence (AI) is emerging as a key force for transformation. This review is motivated by the urgent need to harness AI's potential to mitigate these issues and aims to critically assess AI's integration in different healthcare domains. We explore how AI empowers clinical decision-making, optimizes hospital operation and management, refines medical image analysis, and revolutionizes patient care and monitoring through AI-powered wearables. Through several case studies, we review how AI has transformed specific healthcare domains and discuss the remaining challenges and possible solutions. Additionally, we will discuss methodologies for assessing AI healthcare solutions, ethical challenges of AI deployment, and the importance of data privacy and bias mitigation for responsible technology use. By presenting a critical assessment of AI's transformative potential, this review equips researchers with a deeper understanding of AI's current and future impact on healthcare. It encourages an interdisciplinary dialogue between researchers, clinicians, and technologists to navigate the complexities of AI implementation, fostering the development of AI-driven solutions that prioritize ethical standards, equity, and a patient-centered approach.</t>
  </si>
  <si>
    <t>Varnosfaderani, Shiva Maleki; Forouzanfar, Mohamad</t>
  </si>
  <si>
    <t>Forouzanfar, M (corresponding author), Univ Quebec, Ecole Technol Super ETS, Dept Genie Syst, Montreal, PQ H3C 1K3, Canada.; Forouzanfar, M (corresponding author), Inst Univ Geriatrie Montreal CRIUGM, Ctr Rech, Montreal, PQ H3W 1W5, Canada.</t>
  </si>
  <si>
    <t>mohamad.forouzanfar@etsmtl.ca</t>
  </si>
  <si>
    <t>[Varnosfaderani, Shiva Maleki] Wayne State Univ, Dept Elect Engn, Detroit, MI 48202 USA; [Forouzanfar, Mohamad] Univ Quebec, Ecole Technol Super ETS, Dept Genie Syst, Montreal, PQ H3C 1K3, Canada; [Forouzanfar, Mohamad] Inst Univ Geriatrie Montreal CRIUGM, Ctr Rech, Montreal, PQ H3W 1W5, Canada</t>
  </si>
  <si>
    <t>Wayne State University; University of Quebec; University of Quebec Montreal; Ecole de Technologie Superieure - Canada; Universite de Montreal</t>
  </si>
  <si>
    <t>The Role of AI in Hospitals and Clinics: Transforming Healthcare in the 21st Century</t>
  </si>
  <si>
    <t>BIOENGINEERING-BASEL</t>
  </si>
  <si>
    <t>artificial intelligence; clinical decision-making; ethical considerations in healthcare AI; healthcare technology; medical imaging and diagnostics</t>
  </si>
  <si>
    <t>Forouzanfar, Mohamad/L-3892-2014</t>
  </si>
  <si>
    <t>Forouzanfar, Mohamad/0000-0001-8849-0144</t>
  </si>
  <si>
    <t>491</t>
  </si>
  <si>
    <t>632</t>
  </si>
  <si>
    <t>554</t>
  </si>
  <si>
    <t>2306-5354</t>
  </si>
  <si>
    <t>Bioengineering-Basel</t>
  </si>
  <si>
    <t>APR 2024</t>
  </si>
  <si>
    <t>10.3390/bioengineering11040337</t>
  </si>
  <si>
    <t>http://dx.doi.org/10.3390/bioengineering11040337</t>
  </si>
  <si>
    <t>Biotechnology &amp; Applied Microbiology; Engineering, Biomedical</t>
  </si>
  <si>
    <t>Biotechnology &amp; Applied Microbiology; Engineering</t>
  </si>
  <si>
    <t>OX4Q3</t>
  </si>
  <si>
    <t>38671759</t>
  </si>
  <si>
    <t>WOS:001210567500001</t>
  </si>
  <si>
    <t>Zhou, TX; Ruan, S; Canu, S</t>
  </si>
  <si>
    <t>Multi -modality is widely used in medical imaging, because it can provide multiinformation about a target (tumor, organ or tissue). Segmentation using multimodality consists of fusing multi -information to improve the segmentation. Recently, deep learning -based approaches have presented the state-of-the-art performance in image classi fication, segmentation, object detection and tracking tasks. Due to their self -learning and generalization ability over large amounts of data, deep learning recently has also gained great interest in multi -modal medical image segmentation. In this paper, we give an overview of deep learning -based approaches for multi -modal medical image segmentation task. Firstly, we introduce the general principle of deep learning and multi -modal medical image segmentation. Secondly, we present different deep learning network architectures, then analyze their fusion strategies and compare their results. The earlier fusion is commonly used, since it 's simple and it focuses on the subsequent segmentation network architecture. However, the later fusion gives more attention on fusion strategy to learn the complex relationship between different modalities. In general, compared to the earlier fusion, the later fusion can give more accurate result if the fusion method is effective enough. We also discuss some common problems in medical image segmentation. Finally, we summarize and provide some perspectives on the future research.</t>
  </si>
  <si>
    <t>Zhou, Tongxue; Ruan, Su; Canu, Stephane</t>
  </si>
  <si>
    <t>Zhou, TX (corresponding author), Univ Rouen Normandie, LITIS QuantIF, F-76183 Rouen, France.; Zhou, TX (corresponding author), INSA Rouen, LITIS Apprentissage, Rouen, France.</t>
  </si>
  <si>
    <t>tongxue.zhou@insa-rouen.fr</t>
  </si>
  <si>
    <t>[Zhou, Tongxue; Ruan, Su] Univ Rouen Normandie, LITIS QuantIF, F-76183 Rouen, France; [Zhou, Tongxue; Canu, Stephane] INSA Rouen, LITIS Apprentissage, Rouen, France</t>
  </si>
  <si>
    <t>Universite de Rouen Normandie</t>
  </si>
  <si>
    <t>A review: Deep learning for medical image segmentation using multi-modality fusion</t>
  </si>
  <si>
    <t>ARRAY</t>
  </si>
  <si>
    <t>Deep learning; Medical image segmentation; Multi-modality fusion; Review</t>
  </si>
  <si>
    <t>BRAIN-TUMOR SEGMENTATION; NEURAL-NETWORKS</t>
  </si>
  <si>
    <t>Ruan, Su/0000-0001-8785-6917; Zhou, Tongxue/0000-0003-3110-4884; Canu, Stéphane/0000-0002-7602-4557</t>
  </si>
  <si>
    <t>490</t>
  </si>
  <si>
    <t>2590-0056</t>
  </si>
  <si>
    <t>ARRAY-NY</t>
  </si>
  <si>
    <t>Array</t>
  </si>
  <si>
    <t>SEP-DEC 2019</t>
  </si>
  <si>
    <t>3-4</t>
  </si>
  <si>
    <t>100004</t>
  </si>
  <si>
    <t>10.1016/j.array.2019.100004</t>
  </si>
  <si>
    <t>http://dx.doi.org/10.1016/j.array.2019.100004</t>
  </si>
  <si>
    <t>RR4R2</t>
  </si>
  <si>
    <t>WOS:001229380700001</t>
  </si>
  <si>
    <t>Christin, S; Hervet, É; Lecomte, N</t>
  </si>
  <si>
    <t>A lot of hype has recently been generated around deep learning, a novel group of artificial intelligence approaches able to break accuracy records in pattern recognition. Over the course of just a few years, deep learning has revolutionized several research fields such as bioinformatics and medicine with its flexibility and ability to process large and complex datasets. As ecological datasets are becoming larger and more complex, we believe these methods can be useful to ecologists as well. In this paper, we review existing implementations and show that deep learning has been used successfully to identify species, classify animal behaviour and estimate biodiversity in large datasets like camera-trap images, audio recordings and videos. We demonstrate that deep learning can be beneficial to most ecological disciplines, including applied contexts, such as management and conservation. We also identify common questions about how and when to use deep learning, such as what are the steps required to create a deep learning network, which tools are available to help, and what are the requirements in terms of data and computer power. We provide guidelines, recommendations and useful resources, including a reference flowchart to help ecologists get started with deep learning. We argue that at a time when automatic monitoring of populations and ecosystems generates a vast amount of data that cannot be effectively processed by humans anymore, deep learning could become a powerful reference tool for ecologists.</t>
  </si>
  <si>
    <t>Christin, Sylvain; Hervet, Eric; Lecomte, Nicolas</t>
  </si>
  <si>
    <t>Lecomte, N (corresponding author), Univ Moncton, Dept Biol, Canada Res Chair Polar &amp; Boreal Ecol, Moncton, NB, Canada.</t>
  </si>
  <si>
    <t>nicolas.lecomte@umoncton.ca</t>
  </si>
  <si>
    <t>Canada Research Chair in Polar and Boreal Ecology; New Brunswick Innovation Fund; Polar Knowledge Canada</t>
  </si>
  <si>
    <t>[Christin, Sylvain; Lecomte, Nicolas] Univ Moncton, Dept Biol, Canada Res Chair Polar &amp; Boreal Ecol, Moncton, NB, Canada; [Hervet, Eric] Univ Moncton, Dept Comp Sci, Moncton, NB, Canada</t>
  </si>
  <si>
    <t>University of Moncton; University of Moncton</t>
  </si>
  <si>
    <t>Applications for deep learning in ecology</t>
  </si>
  <si>
    <t>METHODS IN ECOLOGY AND EVOLUTION</t>
  </si>
  <si>
    <t>artificial intelligence; automatic monitoring; deep learning; ecology; neural network; pattern recognition</t>
  </si>
  <si>
    <t>NEURAL-NETWORKS; OPPORTUNITIES; EVOLUTION; DYNAMICS; TRACKING; TOOLS</t>
  </si>
  <si>
    <t>Christin, Sylvain/AAS-8910-2020</t>
  </si>
  <si>
    <t>Lecomte, Nicolas/0000-0002-8473-5375; Christin, Sylvain/0000-0001-5876-911X</t>
  </si>
  <si>
    <t>489</t>
  </si>
  <si>
    <t>398</t>
  </si>
  <si>
    <t>2041-210X</t>
  </si>
  <si>
    <t>2041-2096</t>
  </si>
  <si>
    <t>METHODS ECOL EVOL</t>
  </si>
  <si>
    <t>Methods Ecol. Evol.</t>
  </si>
  <si>
    <t>1632</t>
  </si>
  <si>
    <t>1644</t>
  </si>
  <si>
    <t>10.1111/2041-210X.13256</t>
  </si>
  <si>
    <t>http://dx.doi.org/10.1111/2041-210X.13256</t>
  </si>
  <si>
    <t>Ecology</t>
  </si>
  <si>
    <t>Environmental Sciences &amp; Ecology</t>
  </si>
  <si>
    <t>JB0UB</t>
  </si>
  <si>
    <t>WOS:000488345800001</t>
  </si>
  <si>
    <t>Alber, M; Tepole, AB; Cannon, WR; De, S; Dura-Bernal, S; Garikipati, K; Karniadakis, G; Lytton, WW; Perdikaris, P; Petzold, L; Kuhl, E</t>
  </si>
  <si>
    <t>Fueled by breakthrough technology developments, the biological, biomedical, and behavioral sciences are now collecting more data than ever before. There is a critical need for time- and cost-efficient strategies to analyze and interpret these data to advance human health. The recent rise of machine learning as a powerful technique to integrate multimodality, multifidelity data, and reveal correlations between intertwined phenomena presents a special opportunity in this regard. However, machine learning alone ignores the fundamental laws of physics and can result in ill-posed problems or non-physical solutions. Multiscale modeling is a successful strategy to integrate multiscale, multiphysics data and uncover mechanisms that explain the emergence of function. However, multiscale modeling alone often fails to efficiently combine large datasets from different sources and different levels of resolution. Here we demonstrate that machine learning and multiscale modeling can naturally complement each other to create robust predictive models that integrate the underlying physics to manage ill-posed problems and explore massive design spaces. We review the current literature, highlight applications and opportunities, address open questions, and discuss potential challenges and limitations in four overarching topical areas: ordinary differential equations, partial differential equations, data-driven approaches, and theory-driven approaches. Towards these goals, we leverage expertise in applied mathematics, computer science, computational biology, biophysics, biomechanics, engineering mechanics, experimentation, and medicine. Our multidisciplinary perspective suggests that integrating machine learning and multiscale modeling can provide new insights into disease mechanisms, help identify new targets and treatment strategies, and inform decision making for the benefit of human health.</t>
  </si>
  <si>
    <t>Alber, Mark; Tepole, Adrian Buganza; Cannon, William R.; De, Suvranu; Dura-Bernal, Salvador; Garikipati, Krishna; Karniadakis, George; Lytton, William W.; Perdikaris, Paris; Petzold, Linda; Kuhl, Ellen</t>
  </si>
  <si>
    <t>Kuhl, E (corresponding author), Stanford Univ, Dept Mech Engn, Stanford, CA 94305 USA.; Kuhl, E (corresponding author), Stanford Univ, Dept Bioengn, Stanford, CA 94305 USA.</t>
  </si>
  <si>
    <t>ekuhl@stanford.edu</t>
  </si>
  <si>
    <t>National Institutes of Health [U01 HL116330, R01 AR074525, U01 EB022546, R01 CA197491, U01 HL116323, U01 HL142518, U01 EB017695, R01 EB014877, U01 HL119578]; National Heart Lung and Blood Institute [U01HL142518] Funding Source: NIH RePORTER; National Institute of Arthritis and Musculoskeletal and Skin Diseases [R01AR074525] Funding Source: NIH RePORTER; National Institute of Biomedical Imaging and Bioengineering [R01EB014877] Funding Source: NIH RePORTER</t>
  </si>
  <si>
    <t>National Institutes of Health (United States Department of Health &amp; Human Services, National Institutes of Health (NIH) - USA); National Heart Lung and Blood Institute (United States Department of Health &amp; Human Services, National Institutes of Health (NIH) - USA, NIH National Heart Lung &amp; Blood Institute (NHLBI)); National Institute of Arthritis and Musculoskeletal and Skin Diseases (United States Department of Health &amp; Human Services, National Institutes of Health (NIH) - USA, NIH National Institute of Arthritis &amp; Musculoskeletal &amp; Skin Diseases (NIAMS)); National Institute of Biomedical Imaging and Bioengineering (United States Department of Health &amp; Human Services, National Institutes of Health (NIH) - USA, NIH National Institute of Biomedical Imaging &amp; Bioengineering (NIBIB))</t>
  </si>
  <si>
    <t>The authors acknowledge stimulating discussions with Grace C.Y. Peng, Director of Mathematical Modeling, Simulation and Analysis at NIBIB, and the support of the National Institutes of Health grants U01 HL116330 (Alber), R01 AR074525 (Buganza Tepole), U01 EB022546 (Cannon), R01 CA197491 (De), U01 HL116323 and U01 HL142518 (Karniadakis), U01 EB017695 (Lytton), R01 EB014877 (Petzold) and U01 HL119578 (Kuhl). This work was inspired by the 2019 Symposium on Integrating Machine Learning with Multiscale Modeling for Biological, Biomedical, and Behavioral Systems (ML-MSM) as part of the Interagency Modeling and Analysis Group (IMAG), and is endorsed by the Multiscale Modeling (MSM) Consortium, by the U.S. Association for Computational Mechanics (USACM) Technical Trust Area Biological Systems, and by the U.S. National Committee on Biomechanics (USNCB). The authors acknowledge the stimulating discussions within these communities.</t>
  </si>
  <si>
    <t>[Alber, Mark] Univ Calif Riverside, Dept Math, Riverside, CA 92521 USA; [Tepole, Adrian Buganza] Purdue Univ, Dept Mech Engn, W Lafayette, IN 47907 USA; [Cannon, William R.] Pacific Northwest Natl Lab, Computat Biol, Richland, WA 99352 USA; [De, Suvranu] Rensselaer Polytech Inst, Dept Mech Aerosp &amp; Nucl Engn, Troy, NY USA; [Dura-Bernal, Salvador; Lytton, William W.] Suny Downstate Med Ctr, Brooklyn, NY 11203 USA; [Dura-Bernal, Salvador; Lytton, William W.] Kings Cty Hosp, Brooklyn, NY USA; [Garikipati, Krishna] Univ Michigan, Dept Mech Engn, Ann Arbor, MI 48109 USA; [Garikipati, Krishna] Univ Michigan, Dept Math, Ann Arbor, MI 48109 USA; [Karniadakis, George] Brown Univ, Div Appl Math, Providence, RI 02912 USA; [Perdikaris, Paris] Univ Penn, Dept Mech Engn, Philadelphia, PA 19104 USA; [Petzold, Linda] Univ Calif Santa Barbara, Dept Comp Sci &amp; Mech Engn, Santa Barbara, CA 93106 USA; [Kuhl, Ellen] Stanford Univ, Dept Mech Engn, Stanford, CA 94305 USA; [Kuhl, Ellen] Stanford Univ, Dept Bioengn, Stanford, CA 94305 USA</t>
  </si>
  <si>
    <t>University of California System; University of California Riverside; Purdue University System; Purdue University; Purdue University in Indianapolis; United States Department of Energy (DOE); Pacific Northwest National Laboratory; Rensselaer Polytechnic Institute; State University of New York (SUNY) System; SUNY Downstate Health Sciences University; University of Michigan System; University of Michigan; University of Michigan System; University of Michigan; Brown University; University of Pennsylvania; University of California System; University of California Santa Barbara; Stanford University; Stanford University</t>
  </si>
  <si>
    <t>Integrating machine learning and multiscale modeling-perspectives, challenges, and opportunities in the biologica biomedical, and behavioral sciences</t>
  </si>
  <si>
    <t>DIFFERENTIAL-EQUATIONS; NEURAL-NETWORKS; SCALE; SYSTEMS; SIMULATION</t>
  </si>
  <si>
    <t>Cannon, William/K-8411-2014; Kuhl, Ellen/G-4444-2011; Perdikaris, Paris/LNQ-5994-2024; Alber, Mark/AAR-1280-2020</t>
  </si>
  <si>
    <t>Buganza Tepole, Adrian/0000-0001-8531-0603; Cannon, William/0000-0003-3789-7889; Kuhl, Ellen/0000-0002-6283-935X; , SUVRANU/0000-0001-8489-0001; Dura-Bernal, Salvador/0000-0002-8561-5324; Perdikaris, Paris/0000-0002-2816-3229</t>
  </si>
  <si>
    <t>90</t>
  </si>
  <si>
    <t>486</t>
  </si>
  <si>
    <t>NOV 25 2019</t>
  </si>
  <si>
    <t>10.1038/s41746-019-0193-y</t>
  </si>
  <si>
    <t>http://dx.doi.org/10.1038/s41746-019-0193-y</t>
  </si>
  <si>
    <t>JW4EK</t>
  </si>
  <si>
    <t>31799423</t>
  </si>
  <si>
    <t>WOS:000503006300001</t>
  </si>
  <si>
    <t>Rubio, F; Valero, F; Llopis-Albert, C</t>
  </si>
  <si>
    <t>Humanoid robots, unmanned rovers, entertainment pets, drones, and so on are great examples of mobile robots. They can be distinguished from other robots by their ability to move autonomously, with enough intelligence to react and make decisions based on the perception they receive from the environment. Mobile robots must have some source of input data, some way of decoding that input, and a way of taking actions (including its own motion) to respond to a changing world. The need to sense and adapt to an unknown environment requires a powerful cognition system. Nowadays, there are mobile robots that can walk, run, jump, and so on like their biological counterparts. Several fields of robotics have arisen, such as wheeled mobile robots, legged robots, flying robots, robot vision, artificial intelligence, and so on, which involve different technological areas such as mechanics, electronics, and computer science. In this article, the world of mobile robots is explored including the new trends. These new trends are led by artificial intelligence, autonomous driving, network communication, cooperative work, nanorobotics, friendly human-robot interfaces, safe human-robot interaction, and emotion expression and perception. Furthermore, these news trends are applied to different fields such as medicine, health care, sports, ergonomics, industry, distribution of goods, and service robotics. These tendencies will keep going their evolution in the coming years.</t>
  </si>
  <si>
    <t>Rubio, Francisco; Valero, Francisco; Llopis-Albert, Carlos</t>
  </si>
  <si>
    <t>Llopis-Albert, C (corresponding author), Univ Politecn Valencia, Ctr Technol Res Mech Engn, E-46022 Valencia, Spain.</t>
  </si>
  <si>
    <t>cllopisa@upvnet.upv.es</t>
  </si>
  <si>
    <t>Spanish Ministry of Economy and Competitiveness [DPI2013-44227-R]</t>
  </si>
  <si>
    <t>Spanish Ministry of Economy and Competitiveness (Spanish Government)</t>
  </si>
  <si>
    <t>The author(s) disclosed receipt of the following financial support for the research, authorship, and/or publication of this article: This work was supported by the Spanish Ministry of Economy and Competitiveness, which has funded the DPI2013-44227-R project.</t>
  </si>
  <si>
    <t>[Rubio, Francisco; Valero, Francisco; Llopis-Albert, Carlos] Univ Politecn Valencia, Ctr Technol Res Mech Engn, E-46022 Valencia, Spain</t>
  </si>
  <si>
    <t>Universitat Politecnica de Valencia</t>
  </si>
  <si>
    <t>A review of mobile robots: Concepts, methods, theoretical framework, and applications</t>
  </si>
  <si>
    <t>INTERNATIONAL JOURNAL OF ADVANCED ROBOTIC SYSTEMS</t>
  </si>
  <si>
    <t>Cognition; locomotion; motion planning; mobile robotics; navigation; perception; sensoring</t>
  </si>
  <si>
    <t>OBSTACLE AVOIDANCE; COLLISION DETECTION; GENETIC ALGORITHM; TRACKING CONTROL; PATH; MOTION; MANIPULATORS; NAVIGATION; DESIGN; OPTIMIZATION</t>
  </si>
  <si>
    <t>Rubio, Francisco/K-5537-2017; Llopis-Albert, Carlos/J-7525-2013</t>
  </si>
  <si>
    <t>Rubio, Francisco/0000-0003-3465-702X; Llopis-Albert, Carlos/0000-0002-1349-2716</t>
  </si>
  <si>
    <t>483</t>
  </si>
  <si>
    <t>1206</t>
  </si>
  <si>
    <t>SAGE PUBLICATIONS INC</t>
  </si>
  <si>
    <t>THOUSAND OAKS</t>
  </si>
  <si>
    <t>2455 TELLER RD, THOUSAND OAKS, CA 91320 USA</t>
  </si>
  <si>
    <t>1729-8814</t>
  </si>
  <si>
    <t>INT J ADV ROBOT SYST</t>
  </si>
  <si>
    <t>Int. J. Adv. Robot. Syst.</t>
  </si>
  <si>
    <t>APR 16 2019</t>
  </si>
  <si>
    <t>1729881419839596</t>
  </si>
  <si>
    <t>10.1177/1729881419839596</t>
  </si>
  <si>
    <t>http://dx.doi.org/10.1177/1729881419839596</t>
  </si>
  <si>
    <t>Robotics</t>
  </si>
  <si>
    <t>HU2XQ</t>
  </si>
  <si>
    <t>WOS:000465135800001</t>
  </si>
  <si>
    <t>138</t>
  </si>
  <si>
    <t>Rajula, HSR; Verlato, G; Manchia, M; Antonucci, N; Fanos, V</t>
  </si>
  <si>
    <t>Futurists have anticipated that novel autonomous technologies, embedded with machine learning (ML), will substantially influence healthcare. ML is focused on making predictions as accurate as possible, while traditional statistical models are aimed at inferring relationships between variables. The benefits of ML comprise flexibility and scalability compared with conventional statistical approaches, which makes it deployable for several tasks, such as diagnosis and classification, and survival predictions. However, much of ML-based analysis remains scattered, lacking a cohesive structure. There is a need to evaluate and compare the performance of well-developed conventional statistical methods and ML on patient outcomes, such as survival, response to treatment, and patient-reported outcomes (PROs). In this article, we compare the usefulness and limitations of traditional statistical methods and ML, when applied to the medical field. Traditional statistical methods seem to be more useful when the number of cases largely exceeds the number of variables under study and a priori knowledge on the topic under study is substantial such as in public health. ML could be more suited in highly innovative fields with a huge bulk of data, such as omics, radiodiagnostics, drug development, and personalized treatment. Integration of the two approaches should be preferred over a unidirectional choice of either approach.</t>
  </si>
  <si>
    <t>Rajula, Hema Sekhar Reddy; Verlato, Giuseppe; Manchia, Mirko; Antonucci, Nadia; Fanos, Vassilios</t>
  </si>
  <si>
    <t>Manchia, M (corresponding author), Univ Cagliari, Dept Med Sci &amp; Publ Hlth, Sect Psychiat, I-09125 Cagliari, Italy.; Manchia, M (corresponding author), Dalhousie Univ, Dept Pharmacol, Halifax, NS B3H 4R2, Canada.</t>
  </si>
  <si>
    <t>giuseppe.verlato@univr.it; hemasekhar09@gmail.com; vafanos@tin.it; mirkomanchia@unica.it; nadia.antonucci@univr.it</t>
  </si>
  <si>
    <t>European Union [721567]</t>
  </si>
  <si>
    <t>European Union (European Union (EU))</t>
  </si>
  <si>
    <t>This research was funded by the European Union's Horizon 2020 research and innovation program under the Marie Sklodowska-Curie Grant Agreement No. 721567, CAPICE project-Childhood and Adolescence Psychopathology: unravelling the complex aetiology by a large Interdisciplinary Collaboration in Europe under Grant Agreement 721567.</t>
  </si>
  <si>
    <t>[Rajula, Hema Sekhar Reddy; Fanos, Vassilios] AOU, Dept Surg Sci, Neonatal Intens Care Unit, I-09042 Cagliari, Italy; [Rajula, Hema Sekhar Reddy; Fanos, Vassilios] Univ Cagliari, I-09042 Cagliari, Italy; [Rajula, Hema Sekhar Reddy] Univ Cagliari, Dept Surg Sci, Marie Sklodowska Curie CAPICE Project, I-09042 Cagliari, Italy; [Verlato, Giuseppe; Antonucci, Nadia] Univ Verona, Dept Diagnost &amp; Publ Hlth, Unit Epidemiol &amp; Med Stat, I-37129 Verona, Italy; [Manchia, Mirko] Univ Cagliari, Dept Med Sci &amp; Publ Hlth, Sect Psychiat, I-09125 Cagliari, Italy; [Manchia, Mirko] Dalhousie Univ, Dept Pharmacol, Halifax, NS B3H 4R2, Canada</t>
  </si>
  <si>
    <t>University of Cagliari; University of Cagliari; University of Verona; University of Cagliari; Dalhousie University</t>
  </si>
  <si>
    <t>Comparison of Conventional Statistical Methods with Machine Learning in Medicine: Diagnosis, Drug Development, and Treatment</t>
  </si>
  <si>
    <t>MEDICINA-LITHUANIA</t>
  </si>
  <si>
    <t>machine learning; medicine; healthcare; diagnosis; drug development; personalized treatment; autonomous technology</t>
  </si>
  <si>
    <t>PREDICTION MODELS; RISK; VALIDATION; MORTALITY</t>
  </si>
  <si>
    <t>Fanos, Vassilios/AHI-0685-2022; Manchia, Mirko/A-2907-2010</t>
  </si>
  <si>
    <t>Antonucci, Nadia/0000-0001-6099-6207; Fanos, Vassilios/0000-0003-2617-2890; Rajula, Hema Sekhar Reddy/0000-0003-4667-8143; Manchia, Mirko/0000-0003-4175-6413</t>
  </si>
  <si>
    <t>479</t>
  </si>
  <si>
    <t>570</t>
  </si>
  <si>
    <t>1010-660X</t>
  </si>
  <si>
    <t>1648-9144</t>
  </si>
  <si>
    <t>Med. Lith.</t>
  </si>
  <si>
    <t>10.3390/medicina56090455</t>
  </si>
  <si>
    <t>http://dx.doi.org/10.3390/medicina56090455</t>
  </si>
  <si>
    <t>OB1LN</t>
  </si>
  <si>
    <t>32911665</t>
  </si>
  <si>
    <t>WOS:000578236200001</t>
  </si>
  <si>
    <t>Katsoulakis, E; Wang, Q; Wu, HM; Shahriyari, L; Fletcher, R; Liu, JW; Achenie, L; Liu, HF; Jackson, P; Xiao, Y; Syeda-Mahmood, T; Tuli, R; Deng, J</t>
  </si>
  <si>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</si>
  <si>
    <t>Katsoulakis, Evangelia; Wang, Qi; Wu, Huanmei; Shahriyari, Leili; Fletcher, Richard; Liu, Jinwei; Achenie, Luke; Liu, Hongfang; Jackson, Pamela; Xiao, Ying; Syeda-Mahmood, Tanveer; Tuli, Richard; Deng, Jun</t>
  </si>
  <si>
    <t>Deng, J (corresponding author), Yale Univ, Dept Therapeut Radiol, New Haven, CT 06510 USA.</t>
  </si>
  <si>
    <t>Jun.Deng@yale.edu</t>
  </si>
  <si>
    <t>DOD; Florida State Bankhead Coley Cancer Research; NSF [DMS 1918925]; SC EPSCOR Gear award</t>
  </si>
  <si>
    <t>DOD (United States Department of Defense); Florida State Bankhead Coley Cancer Research; NSF (National Science Foundation (NSF)); SC EPSCOR Gear award</t>
  </si>
  <si>
    <t>The authors appreciate the invaluable contribution from Ms. Jessica Zixi Wang, Figma Inc for drawing Fig. 4 using Figma. Evangelia Katsoulakis's research is partially supported by the DOD and Florida State Bankhead Coley Cancer Research. Qi Wang's research is partially supported by NSF awards DMS 1954532 and DMS 2038080 as well as a SC EPSCOR Gear award. Jun Deng's research is partially supported by NSF award DMS 1918925.</t>
  </si>
  <si>
    <t>[Katsoulakis, Evangelia] VA Informat &amp; Comp Infrastruct, Salt Lake City, UT 84148 USA; [Katsoulakis, Evangelia; Tuli, Richard] Univ S Florida, Dept Radiat Oncol, Tampa, FL 33606 USA; [Wang, Qi] Univ South Carolina, Dept Math, Columbia, SC 29208 USA; [Wu, Huanmei] Temple Univ, Dept Hlth Serv Adm &amp; Policy, Philadelphia, PA 19122 USA; [Shahriyari, Leili] Univ Massachusetts Amherst, Dept Math &amp; Stat, Amherst, MA 01003 USA; [Fletcher, Richard] MIT, Dept Mech Engn, Cambridge, MA 02139 USA; [Fletcher, Richard] Massachusetts Gen Hosp, Dept Psychiat, Boston, MA 02139 USA; [Liu, Jinwei] Florida A&amp;M Univ, Dept Comp &amp; Informat Sci, Tallahassee, FL 32307 USA; [Achenie, Luke] Virginia Polytech Inst &amp; State Univ, Dept Chem Engn, Blacksburg, VA 24060 USA; [Liu, Hongfang] Univ Texas Hlth Sci Ctr Houston, McWilliams Sch Biomed Informat, Houston, TX 77030 USA; [Jackson, Pamela] Mayo Clin, Precis Neurotherapeut Innovat Program, Phoenix, AZ 85003 USA; [Jackson, Pamela] Mayo Clin, Dept Neurosurg, Phoenix, AZ 85003 USA; [Xiao, Ying] Univ Penn, Dept Radiat Oncol, Philadelphia, PA 19104 USA; [Syeda-Mahmood, Tanveer] IBM Almaden Res Ctr, San Jose, CA 95120 USA; [Deng, Jun] Yale Univ, Dept Therapeut Radiol, New Haven, CT 06510 USA</t>
  </si>
  <si>
    <t>State University System of Florida; University of South Florida; University of South Carolina System; University of South Carolina Columbia; Pennsylvania Commonwealth System of Higher Education (PCSHE); Temple University; University of Massachusetts System; University of Massachusetts Amherst; Massachusetts Institute of Technology (MIT); Harvard University; Harvard University Medical Affiliates; Massachusetts General Hospital; State University System of Florida; Florida A&amp;M University; Virginia Polytechnic Institute &amp; State University; University of Texas System; University of Texas Health Science Center Houston; Mayo Clinic; Mayo Clinic Phoenix; Mayo Clinic; Mayo Clinic Phoenix; University of Pennsylvania; International Business Machines (IBM); IBM USA; Yale University</t>
  </si>
  <si>
    <t>Digital twins for health: a scoping review</t>
  </si>
  <si>
    <t>Syeda-Mahmood, Tanveer/HNQ-7021-2023; liu, hongfang/K-8167-2012; Xiao, Ying/JUF-3407-2023</t>
  </si>
  <si>
    <t>Shahriyari, Leili/0000-0001-6234-8449; Wu, Huanmei/0000-0003-0346-6044; Liu, Jinwei/0000-0003-2298-5974</t>
  </si>
  <si>
    <t>MAR 22 2024</t>
  </si>
  <si>
    <t>77</t>
  </si>
  <si>
    <t>10.1038/s41746-024-01073-0</t>
  </si>
  <si>
    <t>http://dx.doi.org/10.1038/s41746-024-01073-0</t>
  </si>
  <si>
    <t>LU1Q1</t>
  </si>
  <si>
    <t>38519626</t>
  </si>
  <si>
    <t>WOS:001189226400001</t>
  </si>
  <si>
    <t>Abolhasani, M; Kumacheva, E</t>
  </si>
  <si>
    <t>Accelerating the discovery of new molecules and materials, as well as developing green and sustainable ways to synthesize them, will help to address global challenges in energy, sustainability and healthcare. The recent growth of data science and automated experimentation techniques has resulted in the advent of self-driving labs (SDLs) via the integration of machine learning, lab automation and robotics. An SDL is a machine-learning-assisted modular experimental platform that iteratively operates a series of experiments selected by the machine learning algorithm to achieve a user-defined objective. These intelligent robotic assistants help researchers to accelerate the pace of fundamental and applied research through rapid exploration of the chemical space. In this Review, we introduce SDLs and provide a roadmap for their implementation by non-expert scientists. We present the status quo of successful SDL implementations in the field and discuss their current limitations and future opportunities to accelerate finding solutions for societal needs.Self-driving labs (SDLs) combine machine learning with automated experimental platforms, enabling rapid exploration of the chemical space and accelerating the pace of materials and molecular discovery. In this Review, the application of SDLs, their limitations and future opportunities are discussed, and a roadmap is provided for their implementation by non-expert scientists.</t>
  </si>
  <si>
    <t>Abolhasani, Milad; Kumacheva, Eugenia</t>
  </si>
  <si>
    <t>Abolhasani, M (corresponding author), North Carolina State Univ, Dept Chem &amp; Biomol Engn, Raleigh, NC 27606 USA.</t>
  </si>
  <si>
    <t>abolhasani@ncsu.edu</t>
  </si>
  <si>
    <t>Camille and Henry Dreyfus Foundation (Camille and Henry Dreyfus Foundation, Inc.) [ML-21-064]; Dreyfus Program for Machine Learning in the Chemical Sciences and Engineering [1940959]; National Science Foundation</t>
  </si>
  <si>
    <t>Camille and Henry Dreyfus Foundation (Camille and Henry Dreyfus Foundation, Inc.); Dreyfus Program for Machine Learning in the Chemical Sciences and Engineering; National Science Foundation (National Science Foundation (NSF))</t>
  </si>
  <si>
    <t>M.A. gratefully acknowledge financial support from the Dreyfus Program for Machine Learning in the Chemical Sciences and Engineering (award no. ML-21-064) and National Science Foundation (award no. 1940959).</t>
  </si>
  <si>
    <t>[Abolhasani, Milad] North Carolina State Univ, Dept Chem &amp; Biomol Engn, Raleigh, NC 27606 USA; [Kumacheva, Eugenia] Univ Toronto, Dept Chem, Toronto, ON, Canada; [Kumacheva, Eugenia] Univ Toronto, Inst Biomed Engn, Toronto, ON, Canada; [Kumacheva, Eugenia] Univ Toronto, Dept Chem Engn &amp; Appl Chem, Toronto, ON, Canada</t>
  </si>
  <si>
    <t>North Carolina State University; University of Toronto; University of Toronto; University of Toronto</t>
  </si>
  <si>
    <t>The rise of self-driving labs in chemical and materials sciences</t>
  </si>
  <si>
    <t>NATURE SYNTHESIS</t>
  </si>
  <si>
    <t>AUTOMATED OPTIMIZATION; FLOW CHEMISTRY; MACHINE; EXPERIMENTATION; DISCOVERY; GENERATION; ROBOT; CELL</t>
  </si>
  <si>
    <t>Abolhasani, Milad/I-9453-2012; Kumacheva, Eugenia/U-7612-2019</t>
  </si>
  <si>
    <t>Abolhasani, Milad/0000-0002-8863-3085</t>
  </si>
  <si>
    <t>476</t>
  </si>
  <si>
    <t>548</t>
  </si>
  <si>
    <t>2731-0582</t>
  </si>
  <si>
    <t>NAT SYNTH</t>
  </si>
  <si>
    <t>Nat. Synth.</t>
  </si>
  <si>
    <t>10.1038/s44160-022-00231-0</t>
  </si>
  <si>
    <t>http://dx.doi.org/10.1038/s44160-022-00231-0</t>
  </si>
  <si>
    <t>CO9X4</t>
  </si>
  <si>
    <t>WOS:001126317200001</t>
  </si>
  <si>
    <t>82</t>
  </si>
  <si>
    <t>Tao, HC; Wu, TY; Aldeghi, M; Wu, TC; Aspuru-Guzik, A; Kumacheva, E</t>
  </si>
  <si>
    <t>Machine learning can be applied for the controlled synthesis of nanoparticles with precise properties. This Review discusses different machine learning approaches for the synthesis of semiconductor, metal, carbon-based and polymeric nanoparticles, and highlights key approaches for the collection of large datasets.Many properties of nanoparticles are governed by their shape, size, polydispersity and surface chemistry. To apply nanoparticles in chemical sensing, medical diagnostics, catalysis, thermoelectrics, photovoltaics or pharmaceutics, they have to be synthesized with precisely controlled characteristics. This is a time-consuming, laborious and resource-intensive task, because nanoparticle syntheses often include multiple reagents and are conducted under interdependent experimental conditions. Machine learning (ML) offers a promising tool for the accelerated development of efficient protocols for nanoparticle synthesis and, potentially, for the synthesis of new types of nanoparticles. In this Review, we discuss ML algorithms that can be used for nanoparticle synthesis and highlight key approaches for the collection of large datasets. We examine ML-guided synthesis of semiconductor, metal, carbon-based and polymeric nanoparticles, and conclude with a discussion of current limitations, advantages and perspectives in the development of ML-assisted nanoparticle synthesis.</t>
  </si>
  <si>
    <t>Tao, Huachen; Wu, Tianyi; Aldeghi, Matteo; Wu, Tony C.; Aspuru-Guzik, Alan; Kumacheva, Eugenia</t>
  </si>
  <si>
    <t>Aspuru-Guzik, A; Kumacheva, E (corresponding author), Univ Toronto, Dept Chem, Toronto, ON, Canada.; Aspuru-Guzik, A (corresponding author), Univ Toronto, Dept Comp Sci, Toronto, ON, Canada.; Aspuru-Guzik, A (corresponding author), Vector Inst Artificial Intelligence, Toronto, ON, Canada.; Aspuru-Guzik, A (corresponding author), Canadian Inst Adv Res, Toronto, ON, Canada.; Kumacheva, E (corresponding author), Univ Toronto, Inst Biomat &amp; Biomed Engn, Toronto, ON, Canada.; Kumacheva, E (corresponding author), Univ Toronto, Dept Chem Engn &amp; Appl Chem, Toronto, ON, Canada.</t>
  </si>
  <si>
    <t>eugenia.kumacheva@utoronto.ca; alan@aspuru.com</t>
  </si>
  <si>
    <t>Natural Sciences and Engineering Research Council of Canada (NSERC); Office of Naval Research; Tata Sons, Limited; Connaught International Scholarship for Doctoral Students</t>
  </si>
  <si>
    <t>Natural Sciences and Engineering Research Council of Canada (NSERC) (Natural Sciences and Engineering Research Council of Canada (NSERC)); Office of Naval Research (United States Department of Defense, United States Navy, Office of Naval Research); Tata Sons, Limited; Connaught International Scholarship for Doctoral Students</t>
  </si>
  <si>
    <t>The authors are grateful to the Natural Sciences and Engineering Research Council of Canada (NSERC) via the Discovery Grants program for financial support. A.A.-G., M.A. and T.C.W. acknowledge support from the Office of Naval Research, as well as Tata Sons, Limited. E.K. thanks the Canada Research Chairs Program. A.A.-G. is thankful for the Canada 150 Research Chairs Program. H.T. acknowledges the Connaught International Scholarship for Doctoral Students.</t>
  </si>
  <si>
    <t>[Tao, Huachen; Wu, Tianyi; Aldeghi, Matteo; Wu, Tony C.; Aspuru-Guzik, Alan; Kumacheva, Eugenia] Univ Toronto, Dept Chem, Toronto, ON, Canada; [Aldeghi, Matteo; Aspuru-Guzik, Alan] Univ Toronto, Dept Comp Sci, Toronto, ON, Canada; [Aldeghi, Matteo; Wu, Tony C.; Aspuru-Guzik, Alan] Vector Inst Artificial Intelligence, Toronto, ON, Canada; [Aspuru-Guzik, Alan] Canadian Inst Adv Res, Toronto, ON, Canada; [Kumacheva, Eugenia] Univ Toronto, Inst Biomat &amp; Biomed Engn, Toronto, ON, Canada; [Kumacheva, Eugenia] Univ Toronto, Dept Chem Engn &amp; Appl Chem, Toronto, ON, Canada</t>
  </si>
  <si>
    <t>University of Toronto; University of Toronto; Vector Institute for Artificial Intelligence; Canadian Institute for Advanced Research (CIFAR); University of Toronto; University of Toronto</t>
  </si>
  <si>
    <t>Nanoparticle synthesis assisted by machine learning</t>
  </si>
  <si>
    <t>SURFACE-PLASMON RESONANCE; GRAPHENE QUANTUM DOTS; PARTICLE-SIZE; CHITOSAN NANOPARTICLES; CARBON NANODOTS; NEURAL-NETWORKS; HOT-INJECTION; DESIGN; NANOMATERIALS; EFFICIENCY</t>
  </si>
  <si>
    <t>Aspuru-Guzik, Alan/A-4984-2008; Kumacheva, Eugenia/U-7612-2019</t>
  </si>
  <si>
    <t>Aldeghi, Matteo/0000-0003-0019-8806; Aspuru-Guzik, Alan/0000-0002-8277-4434; Wu, Tianyi/0009-0008-7988-6241; Kumacheva, Eugenia/0000-0001-5942-3890</t>
  </si>
  <si>
    <t>475</t>
  </si>
  <si>
    <t>701</t>
  </si>
  <si>
    <t>10.1038/s41578-021-00337-5</t>
  </si>
  <si>
    <t>http://dx.doi.org/10.1038/s41578-021-00337-5</t>
  </si>
  <si>
    <t>TU8WR</t>
  </si>
  <si>
    <t>WOS:000673035600001</t>
  </si>
  <si>
    <t>Castiglioni, I; Rundo, L; Codari, M; Di Leo, G; Salvatore, C; Interlenghi, M; Gallivanone, F; Cozzi, A; D'Amico, NC; Sardanelli, F</t>
  </si>
  <si>
    <t>Purpose: Artificial intelligence (AI) models are playing an increasing role in biomedical research and healthcare services. This review focuses on challenges points to be clarified about how to develop AI applications as clinical decision support systems in the real-world context.Methods: A narrative review has been performed including a critical assessment of articles published between 1989 and 2021 that guided challenging sections.Results: We first illustrate the architectural characteristics of machine learning (ML)/radiomics and deep learning (DL) approaches. For ML/radiomics, the phases of feature selection and of training, validation, and testing are described. DL models are presented as multi-layered artificial/convolutional neural networks, allowing us to directly process images. The data curation section includes technical steps such as image labelling, image annotation (with segmentation as a crucial step in radiomics), data harmonization (enabling compensation for differences in imaging protocols that typically generate noise in non-AI imaging studies) and federated learning. Thereafter, we dedicate specific sections to: sample size calculation, considering multiple testing in AI approaches; procedures for data augmentation to work with limited and unbalanced datasets; and the interpretability of AI models (the so-called black box issue). Pros and cons for choosing ML versus DL to implement AI applications to medical imaging are finally presented in a synoptic way.Conclusions: Biomedicine and healthcare systems are one of the most important fields for AI applications and medical imaging is probably the most suitable and promising domain. Clarification of specific challenging points facilitates the development of such systems and their translation to clinical practice.</t>
  </si>
  <si>
    <t>Castiglioni, Isabella; Rundo, Leonardo; Codari, Marina; Leo, Giovanni Di; Salvatore, Christian; Interlenghi, Matteo; Gallivanone, Francesca; Cozzi, Andrea; D'Amico, Natascha Claudia; Sardanelli, Francesco</t>
  </si>
  <si>
    <t>Salvatore, C (corresponding author), DeepTrace Technol Srl, Via Conservatorio 17, I-20122 Milan, Italy.</t>
  </si>
  <si>
    <t>francesco.sardanelli@unimi.it; salvatore@deeptracetech.com; nataschaclaudia.damico@cdi.it; lr495@cam.ac.uk; mcodari@stanford.edu; francesca.gallivanone@ibfm.cnr.it; andrea.cozzi1@unimi.it; isabella.castiglioni@unimib.it; gianni.dileo77@gmail.com; interlenghi@deeptracetech.com</t>
  </si>
  <si>
    <t>Mark Foundation for Cancer Research and Cancer Research UK Cambridge Centre [C9685/A25177]; National Institute of Health Research (NIHR) Cambridge Biomedical Research Centre [BRC-1215-20014]</t>
  </si>
  <si>
    <t>Mark Foundation for Cancer Research and Cancer Research UK Cambridge Centre; National Institute of Health Research (NIHR) Cambridge Biomedical Research Centre (National Institutes of Health Research (NIHR))</t>
  </si>
  <si>
    <t>This work was partially supported by The Mark Foundation for Cancer Research and Cancer Research UK Cambridge Centre [C9685/A25177]. Additional support has been provided by the National Institute of Health Research (NIHR) Cambridge Biomedical Research Centre (BRC-1215-20014). The views expressed are those of the authors and not necessarily those of the NIHR or the Department of Health and Social Care.</t>
  </si>
  <si>
    <t>[Castiglioni, Isabella] Univ Milano Bicocca, Dept Phys, Piazza Sci 3, I-20126 Milan, Italy; [Castiglioni, Isabella; Gallivanone, Francesca] CNR, Inst Biomed Imaging &amp; Physiol, Via Fratelli Cervi 93, I-20090 Segrate, Italy; [Rundo, Leonardo] Cambridge Biomed Campus, Dept Radiol, Box 218, Cambridge CB2 0QQ, England; [Rundo, Leonardo] Univ Cambridge, Li Ka Shing Ctr, Canc Res UK Cambridge Ctr, Robinson Way, Cambridge CB2 0RE, England; [Codari, Marina] Stanford Univ, Sch Med, Dept Radiol, 300 Pasteur Dr, Stanford, CA 94305 USA; [Leo, Giovanni Di; Sardanelli, Francesco] IRCCS Policlin San Donato, Unit Radiol, Via Rodolfo Morandi 30, I-20097 San Donato Milanese, Italy; [Salvatore, Christian] Scuola Univ Super IUSS Pavia, Piazza Vittoria 15, I-27100 Pavia, Italy; [Salvatore, Christian; Interlenghi, Matteo] DeepTrace Technol Srl, Via Conservatorio 17, I-20122 Milan, Italy; [Cozzi, Andrea] Univ Milan, Dept Biomed Sci Hlth, Via Luigi Mangiagalli 31, I-20133 Milan, Italy; [D'Amico, Natascha Claudia] Ctr Diagnost Italiano SpA, Dept Diagnost Imaging &amp; Stereotact Radiosurg, Via St Bon 20, I-20147 Milan, Italy; [D'Amico, Natascha Claudia] Univ Campus BioMed Roma, Dept Engn, Unit Comp Syst &amp; Bioinformat, Via Alvaro Portillo 21, I-00128 Rome, Italy</t>
  </si>
  <si>
    <t>University of Milano-Bicocca; Consiglio Nazionale delle Ricerche (CNR); Cancer Research UK; University of Cambridge; CRUK Cambridge Institute; Stanford University; Stanford Medicine; IRCCS Policlinico San Donato; IUSS PAVIA; University of Milan; University Campus Bio-Medico - Rome Italy</t>
  </si>
  <si>
    <t>AI applications to medical images: From machine learning to deep learning</t>
  </si>
  <si>
    <t>PHYSICA MEDICA-EUROPEAN JOURNAL OF MEDICAL PHYSICS</t>
  </si>
  <si>
    <t>Artificial intelligence; Deep learning; Machine learning; Medical imaging; Radiomics</t>
  </si>
  <si>
    <t>CONVOLUTIONAL NEURAL-NETWORKS; FINITE-SAMPLE SIZE; ARTIFICIAL-INTELLIGENCE; FEATURE-SELECTION; BLACK-BOX; RADIOMICS; CLASSIFICATION; PERFORMANCE; VALIDATION; ALGORITHMS</t>
  </si>
  <si>
    <t>Cozzi, Andrea/C-5453-2019; Salvatore, Christian/J-9828-2016; Rundo, Leonardo/AAF-3999-2019; Interlenghi, Matteo/P-2330-2018; Codari, Marina/H-1595-2016; Sardanelli, Francesco/M-2917-2016; Castiglioni, Isabella/AAC-4949-2022</t>
  </si>
  <si>
    <t>Gallivanone, Francesca/0000-0001-6559-6157; Cozzi, Andrea/0000-0003-4922-7065; Salvatore, Christian/0000-0001-9312-4675; Rundo, Leonardo/0000-0003-3341-5483; Interlenghi, Matteo/0000-0002-3066-4276; Codari, Marina/0000-0001-8475-2071; Sardanelli, Francesco/0000-0001-6545-9427</t>
  </si>
  <si>
    <t>177</t>
  </si>
  <si>
    <t>468</t>
  </si>
  <si>
    <t>566</t>
  </si>
  <si>
    <t>519</t>
  </si>
  <si>
    <t>1120-1797</t>
  </si>
  <si>
    <t>1724-191X</t>
  </si>
  <si>
    <t>PHYS MEDICA</t>
  </si>
  <si>
    <t>Phys. Medica</t>
  </si>
  <si>
    <t>10.1016/j.ejmp.2021.02.006</t>
  </si>
  <si>
    <t>http://dx.doi.org/10.1016/j.ejmp.2021.02.006</t>
  </si>
  <si>
    <t>SM9JA</t>
  </si>
  <si>
    <t>33662856</t>
  </si>
  <si>
    <t>WOS:000657912000002</t>
  </si>
  <si>
    <t>Al Kuwaiti, A; Nazer, K; Al-Reedy, A; Al-Shehri, S; Al-Muhanna, A; Subbarayalu, AV; Al Muhanna, D; Al-Muhanna, FA</t>
  </si>
  <si>
    <t>Artificial intelligence (AI) applications have transformed healthcare. This study is based on a general literature review uncovering the role of AI in healthcare and focuses on the following key aspects: (i) medical imaging and diagnostics, (ii) virtual patient care, (iii) medical research and drug discovery, (iv) patient engagement and compliance, (v) rehabilitation, and (vi) other administrative applications. The impact of AI is observed in detecting clinical conditions in medical imaging and diagnostic services, controlling the outbreak of coronavirus disease 2019 (COVID-19) with early diagnosis, providing virtual patient care using AI-powered tools, managing electronic health records, augmenting patient engagement and compliance with the treatment plan, reducing the administrative workload of healthcare professionals (HCPs), discovering new drugs and vaccines, spotting medical prescription errors, extensive data storage and analysis, and technology-assisted rehabilitation. Nevertheless, this science pitch meets several technical, ethical, and social challenges, including privacy, safety, the right to decide and try, costs, information and consent, access, and efficacy, while integrating AI into healthcare. The governance of AI applications is crucial for patient safety and accountability and for raising HCPs' belief in enhancing acceptance and boosting significant health consequences. Effective governance is a prerequisite to precisely address regulatory, ethical, and trust issues while advancing the acceptance and implementation of AI. Since COVID-19 hit the global health system, the concept of AI has created a revolution in healthcare, and such an uprising could be another step forward to meet future healthcare needs.</t>
  </si>
  <si>
    <t>Al Kuwaiti, Ahmed; Nazer, Khalid; Al-Reedy, Abdullah; Al-Shehri, Shaher; Al-Muhanna, Afnan; Subbarayalu, Arun Vijay; Al Muhanna, Dhoha; Al-Muhanna, Fahad A.</t>
  </si>
  <si>
    <t>Al Kuwaiti, A (corresponding author), Imam Abdulrahman Bin Faisal Univ, Coll Dent, Dept Dent Educ, Deanship Qual &amp; Acad Accreditat, Dammam 31441, Saudi Arabia.</t>
  </si>
  <si>
    <t>akuwaiti@iau.edu.sa</t>
  </si>
  <si>
    <t>[Al Kuwaiti, Ahmed] Imam Abdulrahman Bin Faisal Univ, Coll Dent, Dept Dent Educ, Deanship Qual &amp; Acad Accreditat, Dammam 31441, Saudi Arabia; [Nazer, Khalid] Imam Abdulrahman Bin Faisal Univ, Dept Informat &amp; Technol, Dammam 31441, Saudi Arabia; [Nazer, Khalid] King Fahad Hosp Univ, Hlth Informat Dept, Al Khobar 31952, Saudi Arabia; [Al-Reedy, Abdullah] Imam Abdulrahman Bin Faisal Univ, Family &amp; Community Med Ctr, Dept Informat &amp; Technol, Family &amp; Community Med Dept, Dammam 31441, Saudi Arabia; [Al-Shehri, Shaher] Imam Abdulrahman Bin Faisal Univ, Fac Med, Family &amp; Community Med Ctr, Family &amp; Community Med Dept, Dammam 31441, Saudi Arabia; [Al-Muhanna, Afnan] Imam Abdulrahman Bin Faisal Univ, Dept Radiol, Breast Imaging Div, Dammam 31441, Saudi Arabia; [Al-Muhanna, Afnan] King Fahad Hosp Univ, Radiol Dept, Al Khobar 31952, Saudi Arabia; [Subbarayalu, Arun Vijay] Imam Abdulrahman Bin Faisal Univ, Qual Studies &amp; Res Unit, Vice Deanship Qual, Deanship Qual &amp; Acad Accreditat, Dammam 31441, Saudi Arabia; [Al Muhanna, Dhoha] Imam Abdulrahman Bin Faisal Univ, Family &amp; Community Med Ctr, Directorate Qual &amp; Patient Safety, Dammam 31441, Saudi Arabia; [Al-Muhanna, Fahad A.] Imam Abdulrahman Bin Faisal Univ, Fac Med, Dept Internal Med, Nephrol Div, Dammam 31441, Saudi Arabia; [Al-Muhanna, Fahad A.] King Fahad Hosp Univ, Med Dept, Al Khobar 31952, Saudi Arabia</t>
  </si>
  <si>
    <t>Imam Abdulrahman Bin Faisal University; Imam Abdulrahman Bin Faisal University; Imam Abdulrahman Bin Faisal University; Imam Abdulrahman Bin Faisal University; Imam Abdulrahman Bin Faisal University; Imam Abdulrahman Bin Faisal University; Imam Abdulrahman Bin Faisal University; Imam Abdulrahman Bin Faisal University; Imam Abdulrahman Bin Faisal University; Imam Abdulrahman Bin Faisal University; Imam Abdulrahman Bin Faisal University</t>
  </si>
  <si>
    <t>A Review of the Role of Artificial Intelligence in Healthcare</t>
  </si>
  <si>
    <t>JOURNAL OF PERSONALIZED MEDICINE</t>
  </si>
  <si>
    <t>artificial intelligence; ethics; governance; healthcare</t>
  </si>
  <si>
    <t>COVID-19; METAVERSE; DIAGNOSIS; PATIENT; OPPORTUNITIES; SYSTEM; RISK</t>
  </si>
  <si>
    <t>/D-9166-2017; Subbarayalu, Arun Vijay/H-9810-2012; Almuhanna, Afnan/G-8241-2018</t>
  </si>
  <si>
    <t>Almuhanna, Fahad/0000-0003-2169-8391; Subbarayalu, Arun Vijay/0000-0002-5758-118X; Almuhanna, Afnan/0000-0002-9898-0881</t>
  </si>
  <si>
    <t>623</t>
  </si>
  <si>
    <t>2075-4426</t>
  </si>
  <si>
    <t>J PERS MED</t>
  </si>
  <si>
    <t>J. Pers. Med.</t>
  </si>
  <si>
    <t>951</t>
  </si>
  <si>
    <t>10.3390/jpm13060951</t>
  </si>
  <si>
    <t>http://dx.doi.org/10.3390/jpm13060951</t>
  </si>
  <si>
    <t>Health Care Sciences &amp; Services; Medicine, General &amp; Internal</t>
  </si>
  <si>
    <t>Health Care Sciences &amp; Services; General &amp; Internal Medicine</t>
  </si>
  <si>
    <t>K3HH0</t>
  </si>
  <si>
    <t>37373940</t>
  </si>
  <si>
    <t>WOS:001015376300001</t>
  </si>
  <si>
    <t>249</t>
  </si>
  <si>
    <t>Yang, ZY; Zeng, XX; Zhao, Y; Chen, RS</t>
  </si>
  <si>
    <t>AlphaFold2 (AF2) is an artificial intelligence (AI) system developed by DeepMind that can predict three-dimensional (3D) structures of proteins from amino acid sequences with atomic-level accuracy. Protein structure prediction is one of the most challenging problems in computational biology and chemistry, and has puzzled scientists for 50 years. The advent of AF2 presents an unprecedented progress in protein structure prediction and has attracted much attention. Subsequent release of structures of more than 200 million proteins predicted by AF2 further aroused great enthusiasm in the science community, especially in the fields of biology and medicine. AF2 is thought to have a significant impact on structural biology and research areas that need protein structure information, such as drug discovery, protein design, prediction of protein function, et al. Though the time is not long since AF2 was developed, there are already quite a few application studies of AF2 in the fields of biology and medicine, with many of them having preliminarily proved the potential of AF2. To better understand AF2 and promote its applications, we will in this article summarize the principle and system architecture of AF2 as well as the recipe of its success, and particularly focus on reviewing its applications in the fields of biology and medicine. Limitations of current AF2 prediction will also be discussed.</t>
  </si>
  <si>
    <t>Yang, Zhenyu; Zeng, Xiaoxi; Zhao, Yi; Chen, Runsheng</t>
  </si>
  <si>
    <t>Zeng, XX; Zhao, Y; Chen, RS (corresponding author), Sichuan Univ, West China Hosp, West China Biomed Big Data Ctr, Chengdu 610041, Peoples R China.; Zhao, Y (corresponding author), Chinese Acad Sci, Inst Comp Technol, Adv Comp Res Ctr, Key Lab Intelligent Informat Proc, Beijing 100190, Peoples R China.; Chen, RS (corresponding author), Chinese Acad Sci, Inst Biophys, Ctr Big Data Res Hlth, Key Lab RNA Biol, Beijing 100101, Peoples R China.; Chen, RS (corresponding author), Shenzhen Bay Lab, Pingshan Translat Med Ctr, Shenzhen 518118, Peoples R China.</t>
  </si>
  <si>
    <t>crs@ibp.ac.cn; biozy@ict.ac.cn; zengxiaoxi@wchscu.cn</t>
  </si>
  <si>
    <t>National Key R&amp;D Program of China [2021YFC2500203]; Beijing Natural Science Foundation Haidian Origination and Innovation Joint Fund [L222007]; National Natural Science Foundation of China [32070670]; Innovation Project for Institute of Computing Technology, CAS [E161080]</t>
  </si>
  <si>
    <t>National Key R&amp;D Program of China (National Key Research &amp; Development Program of China); Beijing Natural Science Foundation Haidian Origination and Innovation Joint Fund; National Natural Science Foundation of China (National Natural Science Foundation of China (NSFC)); Innovation Project for Institute of Computing Technology, CAS</t>
  </si>
  <si>
    <t>The authors would like to thank Dr. Jun Zou (West China Hospital, Sichuan University) for useful discussion. This work was supported by grants from the National Key R&amp;D Program of China (2021YFC2500203), Beijing Natural Science Foundation Haidian Origination and Innovation Joint Fund (L222007), the National Natural Science Foundation of China (32070670), and Innovation Project for Institute of Computing Technology, CAS. (E161080).</t>
  </si>
  <si>
    <t>[Yang, Zhenyu; Zeng, Xiaoxi; Zhao, Yi; Chen, Runsheng] Sichuan Univ, West China Hosp, West China Biomed Big Data Ctr, Chengdu 610041, Peoples R China; [Zhao, Yi] Chinese Acad Sci, Inst Comp Technol, Adv Comp Res Ctr, Key Lab Intelligent Informat Proc, Beijing 100190, Peoples R China; [Chen, Runsheng] Chinese Acad Sci, Inst Biophys, Ctr Big Data Res Hlth, Key Lab RNA Biol, Beijing 100101, Peoples R China; [Chen, Runsheng] Shenzhen Bay Lab, Pingshan Translat Med Ctr, Shenzhen 518118, Peoples R China</t>
  </si>
  <si>
    <t>Sichuan University; Chinese Academy of Sciences; Institute of Computing Technology, CAS; Chinese Academy of Sciences; Institute of Biophysics, CAS; Shenzhen Bay Laboratory</t>
  </si>
  <si>
    <t>AlphaFold2 and its applications in the fields of biology and medicine</t>
  </si>
  <si>
    <t>PROTEIN-STRUCTURE PREDICTION; ARTIFICIAL-INTELLIGENCE; KRAB DOMAIN; CRYO-EM; SEQUENCE; BINDING; DESIGN; RECOGNITION; MECHANISM; IDENTIFICATION</t>
  </si>
  <si>
    <t>Yi, Zhao/LSL-4700-2024</t>
  </si>
  <si>
    <t>Yi, Zhao/0000-0001-6046-8420; Yang, Zhenyu/0000-0002-0633-8710</t>
  </si>
  <si>
    <t>218</t>
  </si>
  <si>
    <t>536</t>
  </si>
  <si>
    <t>MAR 14 2023</t>
  </si>
  <si>
    <t>10.1038/s41392-023-01381-z</t>
  </si>
  <si>
    <t>http://dx.doi.org/10.1038/s41392-023-01381-z</t>
  </si>
  <si>
    <t>A1UK2</t>
  </si>
  <si>
    <t>36918529</t>
  </si>
  <si>
    <t>WOS:000953048300004</t>
  </si>
  <si>
    <t>Singh, A; Sharma, A; Ahmed, A; Sundramoorthy, AK; Furukawa, H; Arya, S; Khosla, A</t>
  </si>
  <si>
    <t>The electrochemical biosensors are a class of biosensors which convert biological information such as analyte concentration that is a biological recognition element (biochemical receptor) into current or voltage. Electrochemical biosensors depict propitious diagnostic technology which can detect biomarkers in body fluids such as sweat, blood, feces, or urine. Combinations of suitable immobilization techniques with effective transducers give rise to an efficient biosensor. They have been employed in the food industry, medical sciences, defense, studying plant biology, etc. While sensing complex structures and entities, a large data is obtained, and it becomes difficult to manually interpret all the data. Machine learning helps in interpreting large sensing data. In the case of biosensors, the presence of impurity affects the performance of the sensor and machine learning helps in removing signals obtained from the contaminants to obtain a high sensitivity. In this review, we discuss different types of biosensors along with their applications and the benefits of machine learning. This is followed by a discussion on the challenges, missing gaps in the knowledge, and solutions in the field of electrochemical biosensors. This review aims to serve as a valuable resource for scientists and engineers entering the interdisciplinary field of electrochemical biosensors. Furthermore, this review provides insight into the type of electrochemical biosensors, their applications, the importance of machine learning (ML) in biosensing, and challenges and future outlook.</t>
  </si>
  <si>
    <t>Singh, Anoop; Sharma, Asha; Ahmed, Aamir; Sundramoorthy, Ashok K.; Furukawa, Hidemitsu; Arya, Sandeep; Khosla, Ajit</t>
  </si>
  <si>
    <t>Arya, S (corresponding author), Univ Jammu, Dept Phys, Jammu 180006, India.; Khosla, A (corresponding author), Yamagata Univ, Grad Sch Sci &amp; Engn, Dept Mech Syst Engn, Yamagata 9928510, Japan.</t>
  </si>
  <si>
    <t>ashokkus@srmist.edu.in; psashasharma941@gmail.com; furukawa@yz.yamagata-u.ac.jp; khosla@yz.yamagata-u.ac.jp; sandeeparya@jammuuniversity.ac.in; ahmedaam131@gmail.com; anoopsinghchib1111@gmail.com</t>
  </si>
  <si>
    <t>JSPS KAKENHI [JP17H01224, JP18H05471, JP19H01122]; JST COI [JPMJCE1314]; JST -OPERA Program Grant [JPMJOP1844, JPMJOP1614]; Moonshot Agriculture, Forestry and Fisheries Research and Development Program [MS508, JPJ009237]; Cabinet Office (CAO), Cross-ministerial Strategic Innovation Promotion Program (SIP), "An intelligent knowledge processing infrastructure, integrating physical and virtual domains" (NEDO); Program on Open Innovation Platform with Enterprises, Research Institutes and Academia (OPERA) from JST</t>
  </si>
  <si>
    <t>JSPS KAKENHI (Ministry of Education, Culture, Sports, Science and Technology, Japan (MEXT), Japan Society for the Promotion of Science, Grants-in-Aid for Scientific Research (KAKENHI)); JST COI; JST -OPERA Program Grant; Moonshot Agriculture, Forestry and Fisheries Research and Development Program; Cabinet Office (CAO), Cross-ministerial Strategic Innovation Promotion Program (SIP), "An intelligent knowledge processing infrastructure, integrating physical and virtual domains" (NEDO); Program on Open Innovation Platform with Enterprises, Research Institutes and Academia (OPERA) from JST</t>
  </si>
  <si>
    <t>This work was supported in part by JSPS KAKENHI Grant Number JP17H01224, JP18H05471, JP19H01122, JST COI Grant Number JPMJCE1314, JST -OPERA Program Grant Number JPMJOP1844, JST -OPERA Program Grant Number JPMJOP1614, Moonshot Agriculture, Forestry and Fisheries Research and Development Program (MS508, Grant Number JPJ009237) and the Cabinet Office (CAO), Cross-ministerial Strategic Innovation Promotion Program (SIP), "An intelligent knowledge processing infrastructure, integrating physical and virtual domains" (funding agency: NEDO) and the Program on Open Innovation Platform with Enterprises, Research Institutes and Academia (OPERA) from JST.</t>
  </si>
  <si>
    <t>[Singh, Anoop; Sharma, Asha; Ahmed, Aamir; Arya, Sandeep] Univ Jammu, Dept Phys, Jammu 180006, India; [Sundramoorthy, Ashok K.] SRM Inst Sci &amp; Technol, Dept Chem, Kattankulathur 603203, India; [Furukawa, Hidemitsu; Khosla, Ajit] Yamagata Univ, Grad Sch Sci &amp; Engn, Dept Mech Syst Engn, Yamagata 9928510, Japan</t>
  </si>
  <si>
    <t>University of Jammu; SRM Institute of Science &amp; Technology Chennai; Yamagata University</t>
  </si>
  <si>
    <t>Recent Advances in Electrochemical Biosensors: Applications, Challenges, and Future Scope</t>
  </si>
  <si>
    <t>BIOSENSORS-BASEL</t>
  </si>
  <si>
    <t>biosensor; electrochemical; sensitivity; amperometric; voltammetric; food quality monitoring; machine learning</t>
  </si>
  <si>
    <t>PRINTED CARBON ELECTRODE; SUPPORT VECTOR MACHINES; LABEL-FREE; IMPEDIMETRIC BIOSENSOR; AMPEROMETRIC BIOSENSOR; GOLD NANOPARTICLES; OPTICAL BIOSENSOR; CELIAC-DISEASE; SENSOR; IMMUNOSENSOR</t>
  </si>
  <si>
    <t>Ahmed, Aamir/IUQ-5189-2023; Furukawa, Hidemitsu/F-3478-2018; Sundramoorthy, Ashok Kumar/AAD-2476-2022; Arya, Sandeep/E-5531-2019; Khosla, Ajit/AAE-9817-2019; SINGH, ANOOP/JXL-4406-2024</t>
  </si>
  <si>
    <t>Furukawa, Hidemitsu/0000-0002-0778-3330; Ahmed, Aamir/0000-0002-0980-5134; Sundramoorthy, Ashok Kumar/0000-0002-8512-9393; Arya, Sandeep/0000-0001-5059-0609; Khosla, Ajit/0000-0002-2803-8532; SINGH, ANOOP/0000-0002-1747-6983</t>
  </si>
  <si>
    <t>174</t>
  </si>
  <si>
    <t>2079-6374</t>
  </si>
  <si>
    <t>Biosensors-Basel</t>
  </si>
  <si>
    <t>10.3390/bios11090336</t>
  </si>
  <si>
    <t>http://dx.doi.org/10.3390/bios11090336</t>
  </si>
  <si>
    <t>Chemistry, Analytical; Nanoscience &amp; Nanotechnology; Instruments &amp; Instrumentation</t>
  </si>
  <si>
    <t>Chemistry; Science &amp; Technology - Other Topics; Instruments &amp; Instrumentation</t>
  </si>
  <si>
    <t>UV2TY</t>
  </si>
  <si>
    <t>34562926</t>
  </si>
  <si>
    <t>WOS:000699338900001</t>
  </si>
  <si>
    <t>285</t>
  </si>
  <si>
    <t>Lundberg, E; Borner, GHH</t>
  </si>
  <si>
    <t>Protein subcellular localization is tightly controlled and intimately linked to protein function in health and disease. Capturing the spatial proteome - that is, the localizations of proteins and their dynamics at the subcellular level - is therefore essential for a complete understanding of cell biology. Owing to substantial advances in microscopy, mass spectrometry and machine learning applications for data analysis, the field is now mature for proteome-wide investigations of spatial cellular regulation. Studies of the human proteome have begun to reveal a complex architecture, including single-cell variations, dynamic protein translocations, changing interaction networks and proteins localizing to multiple compartments. Furthermore, several studies have successfully harnessed the power of comparative spatial proteomics as a discovery tool to unravel disease mechanisms. We are at the beginning of an era in which spatial proteomics finally integrates with cell biology and medical research, thereby paving the way for unbiased systems-level insights into cellular processes. Here, we discuss current methods for spatial proteomics using imaging or mass spectrometry and specifically highlight global comparative applications. The aim of this Review is to survey the state of the field and also to encourage more cell biologists to apply spatial proteomics approaches.</t>
  </si>
  <si>
    <t>Lundberg, Emma; Borner, Georg H. H.</t>
  </si>
  <si>
    <t>Lundberg, E (corresponding author), KTH Royal Inst Technol, Sch Engn Sci Chem Biotechnol &amp; Hlth, Sci Life Lab, Stockholm, Sweden.; Borner, GHH (corresponding author), Max Planck Inst Biochem, Dept Prote &amp; Signal Transduct, Martinsried, Germany.; Lundberg, E (corresponding author), Stanford Univ, Dept Genet, Stanford, CA 94305 USA.; Lundberg, E (corresponding author), Chan Zuckerberg Biohub, San Francisco, CA 94158 USA.</t>
  </si>
  <si>
    <t>emma.lundberg@scilifelab.se; borner@biochem.mpg.de</t>
  </si>
  <si>
    <t>Knut and Alice Wallenberg foundation [KAW 2016.0204]; Swedish Research Council [2017-05327]; Chan Zuckerberg Initiative [173965 (5022)]; German Research Foundation (DFG/Gottfried Wilhelm Leibniz Prize) [MA 1764/2-1]; Max Planck Society for the Advancement of Science; Swedish Research Council [2017-05327] Funding Source: Swedish Research Council</t>
  </si>
  <si>
    <t>Knut and Alice Wallenberg foundation (Knut &amp; Alice Wallenberg Foundation); Swedish Research Council (Swedish Research Council); Chan Zuckerberg Initiative (Chan Zuckerberg Initiative (CZI)); German Research Foundation (DFG/Gottfried Wilhelm Leibniz Prize) (German Research Foundation (DFG)); Max Planck Society for the Advancement of Science (Max Planck Society); Swedish Research Council (Swedish Research Council)</t>
  </si>
  <si>
    <t>E. L. acknowledges funding from the Knut and Alice Wallenberg foundation (KAW 2016.0204), the Swedish Research Council (2017-05327) and the Chan Zuckerberg Initiative (173965 (5022)). G.H.H.B. received funding from the German Research Foundation (DFG/Gottfried Wilhelm Leibniz Prize MA 1764/2-1) and the Max Planck Society for the Advancement of Science.</t>
  </si>
  <si>
    <t>[Lundberg, Emma] KTH Royal Inst Technol, Sch Engn Sci Chem Biotechnol &amp; Hlth, Sci Life Lab, Stockholm, Sweden; [Borner, Georg H. H.] Max Planck Inst Biochem, Dept Prote &amp; Signal Transduct, Martinsried, Germany; [Lundberg, Emma] Stanford Univ, Dept Genet, Stanford, CA 94305 USA; [Lundberg, Emma] Chan Zuckerberg Biohub, San Francisco, CA 94158 USA</t>
  </si>
  <si>
    <t>Royal Institute of Technology; Max Planck Society; Stanford University; Stanford Medicine; Chan Zuckerberg Initiative (CZI)</t>
  </si>
  <si>
    <t>Spatial proteomics: a powerful discovery tool for cell biology</t>
  </si>
  <si>
    <t>NATURE REVIEWS MOLECULAR CELL BIOLOGY</t>
  </si>
  <si>
    <t>PROTEIN SUBCELLULAR-LOCALIZATION; MOONLIGHTING PROTEINS; MICROSCOPY IMAGES; HUMAN INTERACTOME; HUMAN CENTROSOME; DNA-DAMAGE; STEM-CELLS; ANTIBODY; YEAST; LIVE</t>
  </si>
  <si>
    <t>Lundberg, Emma/F-3891-2010; Borner, Georg H H/KAL-8741-2024</t>
  </si>
  <si>
    <t>Lundberg, Emma/0000-0001-7034-0850; Borner, Georg H H/0000-0002-3166-3435</t>
  </si>
  <si>
    <t>541</t>
  </si>
  <si>
    <t>344</t>
  </si>
  <si>
    <t>1471-0072</t>
  </si>
  <si>
    <t>1471-0080</t>
  </si>
  <si>
    <t>NAT REV MOL CELL BIO</t>
  </si>
  <si>
    <t>Nat. Rev. Mol. Cell Biol.</t>
  </si>
  <si>
    <t>MAY 2019</t>
  </si>
  <si>
    <t>302</t>
  </si>
  <si>
    <t>10.1038/s41580-018-0094-y</t>
  </si>
  <si>
    <t>http://dx.doi.org/10.1038/s41580-018-0094-y</t>
  </si>
  <si>
    <t>Cell Biology</t>
  </si>
  <si>
    <t>HU7YT</t>
  </si>
  <si>
    <t>30659282</t>
  </si>
  <si>
    <t>WOS:000465500200008</t>
  </si>
  <si>
    <t>Lalmuanawma, S; Hussain, J; Chhakchhuak, L</t>
  </si>
  <si>
    <t>Background and objective: During the recent global urgency, scientists, clinicians, and healthcare experts around the globe keep on searching for a new technology to support in tackling the Covid-19 pandemic. The evidence of Machine Learning (ML) and Artificial Intelligence (AI) application on the previous epidemic encourage researchers by giving a new angle to fight against the novel Coronavirus outbreak. This paper aims to comprehensively review the role of AI and ML as one significant method in the arena of screening, predicting, forecasting, contact tracing, and drug development for SARS-CoV-2 and its related epidemic.Method: A selective assessment of information on the research article was executed on the databases related to the application of ML and AI technology on Covid-19. Rapid and critical analysis of the three crucial parameters, i.e., abstract, methodology, and the conclusion was done to relate to the model's possibilities for tackling the SARS-CoV-2 epidemic.Result: This paper addresses on recent studies that apply ML and AI technology towards augmenting the researchers on multiple angles. It also addresses a few errors and challenges while using such algorithms in real-world problems. The paper also discusses suggestions conveying researchers on model design, medical experts, and policymakers in the current situation while tackling the Covid-19 pandemic and ahead.Conclusion: The ongoing development in AI and ML has significantly improved treatment, medication, screening, prediction, forecasting, contact tracing, and drug/vaccine development process for the Covid-19 pandemic and reduce the human intervention in medical practice. However, most of the models are not deployed enough to show their real-world operation, but they are still up to the mark to tackle the SARS-CoV-2 epidemic. (C) 2020 Elsevier Ltd. All rights reserved.</t>
  </si>
  <si>
    <t>Lalmuanawma, Samuel; Hussain, Jamal; Chhakchhuak, Lalrinfela</t>
  </si>
  <si>
    <t>Lalmuanawma, S (corresponding author), Mizoram Univ, Dept Math &amp; Comp Sci, Aizawl 796004, Mizoram, India.</t>
  </si>
  <si>
    <t>samuellalmuanawma@mzu.edu.in</t>
  </si>
  <si>
    <t>[Lalmuanawma, Samuel; Hussain, Jamal] Mizoram Univ, Dept Math &amp; Comp Sci, Aizawl 796004, Mizoram, India; [Chhakchhuak, Lalrinfela] Univ York, Dept Comp, York YO10 5DD, N Yorkshire, England</t>
  </si>
  <si>
    <t>Mizoram University; University of York - UK</t>
  </si>
  <si>
    <t>Applications of machine learning and artificial intelligence for Covid-19 (SARS-CoV-2) pandemic: A review</t>
  </si>
  <si>
    <t>CHAOS SOLITONS &amp; FRACTALS</t>
  </si>
  <si>
    <t>Covid-19; Machine learning; Artificial intelligence; Pandemic</t>
  </si>
  <si>
    <t>Hussain, Jamal/HGU-0853-2022; Lalmuanawma, Samuel/AAH-9136-2019</t>
  </si>
  <si>
    <t>Hussain, Jamal/0000-0001-5553-3654; Lalmuanawma, Samuel/0000-0002-7327-2045</t>
  </si>
  <si>
    <t>317</t>
  </si>
  <si>
    <t>0960-0779</t>
  </si>
  <si>
    <t>1873-2887</t>
  </si>
  <si>
    <t>CHAOS SOLITON FRACT</t>
  </si>
  <si>
    <t>Chaos Solitons Fractals</t>
  </si>
  <si>
    <t>110059</t>
  </si>
  <si>
    <t>10.1016/j.chaos.2020.110059</t>
  </si>
  <si>
    <t>http://dx.doi.org/10.1016/j.chaos.2020.110059</t>
  </si>
  <si>
    <t>Mathematics, Interdisciplinary Applications; Physics, Multidisciplinary; Physics, Mathematical</t>
  </si>
  <si>
    <t>Mathematics; Physics</t>
  </si>
  <si>
    <t>OP9TF</t>
  </si>
  <si>
    <t>32834612</t>
  </si>
  <si>
    <t>WOS:000588433800064</t>
  </si>
  <si>
    <t>Jiang, XY; Ma, JY; Xiao, GB; Shao, ZF; Guo, XJ</t>
  </si>
  <si>
    <t>Multimodal image matching, which refers to identifying and then corresponding the same or similar structure/content from two or more images that are of significant modalities or nonlinear appearance difference, is a fundamental and critical problem in a wide range of applications, including medical, remote sensing and computer vision. An increasing number and diversity of methods have been proposed over the past decades, particularly in this deep learning era, due to the challenges in eliminating modality variance and geometrical deformation that intrinsically exist in multimodal image matching. However, a comprehensive review and analysis of traditional and recent trainable methods and their applications in different research fields are lacking. To this end and in this survey, we first introduce two general frameworks, saying area and feature-based, in terms of their core components, taxonomy, and procedure details. Second, we provide a comprehensive review of multimodal image matching methods from handcrafted to deep methods for each research field according to their imaging nature, including medical, remote sensing and computer vision. Extensive experimental comparisons of interest point detection, description and matching, and image registration are performed on various datasets containing common types of multimodal image pairs that we collected and annotated. Finally, we briefly introduce and analyze several typical applications to reveal the significance of multimodal image matching and provide insightful discussions and conclusions to these multimodal image matching approaches, and simultaneously deliver their future trends for researchers and engineers in related research areas to achieve further breakthroughs.</t>
  </si>
  <si>
    <t>Jiang, Xingyu; Ma, Jiayi; Xiao, Guobao; Shao, Zhenfeng; Guo, Xiaojie</t>
  </si>
  <si>
    <t>Ma, JY (corresponding author), Wuhan Univ, Elect Informat Sch, Wuhan 430072, Peoples R China.; Shao, ZF (corresponding author), Wuhan Univ, State Key Lab Informat Engn Surveying Mapping &amp; R, Wuhan 430079, Peoples R China.</t>
  </si>
  <si>
    <t>shaozhenfeng@whu.edu.cn; jiangx.y@whu.edu.cn; xj.max.guo@gmail.com; jyma2010@gmail.com; x-gb@163.com</t>
  </si>
  <si>
    <t>National Natural Science Foundation of China [61773295]; Key Research and Development Program of Hubei Province, China [2020BAB113]; Natural Science Foundation of Hubei Province, China [2019CFA037]</t>
  </si>
  <si>
    <t>National Natural Science Foundation of China (National Natural Science Foundation of China (NSFC)); Key Research and Development Program of Hubei Province, China; Natural Science Foundation of Hubei Province, China (Natural Science Foundation of Hubei Province)</t>
  </si>
  <si>
    <t>This research was sponsored in part by the National Natural Science Foundation of China (61773295), in part by the Key Research and Development Program of Hubei Province, China (2020BAB113), and in part by the Natural Science Foundation of Hubei Province, China (2019CFA037).</t>
  </si>
  <si>
    <t>[Jiang, Xingyu; Ma, Jiayi] Wuhan Univ, Elect Informat Sch, Wuhan 430072, Peoples R China; [Xiao, Guobao] Minjiang Univ, Coll Comp &amp; Control Engn, Fujian Prov Key Lab Informat Proc &amp; Intelligent C, Fuzhou 350108, Peoples R China; [Shao, Zhenfeng] Wuhan Univ, State Key Lab Informat Engn Surveying Mapping &amp; R, Wuhan 430079, Peoples R China; [Guo, Xiaojie] Tianjin Univ, Coll Intelligence &amp; Comp, Tianjin 300350, Peoples R China</t>
  </si>
  <si>
    <t>Wuhan University; Minjiang University; Wuhan University; Tianjin University</t>
  </si>
  <si>
    <t>A review of multimodal image matching: Methods and applications</t>
  </si>
  <si>
    <t>Multimodal; Matching; Registration; Deep learning; Medical; Remote sensing; Computer vision</t>
  </si>
  <si>
    <t>GENERATIVE ADVERSARIAL NETWORK; SELF-SIMILARITY DESCRIPTOR; MOVING OBJECT DETECTION; GAUSSIAN MIXTURE MODEL; REMOTE-SENSING IMAGES; OF-THE-ART; MUTUAL INFORMATION; NONRIGID REGISTRATION; CORNER DETECTION; AUTOMATIC REGISTRATION</t>
  </si>
  <si>
    <t>Guo, Xiaojie/AAC-3114-2022; Jiang, Xingyu/PDW-5904-2025; Ma, Jiayi/Y-2470-2019</t>
  </si>
  <si>
    <t>Jiang, Xingyu/0000-0001-9790-8856</t>
  </si>
  <si>
    <t>453</t>
  </si>
  <si>
    <t>958</t>
  </si>
  <si>
    <t>10.1016/j.inffus.2021.02.012</t>
  </si>
  <si>
    <t>http://dx.doi.org/10.1016/j.inffus.2021.02.012</t>
  </si>
  <si>
    <t>SD1SF</t>
  </si>
  <si>
    <t>WOS:000651146500003</t>
  </si>
  <si>
    <t>Pessach, D; Shmueli, E</t>
  </si>
  <si>
    <t>An increasing number of decisions regarding the daily lives of human beings are being controlled by artificial intelligence and machine learning (ML) algorithms in spheres ranging from healthcare, transportation, and education to college admissions, recruitment, provision of loans, and many more realms. Since they now touch on many aspects of our lives, it is crucial to develop ML algorithms that are not only accurate but also objective and fair. Recent studies have shown that algorithmic decision making may be inherently prone to unfairness, even when there is no intention for it. This article presents an overview of the main concepts of identifying, measuring, and improving algorithmic fairness when using ML algorithms, focusing primarily on classification tasks. The article begins by discussing the causes of algorithmic bias and unfairness and the common definitions and measures for fairness. Fairness-enhancing mechanisms are then reviewed and divided into pre-process, in-process, and post-process mechanisms. A comprehensive comparison of the mechanisms is then conducted, toward a better understanding of which mechanisms should be used in different scenarios. The article ends by reviewing several emerging research sub-fields of algorithmic fairness, beyond classification.</t>
  </si>
  <si>
    <t>Pessach, Dana; Shmueli, Erez</t>
  </si>
  <si>
    <t>Pessach, D (corresponding author), Tel Aviv Univ, Dept Ind Engn, POB 39040, IL-6997801 Tel Aviv, Israel.</t>
  </si>
  <si>
    <t>danapessach@gmail.com; shmueli@tau.ac.il</t>
  </si>
  <si>
    <t>Koret foundation grant for Smart Cities and Digital Living 2030</t>
  </si>
  <si>
    <t>This work was partially supported by the Koret foundation grant for Smart Cities and Digital Living 2030.</t>
  </si>
  <si>
    <t>[Pessach, Dana; Shmueli, Erez] Tel Aviv Univ, Dept Ind Engn, POB 39040, IL-6997801 Tel Aviv, Israel</t>
  </si>
  <si>
    <t>Tel Aviv University</t>
  </si>
  <si>
    <t>A Review on Fairness in Machine Learning</t>
  </si>
  <si>
    <t>Algorithmic bias; algorithmic fairness; fairness-aware machine learning; fairness in machine learning</t>
  </si>
  <si>
    <t>DISPARATE IMPACT; BIAS; PREDICTION</t>
  </si>
  <si>
    <t>Shmueli, Erez/QJW-5061-2026</t>
  </si>
  <si>
    <t>222</t>
  </si>
  <si>
    <t>451</t>
  </si>
  <si>
    <t>557</t>
  </si>
  <si>
    <t>363</t>
  </si>
  <si>
    <t>10.1145/3494672</t>
  </si>
  <si>
    <t>http://dx.doi.org/10.1145/3494672</t>
  </si>
  <si>
    <t>6J6LA</t>
  </si>
  <si>
    <t>WOS:000886932500002</t>
  </si>
  <si>
    <t>Altaheri, H; Muhammad, G; Alsulaiman, M; Amin, SU; Altuwaijri, GA; Abdul, W; Bencherif, MA; Faisal, M</t>
  </si>
  <si>
    <t>The brain-computer interface (BCI) is an emerging technology that has the potential to revolutionize the world, with numerous applications ranging from healthcare to human augmentation. Electroencephalogram (EEG) motor imagery (MI) is among the most common BCI paradigms that have been used extensively in smart healthcare applications such as post-stroke rehabilitation and mobile assistive robots. In recent years, the contribution of deep learning (DL) has had a phenomenal impact on MI-EEG-based BCI. In this work, we systematically review the DL-based research for MI-EEG classification from the past ten years. This article first explains the procedure for selecting the studies and then gives an overview of BCI, EEG, and MI systems. The DL-based techniques applied in MI classification are then analyzed and discussed from four main perspectives: preprocessing, input formulation, deep learning architecture, and performance evaluation. In the discussion section, three major questions about DL-based MI classification are addressed: (1) Is preprocessing required for DL-based techniques? (2) What input formulations are best for DL-based techniques? (3) What are the current trends in DL-based techniques? Moreover, this work summarizes MI-EEG-based applications, extensively explores public MI-EEG datasets, and gives an overall visualization of the performance attained for each dataset based on the reviewed articles. Finally, current challenges and future directions are discussed.</t>
  </si>
  <si>
    <t>Altaheri, Hamdi; Muhammad, Ghulam; Alsulaiman, Mansour; Amin, Syed Umar; Altuwaijri, Ghadir Ali; Abdul, Wadood; Bencherif, Mohamed A.; Faisal, Mohammed</t>
  </si>
  <si>
    <t>Muhammad, G (corresponding author), King Saud Univ, Dept Comp Engn, Coll Comp &amp; Informat Sci CCIS, Riyadh 11543, Saudi Arabia.; Muhammad, G (corresponding author), King Saud Univ, Ctr Smart Robot Res, CCIS, Riyadh, Saudi Arabia.</t>
  </si>
  <si>
    <t>ghulam@ksu.edu.sa; samin@ksu.edu.sa; haltaheri@ksu.edu.sa; mabencherif@ksu.edu.sa; mfaisal@ksu.edu.sa; mmalsulaiman@ksu.edu.sa; ga.altuwaijri@mu.edu.sa; aabdulwaheed@ksu.edu.sa</t>
  </si>
  <si>
    <t>Deputyship for Research &amp; Innovation, Ministry of Education in Saudi Arabia [DRI-KSU-1354]</t>
  </si>
  <si>
    <t>Deputyship for Research &amp; Innovation, Ministry of Education in Saudi Arabia (Ministry of Education Saudi Arabia)</t>
  </si>
  <si>
    <t>The authors extend their appreciation to the Deputyship for Research &amp; Innovation, Ministry of Education in Saudi Arabia for funding this research work through the project number (DRI-KSU-1354).</t>
  </si>
  <si>
    <t>[Altaheri, Hamdi; Muhammad, Ghulam; Alsulaiman, Mansour; Amin, Syed Umar; Altuwaijri, Ghadir Ali; Abdul, Wadood; Bencherif, Mohamed A.] King Saud Univ, Dept Comp Engn, Coll Comp &amp; Informat Sci CCIS, Riyadh 11543, Saudi Arabia; [Altuwaijri, Ghadir Ali] Majmaah Univ, Comp Sci &amp; Informat Technol Coll, Majmaah, Saudi Arabia; [Faisal, Mohammed] King Saud Univ, Coll Appl Comp Sci, Riyadh, Saudi Arabia; [Altaheri, Hamdi; Muhammad, Ghulam; Alsulaiman, Mansour; Amin, Syed Umar; Altuwaijri, Ghadir Ali; Abdul, Wadood; Bencherif, Mohamed A.; Faisal, Mohammed] King Saud Univ, Ctr Smart Robot Res, CCIS, Riyadh, Saudi Arabia</t>
  </si>
  <si>
    <t>King Saud University; Majmaah University; King Saud University; King Saud University</t>
  </si>
  <si>
    <t>Deep learning techniques for classification of electroencephalogram (EEG) motor imagery (MI) signals: a review</t>
  </si>
  <si>
    <t>NEURAL COMPUTING &amp; APPLICATIONS</t>
  </si>
  <si>
    <t>Deep learning; Electroencephalogram (EEG); Motor imagery (MI); Brain-computer interface (BCI); Classification; Survey</t>
  </si>
  <si>
    <t>CONVOLUTIONAL NEURAL-NETWORK; BRAIN-COMPUTER-INTERFACE; CHANNEL SELECTION; SINGLE; REHABILITATION; PERFORMANCE; FUSION; STROKE; SCHEME; TASKS</t>
  </si>
  <si>
    <t>Faisal, Mohammed/D-3338-2016; Altaheri, Hamdi/AAG-3308-2019; Abdul, Wadood/GZA-4884-2022; Muhammad, Ghulam/H-5884-2011; Amin, Syed Umar/D-9632-2019</t>
  </si>
  <si>
    <t>Altuwaijri, Ghadir/0000-0002-3427-6262; Altaheri, Hamdi/0000-0003-1780-6388; Muhammad, Ghulam/0000-0002-9781-3969; Amin, Syed Umar/0000-0002-4718-0155</t>
  </si>
  <si>
    <t>450</t>
  </si>
  <si>
    <t>494</t>
  </si>
  <si>
    <t>SPRINGER LONDON LTD</t>
  </si>
  <si>
    <t>236 GRAYS INN RD, 6TH FLOOR, LONDON WC1X 8HL, ENGLAND</t>
  </si>
  <si>
    <t>0941-0643</t>
  </si>
  <si>
    <t>1433-3058</t>
  </si>
  <si>
    <t>NEURAL COMPUT APPL</t>
  </si>
  <si>
    <t>Neural Comput. Appl.</t>
  </si>
  <si>
    <t>14681</t>
  </si>
  <si>
    <t>14722</t>
  </si>
  <si>
    <t>10.1007/s00521-021-06352-5</t>
  </si>
  <si>
    <t>http://dx.doi.org/10.1007/s00521-021-06352-5</t>
  </si>
  <si>
    <t>I0SQ0</t>
  </si>
  <si>
    <t>WOS:000688393800001</t>
  </si>
  <si>
    <t>Wang, G; Ye, JC; De Man, B</t>
  </si>
  <si>
    <t>The popularity of deep learning is leading to new areas in biomedical applications. Wang and colleagues summarize in this Review the recent development and future directions of deep neural networks for superior image quality in the tomographic imaging field.Deep-learning-based tomographic imaging is an important application of artificial intelligence and a new frontier of machine learning. Deep learning has been widely used in computer vision and image analysis, which deal with existing images, improve these images, and produce features from them. Since 2016, deep learning techniques have been actively researched for tomographic imaging, especially in the context of biomedicine, with impressive results and great potential. Tomographic reconstruction produces images of multi-dimensional structures from externally measured 'encoded' data in the form of various tomographic transforms (integrals, harmonics, echoes and so on). In this Review, we provide a general background, highlight representative results with an emphasis on medical imaging, and discuss key issues that need to be addressed in this emerging field. In particular, tomographic imaging is an integral part of modern medicine, and will play a key role in personalized, preventive and precision medicine and make it intelligent, inexpensive and indiscriminate.</t>
  </si>
  <si>
    <t>Wang, Ge; Ye, Jong Chul; De Man, Bruno</t>
  </si>
  <si>
    <t>Wang, G (corresponding author), Rensselaer Polytech Inst, Dept Biomed Engn, Ctr Biotechnol &amp; Interdisciplinary Studies, Biomed Imaging Ctr,Sch Engn, Troy, NY 12180 USA.</t>
  </si>
  <si>
    <t>wangg6@rpi.edu</t>
  </si>
  <si>
    <t>[Wang, Ge] Rensselaer Polytech Inst, Dept Biomed Engn, Ctr Biotechnol &amp; Interdisciplinary Studies, Biomed Imaging Ctr,Sch Engn, Troy, NY 12180 USA; [Ye, Jong Chul] Korea Adv Inst Sci &amp; Technol KAIST, Dept Bio &amp; Brain Engn, Daejeon, South Korea; [De Man, Bruno] GE Res, Radiat Imaging Lab Biol &amp; Appl Phys, Niskayuna, NY USA</t>
  </si>
  <si>
    <t>Rensselaer Polytechnic Institute; Korea Advanced Institute of Science &amp; Technology (KAIST); General Electric</t>
  </si>
  <si>
    <t>Deep learning for tomographic image reconstruction</t>
  </si>
  <si>
    <t>LOW-DOSE CT; CONVOLUTIONAL NEURAL-NETWORK; GENERATIVE ADVERSARIAL NETWORKS; BAYESIAN RECONSTRUCTION; ARTIFACT REDUCTION; INVERSE PROBLEMS; MR; ALGORITHMS; MICROSCOPY; DOMAIN</t>
  </si>
  <si>
    <t>Wang, Ge/AAH-8592-2020; Ye, Jong Chul/C-1623-2011</t>
  </si>
  <si>
    <t>Wang, Ge/0000-0002-2656-7705; Ye, Jong Chul/0000-0001-9763-9609; De Man, Bruno/0000-0001-7250-3406</t>
  </si>
  <si>
    <t>449</t>
  </si>
  <si>
    <t>322</t>
  </si>
  <si>
    <t>737</t>
  </si>
  <si>
    <t>748</t>
  </si>
  <si>
    <t>10.1038/s42256-020-00273-z</t>
  </si>
  <si>
    <t>http://dx.doi.org/10.1038/s42256-020-00273-z</t>
  </si>
  <si>
    <t>PG8ZJ</t>
  </si>
  <si>
    <t>WOS:000600016400004</t>
  </si>
  <si>
    <t>Goecks, J; Jalili, V; Heiser, LM; Gray, JW</t>
  </si>
  <si>
    <t>This Perspective explores the application of machine learning toward improved diagnosis and treatment. We outline a vision for how machine learning can transform three broad areas of biomedicine: clinical diagnostics, precision treatments, and health monitoring, where the goal is to maintain health through a range of diseases and the normal aging process. For each area, early instances of successful machine learning applications are discussed, as well as opportunities and challenges for machine learning. When these challenges are met, machine learning promises a future of rigorous, outcomes-based medicine with detection, diagnosis, and treatment strategies that are continuously adapted to individual and environmental differences.</t>
  </si>
  <si>
    <t>Goecks, Jeremy; Jalili, Vahid; Heiser, Laura M.; Gray, Joe W.</t>
  </si>
  <si>
    <t>Goecks, J (corresponding author), Oregon Hlth &amp; Sci Univ, Dept Biomed Engn, Portland, OR 97201 USA.</t>
  </si>
  <si>
    <t>goecksj@ohsu.edu</t>
  </si>
  <si>
    <t>National Cancer Institute [U2C CA233280, U24 CA231877, U54 CA209988]; National Institutes of Health [U54 HG008100]; Prospect Creek Foundation; Susan G. Komen Foundation; Breast Cancer Research Foundation; Jayne Koskinas Ted Giovanis Foundation; National Cancer Institute [U2CCA233280, U54CA209988, U24CA231877] Funding Source: NIH RePORTER</t>
  </si>
  <si>
    <t>National Cancer Institute (United States Department of Health &amp; Human Services, National Institutes of Health (NIH) - USA, NIH National Cancer Institute (NCI)); National Institutes of Health (United States Department of Health &amp; Human Services, National Institutes of Health (NIH) - USA); Prospect Creek Foundation; Susan G. Komen Foundation (Susan G. Komen Breast Cancer Foundation); Breast Cancer Research Foundation (Breast Cancer Research Foundation); Jayne Koskinas Ted Giovanis Foundation; National Cancer Institute (United States Department of Health &amp; Human Services, National Institutes of Health (NIH) - USA, NIH National Cancer Institute (NCI))</t>
  </si>
  <si>
    <t>J.G. and J.W.G. are supported by National Cancer Institute (U2C CA233280). J.G. is supported by National Cancer Institute (U24 CA231877). L.M.H. and J.W.G. are supported by the National Institutes of Health (U54 HG008100) and National Cancer Institute (U54 CA209988). J.G., L.M.H., and J.W.G. are supported by the Prospect Creek Foundation. J.W.G. is supported by the Susan G. Komen Foundation. L.M.H. is supported by the Breast Cancer Research Foundation and The Jayne Koskinas Ted Giovanis Foundation.</t>
  </si>
  <si>
    <t>[Goecks, Jeremy; Jalili, Vahid; Heiser, Laura M.; Gray, Joe W.] Oregon Hlth &amp; Sci Univ, Dept Biomed Engn, Portland, OR 97201 USA</t>
  </si>
  <si>
    <t>Oregon Health &amp; Science University</t>
  </si>
  <si>
    <t>How Machine Learning Will Transform Biomedicine</t>
  </si>
  <si>
    <t>CANCER; HEALTH; PREDICTION; MUTATIONS; ALGORITHM; MEDICINE; SEQUENCE; BIOLOGY</t>
  </si>
  <si>
    <t>Goecks, Jeremy/QLV-0759-2026; Jalili, Vahid/KFS-7095-2024; Gray, Joe/AAX-9549-2020</t>
  </si>
  <si>
    <t>Jalili, Vahid/0000-0003-4986-2157</t>
  </si>
  <si>
    <t>150</t>
  </si>
  <si>
    <t>APR 2 2020</t>
  </si>
  <si>
    <t>10.1016/j.cell.2020.03.022</t>
  </si>
  <si>
    <t>http://dx.doi.org/10.1016/j.cell.2020.03.022</t>
  </si>
  <si>
    <t>KZ5RI</t>
  </si>
  <si>
    <t>32243801</t>
  </si>
  <si>
    <t>WOS:000523319000015</t>
  </si>
  <si>
    <t>Du, GT; Cao, X; Liang, JM; Chen, XL; Zhan, YH</t>
  </si>
  <si>
    <t>Medical image analysis is performed by analyzing images obtained by medical imaging systems to solve clinical problems. The purpose is to extract effective information and improve the level of clinical diagnosis. In recent years, automatic segmentation based on deep learning (DL) methods has been widely used, where a neural network can automatically learn image features, which is in sharp contrast with the traditional manual learning method. U-net is one of the most important semantic segmentation frameworks for a convolutional neural network (CNN). It is widely used in the medical image analysis domain for lesion segmentation, anatomical segmentation, and classification. The advantage of this network framework is that it can not only accurately segment the desired feature target and effectively process and objectively evaluate medical images but also help to improve accuracy in the diagnosis by medical images. Therefore, this article presents a literature review of medical image segmentation based on U-net, focusing on the successful segmentation experience of U-net for different lesion regions in six medical imaging systems. Along with the latest advances in DL, this article introduces the method of combining the original U-net architecture with deep learning and a method for improving the U-net network. (C) 2020 Society for Imaging Science and Technology.</t>
  </si>
  <si>
    <t>Du, Getao; Cao, Xu; Liang, Jimin; Chen, Xueli; Zhan, Yonghua</t>
  </si>
  <si>
    <t>Zhan, YH (corresponding author), Xidian Univ, Sch Life Sci &amp; Technol, Minist Educ, Engn Res Ctr Mol &amp; Neuro Imaging, Xian 710071, Shaanxi, Peoples R China.</t>
  </si>
  <si>
    <t>yhzhan@xidian.edu.cn</t>
  </si>
  <si>
    <t>National Key R&amp;D Program of China [2018YFC0910602]; National Natural Science Foundation of China [11727813, 81627807, 91859109, 81571725, 81871397, 81701853, 81660505, 81530058]; Fok Ying-Tong Education Foundation of China [161104]; Program for the Young Top-notch Talent of Shaanxi Province; Research Fund for Young Star of Science and Technology in Shaanxi Province [2018KJXX-018]; Natural Science Basic Research Plan in Shaanxi Province of China [2018JM7072]; Fundamental Research Funds for the Central Universities [JB181203]</t>
  </si>
  <si>
    <t>National Key R&amp;D Program of China (National Key Research &amp; Development Program of China); National Natural Science Foundation of China (National Natural Science Foundation of China (NSFC)); Fok Ying-Tong Education Foundation of China; Program for the Young Top-notch Talent of Shaanxi Province; Research Fund for Young Star of Science and Technology in Shaanxi Province; Natural Science Basic Research Plan in Shaanxi Province of China (Natural Science Basic Research Plan in Shaanxi Province of China); Fundamental Research Funds for the Central Universities (Fundamental Research Funds for the Central Universities)</t>
  </si>
  <si>
    <t>This work was supported, in part, by the National Key R&amp;D Program of China under Grant No. 2018YFC0910602; the National Natural Science Foundation of China under Grant Nos 11727813, 81627807, 91859109, 81571725, 81871397, 81701853, 81660505, and 81530058; the Fok Ying-Tong Education Foundation of China under Grant 161104; the Program for the Young Top-notch Talent of Shaanxi Province; the Research Fund for Young Star of Science and Technology in Shaanxi Province under Grant No. 2018KJXX-018; the Natural Science Basic Research Plan in Shaanxi Province of China under Grant No. 2018JM7072; and the Fundamental Research Funds for the Central Universities (JB181203).</t>
  </si>
  <si>
    <t>[Du, Getao; Cao, Xu; Liang, Jimin; Chen, Xueli; Zhan, Yonghua] Xidian Univ, Sch Life Sci &amp; Technol, Minist Educ, Engn Res Ctr Mol &amp; Neuro Imaging, Xian 710071, Shaanxi, Peoples R China</t>
  </si>
  <si>
    <t>Xidian University</t>
  </si>
  <si>
    <t>Medical Image Segmentation based on U-Net: A Review</t>
  </si>
  <si>
    <t>JOURNAL OF IMAGING SCIENCE AND TECHNOLOGY</t>
  </si>
  <si>
    <t>FULLY CONVOLUTIONAL NETWORKS; OSTEOSARCOMA SEGMENTATION; AUTOMATIC SEGMENTATION; RESIDUAL NETWORK; NEURAL-NETWORKS; DEEP; CT</t>
  </si>
  <si>
    <t>Cao, Xu/M-9944-2013; Zhan, Yonghua/ISV-3103-2023; Liang, Jimin/B-5394-2014; Chen, Xueli/T-9706-2019</t>
  </si>
  <si>
    <t>Liang, Jimin/0000-0003-1428-5804</t>
  </si>
  <si>
    <t>512</t>
  </si>
  <si>
    <t>I S &amp; T-SOC IMAGING SCIENCE TECHNOLOGY</t>
  </si>
  <si>
    <t>SPRINGFIELD</t>
  </si>
  <si>
    <t>7003 KILWORTH LA, SPRINGFIELD, VA 22151 USA</t>
  </si>
  <si>
    <t>1062-3701</t>
  </si>
  <si>
    <t>1943-3522</t>
  </si>
  <si>
    <t>J IMAGING SCI TECHN</t>
  </si>
  <si>
    <t>J. Imaging Sci. Technol.</t>
  </si>
  <si>
    <t>020508</t>
  </si>
  <si>
    <t>10.2352/J.ImagingSci.Technol.2020.64.2.020508</t>
  </si>
  <si>
    <t>http://dx.doi.org/10.2352/J.ImagingSci.Technol.2020.64.2.020508</t>
  </si>
  <si>
    <t>LP4BQ</t>
  </si>
  <si>
    <t>WOS:000534263600008</t>
  </si>
  <si>
    <t>Seijo, LM; Peled, N; Ajona, D; Boeri, M; Field, JK; Sozzi, G; Pio, R; Zulueta, JJ; Spira, A; Massion, PP; Mazzone, PJ; Montuenga, LM</t>
  </si>
  <si>
    <t>The present review is an update of the research and development efforts regarding the use of molecular biomarkers in the lung cancer screening setting. The two main unmet clinical needs, namely, the refinement of risk to improve the selection of individuals undergoing screening and the characterization of undetermined nodules found during the computed tomography-based screening process are the object of the biomarkers described in the present review. We first propose some principles to optimize lung cancer biomarker discovery projects. Then, we summarize the discovery and developmental status of currently promising molecular candidates, such as autoantibodies, complement fragments, microRNAs, circulating tumor DNA, DNA methylation, blood protein profiling, or RNA airway or nasal signatures. We also mention other emerging biomarkers or new technologies to follow, such as exhaled breath biomarkers, metabolomics, sputum cell imaging, genetic predisposition studies, and the integration of next-generation sequencing into study of circulating DNA. We also underline the importance of integrating different molecular technologies together with imaging, radiomics, and artificial intelligence. We list a number of completed, ongoing, or planned trials to show the clinical utility of molecular biomarkers. Finally, we comment on future research challenges in the field of biomarkers in the context of lung cancer screening and propose a design of a trial to test the clinical utility of one or several candidate biomarkers. (C) 2018 International Association for the Study of Lung Cancer. Published by Elsevier Inc. All rights reserved.</t>
  </si>
  <si>
    <t>Seijo, Luis M.; Peled, Nir; Ajona, Daniel; Boeri, Mattia; Field, John K.; Sozzi, Gabriella; Pio, Ruben; Zulueta, Javier J.; Spira, Avrum; Massion, Pierre P.; Mazzone, Peter J.; Montuenga, Luis M.</t>
  </si>
  <si>
    <t>Montuenga, LM (corresponding author), Univ Navarra, Solid Tumors Program, Ctr Appl Med Res, Pio XII 55, Pamplona 31008, Spain.; Montuenga, LM (corresponding author), Univ Navarra, Dept Pathol Anat &amp; Physiol, Pio XII 55, Pamplona 31008, Spain.</t>
  </si>
  <si>
    <t>lmontuenga@unav.es</t>
  </si>
  <si>
    <t>Foundation for Medical Research (FIMA); Spanish Ministry of Economy and Innovation; Health Research Fund (FIS)/European Regional Development Fund (FEDER) (FIS) [PI16/01821, PI17/00411]; Health Research Fund (FIS)/European Regional Development Fund (FEDER) (CIBERONC); Spanish Association Against Cancer (AECC) Scientific Foundation [GCB14-2170, PROYE16091]; Juan Serrano and Ramon Areces Foundation; Italian Association for Cancer Research [18812]; Fondazione Pezcoller Fellowship; National Cancer Institute [A152662]; 5 x 1000 grant from the Italian Association for Cancer Research [12162]; National Institute for Health Research [09/61/501] Funding Source: researchfish; National Cancer Institute [U01CA152662] Funding Source: NIH RePORTER</t>
  </si>
  <si>
    <t>Foundation for Medical Research (FIMA); Spanish Ministry of Economy and Innovation (Spanish Government); Health Research Fund (FIS)/European Regional Development Fund (FEDER) (FIS); Health Research Fund (FIS)/European Regional Development Fund (FEDER) (CIBERONC); Spanish Association Against Cancer (AECC) Scientific Foundation; Juan Serrano and Ramon Areces Foundation; Italian Association for Cancer Research (Fondazione AIRC per la ricerca sul cancro); Fondazione Pezcoller Fellowship; National Cancer Institute (United States Department of Health &amp; Human Services, National Institutes of Health (NIH) - USA, NIH National Cancer Institute (NCI)); 5 x 1000 grant from the Italian Association for Cancer Research; National Institute for Health Research (National Institutes of Health Research (NIHR)); National Cancer Institute (United States Department of Health &amp; Human Services, National Institutes of Health (NIH) - USA, NIH National Cancer Institute (NCI))</t>
  </si>
  <si>
    <t>The work of Dr. Montuenga and Dr. Pio work is funded by Foundation for Medical Research (FIMA), the Spanish Ministry of Economy and Innovation, and Health Research Fund (FIS)/European Regional Development Fund (FEDER) (FIS projects PI16/01821, PI17/00411, and CIBERONC), Spanish Association Against Cancer (AECC) Scientific Foundation (GCB14-2170 and PROYE16091), and the Juan Serrano and Ramon Areces Foundation. Dr. Sozzi's work is funded by investigator grant 18812 and 5 x 1000 grant 12162 from the Italian Association for Cancer Research. Dr. Boeri was supported by a Fondazione Pezcoller Fellowship. Dr. Massion's work was supported by National Cancer Institute grant A152662. We thank Heber Longas (a medical and scientific illustrator from Fundamentium) for his contribution to the graphics of the present review, in particular Figure 2.</t>
  </si>
  <si>
    <t>[Seijo, Luis M.] Clin Univ Navarra, Madrid, Spain; [Seijo, Luis M.] Ctr Invest Biomed Red Enfermedades Resp, CIBERES, Madrid, Spain; [Peled, Nir] Legacy Heritage Oncol Ctr, Oncol Div, Beer Sheva, Israel; [Peled, Nir] Soroka Med Ctr, Dr Larry Norton Inst, Beer Sheva, Israel; [Peled, Nir] Ben Gurion Univ Negev, Beer Sheva, Israel; [Peled, Nir; Ajona, Daniel; Pio, Ruben; Montuenga, Luis M.] Ctr Invest Med Aplicada, Solid Tumors Program, Pamplona, Spain; [Ajona, Daniel; Pio, Ruben; Montuenga, Luis M.] Navarra Inst Hlth Res, Pamplona, Spain; [Ajona, Daniel; Pio, Ruben; Montuenga, Luis M.] Ctr Invest Biomed Red Canc, CIBERONC, Madrid, Spain; [Ajona, Daniel; Pio, Ruben] Univ Navarra, Dept Biochem &amp; Genet, Sch Sci, Pamplona, Spain; [Boeri, Mattia; Sozzi, Gabriella] Fdn IRCCS Ist Nazl Tumori, Dept Expt Oncol, Milan, Italy; [Field, John K.] Univ Liverpool, Roy Castle Lung Canc Res Programme, Dept Mol &amp; Clin Canc Med, Liverpool, Merseyside, England; [Zulueta, Javier J.] Clin Univ Navarra, Dept Pulmonol, Pamplona, Spain; [Zulueta, Javier J.] Visiongate Inc, Phoenix, AZ USA; [Spira, Avrum] Boston Univ, Sch Med, Boston, MA 02118 USA; [Massion, Pierre P.] Vanderbilt Ingram Canc Ctr, Nashville, TN USA; [Mazzone, Peter J.] Cleveland Clin, Resp Inst, Cleveland, OH 44106 USA; [Montuenga, Luis M.] Univ Navarra, Dept Pathol Anat &amp; Physiol, Sch Med, Pamplona, Spain</t>
  </si>
  <si>
    <t>University of Navarra; CIBER - Centro de Investigacion Biomedica en Red; CIBERES; Ben-Gurion University of the Negev; Soroka Medical Center; Ben-Gurion University of the Negev; University of Navarra; University of Navarra; CIBER - Centro de Investigacion Biomedica en Red; CIBERONC; University of Navarra; Fondazione IRCCS Istituto Nazionale Tumori Milan; University of Liverpool; University of Navarra; Boston University; Vanderbilt University; Cleveland Clinic Foundation; University of Navarra</t>
  </si>
  <si>
    <t>Biomarkers in Lung Cancer Screening: Achievements, Promises, and Challenges</t>
  </si>
  <si>
    <t>JOURNAL OF THORACIC ONCOLOGY</t>
  </si>
  <si>
    <t>Biomarkers; Lung cancer; Screening; Test validation; Clinical utility; Trial design</t>
  </si>
  <si>
    <t>CIRCULATING TUMOR DNA; BRONCHIAL GENOMIC CLASSIFIER; BRONCHOALVEOLAR LAVAGE FLUID; COMPUTED-TOMOGRAPHY; DIAGNOSTIC EVALUATION; CLINICAL UTILITY; RISK PREDICTION; NONINVASIVE DIAGNOSIS; DISTINGUISH BENIGN; SELECTION CRITERIA</t>
  </si>
  <si>
    <t>sozzi, gabriella/G-8259-2011; Pio, Ruben/F-5353-2017; Mazzone, Peter/AAW-5401-2021; Boeri, Mattia/L-4393-2013; Montuenga, Luis M/AAF-7783-2020; Zulueta, Javier J/H-5127-2011; Ajona, Daniel/L-5669-2014; Field, John/AAD-5674-2020</t>
  </si>
  <si>
    <t>Peled, Nir/0000-0003-3714-4377; Pio, Ruben/0000-0002-6831-6111; Boeri, Mattia/0000-0001-7106-3138; Montuenga, Luis M/0000-0002-8739-1387; Zulueta, Javier J/0000-0003-3182-3555; Ajona, Daniel/0000-0001-5517-9165; Field, John/0000-0003-3951-6365</t>
  </si>
  <si>
    <t>439</t>
  </si>
  <si>
    <t>504</t>
  </si>
  <si>
    <t>309</t>
  </si>
  <si>
    <t>1556-0864</t>
  </si>
  <si>
    <t>1556-1380</t>
  </si>
  <si>
    <t>J THORAC ONCOL</t>
  </si>
  <si>
    <t>J. Thorac. Oncol.</t>
  </si>
  <si>
    <t>357</t>
  </si>
  <si>
    <t>10.1016/j.jtho.2018.11.023</t>
  </si>
  <si>
    <t>http://dx.doi.org/10.1016/j.jtho.2018.11.023</t>
  </si>
  <si>
    <t>Oncology; Respiratory System</t>
  </si>
  <si>
    <t>HM0WA</t>
  </si>
  <si>
    <t>30529598</t>
  </si>
  <si>
    <t>WOS:000459167100014</t>
  </si>
  <si>
    <t>Huang, SG; Yang, J; Fong, S; Zhao, Q</t>
  </si>
  <si>
    <t>Cancer is an aggressive disease with a low median survival rate. Ironically, the treatment process is long and very costly due to its high recurrence and mortality rates. Accurate early diagnosis and prognosis prediction of cancer are essential to enhance the patient's survival rate. Developments in statistics and computer engineering over the years have encouraged many scientists to apply computational methods such as multivariate statistical analysis to analyze the prognosis of the disease, and the accuracy of such analyses is significantly higher than that of empirical predictions. Furthermore, as artificial intelligence (AI), especially machine learning and deep learning, has found popular applications in clinical cancer research in recent years, cancer prediction performance has reached new heights. This article reviews the literature on the application of AI to cancer diagnosis and prognosis, and summarizes its advantages. We explore how AI assists cancer diagnosis and prognosis, specifically with regard to its unprecedented accuracy, which is even higher than that of general statistical applications in oncology. We also demonstrate ways in which these methods are advancing the field. Finally, opportunities and challenges in the clinical implementation of AI are discussed. Hence, this article provides a new perspective on how AI technology can help improve cancer diagnosis and prognosis, and continue improving human health in the future.</t>
  </si>
  <si>
    <t>Huang, Shigao; Yang, Jie; Fong, Simon; Zhao, Qi</t>
  </si>
  <si>
    <t>Zhao, Q (corresponding author), Univ Macau, Fac Hlth Sci, Inst Translat Med, Canc Ctr, Taipa, Macao, Peoples R China.; Fong, S (corresponding author), Univ Macau, Dept Comp &amp; Informat Sci, Taipa, Macau, Peoples R China.</t>
  </si>
  <si>
    <t>qizhao@um.edu.mo; ccfong@um.edu.mo</t>
  </si>
  <si>
    <t>Science and Technology Development Fund of Macau [FDCT/131/2016/A3, FDCT/0015/2018/A1, FDCT/126/2014/A3]; Start-up Research Grand [SRG2O16-00082-FHS]; Multi-Year Research Grant [MYRG2019-00069-FHS, MYRG2016-00069-FST]; Faculty of Health Sciences, University of Macau; Guangzhou Science and Technology Innovation and Development of Special Funds [EF003/FST-FSJ/2019/GSTIC, EF004/FST-FSJ/2019/GSTI]; key project of Chongqing Industry&amp;Trade Polytechnic [ZR201902,190101]; project of science and technology research program of Chongqing Education Commission of China [KJQN201903601]</t>
  </si>
  <si>
    <t>Science and Technology Development Fund of Macau; Start-up Research Grand; Multi-Year Research Grant; Faculty of Health Sciences, University of Macau (University of Macau); Guangzhou Science and Technology Innovation and Development of Special Funds; key project of Chongqing Industry&amp;Trade Polytechnic; project of science and technology research program of Chongqing Education Commission of China</t>
  </si>
  <si>
    <t>This work was funded by the Science and Technology Development Fund of Macau (FDCT/131/2016/A3, FDCT/0015/2018/A1, FDCT/126/2014/A3) and Start-up Research Grand (SRG2O16-00082-FHS), the Multi-Year Research Grant (MYRG2019-00069-FHS, MYRG2016-00069-FST), the intramural research program of Faculty of Health Sciences, University of Macau, Guangzhou Science and Technology Innovation and Development of Special Funds, Grant no. EF003/FST-FSJ/2019/GSTIC, and Grant no. EF004/FST-FSJ/2019/GSTI, key project of Chongqing Industry&amp;Trade Polytechnic (ZR201902,190101), and the project of science and technology research program of Chongqing Education Commission of China(ICJQN201903601).</t>
  </si>
  <si>
    <t>[Huang, Shigao; Zhao, Qi] Univ Macau, Fac Hlth Sci, Inst Translat Med, Canc Ctr, Taipa, Macao, Peoples R China; [Yang, Jie; Fong, Simon] Univ Macau, Dept Comp &amp; Informat Sci, Taipa, Macau, Peoples R China; [Yang, Jie] Chongqing Ind &amp; Trade Polytech, Chongqing, Peoples R China; [Fong, Simon] Chinese Acad Sci, Zhuhai Inst Adv Technol, Zhuhai, Peoples R China</t>
  </si>
  <si>
    <t>University of Macau; University of Macau; Chinese Academy of Sciences</t>
  </si>
  <si>
    <t>Artificial intelligence in cancer diagnosis and prognosis: Opportunities and challenges</t>
  </si>
  <si>
    <t>CANCER LETTERS</t>
  </si>
  <si>
    <t>Cancer diagnosis; Prognosis prediction; Deep learning; Machine learning; Deep neural network</t>
  </si>
  <si>
    <t>BREAST-CANCER; NEURAL-NETWORK; NSCLC PATIENTS; SURVIVAL; CLASSIFICATION; PREDICTION; MODEL; CARCINOMA; INFORMATION; PERFORMANCE</t>
  </si>
  <si>
    <t>Zhao, Qi/JDC-6003-2023; Fong, Simon/C-9388-2009</t>
  </si>
  <si>
    <t>Yang, Jie/0000-0001-7390-0593; Zhao, Qi/0000-0002-5969-6407; Fong, Simon/0000-0002-1848-7246</t>
  </si>
  <si>
    <t>0304-3835</t>
  </si>
  <si>
    <t>1872-7980</t>
  </si>
  <si>
    <t>CANCER LETT</t>
  </si>
  <si>
    <t>Cancer Lett.</t>
  </si>
  <si>
    <t>FEB 28 2020</t>
  </si>
  <si>
    <t>471</t>
  </si>
  <si>
    <t>10.1016/j.canlet.2019.12.007</t>
  </si>
  <si>
    <t>http://dx.doi.org/10.1016/j.canlet.2019.12.007</t>
  </si>
  <si>
    <t>KG0KO</t>
  </si>
  <si>
    <t>31830558</t>
  </si>
  <si>
    <t>WOS:000509630300006</t>
  </si>
  <si>
    <t>Boolchandani, M; D'Souza, AW; Dantas, G</t>
  </si>
  <si>
    <t>Antimicrobial resistance extracts high morbidity, mortality and economic costs yearly by rendering bacteria immune to antibiotics. Identifying and understanding antimicrobial resistance are imperative for clinical practice to treat resistant infections and for public health efforts to limit the spread of resistance. Technologies such as next-generation sequencing are expanding our abilities to detect and study antimicrobial resistance. This Review provides a detailed overview of antimicrobial resistance identification and characterization methods, from traditional antimicrobial susceptibility testing to recent deep-learning methods. We focus on sequencing-based resistance discovery and discuss tools and databases used in antimicrobial resistance studies.</t>
  </si>
  <si>
    <t>Boolchandani, Manish; D'Souza, Alaric W.; Dantas, Gautam</t>
  </si>
  <si>
    <t>Dantas, G (corresponding author), Washington Univ, Sch Med, Edison Family Ctr Genome Sci &amp; Syst Biol, St Louis, MO 63130 USA.; Dantas, G (corresponding author), Washington Univ, Sch Med, Dept Pathol &amp; Immunol, St Louis, MO 63130 USA.; Dantas, G (corresponding author), Washington Univ, Dept Biomed Engn, St Louis, MO 63130 USA.; Dantas, G (corresponding author), Washington Univ, Sch Med, Dept Mol Microbiol, St Louis, MO 63130 USA.</t>
  </si>
  <si>
    <t>dantas@wustl.edu</t>
  </si>
  <si>
    <t>National Institute of Allergy and Infectious Diseases (NIAID) of the US National Institutes of Health (NIH) [R01AI123394]; Eunice Kennedy Shriver National Institute of Child Health &amp; Human Development of the US National Institutes of Health (NIH) [R01HD092414]; National Center for Complementary and Integrative Health of the US National Institutes of Health (NIH) [R01AT009741]; Institutional Program Unifying Population and Laboratory-Based Sciences Burroughs Wellcome Fund; Eunice Kennedy Shriver National Institute of Child Health and Human Development [R01HD092414] Funding Source: NIH RePORTER; National Center for Complementary and Integrative Health [R01AT009741] Funding Source: NIH RePORTER</t>
  </si>
  <si>
    <t>National Institute of Allergy and Infectious Diseases (NIAID) of the US National Institutes of Health (NIH) (United States Department of Health &amp; Human Services, National Institutes of Health (NIH) - USA, NIH National Institute of Allergy &amp; Infectious Diseases (NIAID)); Eunice Kennedy Shriver National Institute of Child Health &amp; Human Development of the US National Institutes of Health (NIH); National Center for Complementary and Integrative Health of the US National Institutes of Health (NIH); Institutional Program Unifying Population and Laboratory-Based Sciences Burroughs Wellcome Fund; Eunice Kennedy Shriver National Institute of Child Health and Human Development (United States Department of Health &amp; Human Services, National Institutes of Health (NIH) - USA, NIH Eunice Kennedy Shriver National Institute of Child Health &amp; Human Development (NICHD)); National Center for Complementary and Integrative Health (United States Department of Health &amp; Human Services, National Institutes of Health (NIH) - USA, NIH National Center for Complementary &amp; Alternative Medicine (NCCAM))</t>
  </si>
  <si>
    <t>The authors thank K. Sukhum and M. Pandey for reading through a draft of this paper. This work was supported in part by awards to G. D. through the National Institute of Allergy and Infectious Diseases (NIAID), the Eunice Kennedy Shriver National Institute of Child Health &amp; Human Development and the National Center for Complementary and Integrative Health of the US National Institutes of Health (NIH) under award numbers R01AI123394, R01HD092414 and R01AT009741, respectively. A.W.D. received support from the Institutional Program Unifying Population and Laboratory-Based Sciences Burroughs Wellcome Fund Grant to Washington University. The content is solely the responsibility of the authors and does not necessarily represent the official views of the funding agencies.</t>
  </si>
  <si>
    <t>[Boolchandani, Manish; D'Souza, Alaric W.; Dantas, Gautam] Washington Univ, Sch Med, Edison Family Ctr Genome Sci &amp; Syst Biol, St Louis, MO 63130 USA; [Dantas, Gautam] Washington Univ, Sch Med, Dept Pathol &amp; Immunol, St Louis, MO 63130 USA; [Dantas, Gautam] Washington Univ, Dept Biomed Engn, St Louis, MO 63130 USA; [Dantas, Gautam] Washington Univ, Sch Med, Dept Mol Microbiol, St Louis, MO 63130 USA</t>
  </si>
  <si>
    <t>Washington University (WUSTL); Washington University (WUSTL); Washington University (WUSTL); Washington University (WUSTL)</t>
  </si>
  <si>
    <t>Sequencing-based methods and resources to study antimicrobial resistance</t>
  </si>
  <si>
    <t>NATURE REVIEWS GENETICS</t>
  </si>
  <si>
    <t>IN-SITU HYBRIDIZATION; ANTIBIOTIC-RESISTANCE; ESCHERICHIA-COLI; MCR-1 GENE; CLINICAL MICROBIOLOGY; CARBAPENEM RESISTANCE; READ ALIGNMENT; SOIL BACTERIA; GLOBAL SPREAD; SINGLE-CELL</t>
  </si>
  <si>
    <t>D'Souza, Alaric/AAA-3575-2022; Boolchandani, Manish/AAE-8407-2021</t>
  </si>
  <si>
    <t>D'Souza, Alaric/0000-0002-8744-8136; Dantas, Gautam/0000-0003-0455-8370; Boolchandani, Manish/0000-0001-6038-8957</t>
  </si>
  <si>
    <t>550</t>
  </si>
  <si>
    <t>420</t>
  </si>
  <si>
    <t>1471-0056</t>
  </si>
  <si>
    <t>1471-0064</t>
  </si>
  <si>
    <t>NAT REV GENET</t>
  </si>
  <si>
    <t>Nat. Rev. Genet.</t>
  </si>
  <si>
    <t>356</t>
  </si>
  <si>
    <t>370</t>
  </si>
  <si>
    <t>10.1038/s41576-019-0108-4</t>
  </si>
  <si>
    <t>http://dx.doi.org/10.1038/s41576-019-0108-4</t>
  </si>
  <si>
    <t>HZ0ZI</t>
  </si>
  <si>
    <t>30886350</t>
  </si>
  <si>
    <t>WOS:000468574800012</t>
  </si>
  <si>
    <t>Moccia, S; De Momi, E; El Hadji, S; Mattos, LS</t>
  </si>
  <si>
    <t>Background: Blood vessel segmentation is a topic of high interest in medical image analysis since the analysis of vessels is crucial for diagnosis, treatment planning and execution, and evaluation of clinical outcomes in different fields, including laryngology, neurosurgery and ophthalmology. Automatic or semi-automatic vessel segmentation can support clinicians in performing these tasks. Different medical imaging techniques are currently used in clinical practice and an appropriate choice of the segmentation algorithm is mandatory to deal with the adopted imaging technique characteristics (e.g. resolution, noise and vessel contrast).Objective: This paper aims at reviewing the most recent and innovative blood vessel segmentation algorithms. Among the algorithms and approaches considered, we deeply investigated the most novel blood vessel segmentation including machine learning, deformable model, and tracking-based approaches.Methods: This paper analyzes more than 100 articles focused on blood vessel segmentation methods. For each analyzed approach, summary tables are presented reporting imaging technique used, anatomical region and performance measures employed. Benefits and disadvantages of each method are highlighted.Discussion: Despite the constant progress and efforts addressed in the field, several issues still need to be overcome. A relevant limitation consists in the segmentation of pathological vessels. Unfortunately, not consistent research effort has been addressed to this issue yet. Research is needed since some of the main assumptions made for healthy vessels (such as linearity and circular cross-section) do not hold in pathological tissues, which on the other hand require new vessel model formulations. Moreover, image intensity drops, noise and low contrast still represent an important obstacle for the achievement of a high-quality enhancement. This is particularly true for optical imaging, where the image quality is usually lower in terms of noise and contrast with respect to magnetic resonance and computer tomography angiography.Conclusion: No single segmentation approach is suitable for all the different anatomical region or imaging modalities, thus the primary goal of this review was to provide an up to date source of information about the state of the art of the vessel segmentation algorithms so that the most suitable methods can be chosen according to the specific task. (C) 2018 Elsevier B.V. All rights reserved.</t>
  </si>
  <si>
    <t>Moccia, Sara; De Momi, Elena; El Hadji, Sara; Mattos, Leonardo S.</t>
  </si>
  <si>
    <t>El Hadji, S (corresponding author), Politecn Milan, Dept Elect Informat &amp; Bioengn, Milan, Italy.</t>
  </si>
  <si>
    <t>sara.elhadji@polimi.it; sara.moccia@polimi.it</t>
  </si>
  <si>
    <t>[Moccia, Sara; De Momi, Elena; El Hadji, Sara] Politecn Milan, Dept Elect Informat &amp; Bioengn, Milan, Italy; [Moccia, Sara; Mattos, Leonardo S.] Ist Italiano Tecnol, Dept Adv Robot, Genoa, Italy</t>
  </si>
  <si>
    <t>Polytechnic University of Milan; Istituto Italiano di Tecnologia - IIT</t>
  </si>
  <si>
    <t>Blood vessel segmentation algorithms - Review of methods, datasets and evaluation metrics</t>
  </si>
  <si>
    <t>Blood vessels; Medical imaging; Review; Segmentation</t>
  </si>
  <si>
    <t>ORIENTED FLUX SYMMETRY; ACTIVE CONTOUR MODEL; RETINAL IMAGES; COMPUTED-TOMOGRAPHY; LUMEN SEGMENTATION; MINIMAL PATHS; FRONT PROPAGATION; NEURAL-NETWORKS; FAST EXTRACTION; LEVEL</t>
  </si>
  <si>
    <t>Mattos, Leonardo S/GRJ-2017-2022; MOCCIA, SARA/J-3733-2019; DE MOMI, ELENA/D-7375-2016</t>
  </si>
  <si>
    <t>Mattos, Leonardo S/0000-0002-8511-9144; MOCCIA, SARA/0000-0002-4494-8907; DE MOMI, ELENA/0000-0002-8819-2734</t>
  </si>
  <si>
    <t>437</t>
  </si>
  <si>
    <t>MAY 2018</t>
  </si>
  <si>
    <t>158</t>
  </si>
  <si>
    <t>10.1016/j.cmpb.2018.02.001</t>
  </si>
  <si>
    <t>http://dx.doi.org/10.1016/j.cmpb.2018.02.001</t>
  </si>
  <si>
    <t>FZ7MW</t>
  </si>
  <si>
    <t>29544791</t>
  </si>
  <si>
    <t>WOS:000427786400008</t>
  </si>
  <si>
    <t>Yetisen, AK; Martinez-Hurtado, JL; Ünal, B; Khademhosseini, A; Butt, H</t>
  </si>
  <si>
    <t>Wearables as medical technologies are becoming an integral part of personal analytics, measuring physical status, recording physiological parameters, or informing schedule for medication. These continuously evolving technology platforms do not only promise to help people pursue a healthier life style, but also provide continuous medical data for actively tracking metabolic status, diagnosis, and treatment. Advances in the miniaturization of flexible electronics, electrochemical biosensors, microfluidics, and artificial intelligence algorithms have led to wearable devices that can generate real-time medical data within the Internet of things. These flexible devices can be configured to make conformal contact with epidermal, ocular, intracochlear, and dental interfaces to collect biochemical or electrophysiological signals. This article discusses consumer trends in wearable electronics, commercial and emerging devices, and fabrication methods. It also reviews real-time monitoring of vital signs using biosensors, stimuli-responsive materials for drug delivery, and closed-loop theranostic systems. It covers future challenges in augmented, virtual, and mixed reality, communication modes, energy management, displays, conformity, and data safety. The development of patient-oriented wearable technologies and their incorporation in randomized clinical trials will facilitate the design of safe and effective approaches.</t>
  </si>
  <si>
    <t>Yetisen, Ali K.; Martinez-Hurtado, Juan Leonardo; Uenal, Baris; Khademhosseini, Ali; Butt, Haider</t>
  </si>
  <si>
    <t>Yetisen, AK (corresponding author), Tech Univ Munich, Inst Measurement Syst &amp; Sensor Technol, Theresienstr 90, D-80333 Munich, Germany.; Yetisen, AK (corresponding author), Univ Birmingham, Sch Chem Engn, Birmingham B15 2TT, W Midlands, England.; Yetisen, AK (corresponding author), Inst Translat Med, Mindelsohn Way, Birmingham B15 2TH, W Midlands, England.</t>
  </si>
  <si>
    <t>a.k.yetisen@gmail.com</t>
  </si>
  <si>
    <t>Alexander von Humboldt Foundation; Carl Friedrich von Siemens Foundation; Wellcome Trust</t>
  </si>
  <si>
    <t>Alexander von Humboldt Foundation (Alexander von Humboldt Foundation); Carl Friedrich von Siemens Foundation; Wellcome Trust (Wellcome Trust)</t>
  </si>
  <si>
    <t>A.K.Y. acknowledges funding from Alexander von Humboldt Foundation and Carl Friedrich von Siemens Foundation. H.B. acknowledges funding from the Wellcome Trust.</t>
  </si>
  <si>
    <t>[Yetisen, Ali K.] Tech Univ Munich, Inst Measurement Syst &amp; Sensor Technol, Theresienstr 90, D-80333 Munich, Germany; [Yetisen, Ali K.] Univ Birmingham, Sch Chem Engn, Birmingham B15 2TT, W Midlands, England; [Yetisen, Ali K.] Inst Translat Med, Mindelsohn Way, Birmingham B15 2TH, W Midlands, England; [Martinez-Hurtado, Juan Leonardo] Tech Univ Munich, TUM Incubator, Lichtenberg Str 6, D-85748 Garching, Germany; [Uenal, Baris] Triton Syst Inc, 200 Turnpike Rd, Chelmsford, MA 01824 USA; [Khademhosseini, Ali] Univ Calif Los Angeles, Dept Bioengn, Dept Radiol, Dept Chem &amp; Biomol Engn, Los Angeles, CA 90095 USA; [Butt, Haider] Univ Birmingham, Sch Engn, Nanotechnol Lab, Birmingham B15 2TT, W Midlands, England</t>
  </si>
  <si>
    <t>Technical University of Munich; University of Birmingham; Technical University of Munich; University of California System; University of California Los Angeles; University of Birmingham</t>
  </si>
  <si>
    <t>Wearables in Medicine</t>
  </si>
  <si>
    <t>biosensors; diagnostics; drug delivery; personalized medicine; telemedicine</t>
  </si>
  <si>
    <t>INTRACOCHLEAR DRUG-DELIVERY; INCREASE PHYSICAL-ACTIVITY; REALITY EXPOSURE THERAPY; LITHIUM-ION BATTERY; CONTACT-LENS SENSOR; VIRTUAL-REALITY; HEALTH-CARE; BLOOD-GLUCOSE; SWITCHING MEMORY; SELF-MANAGEMENT</t>
  </si>
  <si>
    <t>Butt, Haider/AAK-4361-2021; Yetisen, Ali K/AAK-8833-2021; Khademhosseini, Ali/A-9435-2010</t>
  </si>
  <si>
    <t>Butt, Haider/0000-0003-2434-9525; Yetisen, Ali K/0000-0003-0896-267X; Khademhosseini, Ali/0000-0002-2692-1524</t>
  </si>
  <si>
    <t>315</t>
  </si>
  <si>
    <t>AUG 16 2018</t>
  </si>
  <si>
    <t>1706910</t>
  </si>
  <si>
    <t>10.1002/adma.201706910</t>
  </si>
  <si>
    <t>http://dx.doi.org/10.1002/adma.201706910</t>
  </si>
  <si>
    <t>GQ1QR</t>
  </si>
  <si>
    <t>29893068</t>
  </si>
  <si>
    <t>WOS:000441411500004</t>
  </si>
  <si>
    <t>Neupane, D; Seok, J</t>
  </si>
  <si>
    <t>A smart factory is a highly digitized and connected production facility that relies on smart manufacturing. Additionally, artificial intelligence is the core technology of smart factories. The use of machine learning and deep learning algorithms has produced fruitful results in many fields like image processing, speech recognition, fault detection, object detection, or medical sciences. With the increment in the use of smart machinery, the faults in the machinery equipment are expected to increase. Machinery fault detection and diagnosis through various deep learning algorithms has increased day by day. Many types of research have been done and published using both open-source and closed-source datasets, implementing the deep learning algorithms. Out of many publicly available datasets, Case Western Reserve University (CWRU) bearing dataset has been widely used to detect and diagnose machinery bearing fault and is accepted as a standard reference for validating the models. This paper summarizes the recent works which use the CWRU bearing dataset in machinery fault detection and diagnosis employing deep learning algorithms. We have reviewed the published works and presented the working algorithm, result, and other necessary details in this paper. This paper, we believe, can be of good help for future researchers to start their work on machinery fault detection and diagnosis using the CWRU dataset.</t>
  </si>
  <si>
    <t>Neupane, Dhiraj; Seok, Jongwon</t>
  </si>
  <si>
    <t>Seok, J (corresponding author), Changwon Natl Univ, Dept Informat &amp; Commun Engn, Chang Won 51140, South Korea.</t>
  </si>
  <si>
    <t>jwseok@changwon.ac.kr</t>
  </si>
  <si>
    <t>Changwon National University</t>
  </si>
  <si>
    <t>This work was supported by the Changwon National University, in 2019-2020.</t>
  </si>
  <si>
    <t>[Neupane, Dhiraj; Seok, Jongwon] Changwon Natl Univ, Dept Informat &amp; Commun Engn, Chang Won 51140, South Korea</t>
  </si>
  <si>
    <t>Bearing Fault Detection and Diagnosis Using Case Western Reserve University Dataset With Deep Learning Approaches: A Review</t>
  </si>
  <si>
    <t>Bearing; deep learning; machine learning; machinery fault detection and diagnosis; CWRU dataset</t>
  </si>
  <si>
    <t>ROLLING ELEMENT BEARING; CONVOLUTIONAL NEURAL-NETWORK; ROTATING MACHINERY; DISTANCE; AUTOENCODER; SELECTION; DAMAGE</t>
  </si>
  <si>
    <t>Neupane, Dhiraj/AHD-4659-2022</t>
  </si>
  <si>
    <t>Seok, Jongwon/0000-0002-5723-6386; Neupane, Dhiraj/0000-0001-6548-311X</t>
  </si>
  <si>
    <t>429</t>
  </si>
  <si>
    <t>481</t>
  </si>
  <si>
    <t>687</t>
  </si>
  <si>
    <t>93155</t>
  </si>
  <si>
    <t>93178</t>
  </si>
  <si>
    <t>10.1109/ACCESS.2020.2990528</t>
  </si>
  <si>
    <t>http://dx.doi.org/10.1109/ACCESS.2020.2990528</t>
  </si>
  <si>
    <t>LZ3IP</t>
  </si>
  <si>
    <t>WOS:000541121800019</t>
  </si>
  <si>
    <t>Albahri, AS; Duhaim, AM; Fadhel, MA; Alnoor, A; Baqer, NS; Alzubaidi, L; Albahri, OS; Alamoodi, AH; Bai, JS; Salhi, A; Santamaria, J; Ouyang, C; Gupta, A; Gu, YT; Deveci, M</t>
  </si>
  <si>
    <t>In the last few years, the trend in health care of embracing artificial intelligence (AI) has dramatically changed the medical landscape. Medical centres have adopted AI applications to increase the accuracy of disease diag-nosis and mitigate health risks. AI applications have changed rules and policies related to healthcare practice and work ethics. However, building trustworthy and explainable AI (XAI) in healthcare systems is still in its early stages. Specifically, the European Union has stated that AI must be human-centred and trustworthy, whereas in the healthcare sector, low methodological quality and high bias risk have become major concerns. This study endeavours to offer a systematic review of the trustworthiness and explainability of AI applications in healthcare, incorporating the assessment of quality, bias risk, and data fusion to supplement previous studies and provide more accurate and definitive findings. Likewise, 64 recent contributions on the trustworthiness of AI in healthcare from multiple databases (i.e., ScienceDirect, Scopus, Web of Science, and IEEE Xplore) were identified using a rigorous literature search method and selection criteria. The considered papers were categorised into a coherent and systematic classification including seven categories: explainable robotics, prediction, decision support, blockchain, transparency, digital health, and review. In this paper, we have presented a systematic and comprehensive analysis of earlier studies and opened the door to potential future studies by discussing in depth the challenges, motivations, and recommendations. In this study a systematic science mapping analysis in order to reorganise and summarise the results of earlier studies to address the issues of trustworthiness and objectivity was also performed. Moreover, this work has provided decisive evidence for the trustworthiness of AI in health care by presenting eight current state-of-the-art critical analyses regarding those more relevant research gaps. In addition, to the best of our knowledge, this study is the first to investigate the feasibility of utilising trustworthy and XAI applications in healthcare, by incorporating data fusion techniques and connecting various important pieces of information from available healthcare datasets and AI algorithms. The analysis of the revised contri-butions revealed crucial implications for academics and practitioners, and then potential methodological aspects to enhance the trustworthiness of AI applications in the medical sector were reviewed. Successively, the theo-retical concept and current use of 17 XAI methods in health care were addressed. Finally, several objectives and guidelines were provided to policymakers to establish electronic health-care systems focused on achieving relevant features such as legitimacy, morality, and robustness. Several types of information fusion in healthcare were focused on in this study, including data, feature, image, decision, multimodal, hybrid, and temporal.</t>
  </si>
  <si>
    <t>Albahri, A. S.; Duhaim, Ali M.; Fadhel, Mohammed A.; Alnoor, Alhamzah; Baqer, Noor S.; Alzubaidi, Laith; Albahri, O. S.; Alamoodi, A. H.; Bai, Jinshuai; Salhi, Asma; Santamaria, Jose; Ouyang, Chun; Gupta, Ashish; Gu, Yuantong; Deveci, Muhammet</t>
  </si>
  <si>
    <t>Albahri, AS (corresponding author), Iraqi Commiss Comp &amp; Informat ICCI, Baghdad, Iraq.; Alzubaidi, L (corresponding author), Queensland Univ Technol, Sch Mech Med &amp; Proc Engn, Brisbane, Qld 4000, Australia.; Alzubaidi, L (corresponding author), Queensland Univ Technol, ARC Ind Transformat Training Ctr Joint Biomech, Brisbane, Qld 4000, Australia.</t>
  </si>
  <si>
    <t>muhammetdeveci@gmail.com; ahmed.bahri1978@gmail.com; l.alzubaidi@qut.edu.au; Osamahsh89@gmail.com; alamoodi.abdullah91@gmail.com; yuantong.gu@qut.edu.au</t>
  </si>
  <si>
    <t>Australian Government: Australian Research Council (ARC) Industrial Transformation Training Centre (ITTC) [IC190100020]; Queensland University of Technology</t>
  </si>
  <si>
    <t>Australian Government: Australian Research Council (ARC) Industrial Transformation Training Centre (ITTC); Queensland University of Technology</t>
  </si>
  <si>
    <t>The authors would like to acknowledge the support received through the following funding schemes of Australian Government: Australian Research Council (ARC) Industrial Transformation Training Centre (ITTC) for Joint Biomechanics under grant IC190100020. The authors also would like to acknowledge the support received through the QUT ECR SCHEME 2022 and the Centre for Data Science First Byte Scheme, The Queensland University of Technology.</t>
  </si>
  <si>
    <t>[Albahri, A. S.] Iraqi Commiss Comp &amp; Informat ICCI, Baghdad, Iraq; [Duhaim, Ali M.] Minist Educ, Nasiriyah, Iraq; [Fadhel, Mohammed A.] Univ Sumer, Coll Comp Sci &amp; Informat Technol, Rifai, Iraq; [Alnoor, Alhamzah] Southern Tech Univ, Basrah, Iraq; [Baqer, Noor S.] Minist Educ, Baghdad, Iraq; [Alzubaidi, Laith; Bai, Jinshuai; Gupta, Ashish; Gu, Yuantong] Queensland Univ Technol, Sch Mech Med &amp; Proc Engn, Brisbane, Qld 4000, Australia; [Alzubaidi, Laith; Bai, Jinshuai; Gupta, Ashish; Gu, Yuantong] Queensland Univ Technol, ARC Ind Transformat Training Ctr Joint Biomech, Brisbane, Qld 4000, Australia; [Albahri, O. S.] Mazaya Univ Coll, Comp Tech Engn Dept, Nasiriyah, Iraq; [Albahri, O. S.] La Trobe Univ, Dept Comp Sci &amp; Informat Technol, Melbourne, Vic, Australia; [Alamoodi, A. H.] Univ Pendidikan Sultan Idris UPSI, Fac Comp &amp; Meta Technol FKMT, Tanjung Malim, Perak, Malaysia; Akunah Co Med Technol, Brisbane, Qld 4120, Australia; Univ Jaen, Dept Comp Sci, Jaen 23071, Spain; Queensland Univ Technol, Sch Psychol &amp; Counselling, Brisbane, Qld 4000, Australia; UCL, Bartlett Sch Sustainable Construction, 1-19 Torrington Pl, London WC1E, England; Natl Def Univ, Turkish Naval Acad, Dept Ind Engn, TR-34940 Istanbul, Turkiye</t>
  </si>
  <si>
    <t>Ministry of Education - Iraq; University of Sumer; Southern Technical University; Ministry of Education - Iraq; Queensland University of Technology (QUT); Queensland University of Technology (QUT); Mazaya University College; La Trobe University; Universiti Pendidikan Sultan Idris; Universidad de Jaen; Queensland University of Technology (QUT); University of London; University College London; Deniz Harp Okulu Komutanligi</t>
  </si>
  <si>
    <t>A systematic review of trustworthy and explainable artificial intelligence in healthcare: Assessment of quality, bias risk, and data fusion</t>
  </si>
  <si>
    <t>Trustworthiness; Explainability; Artificial intelligence; Healthcare; Information fusion</t>
  </si>
  <si>
    <t>MONITORING-SYSTEM; BLOCKCHAIN; FRAMEWORK; AI; PREDICTION; DIAGNOSIS; NETWORKS; MEDICINE; MODELS</t>
  </si>
  <si>
    <t>Santamaria Lopez, Jose/A-6415-2011; Albahri, Ahmed/E-7428-2018; Bai, Jinshuai/JHT-4500-2023; Deveci, Muhammet/V-8347-2017; Albahri, Ahmed/D-5150-2018; Santamaria, Jose/A-6415-2011; Fadhel, Mohammed/Q-3147-2019; Baqer, Noor/ACM-4499-2022; Alzubaidi, Laith/AAC-9291-2020; Gu, Yuantong/C-5033-2009; alamoodi, abdullah/AAZ-8787-2020; Al Sayed Noor, Alhamzah Malik/R-2878-2018; Gupta, Ashish/AAW-9274-2020</t>
  </si>
  <si>
    <t>Santamaria Lopez, Jose/0000-0002-2022-6838; Albahri, Ahmed/0000-0003-3335-457X; Bai, Jinshuai/0000-0002-0753-6428; Albahri, Ahmed/0000-0003-3335-457X; M Duhaim, Ali/0009-0003-3412-4087; Alzubaidi, Laith/0000-0002-7296-5413; Gu, Yuantong/0000-0002-2770-5014; Al Sayed Noor, Alhamzah Malik/0000-0003-2873-2054</t>
  </si>
  <si>
    <t>428</t>
  </si>
  <si>
    <t>509</t>
  </si>
  <si>
    <t>10.1016/j.inffus.2023.03.008</t>
  </si>
  <si>
    <t>http://dx.doi.org/10.1016/j.inffus.2023.03.008</t>
  </si>
  <si>
    <t>H0CJ7</t>
  </si>
  <si>
    <t>WOS:000992727400001</t>
  </si>
  <si>
    <t>Miller, DD; Brown, EW</t>
  </si>
  <si>
    <t>Computer science advances and ultra-fast computing speeds find artificial intelligence (AI) broadly benefitting modern society-forecasting weather, recognizing faces, detecting fraud, and deciphering genomics. AI's future role in medical practice remains an unanswered question. Machines (computers) learn to detect patterns not decipherable using biostatistics by processing massive datasets (big data) through layered mathematical models (algorithms). Correcting algorithm mistakes (training) adds to AI predictive model confidence. AI is being successfully applied for image analysis in radiology, pathology, and dermatology, with diagnostic speed exceeding, and accuracy paralleling, medical experts. While diagnostic confidence never reaches 100%, combining machines plus physicians reliably enhances system performance. Cognitive programs are impacting medical practice by applying natural language processing to read the rapidly expanding scientific literature and collate years of diverse electronic medical records. In this and other ways, AI may optimize the care trajectory of chronic disease patients, suggest precision therapies for complex illnesses, reduce medical errors, and improve subject enrollment into clinical trials. (c) 2018 Elsevier Inc. All rights reserved.</t>
  </si>
  <si>
    <t>Miller, D. Douglas; Brown, Eric W.</t>
  </si>
  <si>
    <t>Miller, DD (corresponding author), Augusta Univ, Div Cardiol, 1120 15th St,BBR 6518, Augusta, GA 30912 USA.</t>
  </si>
  <si>
    <t>ddouglasmiller1@gmail.com</t>
  </si>
  <si>
    <t>[Miller, D. Douglas] New York Med Coll, Valhalla, NY 10595 USA; [Brown, Eric W.] IBM Watson Hlth, Fdn Innovat, Yorktown Hts, NY USA</t>
  </si>
  <si>
    <t>New York Medical College</t>
  </si>
  <si>
    <t>Artificial Intelligence in Medical Practice: The Question to the Answer?</t>
  </si>
  <si>
    <t>AMERICAN JOURNAL OF MEDICINE</t>
  </si>
  <si>
    <t>Analytics; Artificial intelligence; Big data; Chronic disease; Deep learning; Electronic medical record; Machine learning; Medical imaging; Natural language processing; Neural networks; Precision medicine</t>
  </si>
  <si>
    <t>LEARNING ALGORITHM</t>
  </si>
  <si>
    <t>540</t>
  </si>
  <si>
    <t>488</t>
  </si>
  <si>
    <t>0002-9343</t>
  </si>
  <si>
    <t>1555-7162</t>
  </si>
  <si>
    <t>AM J MED</t>
  </si>
  <si>
    <t>Am. J. Med.</t>
  </si>
  <si>
    <t>FEB 2018</t>
  </si>
  <si>
    <t>10.1016/j.amjmed.2017.10.035</t>
  </si>
  <si>
    <t>http://dx.doi.org/10.1016/j.amjmed.2017.10.035</t>
  </si>
  <si>
    <t>FV2OR</t>
  </si>
  <si>
    <t>29126825</t>
  </si>
  <si>
    <t>WOS:000424408300025</t>
  </si>
  <si>
    <t>Li, JPO; Liu, HR; Ting, DSJ; Jeon, S; Chan, RVP; Kim, JE; Sim, DA; Thomas, PBM; Lin, HT; Chen, YX; Sakomoto, T; Loewenstein, A; Lam, DSC; Pasquale, LR; Wong, TY; Lam, LA; Ting, DSW</t>
  </si>
  <si>
    <t>The simultaneous maturation of multiple digital and telecommunications technologies in 2020 has created an unprecedented opportunity for ophthalmology to adapt to new models of care using tele-health supported by digital innovations. These digital innovations include artificial intelligence (AI), 5th generation (5G) telecommunication networks and the Internet of Things (IoT), creating an inter-dependent ecosystem offering opportunities to develop new models of eye care addressing the challenges of COVID-19 and beyond. Ophthalmology has thrived in some of these areas partly due to its many image-based investigations. Tele-health and AI provide synchronous solutions to challenges facing ophthalmologists and healthcare providers worldwide. This article reviews how countries across the world have utilised these digital innovations to tackle diabetic retinopathy, retinopathy of prematurity, age-related macular degeneration, glaucoma, refractive error correction, cataract and other anterior segment disorders. The review summarises the digital strategies that countries are developing and discusses technologies that may increasingly enter the clinical workflow and processes of ophthalmologists. Furthermore as countries around the world have initiated a series of escalating containment and mitigation measures during the COVID-19 pandemic, the delivery of eye care services globally has been significantly impacted. As ophthalmic services adapt and form a "new normal", the rapid adoption of some of telehealth and digital innovation during the pandemic is also discussed. Finally, challenges for validation and clinical implementation are considered, as well as recommendations on future directions.</t>
  </si>
  <si>
    <t>Li, Ji-Peng Olivia; Liu, Hanruo; Ting, Darren S. J.; Jeon, Sohee; Chan, R. V. Paul; Kim, Judy E.; Sim, Dawn A.; Thomas, Peter B. M.; Lin, Haotian; Chen, Youxin; Sakomoto, Taiji; Loewenstein, Anat; Lam, Dennis S. C.; Pasquale, Louis R.; Wong, Tien Y.; Lam, Linda A.; Ting, Daniel S. W.</t>
  </si>
  <si>
    <t>Ting, DSW (corresponding author), Singapore Natl Eye Ctr, 11 Third Hosp Ave, Singapore 168751, Singapore.</t>
  </si>
  <si>
    <t>MRC [MR/T001674/1] Funding Source: UKRI; Medical Research Council [MR/T001674/1] Funding Source: researchfish; Medical Research Council [MR/T001674/1] Funding Source: Medline</t>
  </si>
  <si>
    <t>MRC (UK Research &amp; Innovation (UKRI), Medical Research Council UK (MRC)); Medical Research Council (UK Research &amp; Innovation (UKRI), Medical Research Council UK (MRC)); Medical Research Council (UK Research &amp; Innovation (UKRI), Medical Research Council UK (MRC))</t>
  </si>
  <si>
    <t>[Li, Ji-Peng Olivia] Moorfields Eye Hosp NHS Fdn Trust, London, England; [Liu, Hanruo] Beijing Tongren Hosp, Beijing, Peoples R China; [Liu, Hanruo] Capital Med Univ, Beijing, Peoples R China; [Liu, Hanruo] Beijing Inst Ophthalmol, Beijing, Peoples R China; [Ting, Darren S. J.] Univ Nottingham, Acad Ophthalmol, Nottingham, England; [Jeon, Sohee] Keye Eye Ctr, Seoul, South Korea; [Chan, R. V. Paul] Univ Illinois, Chicago, IL USA; [Kim, Judy E.] Med Coll Wisconsin, Milwaukee, WI 53226 USA; [Sim, Dawn A.; Thomas, Peter B. M.] Moorfields Eye Hosp NHS Fdn Trust, NIHR Biomed Res Ctr Ophthalmol, London, England; [Sim, Dawn A.; Thomas, Peter B. M.] UCL Inst Ophthalmol, London, England; [Lin, Haotian] Zhongshan Ophthalm Ctr, State Key Lab Ophthalmol, Guangzhou, Peoples R China; [Chen, Youxin] Peking Union Med Coll Hosp, Beijing, Peoples R China; [Sakomoto, Taiji] Kagoshima Univ, Dept Ophthalmol, Grad Sch Med &amp; Dent Sci, Kagoshima, Japan; [Loewenstein, Anat] Tel Aviv Med Ctr &amp; Sch Med, Dept Ophthalmol, Tel Aviv, Israel; [Lam, Dennis S. C.] C Mer Int Eye Care Grp Ltd, C MER Dennis Lam Eye Ctr, Hong Kong, Peoples R China; [Lam, Dennis S. C.] Chinese Univ Hong Kong Shenzhen, Int Eye Res Inst, Shenzhen, Peoples R China; [Pasquale, Louis R.] Icahn Sch Med Mt Sinai, Dept Ophthalmol, New York, NY 10029 USA; [Wong, Tien Y.; Ting, Daniel S. W.] Duke NUS Med Sch Singapore, Singapore Natl Eye Ctr, Singapore, Singapore; [Lam, Linda A.] Univ Southern Calif, Keck Sch Med, USC Roski Eye Inst, Los Angeles, CA 90007 USA</t>
  </si>
  <si>
    <t>University of London; University College London; Moorfields Eye Hospital NHS Foundation Trust; Capital Medical University; Capital Medical University; University of Nottingham; University of Illinois System; University of Illinois Chicago; University of Illinois Chicago Hospital; Medical College of Wisconsin; University of London; University College London; Moorfields Eye Hospital NHS Foundation Trust; University of London; University College London; Chinese Academy of Medical Sciences - Peking Union Medical College; Peking Union Medical College Hospital; Kagoshima University; Tel Aviv University; Sackler Faculty of Medicine; The Chinese University of Hong Kong, Shenzhen; Icahn School of Medicine at Mount Sinai; Singapore National Eye Center; National University of Singapore; University of Southern California</t>
  </si>
  <si>
    <t>Digital technology, tele-medicine and artificial intelligence in ophthalmology: A global perspective</t>
  </si>
  <si>
    <t>Telemedicine; Tele-ophthalmology; Tele-screening; Diabetic retinopathy screening; Artificial intelligence; Deep learning; Digital transformation; Digital innovations; COVID-19; Digital technology</t>
  </si>
  <si>
    <t>PHILADELPHIA GLAUCOMA DETECTION; MACHINE LEARNING CLASSIFIERS; STANFORD-UNIVERSITY NETWORK; NATIONAL SCREENING-PROGRAM; IMAGE ASSESSMENT SOFTWARE; VISUAL-FIELD PROGRESSION; MAJOR RISK-FACTORS; PRIMARY OPEN-ANGLE; DIABETIC-RETINOPATHY; MACULAR DEGENERATION</t>
  </si>
  <si>
    <t>Wong, Tien Y/AAC-9724-2020; Lam, Dennis/AAL-1211-2020; Ting, Daniel/QOC-0597-2026; Chen, Youxin/QMQ-0501-2026</t>
  </si>
  <si>
    <t>Wong, Tien Y/0000-0002-8448-1264; Bidwai, Pooja Vishal/0000-0002-3077-4395; Li, Ji-Peng Olivia/0000-0001-8130-2913; Pasquale, Louis R/0000-0002-5835-3496; Thomas, Peter/0000-0003-1681-7659</t>
  </si>
  <si>
    <t>352</t>
  </si>
  <si>
    <t>539</t>
  </si>
  <si>
    <t>100900</t>
  </si>
  <si>
    <t>10.1016/j.preteyeres.2020.100900</t>
  </si>
  <si>
    <t>http://dx.doi.org/10.1016/j.preteyeres.2020.100900</t>
  </si>
  <si>
    <t>TE5UC</t>
  </si>
  <si>
    <t>32898686</t>
  </si>
  <si>
    <t>WOS:000670077000003</t>
  </si>
  <si>
    <t>Loftus, TJ; Tighe, PJ; Filiberto, AC; Efron, PA; Brakenridge, SC; Mohr, AM; Rashidi, P; Upchurch, GR ; Bihorac, A</t>
  </si>
  <si>
    <t>This review describes the weaknesses of traditional clinical decision-support systems and proposes that artificial intelligence should be used to augment surgical decision-making.Importance Surgeons make complex, high-stakes decisions under time constraints and uncertainty, with significant effect on patient outcomes. This review describes the weaknesses of traditional clinical decision-support systems and proposes that artificial intelligence should be used to augment surgical decision-making. Observations Surgical decision-making is dominated by hypothetical-deductive reasoning, individual judgment, and heuristics. These factors can lead to bias, error, and preventable harm. Traditional predictive analytics and clinical decision-support systems are intended to augment surgical decision-making, but their clinical utility is compromised by time-consuming manual data management and suboptimal accuracy. These challenges can be overcome by automated artificial intelligence models fed by livestreaming electronic health record data with mobile device outputs. This approach would require data standardization, advances in model interpretability, careful implementation and monitoring, attention to ethical challenges involving algorithm bias and accountability for errors, and preservation of bedside assessment and human intuition in the decision-making process. Conclusions and Relevance Integration of artificial intelligence with surgical decision-making has the potential to transform care by augmenting the decision to operate, informed consent process, identification and mitigation of modifiable risk factors, decisions regarding postoperative management, and shared decisions regarding resource use.</t>
  </si>
  <si>
    <t>Loftus, Tyler J.; Tighe, Patrick J.; Filiberto, Amanda C.; Efron, Philip A.; Brakenridge, Scott C.; Mohr, Alicia M.; Rashidi, Parisa; Upchurch, Gilbert R., Jr.; Bihorac, Azra</t>
  </si>
  <si>
    <t>Bihorac, A (corresponding author), Univ Florida Hlth, Dept Med, Div Nephrol Hypertens &amp; Renal Transplantat, Precis &amp; Intelligent Syst Med, POB 100224, Gainesville, FL 32610 USA.</t>
  </si>
  <si>
    <t>abihorac@ufl.edu</t>
  </si>
  <si>
    <t>National Institute of General Medical Sciences (NIGMS) [R01 GM113945-01]; NIGMS [R01 GM110240, P50 GM-111152, R01GM114290, T32 GM-008721]; CAREER award from the National Science Foundation, Division of Information and Intelligent Systems [NSF-IIS 1750192]; National Institute of Biomedical Imaging and Bioengineering [R21EB027344-01]; National Institute of Biomedical Imaging and Bioengineering [R21EB027344] Funding Source: NIH RePORTER; National Institute of General Medical Sciences [T32GM008721, R01GM110240, R01GM105893] Funding Source: NIH RePORTER; National Institute on Aging [R01AG055337, K07AG066813] Funding Source: NIH RePORTER</t>
  </si>
  <si>
    <t>National Institute of General Medical Sciences (NIGMS) (United States Department of Health &amp; Human Services, National Institutes of Health (NIH) - USA, NIH National Institute of General Medical Sciences (NIGMS)); NIGMS (United States Department of Health &amp; Human Services, National Institutes of Health (NIH) - USA, NIH National Institute of General Medical Sciences (NIGMS)); CAREER award from the National Science Foundation, Division of Information and Intelligent Systems; National Institute of Biomedical Imaging and Bioengineering (United States Department of Health &amp; Human Services, National Institutes of Health (NIH) - USA, NIH National Institute of Biomedical Imaging &amp; Bioengineering (NIBIB)); National Institute of Biomedical Imaging and Bioengineering (United States Department of Health &amp; Human Services, National Institutes of Health (NIH) - USA, NIH National Institute of Biomedical Imaging &amp; Bioengineering (NIBIB)); National Institute of General Medical Sciences (United States Department of Health &amp; Human Services, National Institutes of Health (NIH) - USA, NIH National Institute of General Medical Sciences (NIGMS)); National Institute on Aging (United States Department of Health &amp; Human Services, National Institutes of Health (NIH) - USA, NIH National Institute on Aging (NIA))</t>
  </si>
  <si>
    <t>Dr Efron was supported by R01 GM113945-01 from the the National Institute of General Medical Sciences (NIGMS). Drs Bihorac and Rashidi were supported by R01 GM110240 from the NIGMS. Drs Bihorac and Efron were supported by P50 GM-111152 from the NIGMS. Dr Rashidi was supported by CAREER award NSF-IIS 1750192 from the National Science Foundation, Division of Information and Intelligent Systems, and by the National Institute of Biomedical Imaging and Bioengineering (grant R21EB027344-01). Dr Tighe was supported by R01GM114290 from the NIGMS. Dr Loftus was supported by a postgraduate training grant (T32 GM-008721) in burns, trauma, and perioperative injury from the NIGMS.</t>
  </si>
  <si>
    <t>[Loftus, Tyler J.; Filiberto, Amanda C.; Efron, Philip A.; Brakenridge, Scott C.; Mohr, Alicia M.; Upchurch, Gilbert R., Jr.] Univ Florida Hlth, Dept Surg, Gainesville, FL USA; [Tighe, Patrick J.] Univ Florida Hlth, Dept Anesthesiol, Gainesville, FL USA; [Tighe, Patrick J.] Univ Florida Hlth, Dept Orthoped, Gainesville, FL USA; [Tighe, Patrick J.] Univ Florida Hlth, Dept Informat Syst Operat Management, Gainesville, FL USA; [Rashidi, Parisa] Univ Florida, Dept Biomed Engn, Gainesville, FL USA; [Rashidi, Parisa] Univ Florida, Dept Comp &amp; Informat Sci &amp; Engn, Gainesville, FL USA; [Rashidi, Parisa] Univ Florida, Dept Elect &amp; Comp Engn, Gainesville, FL USA; [Bihorac, Azra] Univ Florida Hlth, Dept Med, Gainesville, FL USA</t>
  </si>
  <si>
    <t>State University System of Florida; University of Florida; State University System of Florida; University of Florida; State University System of Florida; University of Florida; State University System of Florida; University of Florida; State University System of Florida; University of Florida; State University System of Florida; University of Florida; State University System of Florida; University of Florida; State University System of Florida; University of Florida</t>
  </si>
  <si>
    <t>Artificial Intelligence and Surgical Decision-making</t>
  </si>
  <si>
    <t>JAMA SURGERY</t>
  </si>
  <si>
    <t>C-REACTIVE PROTEIN; MORTALITY PREDICTION; AMERICAN-COLLEGE; HEALTH; RISK; MEDICINE; SCORE</t>
  </si>
  <si>
    <t>Brakenridge, Scott/AAD-6691-2019; Mohr, Alicia/E-3016-2015; Bihorac, Azra/Q-6500-2016; Loftus, Tyler/J-7761-2016; Rashidi, Parisa/AAP-7261-2020</t>
  </si>
  <si>
    <t>Brakenridge, Scott/0000-0002-7327-3718; Mohr, Alicia/0000-0003-1732-1313; Bihorac, Azra/0000-0002-5745-2863; Loftus, Tyler/0000-0001-5354-443X; Filiberto, Amanda/0000-0003-3586-8830</t>
  </si>
  <si>
    <t>75</t>
  </si>
  <si>
    <t>AMER MEDICAL ASSOC</t>
  </si>
  <si>
    <t>CHICAGO</t>
  </si>
  <si>
    <t>330 N WABASH AVE, STE 39300, CHICAGO, IL 60611-5885 USA</t>
  </si>
  <si>
    <t>2168-6254</t>
  </si>
  <si>
    <t>2168-6262</t>
  </si>
  <si>
    <t>JAMA SURG</t>
  </si>
  <si>
    <t>JAMA Surg.</t>
  </si>
  <si>
    <t>10.1001/jamasurg.2019.4917</t>
  </si>
  <si>
    <t>http://dx.doi.org/10.1001/jamasurg.2019.4917</t>
  </si>
  <si>
    <t>KS0EX</t>
  </si>
  <si>
    <t>31825465</t>
  </si>
  <si>
    <t>WOS:000517986100010</t>
  </si>
  <si>
    <t>163</t>
  </si>
  <si>
    <t>Baxi, V; Edwards, R; Montalto, M; Saha, S</t>
  </si>
  <si>
    <t>Traditional pathology approaches have played an integral role in the delivery of diagnosis, semi-quantitative or qualitative assessment of protein expression, and classification of disease. Technological advances and the increased focus on precision medicine have recently paved the way for the development of digital pathology-based approaches for quantitative pathologic assessments, namely whole slide imaging and artificial intelligence (AI)-based solutions, allowing us to explore and extract information beyond human visual perception. Within the field of immuno-oncology, the application of such methodologies in drug development and translational research have created invaluable opportunities for deciphering complex pathophysiology and the discovery of novel biomarkers and drug targets. With an increasing number of treatment options available for any given disease, practitioners face the growing challenge of selecting the most appropriate treatment for each patient. The ever-increasing utilization of AI-based approaches substantially expands our understanding of the tumor microenvironment, with digital approaches to patient stratification and selection for diagnostic assays supporting the identification of the optimal treatment regimen based on patient profiles. This review provides an overview of the opportunities and limitations around implementing AI-based methods in biomarker discovery and patient selection and discusses how advances in digital pathology and AI should be considered in the current landscape of translational medicine, touching on challenges this technology may face if adopted in clinical settings. The traditional role of pathologists in delivering accurate diagnoses or assessing biomarkers for companion diagnostics may be enhanced in precision, reproducibility, and scale by AI-powered analysis tools.</t>
  </si>
  <si>
    <t>Baxi, Vipul; Edwards, Robin; Montalto, Michael; Saha, Saurabh</t>
  </si>
  <si>
    <t>Baxi, V (corresponding author), Bristol Myers Squibb, Princeton, NJ 08540 USA.</t>
  </si>
  <si>
    <t>Vipul.baxi@bms.com</t>
  </si>
  <si>
    <t>Bristol Myers Squibb</t>
  </si>
  <si>
    <t>Bristol Myers Squibb (Bristol-Myers Squibb)</t>
  </si>
  <si>
    <t>This review was funded by Bristol Myers Squibb. Writing and editorial assistance were provided by Emily Motola, PharmD, and Matthew Weddig of Spark Medica Inc, funded by Bristol Myers Squibb, according to Good Publication Practice guidelines.</t>
  </si>
  <si>
    <t>[Baxi, Vipul; Edwards, Robin; Saha, Saurabh] Bristol Myers Squibb, Princeton, NJ 08540 USA; [Montalto, Michael] PathAI, Boston, MA USA</t>
  </si>
  <si>
    <t>Bristol-Myers Squibb</t>
  </si>
  <si>
    <t>Digital pathology and artificial intelligence in translational medicine and clinical practice</t>
  </si>
  <si>
    <t>MODERN PATHOLOGY</t>
  </si>
  <si>
    <t>CELL LUNG-CANCER; OPEN-LABEL; IMAGE-ANALYSIS; IMMUNOHISTOCHEMISTRY; PEMBROLIZUMAB; DOCETAXEL; MULTICENTER; NIVOLUMAB; HETEROGENEITY; ATEZOLIZUMAB</t>
  </si>
  <si>
    <t>516</t>
  </si>
  <si>
    <t>0893-3952</t>
  </si>
  <si>
    <t>1530-0285</t>
  </si>
  <si>
    <t>MODERN PATHOL</t>
  </si>
  <si>
    <t>Mod. Pathol.</t>
  </si>
  <si>
    <t>JAN 2022</t>
  </si>
  <si>
    <t>10.1038/s41379-021-00919-2</t>
  </si>
  <si>
    <t>http://dx.doi.org/10.1038/s41379-021-00919-2</t>
  </si>
  <si>
    <t>Pathology</t>
  </si>
  <si>
    <t>XT9WE</t>
  </si>
  <si>
    <t>34611303</t>
  </si>
  <si>
    <t>WOS:000703819900001</t>
  </si>
  <si>
    <t>Singh, SP; Wang, LP; Gupta, S; Goli, H; Padmanabhan, P; Gulyás, B</t>
  </si>
  <si>
    <t>The rapid advancements in machine learning, graphics processing technologies and the availability of medical imaging data have led to a rapid increase in the use of deep learning models in the medical domain. This was exacerbated by the rapid advancements in convolutional neural network (CNN) based architectures, which were adopted by the medical imaging community to assist clinicians in disease diagnosis. Since the grand success of AlexNet in 2012, CNNs have been increasingly used in medical image analysis to improve the efficiency of human clinicians. In recent years, three-dimensional (3D) CNNs have been employed for the analysis of medical images. In this paper, we trace the history of how the 3D CNN was developed from its machine learning roots, we provide a brief mathematical description of 3D CNN and provide the preprocessing steps required for medical images before feeding them to 3D CNNs. We review the significant research in the field of 3D medical imaging analysis using 3D CNNs (and its variants) in different medical areas such as classification, segmentation, detection and localization. We conclude by discussing the challenges associated with the use of 3D CNNs in the medical imaging domain (and the use of deep learning models in general) and possible future trends in the field.</t>
  </si>
  <si>
    <t>Singh, Satya P.; Wang, Lipo; Gupta, Sukrit; Goli, Haveesh; Padmanabhan, Parasuraman; Gulyas, Balazs</t>
  </si>
  <si>
    <t>Padmanabhan, P (corresponding author), Nanyang Technol Univ, Lee Kong Chian Sch Med, Singapore 608232, Singapore.; Padmanabhan, P (corresponding author), Nanyang Technol Univ, Cognit Neuroimaging Ctr, Singapore 636921, Singapore.</t>
  </si>
  <si>
    <t>satya@ntu.edu.sg; ppadmanabhan@ntu.edu.sg; elpwang@ntu.edu.sg; SUKRIT001@e.ntu.edu.sg; HAVEESH001@e.ntu.edu.sg; balazs.gulyas@ntu.edu.sg</t>
  </si>
  <si>
    <t>Lee Kong Chian School of Medicine; Data Science and AI Research (DSAIR) center of Nanyang Technological University Singapore [ADH-11/2017-DSAIR]; Cognitive Neuro Imaging Centre (CONIC) at Nanyang Technological University Singapore</t>
  </si>
  <si>
    <t>Lee Kong Chian School of Medicine; Data Science and AI Research (DSAIR) center of Nanyang Technological University Singapore; Cognitive Neuro Imaging Centre (CONIC) at Nanyang Technological University Singapore</t>
  </si>
  <si>
    <t>Authors acknowledge the support from Lee Kong Chian School of Medicine and Data Science and AI Research (DSAIR) center of Nanyang Technological University Singapore (Project Number ADH-11/2017-DSAIR). PP and BG also acknowledges the support from the Cognitive Neuro Imaging Centre (CONIC) at Nanyang Technological University Singapore.</t>
  </si>
  <si>
    <t>[Singh, Satya P.; Padmanabhan, Parasuraman; Gulyas, Balazs] Nanyang Technol Univ, Lee Kong Chian Sch Med, Singapore 608232, Singapore; [Singh, Satya P.; Padmanabhan, Parasuraman; Gulyas, Balazs] Nanyang Technol Univ, Cognit Neuroimaging Ctr, Singapore 636921, Singapore; [Wang, Lipo] Nanyang Technol Univ, Sch Elect &amp; Elect Engn, Singapore 639798, Singapore; [Gupta, Sukrit; Goli, Haveesh] Nanyang Technol Univ, Sch Comp Sci &amp; Engn, Singapore 639798, Singapore; [Gulyas, Balazs] Karolinska Inst, Dept Clin Neurosci, S-17176 Stockholm, Sweden</t>
  </si>
  <si>
    <t>Nanyang Technological University; Nanyang Technological University; Nanyang Technological University; Nanyang Technological University; Karolinska Institutet</t>
  </si>
  <si>
    <t>3D Deep Learning on Medical Images: A Review</t>
  </si>
  <si>
    <t>SENSORS</t>
  </si>
  <si>
    <t>3D convolutional neural networks; 3D medical images; classification; segmentation; detection; localization</t>
  </si>
  <si>
    <t>CONVOLUTIONAL NEURAL-NETWORK; BIAS FIELD ESTIMATION; NODULE DETECTION; SEGMENTATION; MRI; CLASSIFICATION; LOCALIZATION; FRAMEWORK; ALGORITHM; QUALITY</t>
  </si>
  <si>
    <t>Gulyas, Balazs/F-9508-2015; Gupta, Sukrit/O-9312-2016; Padmanabhan, Parasuraman/AAC-1062-2021; /AGN-6822-2022; Wang, Lipo/A-5154-2011</t>
  </si>
  <si>
    <t>Gulyas, Balazs/0000-0001-9295-2460; Singh, Satya P/0000-0003-3159-3622; Padmanabhan, Parasuraman/0000-0003-4112-4600; Goli, Haveesh/0000-0001-9437-2654; Wang, Lipo/0000-0002-4257-7639</t>
  </si>
  <si>
    <t>350</t>
  </si>
  <si>
    <t>1424-8220</t>
  </si>
  <si>
    <t>SENSORS-BASEL</t>
  </si>
  <si>
    <t>Sensors</t>
  </si>
  <si>
    <t>5097</t>
  </si>
  <si>
    <t>10.3390/s20185097</t>
  </si>
  <si>
    <t>http://dx.doi.org/10.3390/s20185097</t>
  </si>
  <si>
    <t>Chemistry, Analytical; Engineering, Electrical &amp; Electronic; Instruments &amp; Instrumentation</t>
  </si>
  <si>
    <t>Chemistry; Engineering; Instruments &amp; Instrumentation</t>
  </si>
  <si>
    <t>OD6JP</t>
  </si>
  <si>
    <t>32906819</t>
  </si>
  <si>
    <t>WOS:000579958100001</t>
  </si>
  <si>
    <t>201</t>
  </si>
  <si>
    <t>Kim, HI; Park, J; Zhu, Y; Wang, XY; Han, YH; Zhang, D</t>
  </si>
  <si>
    <t>Exosomes, which are nanosized vesicles secreted by cells, are attracting increasing interest in the field of biomedical research due to their unique properties, including biocompatibility, cargo loading capacity, and deep tissue penetration. They serve as natural signaling agents in intercellular communication, and their inherent ability to carry proteins, lipids, and nucleic acids endows them with remarkable therapeutic potential. Thus, exosomes can be exploited for diverse therapeutic applications, including chemotherapy, gene therapy, and photothermal therapy. Moreover, their capacity for homotypic targeting and self-recognition provides opportunities for personalized medicine. Despite their advantages as novel therapeutic agents, there are several challenges in optimizing cargo loading efficiency and structural stability and in defining exosome origins. Future research should include the development of large-scale, quality-controllable production methods, the refinement of drug loading strategies, and extensive in vivo studies and clinical trials. Despite the unresolved difficulties, the use of exosomes as efficient, stable, and safe therapeutic delivery systems is an interesting area in biomedical research. Therefore, this review describes exosomes and summarizes cutting-edge studies published in high-impact journals that have introduced novel or enhanced therapeutic effects using exosomes as a drug delivery system in the past 2 years. We provide an informative overview of the current state of exosome research, highlighting the unique properties and therapeutic applications of exosomes. We also emphasize challenges and future directions, underscoring the importance of addressing key issues in the field. With this review, we encourage researchers to further develop exosome-based drugs for clinical application, as such drugs may be among the most promising next-generation therapeutics.Nanomedicine, which applies nanotechnology in medicine, has improved drug delivery. Yet, issues like poor drug movement in the body, low absorption, and high toxicity of traditional drugs persist. Scientists are now using nanomedicines, especially nanoparticles, to tackle these problems. Nanoparticles can carry drugs to specific cells, help in imaging and diagnostic methods, or fix body structures at a cellular level. But, they can also cause unwanted immune responses. Hence, researchers are exploring exosomes, substances produced from various cells, as potential drug carriers. These naturally occurring exosomes are less toxic and more compatible with the body than synthetic nanoparticles. This study gives an overview of the current state of exosome research and its potential for drug delivery.This summary was initially drafted using artificial intelligence, then revised and fact-checked by the author.</t>
  </si>
  <si>
    <t>Kim, Hyo In; Park, Jinbong; Zhu, Yin; Wang, Xiaoyun; Han, Yohan; Zhang, Duo</t>
  </si>
  <si>
    <t>Han, YH; Zhang, D (corresponding author), Univ Georgia, Coll Pharm, Clin &amp; Expt Therapeut, Augusta, GA 30912 USA.; Han, YH; Zhang, D (corresponding author), Charlie Norwood VA Med Ctr, Augusta, GA 30912 USA.; Han, YH (corresponding author), Wonkwang Univ, Sch Med, Dept Microbiol, Iksan 54538, South Korea.; Han, YH (corresponding author), Wonkwang Univ, Sarcopenia Total Solut Ctr, Iksan 54538, South Korea.; Zhang, D (corresponding author), Augusta Univ, Med Coll Georgia, Dept Med, Augusta, GA 30912 USA.</t>
  </si>
  <si>
    <t>dygks1867@wku.ac.kr; duozhang@uga.edu</t>
  </si>
  <si>
    <t>U.S. Department of Health &amp; Human Services | NIH | National Heart, Lung, and Blood Institute (NHLBI) [HF23C0120]; Korea Health Technology R&amp;D Project through the Korea Health Industry Development Institute (KHIDI) - Ministry of Health &amp; Welfare, Republic of Korea [RS-2023-00213024, 2021R1A5A8029876]; National Research Foundation of Korea (NRF) - Korea government (MSIT) [R00HL141685]; National Heart, Lung, and Blood Institute (NHLBI)</t>
  </si>
  <si>
    <t>U.S. Department of Health &amp; Human Services | NIH | National Heart, Lung, and Blood Institute (NHLBI); Korea Health Technology R&amp;D Project through the Korea Health Industry Development Institute (KHIDI) - Ministry of Health &amp; Welfare, Republic of Korea; National Research Foundation of Korea (NRF) - Korea government (MSIT) (National Research Foundation of Korea, Ministry of Science &amp; ICT (MMSTI)); National Heart, Lung, and Blood Institute (NHLBI) (United States Department of Health &amp; Human Services, National Institutes of Health (NIH) - USA, NIH National Heart Lung &amp; Blood Institute (NHLBI))</t>
  </si>
  <si>
    <t>This research was supported by a grant from the Korea Health Technology R&amp;D Project through the Korea Health Industry Development Institute (KHIDI), funded by the Ministry of Health &amp; Welfare, Republic of Korea (grant number: HF23C0120 to Y.H.), and by a grant from the National Research Foundation of Korea (NRF), funded by the Korea government (MSIT) (RS-2023-00213024 and 2021R1A5A8029876 to Y.H.). The National Heart, Lung, and Blood Institute (NHLBI) provided grant R00HL141685 to D.Z. Images in this paper were created with Biorender (https://biorender.com/).</t>
  </si>
  <si>
    <t>[Kim, Hyo In] Harvard Med Sch, Beth Israel Deaconess Med Ctr, Dept Surg, Boston, MA 02215 USA; [Park, Jinbong] Kyung Hee Univ, Coll Korean Med, Dept Pharmacol, Seoul 02447, South Korea; [Zhu, Yin; Wang, Xiaoyun; Han, Yohan; Zhang, Duo] Univ Georgia, Coll Pharm, Clin &amp; Expt Therapeut, Augusta, GA 30912 USA; [Zhu, Yin; Wang, Xiaoyun; Han, Yohan; Zhang, Duo] Charlie Norwood VA Med Ctr, Augusta, GA 30912 USA; [Han, Yohan] Wonkwang Univ, Sch Med, Dept Microbiol, Iksan 54538, South Korea; [Han, Yohan] Wonkwang Univ, Sarcopenia Total Solut Ctr, Iksan 54538, South Korea; [Zhang, Duo] Augusta Univ, Med Coll Georgia, Dept Med, Augusta, GA 30912 USA</t>
  </si>
  <si>
    <t>Harvard University; Harvard Medical School; Harvard University Medical Affiliates; Beth Israel Deaconess Medical Center; Kyung Hee University; University System of Georgia; University of Georgia; US Department of Veterans Affairs; Veterans Health Administration (VHA); Charlie Norwood VA Medical Center; Wonkwang University; Wonkwang University; University System of Georgia; Augusta University</t>
  </si>
  <si>
    <t>Recent advances in extracellular vesicles for therapeutic cargo delivery</t>
  </si>
  <si>
    <t>EXPERIMENTAL AND MOLECULAR MEDICINE</t>
  </si>
  <si>
    <t>RNA DELIVERY; EXOSOMES; STABILITY</t>
  </si>
  <si>
    <t>Zhang, Duo/S-2034-2016; Park, Jinbong/AAU-5204-2020; Kim, Hyo In/OLP-5595-2025</t>
  </si>
  <si>
    <t>Zhang, Duo/0000-0003-0361-4174; Park, Jinbong/0000-0002-5984-5855; Zhu, Yin/0000-0003-1683-4205; Wang, Xiaoyun/0000-0002-9900-740X; Kim, Hyo In/0000-0002-3916-6855</t>
  </si>
  <si>
    <t>421</t>
  </si>
  <si>
    <t>459</t>
  </si>
  <si>
    <t>1226-3613</t>
  </si>
  <si>
    <t>2092-6413</t>
  </si>
  <si>
    <t>EXP MOL MED</t>
  </si>
  <si>
    <t>Exp. Mol. Med.</t>
  </si>
  <si>
    <t>849</t>
  </si>
  <si>
    <t>10.1038/s12276-024-01201-6</t>
  </si>
  <si>
    <t>http://dx.doi.org/10.1038/s12276-024-01201-6</t>
  </si>
  <si>
    <t>Biochemistry &amp; Molecular Biology; Medicine, Research &amp; Experimental</t>
  </si>
  <si>
    <t>Biochemistry &amp; Molecular Biology; Research &amp; Experimental Medicine</t>
  </si>
  <si>
    <t>OU6V1</t>
  </si>
  <si>
    <t>38556545</t>
  </si>
  <si>
    <t>WOS:001194799500011</t>
  </si>
  <si>
    <t>Wu, WT; Li, YJ; Feng, AZ; Li, L; Huang, T; Xu, AD; Lyu, J</t>
  </si>
  <si>
    <t>Many high quality studies have emerged from public databases, such as Surveillance, Epidemiology, and End Results (SEER), National Health and Nutrition Examination Survey (NHANES), The Cancer Genome Atlas (TCGA), and Medical Information Mart for Intensive Care (MIMIC); however, these data are often characterized by a high degree of dimensional heterogeneity, timeliness, scarcity, irregularity, and other characteristics, resulting in the value of these data not being fully utilized. Data-mining technology has been a frontier field in medical research, as it demonstrates excellent performance in evaluating patient risks and assisting clinical decision-making in building disease-prediction models. Therefore, data mining has unique advantages in clinical big-data research, especially in large-scale medical public databases. This article introduced the main medical public database and described the steps, tasks, and models of data mining in simple language. Additionally, we described data-mining methods along with their practical applications. The goal of this work was to aid clinical researchers in gaining a clear and intuitive understanding of the application of data-mining technology on clinical big-data in order to promote the production of research results that are beneficial to doctors and patients.</t>
  </si>
  <si>
    <t>Wu, Wen-Tao; Li, Yuan-Jie; Feng, Ao-Zi; Li, Li; Huang, Tao; Xu, An-Ding; Lyu, Jun</t>
  </si>
  <si>
    <t>Lyu, J (corresponding author), Jinan Univ, Dept Clin Res, Affiliated Hosp 1, 613 W Huangpu Ave, Guangzhou 510632, Guangdong, Peoples R China.; Xu, AD (corresponding author), Jinan Univ, Dept Neurol, Affiliated Hosp 1, 613 W Huangpu Ave, Guangzhou 510632, Guangdong, Peoples R China.</t>
  </si>
  <si>
    <t>lyujun2020@jnu.edu.cn; tlil@jnu.edu.cn</t>
  </si>
  <si>
    <t>National Social Science Foundation of China [16BGL183]</t>
  </si>
  <si>
    <t>National Social Science Foundation of China (National Office of Philosophy and Social Sciences)</t>
  </si>
  <si>
    <t>This study was supported by the National Social Science Foundation of China (No. 16BGL183).</t>
  </si>
  <si>
    <t>[Wu, Wen-Tao; Feng, Ao-Zi; Li, Li; Huang, Tao; Lyu, Jun] Jinan Univ, Dept Clin Res, Affiliated Hosp 1, 613 W Huangpu Ave, Guangzhou 510632, Guangdong, Peoples R China; [Wu, Wen-Tao] Xi An Jiao Tong Univ, Sch Publ Hlth, Hlth Sci Ctr, Xian 710061, Shaanxi, Peoples R China; [Li, Yuan-Jie] Xi An Jiao Tong Univ, Sch Basic Med Sci, Dept Human Anat Histol &amp; Embryol, Hlth Sci Ctr, Xian 710061, Shaanxi, Peoples R China; [Xu, An-Ding] Jinan Univ, Dept Neurol, Affiliated Hosp 1, 613 W Huangpu Ave, Guangzhou 510632, Guangdong, Peoples R China</t>
  </si>
  <si>
    <t>Jinan University; Xi'an Jiaotong University; Xi'an Jiaotong University; Jinan University</t>
  </si>
  <si>
    <t>Data mining in clinical big data: the frequently used databases, steps, and methodological models</t>
  </si>
  <si>
    <t>MILITARY MEDICAL RESEARCH</t>
  </si>
  <si>
    <t>Clinical big data; Data mining; Machine learning; Medical public database; SEER; NHANES; TCGA; MIMIC</t>
  </si>
  <si>
    <t>MACHINE LEARNING ALGORITHMS; COMPETING RISKS; HEALTH-CARE; REGRESSION-MODELS; CLUSTER-ANALYSIS; CHINA HEALTH; CANCER; PREDICTION; BIOBANK; ISSUES</t>
  </si>
  <si>
    <t>Lyu, Jun/AAS-1229-2021</t>
  </si>
  <si>
    <t>Lyu, Jun/0000-0002-2237-8771; Huang, Tao/0000-0002-7645-4290</t>
  </si>
  <si>
    <t>KEAI PUBLISHING LTD</t>
  </si>
  <si>
    <t>BEIJING</t>
  </si>
  <si>
    <t>16 DONGHUANGCHENGGEN NORTH ST, Building 5, Room 411, BEIJING, DONGCHENG DISTRICT 100009, PEOPLES R CHINA</t>
  </si>
  <si>
    <t>2095-7467</t>
  </si>
  <si>
    <t>2054-9369</t>
  </si>
  <si>
    <t>MILITARY MED RES</t>
  </si>
  <si>
    <t>MILITARY MED. RES.</t>
  </si>
  <si>
    <t>AUG 11 2021</t>
  </si>
  <si>
    <t>10.1186/s40779-021-00338-z</t>
  </si>
  <si>
    <t>http://dx.doi.org/10.1186/s40779-021-00338-z</t>
  </si>
  <si>
    <t>TZ0ZR</t>
  </si>
  <si>
    <t>34380547</t>
  </si>
  <si>
    <t>WOS:000684205600001</t>
  </si>
  <si>
    <t>Antoniadi, AM; Du, YH; Guendouz, Y; Wei, L; Mazo, C; Becker, BA; Mooney, C</t>
  </si>
  <si>
    <t>Machine Learning and Artificial Intelligence (AI) more broadly have great immediate and future potential for transforming almost all aspects of medicine. However, in many applications, even outside medicine, a lack of transparency in AI applications has become increasingly problematic. This is particularly pronounced where users need to interpret the output of AI systems. Explainable AI (XAI) provides a rationale that allows users to understand why a system has produced a given output. The output can then be interpreted within a given context. One area that is in great need of XAI is that of Clinical Decision Support Systems (CDSSs). These systems support medical practitioners in their clinic decision-making and in the absence of explainability may lead to issues of under or over-reliance. Providing explanations for how recommendations are arrived at will allow practitioners to make more nuanced, and in some cases, life-saving decisions. The need for XAI in CDSS, and the medical field in general, is amplified by the need for ethical and fair decision-making and the fact that AI trained with historical data can be a reinforcement agent of historical actions and biases that should be uncovered. We performed a systematic literature review of work to-date in the application of XAI in CDSS. Tabular data processing XAI-enabled systems are the most common, while XAI-enabled CDSS for text analysis are the least common in literature. There is more interest in developers for the provision of local explanations, while there was almost a balance between post-hoc and ante-hoc explanations, as well as between model-specific and model-agnostic techniques. Studies reported benefits of the use of XAI such as the fact that it could enhance decision confidence for clinicians, or generate the hypothesis about causality, which ultimately leads to increased trustworthiness and acceptability of the system and potential for its incorporation in the clinical workflow. However, we found an overall distinct lack of application of XAI in the context of CDSS and, in particular, a lack of user studies exploring the needs of clinicians. We propose some guidelines for the implementation of XAI in CDSS and explore some opportunities, challenges, and future research needs.</t>
  </si>
  <si>
    <t>Antoniadi, Anna Markella; Du, Yuhan; Guendouz, Yasmine; Wei, Lan; Mazo, Claudia; Becker, Brett A.; Mooney, Catherine</t>
  </si>
  <si>
    <t>Mooney, C (corresponding author), Univ Coll Dublin, UCD Sch Comp Sci, Dublin 4, Ireland.; Mooney, C (corresponding author), Royal Coll Surgeons Ireland, FutureNeuro SFI Res Ctr, Dublin 2, Ireland.</t>
  </si>
  <si>
    <t>brett.becker@ucd.ie; GUENDOUY@tcd.ie; lan.wei@ucdconnect.ie; claudia.mazovargas@ucd.ie; anna.antoniadi@ucdconnect.ie; catherine.mooney@ucd.ie; yuhan.du@ucdconnect.ie</t>
  </si>
  <si>
    <t>Science Foundation Ireland (SFI) [16/RC/3948]; European Regional Development Fund; FutureNeuro; Science Foundation Ireland Centre for Research Training in Digitally-Enhanced Reality (D-REAL) [18/CRT/6224]; Enterprise Ireland (EI); European Union [713654]</t>
  </si>
  <si>
    <t>Science Foundation Ireland (SFI) (Science Foundation Ireland (SFI)); European Regional Development Fund (European Union (EU)); FutureNeuro; Science Foundation Ireland Centre for Research Training in Digitally-Enhanced Reality (D-REAL) (Science Foundation Ireland (SFI)); Enterprise Ireland (EI); European Union (European Union (EU))</t>
  </si>
  <si>
    <t>This publication has emanated from research supported in part by a research grant from Science Foundation Ireland (SFI) under Grant Number 16/RC/3948 and co-funded under the European Regional Development Fund and by FutureNeuro industry partners. This work was conducted with the financial support of the Science Foundation Ireland Centre for Research Training in Digitally-Enhanced Reality (D-REAL) under Grant No. 18/CRT/6224. This project has received funding from Enterprise Ireland (EI) and from the European Union's Horizon 2020 research and innovation programme under the Marie Sklodowska-Curie grant agreement No 713654.</t>
  </si>
  <si>
    <t>[Antoniadi, Anna Markella; Du, Yuhan; Wei, Lan; Mazo, Claudia; Becker, Brett A.; Mooney, Catherine] Univ Coll Dublin, UCD Sch Comp Sci, Dublin 4, Ireland; [Antoniadi, Anna Markella; Mooney, Catherine] Royal Coll Surgeons Ireland, FutureNeuro SFI Res Ctr, Dublin 2, Ireland; [Guendouz, Yasmine] Trinity Coll Dublin, Trinity Ctr Biomed Engn, Dublin 2, Ireland; [Guendouz, Yasmine] Trinity Coll Dublin, Dept Mech Mfg &amp; Biomed Engn, Sch Engn, Dublin 2, Ireland; [Mazo, Claudia] CeADAR Irelands Ctr Appl AI, Dublin 4, Ireland</t>
  </si>
  <si>
    <t>University College Dublin; Royal College of Surgeons in Ireland - RCSI; Trinity College Dublin; Trinity College Dublin</t>
  </si>
  <si>
    <t>Current Challenges and Future Opportunities for XAI in Machine Learning-Based Clinical Decision Support Systems: A Systematic Review</t>
  </si>
  <si>
    <t>APPLIED SCIENCES-BASEL</t>
  </si>
  <si>
    <t>artificial intelligence; explainable AI; XAI; clinical decision support systems; CDSS; medicine; machine learning; deep learning; explainability; transparency; interpretability</t>
  </si>
  <si>
    <t>EXPLAINABLE ARTIFICIAL-INTELLIGENCE; BLACK-BOX; EXPLANATIONS; INTERPRETABILITY; VISUALIZATION; MEDICINE; ONTOLOGY; DISEASE; QUALITY; EXAMPLE</t>
  </si>
  <si>
    <t>Becker, Brett/AAJ-7764-2020; Mazo, Claudia/B-8882-2018</t>
  </si>
  <si>
    <t>Wei, Lan/0000-0002-7236-3965; Du, Yuhan/0000-0002-3285-8760; Becker, Brett/0000-0003-1446-647X; Antoniadi, Anna Markella/0000-0002-8285-1997; Mazo, Claudia/0000-0003-1703-8964; , Yasmine/0000-0003-2830-5941; Mooney, Catherine/0000-0002-7696-1364</t>
  </si>
  <si>
    <t>412</t>
  </si>
  <si>
    <t>2076-3417</t>
  </si>
  <si>
    <t>APPL SCI-BASEL</t>
  </si>
  <si>
    <t>Appl. Sci.-Basel</t>
  </si>
  <si>
    <t>5088</t>
  </si>
  <si>
    <t>10.3390/app11115088</t>
  </si>
  <si>
    <t>http://dx.doi.org/10.3390/app11115088</t>
  </si>
  <si>
    <t>Chemistry, Multidisciplinary; Engineering, Multidisciplinary; Materials Science, Multidisciplinary; Physics, Applied</t>
  </si>
  <si>
    <t>Chemistry; Engineering; Materials Science; Physics</t>
  </si>
  <si>
    <t>SP3XZ</t>
  </si>
  <si>
    <t>WOS:000659606300001</t>
  </si>
  <si>
    <t>Cao, CS; Liu, F; Tan, H; Song, DS; Shu, WJ; Li, WZ; Zhou, YM; Bo, XC; Xie, Z</t>
  </si>
  <si>
    <t>Advances in biological and medical technologies have been providing us explosive volumes of biological and physiological data, such as medical images, electroencephalography, genomic and protein sequences. Learning from these data facilitates the understanding of human health and disease. Developed from artificial neural networks, deep learning-based algorithms show great promise in extracting features and learning patterns from complex data. The aim of this paper is to provide an overview of deep learning techniques and some of the state-of-the-art applications in the biomedical field. We first introduce the development of artificial neural network and deep learning. We then describe two main components of deep learning, i.e., deep learning architectures and model optimization. Subsequently, some examples are demonstrated for deep learning applications, including medical image classification, genomic sequence analysis, as well as protein structure classification and prediction. Finally, we offer our perspectives for the future directions in the field of deep learning.</t>
  </si>
  <si>
    <t>Cao, Chensi; Liu, Feng; Tan, Hai; Song, Deshou; Shu, Wenjie; Li, Weizhong; Zhou, Yiming; Bo, Xiaochen; Xie, Zhi</t>
  </si>
  <si>
    <t>Zhou, YM (corresponding author), CapitalBio Corp, Beijing 102206, Peoples R China.; Bo, XC (corresponding author), Beijing Inst Radiat Med, Dept Biotechnol, Beijing 100850, Peoples R China.; Xie, Z (corresponding author), Sun Yat Sen Univ, State Key Lab Ophthalmol, Zhongshan Ophthalm Ctr, Guangzhou 500040, Guangdong, Peoples R China.; Zhou, YM (corresponding author), Tsinghua Univ, Sch Med, Med Syst Biol Res Ctr, Dept Biomed Engn, Beijing 100084, Peoples R China.</t>
  </si>
  <si>
    <t>boxc@bmi.ac.cn; yimingzhou@capitalbio.com; xiezh8@sysu.edu.cn</t>
  </si>
  <si>
    <t>Center for Precision Medicine, Sun Yat-sen University; National High-tech R&amp;D Program (863 Program) of China [2015AA020110]</t>
  </si>
  <si>
    <t>Center for Precision Medicine, Sun Yat-sen University; National High-tech R&amp;D Program (863 Program) of China (National High Technology Research and Development Program of China)</t>
  </si>
  <si>
    <t>This work was supported by the Center for Precision Medicine, Sun Yat-sen University and the National High-tech R&amp;D Program (863 Program; Grant No. 2015AA020110) of China awarded to YZ.</t>
  </si>
  <si>
    <t>[Cao, Chensi; Zhou, Yiming] CapitalBio Corp, Beijing 102206, Peoples R China; [Liu, Feng; Shu, Wenjie; Bo, Xiaochen] Beijing Inst Radiat Med, Dept Biotechnol, Beijing 100850, Peoples R China; [Tan, Hai; Song, Deshou; Xie, Zhi] Sun Yat Sen Univ, State Key Lab Ophthalmol, Zhongshan Ophthalm Ctr, Guangzhou 500040, Guangdong, Peoples R China; [Li, Weizhong] Sun Yat Sen Univ, Zhongshan Sch Med, Guangzhou 500040, Guangdong, Peoples R China; [Zhou, Yiming] Tsinghua Univ, Sch Med, Med Syst Biol Res Ctr, Dept Biomed Engn, Beijing 100084, Peoples R China</t>
  </si>
  <si>
    <t>CapitalBio; Academy of Military Medical Sciences - China; Sun Yat Sen University; Sun Yat Sen University; Tsinghua University</t>
  </si>
  <si>
    <t>Deep Learning and Its Applications in Biomedicine</t>
  </si>
  <si>
    <t>GENOMICS PROTEOMICS &amp; BIOINFORMATICS</t>
  </si>
  <si>
    <t>Deep learning; Big data; Bioinformatics; Biomedical informatics; Medical image; High-throughput sequencing</t>
  </si>
  <si>
    <t>CONVOLUTIONAL NEURAL-NETWORK; PROTEIN SECONDARY STRUCTURE; BRAIN-TUMOR SEGMENTATION; RECEPTIVE FIELDS; RECOGNITION; PREDICTION; ARCHITECTURES; SEQUENCE; CLASSIFICATION; AUTOENCODERS</t>
  </si>
  <si>
    <t>Xie, Zhi/A-3108-2012; cao, chensi/KLZ-1146-2024; Li, Weizhong/OZE-0953-2025</t>
  </si>
  <si>
    <t>Xie, Zhi/0000-0002-5589-4836; Shu, Wenjie/0000-0001-9044-2352; Liu, Feng/0000-0001-9410-676X; 曹, 晨思/0000-0002-5262-6959; Bo, Xiao-chen/0000-0003-1911-7922; Li, Weizhong/0000-0002-9003-7733</t>
  </si>
  <si>
    <t>1672-0229</t>
  </si>
  <si>
    <t>2210-3244</t>
  </si>
  <si>
    <t>GENOM PROTEOM BIOINF</t>
  </si>
  <si>
    <t>Genom. Proteomics Bioinformatics</t>
  </si>
  <si>
    <t>10.1016/j.gpb.2017.07.003</t>
  </si>
  <si>
    <t>http://dx.doi.org/10.1016/j.gpb.2017.07.003</t>
  </si>
  <si>
    <t>GA2FS</t>
  </si>
  <si>
    <t>29522900</t>
  </si>
  <si>
    <t>WOS:000428133100003</t>
  </si>
  <si>
    <t>Suganyadevi, S; Seethalakshmi, ; Balasamy, K</t>
  </si>
  <si>
    <t>Ongoing improvements in AI, particularly concerning deep learning techniques, are assisting to identify, classify, and quantify patterns in clinical images. Deep learning is the quickest developing field in artificial intelligence and is effectively utilized lately in numerous areas, including medication. A brief outline is given on studies carried out on the region of application: neuro, brain, retinal, pneumonic, computerized pathology, bosom, heart, breast, bone, stomach, and musculoskeletal. For information exploration, knowledge deployment, and knowledge-based prediction, deep learning networks can be successfully applied to big data. In the field of medical image processing methods and analysis, fundamental information and state-of-the-art approaches with deep learning are presented in this paper. The primary goals of this paper are to present research on medical image processing as well as to define and implement the key guidelines that are identified and addressed.</t>
  </si>
  <si>
    <t>Suganyadevi, S.; Seethalakshmi, V; Balasamy, K.</t>
  </si>
  <si>
    <t>Suganyadevi, S (corresponding author), KPR Inst Engn &amp; Technol, Dept ECE, Coimbatore, Tamil Nadu, India.</t>
  </si>
  <si>
    <t>seethav@kpriet.ac.in; suganya3223@gmail.com; balasamyk@gmail.com</t>
  </si>
  <si>
    <t>[Suganyadevi, S.; Seethalakshmi, V] KPR Inst Engn &amp; Technol, Dept ECE, Coimbatore, Tamil Nadu, India; [Balasamy, K.] Dr Mahalingam Coll Engn &amp; Technol, Dept IT, Coimbatore, Tamil Nadu, India</t>
  </si>
  <si>
    <t>A review on deep learning in medical image analysis</t>
  </si>
  <si>
    <t>Deep learning; Survey; Image classes; Medical image analysis; Accuracy</t>
  </si>
  <si>
    <t>CONVOLUTIONAL NEURAL-NETWORK; CLASSIFICATION; SEGMENTATION; REPRESENTATION; CORONAVIRUS; MASS</t>
  </si>
  <si>
    <t>Krishnasamy, Balasamy/ABE-1237-2021; Krishnasamy, Balasamy/ABE-1237-2021; S, Suganyadevi/AAB-9143-2022; Seethalakshmi, V/G-7972-2016</t>
  </si>
  <si>
    <t>Krishnasamy, Balasamy/0000-0003-0973-5698; S, Suganyadevi/0000-0001-6096-7510</t>
  </si>
  <si>
    <t>409</t>
  </si>
  <si>
    <t>484</t>
  </si>
  <si>
    <t>10.1007/s13735-021-00218-1</t>
  </si>
  <si>
    <t>http://dx.doi.org/10.1007/s13735-021-00218-1</t>
  </si>
  <si>
    <t>ZI9SJ</t>
  </si>
  <si>
    <t>34513553</t>
  </si>
  <si>
    <t>WOS:000692438200001</t>
  </si>
  <si>
    <t>242</t>
  </si>
  <si>
    <t>Rappoport, N; Shamir, R</t>
  </si>
  <si>
    <t>Recent high throughput experimental methods have been used to collect large biomedical omics datasets. Clustering of single omic datasets has proven invaluable for biological and medical research. The decreasing cost and development of additional high throughput methods now enable measurement of multi-omic data. Clustering multi-omic data has the potential to reveal further systems-level insights, but raises computational and biological challenges. Here, we review algorithms for multiomics clustering, and discuss key issues in applying these algorithms. Our review covers methods developed specifically for omic data as well as generic multi-view methods developed in the machine learning community for joint clustering of multiple data types. In addition, using cancer data from TCGA, we perform an extensive benchmark spanning ten different cancer types, providing the first systematic comparison of leading multi-omics and multi-view clustering algorithms. The results highlight key issues regarding the use of single-versus multi-omics, the choice of clustering strategy, the power of generic multi-view methods and the use of approximated pvalues for gauging solution quality. Due to the growing use of multi-omics data, we expect these issues to be important for future progress in the field.</t>
  </si>
  <si>
    <t>Rappoport, Nimrod; Shamir, Ron</t>
  </si>
  <si>
    <t>Shamir, R (corresponding author), Tel Aviv Univ, Blavatnik Sch Comp Sci, Tel Aviv, Israel.</t>
  </si>
  <si>
    <t>rshamir@tau.ac.il</t>
  </si>
  <si>
    <t>United States-Israel Binational Science Foundation (BSF), Jerusalem, Israel; United States National Science Foundation (NSF); Bella Walter Memorial Fund of the Israel Cancer Association; Edmond J. Safra Center for Bioinformatics at Tel-Aviv University; BSF-NSF; ICA grant</t>
  </si>
  <si>
    <t>United States-Israel Binational Science Foundation (BSF), Jerusalem, Israel (US-Israel Binational Science Foundation); United States National Science Foundation (NSF) (National Science Foundation (NSF)); Bella Walter Memorial Fund of the Israel Cancer Association; Edmond J. Safra Center for Bioinformatics at Tel-Aviv University; BSF-NSF; ICA grant</t>
  </si>
  <si>
    <t>United States-Israel Binational Science Foundation (BSF), Jerusalem, Israel and the United States National Science Foundation (NSF); Bella Walter Memorial Fund of the Israel Cancer Association (in part); Edmond J. Safra Center for Bioinformatics at Tel-Aviv University (to N.R.) (in part). Funding for open access charge: BSF-NSF and ICA grant listed under Funders (in part).</t>
  </si>
  <si>
    <t>[Rappoport, Nimrod; Shamir, Ron] Tel Aviv Univ, Blavatnik Sch Comp Sci, Tel Aviv, Israel</t>
  </si>
  <si>
    <t>Multi-omic and multi-view clustering algorithms: review and cancer benchmark</t>
  </si>
  <si>
    <t>NUCLEIC ACIDS RESEARCH</t>
  </si>
  <si>
    <t>CANONICAL CORRELATION-ANALYSIS; LATENT VARIABLE MODEL; INTEGRATIVE ANALYSIS; LEARNING ALGORITHM; DISCOVERY; MODULES; FUSION; REGRESSION; JOINT; PLS</t>
  </si>
  <si>
    <t>Shamir, Ron/E-6514-2011; Rappoport, Nimrod/PCT-7551-2025</t>
  </si>
  <si>
    <t>Shamir, Ron/0000-0003-1889-9870</t>
  </si>
  <si>
    <t>0305-1048</t>
  </si>
  <si>
    <t>1362-4962</t>
  </si>
  <si>
    <t>NUCLEIC ACIDS RES</t>
  </si>
  <si>
    <t>Nucleic Acids Res.</t>
  </si>
  <si>
    <t>NOV 16 2018</t>
  </si>
  <si>
    <t>10546</t>
  </si>
  <si>
    <t>10562</t>
  </si>
  <si>
    <t>10.1093/nar/gky889</t>
  </si>
  <si>
    <t>http://dx.doi.org/10.1093/nar/gky889</t>
  </si>
  <si>
    <t>Biochemistry &amp; Molecular Biology</t>
  </si>
  <si>
    <t>HI8MI</t>
  </si>
  <si>
    <t>30295871</t>
  </si>
  <si>
    <t>WOS:000456709700008</t>
  </si>
  <si>
    <t>213</t>
  </si>
  <si>
    <t>Chen, CY; Wang, J; Pan, DH; Wang, XY; Xu, YP; Yan, JJ; Wang, LZ; Yang, XF; Yang, M; Liu, GP</t>
  </si>
  <si>
    <t>Multi-omics usually refers to the crossover application of multiple high-throughput screening technologies represented by genomics, transcriptomics, single-cell transcriptomics, proteomics and metabolomics, spatial transcriptomics, and so on, which play a great role in promoting the study of human diseases. Most of the current reviews focus on describing the development of multi-omics technologies, data integration, and application to a particular disease; however, few of them provide a comprehensive and systematic introduction of multi-omics. This review outlines the existing technical categories of multi-omics, cautions for experimental design, focuses on the integrated analysis methods of multi-omics, especially the approach of machine learning and deep learning in multi-omics data integration and the corresponding tools, and the application of multi-omics in medical researches (e.g., cancer, neurodegenerative diseases, aging, and drug target discovery) as well as the corresponding open-source analysis tools and databases, and finally, discusses the challenges and future directions of multi-omics integration and application in precision medicine. With the development of high-throughput technologies and data integration algorithms, as important directions of multi-omics for future disease research, single-cell multi-omics and spatial multi-omics also provided a detailed introduction. This review will provide important guidance for researchers, especially who are just entering into multi-omics medical research.</t>
  </si>
  <si>
    <t>Chen, Chongyang; Wang, Jing; Pan, Donghui; Wang, Xinyu; Xu, Yuping; Yan, Junjie; Wang, Lizhen; Yang, Xifei; Yang, Min; Liu, Gong-Ping</t>
  </si>
  <si>
    <t>Yang, M (corresponding author), Minist Hlth, Jiangsu Inst Nucl Med, Key Lab Nucl Med, Jiangsu Key Lab Mol Nucl Med, Wuxi, Peoples R China.; Yang, XF (corresponding author), Shenzhen Ctr Dis Control &amp; Prevent, Key Lab Modern Toxicol Shenzhen, 8, Longyuan Rd, Nanshan Dist, Shenzhen, Chin, Myanmar.; Liu, GP (corresponding author), Nantong Univ, Coinnovat Ctr Neurodegenerat, Nantong, JS, Peoples R China.; Liu, GP (corresponding author), Huazhong Univ Sci &amp; Technol, Tongji Med Coll, Sch Basic Med, Dept Pathophysiol,Key Lab,Minist Educ China &amp; Hube, Wuhan 430030, Peoples R China.</t>
  </si>
  <si>
    <t>liugp111@mail.hust.edu.cn; yangmin@jsinm.org; xifeiyang@gmail.com</t>
  </si>
  <si>
    <t>Natural Science Foundation of China [82071221, 82271474]; Key Program of Shenzhen Basic~Research [JCYJ20200108165353400]; Shenzhen Key Medical Discipline Construction Fund [SZXK069]; Wuxi Science and Technology Development Fund [Y20222027]; Leading Technology Foundation Research Project of Jiangsu Province [BK20192005]; Knowledge Innovation Program of Wuhan-Basic Research</t>
  </si>
  <si>
    <t>Natural Science Foundation of China (National Natural Science Foundation of China (NSFC)); Key Program of Shenzhen Basic~Research; Shenzhen Key Medical Discipline Construction Fund; Wuxi Science and Technology Development Fund; Leading Technology Foundation Research Project of Jiangsu Province; Knowledge Innovation Program of Wuhan-Basic Research</t>
  </si>
  <si>
    <t>Natural Science Foundation of China, Grant/Award Numbers: 82071221, 82271474; Key Program of Shenzhen Basic &amp; nbsp;Research, Grant/Award Number: JCYJ20200108165353400; Shenzhen Key Medical Discipline Construction Fund, Grant/Award Number: SZXK069; Wuxi Science and Technology Development Fund, Grant/Award Number: Y20222027; Leading Technology Foundation Research Project of Jiangsu Province, Grant/Award Number: BK20192005; Knowledge Innovation Program of Wuhan-Basic Research</t>
  </si>
  <si>
    <t>[Chen, Chongyang; Pan, Donghui; Wang, Xinyu; Xu, Yuping; Yan, Junjie; Wang, Lizhen; Yang, Min] Minist Hlth, Jiangsu Inst Nucl Med, Key Lab Nucl Med, Jiangsu Key Lab Mol Nucl Med, Wuxi, Peoples R China; [Chen, Chongyang; Liu, Gong-Ping] Nantong Univ, Coinnovat Ctr Neurodegenerat, Nantong, Peoples R China; [Wang, Jing; Yang, Xifei] Shenzhen Ctr Dis Control &amp; Prevent, Shenzhen Key Lab Modern Toxicol, Shenzhen Med Key Discipline Hlth Toxicol 2020 2024, Shenzhen, Peoples R China; [Liu, Gong-Ping] Huazhong Univ Sci &amp; Technol, Tongji Med Coll, Sch Basic Med, Dept Pathophysiol,Key Lab,Minist Educ China &amp; Hube, Wuhan, Peoples R China; [Yang, Xifei] Shenzhen Ctr Dis Control &amp; Prevent, Key Lab Modern Toxicol Shenzhen, 8, Longyuan Rd, Nanshan Dist, Shenzhen, Chin, Myanmar; [Liu, Gong-Ping] Nantong Univ, Coinnovat Ctr Neurodegenerat, Nantong, JS, Peoples R China; [Liu, Gong-Ping] Huazhong Univ Sci &amp; Technol, Tongji Med Coll, Sch Basic Med, Dept Pathophysiol,Key Lab,Minist Educ China &amp; Hube, Wuhan 430030, Peoples R China</t>
  </si>
  <si>
    <t>Nantong University; Shenzhen Center for Disease Control &amp; Prevention (SZCDC); Huazhong University of Science &amp; Technology; Nantong University; Huazhong University of Science &amp; Technology</t>
  </si>
  <si>
    <t>Applications of multi-omics analysis in human diseases</t>
  </si>
  <si>
    <t>MEDCOMM</t>
  </si>
  <si>
    <t>biomarker; machine learning and deep learning; multi-omics; neurodegenerative disease; precision medicine</t>
  </si>
  <si>
    <t>LONG NONCODING RNA; PROTEOGENOMIC CHARACTERIZATION; ALZHEIMERS-DISEASE; INTEGRATIVE ANALYSIS; SYSTEMS BIOLOGY; CHROMATIN STATE; BIOMARKERS; NETWORK; GENOME; SEQ</t>
  </si>
  <si>
    <t>Wang, Xinyu/R-8195-2019; Chen, Chongyang/OUH-6304-2025; Yan, Jun-Jie/AAV-9717-2021</t>
  </si>
  <si>
    <t>Wang, Xinyu/0000-0002-9167-2077</t>
  </si>
  <si>
    <t>406</t>
  </si>
  <si>
    <t>272</t>
  </si>
  <si>
    <t>2688-2663</t>
  </si>
  <si>
    <t>MedComm</t>
  </si>
  <si>
    <t>e315</t>
  </si>
  <si>
    <t>10.1002/mco2.315</t>
  </si>
  <si>
    <t>http://dx.doi.org/10.1002/mco2.315</t>
  </si>
  <si>
    <t>N9JC1</t>
  </si>
  <si>
    <t>37533767</t>
  </si>
  <si>
    <t>WOS:001040080600001</t>
  </si>
  <si>
    <t>Myszczynska, MA; Ojamies, PN; Lacoste, AMB; Neil, D; Saffari, A; Mead, R; Hautbergue, GM; Holbrook, JD; Ferraiuolo, L</t>
  </si>
  <si>
    <t>Globally, there is a huge unmet need for effective treatments for neurodegenerative diseases. The complexity of the molecular mechanisms underlying neuronal degeneration and the heterogeneity of the patient population present massive challenges to the development of early diagnostic tools and effective treatments for these diseases. Machine learning, a subfield of artificial intelligence, is enabling scientists, clinicians and patients to address some of these challenges. In this Review, we discuss how machine learning can aid early diagnosis and interpretation of medical images as well as the discovery and development of new therapies. A unifying theme of the different applications of machine learning is the integration of multiple high-dimensional sources of data, which all provide a different view on disease, and the automated derivation of actionable insights.</t>
  </si>
  <si>
    <t>Myszczynska, Monika A.; Ojamies, Poojitha N.; Lacoste, Alix M. B.; Neil, Daniel; Saffari, Amir; Mead, Richard; Hautbergue, Guillaume M.; Holbrook, Joanna D.; Ferraiuolo, Laura</t>
  </si>
  <si>
    <t>Ferraiuolo, L (corresponding author), Univ Sheffield, Sheffield Inst Translat Neurosci, Sheffield, S Yorkshire, England.</t>
  </si>
  <si>
    <t>l.ferraiuolo@sheffield.ac.uk</t>
  </si>
  <si>
    <t>Medical Research Council [MR/R024162/1] Funding Source: Medline; Motor Neurone Disease Association [SITRAN/APR13/983-797] Funding Source: Medline; Academy of Medical Sciences (AMS) [SBF002\\1142] Funding Source: researchfish; Motor Neurone Disease Association [SITraN/Apr13/983-797] Funding Source: researchfish; BBSRC [BB/S005277/1] Funding Source: UKRI; MRC [MR/R024162/1] Funding Source: UKRI</t>
  </si>
  <si>
    <t>Medical Research Council (UK Research &amp; Innovation (UKRI), Medical Research Council UK (MRC)); Motor Neurone Disease Association; Academy of Medical Sciences (AMS) (Academy of Medical Sciences (AMS)); Motor Neurone Disease Association; BBSRC (UK Research &amp; Innovation (UKRI), Biotechnology and Biological Sciences Research Council (BBSRC)); MRC (UK Research &amp; Innovation (UKRI), Medical Research Council UK (MRC))</t>
  </si>
  <si>
    <t>[Myszczynska, Monika A.; Mead, Richard; Hautbergue, Guillaume M.; Ferraiuolo, Laura] Univ Sheffield, Sheffield Inst Translat Neurosci, Sheffield, S Yorkshire, England; [Ojamies, Poojitha N.; Neil, Daniel; Saffari, Amir; Holbrook, Joanna D.] BenevolentAI, London, England; [Lacoste, Alix M. B.] BenevolentAI, Brooklyn, NY USA</t>
  </si>
  <si>
    <t>University of Sheffield</t>
  </si>
  <si>
    <t>Applications of machine learning to diagnosis and treatment of neurodegenerative diseases</t>
  </si>
  <si>
    <t>NATURE REVIEWS NEUROLOGY</t>
  </si>
  <si>
    <t>AMYOTROPHIC-LATERAL-SCLEROSIS; PRODROMAL ALZHEIMERS-DISEASE; MILD COGNITIVE IMPAIRMENT; SUPPORT VECTOR MACHINE; ARTIFICIAL-INTELLIGENCE; NEURAL-NETWORK; AUTOMATIC CLASSIFICATION; PATTERN-CLASSIFICATION; PARKINSONS-DISEASE; FEATURE-EXTRACTION</t>
  </si>
  <si>
    <t>Ferraiuolo, Laura/E-5834-2010; Lacoste, Alix/F-1145-2014; Mead, Richard/B-4779-2009</t>
  </si>
  <si>
    <t>Myszczynska, Monika/0000-0003-0067-8500; Ferraiuolo, Laura/0000-0001-9118-5714; Lacoste, Alix/0000-0002-9353-6706; Hautbergue, Guillaume/0000-0002-1621-261X; Mead, Richard/0000-0002-3207-0068</t>
  </si>
  <si>
    <t>1759-4758</t>
  </si>
  <si>
    <t>1759-4766</t>
  </si>
  <si>
    <t>NAT REV NEUROL</t>
  </si>
  <si>
    <t>Nat. Rev. Neurol.</t>
  </si>
  <si>
    <t>AUG 2020</t>
  </si>
  <si>
    <t>440</t>
  </si>
  <si>
    <t>10.1038/s41582-020-0377-8</t>
  </si>
  <si>
    <t>http://dx.doi.org/10.1038/s41582-020-0377-8</t>
  </si>
  <si>
    <t>MQ9WE</t>
  </si>
  <si>
    <t>32669685</t>
  </si>
  <si>
    <t>WOS:000548827900001</t>
  </si>
  <si>
    <t>Ting, DSW; Peng, L; Varadarajan, AV; Keane, PA; Burlina, PM; Chiang, MF; Schmetterer, L; Pasquale, LR; Bressler, NM; Webster, DR; Abramoff, M; Wong, TY</t>
  </si>
  <si>
    <t>The advent of computer graphic processing units, improvement in mathematical models and availability of big data has allowed artificial intelligence (AI) using machine learning (ML) and deep learning (DL) techniques to achieve robust performance for broad applications in social-media, the intemet of things, the automotive industry and healthcare. DL systems in particular provide improved capability in image, speech and motion recognition as well as in natural language processing. In medicine, significant progress of AI and DL systems has been demonstrated in image-centric specialties such as radiology, dermatology, pathology and ophthalmology. New studies, including pre-registered prospective clinical trials, have shown DL systems are accurate and effective in detecting diabetic retinopathy (DR), glaucoma, age-related macular degeneration (AMD), retinopathy of prematurity, refractive error and in identifying cardiovascular risk factors and diseases, from digital fundus photographs. There is also increasing attention on the use of AI and DL systems in identifying disease features, progression and treatment response for retinal diseases such as neovascular AMD and diabetic macular edema using optical coherence tomography (OCT). Additionally, the application of ML to visual fields may be useful in detecting glaucoma progression. There are limited studies that incorporate clinical data including electronic health records, in AL and DL algorithms, and no prospective studies to demonstrate that AI and DL algorithms can predict the development of clinical eye disease. This article describes global eye disease burden, unmet needs and common conditions of public health importance for which AI and DL systems may be applicable. Technical and clinical aspects to build a DL system to address those needs, and the potential challenges for clinical adoption are discussed. AI, ML and DL will likely play a crucial role in clinical ophthalmology practice, with implications for screening, diagnosis and follow up of the major causes of vision impairment in the setting of ageing populations globally.</t>
  </si>
  <si>
    <t>Ting, Daniel S. W.; Peng, Lily; Varadarajan, Avinash V.; Keane, Pearse A.; Burlina, Philippe M.; Chiang, Michael F.; Schmetterer, Leopold; Pasquale, Louis R.; Bressler, Neil M.; Webster, Dale R.; Abramoff, Michael; Wong, Tien Y.</t>
  </si>
  <si>
    <t>Ting, DSW (corresponding author), Duke NUS Med Sch, Singapore Natl Eye Ctr, 11 Third Hosp Ave, Singapore 168751, Singapore.</t>
  </si>
  <si>
    <t>National Medical Research Council (NMRC), Ministry of Health (MOH), Singapore National Health Innovation Center, Innovation to Develop Grant [NHIC-I2D-1409022]; SingHealth Foundation Research Grant [SHF/FG648S/2015]; Tanoto Foundation; NMRC, MOH [0796/2003, IRGO7nov013, IRGO9nov014, STaR/0003/2008, STaR/2013, CG/SERI/2010]; Biomedical Research Council [08/1/35/19/550, 09/1/35/19/616]; MOH, Singapore [AIC/RPDD/SIDRP/SERI/FY2013/0018, AIC/HPD/FY2016/0912]; National Institute for Health Research [CS-2014-14-023] Funding Source: researchfish</t>
  </si>
  <si>
    <t>National Medical Research Council (NMRC), Ministry of Health (MOH), Singapore National Health Innovation Center, Innovation to Develop Grant (Ministry of Health - Singapore, National Medical Research Council, Singapore); SingHealth Foundation Research Grant (SingHealth); Tanoto Foundation; NMRC, MOH; Biomedical Research Council (Agency for Science Technology &amp; Research (A*STAR)); MOH, Singapore (Ministry of Health - Singapore); National Institute for Health Research (National Institutes of Health Research (NIHR))</t>
  </si>
  <si>
    <t>This project received funding from National Medical Research Council (NMRC) Health Service Research Grant and Large Collaborative Grant (DYNAMO), Ministry of Health (MOH), Singapore National Health Innovation Center, Innovation to Develop Grant (NHIC-I2D-1409022); SingHealth Foundation Research Grant (SHF/FG648S/2015), and the Tanoto Foundation; unrestricted donations to the Retina Division, Johns Hopkins University School of Medicine. For Singapore Epidemiology of Eye Diseases (SEED) study, we received funding from NMRC, MOH (grants 0796/2003, IRGO7nov013, IRGO9nov014, STaR/0003/2008 &amp; STaR/2013; CG/SERI/2010) and Biomedical Research Council (grants 08/1/35/19/550, 09/1/35/19/616). The Singapore Diabetic Retinopathy Program (SiDRP) received funding from the MOH, Singapore (grants AIC/RPDD/SIDRP/SERI/FY2013/0018 &amp; AIC/HPD/FY2016/0912).</t>
  </si>
  <si>
    <t>[Ting, Daniel S. W.; Schmetterer, Leopold; Wong, Tien Y.] Natl Univ Singapore, Duke NUS Med Sch, Singapore Natl Eye Ctr, Singapore Eye Res Inst, Singapore, Singapore; [Peng, Lily; Varadarajan, Avinash V.; Webster, Dale R.] Google AI Healthcare, Mountain View, CA USA; [Keane, Pearse A.] Moorfields Eye Hosp, London, England; [Burlina, Philippe M.; Bressler, Neil M.] Johns Hopkins Univ, Sch Med, Wilmer Eye Inst, Baltimore, MD 21205 USA; [Burlina, Philippe M.] Johns Hopkins Univ, Appl Phys Lab, Baltimore, MD 21218 USA; [Burlina, Philippe M.] Johns Hopkins Univ, Malone Ctr Engn Healthcare, Baltimore, MD USA; [Chiang, Michael F.] Oregon Hlth &amp; Sci Univ, Casey Eye Inst, Dept Ophthalmol &amp; Med Informat, Portland, OR 97201 USA; [Chiang, Michael F.] Oregon Hlth &amp; Sci Univ, Casey Eye Inst, Dept Med Informat &amp; Clin Epidemiol, Portland, OR 97201 USA; [Schmetterer, Leopold] Nanyang Technol Univ, Lee Kong Chian Sch Med, Dept Ophthalmol, Singapore, Singapore; [Schmetterer, Leopold] Med Univ Vienna, Dept Clin Pharmacol, Vienna, Austria; [Schmetterer, Leopold] Med Univ Vienna, Ctr Med Phys &amp; Biomed Engn, Vienna, Austria; [Pasquale, Louis R.] Icahn Sch Med Mt Sinai, Dept Ophthalmol, New York, NY 10029 USA; [Abramoff, Michael] Univ Iowa Hlth Care, Dept Ophthalmol &amp; Visual Sci, Iowa City, IA USA</t>
  </si>
  <si>
    <t>Singapore National Eye Center; National University of Singapore; University of London; University College London; Moorfields Eye Hospital NHS Foundation Trust; Johns Hopkins University; Johns Hopkins Medicine; Johns Hopkins University; Johns Hopkins University Applied Physics Laboratory; Johns Hopkins University; Oregon Health &amp; Science University; Oregon Health &amp; Science University; Nanyang Technological University; Medical University of Vienna; Medical University of Vienna; Icahn School of Medicine at Mount Sinai; University of Iowa</t>
  </si>
  <si>
    <t>Deep learning in ophthalmology: The technical and clinical considerations</t>
  </si>
  <si>
    <t>OPTICAL COHERENCE TOMOGRAPHY; PLUS DISEASE DIAGNOSIS; MACULAR DEGENERATION; DIABETIC-RETINOPATHY; CARDIOVASCULAR-DISEASE; GLOBAL PREVALENCE; HEART-DISEASE; AUTOMATED DETECTION; VISION IMPAIRMENT; IMAGE-ANALYSIS</t>
  </si>
  <si>
    <t>Keane, Pearse/AAE-5709-2019; Schmetterer, Leopold/KIE-1924-2024; Abramoff, Michael/IZP-9416-2023; Ting, Daniel/QOC-0597-2026; Wong, Tien Y/AAC-9724-2020</t>
  </si>
  <si>
    <t>Chiang, Michael/0000-0002-8172-7636; Keane, Pearse/0000-0002-9239-745X; Schmetterer, Leopold/0000-0002-7189-1707; Pasquale, Louis R/0000-0002-5835-3496; Abramoff, Michael/0000-0002-3490-0037; Wong, Tien Y/0000-0002-8448-1264; Bidwai, Pooja Vishal/0000-0002-3077-4395</t>
  </si>
  <si>
    <t>460</t>
  </si>
  <si>
    <t>333</t>
  </si>
  <si>
    <t>100759</t>
  </si>
  <si>
    <t>10.1016/j.preteyeres.2019.04.003</t>
  </si>
  <si>
    <t>http://dx.doi.org/10.1016/j.preteyeres.2019.04.003</t>
  </si>
  <si>
    <t>JB1HL</t>
  </si>
  <si>
    <t>31048019</t>
  </si>
  <si>
    <t>WOS:000488311400001</t>
  </si>
  <si>
    <t>Peiffer-Smadja, N; Rawson, TM; Ahmad, R; Buchard, A; Pantelis, G; Lescure, FX; Birgand, G; Holmes, AH</t>
  </si>
  <si>
    <t>Background: Machine learning (ML) is a growing field in medicine. This narrative review describes the current body of literature on ML for clinical decision support in infectious diseases (ID).Objectives: We aim to inform clinicians about the use of ML for diagnosis, classification, outcome prediction and antimicrobial management in ID.Sources: References for this review were identified through searches of MEDLINE/PubMed, EMBASE, Google Scholar, biorXiv, ACM Digital Library, arXiV and IEEE Xplore Digital Library up to July 2019.Content: We found 60 unique ML-clinical decision support systems (ML-CDSS) aiming to assist ID clinicians. Overall, 37 (62%) focused on bacterial infections, 10 (17%) on viral infections, nine (15%) on tuberculosis and four (7%) on any kind of infection. Among them, 20 (33%) addressed the diagnosis of infection, 18 (30%) the prediction, early detection or stratification of sepsis, 13 (22%) the prediction of treatment response, four (7%) the prediction of antibiotic resistance, three (5%) the choice of antibiotic regimen and two (3%) the choice of a combination antiretroviral therapy. The ML-CDSS were developed for intensive care units (n = 24, 40%), ID consultation (n = 15, 25%), medical or surgical wards (n = 13, 20%), emergency department (n = 4, 7%), primary care (n = 3, 5%) and antimicrobial stewardship (n = 1, 2%). Fifty-three ML-CDSS (88%) were developed using data from high-income countries and seven (12%) with data from low- and middle-income countries (LMIC). The evaluation of ML-CDSS was limited to measures of performance (e.g. sensitivity, specificity) for 57 ML-CDSS (95%) and included data in clinical practice for three (5%). (C) 2019 European Society of Clinical Microbiology and Infectious Diseases. Published by Elsevier Ltd. All rights reserved.</t>
  </si>
  <si>
    <t>Peiffer-Smadja, N.; Rawson, T. M.; Ahmad, R.; Buchard, A.; Pantelis, G.; Lescure, F-X; Birgand, G.; Holmes, A. H.</t>
  </si>
  <si>
    <t>Peiffer-Smadja, N (corresponding author), Imperial Coll London, Natl Inst Hlth Res Hlth Protect Res Unit Healthca, London, England.</t>
  </si>
  <si>
    <t>n.peiffer-smadja@ic.ac.uk</t>
  </si>
  <si>
    <t>Ile-deFrance Regional Health Agency, Paris, France; National Institute for Health Research Health Protection Research Unit (NIHR HPRU) in Healthcare Associated Infection and Antimicrobial Resistance at Imperial College London; Public Health England (PHE); French Association de Chimioth~erapie Anti-Infectieuse (ACAI); National Institutes of Health Research (NIHR) [KMRF-2015-04-007] Funding Source: National Institutes of Health Research (NIHR); Economic and Social Research Council [ES/P008313/1] Funding Source: researchfish; National Institute for Health Research [KMRF-2015-04-007] Funding Source: researchfish; ESRC [ES/P008313/1] Funding Source: UKRI</t>
  </si>
  <si>
    <t>Ile-deFrance Regional Health Agency, Paris, France; National Institute for Health Research Health Protection Research Unit (NIHR HPRU) in Healthcare Associated Infection and Antimicrobial Resistance at Imperial College London; Public Health England (PHE); French Association de Chimioth~erapie Anti-Infectieuse (ACAI); National Institutes of Health Research (NIHR) (National Institutes of Health Research (NIHR)); Economic and Social Research Council (UK Research &amp; Innovation (UKRI), Economic &amp; Social Research Council (ESRC)); National Institute for Health Research (National Institutes of Health Research (NIHR)); ESRC (UK Research &amp; Innovation (UKRI), Economic &amp; Social Research Council (ESRC))</t>
  </si>
  <si>
    <t>The research was funded by a PhD studentship from Ile-deFrance Regional Health Agency, Paris, France to Nathan PeifferSmadja, by a grant from the French Association de Chimiotherapie Anti-Infectieuse (ACAI) to Nathan Peiffer-Smadja and by the National Institute for Health Research Health Protection Research Unit (NIHR HPRU) in Healthcare Associated Infection and Antimicrobial Resistance at Imperial College London in partnership with Public Health England (PHE). The views expressed are those of the author(s) and not necessarily those of the NHS, the NIHR, the Department of Health or Public Health England.</t>
  </si>
  <si>
    <t>[Peiffer-Smadja, N.; Rawson, T. M.; Ahmad, R.; Birgand, G.; Holmes, A. H.] Imperial Coll London, Natl Inst Hlth Res Hlth Protect Res Unit Healthca, London, England; [Peiffer-Smadja, N.; Lescure, F-X] Univ Paris Diderot, French Inst Med Res Inserm, Infect Antimicrobials Modelling Evolut IAME, UMR 1137, Paris, France; [Buchard, A.] Babylon Hlth, London, England; [Pantelis, G.] Imperial Coll, Dept Elect &amp; Elect Engn, London, England; [Lescure, F-X] Bichat Claude Bernard Hosp, AP HP, Infect Dis Dept, Paris, France</t>
  </si>
  <si>
    <t>Imperial College London; Universite Paris Cite; Institut National de la Sante et de la Recherche Medicale (Inserm); Imperial College London; Universite Paris Cite; Assistance Publique Hopitaux Paris (APHP); Hopital Universitaire Bichat-Claude Bernard - APHP</t>
  </si>
  <si>
    <t>Machine learning for clinical decision support in infectious diseases: a narrative review of current applications</t>
  </si>
  <si>
    <t>CLINICAL MICROBIOLOGY AND INFECTION</t>
  </si>
  <si>
    <t>Artificial intelligence; Clinical decision support system; Infectious diseases; Information technology; Machine learning</t>
  </si>
  <si>
    <t>ELECTRONIC MEDICAL-RECORDS; NEURAL-NETWORKS; PREDICTION; HIV; DIAGNOSIS; SYSTEMS; SEPSIS; DRIVEN; INFORMATION; ALGORITHM</t>
  </si>
  <si>
    <t>Rawson, Timothy Miles/AAH-1662-2019; Buchard, Albert/PGT-3435-2026; Birgand, Gabriel/AFV-9595-2022; Ahmad, Raheelah/NNG-4073-2025</t>
  </si>
  <si>
    <t>Peiffer-Smadja, Nathan/0000-0003-1166-1958; Rawson, Timothy Miles/0000-0002-2630-9722; Georgiou, Pantelis/0000-0003-2476-3857; Buchard, Albert/0009-0005-9688-7260; Holmes, Alison/0000-0001-5554-5743; Birgand, Gabriel/0000-0002-5371-2808; Ahmad, Raheelah/0000-0002-4294-7142</t>
  </si>
  <si>
    <t>402</t>
  </si>
  <si>
    <t>472</t>
  </si>
  <si>
    <t>1198-743X</t>
  </si>
  <si>
    <t>1469-0691</t>
  </si>
  <si>
    <t>CLIN MICROBIOL INFEC</t>
  </si>
  <si>
    <t>Clin. Microbiol. Infect.</t>
  </si>
  <si>
    <t>10.1016/j.cmi.2019.09.009</t>
  </si>
  <si>
    <t>http://dx.doi.org/10.1016/j.cmi.2019.09.009</t>
  </si>
  <si>
    <t>Infectious Diseases; Microbiology</t>
  </si>
  <si>
    <t>LM2GF</t>
  </si>
  <si>
    <t>31539636</t>
  </si>
  <si>
    <t>WOS:000532069100011</t>
  </si>
  <si>
    <t>Khanagar, SB; Al-ehaideb, A; Maganur, PC; Vishwanathaiah, S; Patil, S; Baeshen, HA; Sarode, SC; Bhandi, S</t>
  </si>
  <si>
    <t>Background/purpose: Artificial intelligence (AI) has made deep inroads into dentistry in the last few years. The aim of this systematic review was to identify the development of AI applications that are widely employed in dentistry and evaluate their performance in terms of diagnosis, clinical decision-making, and predicting the prognosis of the treatment.Materials and methods: The literature for this paper was identified and selected by perform-ing a thorough search in the electronic data bases like PubMed, Medline, Embase, Cochrane, Google scholar, Scopus, Web of science, and Saudi digital library published over the past two decades (January 2000eMarch 15, 2020).After applying inclusion and exclusion criteria, 43 articles were read in full and critically analyzed. Quality analysis was performed using QUA-DAS-2.Results: AI technologies are widely implemented in a wide range of dentistry specialties. Most of the documented work is focused on AI models that rely on convolutional neural net-works (CNNs) and artificial neural networks (ANNs). These AI models have been used in detec-tion and diagnosis of dental caries, vertical root fractures, apical lesions, salivary gland diseases, maxillary sinusitis, maxillofacial cysts, cervical lymph nodes metastasis, osteopo-rosis, cancerous lesions, alveolar bone loss, predicting orthodontic extractions, need for or-thodontic treatments, cephalometric analysis, age and gender determination.Conclusion: These studies indicate that the performance of an AI based automated system is excellent. They mimic the precision and accuracy of trained specialists, in some studies it was found that these systems were even able to outmatch dental specialists in terms of per-formance and accuracy. (C) 2020 Association for Dental Sciences of the Republic of China. Publishing services by Else-vier B.V.</t>
  </si>
  <si>
    <t>Khanagar, Sanjeev B.; Al-ehaideb, Ali; Maganur, Prabhadevi C.; Vishwanathaiah, Satish; Patil, Shankargouda; Baeshen, Hosam A.; Sarode, Sachin C.; Bhandi, Shilpa</t>
  </si>
  <si>
    <t>Maganur, PC (corresponding author), Jazan Univ, Dept Prevent Dent Sci, Div Pedodont, Coll Dent, Jazan, Saudi Arabia.; Khanagar, SB (corresponding author), King Saud Bin Abdulaziz Univ Hlth Sci, King Abdullah Int Med Res Ctr, Minist Natl Guard Heath Affairs, Prevent Dent Sci Dept,Coll Dent, Riyadh, Saudi Arabia.</t>
  </si>
  <si>
    <t>khanagars@ksau-hs.edu.sa; prabhadevi.maganur@gmail.com</t>
  </si>
  <si>
    <t>[Khanagar, Sanjeev B.; Al-ehaideb, Ali] King Saud Bin Abdulaziz Univ Hlth Sci, Coll Dent, Prevent Dent Sci Dept, Riyadh, Saudi Arabia; [Khanagar, Sanjeev B.; Al-ehaideb, Ali] King Abdullah Int Med Res Ctr, Riyadh, Saudi Arabia; [Al-ehaideb, Ali] Minist Natl Guard Hlth Affairs, King Abdulaziz Med City, Dent Serv, Riyadh, Saudi Arabia; [Maganur, Prabhadevi C.; Vishwanathaiah, Satish] Jazan Univ, Dept Prevent Dent Sci, Div Pedodont, Coll Dent, Jazan, Saudi Arabia; [Patil, Shankargouda] Jazan Univ, Dept Maxillofacial Surg &amp; Diagnost Sci, Div Oral Pathol, Coll Dent, Jazan, Saudi Arabia; [Baeshen, Hosam A.] King Abdulaziz Univ, Coll Dent, Dept Orthodont, Orthodont, Jeddah, Saudi Arabia; [Sarode, Sachin C.] Dr DY Patil Vidyapeeth, Dr DY Patil Dent Coll &amp; Hosp, Dept Oral &amp; Maxillofacial Pathol, Pune 411018, Maharashtra, India; [Bhandi, Shilpa] Jazan Univ, Dept Restorat Dent Sci, Div Operat Dent, Coll Dent, Jazan, Saudi Arabia</t>
  </si>
  <si>
    <t>King Saud Bin Abdulaziz University for Health Sciences; King Saud Bin Abdulaziz University for Health Sciences; King Abdullah International Medical Research Center (KAIMRC); King Saud Bin Abdulaziz University for Health Sciences; King Abdulaziz Medical City - Riyadh; Ministry of National Guard - Health Affairs; Jazan University; Jazan University; King Abdulaziz University; Dr DY Patil Vidyapeeth Pune; Dr D Y Patil Dental College &amp; Hospital; Jazan University</t>
  </si>
  <si>
    <t>Developments, application, and performance of artificial intelligence in dentistry - A systematic review</t>
  </si>
  <si>
    <t>JOURNAL OF DENTAL SCIENCES</t>
  </si>
  <si>
    <t>Artificial intelligence dentistry; Machine learning; Computer-aided diagnosis; Deep learning models; Convolutional neural networks; Artificial neural networks</t>
  </si>
  <si>
    <t>CONVOLUTIONAL NEURAL-NETWORK; DECISION-SUPPORT-SYSTEM; MINOR APICAL FORAMEN; DIAGNOSIS; EXTRACTIONS; GROWTH</t>
  </si>
  <si>
    <t>Patil, Shankargouda/G-5256-2013; vishwanathaiah, satish/AAD-5770-2021; Sarode, Sachin/I-5048-2014</t>
  </si>
  <si>
    <t>Maganur, Prabhadevi Chandrashekara Gowda/0000-0002-0959-2597; vishwanathaiah, satish/0000-0002-8376-297X; Sarode, Sachin/0000-0003-1856-0957; KHANAGAR, SANJEEV/0000-0002-4098-7773</t>
  </si>
  <si>
    <t>401</t>
  </si>
  <si>
    <t>ELSEVIER TAIWAN</t>
  </si>
  <si>
    <t>TAIPEI</t>
  </si>
  <si>
    <t>RM N-412, 4F, CHIA HSIN BUILDING 11, NO 96, ZHONG SHAN N ROAD SEC 2, TAIPEI, 10449, TAIWAN</t>
  </si>
  <si>
    <t>1991-7902</t>
  </si>
  <si>
    <t>2213-8862</t>
  </si>
  <si>
    <t>J DENT SCI</t>
  </si>
  <si>
    <t>J. Dental Sci.</t>
  </si>
  <si>
    <t>10.1016/j.jds.2020.06.019</t>
  </si>
  <si>
    <t>http://dx.doi.org/10.1016/j.jds.2020.06.019</t>
  </si>
  <si>
    <t>Dentistry, Oral Surgery &amp; Medicine</t>
  </si>
  <si>
    <t>PN9FX</t>
  </si>
  <si>
    <t>33384840</t>
  </si>
  <si>
    <t>WOS:000604780000026</t>
  </si>
  <si>
    <t>88</t>
  </si>
  <si>
    <t>Stiglic, G; Kocbek, P; Fijacko, N; Zitnik, M; Verbert, K; Cilar, L</t>
  </si>
  <si>
    <t>There is a need of ensuring that learning (ML) models are interpretable. Higher interpretability of the model means easier comprehension and explanation of future predictions for end-users. Further, interpretable ML models allow healthcare experts to make reasonable and data-driven decisions to provide personalized decisions that can ultimately lead to higher quality of service in healthcare. Generally, we can classify interpretability approaches in two groups where the first focuses on personalized interpretation (local interpretability) while the second summarizes prediction models on a population level (global interpretability). Alternatively, we can group interpretability methods into model-specific techniques, which are designed to interpret predictions generated by a specific model, such as a neural network, and model-agnostic approaches, which provide easy-to-understand explanations of predictions made by any ML model. Here, we give an overview of interpretability approaches using structured data and provide examples of practical interpretability of ML in different areas of healthcare, including prediction of health-related outcomes, optimizing treatments, or improving the efficiency of screening for specific conditions. Further, we outline future directions for interpretable ML and highlight the importance of developing algorithmic solutions that can enable ML driven decision making in high-stakes healthcare problems. This article is categorized under: Application Areas &gt; Health Care</t>
  </si>
  <si>
    <t>Stiglic, Gregor; Kocbek, Primoz; Fijacko, Nino; Zitnik, Marinka; Verbert, Katrien; Cilar, Leona</t>
  </si>
  <si>
    <t>Stiglic, G (corresponding author), Univ Maribor, Fac Hlth Sci, Maribor 2000, Slovenia.</t>
  </si>
  <si>
    <t>gregor.stiglic@um.si</t>
  </si>
  <si>
    <t>Slovenian Research Agency [N2-0101, P2-0057]</t>
  </si>
  <si>
    <t>Slovenian Research Agency (Slovenian Research Agency - Slovenia)</t>
  </si>
  <si>
    <t>Slovenian Research Agency, Grant/Award Numbers: N2-0101, P2-0057</t>
  </si>
  <si>
    <t>[Stiglic, Gregor; Kocbek, Primoz; Fijacko, Nino; Cilar, Leona] Univ Maribor, Fac Hlth Sci, Maribor 2000, Slovenia; [Stiglic, Gregor] Univ Maribor, Fac Elect Engn &amp; Comp Sci, Maribor, Slovenia; [Zitnik, Marinka] Harvard Univ, Dept Biomed Informat, Cambridge, MA 02138 USA; [Verbert, Katrien] Katholieke Univ Leuven, Dept Comp Sci, Leuven, Belgium</t>
  </si>
  <si>
    <t>University of Maribor; University of Maribor; Harvard University; Harvard Medical School; KU Leuven</t>
  </si>
  <si>
    <t>Interpretability of machine learning-based prediction models in healthcare</t>
  </si>
  <si>
    <t>interpretability; machine learning; model agnostic; model specific; prediction models</t>
  </si>
  <si>
    <t>CLASSIFICATION; DECISIONS</t>
  </si>
  <si>
    <t>Stiglic, Gregor/E-5286-2011; verbert, katrien/PCR-8752-2025; Fijačko, Nino/ABI-2409-2020; Kocbek, Primoz/AAB-8365-2020; Cilar Budler, Leona/Z-3371-2019</t>
  </si>
  <si>
    <t>Stiglic, Gregor/0000-0002-0183-8679; verbert, katrien/0000-0001-6699-7710; Cilar Budler, Leona/0000-0002-6842-7751</t>
  </si>
  <si>
    <t>e1379</t>
  </si>
  <si>
    <t>10.1002/widm.1379</t>
  </si>
  <si>
    <t>http://dx.doi.org/10.1002/widm.1379</t>
  </si>
  <si>
    <t>NE7SG</t>
  </si>
  <si>
    <t>WOS:000543919100001</t>
  </si>
  <si>
    <t>Cai, L; Gao, JY; Zhao, D</t>
  </si>
  <si>
    <t>Big medical data mainly include electronic health record data, medical image data, gene information data, etc. Among them, medical image data account for the vast majority of medical data at this stage. How to apply big medical data to clinical practice? This is an issue of great concern to medical and computer researchers, and intelligent imaging and deep learning provide a good answer. This review introduces the application of intelligent imaging and deep learning in the field of big data analysis and early diagnosis of diseases, combining the latest research progress of big data analysis of medical images and the work of our team in the field of big data analysis of medical imagec, especially the classification and segmentation of medical images.</t>
  </si>
  <si>
    <t>Cai, Lei; Gao, Jingyang; Zhao, Di</t>
  </si>
  <si>
    <t>Gao, JY (corresponding author), Beijing Univ Chem Technol, Coll Informat Engn &amp; Technol, 15 East North Third Ring Rd, Beijing, Peoples R China.; Zhao, D (corresponding author), Chinese Acad Sci, Inst Comp Technol, Zhongguancun Acad Sci, 6 South Rd, Beijing, Peoples R China.</t>
  </si>
  <si>
    <t>gaojy@mail.buct.edu.cn; zhaodi@escience.cn</t>
  </si>
  <si>
    <t>[Cai, Lei; Gao, Jingyang] Beijing Univ Chem Technol, Coll Informat Engn &amp; Technol, 15 East North Third Ring Rd, Beijing, Peoples R China; [Zhao, Di] Chinese Acad Sci, Inst Comp Technol, Beijing, Peoples R China</t>
  </si>
  <si>
    <t>Beijing University of Chemical Technology; Chinese Academy of Sciences; Institute of Computing Technology, CAS</t>
  </si>
  <si>
    <t>A review of the application of deep learning in medical image classification and segmentation</t>
  </si>
  <si>
    <t>ANNALS OF TRANSLATIONAL MEDICINE</t>
  </si>
  <si>
    <t>Big medical data; deep learning; classification; segmentation; object detection</t>
  </si>
  <si>
    <t>NETWORK</t>
  </si>
  <si>
    <t>461</t>
  </si>
  <si>
    <t>AME PUBLISHING COMPANY</t>
  </si>
  <si>
    <t>SHATIN</t>
  </si>
  <si>
    <t>FLAT-RM C 16F, KINGS WING PLAZA 1, NO 3 KWAN ST, SHATIN, HONG KONG 00000, PEOPLES R CHINA</t>
  </si>
  <si>
    <t>2305-5839</t>
  </si>
  <si>
    <t>2305-5847</t>
  </si>
  <si>
    <t>ANN TRANSL MED</t>
  </si>
  <si>
    <t>ANN. TRANSL. MED.</t>
  </si>
  <si>
    <t>713</t>
  </si>
  <si>
    <t>10.21037/atm.2020.02.44</t>
  </si>
  <si>
    <t>http://dx.doi.org/10.21037/atm.2020.02.44</t>
  </si>
  <si>
    <t>Oncology; Medicine, Research &amp; Experimental</t>
  </si>
  <si>
    <t>Oncology; Research &amp; Experimental Medicine</t>
  </si>
  <si>
    <t>MA3RJ</t>
  </si>
  <si>
    <t>32617333</t>
  </si>
  <si>
    <t>WOS:000541834200053</t>
  </si>
  <si>
    <t>159</t>
  </si>
  <si>
    <t>Harrer, S; Shah, P; Antony, B; Hu, JY</t>
  </si>
  <si>
    <t>Clinical trials consume the latter half of the 10 to 15 year, 1.5-2.0 billion USD, development cycle for bringing a single new drug to market. Hence, a failed trial sinks not only the investment into the trial itself but also the preclinical development costs, rendering the loss per failed clinical trial at 800 million to 1.4 billion USD. Suboptimal patient cohort selection and recruiting techniques, paired with the inability to monitor patients effectively during trials, are two of the main causes for high trial failure rates: only one of 10 compounds entering a clinical trial reaches the market. We explain how recent advances in artificial intelligence (AI) can be used to reshape key steps of clinical trial design towards increasing trial success rates.</t>
  </si>
  <si>
    <t>Harrer, Stefan; Shah, Pratik; Antony, Bhavna; Hu, Jianying</t>
  </si>
  <si>
    <t>Harrer, S (corresponding author), IBM Res, IBM Res Australia Lab, Melbourne, Vic 3006, Australia.</t>
  </si>
  <si>
    <t>sharrer@au.ibm.com</t>
  </si>
  <si>
    <t>[Harrer, Stefan; Antony, Bhavna] IBM Res, IBM Res Australia Lab, Melbourne, Vic 3006, Australia; [Shah, Pratik] MIT, Media Lab, 77 Massachusetts Ave, Cambridge, MA 02139 USA; [Hu, Jianying] IBM Res, IBM TJ Watson Res Ctr, Yorktown Hts, NY 10598 USA</t>
  </si>
  <si>
    <t>IBM Research - Australia; Massachusetts Institute of Technology (MIT); International Business Machines (IBM); IBM USA</t>
  </si>
  <si>
    <t>Artificial Intelligence for Clinical Trial Design</t>
  </si>
  <si>
    <t>TRENDS IN PHARMACOLOGICAL SCIENCES</t>
  </si>
  <si>
    <t>SEIZURE PREDICTION; IBM WATSON; BIG DATA; SYSTEMS; VALIDATION; SUCCESS; RISK</t>
  </si>
  <si>
    <t>Antony, Bhavna/ABD-1023-2021</t>
  </si>
  <si>
    <t>Harrer, Stefan/0000-0001-7947-330X; Antony, Bhavna/0000-0002-6882-2444</t>
  </si>
  <si>
    <t>0165-6147</t>
  </si>
  <si>
    <t>1873-3735</t>
  </si>
  <si>
    <t>TRENDS PHARMACOL SCI</t>
  </si>
  <si>
    <t>Trends Pharmacol. Sci.</t>
  </si>
  <si>
    <t>AUG 2019</t>
  </si>
  <si>
    <t>577</t>
  </si>
  <si>
    <t>10.1016/j.tips.2019.05.005</t>
  </si>
  <si>
    <t>http://dx.doi.org/10.1016/j.tips.2019.05.005</t>
  </si>
  <si>
    <t>IL0OJ</t>
  </si>
  <si>
    <t>31326235</t>
  </si>
  <si>
    <t>WOS:000476996500008</t>
  </si>
  <si>
    <t>Adir, O; Poley, M; Chen, G; Froim, S; Krinsky, N; Shklover, J; Shainsky-Roitman, J; Lammers, T; Schroeder, A</t>
  </si>
  <si>
    <t>Artificial intelligence (AI) and nanotechnology are two fields that are instrumental in realizing the goal of precision medicine-tailoring the best treatment for each cancer patient. Recent conversion between these two fields is enabling better patient data acquisition and improved design of nanomaterials for precision cancer medicine. Diagnostic nanomaterials are used to assemble a patient-specific disease profile, which is then leveraged, through a set of therapeutic nanotechnologies, to improve the treatment outcome. However, high intratumor and interpatient heterogeneities make the rational design of diagnostic and therapeutic platforms, and analysis of their output, extremely difficult. Integration of AI approaches can bridge this gap, using pattern analysis and classification algorithms for improved diagnostic and therapeutic accuracy. Nanomedicine design also benefits from the application of AI, by optimizing material properties according to predicted interactions with the target drug, biological fluids, immune system, vasculature, and cell membranes, all affecting therapeutic efficacy. Here, fundamental concepts in AI are described and the contributions and promise of nanotechnology coupled with AI to the future of precision cancer medicine are reviewed.</t>
  </si>
  <si>
    <t>Adir, Omer; Poley, Maria; Chen, Gal; Froim, Sahar; Krinsky, Nitzan; Shklover, Jeny; Shainsky-Roitman, Janna; Lammers, Twan; Schroeder, Avi</t>
  </si>
  <si>
    <t>Schroeder, A (corresponding author), Technion Israel Inst Technol, Dept Chem Engn, IL-3200003 Haifa, Israel.</t>
  </si>
  <si>
    <t>avids@technion.ac.il</t>
  </si>
  <si>
    <t>ERC [STG-2015-680242] Funding Source: Medline; European Research Council [680242] Funding Source: Medline; German-Israeli Foundation for Scientific Research and Development [I-2328-1139.10/2012] Funding Source: Medline; Israel Science Foundation [1421/17, 1778/13] Funding Source: Medline; Ministry of Science and Technology, Israel [3-11878] Funding Source: Medline; Technion Integrated Cancer Center Funding Source: Medline; Mallat Family Foundation Funding Source: Medline; Unger Family Fund Funding Source: Medline; FP7 Science in Society [908049] Funding Source: Medline; Lorry I. Lokey Interdisciplinary Center for Life Sciences &amp; Engineering Funding Source: Medline; German-Israeli Foundation for Scientific Research and Development for a GIF Young [I-2328-1139.10/2012] Funding Source: Medline; Russell Berrie Nanotechnology Institute Funding Source: Medline; Ministry of Economy [52752] Funding Source: Medline; Russell Berrie Nanotechnology Institute, Technion-Israel Institute of Technology Funding Source: Medline; Israel Ministry of Science Technology and Space - Office of the Chief Scientist [3-11878] Funding Source: Medline; European Union FP-7 IRG Program for a Career Integration [908049] Funding Source: Medline; Phospholipid Research Center Funding Source: Medline; Israel Cancer Association [2015-0116] Funding Source: Medline; Lorry I. Lokey Interdisciplinary Center for Life Sciences and Engineering, Technion-Israel Institute of Technology Funding Source: Medline; Israel Ministry of Economy for a Kamin [52752] Funding Source: Medline; European Research Council (ERC) [680242] Funding Source: European Research Council (ERC)</t>
  </si>
  <si>
    <t>ERC (European Research Council (ERC)); European Research Council (European Research Council (ERC)); German-Israeli Foundation for Scientific Research and Development (German-Israeli Foundation for Scientific Research and Development); Israel Science Foundation (Israel Science Foundation); Ministry of Science and Technology, Israel (Ministry of Science, Technology and Space (MOST), Israel); Technion Integrated Cancer Center; Mallat Family Foundation; Unger Family Fund; FP7 Science in Society; Lorry I. Lokey Interdisciplinary Center for Life Sciences &amp; Engineering; German-Israeli Foundation for Scientific Research and Development for a GIF Young; Russell Berrie Nanotechnology Institute; Ministry of Economy; Russell Berrie Nanotechnology Institute, Technion-Israel Institute of Technology; Israel Ministry of Science Technology and Space - Office of the Chief Scientist; European Union FP-7 IRG Program for a Career Integration; Phospholipid Research Center; Israel Cancer Association; Lorry I. Lokey Interdisciplinary Center for Life Sciences and Engineering, Technion-Israel Institute of Technology; Israel Ministry of Economy for a Kamin; European Research Council (ERC) (European Research Council (ERC))</t>
  </si>
  <si>
    <t>[Adir, Omer; Poley, Maria; Chen, Gal; Krinsky, Nitzan; Shklover, Jeny; Shainsky-Roitman, Janna; Schroeder, Avi] Technion Israel Inst Technol, Dept Chem Engn, IL-3200003 Haifa, Israel; [Adir, Omer] Technion Israel Inst Technol, Norman Seiden Multidisciplinary Program Nanosci &amp;, IL-32000 Haifa, Israel; [Froim, Sahar] Tel Aviv Univ, Fleischman Fac Engn, Sch Elect Engn, Dept Phys Elect, IL-69978 Tel Aviv, Israel; [Lammers, Twan] RWTH Aachen Univ Hosp, Inst Expt Mol Imaging, D-52074 Aachen, Germany</t>
  </si>
  <si>
    <t>Technion Israel Institute of Technology; Technion Israel Institute of Technology; Tel Aviv University; RWTH Aachen University; RWTH Aachen University Hospital</t>
  </si>
  <si>
    <t>Integrating Artificial Intelligence and Nanotechnology for Precision Cancer Medicine</t>
  </si>
  <si>
    <t>artificial intelligence; big data; cancer; nanotechnology; precision medicine</t>
  </si>
  <si>
    <t>VOLATILE ORGANIC-COMPOUNDS; CIRCULATING TUMOR-CELLS; IN-VIVO; REAL-TIME; SINGLE-MOLECULE; ELECTRONIC-NOSE; LUNG-CANCER; LIPID NANOPARTICLES; ELECTRICAL DETECTION; TRIGGERED RELEASE</t>
  </si>
  <si>
    <t>Lammers, Twan/U-2794-2018</t>
  </si>
  <si>
    <t>Shklover, Jeny/0000-0002-4713-5653; Lammers, Twan/0000-0002-1090-6805; Schroeder, Avi/0000-0003-2571-5937</t>
  </si>
  <si>
    <t>396</t>
  </si>
  <si>
    <t>759</t>
  </si>
  <si>
    <t>1901989</t>
  </si>
  <si>
    <t>10.1002/adma.201901989</t>
  </si>
  <si>
    <t>http://dx.doi.org/10.1002/adma.201901989</t>
  </si>
  <si>
    <t>LB2XE</t>
  </si>
  <si>
    <t>31286573</t>
  </si>
  <si>
    <t>WOS:000524500400006</t>
  </si>
  <si>
    <t>Bahroun, Z; Anane, C; Ahmed, V; Zacca, A</t>
  </si>
  <si>
    <t>In the ever-evolving era of technological advancements, generative artificial intelligence (GAI) emerges as a transformative force, revolutionizing education. This review paper, guided by the PRISMA framework, presents a comprehensive analysis of GAI in education, synthesizing key insights from a selection of 207 research papers to identify research gaps and future directions in the field. This study begins with a content analysis that explores GAI's transformative impact in specific educational domains, including medical education and engineering education. The versatile applications of GAI encompass assessment, personalized learning support, and intelligent tutoring systems. Ethical considerations, interdisciplinary collaboration, and responsible technology use are highlighted, emphasizing the need for transparent GAI models and addressing biases. Subsequently, a bibliometric analysis of GAI in education is conducted, examining prominent AI tools, research focus, geographic distribution, and interdisciplinary collaboration. ChatGPT emerges as a dominant GAI tool, and the analysis reveals significant and exponential growth in GAI research in 2023. Moreover, this paper identifies promising future research directions, such as GAI-enhanced curriculum design and longitudinal studies tracking its long-term impact on learning outcomes. These findings provide a comprehensive understanding of GAI's potential in reshaping education and offer valuable insights to researchers, educators, and policymakers interested in the intersection of GAI and education.</t>
  </si>
  <si>
    <t>Bahroun, Zied; Anane, Chiraz; Ahmed, Vian; Zacca, Andrew</t>
  </si>
  <si>
    <t>Bahroun, Z (corresponding author), Amer Univ Sharjah, Coll Engn, Dept Ind Engn, POB 26666, Sharjah, U Arab Emirates.</t>
  </si>
  <si>
    <t>zbahroun@aus.edu; vahmed@aus.edu; canane@sharjah.ac.ae; b00084411@aus.edu</t>
  </si>
  <si>
    <t>The authors express their gratitude to Melvern Moras, an undergraduate student, for his assistance in conducting the bibliometric analysis.</t>
  </si>
  <si>
    <t>[Bahroun, Zied; Ahmed, Vian; Zacca, Andrew] Amer Univ Sharjah, Coll Engn, Dept Ind Engn, POB 26666, Sharjah, U Arab Emirates; [Anane, Chiraz] Univ Sharjah, Coll Arts Humanities &amp; Social Sci, Dept Foreign Languages, POB 27272, Sharjah, U Arab Emirates</t>
  </si>
  <si>
    <t>American University of Sharjah; University of Sharjah</t>
  </si>
  <si>
    <t>Transforming Education: A Comprehensive Review of Generative Artificial Intelligence in Educational Settings through Bibliometric and Content Analysis</t>
  </si>
  <si>
    <t>education; generative artificial intelligence; educational technology; ChatGPT; ethics; review</t>
  </si>
  <si>
    <t>LANGUAGE MODELS; CHATGPT; AI; OPPORTUNITIES; THREATS; GPT-4</t>
  </si>
  <si>
    <t>Bahroun, Zied/F-6863-2019</t>
  </si>
  <si>
    <t>Bahroun, Zied/0000-0003-2832-3672</t>
  </si>
  <si>
    <t>154</t>
  </si>
  <si>
    <t>395</t>
  </si>
  <si>
    <t>1316</t>
  </si>
  <si>
    <t>12983</t>
  </si>
  <si>
    <t>10.3390/su151712983</t>
  </si>
  <si>
    <t>http://dx.doi.org/10.3390/su151712983</t>
  </si>
  <si>
    <t>R1HS3</t>
  </si>
  <si>
    <t>WOS:001061927300001</t>
  </si>
  <si>
    <t>Cajal, SRY; Sesé, M; Capdevila, C; Aasen, T; De Mattos-Arruda, L; Diaz-Cano, SJ; Hernández-Losa, J; Castellví, J</t>
  </si>
  <si>
    <t>In this review, we highlight the role of intratumoral heterogeneity, focusing on the clinical and biological ramifications this phenomenon poses. Intratumoral heterogeneity arises through complex genetic, epigenetic, and protein modifications that drive phenotypic selection in response to environmental pressures. Functionally, heterogeneity provides tumors with significant adaptability. This ranges from mutual beneficial cooperation between cells, which nurture features such as growth and metastasis, to the narrow escape and survival of clonal cell populations that have adapted to thrive under specific conditions such as hypoxia or chemotherapy. These dynamic intercellular interplays are guided by a Darwinian selection landscape between clonal tumor cell populations and the tumor microenvironment. Understanding the involved drivers and functional consequences of such tumor heterogeneity is challenging but also promises to provide novel insight needed to confront the problem of therapeutic resistance in tumors.</t>
  </si>
  <si>
    <t>Ramon y Cajal, Santiago; Sese, Marta; Capdevila, Claudia; Aasen, Trond; De Mattos-Arruda, Leticia; Diaz-Cano, Salvador J.; Hernandez-Losa, Javier; Castellvi, Josep</t>
  </si>
  <si>
    <t>Cajal, SRY (corresponding author), Univ Autonoma Barcelona, Vall dHebron Inst Res VHIR, Translat Mol Pathol, Passeig Vall dHebron 119-129, Barcelona 08035, Spain.; Cajal, SRY (corresponding author), Vall dHebron Hosp, Dept Pathol, Passeig Vall dHebron 119-129, Barcelona 08035, Spain.; Cajal, SRY (corresponding author), Spanish Biomed Res Network Ctr Oncol CIBERONC, Barcelona, Spain.; Cajal, SRY (corresponding author), Autonomous Univ Barcelona, Vall dHebron Univ Hosp, Dept Pathol, Pg Vall dHebron 119-129, Barcelona 08035, Spain.</t>
  </si>
  <si>
    <t>jahernan@vhebron.net; trond.aasen@vhir.org; sdiaz-cano@nhs.net; marta.sese@vhir.org; ldemattos@vhio.net; jocastellvi@vhebron.net; sramon@vhebron.net; cc4107@cumc.columbia.edu</t>
  </si>
  <si>
    <t>Fondo de Investigaciones Sanitarias [PI14/01320, PI17/02247]; Redes Tematicas de Investigacion Cooperativa en Salud [RD12/0036/0057]; CIBERONC [CB16/12/00363]; Generalitat de Catalunya (AGAUR) [2017 SGR 1799, 2014 SGR 1131]; Instituto de Salud Carlos III [PI16/00772, CPII16/00042]; European Regional Development Fund (ERDF)</t>
  </si>
  <si>
    <t>Fondo de Investigaciones Sanitarias (Instituto de Salud Carlos III, Spanish Government); Redes Tematicas de Investigacion Cooperativa en Salud; CIBERONC; Generalitat de Catalunya (AGAUR) (Agencia de Gestio D'Ajuts Universitaris de Recerca Agaur (AGAUR), Generalitat de Catalunya); Instituto de Salud Carlos III (Instituto de Salud Carlos III, Spanish Government); European Regional Development Fund (ERDF) (European Union (EU))</t>
  </si>
  <si>
    <t>SRYC received support from Fondo de Investigaciones Sanitarias (PI14/01320 and PI17/02247), Redes Tematicas de Investigacion Cooperativa en Salud (RD12/0036/0057), CIBERONC (CB16/12/00363), and Generalitat de Catalunya (AGAUR, 2017 SGR 1799 and 2014 SGR 1131). TA received support from Instituto de Salud Carlos III (grants PI16/00772 and CPII16/00042), co-financed by the European Regional Development Fund (ERDF).</t>
  </si>
  <si>
    <t>[Ramon y Cajal, Santiago; Sese, Marta; Capdevila, Claudia; Aasen, Trond; Hernandez-Losa, Javier; Castellvi, Josep] Univ Autonoma Barcelona, Vall dHebron Inst Res VHIR, Translat Mol Pathol, Passeig Vall dHebron 119-129, Barcelona 08035, Spain; [Ramon y Cajal, Santiago; Hernandez-Losa, Javier; Castellvi, Josep] Vall dHebron Hosp, Dept Pathol, Passeig Vall dHebron 119-129, Barcelona 08035, Spain; [Ramon y Cajal, Santiago; Sese, Marta; Aasen, Trond; Hernandez-Losa, Javier; Castellvi, Josep] Spanish Biomed Res Network Ctr Oncol CIBERONC, Barcelona, Spain; [Ramon y Cajal, Santiago] Autonomous Univ Barcelona, Vall dHebron Univ Hosp, Dept Pathol, Pg Vall dHebron 119-129, Barcelona 08035, Spain; [Capdevila, Claudia] Columbia Univ, Med Ctr, Dept Genet &amp; Dev, New York, NY 10032 USA; [De Mattos-Arruda, Leticia] Vall dHebron Univ Hosp, Vall dHebron Inst Oncol, C Natzaret 115-117, Barcelona 08035, Spain; [Diaz-Cano, Salvador J.] Kings Coll Hosp London, Dept Histopathol, London, England; [Diaz-Cano, Salvador J.] Kings Hlth Partners, London, England</t>
  </si>
  <si>
    <t>Hospital Universitari Vall d'Hebron; Autonomous University of Barcelona; Vall d'Hebron Institut de Recerca (VHIR); Hospital Universitari Vall d'Hebron; CIBER - Centro de Investigacion Biomedica en Red; CIBERONC; Hospital Universitari Vall d'Hebron; Autonomous University of Barcelona; Columbia University; Vall d'Hebron Institut d'Oncologia (VHIO); Hospital Universitari Vall d'Hebron; King's College Hospital NHS Foundation Trust; King's College Hospital; University of London; King's College London</t>
  </si>
  <si>
    <t>Clinical implications of intratumor heterogeneity: challenges and opportunities</t>
  </si>
  <si>
    <t>JOURNAL OF MOLECULAR MEDICINE-JMM</t>
  </si>
  <si>
    <t>Intratumor heterogeneity; Liquid biopsy; Artificial intelligence; Antitumor therapeutics</t>
  </si>
  <si>
    <t>CIRCULATING TUMOR DNA; SOMATIC DOWN-REGULATION; BREAST-CANCER; GENE-EXPRESSION; LUNG-CANCER; 4E-BINDING PROTEIN-1; CLONAL EVOLUTION; LIQUID BIOPSIES; POOR-PROGNOSIS; PAN-CANCER</t>
  </si>
  <si>
    <t>Aasen, Trond/B-5279-2013; Castellvi, Josep/C-5092-2014; Ramon y Cajal, Santiago/H-4955-2016; Sese, Marta/AAH-9749-2021; Diaz-Cano, Salvador J/B-5256-2008; Hernandez-Losa, Javier/C-1173-2008</t>
  </si>
  <si>
    <t>Aasen, Trond/0000-0003-0763-2695; Castellvi, Josep/0000-0001-5745-9996; De Mattos-Arruda, Leticia/0000-0002-4992-3645; Ramon y Cajal, Santiago/0000-0002-3867-1390; Sese, Marta/0000-0003-1473-4833; Diaz-Cano, Salvador J/0000-0003-1245-2859; Hernandez-Losa, Javier/0000-0003-1526-3201</t>
  </si>
  <si>
    <t>SPRINGER HEIDELBERG</t>
  </si>
  <si>
    <t>HEIDELBERG</t>
  </si>
  <si>
    <t>TIERGARTENSTRASSE 17, D-69121 HEIDELBERG, GERMANY</t>
  </si>
  <si>
    <t>0946-2716</t>
  </si>
  <si>
    <t>1432-1440</t>
  </si>
  <si>
    <t>J MOL MED</t>
  </si>
  <si>
    <t>J. Mol. Med.</t>
  </si>
  <si>
    <t>10.1007/s00109-020-01874-2</t>
  </si>
  <si>
    <t>http://dx.doi.org/10.1007/s00109-020-01874-2</t>
  </si>
  <si>
    <t>Genetics &amp; Heredity; Medicine, Research &amp; Experimental</t>
  </si>
  <si>
    <t>Genetics &amp; Heredity; Research &amp; Experimental Medicine</t>
  </si>
  <si>
    <t>KJ1AV</t>
  </si>
  <si>
    <t>31970428</t>
  </si>
  <si>
    <t>WOS:000508697200001</t>
  </si>
  <si>
    <t>Mazurowski, MA; Buda, M; Saha, A; Bashir, MR</t>
  </si>
  <si>
    <t>Deep learning is a branch of artificial intelligence where networks of simple interconnected units are used to extract patterns from data in order to solve complex problems. Deep-learning algorithms have shown groundbreaking performance in a variety of sophisticated tasks, especially those related to images. They have often matched or exceeded human performance. Since the medical field of radiology mainly relies on extracting useful information from images, it is a very natural application area for deep learning, and research in this area has rapidly grown in recent years. In this article, we discuss the general context of radiology and opportunities for application of deep-learning algorithms. We also introduce basic concepts of deep learning, including convolutional neural networks. Then, we present a survey of the research in deep learning applied to radiology. We organize the studies by the types of specific tasks that they attempt to solve and review a broad range of deep-learning algorithms being utilized. Finally, we briefly discuss opportunities and challenges for incorporating deep learning in the radiology practice of the future.</t>
  </si>
  <si>
    <t>Mazurowski, Maciej A.; Buda, Mateusz; Saha, Ashirbani; Bashir, Mustafa R.</t>
  </si>
  <si>
    <t>Mazurowski, MA (corresponding author), Duke Univ, Med Ctr, Dept Radiol, 2424 Erwin Rd,Suite 302, Durham, NC 27705 USA.</t>
  </si>
  <si>
    <t>maciej.mazurowski@duke.edu</t>
  </si>
  <si>
    <t>National Institutes of Biomedical Imaging and Bioengineering [5 R01 EB021360]</t>
  </si>
  <si>
    <t>National Institutes of Biomedical Imaging and Bioengineering (United States Department of Health &amp; Human Services, National Institutes of Health (NIH) - USA, NIH National Institute of Biomedical Imaging &amp; Bioengineering (NIBIB))</t>
  </si>
  <si>
    <t>Contract grant sponsor: National Institutes of Biomedical Imaging and Bioengineering; Contract grant number: 5 R01 EB021360.</t>
  </si>
  <si>
    <t>[Mazurowski, Maciej A.; Buda, Mateusz; Saha, Ashirbani; Bashir, Mustafa R.] Duke Univ, Dept Radiol, Durham, NC 27710 USA; [Mazurowski, Maciej A.] Duke Univ, Dept Elect &amp; Comp Engn, Durham, NC USA; [Mazurowski, Maciej A.] Duke Univ, Duke Med Phys Program, Durham, NC USA; [Bashir, Mustafa R.] Duke Univ, Ctr Adv Magnet Resonance Dev, Durham, NC USA</t>
  </si>
  <si>
    <t>Duke University; Duke University; Duke University; Duke University</t>
  </si>
  <si>
    <t>Deep learning in radiology: An overview of the concepts and a survey of the state of the art with focus on MRI</t>
  </si>
  <si>
    <t>JOURNAL OF MAGNETIC RESONANCE IMAGING</t>
  </si>
  <si>
    <t>deep learning; machine learning; artificial intelligence; convolutional neural networks; radiology; medical imaging</t>
  </si>
  <si>
    <t>CONVOLUTIONAL NEURAL-NETWORK; COMPUTER-AIDED DETECTION; BREAST-CANCER; ARTIFICIAL-INTELLIGENCE; ENHANCEMENT DYNAMICS; IMAGE; SEGMENTATION; CT; SURVIVAL; ENSEMBLE</t>
  </si>
  <si>
    <t>Buda, Mateusz/ABE-6686-2021; Mazurowski, Maciej/P-4078-2015; Bashir, Mustafa/P-3428-2015</t>
  </si>
  <si>
    <t>Saha, Ashirbani/0000-0002-7650-1720</t>
  </si>
  <si>
    <t>1053-1807</t>
  </si>
  <si>
    <t>1522-2586</t>
  </si>
  <si>
    <t>J MAGN RESON IMAGING</t>
  </si>
  <si>
    <t>J. Magn. Reson. Imaging</t>
  </si>
  <si>
    <t>939</t>
  </si>
  <si>
    <t>10.1002/jmri.26534</t>
  </si>
  <si>
    <t>http://dx.doi.org/10.1002/jmri.26534</t>
  </si>
  <si>
    <t>HO8UF</t>
  </si>
  <si>
    <t>30575178</t>
  </si>
  <si>
    <t>WOS:000461233600003</t>
  </si>
  <si>
    <t>Begoli, E; Bhattacharya, T; Kusnezov, D</t>
  </si>
  <si>
    <t>Medicine, even from the earliest days of artificial intelligence (AI) research, has been one of the most inspiring and promising domains for the application of AI-based approaches. Equally, it has been one of the more challenging areas to see an effective adoption. There are many reasons for this, primarily the reluctance to delegate decision making to machine intelligence in cases where patient safety is at stake. To address some of these challenges, medical AI, especially in its modern data-rich deep learning guise, needs to develop a principled and formal uncertainty quantification (UQ) discipline, just as we have seen in fields such as nuclear stockpile stewardship and risk management. The data-rich world of AI-based learning and the frequent absence of a well-understood underlying theory poses its own unique challenges to straightforward adoption of UQ. These challenges, while not trivial, also present significant new research opportunities for the development of new theoretical approaches, and for the practical applications of UQ in the area of machine-assisted medical decision making. Understanding prediction system structure and defensibly quantifying uncertainty is possible, and, if done, can significantly benefit both research and practical applications of AI in this critical domain.Arguably one of the most promising as well as critical applications of deep learning is in supporting medical sciences and decision making. It is time to develop methods for systematically quantifying uncertainty underlying deep learning processes, which would lead to increased confidence in practical applicability of these approaches.</t>
  </si>
  <si>
    <t>Begoli, Edmon; Bhattacharya, Tanmoy; Kusnezov, Dimitri</t>
  </si>
  <si>
    <t>Begoli, E (corresponding author), Oak Ridge Natl Lab, Oak Ridge, TN 37830 USA.</t>
  </si>
  <si>
    <t>begolie@ornl.gov</t>
  </si>
  <si>
    <t>UT-Battelle, LLC [DE-AC05-00OR22725]</t>
  </si>
  <si>
    <t>UT-Battelle, LLC</t>
  </si>
  <si>
    <t>This manuscript has been in part co-authored by UT-Battelle, LLC, under contract no. DE-AC05-00OR22725.</t>
  </si>
  <si>
    <t>[Begoli, Edmon] Oak Ridge Natl Lab, Oak Ridge, TN 37830 USA; [Bhattacharya, Tanmoy] Los Alamos Natl Lab, Los Alamos, NM USA; [Kusnezov, Dimitri] US DOE, Washington, DC 20585 USA</t>
  </si>
  <si>
    <t>United States Department of Energy (DOE); Oak Ridge National Laboratory; United States Department of Energy (DOE); Los Alamos National Laboratory; United States Department of Energy (DOE)</t>
  </si>
  <si>
    <t>The need for uncertainty quantification in machine-assisted medical decision making</t>
  </si>
  <si>
    <t>DEEP; CANCER</t>
  </si>
  <si>
    <t>Bhattacharya, Tanmoy/J-8956-2013; Begoli, Edmon/KLY-9238-2024</t>
  </si>
  <si>
    <t>Bhattacharya, Tanmoy/0000-0002-1060-652X; Begoli, Edmon/0000-0002-2173-3663</t>
  </si>
  <si>
    <t>10.1038/s42256-018-0004-1</t>
  </si>
  <si>
    <t>http://dx.doi.org/10.1038/s42256-018-0004-1</t>
  </si>
  <si>
    <t>NK7YE</t>
  </si>
  <si>
    <t>WOS:000566947600008</t>
  </si>
  <si>
    <t>Hassan, C; Spadaccini, M; Iannone, A; Maselli, R; Jovani, M; Chandrasekar, VT; Antonelli, G; Yu, HG; Areia, M; Dinis-Ribeiro, M; Bhandari, P; Sharma, P; Rex, DK; Rösch, T; Wallace, M; Repici, A</t>
  </si>
  <si>
    <t>Background and Aims: One-fourth of colorectal neoplasia are missed at screening colonoscopy, representing the main cause of interval colorectal cancer. Deep learning systems with real-time computer-aided polyp detection (CADe) showed high accuracy in artificial settings, and preliminary randomized controlled trials (RCTs) reported favorable outcomes in the clinical setting. The aim of this meta-analysis was to summarize available RCTs on the performance of CADe systems in colorectal neoplasia detection.Methods: We searched MEDLINE, EMBASE, and Cochrane Central databases until March 2020 for RCTs reporting diagnostic accuracy of CADe systems in the detection of colorectal neoplasia. The primary outcome was pooled adenoma detection rate (ADR), and secondary outcomes were adenoma per colonoscopy (APC) according to size, morphology, and location; advanced APC; polyp detection rate; polyps per colonoscopy; and sessile serrated lesions per colonoscopy. We calculated risk ratios (RRs), performed subgroup and sensitivity analyses, and assessed heterogeneity and publication bias.Results: Overall, 5 randomized controlled trials (4354 patients) were included in the final analysis. Pooled ADR was significantly higher in the CADe group than in the control group (791/2163 [ 36.6%] vs 558/2191 [ 25.2%]; RR, 1.44; 95% confidence interval [CI], 1.27-1.62; P&lt;.01; I-2 = 42%). APC was also higher in the CADe group compared with control (1249/2163 [.58] vs 779/2191 [.36]; RR, 1.70; 95% CI, 1.53-1.89; P &lt; .01; I-2 = 33%). APC was higher for &lt;= 5-mm (RR, 1.69; 95% CI, 1.48-1.84), 6- to 9-mm (RR, 1.44; 95% CI, 1.19-1.75), and &gt;= 10-mm adenomas (RR, 1.46; 95% CI, 1.04-2.06) and for proximal (RR, 1.59; 95% CI, 1.34-1.88), distal (RR, 1.68; 95% CI, 1.50-1.88), flat (RR, 1.78; 95% CI, 1.47-2.15), and polypoid morphology (RR, 1.54; 95% CI, 1.40-1.68). Regarding histology, CADe resulted in a higher sessile serrated lesion per colonoscopy (RR, 1.52; 95% CI, 1.14-2.02), whereas a nonsignificant trend for advanced ADR was found (RR, 1.35; 95% CI,.74-2.47; P = .33; I-2 = 69%). Level of evidence for RCTs was graded as moderate.Conclusions: According to available evidence, the incorporation of artificial intelligence as aid for detection of colorectal neoplasia results in a significant increase in the detection of colorectal neoplasia, and such effect is independent from main adenoma characteristics.</t>
  </si>
  <si>
    <t>Hassan, Cesare; Spadaccini, Marco; Iannone, Andrea; Maselli, Roberta; Jovani, Manol; Chandrasekar, Viveksandeep Thoguluva; Antonelli, Giulio; Yu, Honggang; Areia, Miguel; Dinis-Ribeiro, Mario; Bhandari, Pradeep; Sharma, Prateek; Rex, Douglas K.; Roesch, Thomas; Wallace, Michael; Repici, Alessandro</t>
  </si>
  <si>
    <t>Spadaccini, M (corresponding author), Humanitas Res Hosp &amp; Univ, Via Manzoni 56, I-20089 Milan, Italy.</t>
  </si>
  <si>
    <t>marco.spadaccini@humanitas.it</t>
  </si>
  <si>
    <t>[Hassan, Cesare; Antonelli, Giulio] Nuovo Regina Margherita Hosp, Digest Endoscopy Unit, Rome, Italy; [Spadaccini, Marco; Maselli, Roberta; Repici, Alessandro] Humanitas Clin &amp; Res CenterIRCCS, Endoscopy Unit, Rozzano, Italy; [Spadaccini, Marco; Repici, Alessandro] Humanitas Univ, Dept Biomed Sci, Rozzano, Italy; [Iannone, Andrea] Univ Bari, Dept Emergency &amp; Organ Transplantat, Sect Gastroenterol, Bari, Italy; [Jovani, Manol] Johns Hopkins Univ Hosp, Div Gastroenterol &amp; Hepatol, Baltimore, MD 21287 USA; [Jovani, Manol] Harvard Med Sch, Massachusetts Gen Hosp, Div Gastroenterol, Boston, MA 02115 USA; [Chandrasekar, Viveksandeep Thoguluva; Sharma, Prateek] Kansas City VA Med Ctr, Gastroenterol &amp; Hepatol, Kansas City, MO USA; [Yu, Honggang] Wuhan Univ, Dept Gastroenterol, Renmin Hosp, Wuhan, Peoples R China; [Areia, Miguel] Portuguese Oncol Inst Coimbra, Dept Gastroenterol, Coimbra, Portugal; [Dinis-Ribeiro, Mario] Univ Med, Fac Porto, MEDCIDS Dept Community Med Informat &amp; Decis Hlth, Porto, Portugal; [Bhandari, Pradeep] Queen Alexandra Hosp, Dept Gastroenterol, Portsmouth, Hants, England; [Rex, Douglas K.] Indiana Univ Sch Med, Div Gastroenterol Hepatol, Indianapolis, IN 46202 USA; [Roesch, Thomas] Univ Hosp Hamburg Eppendorf, Dept Interdisciplinary Endoscopy, Hamburg, Germany; [Wallace, Michael] Mayo Clin, Dept Gastroenterol, Jacksonville, FL 32224 USA</t>
  </si>
  <si>
    <t>Poliambulatorio Nuovo Regina Margherita; IRCCS Humanitas Research Hospital; Humanitas University; Universita degli Studi di Bari Aldo Moro; Johns Hopkins University; Johns Hopkins Medicine; Harvard University; Harvard Medical School; Harvard University Medical Affiliates; Massachusetts General Hospital; Wuhan University; Universidade de Coimbra; Portsmouth Hospitals NHS Trust; Queen Alexandra Hospital; Indiana University System; Indiana University Bloomington; University of Hamburg; University Medical Center Hamburg-Eppendorf; Mayo Clinic</t>
  </si>
  <si>
    <t>Performance of artificial intelligence in colonoscopy for adenoma and polyp detection: a systematic review and meta-analysis</t>
  </si>
  <si>
    <t>COMPUTER-AIDED DETECTION; RISK</t>
  </si>
  <si>
    <t>Thoguluva Chandrasekar, Viveksandeep/ADB-8314-2022; Dinis-Ribeiro, Mário/A-9248-2010; Repici, Alessandro/HFH-8162-2022; Areia, Miguel/H-9590-2013; Wallace, Michael/GZL-9731-2022; Maselli, Roberta/LFU-9657-2024; hassan, cesare/H-2844-2012; Spadaccini, Marco/HOH-7613-2023</t>
  </si>
  <si>
    <t>Antonelli, Giulio/0000-0003-1797-3864; Dinis-Ribeiro, Mário/0000-0003-0121-6850; Repici, Alessandro/0000-0002-1621-6450; Areia, Miguel/0000-0001-9787-8175; Wallace, Michael/0000-0002-6446-5785; bhandari, pradeep/0000-0002-1241-2083; Maselli, Roberta/0000-0001-7291-9110; hassan, cesare/0000-0001-7167-1459; Spadaccini, Marco/0000-0003-3909-9012</t>
  </si>
  <si>
    <t>10.1016/j.gie.2020.06.059</t>
  </si>
  <si>
    <t>http://dx.doi.org/10.1016/j.gie.2020.06.059</t>
  </si>
  <si>
    <t>PH6VV</t>
  </si>
  <si>
    <t>32598963</t>
  </si>
  <si>
    <t>WOS:000600548600008</t>
  </si>
  <si>
    <t>Adams, SJ; Stone, E; Baldwin, DR; Vliegenthart, R; Lee, P; Fintelmann, FJ</t>
  </si>
  <si>
    <t>Randomised controlled trials, including the National Lung Screening Trial (NLST) and the NELSON trial, have shown reduced mortality with lung cancer screening with low-dose CT compared with chest radiography or no screening. Although research has provided clarity on key issues of lung cancer screening, uncertainty remains about aspects that might be critical to optimise clinical effectiveness and cost-effectiveness. This Review brings together current evidence on lung cancer screening, including an overview of clinical trials, considerations regarding the identification of individuals who benefit from lung cancer screening, management of screen-detected findings, smoking cessation interventions, cost-effectiveness, the role of artificial intelligence and biomarkers, and current challenges, solutions, and oppor tunities surrounding the implementation of lung cancer screening programmes from an international perspective. Further research into risk models for patient selection, personalised screening intervals, novel biomarkers, inte grated cardiovascular disease and chronic obstructive pulmonary disease assessments, smoking cessation inter ventions, and artificial intelligence for lung nodule de tection and risk stratification are key opportunities to increase the efficiency of lung cancer screening and ensure equity of access.</t>
  </si>
  <si>
    <t>Adams, Scott J.; Stone, Emily; Baldwin, David R.; Vliegenthart, Rozemarijn; Lee, Pyng; Fintelmann, Florian J.</t>
  </si>
  <si>
    <t>Adams, SJ (corresponding author), Harvard Med Sch, Massachusetts Gen Hosp, Dept Radiol, Boston, MA 02114 USA.</t>
  </si>
  <si>
    <t>scott.adams@usask.ca</t>
  </si>
  <si>
    <t>[Adams, Scott J.; Fintelmann, Florian J.] Massachusetts Gen Hosp, Dept Radiol, Boston, MA USA; [Adams, Scott J.; Fintelmann, Florian J.] Harvard Med Sch, Boston, MA 02115 USA; [Stone, Emily] Univ New South Wales, Fac Med, Sydney, NSW, Australia; [Stone, Emily] St Vincents Hosp, Dept Lung Transplantat &amp; Thorac Med, Sydney, NSW, Australia; [Baldwin, David R.] Nottingham Univ Hosp NHS Trust, David Evans Res Ctr, Resp Med Unit, Nottingham, England; [Vliegenthart, Rozemarijn] Univ Med Ctr Groningen, Dept Radiol, Groningen, Netherlands; [Lee, Pyng] Natl Univ Singapore Hosp, Div Resp &amp; Crit Care Med, Singapore, Singapore; [Lee, Pyng] Natl Univ Singapore, Singapore, Singapore</t>
  </si>
  <si>
    <t>Harvard University; Harvard University Medical Affiliates; Massachusetts General Hospital; Harvard University; Harvard Medical School; University of New South Wales Sydney; NSW Health; St Vincents Hospital Sydney; Nottingham University Hospital NHS Trust; University of Groningen; National University of Singapore; National University of Singapore</t>
  </si>
  <si>
    <t>Lung cancer screening</t>
  </si>
  <si>
    <t>LANCET</t>
  </si>
  <si>
    <t>LOW-DOSE CT; AIR-FLOW OBSTRUCTION; COMPUTED-TOMOGRAPHY; COST-EFFECTIVENESS; SMOKING-CESSATION; HIGH-RISK; PULMONARY NODULES; INCIDENTAL FINDINGS; NEVER-SMOKERS; PRIMARY-CARE</t>
  </si>
  <si>
    <t>Stone, Emily/AAP-1249-2021</t>
  </si>
  <si>
    <t>Baldwin, David/0000-0001-8410-7160</t>
  </si>
  <si>
    <t>206</t>
  </si>
  <si>
    <t>0140-6736</t>
  </si>
  <si>
    <t>1474-547X</t>
  </si>
  <si>
    <t>Lancet</t>
  </si>
  <si>
    <t>FEB 4 2023</t>
  </si>
  <si>
    <t>10374</t>
  </si>
  <si>
    <t>408</t>
  </si>
  <si>
    <t>10.1016/S0140-6736(22)01694-4</t>
  </si>
  <si>
    <t>http://dx.doi.org/10.1016/S0140-6736(22)01694-4</t>
  </si>
  <si>
    <t>C8XT2</t>
  </si>
  <si>
    <t>36563698</t>
  </si>
  <si>
    <t>WOS:000964691200001</t>
  </si>
  <si>
    <t>Bronze; Green Published; Green Submitted</t>
  </si>
  <si>
    <t>Shen, D; Duley, WW; Peng, P; Xiao, M; Feng, JY; Liu, L; Zou, GS; Zhou, YN</t>
  </si>
  <si>
    <t>The exploration of the utilization of sustainable, green energy represents one way in which it is possible to ameliorate the growing threat of the global environmental issues and the crisis in energy. Moisture, which is ubiquitous on Earth, contains a vast reservoir of low-grade energy in the form of gaseous water molecules and water droplets. It has now been found that a number of functionalized materials can generate electricity directly from their interaction with moisture. This suggests that electrical energy can be harvested from atmospheric moisture and enables the creation of a new range of self-powered devices. Herein, the basic mechanisms of moisture-induced electricity generation are discussed, the recent advances in materials (including carbon nanoparticles, graphene materials, metal oxide nanomaterials, biofibers, and polymers) for harvesting electrical energy from moisture are summarized, and some strategies for improving energy conversion efficiency and output power in these devices are provided. The potential applications of moisture electrical generators in self-powered electronics, healthcare, security, information storage, artificial intelligence, and Internet-of-things are also discussed. Some remaining challenges are also considered, together with a number of suggestions for potential new developments of this emerging technology.</t>
  </si>
  <si>
    <t>Shen, Daozhi; Duley, Walter W.; Peng, Peng; Xiao, Ming; Feng, Jiayun; Liu, Lei; Zou, Guisheng; Zhou, Y. Norman</t>
  </si>
  <si>
    <t>Shen, D (corresponding author), Univ Waterloo, Inst Quantum Comp, Dept Chem, Ctr Adv Mat Joining, Waterloo, ON N2L 3G1, Canada.; Zhou, YN (corresponding author), Univ Waterloo, Waterloo Inst Nanotechnol, Dept Mech &amp; Mechatron Engn, Ctr Adv Mat Joining, Waterloo, ON N2L 3G1, Canada.</t>
  </si>
  <si>
    <t>daozhi.shen@uwaterloo.ca; nzhou@uwaterloo.ca</t>
  </si>
  <si>
    <t>Natural Science and Engineering Research Council (NSERC) of Canada; Canada Research Chairs Program</t>
  </si>
  <si>
    <t>Natural Science and Engineering Research Council (NSERC) of Canada (Natural Sciences and Engineering Research Council of Canada (NSERC)); Canada Research Chairs Program (Canada Research Chairs)</t>
  </si>
  <si>
    <t>This work was supported by the Natural Science and Engineering Research Council (NSERC) of Canada and Canada Research Chairs Program.</t>
  </si>
  <si>
    <t>[Shen, Daozhi] Univ Waterloo, Inst Quantum Comp, Dept Chem, Ctr Adv Mat Joining, Waterloo, ON N2L 3G1, Canada; [Duley, Walter W.] Univ Waterloo, Dept Phys &amp; Astron, Waterloo, ON N2L 3G1, Canada; [Peng, Peng] Beihang Univ, Sch Mech Engn &amp; Automat, Beijing 100191, Peoples R China; [Xiao, Ming; Feng, Jiayun; Zhou, Y. Norman] Univ Waterloo, Waterloo Inst Nanotechnol, Dept Mech &amp; Mechatron Engn, Ctr Adv Mat Joining, Waterloo, ON N2L 3G1, Canada; [Liu, Lei; Zou, Guisheng] Tsinghua Univ, State Key Lab Tribol, Beijing 100084, Peoples R China</t>
  </si>
  <si>
    <t>University of Waterloo; University of Waterloo; Beihang University; University of Waterloo; Tsinghua University</t>
  </si>
  <si>
    <t>Moisture-Enabled Electricity Generation: From Physics and Materials to Self-Powered Applications</t>
  </si>
  <si>
    <t>hydroelectricity; moisture; nanogenerators; self‐; powered systems; water–; solid contact</t>
  </si>
  <si>
    <t>FLUORESCENT CARBON NANOPARTICLES; GRAPHENE OXIDE; STREAMING CURRENT; TRIBOELECTRIC-NANOGENERATOR; POLYMERIC BIOMATERIALS; MICRO-SUPERCAPACITORS; WATER-EVAPORATION; SCHOTTKY-BARRIER; PROTON-TRANSFER; HEALTH-CARE</t>
  </si>
  <si>
    <t>/HPF-2349-2023; Shen, Daozhi/AAC-2797-2022; Duley, Walter/GRF-1771-2022; Liu, Lei/P-5394-2014</t>
  </si>
  <si>
    <t>Shen, Daozhi/0000-0002-5426-4357; Xiao, Ming/0000-0003-2018-4807; Zhou, Y Norman/0000-0003-2886-0259</t>
  </si>
  <si>
    <t>419</t>
  </si>
  <si>
    <t>923</t>
  </si>
  <si>
    <t>2003722</t>
  </si>
  <si>
    <t>10.1002/adma.202003722</t>
  </si>
  <si>
    <t>http://dx.doi.org/10.1002/adma.202003722</t>
  </si>
  <si>
    <t>PM2UA</t>
  </si>
  <si>
    <t>33185944</t>
  </si>
  <si>
    <t>WOS:000588810800001</t>
  </si>
  <si>
    <t>Car, LT; Dhinagaran, DA; Kyaw, BM; Kowatsch, T; Joty, S; Theng, YL; Atun, R</t>
  </si>
  <si>
    <t>Background: Conversational agents, also known as chatbots, are computer programs designed to simulate human text or verbal conversations. They are increasingly used in a range of fields, including health care. By enabling better accessibility, personalization, and efficiency, conversational agents have the potential to improve patient care.Objective: This study aimed to review the current applications, gaps, and challenges in the literature on conversational agents in health care and provide recommendations for their future research, design, and application.Methods: We performed a scoping review. A broad literature search was performed in MEDLINE (Medical Literature Analysis and Retrieval System Online; Ovid), EMBASE (Excerpta Medica database; Ovid), PubMed, Scopus, and Cochrane Central with the search terms "conversational agents," "conversational AI," "chatbots," and associated synonyms. We also searched the gray literature using sources such as the OCLC (Online Computer Library Center) WorldCat database and ResearchGate in April 2019. Reference lists of relevant articles were checked for further articles. Screening and data extraction were performed in parallel by 2 reviewers. The included evidence was analyzed narratively by employing the principles of thematic analysis.Results: The literature search yielded 47 study reports (45 articles and 2 ongoing clinical trials) that matched the inclusion criteria. The identified conversational agents were largely delivered via smartphone apps (n=23) and used free text only as the main input (n=19) and output (n=30) modality. Case studies describing chatbot development (n=18) were the most prevalent, and only 11 randomized controlled trials were identified. The 3 most commonly reported conversational agent applications in the literature were treatment and monitoring, health care service support, and patient education.Conclusions: The literature on conversational agents in health care is largely descriptive and aimed at treatment and monitoring and health service support. It mostly reports on text-based, artificial intelligence-driven, and smartphone app-delivered conversational agents. There is an urgent need for a robust evaluation of diverse health care conversational agents' formats, focusing on their acceptability, safety, and effectiveness.</t>
  </si>
  <si>
    <t>Car, Lorainne Tudor; Dhinagaran, Dhakshenya Ardhithy; Kyaw, Bhone Myint; Kowatsch, Tobias; Joty, Shafiq; Theng, Yin-Leng; Atun, Rifat</t>
  </si>
  <si>
    <t>Car, LT (corresponding author), Nanyang Technol Univ Singapore, Lee Kong Chian Sch Med, Family Med &amp; Primary Care, 11 Mandalay Rd, Singapore, Singapore.</t>
  </si>
  <si>
    <t>lorainne.tudor.car@ntu.edu.sg</t>
  </si>
  <si>
    <t>Ageing Research Institute for Society and Education (ARISE), Nanyang Technological University, Singapore; National Research Foundation, Prime Minister's Office, Singapore under its Campus for Research Excellence and Technological Enterprise (CREATE) program</t>
  </si>
  <si>
    <t>Ageing Research Institute for Society and Education (ARISE), Nanyang Technological University, Singapore (Nanyang Technological University); National Research Foundation, Prime Minister's Office, Singapore under its Campus for Research Excellence and Technological Enterprise (CREATE) program (National Research Foundation, Singapore)</t>
  </si>
  <si>
    <t>This research is supported by the Ageing Research Institute for Society and Education (ARISE), Nanyang Technological University, Singapore. This study is also supported by the National Research Foundation, Prime Minister's Office, Singapore under its Campus for Research Excellence and Technological Enterprise (CREATE) program.</t>
  </si>
  <si>
    <t>[Car, Lorainne Tudor; Dhinagaran, Dhakshenya Ardhithy; Kyaw, Bhone Myint] Nanyang Technol Univ Singapore, Lee Kong Chian Sch Med, Family Med &amp; Primary Care, 11 Mandalay Rd, Singapore, Singapore; [Car, Lorainne Tudor] Imperial Coll London, Sch Publ Hlth, Dept Primary Care &amp; Publ Hlth, London, England; [Kowatsch, Tobias] Singapore ETH Ctr, Future Hlth Technol Programme, Campus Res Excellence &amp; Technol Enterprise Create, Singapore, Singapore; [Kowatsch, Tobias] Swiss Fed Inst Technol, Dept Management Technol &amp; Econ, Ctr Digital Hlth Intervent, Zurich, Switzerland; [Kowatsch, Tobias] Univ St Gallen, Inst Technol Management, Ctr Digital Hlth Intervent, St Gallen, Switzerland; [Joty, Shafiq] Nanyang Technol Univ Singapore, Sch Comp Sci &amp; Engn, Singapore, Singapore; [Theng, Yin-Leng] Nanyang Technol Univ, Ctr Hlth &amp; Sustainable Cities, Singapore, Singapore; [Atun, Rifat] Harvard Univ, Harvard TH Chan Sch Publ Hlth, Dept Global Hlth &amp; Populat, Boston, MA 02115 USA</t>
  </si>
  <si>
    <t>Nanyang Technological University; Imperial College London; Swiss Federal Institutes of Technology Domain; ETH Zurich; University of St Gallen; Nanyang Technological University; Nanyang Technological University; Harvard University; Harvard T.H. Chan School of Public Health</t>
  </si>
  <si>
    <t>Conversational Agents in Health Care: Scoping Review and Conceptual Analysis</t>
  </si>
  <si>
    <t>JOURNAL OF MEDICAL INTERNET RESEARCH</t>
  </si>
  <si>
    <t>conversational agents; chatbots; artificial intelligence; machine learning; mobile phone; health care; scoping review</t>
  </si>
  <si>
    <t>MENTAL-HEALTH; INTERVENTION; COMPUTER; ADOLESCENTS; SYSTEM; TRIAL; INFORMATION; TECHNOLOGY; MANAGEMENT; PATIENT</t>
  </si>
  <si>
    <t>Atun, Rifat/AAH-5537-2021; Kyaw, Bhone Myint/MBI-1432-2025; Tudor Car, Lorainne/E-1205-2017</t>
  </si>
  <si>
    <t>Dhinagaran, Dhakshenya Ardhithy/0000-0003-0629-5199; Atun, Rifat/0000-0002-1531-5983; Kyaw, Bhone Myint/0000-0002-1750-0330; Theng, Yin-Leng/0000-0003-2351-8884; Tudor Car, Lorainne/0000-0001-8414-7664; Kowatsch, Tobias/0000-0001-5939-4145</t>
  </si>
  <si>
    <t>384</t>
  </si>
  <si>
    <t>442</t>
  </si>
  <si>
    <t>JMIR PUBLICATIONS, INC</t>
  </si>
  <si>
    <t>TORONTO</t>
  </si>
  <si>
    <t>130 QUEENS QUAY East, Unit 1100, TORONTO, ON M5A 0P6, CANADA</t>
  </si>
  <si>
    <t>1439-4456</t>
  </si>
  <si>
    <t>1438-8871</t>
  </si>
  <si>
    <t>J MED INTERNET RES</t>
  </si>
  <si>
    <t>J. Med. Internet Res.</t>
  </si>
  <si>
    <t>AUG 7 2020</t>
  </si>
  <si>
    <t>e17158</t>
  </si>
  <si>
    <t>10.2196/17158</t>
  </si>
  <si>
    <t>http://dx.doi.org/10.2196/17158</t>
  </si>
  <si>
    <t>NW5NM</t>
  </si>
  <si>
    <t>32763886</t>
  </si>
  <si>
    <t>WOS:000575058600004</t>
  </si>
  <si>
    <t>Rhif, M; Ben Abbes, A; Farah, IR; Martínez, B; Sang, YF</t>
  </si>
  <si>
    <t>Non-stationary time series (TS) analysis has gained an explosive interest over the recent decades in different applied sciences. In fact, several decomposition methods were developed in order to extract various components (e.g., seasonal, trend and abrupt components) from the non-stationary TS, which allows for an improved interpretation of the temporal variability. The wavelet transform (WT) has been successfully applied over an extraordinary range of fields in order to decompose the non-stationary TS into time-frequency domain. For this reason, the WT method is briefly introduced and reviewed in this paper. In addition, this latter includes different research and applications of the WT to non-stationary TS in seven different applied sciences fields, namely the geo-sciences and geophysics, remote sensing in vegetation analysis, engineering, hydrology, finance, medicine, and other fields, such as ecology, renewable energy, chemistry and history. Finally, five challenges and future works, such as the selection of the type of wavelet, selection of the adequate mother wavelet, selection of the scale, the combination between wavelet transform and machine learning algorithm and the interpretation of the obtained components, are also discussed.</t>
  </si>
  <si>
    <t>Rhif, Manel; Ben Abbes, Ali; Farah, Imed Riadh; Martinez, Beatriz; Sang, Yanfang</t>
  </si>
  <si>
    <t>Rhif, M (corresponding author), Ecole Natl Sci Informat, Lab RIADI, La Manouba 2010, Tunisia.; Sang, YF (corresponding author), Chinese Acad Sci, Inst Geog Sci &amp; Nat Resources Res, Lab Water Cycle &amp; Related Land Surface Proc, Beijing 100101, Peoples R China.</t>
  </si>
  <si>
    <t>riadh.farah@ensi.rnu.tn; Beatriz.Martinez@uv.es; ali.ben.abbes@usherbrooke.ca; sangyf@igsnrr.ac.cn; manel.rhif@ensi-uma.tn</t>
  </si>
  <si>
    <t>National Key Research and Development Program [2017YFA0603702]; National Natural Science Foundation of China [91647110]; Youth Innovation Promotion Association CAS [2017074]</t>
  </si>
  <si>
    <t>National Key Research and Development Program (National Key Research &amp; Development Program of China); National Natural Science Foundation of China (National Natural Science Foundation of China (NSFC)); Youth Innovation Promotion Association CAS</t>
  </si>
  <si>
    <t>This study was financially supported by the National Key Research and Development Program (No. 2017YFA0603702), the National Natural Science Foundation of China (No. 91647110), and the Youth Innovation Promotion Association CAS (No. 2017074).</t>
  </si>
  <si>
    <t>[Rhif, Manel; Ben Abbes, Ali; Farah, Imed Riadh] Ecole Natl Sci Informat, Lab RIADI, La Manouba 2010, Tunisia; [Ben Abbes, Ali] Univ Sherbrooke, Ctr Applicat &amp; Rech Teledetect CARTEL, Sherbrooke, PQ J1K 2R1, Canada; [Farah, Imed Riadh] IMT Atlantique, Lab ITI Dept, F-29238 Brest, France; [Martinez, Beatriz] Univ Valencia, Dept Fis Terra &amp; Termodinam, E-46100 Valencia, Spain; [Sang, Yanfang] Chinese Acad Sci, Inst Geog Sci &amp; Nat Resources Res, Lab Water Cycle &amp; Related Land Surface Proc, Beijing 100101, Peoples R China</t>
  </si>
  <si>
    <t>Universite de la Manouba; University of Sherbrooke; IMT - Institut Mines-Telecom; IMT Atlantique; University of Valencia; Chinese Academy of Sciences; Institute of Geographic Sciences &amp; Natural Resources Research, CAS</t>
  </si>
  <si>
    <t>Wavelet Transform Application for/in Non-Stationary Time-Series Analysis: A Review</t>
  </si>
  <si>
    <t>wavelet transform; non stationary; time series; time-frequency; decomposition; applied sciences</t>
  </si>
  <si>
    <t>DECOMPOSITION; INFORMATION; EXTRACTION; RETURNS; MARKETS; NOISE; ECG</t>
  </si>
  <si>
    <t>farah, imed riadh/AAL-7809-2021; Sang, Yan-Fang/I-8277-2016; MARTINEZ, BEATRIZ/F-7800-2016</t>
  </si>
  <si>
    <t>farah, imed riadh/0000-0001-9114-5659; Sang, Yan-Fang/0000-0001-6770-9311; Ben Abbes, Ali/0000-0001-5714-7562; Rhif, Manel/0000-0002-7470-1788; MARTINEZ, BEATRIZ/0000-0002-6354-9899</t>
  </si>
  <si>
    <t>273</t>
  </si>
  <si>
    <t>APR 1 2019</t>
  </si>
  <si>
    <t>1345</t>
  </si>
  <si>
    <t>10.3390/app9071345</t>
  </si>
  <si>
    <t>http://dx.doi.org/10.3390/app9071345</t>
  </si>
  <si>
    <t>HW2VN</t>
  </si>
  <si>
    <t>WOS:000466547500080</t>
  </si>
  <si>
    <t>Nazer, LH; Zatarah, R; Waldrip, S; Ke, JXC; Moukheiber, M; Khanna, AK; Hicklen, RS; Moukheiber, L; Moukheiber, D; Ma, HB; Mathur, P</t>
  </si>
  <si>
    <t>The adoption of artificial intelligence (AI) algorithms is rapidly increasing in healthcare. Such algorithms may be shaped by various factors such as social determinants of health that can influence health outcomes. While AI algorithms have been proposed as a tool to expand the reach of quality healthcare to underserved communities and improve health equity, recent literature has raised concerns about the propagation of biases and healthcare disparities through implementation of these algorithms. Thus, it is critical to understand the sources of bias inherent in AI-based algorithms. This review aims to highlight the potential sources of bias within each step of developing AI algorithms in healthcare, starting from framing the problem, data collection, preprocessing, development, and validation, as well as their full implementation. For each of these steps, we also discuss strategies to mitigate the bias and disparities. A checklist was developed with recommendations for reducing bias during the development and implementation stages. It is important for developers and users of AI- based algorithms to keep these important considerations in mind to advance health equity for all populations.</t>
  </si>
  <si>
    <t>Nazer, Lama H.; Zatarah, Razan; Waldrip, Shai; Ke, Janny Xue Chen; Moukheiber, Mira; Khanna, Ashish K.; Hicklen, Rachel S.; Moukheiber, Lama; Moukheiber, Dana; Ma, Haobo; Mathur, Piyush</t>
  </si>
  <si>
    <t>Nazer, LH (corresponding author), King Hussein Canc Ctr, Dept Pharm, Amman, Jordan.</t>
  </si>
  <si>
    <t>lnazer@khcc.jo</t>
  </si>
  <si>
    <t>[Nazer, Lama H.; Zatarah, Razan] King Hussein Canc Ctr, Dept Pharm, Amman, Jordan; [Waldrip, Shai] Morehouse Sch Med, Dept Med, Atlanta, GA USA; [Ke, Janny Xue Chen] Univ British Columbia, Dalhousie Univ, St Pauls Hosp, Dept Med, Vancouver, BC, Canada; [Moukheiber, Mira; Moukheiber, Lama; Moukheiber, Dana] MIT, Cambridge, MA USA; [Khanna, Ashish K.] Atrium Hlth Wake Forest Baptist Med Ctr, Dept Anaesthesiol, Winston Salem, NC USA; [Khanna, Ashish K.] Perioperat Outcomes &amp; Informat Collaborat, Winston Salem, NC USA; [Khanna, Ashish K.] Outcomes Res Consortium, Cleveland, OH USA; [Hicklen, Rachel S.] Univ Texas MD Anderson Canc Ctr, Res Med Lib, Houston, TX USA; [Ma, Haobo] Beth Israel Deaconess Med Ctr, Dept Anaesthesia &amp; Crit Care Med, Boston, MA USA; [Mathur, Piyush] Cleveland Clin, Dept Anaesthesia &amp; Crit Care Med, Cleveland, OH USA</t>
  </si>
  <si>
    <t>King Hussein Cancer Center; Morehouse School of Medicine; St. Paul's Hospital; Dalhousie University; University of British Columbia; Massachusetts Institute of Technology (MIT); University of Texas System; UTMD Anderson Cancer Center; Harvard University; Harvard University Medical Affiliates; Beth Israel Deaconess Medical Center; Cleveland Clinic Foundation</t>
  </si>
  <si>
    <t>Bias in artificial intelligence algorithms and recommendations for mitigation</t>
  </si>
  <si>
    <t>PLOS DIGITAL HEALTH</t>
  </si>
  <si>
    <t>PREDICTION; HEALTH; DISPARITIES; RISK; TOOL; AI</t>
  </si>
  <si>
    <t>Ma, Haobo/PMQ-7271-2026; Ke, Janny Xue Chen/POY-2220-2026</t>
  </si>
  <si>
    <t>Hicklen, Rachel/0000-0003-4317-5671; Ke, Janny Xue Chen/0000-0002-3121-9780; Nazer, Lama/0000-0002-7550-4751</t>
  </si>
  <si>
    <t>381</t>
  </si>
  <si>
    <t>PUBLIC LIBRARY SCIENCE</t>
  </si>
  <si>
    <t>SAN FRANCISCO</t>
  </si>
  <si>
    <t>1160 BATTERY STREET, STE 100, SAN FRANCISCO, CA 94111 USA</t>
  </si>
  <si>
    <t>2767-3170</t>
  </si>
  <si>
    <t>PLOS DIGIT HEALTH</t>
  </si>
  <si>
    <t>PLOS Digit. Health</t>
  </si>
  <si>
    <t>e0000278</t>
  </si>
  <si>
    <t>10.1371/journal.pdig.0000278</t>
  </si>
  <si>
    <t>http://dx.doi.org/10.1371/journal.pdig.0000278</t>
  </si>
  <si>
    <t>W2B3X</t>
  </si>
  <si>
    <t>37347721</t>
  </si>
  <si>
    <t>WOS:001416689900001</t>
  </si>
  <si>
    <t>Li, X; Liu, ZQ; Liao, J; Chen, Q; Lu, XY; Fan, XH</t>
  </si>
  <si>
    <t>Pharmacodynamics material basis and effective mechanisms are the two main issues to decipher the mechnisms of ac-tion of Traditional Chinese medicines (TCMs) for the treatment of diseases. TCMs, in "multi-component, multi-target, multi-pathway" paradigm, show satisfactory clinical results in complex diseases. New ideas and methods are urgently needed to explain the complex interactions between TCMs and diseases. Network pharmacology (NP) provides a novel paradigm to uncover and visualize the under-lying interaction networks of TCMs against multifactorial diseases. The development and application of NP has promoted the safety, efficacy, and mechanism investigations of TCMs, which then reinforces the credibility and popularity of TCMs. The current organ-centricity of medicine and the "one disease-one target-one drug" dogma obstruct the understanding of complex diseases and the devel-opment of effective drugs. Therefore, more attentions should be paid to shift from "phenotype and symptom" to "endotype and cause" in understanding and redefining current diseases. In the past two decades, with the advent of advanced and intelligent technologies (such as metabolomics, proteomics, transcriptomics, single-cell omics, and artificial intelligence), NP has been improved and deeply implemented, and presented its great value and potential as the next drug-discovery paradigm. NP is developed to cure causal mechan-isms instead of treating symptoms. This review briefly summarizes the recent research progress on NP application in TCMs for effic-acy research, mechanism elucidation, target prediction, safety evaluation, drug repurposing, and drug design.</t>
  </si>
  <si>
    <t>Li, Xiang; Liu, Ziqi; Liao, Jie; Chen, Qian; Lu, Xiaoyan; Fan, Xiaohui</t>
  </si>
  <si>
    <t>Fan, XH (corresponding author), Zhejiang Univ, Coll Pharmaceut Sci, Dept Chinese Med Sci &amp; Engn, Hangzhou 310058, Peoples R China.; Fan, XH (corresponding author), Zhejiang Univ, State Key Lab Component based Chinese Med, Innovat Ctr, Hangzhou 310058, Peoples R China.; Fan, XH (corresponding author), Zhejiang Univ, Innovat Ctr Yangtze River Delta, Future Hlth Lab, Jiaxing 314100, Peoples R China.</t>
  </si>
  <si>
    <t>fanxh@zju.edu.cn</t>
  </si>
  <si>
    <t>Natural Science Foundation of Zhejiang Province [LZ20H290002]; Innovation Team and Talents Cultivation Program of the National Administration of Traditional Chinese Medicine [ZYYCXTD-D-202002]; Fundamental Research Funds for the Central Universities [226-2022-00226]; Science and Technological Innovation Project for College Students in Zhejiang Province (Xinmiao Talent Plan) [2022R424A005]; Zhejiang Provincial Administration of Traditional Chinese Medicine [2022ZQ022, 2023ZF083]</t>
  </si>
  <si>
    <t>Natural Science Foundation of Zhejiang Province (Natural Science Foundation of Zhejiang Province); Innovation Team and Talents Cultivation Program of the National Administration of Traditional Chinese Medicine; Fundamental Research Funds for the Central Universities (Fundamental Research Funds for the Central Universities); Science and Technological Innovation Project for College Students in Zhejiang Province (Xinmiao Talent Plan); Zhejiang Provincial Administration of Traditional Chinese Medicine</t>
  </si>
  <si>
    <t>This work is supported by the Natural Science Foundation of Zhejiang Province (No. LZ20H290002), the Innovation Team and Talents Cultivation Program of the National Administration of Traditional Chinese Medicine (No. ZYYCXTD-D-202002), the Fundamental Research Funds for the Central Universities (No. 226-2022-00226), the Science and Technological Innovation Project for College Students in Zhejiang Province (Xinmiao Talent Plan 2022R424A005), and Zhejiang Provincial Administration of Traditional Chinese Medicine (Nos. 2022ZQ022, 2023ZF083).</t>
  </si>
  <si>
    <t>[Li, Xiang] Hangzhou Med Coll, Sch Basic Med Sci &amp; Forens Med, Hangzhou 311399, Peoples R China; [Li, Xiang; Liu, Ziqi; Liao, Jie; Chen, Qian; Lu, Xiaoyan; Fan, Xiaohui] Zhejiang Univ, Coll Pharmaceut Sci, Dept Chinese Med Sci &amp; Engn, Hangzhou 310058, Peoples R China; [Li, Xiang; Liao, Jie; Chen, Qian; Lu, Xiaoyan; Fan, Xiaohui] Zhejiang Univ, State Key Lab Component based Chinese Med, Innovat Ctr, Hangzhou 310058, Peoples R China; [Liao, Jie; Chen, Qian; Lu, Xiaoyan; Fan, Xiaohui] Zhejiang Univ, Innovat Ctr Yangtze River Delta, Future Hlth Lab, Jiaxing 314100, Peoples R China</t>
  </si>
  <si>
    <t>Hangzhou Medical College; Zhejiang University; Zhejiang University; Zhejiang University</t>
  </si>
  <si>
    <t>Network pharmacology approaches for research of Traditional Chinese Medicines</t>
  </si>
  <si>
    <t>CHINESE JOURNAL OF NATURAL MEDICINES</t>
  </si>
  <si>
    <t>Network Pharmacology; Single-Cell omics; Artificial Intelligence; Traditional Chinese Medicine; Herbal Medicine; Pharmacodynamics Material Basis; Effective Mechanism; Drug Repurposing</t>
  </si>
  <si>
    <t>MECHANISMS; DATABASE; SERVER; GENES</t>
  </si>
  <si>
    <t>Lu, Xiaoyan/C-8720-2009; Fan, Xiaohui/F-6458-2010; Liao, Jie/LCD-2643-2024</t>
  </si>
  <si>
    <t>298</t>
  </si>
  <si>
    <t>CHINESE JOURNAL NATURAL MEDICINES</t>
  </si>
  <si>
    <t>NANJING</t>
  </si>
  <si>
    <t>24, TONGJIA XIANG, NANJING, 210009, PEOPLES R CHINA</t>
  </si>
  <si>
    <t>2095-6975</t>
  </si>
  <si>
    <t>1875-5364</t>
  </si>
  <si>
    <t>CHIN J NAT MEDICINES</t>
  </si>
  <si>
    <t>Chin. J. Nat. Med.</t>
  </si>
  <si>
    <t>MAY 2023</t>
  </si>
  <si>
    <t>10.1016/S1875-5364(23)60429-7</t>
  </si>
  <si>
    <t>http://dx.doi.org/10.1016/S1875-5364(23)60429-7</t>
  </si>
  <si>
    <t>Integrative &amp; Complementary Medicine; Pharmacology &amp; Pharmacy</t>
  </si>
  <si>
    <t>K9GY0</t>
  </si>
  <si>
    <t>37245871</t>
  </si>
  <si>
    <t>WOS:001019459500001</t>
  </si>
  <si>
    <t>Low, DM; Bentley, KH; Ghosh, SS</t>
  </si>
  <si>
    <t>Objective There are many barriers to accessing mental health assessments including cost and stigma. Even when individuals receive professional care, assessments are intermittent and may be limited partly due to the episodic nature of psychiatric symptoms. Therefore, machine-learning technology using speech samples obtained in the clinic or remotely could one day be a biomarker to improve diagnosis and treatment. To date, reviews have only focused on using acoustic features from speech to detect depression and schizophrenia. Here, we present the first systematic review of studies using speech for automated assessments across a broader range of psychiatric disorders. Methods We followed the Preferred Reporting Items for Systematic Reviews and Meta-Analysis (PRISMA) guidelines. We included studies from the last 10 years using speech to identify the presence or severity of disorders within the Diagnostic and Statistical Manual of Mental Disorders (DSM-5). For each study, we describe sample size, clinical evaluation method, speech-eliciting tasks, machine learning methodology, performance, and other relevant findings. Results 1395 studies were screened of which 127 studies met the inclusion criteria. The majority of studies were on depression, schizophrenia, and bipolar disorder, and the remaining on post-traumatic stress disorder, anxiety disorders, and eating disorders. Sixty-three percentage of studies built machine learning predictive models, and the remaining 37% performed null-hypothesis testing only. We provide an online database with our search results and synthesize how acoustic features appear in each disorder. Conclusion Speech processing technology could aid mental health assessments, but there are many obstacles to overcome, especially the need for comprehensive transdiagnostic and longitudinal studies. Given the diverse types of data sets, feature extraction, computational methodologies, and evaluation criteria, we provide guidelines for both acquiring data and building machine learning models with a focus on testing hypotheses, open science, reproducibility, and generalizability.</t>
  </si>
  <si>
    <t>Low, Daniel M.; Bentley, Kate H.; Ghosh, Satrajit S.</t>
  </si>
  <si>
    <t>Low, DM; Ghosh, SS (corresponding author), 46-4033F,43 Vassar St, Cambridge, MA 02139 USA.</t>
  </si>
  <si>
    <t>dlow@mit.edu; satra@mit.edu</t>
  </si>
  <si>
    <t>National Institutes of Health [5T32DC000038-28]; MIT-Philips Research Award for Clinicians; National Institute of Biomedical Imaging and Bioengineering [P41EB019936] Funding Source: NIH RePORTER; National Institute on Deafness and Other Communication Disorders [T32DC000038] Funding Source: NIH RePORTER</t>
  </si>
  <si>
    <t>National Institutes of Health (United States Department of Health &amp; Human Services, National Institutes of Health (NIH) - USA); MIT-Philips Research Award for Clinicians; National Institute of Biomedical Imaging and Bioengineering (United States Department of Health &amp; Human Services, National Institutes of Health (NIH) - USA, NIH National Institute of Biomedical Imaging &amp; Bioengineering (NIBIB)); National Institute on Deafness and Other Communication Disorders (United States Department of Health &amp; Human Services, National Institutes of Health (NIH) - USA, NIH National Institute on Deafness &amp; Other Communication Disorders (NIDCD))</t>
  </si>
  <si>
    <t>The authors would like to thank Robert Ajemian for his useful comments on Figure 1. D.M.L. was supported by a National Institutes of Health training grant (5T32DC000038-28). K.H.B. was partially supported by the MIT-Philips Research Award for Clinicians. The work was supported by a gift to the McGovern Institute for Brain Research at MIT. S.S.G was partially supported by 5P41EB019936.</t>
  </si>
  <si>
    <t>[Low, Daniel M.; Ghosh, Satrajit S.] Harvard Med Sch, Program Speech &amp; Hearing Biosci &amp; Technol, Boston, MA 02115 USA; [Low, Daniel M.] MIT, Dept Brain &amp; Cognit Sci, E25-618, Cambridge, MA 02139 USA; [Bentley, Kate H.] Harvard Med Sch, Dept Psychiat, Massachusetts Gen Hosp, Boston, MA 02115 USA; [Bentley, Kate H.; Ghosh, Satrajit S.] MIT, McGovern Inst Brain Res, 77 Massachusetts Ave, Cambridge, MA 02139 USA; [Ghosh, Satrajit S.] Harvard Med Sch, Dept Otolaryngol Head &amp; Neck Surg, Boston, MA 02115 USA</t>
  </si>
  <si>
    <t>Harvard University; Harvard Medical School; Massachusetts Institute of Technology (MIT); Harvard University; Harvard Medical School; Harvard University Medical Affiliates; Massachusetts General Hospital; Massachusetts Institute of Technology (MIT); Harvard University; Harvard Medical School</t>
  </si>
  <si>
    <t>Automated assessment of psychiatric disorders using speech: A systematic review</t>
  </si>
  <si>
    <t>LARYNGOSCOPE INVESTIGATIVE OTOLARYNGOLOGY</t>
  </si>
  <si>
    <t>machine learning; mental health; psychiatry; speech; voice</t>
  </si>
  <si>
    <t>POSTTRAUMATIC-STRESS-DISORDER; RANDOMIZED CONTROLLED-TRIAL; MENTAL-HEALTH; DETECTING DEPRESSION; VOICE QUALITY; FIELD TRIALS; ANXIETY; SEVERITY; SCHIZOPHRENIA; EPIDEMIOLOGY</t>
  </si>
  <si>
    <t>Ghosh, Satrajit/0000-0002-5312-6729; Low, Daniel/0000-0002-8866-8667</t>
  </si>
  <si>
    <t>446</t>
  </si>
  <si>
    <t>2378-8038</t>
  </si>
  <si>
    <t>LARYNGOSCOPE INVEST</t>
  </si>
  <si>
    <t>Laryngoscope Investig. Otol.</t>
  </si>
  <si>
    <t>10.1002/lio2.354</t>
  </si>
  <si>
    <t>http://dx.doi.org/10.1002/lio2.354</t>
  </si>
  <si>
    <t>Otorhinolaryngology</t>
  </si>
  <si>
    <t>KO9AG</t>
  </si>
  <si>
    <t>32128436</t>
  </si>
  <si>
    <t>WOS:000510253000001</t>
  </si>
  <si>
    <t>Hashimoto, DA; Witkowski, E; Gao, L; Meireles, O; Rosman, G</t>
  </si>
  <si>
    <t>Artificial intelligence has been advancing in fields including anesthesiology. This scoping review of the intersection of artificial intelligence and anesthesia research identified and summarized six themes of applications of artificial intelligence in anesthesiology: (1) depth of anesthesia monitoring, (2) control of anesthesia, (3) event and risk prediction, (4) ultrasound guidance, (5) pain management, and (6) operating room logistics. Based on papers identified in the review, several topics within artificial intelligence were described and summarized: (1) machine learning (including supervised, unsupervised, and reinforcement learning), (2) techniques in artificial intelligence (e.g., classical machine learning, neural networks and deep learning, Bayesian methods), and (3) major applied fields in artificial intelligence. The implications of artificial intelligence for the practicing anesthesiologist are discussed as are its limitations and the role of clinicians in further developing artificial intelligence for use in clinical care. Artificial intelligence has the potential to impact the practice of anesthesiology in aspects ranging from perioperative support to critical care delivery to outpatient pain management.</t>
  </si>
  <si>
    <t>Hashimoto, Daniel A.; Witkowski, Elan; Gao, Lei; Meireles, Ozanan; Rosman, Guy</t>
  </si>
  <si>
    <t>Hashimoto, DA (corresponding author), Massachusetts Gen Hosp, Surg Artificial Intelligence &amp; Innovat Lab, 15 Parkman St,WAC 339, Boston, MA 02139 USA.</t>
  </si>
  <si>
    <t>NIGMS NIH HHS [T32 GM007592] Funding Source: Medline; National Institute of General Medical Sciences [T32GM007592] Funding Source: NIH RePORTER</t>
  </si>
  <si>
    <t>NIGMS NIH HHS (United States Department of Health &amp; Human Services, National Institutes of Health (NIH) - USA, NIH National Institute of General Medical Sciences (NIGMS)); National Institute of General Medical Sciences (United States Department of Health &amp; Human Services, National Institutes of Health (NIH) - USA, NIH National Institute of General Medical Sciences (NIGMS))</t>
  </si>
  <si>
    <t>[Hashimoto, Daniel A.; Witkowski, Elan; Meireles, Ozanan; Rosman, Guy] Massachusetts Gen Hosp, Surg Artificial Intelligence &amp; Innovat Lab, 15 Parkman St,WAC 339, Boston, MA 02139 USA; [Gao, Lei] Massachusetts Gen Hosp, Dept Anesthesia Crit Care &amp; Pain Med, Boston, MA 02139 USA; [Rosman, Guy] MIT, Comp Sci &amp; Artificial Intelligence Lab, 77 Massachusetts Ave, Cambridge, MA 02139 USA</t>
  </si>
  <si>
    <t>Harvard University; Harvard University Medical Affiliates; Massachusetts General Hospital; Harvard University; Harvard University Medical Affiliates; Massachusetts General Hospital; Massachusetts Institute of Technology (MIT)</t>
  </si>
  <si>
    <t>Artificial Intelligence in Anesthesiology Current Techniques, Clinical Applications, and Limitations</t>
  </si>
  <si>
    <t>ANESTHESIOLOGY</t>
  </si>
  <si>
    <t>INTENSIVE-CARE-UNIT; CLOSED-LOOP CONTROL; LOW BISPECTRAL INDEX; FUZZY-LOGIC CONTROL; NEURAL-NETWORK; MECHANICAL VENTILATION; BLOOD-PRESSURE; PREDICTION; SYSTEM; PERFORMANCE</t>
  </si>
  <si>
    <t>Gao, Lei/AAL-1683-2020; Hashimoto, Daniel/H-3473-2019; Rosman, Guy/JXN-4008-2024</t>
  </si>
  <si>
    <t>Gao, Lei/0000-0003-1476-1460</t>
  </si>
  <si>
    <t>105</t>
  </si>
  <si>
    <t>377</t>
  </si>
  <si>
    <t>430</t>
  </si>
  <si>
    <t>0003-3022</t>
  </si>
  <si>
    <t>1528-1175</t>
  </si>
  <si>
    <t>Anesthesiology</t>
  </si>
  <si>
    <t>132</t>
  </si>
  <si>
    <t>379</t>
  </si>
  <si>
    <t>10.1097/ALN.0000000000002960</t>
  </si>
  <si>
    <t>http://dx.doi.org/10.1097/ALN.0000000000002960</t>
  </si>
  <si>
    <t>KH5BE</t>
  </si>
  <si>
    <t>31939856</t>
  </si>
  <si>
    <t>WOS:000510662400021</t>
  </si>
  <si>
    <t>153</t>
  </si>
  <si>
    <t>Zhang, K; Yang, X; Wang, YF; Yu, YF; Huang, N; Li, G; Li, XK; Wu, JC; Yang, SY</t>
  </si>
  <si>
    <t>Drug development is a complex and time-consuming endeavor that traditionally relies on the experience of drug developers and trial-and-error experimentation. The advent of artificial intelligence (AI) technologies, particularly emerging large language models and generative AI, is poised to redefine this paradigm. The integration of AI-driven methodologies into the drug development pipeline has already heralded subtle yet meaningful enhancements in both the efficiency and effectiveness of this process. Here we present an overview of recent advancements in AI applications across the entire drug development workflow, encompassing the identification of disease targets, drug discovery, preclinical and clinical studies, and post-market surveillance. Lastly, we critically examine the prevailing challenges to highlight promising future research directions in AI-augmented drug development.</t>
  </si>
  <si>
    <t>Zhang, Kang; Yang, Xin; Wang, Yifei; Yu, Yunfang; Huang, Niu; Li, Gen; Li, Xiaokun; Wu, Joseph C.; Yang, Shengyong</t>
  </si>
  <si>
    <t>Science Citation Index Expanded (SCI-EXPANDED); Science Citation Index Expanded (SCI-EXPANDED)</t>
  </si>
  <si>
    <t>Zhang, K (corresponding author), Wenzhou Med Univ, Eye Hosp, Wenzhou, Peoples R China.; Zhang, K (corresponding author), Wenzhou Med Univ, Inst Adv Study Eye Hlth &amp; Dis, Inst Clin Data Sci, Wenzhou, Peoples R China.; Zhang, K (corresponding author), Wenzhou Med Univ, State Key Lab Macromol Drugs &amp; Large Scale Prepara, Wenzhou, Peoples R China.; Yang, SY (corresponding author), Sichuan Univ, West China Hosp, Canc Ctr, Dept Biotherapy, Chengdu, Peoples R China.; Yang, SY (corresponding author), Sichuan Univ, West China Hosp, State Key Lab Biotherapy, Chengdu, Peoples R China.</t>
  </si>
  <si>
    <t>yangsy@scu.edu.cn; kang.zhang@gmail.com</t>
  </si>
  <si>
    <t>Wenzhou Eye Hospital, Institute for Advanced Study on Eye Health and Disease, Wenzhou Medical University; National Natural Science Foundation of China [W2431057, T2221004, 22277085, 82404087, YW-SLJC0201, GZNL2024A01005]; National Key R&amp;D Program of China [2023YFF1204905]; Tianfu Jincheng Laboratory Foundation [TFJC2023010009]; Guangzhou Science and Technology Project [2023A03J0722]; New Cornerstone Science Foundation; National Institutes of Health [R01-GM129325]; Office of Cyber Infrastructure and Computational Biology, National Institute of Allergy and Infectious Diseases</t>
  </si>
  <si>
    <t>Wenzhou Eye Hospital, Institute for Advanced Study on Eye Health and Disease, Wenzhou Medical University; National Natural Science Foundation of China (National Natural Science Foundation of China (NSFC)); National Key R&amp;D Program of China (National Key Research &amp; Development Program of China); Tianfu Jincheng Laboratory Foundation; Guangzhou Science and Technology Project; New Cornerstone Science Foundation; National Institutes of Health (United States Department of Health &amp; Human Services, National Institutes of Health (NIH) - USA); Office of Cyber Infrastructure and Computational Biology, National Institute of Allergy and Infectious Diseases</t>
  </si>
  <si>
    <t>This research was supported by Wenzhou Eye Hospital, Institute for Advanced Study on Eye Health and Disease, Wenzhou Medical University; Eye Valley, Wenzhou; the National Natural Science Foundation of China (W2431057, T2221004, 22277085, 82404087); Guangzhou National Laboratory (YW-SLJC0201, GZNL2024A01005); the National Key R&amp;D Program of China (2023YFF1204905); Tianfu Jincheng Laboratory Foundation (TFJC2023010009); Guangzhou Science and Technology Project (2023A03J0722); and the New Cornerstone Science Foundation. Molecular graphics and analyses performed with UCSF ChimeraX were developed by the Resource for Biocomputing, Visualization, and Informatics at the University of California, San Francisco, with support from National Institutes of Health R01-GM129325 and the Office of Cyber Infrastructure and Computational Biology, National Institute of Allergy and Infectious Diseases.</t>
  </si>
  <si>
    <t>[Zhang, Kang; Li, Gen] Wenzhou Med Univ, Eye Hosp, Wenzhou, Peoples R China; [Zhang, Kang; Li, Gen] Wenzhou Med Univ, Inst Adv Study Eye Hlth &amp; Dis, Inst Clin Data Sci, Wenzhou, Peoples R China; [Zhang, Kang; Li, Xiaokun] Wenzhou Med Univ, State Key Lab Macromol Drugs &amp; Large Scale Prepara, Wenzhou, Peoples R China; [Yang, Xin; Wang, Yifei; Yang, Shengyong] Sichuan Univ, West China Hosp, Canc Ctr, Dept Biotherapy, Chengdu, Peoples R China; [Yang, Xin; Wang, Yifei; Yang, Shengyong] Sichuan Univ, West China Hosp, State Key Lab Biotherapy, Chengdu, Peoples R China; [Yu, Yunfang] Sun Yat Sen Univ, Sun Yat Sen Mem Hosp, Guangzhou, Peoples R China; [Yu, Yunfang] Macau Univ Sci &amp; Technol, Inst AI Med, Macau, Peoples R China; [Yu, Yunfang] Macau Univ Sci &amp; Technol, Fac Med, Macau, Peoples R China; [Yu, Yunfang; Li, Gen] Guangzhou Natl Lab, Guangzhou, Peoples R China; [Huang, Niu] Natl Inst Biol Sci, Beijing, Peoples R China; [Li, Gen] Eye Valley, Eye &amp; Vis Innovat Ctr, Wenzhou, Peoples R China; [Wu, Joseph C.] Stanford Univ, Cardiovasc Res Inst, Stanford, CA USA</t>
  </si>
  <si>
    <t>Wenzhou Medical University; Wenzhou Medical University; Wenzhou Medical University; Sichuan University; Sichuan University; Sun Yat Sen University; Macau University of Science and Technology; Macau University of Science and Technology; Guangzhou Laboratory; National Institute of Biological Sciences, Beijing; Stanford University</t>
  </si>
  <si>
    <t>Artificial intelligence in drug development</t>
  </si>
  <si>
    <t>NOVO MOLECULAR DESIGN; COLORECTAL-CANCER; DEEP; DISCOVERY; PREDICTION; BIOMARKERS; GENERATION; MODEL</t>
  </si>
  <si>
    <t>Lin, Qibin/AAI-6977-2020; Huang, Niu/J-9656-2012; Wu, Joseph/H-1067-2013</t>
  </si>
  <si>
    <t>Huang, Niu/0000-0002-6912-033X; Yang, Shengyong/0000-0001-5147-3746; Wang, Yifei/0000-0002-8873-613X</t>
  </si>
  <si>
    <t>JAN 2025</t>
  </si>
  <si>
    <t>10.1038/s41591-024-03434-4</t>
  </si>
  <si>
    <t>http://dx.doi.org/10.1038/s41591-024-03434-4</t>
  </si>
  <si>
    <t>W2Q0R</t>
  </si>
  <si>
    <t>39833407</t>
  </si>
  <si>
    <t>WOS:001400818700001</t>
  </si>
  <si>
    <t>Li, H; Zhang, RW; Lee, YC; Kraut, RE; Mohr, DC</t>
  </si>
  <si>
    <t>Conversational artificial intelligence (AI), particularly AI-based conversational agents (CAs), is gaining traction in mental health care. Despite their growing usage, there is a scarcity of comprehensive evaluations of their impact on mental health and well-being. This systematic review and meta-analysis aims to fill this gap by synthesizing evidence on the effectiveness of AI-based CAs in improving mental health and factors influencing their effectiveness and user experience. Twelve databases were searched for experimental studies of AI-based CAs' effects on mental illnesses and psychological well-being published before May 26, 2023. Out of 7834 records, 35 eligible studies were identified for systematic review, out of which 15 randomized controlled trials were included for meta-analysis. The meta-analysis revealed that AI-based CAs significantly reduce symptoms of depression (Hedge's g 0.64 [95% CI 0.17-1.12]) and distress (Hedge's g 0.7 [95% CI 0.18-1.22]). These effects were more pronounced in CAs that are multimodal, generative AI-based, integrated with mobile/instant messaging apps, and targeting clinical/subclinical and elderly populations. However, CA-based interventions showed no significant improvement in overall psychological well-being (Hedge's g 0.32 [95% CI -0.13 to 0.78]). User experience with AI-based CAs was largely shaped by the quality of human-AI therapeutic relationships, content engagement, and effective communication. These findings underscore the potential of AI-based CAs in addressing mental health issues. Future research should investigate the underlying mechanisms of their effectiveness, assess long-term effects across various mental health outcomes, and evaluate the safe integration of large language models (LLMs) in mental health care.</t>
  </si>
  <si>
    <t>Li, Han; Zhang, Renwen; Lee, Yi-Chieh; Kraut, Robert E.; Mohr, David C.</t>
  </si>
  <si>
    <t>Zhang, RW (corresponding author), Natl Univ Singapore, Dept Commun &amp; New Media, Singapore 117416, Singapore.</t>
  </si>
  <si>
    <t>r.zhang@nus.edu.sg</t>
  </si>
  <si>
    <t>U.S. Department of Health &amp; Human Services | NIH | National Institute of Mental Health (NIMH) [Tier 1 A-8000877-00-00]; Singapore Ministry of Education Academic Research Fund [A-8000936-01-00]; National University of Singapore [P50 MH119029]; NIMH; National Institute of Mental Health [P50MH119029] Funding Source: NIH RePORTER</t>
  </si>
  <si>
    <t>U.S. Department of Health &amp; Human Services | NIH | National Institute of Mental Health (NIMH); Singapore Ministry of Education Academic Research Fund (Ministry of Education, Singapore); National University of Singapore (National University of Singapore); NIMH (United States Department of Health &amp; Human Services, National Institutes of Health (NIH) - USA, NIH National Institute of Mental Health (NIMH)); National Institute of Mental Health (United States Department of Health &amp; Human Services, National Institutes of Health (NIH) - USA, NIH National Institute of Mental Health (NIMH))</t>
  </si>
  <si>
    <t>The present study is supported by the Singapore Ministry of Education Academic Research Fund Tier 1 A-8000877-00-00, National University of Singapore Start-up Grant A-8000936-01-00, and NIMH grant P50 MH119029. The funders of the study had no role in the study design, data collection, data analysis, data interpretation, or writing of the manuscript.</t>
  </si>
  <si>
    <t>[Li, Han; Zhang, Renwen] Natl Univ Singapore, Dept Commun &amp; New Media, Singapore 117416, Singapore; [Lee, Yi-Chieh] Natl Univ Singapore, Dept Comp Sci, Singapore 117416, Singapore; [Kraut, Robert E.] Carnegie Mellon Univ, Human Comp Interact Inst, Pittsburgh, PA 15213 USA; [Mohr, David C.] Northwestern Univ, Ctr Behav Intervent Technol, Dept Prevent Med, Chicago, IL 60611 USA</t>
  </si>
  <si>
    <t>National University of Singapore; National University of Singapore; Carnegie Mellon University; Northwestern University; Feinberg School of Medicine</t>
  </si>
  <si>
    <t>Systematic review and meta-analysis of AI-based conversational agents for promoting mental health and well-being</t>
  </si>
  <si>
    <t>EFFICACY; CHATBOT; INTERVENTIONS; MODELS; ROBOT</t>
  </si>
  <si>
    <t>Lee, Yi-Chieh/AAG-8954-2021; LI, HAN/KIA-8718-2024</t>
  </si>
  <si>
    <t>Mohr, David/0000-0002-5443-7596; Zhang, Renwen/0000-0002-7636-9598; LI, HAN/0000-0002-9050-715X</t>
  </si>
  <si>
    <t>DEC 19 2023</t>
  </si>
  <si>
    <t>236</t>
  </si>
  <si>
    <t>10.1038/s41746-023-00979-5</t>
  </si>
  <si>
    <t>http://dx.doi.org/10.1038/s41746-023-00979-5</t>
  </si>
  <si>
    <t>DD0G4</t>
  </si>
  <si>
    <t>38114588</t>
  </si>
  <si>
    <t>WOS:001129970300001</t>
  </si>
  <si>
    <t>Thawani, R; McLane, M; Beig, N; Ghose, S; Prasanna, P; Velcheti, V; Madabhushi, A</t>
  </si>
  <si>
    <t>Lung cancer is responsible for a large proportion of cancer-related deaths across the globe, with delayed detection being perhaps the most significant factor for its high mortality rate. Though the National Lung Screening Trial argues for screening of certain at-risk populations, the practical implementation of these screening efforts has not yet been successful and remains in high demand. Radiomics refers to the computerized extraction of data from radiologic images, and provides unique potential for making lung cancer screening more rapid and accurate using machine learning algorithms. The quantitative features analyzed express subvisual characteristics of images which correlate with pathogenesis of diseases. These features are broadly classified into four categories: intensity, structure, texture/gradient, and wavelet, based on the types of image attributes they capture. Many studies have been done to show correlation between these features and the malignant potential of a nodule on a chest CT. In cancer patients, these nodules also have features that can be correlated with prognosis and mutation status. The major limitations of radiomics are the lack of standardization of acquisition parameters, inconsistent radiomic methods, and lack of reproducibility. Researchers are working on overcoming these limitations, which would make radiomics more acceptable in the medical community.</t>
  </si>
  <si>
    <t>Thawani, Rajat; McLane, Michael; Beig, Niha; Ghose, Soumya; Prasanna, Prateek; Velcheti, Vamsidhar; Madabhushi, Anant</t>
  </si>
  <si>
    <t>Thawani, R (corresponding author), Maimonides Hosp, 4802 Tenth Ave, Brooklyn, NY 11219 USA.</t>
  </si>
  <si>
    <t>rajat.thawani@case.edu</t>
  </si>
  <si>
    <t>Genentech; Trovagene; Eisai; OncoPlex Diagnostics; Alkermes; NantOmics; Genoptix; Altor BioScience; Merck; Bristol-Myers Squibb; Atreca; Heat Biologics; Leap Therapeutics; PathCore Inc.</t>
  </si>
  <si>
    <t>Genentech (Roche Holding, Genentech); Trovagene; Eisai (Eisai Co Ltd); OncoPlex Diagnostics; Alkermes; NantOmics; Genoptix; Altor BioScience; Merck (Merck &amp; Company); Bristol-Myers Squibb (Bristol-Myers Squibb); Atreca; Heat Biologics; Leap Therapeutics; PathCore Inc.</t>
  </si>
  <si>
    <t>Vamsidhar Velcheti is a Consultant for Clovis Oncology, Genertech, Bristol-Myers Squibb, Merck, Celgene, Foundation Medicine, AstraZeneca/MedImmune and Genoptix. He has received research funding from Genentech, Trovagene, Eisai, OncoPlex Diagnostics, Alkermes, NantOmics, Genoptix, Altor BioScience, Merck, Bristol-Myers Squibb, Atreca, Heat Biologics and Leap Therapeutics.r Anant Madabhushi is an equity holder in Elucid Bioimaging and in Inspirata Inc. He is also a scientific advisory consultant for Inspirata Inc and also sits on its scientific advisory board. He is also an equity holder in Inspirata Inc. Additionally his technology has been licensed to Elucid Bioimaging and Inspirata Inc. He is also involved in a NIH U24 grant with PathCore Inc.</t>
  </si>
  <si>
    <t>[Thawani, Rajat] Maimonides Hosp, 4802 Tenth Ave, Brooklyn, NY 11219 USA; [Thawani, Rajat; McLane, Michael; Beig, Niha; Ghose, Soumya; Prasanna, Prateek; Madabhushi, Anant] Case Western Reserve Univ, 10900 Euclid Ave, Cleveland, OH 44106 USA; [Velcheti, Vamsidhar] Cleveland Clin Fdn, 9500 Euclid Ave, Cleveland, OH 44195 USA</t>
  </si>
  <si>
    <t>Maimonides Medical Center; University System of Ohio; Case Western Reserve University; Cleveland Clinic Foundation</t>
  </si>
  <si>
    <t>Radiomics and radiogenomics in lung cancer: A review for the clinician</t>
  </si>
  <si>
    <t>LUNG CANCER</t>
  </si>
  <si>
    <t>Radiomics; Radiogenomics; Image analysis; Lung cancer</t>
  </si>
  <si>
    <t>COMPUTER-AIDED DIAGNOSIS; TEXTURE ANALYSIS; QUANTITATIVE-ANALYSIS; TUMOR HETEROGENEITY; PULMONARY NODULES; FEATURES; CLASSIFICATION; PREDICTION; PHENOTYPE; SURVIVAL</t>
  </si>
  <si>
    <t>Madabhushi, Anant/AAG-2908-2019; Thawani, Rajat/E-1888-2012; Beig, Niha/T-9445-2019; Prasanna, Prateek/Y-5136-2019</t>
  </si>
  <si>
    <t>Madabhushi, Anant/0000-0002-5741-0399; Thawani, Rajat/0000-0002-5378-9434; Ghose, Soumya/0000-0002-2730-1482; McLane, Michael/0000-0003-4119-5417; Beig, Niha/0000-0002-1150-5886; Prasanna, Prateek/0000-0002-3068-3573</t>
  </si>
  <si>
    <t>0169-5002</t>
  </si>
  <si>
    <t>1872-8332</t>
  </si>
  <si>
    <t>Lung Cancer</t>
  </si>
  <si>
    <t>JAN 2018</t>
  </si>
  <si>
    <t>10.1016/j.lungcan.2017.10.015</t>
  </si>
  <si>
    <t>http://dx.doi.org/10.1016/j.lungcan.2017.10.015</t>
  </si>
  <si>
    <t>FU9NE</t>
  </si>
  <si>
    <t>29290259</t>
  </si>
  <si>
    <t>WOS:000424181800006</t>
  </si>
  <si>
    <t>216</t>
  </si>
  <si>
    <t>Pottier, C; Fresnais, M; Gilon, M; Jérusalem, G; Longuespée, R; Sounni, NE</t>
  </si>
  <si>
    <t>Receptor tyrosine kinases (RTKs) are key regulatory signaling proteins governing cancer cell growth and metastasis. During the last two decades, several molecules targeting RTKs were used in oncology as a first or second line therapy in different types of cancer. However, their effectiveness is limited by the appearance of resistance or adverse effects. In this review, we summarize the main features of RTKs and their inhibitors (RTKIs), their current use in oncology, and mechanisms of resistance. We also describe the technological advances of artificial intelligence, chemoproteomics, and microfluidics in elaborating powerful strategies that could be used in providing more efficient and selective small molecules inhibitors of RTKs. Finally, we discuss the interest of therapeutic combination of different RTKIs or with other molecules for personalized treatments, and the challenge for effective combination with less toxic and off-target effects.</t>
  </si>
  <si>
    <t>Pottier, Charles; Fresnais, Margaux; Gilon, Marie; Jerusalem, Guy; Longuespee, Remi; Sounni, Nor Eddine</t>
  </si>
  <si>
    <t>Pottier, C (corresponding author), Univ Hosp Liege, GIGA Canc, Lab Tumor &amp; Dev Biol, Liege 4000, Belgium.; Pottier, C (corresponding author), Univ Hosp Liege, GIGA Res, GIGA I3, Liege 4000, Belgium.; Pottier, C (corresponding author), Univ Hosp Liege, Dept Med Oncol, Liege 4000, Belgium.</t>
  </si>
  <si>
    <t>remi.longuespee@med.uni-heidelberg.com; nesounni@uliege.be; Margaux.Fresnais@med.uni-heidelberg.de; marie.gilon@student.uliege.be; G.Jerusalem@chu.ulg.ac.be; charles.pottier@student.uliege.be</t>
  </si>
  <si>
    <t>Research grant (CDR) from the national fund for scientific research (FRS-FNRS) [31247715]; PDR-TLV, FRS-FNRS [32801162]</t>
  </si>
  <si>
    <t>Research grant (CDR) from the national fund for scientific research (FRS-FNRS); PDR-TLV, FRS-FNRS</t>
  </si>
  <si>
    <t>This work was supported by the Research grant (CDR) from the national fund for scientific research (FRS-FNRS) #31247715, by the PDR-TLV, FRS-FNRS #32801162. The figures were designed on Microsoft Powerpoint and Biorender.</t>
  </si>
  <si>
    <t>[Pottier, Charles; Gilon, Marie; Sounni, Nor Eddine] Univ Hosp Liege, GIGA Canc, Lab Tumor &amp; Dev Biol, Liege 4000, Belgium; [Pottier, Charles; Gilon, Marie; Sounni, Nor Eddine] Univ Hosp Liege, GIGA Res, GIGA I3, Liege 4000, Belgium; [Pottier, Charles; Jerusalem, Guy] Univ Hosp Liege, Dept Med Oncol, Liege 4000, Belgium; [Fresnais, Margaux; Longuespee, Remi] Univ Hosp Heidelberg, Dept Clin Pharmacol &amp; Pharmacoepidemiol, D-69120 Heidelberg, Germany; [Fresnais, Margaux] German Canc Res Ctr, German Canc Consortium DKTK, D-69120 Heidelberg, Germany</t>
  </si>
  <si>
    <t>University of Liege; University of Liege; University of Liege; Ruprecht Karls University Heidelberg; Helmholtz Association; German Cancer Research Center (DKFZ)</t>
  </si>
  <si>
    <t>Tyrosine Kinase Inhibitors in Cancer: Breakthrough and Challenges of Targeted Therapy</t>
  </si>
  <si>
    <t>CANCERS</t>
  </si>
  <si>
    <t>cancer; oncology; pharmacology; tyrosine kinase inhibitors</t>
  </si>
  <si>
    <t>CLINICAL-PRACTICE GUIDELINES; TUMOR MICROENVIRONMENT; OPEN-LABEL; THYROID-CANCER; RESISTANCE; COMBINATION; MECHANISMS; DIAGNOSIS; MELANOMA; SURVIVAL</t>
  </si>
  <si>
    <t>Sounni, Nor Eddine/AAY-8766-2021; Pottier, Charles/MBV-2908-2025; Pottier, Charles/MBV-2908-2025</t>
  </si>
  <si>
    <t>Sounni, Nor Eddine/0000-0001-9962-9236; Pottier, Charles/0000-0002-0126-5612; Longuespée, Rémi/0000-0003-2003-1886; Pottier, Charles/0009-0002-0947-7828; Fresnais, Margaux/0000-0002-9215-3033</t>
  </si>
  <si>
    <t>ST ALBAN-ANLAGE 66, CH-4052 BASEL, SWITZERLAND</t>
  </si>
  <si>
    <t>2072-6694</t>
  </si>
  <si>
    <t>Cancers</t>
  </si>
  <si>
    <t>10.3390/cancers12030731</t>
  </si>
  <si>
    <t>http://dx.doi.org/10.3390/cancers12030731</t>
  </si>
  <si>
    <t>LJ5VG</t>
  </si>
  <si>
    <t>32244867</t>
  </si>
  <si>
    <t>WOS:000530232300207</t>
  </si>
  <si>
    <t>Fleming, KA; Horton, S; Wilson, ML; Atun, R; DeStigter, K; Flanigan, J; Sayed, S; Adam, P; Aguilar, B; Andronikou, S; Boehme, C; Cherniak, W; Cheung, ANY; Dahn, B; Donoso-Bach, L; Douglas, T; Garcia, P; Hussain, S; Iyer, HS; Kohli, M; Labrique, AB; Looi, LM; Meara, JG; Nkengasong, J; Pai, M; Pool, KL; Ramaiya, K; Schroeder, L; Shah, D; Sullivan, R; Tan, BS; Walia, K</t>
  </si>
  <si>
    <t>Fleming, Kenneth A.; Horton, Susan; Wilson, Michael L.; Atun, Rifat; DeStigter, Kristen; Flanigan, John; Sayed, Shahin; Adam, Pierrick; Aguilar, Bertha; Andronikou, Savvas; Boehme, Catharina; Cherniak, William; Cheung, Annie N. Y.; Dahn, Bernice; Donoso-Bach, Lluis; Douglas, Tania; Garcia, Patricia; Hussain, Sarwat; Iyer, Hari S.; Kohli, Mikashmi; Labrique, Alain B.; Looi, Lai-Meng; Meara, John G.; Nkengasong, John; Pai, Madhukar; Pool, Kara-Lee; Ramaiya, Kaushik; Schroeder, Lee; Shah, Devanshi; Sullivan, Richard; Tan, Bien-Soo; Walia, Kamini</t>
  </si>
  <si>
    <t>Horton, S (corresponding author), Univ Waterloo, Sch Publ Hlth &amp; Hlth Syst, Waterloo, ON N2L 3G1, Canada.</t>
  </si>
  <si>
    <t>sehorton@uwaterloo.ca</t>
  </si>
  <si>
    <t>Bill &amp; Melinda Gates Foundation; Wellcome Trust; Brocher Foundation; Canadian Institutes for Health Research; King's College London; British Division of the International Academy of Pathology; World Pathology Foundation; African Strategies for Advancing Pathology; Oxford University; University of Vermont; University of Waterloo; Harvard University</t>
  </si>
  <si>
    <t>Bill &amp; Melinda Gates Foundation (Bill &amp; Melinda Gates Foundation, Bill &amp; Melinda Gates Foundation Grand Challenges Explorations Initiative, CGIAR); Wellcome Trust (Wellcome Trust); Brocher Foundation (ACEV Foundation); Canadian Institutes for Health Research (Canadian Institutes of Health Research (CIHR)); King's College London (King's College London, Fundacao de Amparo a Pesquisa do Estado de Sao Paulo (FAPESP)); British Division of the International Academy of Pathology; World Pathology Foundation; African Strategies for Advancing Pathology; Oxford University (University of Oxford); University of Vermont; University of Waterloo (University of Waterloo); Harvard University (Harvard University)</t>
  </si>
  <si>
    <t>Funding for the first meeting of this Commission was provided by the Bill &amp; Melinda Gates Foundation. Funding for a meeting of the Commission Steering Committee was provided by the Wellcome Trust. Funding and in-kind support for the second meeting of this Commission was provided by the Brocher Foundation, the Canadian Institutes for Health Research, and King's College London. Other funding for the Commission has been received from the British Division of the International Academy of Pathology, the World Pathology Foundation, African Strategies for Advancing Pathology, Oxford University, University of Vermont, University of Waterloo, and Harvard University. The funders did not have a role in the research methods, decision to publish findings, or the content of the Commission. All authors had full access to the full data in the study and accept responsibility to submit for publication. We would like to thank the following individuals for their contributions to the Commission. However, they did not have a role in the research methods, decision to publish findings, and are not responsible for the content or any statements made in this Commission. Participants in the Industry Roundtable included the following: Duncan Blair, Paul Baum, Mark Davis, Eugen Emmentraut, Mark Holmshaw, Philippe Jacon, Ammar Jagirdar, Jan Kimpen, Ricardo Lampariello, Ian McLane, Mark Miller, Bernd Ohnesorge, and Davide Pedrazzini. Participants in the virtual non-governmental organisation and international organisation consultations included the following: David Branigan, Arlene Chua, Yogesh Jain, Shalini Jayasekar-Zurn, Sonali Johnson, Lindsay McKenna, Sushil Patil, Pablo Perel, Trevor Peter, Rangarajan Sampath, and Mohammed Yassin. Thanks to the following professional societies or members of such societies for helpful comments on the essential diagnostics list: Renato Mendonca, President, on behalf of the officers of The International Society of Radiology; Dianabasi Eduwmen, President, on behalf of the Executive and members of the Association of Radiologists of West Africa; Michael H M Chan, Chemical Pathologist, Sammy P L Chen, Chemical Pathologist, and Christopher KC Lai, Clinical Microbiologist, all from Hong Kong; and Phaik Leng Cheah, Anatomical Pathologist, Malaysia. The following individuals provided helpful input on diagnostic innovations: Michael Feldman, Fergus Gleeson, Kiran Jobanputra, Ramanan Laxminarayan, Bernd Ohnesorge, Yuri Quintana, Arunan Skandarajah, and David Walt. Thanks to the following for helpful comments on earlier drafts of the Commission: Barnabas Alayande, Adam Ammar, Alexandra Buda, Gabrielle Cahill, Kashmira Chawla, Scott Corlew, Zachary Fowler, Deen Garba, Anusha Jayaram, Tarinee Kucchal, Ian Maclane, Craig McLain, Elizabeth Miranda, Isioma Okolo, Manon Pigeolet, Rennie Qin, Makela Stankey, and Paul Truche. Individuals who provided research support to the Commission included the following: Greg Flanigan, Angela Mutuku, and Jiajun Su. Catherine Hidalgo, Klesta Hoxha, and Laura Jimenez provided helpful assistance in the process of producing some sections of the Commission.</t>
  </si>
  <si>
    <t>[Fleming, Kenneth A.] Univ Oxford, Green Templeton Coll, Oxford, England; [Horton, Susan; Shah, Devanshi] Univ Waterloo, Sch Publ Hlth &amp; Hlth Syst, Waterloo, ON N2L 3G1, Canada; [Wilson, Michael L.] Denver Hlth &amp; Hosp Author, Denver, CO USA; [Atun, Rifat] Harvard Univ, Harvard TH Chan Sch Publ Hlth, Boston, MA 02115 USA; [DeStigter, Kristen] Univ Vermont, Coll Med, Burlington, VT USA; [Flanigan, John] NCI, Bethesda, MD 20892 USA; [Sayed, Shahin] Aga Khan Univ Hosp, Nairobi, Kenya; [Adam, Pierrick] Minist Hlth, Papeete, French Polynesi, France; [Aguilar, Bertha] Med &amp; Invest Lucha Canc Mama, Mexico City, DF, Mexico; [Andronikou, Savvas] Univ Penn, Perelman Sch Med, Philadelphia, PA 19104 USA; [Boehme, Catharina] FIND, Geneva, Switzerland; [Cherniak, William] Univ Toronto, Dept Family &amp; Community Med, Toronto, ON, Canada; [Cheung, Annie N. Y.] Univ Hong Kong, Hong Kong, Peoples R China; [Dahn, Bernice] Univ Liberia, Monrovia, Liberia; [Donoso-Bach, Lluis] Univ Barcelona, Hosp Clin Barcelona, Dept Med Imaging, Barcelona, Spain; [Douglas, Tania] Univ Cape Town, Cape Town, South Africa; [Garcia, Patricia] Univ Cayetano Heredia, Lima, Peru; [Hussain, Sarwat] Univ Massachusetts, Sch Med, Worcester, MA USA; [Iyer, Hari S.] Dana Farber Canc Inst, Boston, MA 02115 USA; [Kohli, Mikashmi] McGill Univ, Dept Epidemiol Biostat &amp; Occupat Hlth, Montreal, PQ, Canada; [Pai, Madhukar] McGill Univ, Sch Populat &amp; Global Hlth, Montreal, PQ, Canada; [Labrique, Alain B.] Johns Hopkins Univ, Bloomberg Sch Publ Hlth, Baltimore, MD USA; [Looi, Lai-Meng] Univ Malaya, Kuala Lumpur, Malaysia; [Meara, John G.] Harvard Med Sch, Program Global Surg &amp; Social Change, Boston, MA 02115 USA; [Nkengasong, John] Africa Ctr Dis Control &amp; Prevent, Addis Ababa, Ethiopia; [Pool, Kara-Lee] RAD AID Int, Santa Monica, CA USA; [Ramaiya, Kaushik] Shri Hindu Mandal Hosp, Dar Es Salaam, Tanzania; [Schroeder, Lee] Univ Michigan, Sch Med, Ann Arbor, MI USA; [Sullivan, Richard] Kings Coll London, London, England; [Tan, Bien-Soo] Singapore Gen Hosp, Singapore, Singapore; [Walia, Kamini] Indian Council Med Res, Delhi, India</t>
  </si>
  <si>
    <t>University of Oxford; University of Waterloo; Denver Health Medical Center; Harvard University; Harvard T.H. Chan School of Public Health; University of Vermont; National Institutes of Health (NIH) - USA; NIH National Cancer Institute (NCI); University of Pennsylvania; Pennsylvania Medicine; Foundation For Innovative New Diagnostics; University of Toronto; University of Hong Kong; University of Barcelona; Hospital Clinic de Barcelona; University of Cape Town; Universidad Peruana Cayetano Heredia; University of Massachusetts System; University of Massachusetts Worcester; Harvard University; Harvard University Medical Affiliates; Dana-Farber Cancer Institute; McGill University; McGill University; Johns Hopkins University; Johns Hopkins Bloomberg School of Public Health; Universiti Malaya; Harvard University; Harvard Medical School; University of Michigan System; University of Michigan; University of London; King's College London; Singapore General Hospital; Indian Council of Medical Research (ICMR)</t>
  </si>
  <si>
    <t>The Lancet Commission on diagnostics: transforming access to diagnostics</t>
  </si>
  <si>
    <t>SUB-SAHARAN AFRICA; EXTERNAL QUALITY ASSESSMENT; CHRONIC HEPATITIS-B; IMAGING MODALITIES; DIGITAL PATHOLOGY; ARTIFICIAL-INTELLIGENCE; LABORATORY MEDICINE; COST-EFFECTIVENESS; DECISION-SUPPORT; HUMAN-RESOURCES</t>
  </si>
  <si>
    <t>Looi, Lai Meng/AAB-9403-2019; Cheung, Annie/C-4230-2009; Adam, Pierrick/AAC-6657-2019; Atun, Rifat/AAH-5537-2021; Iyer, Hari/LFT-0329-2024; Horton, Susan/KLY-9096-2024; SAYED, SHAHIN/F-8641-2016; Douglas, Tania/AAH-4548-2019; Sullivan, Richard/PQA-7638-2026</t>
  </si>
  <si>
    <t>Looi, Lai Meng/0000-0001-8325-0117; Labrique, Alain/0000-0003-2502-7819; Schroeder, Lee/0000-0002-2787-3608; Shah, Devanshi/0000-0002-0571-4040; Dahn, Bernice/0000-0003-3954-8658; Walia, Kamini/0000-0002-1494-6919; Douglas, Tania/0000-0003-2024-4179; , Kristen K DeStigter FACR FAAR/0000-0001-8235-3245; Garcia, Patricia J/0000-0003-3874-2256</t>
  </si>
  <si>
    <t>NOV 27 2021</t>
  </si>
  <si>
    <t>10315</t>
  </si>
  <si>
    <t>1997</t>
  </si>
  <si>
    <t>2050</t>
  </si>
  <si>
    <t>10.1016/S0140-6736(21)00673-5</t>
  </si>
  <si>
    <t>http://dx.doi.org/10.1016/S0140-6736(21)00673-5</t>
  </si>
  <si>
    <t>XD7PT</t>
  </si>
  <si>
    <t>34626542</t>
  </si>
  <si>
    <t>WOS:000722897200032</t>
  </si>
  <si>
    <t>Ueda, D; Kakinuma, T; Fujita, S; Kamagata, K; Fushimi, Y; Ito, R; Matsui, Y; Nozaki, T; Nakaura, T; Fujima, N; Tatsugami, F; Yanagawa, M; Hirata, K; Yamada, A; Tsuboyama, T; Kawamura, M; Fujioka, T; Naganawa, S</t>
  </si>
  <si>
    <t>In this review, we address the issue of fairness in the clinical integration of artificial intelligence (AI) in the medical field. As the clinical adoption of deep learning algorithms, a subfield of AI, progresses, concerns have arisen regarding the impact of AI biases and discrimination on patient health. This review aims to provide a comprehensive overview of concerns associated with AI fairness; discuss strategies to mitigate AI biases; and emphasize the need for cooperation among physicians, AI researchers, AI developers, policymakers, and patients to ensure equitable AI integration. First, we define and introduce the concept of fairness in AI applications in healthcare and radiology, emphasizing the benefits and challenges of incorporating AI into clinical practice. Next, we delve into concerns regarding fairness in healthcare, addressing the various causes of biases in AI and potential concerns such as misdiagnosis, unequal access to treatment, and ethical considerations. We then outline strategies for addressing fairness, such as the importance of diverse and representative data and algorithm audits. Additionally, we discuss ethical and legal considerations such as data privacy, responsibility, accountability, transparency, and explainability in AI. Finally, we present the Fairness of Artificial Intelligence Recommendations in healthcare (FAIR) statement to offer best practices. Through these efforts, we aim to provide a foundation for discussing the responsible and equitable implementation and deployment of AI in healthcare.</t>
  </si>
  <si>
    <t>Ueda, Daiju; Kakinuma, Taichi; Fujita, Shohei; Kamagata, Koji; Fushimi, Yasutaka; Ito, Rintaro; Matsui, Yusuke; Nozaki, Taiki; Nakaura, Takeshi; Fujima, Noriyuki; Tatsugami, Fuminari; Yanagawa, Masahiro; Hirata, Kenji; Yamada, Akira; Tsuboyama, Takahiro; Kawamura, Mariko; Fujioka, Tomoyuki; Naganawa, Shinji</t>
  </si>
  <si>
    <t>Ueda, D (corresponding author), Osaka Metropolitan Univ, Grad Sch Med, Dept Diagnost &amp; Intervent Radiol, 1-4-3 Asahi Machi,Abeno Ku, Osaka 5458585, Japan.</t>
  </si>
  <si>
    <t>ai.labo.ocu@gmail.com</t>
  </si>
  <si>
    <t>[Ueda, Daiju] Osaka Metropolitan Univ, Grad Sch Med, Dept Diagnost &amp; Intervent Radiol, 1-4-3 Asahi Machi,Abeno Ku, Osaka 5458585, Japan; [Kakinuma, Taichi] STORIA Law Off, Chuo Ku, Kobe, Hyogo, Japan; [Fujita, Shohei] Univ Tokyo, Dept Radiol, Bunkyo Ku, Tokyo, Japan; [Kamagata, Koji] Juntendo Univ, Dept Radiol, Grad Sch Med, Bunkyo Ku, Tokyo, Japan; [Fushimi, Yasutaka] Kyoto Univ, Dept Diagnost Imaging &amp; Nucl Med, Grad Sch Med, Sakyo Ku, Kyoto, Japan; [Ito, Rintaro; Kawamura, Mariko; Naganawa, Shinji] Nagoya Univ, Dept Radiol, Grad Sch Med, Nagoya, Aichi, Japan; [Matsui, Yusuke] Okayama Univ, Fac Med Dent &amp; Pharmaceut Sci, Dept Radiol, Kita Ku, Okayama, Japan; [Nozaki, Taiki] Keio Univ, Dept Radiol, Sch Med, Shinjuku Ku, Tokyo, Japan; [Nakaura, Takeshi] Kumamoto Univ, Dept Diagnost Radiol, Grad Sch Med, Chuo Ku, Kumamoto, Japan; [Fujima, Noriyuki] Hokkaido Univ Hosp, Dept Diagnost &amp; Intervent Radiol, Sapporo, Japan; [Tatsugami, Fuminari] Hiroshima Univ, Dept Diagnost Radiol, Minami Ku, Hiroshima, Japan; [Yanagawa, Masahiro; Tsuboyama, Takahiro] Osaka Univ, Dept Radiol, Grad Sch Med, Suita, Osaka, Japan; [Hirata, Kenji] Hokkaido Univ, Grad Sch Med, Dept Diagnost Imaging, Kita Ku, Sapporo, Hokkaido, Japan; [Yamada, Akira] Shinshu Univ, Dept Radiol, Sch Med, Matsumoto, Nagano, Japan; [Fujioka, Tomoyuki] Tokyo Med &amp; Dent Univ, Dept Diagnost Radiol, Bunkyo Ku, Tokyo, Japan</t>
  </si>
  <si>
    <t>Osaka Metropolitan University; University of Tokyo; Juntendo University; Kyoto University; Nagoya University; Okayama University; Keio University; Kumamoto University; Hokkaido University; Hiroshima University; University of Osaka; Hokkaido University; Shinshu University; Institute of Science Tokyo; Tokyo Medical &amp; Dental University (TMDU)</t>
  </si>
  <si>
    <t>Fairness of artificial intelligence in healthcare: review and recommendations</t>
  </si>
  <si>
    <t>JAPANESE JOURNAL OF RADIOLOGY</t>
  </si>
  <si>
    <t>Fairness; Bias; Artificial intelligence; Healthcare; Medicine; Review</t>
  </si>
  <si>
    <t>BIG DATA; CHEST RADIOGRAPHS; LEARNING-MODELS; BIAS; VALIDATION; PERFORMANCE; DISEASE; PRIVACY; ETHICS; ISSUES</t>
  </si>
  <si>
    <t>Yanagawa, Masahiro/AAD-2306-2022; Yamada, Akira/AAD-1536-2019; Kawamura, Mariko/Q-5517-2019; Nakaura, Takeshi/HQZ-8072-2023; Ito, Rintaro/AFH-9268-2022; 鎌形, 康司/AFL-9072-2022; Ueda, Daiju/AAG-2167-2021; Naganawa, Shinji/I-1572-2012; Fujima, Noriyuki/AAF-7270-2020; Fushimi, Yasutaka/L-8922-2017</t>
  </si>
  <si>
    <t>Yanagawa, Masahiro/0000-0002-0911-6769; Ito, Rintaro/0000-0002-7971-043X; Ueda, Daiju/0000-0002-3878-3616; Fushimi, Yasutaka/0000-0002-1982-3168</t>
  </si>
  <si>
    <t>227</t>
  </si>
  <si>
    <t>1867-1071</t>
  </si>
  <si>
    <t>1867-108X</t>
  </si>
  <si>
    <t>JPN J RADIOL</t>
  </si>
  <si>
    <t>Jpn. J. Radiol.</t>
  </si>
  <si>
    <t>10.1007/s11604-023-01474-3</t>
  </si>
  <si>
    <t>http://dx.doi.org/10.1007/s11604-023-01474-3</t>
  </si>
  <si>
    <t>DR3V4</t>
  </si>
  <si>
    <t>37540463</t>
  </si>
  <si>
    <t>WOS:001043049800002</t>
  </si>
  <si>
    <t>Cross, JL; Choma, MA; Onofrey, JA</t>
  </si>
  <si>
    <t>Biases in medical artificial intelligence (AI) arise and compound throughout the AI lifecycle. These biases can have significant clinical consequences, especially in applications that involve clinical decision-making. Left unaddressed, biased medical AI can lead to substandard clinical decisions and the perpetuation and exacerbation of longstanding healthcare disparities. We discuss potential biases that can arise at different stages in the AI development pipeline and how they can affect AI algorithms and clinical decision-making. Bias can occur in data features and labels, model development and evaluation, deployment, and publication. Insufficient sample sizes for certain patient groups can result in suboptimal performance, algorithm underestimation, and clinically unmeaningful predictions. Missing patient findings can also produce biased model behavior, including capturable but nonrandomly missing data, such as diagnosis codes, and data that is not usually or not easily captured, such as social determinants of health. Expertly annotated labels used to train supervised learning models may reflect implicit cognitive biases or substandard care practices. Overreliance on performance metrics during model development may obscure bias and diminish a model's clinical utility. When applied to data outside the training cohort, model performance can deteriorate from previous validation and can do so differentially across subgroups. How end users interact with deployed solutions can introduce bias. Finally, where models are developed and published, and by whom, impacts the trajectories and priorities of future medical AI development. Solutions to mitigate bias must be implemented with care, which include the collection of large and diverse data sets, statistical debiasing methods, thorough model evaluation, emphasis on model interpretability, and standardized bias reporting and transparency requirements. Prior to real-world implementation in clinical settings, rigorous validation through clinical trials is critical to demonstrate unbiased application. Addressing biases across model development stages is crucial for ensuring all patients benefit equitably from the future of medical AI.</t>
  </si>
  <si>
    <t>Cross, James L.; Choma, Michael A.; Onofrey, John A.</t>
  </si>
  <si>
    <t>Cross, JL (corresponding author), Yale Sch Med, New Haven, CT 06510 USA.</t>
  </si>
  <si>
    <t>j.cross@yale.edu</t>
  </si>
  <si>
    <t>[Cross, James L.] Yale Sch Med, New Haven, CT 06510 USA; [Choma, Michael A.; Onofrey, John A.] Yale Univ, Dept Radiol &amp; Biomed Imaging, New Haven, CT USA; [Onofrey, John A.] Yale Univ, Dept Urol, New Haven, CT USA; [Onofrey, John A.] Yale Univ, Dept Biomed Engn, New Haven, CT USA</t>
  </si>
  <si>
    <t>Yale University; Yale University; Yale University; Yale University</t>
  </si>
  <si>
    <t>Bias in medical AI: Implications for clinical decision-making</t>
  </si>
  <si>
    <t>PATIENT-REPORTED OUTCOMES; SOCIAL DETERMINANTS; ARTIFICIAL-INTELLIGENCE; RACIAL BIAS; HEALTH-CARE; RISK; RACE; STRATEGIES; QUALITY</t>
  </si>
  <si>
    <t>Onofrey, John/T-9841-2019</t>
  </si>
  <si>
    <t>Cross, James/0009-0008-9690-128X; Onofrey, John/0000-0002-9432-0448</t>
  </si>
  <si>
    <t>367</t>
  </si>
  <si>
    <t>434</t>
  </si>
  <si>
    <t>NOV 2024</t>
  </si>
  <si>
    <t>e0000651</t>
  </si>
  <si>
    <t>10.1371/journal.pdig.0000651</t>
  </si>
  <si>
    <t>http://dx.doi.org/10.1371/journal.pdig.0000651</t>
  </si>
  <si>
    <t>W2L5M</t>
  </si>
  <si>
    <t>39509461</t>
  </si>
  <si>
    <t>WOS:001416955700001</t>
  </si>
  <si>
    <t>Gong, S; Lu, Y; Yin, JL; Levin, A; Cheng, WL</t>
  </si>
  <si>
    <t>In the era of Internet-of-things, many things can stay connected; however, biological systems, including those necessary for human health, remain unable to stay connected to the global Internet due to the lack of soft conformal biosensors. The fundamental challenge lies in the fact that electronics and biology are distinct and incompatible, as they are based on different materials via different functioning principles. In particular, the human body is soft and curvilinear, yet electronics are typically rigid and planar. Recent advances in materials and materials design have generated tremendous opportunities to design soft wearable bioelectronics, which may bridge the gap, enabling the ultimate dream of connected healthcare for anyone, anytime, and anywhere. We begin with a review of the historical development of healthcare, indicating the significant trend of connected healthcare. This is followed by the focal point of discussion about new materials and materials design, particularly low-dimensional nanomaterials. We summarize material types and their attributes for designing soft bioelectronic sensors; we also cover their synthesis and fabrication methods, including top-down, bottom-up, and their combined approaches. Next, we discuss the wearable energy challenges and progress made to date. In addition to front-end wearable devices, we also describe back-end machine learning algorithms, artificial intelligence, telecommunication, and software. Afterward, we describe the integration of soft wearable bioelectronic systems which have been applied in various testbeds in real-world settings, including laboratories that are preclinical and clinical environments. Finally, we narrate the remaining challenges and opportunities in conjunction with our perspectives.</t>
  </si>
  <si>
    <t>Gong, Shu; Lu, Yan; Yin, Jialiang; Levin, Arie; Cheng, Wenlong</t>
  </si>
  <si>
    <t>Cheng, WL (corresponding author), Monash Univ, Dept Chem &amp; Biol Engn, Clayton, Vic 3800, Australia.</t>
  </si>
  <si>
    <t>wenlong.cheng@monash.edu</t>
  </si>
  <si>
    <t>Australian Research Council [DP200100624, DP210101045]; NHMRC investigator grant [APP2010154]</t>
  </si>
  <si>
    <t>Australian Research Council (Australian Research Council); NHMRC investigator grant (National Health &amp; Medical Research Council (NHMRC) of Australia)</t>
  </si>
  <si>
    <t>This research was financially supported under a Discovery Projects funding scheme (grant nos. DP200100624, DP210101045) and an NHMRC investigator grant (APP2010154). This work was performed in part at the Melbourne Centre for Nanofabrication (MCN) in the Victorian Node of the Australian National Fabrication Facility (ANFF).</t>
  </si>
  <si>
    <t>[Gong, Shu; Lu, Yan; Yin, Jialiang; Levin, Arie; Cheng, Wenlong] Monash Univ, Dept Chem &amp; Biol Engn, Clayton, Vic 3800, Australia</t>
  </si>
  <si>
    <t>Monash University</t>
  </si>
  <si>
    <t>Materials-Driven Soft Wearable Bioelectronics for Connected Healthcare</t>
  </si>
  <si>
    <t>CHEMICAL REVIEWS</t>
  </si>
  <si>
    <t>SILVER NANOWIRE NETWORKS; ULTRATHIN GOLD NANOWIRES; HEART-RATE-VARIABILITY; FLEXIBLE TRANSPARENT ELECTRODES; PRINTABLE ELASTIC CONDUCTORS; LIQUID-METAL NANOPARTICLES; LITHIUM-ION BATTERIES; ON-SKIN ELECTRONICS; STRAIN-GAUGE SENSOR; IN-CELL RECORDINGS</t>
  </si>
  <si>
    <t>Gong, Shu/K-7783-2019; Levin, Arie/PUC-8255-2026; Cheng, Wenlong/C-7516-2012</t>
  </si>
  <si>
    <t>Lu, Yan/0009-0004-7251-0349; Cheng, Wenlong/0000-0002-2346-4970; LEVIN, ARIE/0000-0003-4352-1933</t>
  </si>
  <si>
    <t>823</t>
  </si>
  <si>
    <t>1023</t>
  </si>
  <si>
    <t>AMER CHEMICAL SOC</t>
  </si>
  <si>
    <t>WASHINGTON</t>
  </si>
  <si>
    <t>1155 16TH ST, NW, WASHINGTON, DC 20036 USA</t>
  </si>
  <si>
    <t>0009-2665</t>
  </si>
  <si>
    <t>1520-6890</t>
  </si>
  <si>
    <t>CHEM REV</t>
  </si>
  <si>
    <t>Chem. Rev.</t>
  </si>
  <si>
    <t>JAN 4 2024</t>
  </si>
  <si>
    <t>553</t>
  </si>
  <si>
    <t>10.1021/acs.chemrev.3c00502</t>
  </si>
  <si>
    <t>http://dx.doi.org/10.1021/acs.chemrev.3c00502</t>
  </si>
  <si>
    <t>GD5M1</t>
  </si>
  <si>
    <t>38174868</t>
  </si>
  <si>
    <t>WOS:001150740300001</t>
  </si>
  <si>
    <t>Pinto-Coelho, L</t>
  </si>
  <si>
    <t>The integration of artificial intelligence (AI) into medical imaging has guided in an era of transformation in healthcare. This literature review explores the latest innovations and applications of AI in the field, highlighting its profound impact on medical diagnosis and patient care. The innovation segment explores cutting-edge developments in AI, such as deep learning algorithms, convolutional neural networks, and generative adversarial networks, which have significantly improved the accuracy and efficiency of medical image analysis. These innovations have enabled rapid and accurate detection of abnormalities, from identifying tumors during radiological examinations to detecting early signs of eye disease in retinal images. The article also highlights various applications of AI in medical imaging, including radiology, pathology, cardiology, and more. AI-based diagnostic tools not only speed up the interpretation of complex images but also improve early detection of disease, ultimately delivering better outcomes for patients. Additionally, AI-based image processing facilitates personalized treatment plans, thereby optimizing healthcare delivery. This literature review highlights the paradigm shift that AI has brought to medical imaging, highlighting its role in revolutionizing diagnosis and patient care. By combining cutting-edge AI techniques and their practical applications, it is clear that AI will continue shaping the future of healthcare in profound and positive ways.</t>
  </si>
  <si>
    <t>Pinto-Coelho, Luis</t>
  </si>
  <si>
    <t>Pinto-Coelho, L (corresponding author), Polytech Inst Porto, Sch Engn, ISEP, P-4200465 Porto, Portugal.; Pinto-Coelho, L (corresponding author), INESCTEC, Campus Engn Fac Univ Porto, P-4200465 Porto, Portugal.</t>
  </si>
  <si>
    <t>lfc@isep.ipp.pt</t>
  </si>
  <si>
    <t>[Pinto-Coelho, Luis] Polytech Inst Porto, Sch Engn, ISEP, P-4200465 Porto, Portugal; [Pinto-Coelho, Luis] INESCTEC, Campus Engn Fac Univ Porto, P-4200465 Porto, Portugal</t>
  </si>
  <si>
    <t>Instituto Politecnico do Porto; INESC TEC</t>
  </si>
  <si>
    <t>How Artificial Intelligence Is Shaping Medical Imaging Technology: A Survey of Innovations and Applications</t>
  </si>
  <si>
    <t>artificial intelligence; medical imaging; review; diagnostics; segmentation; classification</t>
  </si>
  <si>
    <t>Coelho, Luis/O-6904-2019</t>
  </si>
  <si>
    <t>Coelho, Luis/0000-0002-5673-7306</t>
  </si>
  <si>
    <t>366</t>
  </si>
  <si>
    <t>457</t>
  </si>
  <si>
    <t>DEC 2023</t>
  </si>
  <si>
    <t>1435</t>
  </si>
  <si>
    <t>10.3390/bioengineering10121435</t>
  </si>
  <si>
    <t>http://dx.doi.org/10.3390/bioengineering10121435</t>
  </si>
  <si>
    <t>DF2F9</t>
  </si>
  <si>
    <t>38136026</t>
  </si>
  <si>
    <t>WOS:001130543200001</t>
  </si>
  <si>
    <t>Noorbakhsh-Sabet, N; Zand, R; Zhang, YF; Abedi, V</t>
  </si>
  <si>
    <t>Life sciences researchers using artificial intelligence (AI) are under pressure to innovate faster than ever. Large, multilevel, and integrated data sets offer the promise of unlocking novel insights and accelerating breakthroughs. Although more data are available than ever, only a fraction is being curated, integrated, understood, and analyzed. AI focuses on how computers learn from data and mimic human thought processes. AI increases learning capacity and provides decision support system at scales that are transforming the future of health care. This article is a review of applications for machine learning in health care with a focus on clinical, translational, and public health applications with an overview of the important role of privacy, data sharing, and genetic information. (C) 2019 Elsevier Inc. All rights reserved.</t>
  </si>
  <si>
    <t>Noorbakhsh-Sabet, Nariman; Zand, Ramin; Zhang, Yanfei; Abedi, Vida</t>
  </si>
  <si>
    <t>Abedi, V (corresponding author), Geisinger Hlth Syst, Biomed &amp; Translat Informat Inst, 100 N Acad Ave, Danville, PA 17822 USA.</t>
  </si>
  <si>
    <t>vidaabedi@gmail.com</t>
  </si>
  <si>
    <t>Geisinger Research; National Institute of Health (NIH) [R56HL116832]; Defense Threat Reduction Agency (DTRA) [HDTRA1-18-1-0008, 450557-19D03]</t>
  </si>
  <si>
    <t>Geisinger Research; National Institute of Health (NIH) (United States Department of Health &amp; Human Services, National Institutes of Health (NIH) - USA); Defense Threat Reduction Agency (DTRA) (United States Department of Defense, Defense Threat Reduction Agency)</t>
  </si>
  <si>
    <t>This work was in part supported by Geisinger Research, and by funds from the National Institute of Health (NIH) grant No. R56HL116832 to Sutter Health and sub-awarded to VA (Sub-PI, Geisinger) as well as funds from the Defense Threat Reduction Agency (DTRA) grant No. HDTRA1-18-1-0008 to Virginia Tech and sub-awarded to VA (Sub-PI, Geisinger, sub-award No. 450557-19D03). The funders had no role in study design, data collection and interpretation, or the decision to submit the work for publication.</t>
  </si>
  <si>
    <t>[Noorbakhsh-Sabet, Nariman] St Jude Childrens Res Hosp, 332 N Lauderdale St, Memphis, TN 38105 USA; [Noorbakhsh-Sabet, Nariman; Zand, Ramin] Univ Tennessee, Hlth Sci Ctr, Memphis, TN 38163 USA; [Zand, Ramin] Geisinger Hlth Syst, Geisinger Neurosci Inst, Danville, PA USA; [Zand, Ramin; Abedi, Vida] Virginia Tech, Biocomplex Inst, Blacksburg, VA USA; [Zhang, Yanfei] Geisinger Hlth Syst, Genom Med Inst, Danville, PA USA; [Abedi, Vida] Geisinger Hlth Syst, Biomed &amp; Translat Informat Inst, 100 N Acad Ave, Danville, PA 17822 USA</t>
  </si>
  <si>
    <t>St Jude Children's Research Hospital; University of Tennessee System; University of Tennessee Health Science Center; Geisinger Health System; Virginia Polytechnic Institute &amp; State University; Geisinger Health System; Geisinger Health System</t>
  </si>
  <si>
    <t>Artificial Intelligence Transforms the Future of Health Care</t>
  </si>
  <si>
    <t>Artificial intelligence (AI); Integrated health care systems; Machine learning; Medical informatics; Precision medicine</t>
  </si>
  <si>
    <t>HEART-FAILURE; LEARNING ALGORITHM; BIG DATA; STROKE; DEEP; NETWORK</t>
  </si>
  <si>
    <t>Zhang, Yanfei/AAL-2148-2021; Abedi, Vida/LZH-1548-2025</t>
  </si>
  <si>
    <t>Zand, Ramin/0000-0002-9477-0094; Abedi, Vida/0000-0001-7689-933X</t>
  </si>
  <si>
    <t>795</t>
  </si>
  <si>
    <t>801</t>
  </si>
  <si>
    <t>10.1016/j.amjmed.2019.01.017</t>
  </si>
  <si>
    <t>http://dx.doi.org/10.1016/j.amjmed.2019.01.017</t>
  </si>
  <si>
    <t>IO1DF</t>
  </si>
  <si>
    <t>30710543</t>
  </si>
  <si>
    <t>WOS:000479120000023</t>
  </si>
  <si>
    <t>Doss, MX; Sachinidis, A</t>
  </si>
  <si>
    <t>Induced pluripotent stem cell (iPSC)-based disease modelling and the cell replacement therapy approach have proven to be very powerful and instrumental in biomedical research and personalized regenerative medicine as evidenced in the past decade by unraveling novel pathological mechanisms of a multitude of monogenic diseases at the cellular level and the ongoing and emerging clinical trials with iPSC-derived cell products. iPSC-based disease modelling has sparked widespread enthusiasm and has presented an unprecedented opportunity in high throughput drug discovery platforms and safety pharmacology in association with three-dimensional multicellular organoids such as personalized organs-on-chips, gene/base editing, artificial intelligence and high throughput omics methodologies. This critical review summarizes the progress made in the past decade with the advent of iPSC discovery in biomedical applications and regenerative medicine with case examples and the current major challenges that need to be addressed to unleash the full potential of iPSCs in clinical settings and pharmacology for more effective and safer regenerative therapy.</t>
  </si>
  <si>
    <t>Doss, Michael Xavier; Sachinidis, Agapios</t>
  </si>
  <si>
    <t>Doss, MX (corresponding author), BioMarin Pharmaceut Inc, Technol Dev Div, 105 Digital Dr, Novato, CA 94949 USA.</t>
  </si>
  <si>
    <t>Michael.Jesudoss@bmrn.com; a.sachinidis@uni-koeln.de</t>
  </si>
  <si>
    <t>BMBF (SysDT-Trans) [031L0117C]</t>
  </si>
  <si>
    <t>BMBF (SysDT-Trans) (Federal Ministry of Education &amp; Research (BMBF))</t>
  </si>
  <si>
    <t>A.S. has been supported by BMBF (SysDT-Trans (031L0117C)).</t>
  </si>
  <si>
    <t>[Doss, Michael Xavier] BioMarin Pharmaceut Inc, Technol Dev Div, 105 Digital Dr, Novato, CA 94949 USA; [Sachinidis, Agapios] Univ Cologne, Inst Neurophysiol, Robert Koch Str 39, D-50931 Cologne, Germany; [Sachinidis, Agapios] Univ Cologne, Ctr Mol Med, Robert Koch Str 39, D-50931 Cologne, Germany</t>
  </si>
  <si>
    <t>BioMarin Pharmaceutical Inc.; University of Cologne; University of Cologne</t>
  </si>
  <si>
    <t>Current Challenges of iPSC-Based Disease Modeling and Therapeutic Implications</t>
  </si>
  <si>
    <t>CELLS</t>
  </si>
  <si>
    <t>induced pluripotent stem cells; cell replacement therapy; drug discovery; safety pharmacology; disease modeling; autologous cell therapy; allogenic cell therapy; clinical trials with stem cells</t>
  </si>
  <si>
    <t>PLURIPOTENT STEM-CELLS; EPIGENETIC MEMORY; ENDOTHELIAL-CELLS; GENERATION; CANCER; MOUSE; CARDIOMYOCYTES; EFFICIENT; TOOL; DIFFERENTIATION</t>
  </si>
  <si>
    <t>Jesudoss, Michael Xavier Doss/D-1983-2015; SACHINIDIS, Agapios/AAM-7988-2020</t>
  </si>
  <si>
    <t>Jesudoss, Michael Xavier Doss/0000-0001-6339-9782; SACHINIDIS, Agapios/0000-0003-3054-225X</t>
  </si>
  <si>
    <t>416</t>
  </si>
  <si>
    <t>2073-4409</t>
  </si>
  <si>
    <t>CELLS-BASEL</t>
  </si>
  <si>
    <t>Cells</t>
  </si>
  <si>
    <t>10.3390/cells8050403</t>
  </si>
  <si>
    <t>http://dx.doi.org/10.3390/cells8050403</t>
  </si>
  <si>
    <t>IC5FZ</t>
  </si>
  <si>
    <t>31052294</t>
  </si>
  <si>
    <t>WOS:000470994400023</t>
  </si>
  <si>
    <t>Le Berre, C; Sandborn, WJ; Aridhi, S; Devignes, MD; Fournier, L; Smaïl-Tabbone, M; Danese, S; Peyrin-Biroulet, L</t>
  </si>
  <si>
    <t>Since 2010, substantial progress has been made in artificial intelligence (AI) and its application to medicine. AI is explored in gastroenterology for endoscopic analysis of lesions, in detection of cancer, and to facilitate the analysis of inflammatory lesions or gastrointestinal bleeding during wireless capsule endoscopy. AI is also tested to assess liver fibrosis and to differentiate patients with pancreatic cancer from those with pancreatitis. AI might also be used to establish prognoses of patients or predict their response to treatments, based on multiple factors. We review the ways in which AI may help physicians make a diagnosis or establish a prognosis and discuss its limitations, knowing that further randomized controlled studies will be required before the approval of AI techniques by the health authorities.</t>
  </si>
  <si>
    <t>Le Berre, Catherine; Sandborn, William J.; Aridhi, Sabeur; Devignes, Marie-Dominique; Fournier, Laure; Smail-Tabbone, Malika; Danese, Silvio; Peyrin-Biroulet, Laurent</t>
  </si>
  <si>
    <t>Peyrin-Biroulet, L (corresponding author), Univ Lorraine, Nancy Univ Hosp, Dept Gastroenterol, 1 Allee Morvan, F-54511 Vandoeuvre Les Nancy, France.; Peyrin-Biroulet, L (corresponding author), Univ Lorraine, INSERM, U1256, NGERE, 1 Allee Morvan, F-54511 Vandoeuvre Les Nancy, France.</t>
  </si>
  <si>
    <t>peyrinbiroulet@gmail.com</t>
  </si>
  <si>
    <t>[Le Berre, Catherine] Nantes Univ Hosp, Inst Malad Appareil Digestif, Nantes, France; [Le Berre, Catherine; Peyrin-Biroulet, Laurent] Univ Lorraine, INSERM, U954, Nancy Univ Hosp, Nancy, France; [Le Berre, Catherine; Peyrin-Biroulet, Laurent] Univ Lorraine, Nancy Univ Hosp, Dept Gastroenterol, 1 Allee Morvan, F-54511 Vandoeuvre Les Nancy, France; [Sandborn, William J.] Univ Calif San Diego, La Jolla, CA 92093 USA; [Aridhi, Sabeur; Devignes, Marie-Dominique; Smail-Tabbone, Malika] Univ Lorraine, CNRS, INRIA, Lab Lorrain Rech Informat &amp; Ses Applicat, Nancy, France; [Fournier, Laure] Univ Paris 05, INSERM, Unite Mixte Rech S970, AP HP, Paris, France; [Danese, Silvio] Humanitas Univ, Humanitas Clin &amp; Res Ctr, Inflammatory Bowel Dis Ctr, Milan, Italy; [Danese, Silvio] Humanitas Univ, Humanitas Clin &amp; Res Ctr, Dept Biomed Sci, Milan, Italy</t>
  </si>
  <si>
    <t>Nantes Universite; CHU de Nantes; Institut National de la Sante et de la Recherche Medicale (Inserm); CHU de Nancy; Universite de Lorraine; Universite de Lorraine; CHU de Nancy; University of California System; University of California San Diego; Universite de Lorraine; Centre National de la Recherche Scientifique (CNRS); Inria; Assistance Publique Hopitaux Paris (APHP); Universite Paris Cite; Institut National de la Sante et de la Recherche Medicale (Inserm); Humanitas University; Humanitas University</t>
  </si>
  <si>
    <t>Application of Artificial Intelligence to Gastroenterology and Hepatology</t>
  </si>
  <si>
    <t>GASTROENTEROLOGY</t>
  </si>
  <si>
    <t>Deep Learning; Machine Learning; Neural Network; Digestive System</t>
  </si>
  <si>
    <t>COMPUTER-AIDED DIAGNOSIS; HELICOBACTER-PYLORI INFECTION; CONVOLUTIONAL NEURAL-NETWORK; CAPSULE ENDOSCOPY IMAGES; COLORECTAL POLYPS; TEXTURE DESCRIPTORS; LEARNING ALGORITHM; PANCREATIC-CANCER; LESION DETECTION; CELIAC-DISEASE</t>
  </si>
  <si>
    <t>Sandborn, William/ABE-8342-2020; Le Berre, Catherine/IAR-4749-2023; Fournier, Laure/HJI-9361-2023; Danese, Silvio/ABH-9571-2020; Aridhi, Sabeur/C-8986-2016; Devignes, Marie-Dominique/AAI-4554-2020</t>
  </si>
  <si>
    <t>Smail-Tabbone, Malika/0000-0002-8119-2117; Le Berre, Catherine/0000-0002-1124-2019; Fournier, Laure/0000-0002-1878-0290; Danese, Silvio/0000-0001-7341-1351</t>
  </si>
  <si>
    <t>361</t>
  </si>
  <si>
    <t>310</t>
  </si>
  <si>
    <t>W B SAUNDERS CO-ELSEVIER INC</t>
  </si>
  <si>
    <t>1600 JOHN F KENNEDY BOULEVARD, STE 1800, PHILADELPHIA, PA 19103-2899 USA</t>
  </si>
  <si>
    <t>0016-5085</t>
  </si>
  <si>
    <t>1528-0012</t>
  </si>
  <si>
    <t>Gastroenterology</t>
  </si>
  <si>
    <t>10.1053/j.gastro.2019.08.058</t>
  </si>
  <si>
    <t>http://dx.doi.org/10.1053/j.gastro.2019.08.058</t>
  </si>
  <si>
    <t>JV7NZ</t>
  </si>
  <si>
    <t>31593701</t>
  </si>
  <si>
    <t>WOS:000502549500029</t>
  </si>
  <si>
    <t>Sheikhalishahi, S; Miotto, R; Dudley, JT; Lavelli, A; Rinaldi, F; Osmani, V</t>
  </si>
  <si>
    <t>Background: Novel approaches that complement and go beyond evidence-based medicine are required in the domain of chronic diseases, given the growing incidence of such conditions on the worldwide population. A promising avenue is the secondary use of electronic health records (EHRs), where patient data are analyzed to conduct clinical and translational research. Methods based on machine learning to process EHRs are resulting in improved understanding of patient clinical trajectories and chronic disease risk prediction, creating a unique opportunity to derive previously unknown clinical insights. However, a wealth of clinical histories remains locked behind clinical narratives in free-form text. Consequently, unlocking the full potential of EHR data is contingent on the development of natural language processing (NLP) methods to automatically transform clinical text into structured clinical data that can guide clinical decisions and potentially delay or prevent disease onset.Objective: The goal of the research was to provide a comprehensive overview of the development and uptake of NLP methods applied to free-text clinical notes related to chronic diseases, including the investigation of challenges faced by NLP methodologies in understanding clinical narratives.Methods: Preferred Reporting Items for Systematic Reviews and Meta-Analyses (PRISMA) guidelines were followed and searches were conducted in 5 databases using "clinical notes," " natural language processing," and " chronic disease" and their variations as keywords to maximize coverage of the articles.Results: Of the 2652 articles considered, 106 met the inclusion criteria. Review of the included papers resulted in identification of 43 chronic diseases, which were then further classified into 10 disease categories using the International Classification of Diseases, 10th Revision. The majority of studies focused on diseases of the circulatory system (n=38) while endocrine and metabolic diseases were fewest (n=14). This was due to the structure of clinical records related to metabolic diseases, which typically contain much more structured data, compared with medical records for diseases of the circulatory system, which focus more on unstructured data and consequently have seen a stronger focus of NLP. The review has shown that there is a significant increase in the use of machine learning methods compared to rule-based approaches; however, deep learning methods remain emergent (n=3). Consequently, the majority of works focus on classification of disease phenotype with only a handful of papers addressing extraction of comorbidities from the free text or integration of clinical notes with structured data. There is a notable use of relatively simple methods, such as shallow classifiers (or combination with rule-based methods), due to the interpretability of predictions, which still represents a significant issue for more complex methods. Finally, scarcity of publicly available data may also have contributed to insufficient development of more advanced methods, such as extraction of word embeddings from clinical notes.Conclusions: Efforts are still required to improve (1) progression of clinical NLP methods from extraction toward understanding; (2) recognition of relations among entities rather than entities in isolation; (3) temporal extraction to understand past, current, and future clinical events; (4) exploitation of alternative sources of clinical knowledge; and (5) availability of large-scale, de-identified clinical corpora.</t>
  </si>
  <si>
    <t>Sheikhalishahi, Seyedmostafa; Miotto, Riccardo; Dudley, Joel T.; Lavelli, Alberto; Rinaldi, Fabio; Osmani, Venet</t>
  </si>
  <si>
    <t>Osmani, V (corresponding author), Fdn Bruno Kessler Res Inst, EHlth Res Grp, Via Sommarive 18, I-38123 Povo, Trento, Italy.</t>
  </si>
  <si>
    <t>vosmani@fbk.eu</t>
  </si>
  <si>
    <t>European Union [769765]; H2020 Societal Challenges Programme [769765] Funding Source: H2020 Societal Challenges Programme</t>
  </si>
  <si>
    <t>European Union (European Union (EU)); H2020 Societal Challenges Programme (Horizon 2020, European Union (EU), H2020 Societal Challenges Programme)</t>
  </si>
  <si>
    <t>This work was partially supported by the European Union's Horizon 2020 research and innovation program under grant agreement #769765.</t>
  </si>
  <si>
    <t>[Sheikhalishahi, Seyedmostafa; Osmani, Venet] Fdn Bruno Kessler Res Inst, eHlth Res Grp, Trento, Italy; [Sheikhalishahi, Seyedmostafa] Univ Trento, Dept Informat Engn &amp; Comp Sci, Trento, Italy; [Miotto, Riccardo; Dudley, Joel T.] Icahn Sch Med Mt Sinai, Dept Genet &amp; Genom Sci, Inst Next Generat Healthcare, New York, NY 10029 USA; [Lavelli, Alberto] Fdn Bruno Kessler Res Inst, NLP Res Grp, Trento, Italy; [Rinaldi, Fabio] Univ Zurich, Inst Computat Linguist, Zurich, Switzerland</t>
  </si>
  <si>
    <t>Fondazione Bruno Kessler; University of Trento; Icahn School of Medicine at Mount Sinai; Fondazione Bruno Kessler; University of Zurich</t>
  </si>
  <si>
    <t>Natural Language Processing of Clinical Notes on Chronic Diseases: Systematic Review</t>
  </si>
  <si>
    <t>JMIR MEDICAL INFORMATICS</t>
  </si>
  <si>
    <t>electronic health records; clinical notes; chronic diseases; natural language processing; machine learning; deep learning; heart disease; stroke; cancer; diabetes; lung disease</t>
  </si>
  <si>
    <t>ELECTRONIC MEDICAL-RECORDS; CORONARY-ARTERY-DISEASE; INFORMATION EXTRACTION; HEALTH RECORDS; RISK-FACTORS; HEART-DISEASE; AUTOMATIC IDENTIFICATION; NEGATION DETECTION; EJECTION FRACTION; RADIOLOGY REPORTS</t>
  </si>
  <si>
    <t>Rinaldi, Fabio/AAZ-8560-2021</t>
  </si>
  <si>
    <t>Osmani, Venet/0000-0001-7306-2972; Sheikhalishahi, Seyedmostafa/0000-0002-0121-0160; Lavelli, Alberto/0000-0002-7175-6804; Dudley, Joel/0000-0002-7036-6492; Miotto, Riccardo/0000-0002-7815-6000; Rinaldi, Fabio/0000-0001-5718-5462</t>
  </si>
  <si>
    <t>2291-9694</t>
  </si>
  <si>
    <t>JMIR MED INF</t>
  </si>
  <si>
    <t>JMIR Med. Inf.</t>
  </si>
  <si>
    <t>APR-JUN 2019</t>
  </si>
  <si>
    <t>e12239</t>
  </si>
  <si>
    <t>10.2196/12239</t>
  </si>
  <si>
    <t>http://dx.doi.org/10.2196/12239</t>
  </si>
  <si>
    <t>IG4MN</t>
  </si>
  <si>
    <t>31066697</t>
  </si>
  <si>
    <t>WOS:000473777800002</t>
  </si>
  <si>
    <t>Chaddad, A; Peng, JH; Xu, J; Bouridane, A</t>
  </si>
  <si>
    <t>Artificial intelligence (AI) with deep learning models has been widely applied in numerous domains, including medical imaging and healthcare tasks. In the medical field, any judgment or decision is fraught with risk. A doctor will carefully judge whether a patient is sick before forming a reasonable explanation based on the patient's symptoms and/or an examination. Therefore, to be a viable and accepted tool, AI needs to mimic human judgment and interpretation skills. Specifically, explainable AI (XAI) aims to explain the information behind the black-box model of deep learning that reveals how the decisions are made. This paper provides a survey of the most recent XAI techniques used in healthcare and related medical imaging applications. We summarize and categorize the XAI types, and highlight the algorithms used to increase interpretability in medical imaging topics. In addition, we focus on the challenging XAI problems in medical applications and provide guidelines to develop better interpretations of deep learning models using XAI concepts in medical image and text analysis. Furthermore, this survey provides future directions to guide developers and researchers for future prospective investigations on clinical topics, particularly on applications with medical imaging.</t>
  </si>
  <si>
    <t>Chaddad, Ahmad; Peng, Jihao; Xu, Jian; Bouridane, Ahmed</t>
  </si>
  <si>
    <t>Chaddad, A (corresponding author), Guilin Univ Elect Technol, Sch Artificial Intelligence, Jinji Rd, Guilin 541004, Peoples R China.; Chaddad, A (corresponding author), Ecole Technol Super, Lab Imagery Vis &amp; Artificial Intelligence, 1100 Rue Notre Dame, Montreal, PQ H3C 1K3, Canada.</t>
  </si>
  <si>
    <t>ahmadchaddad@guet.edu.cn</t>
  </si>
  <si>
    <t>NATIONAL NATURAL SCIENCE FOUNDATION [82260360]; FOREIGN YOUNG TALENTS PROGRAM [QN2021033002L]</t>
  </si>
  <si>
    <t>NATIONAL NATURAL SCIENCE FOUNDATION; FOREIGN YOUNG TALENTS PROGRAM</t>
  </si>
  <si>
    <t>This research was funded by NATIONAL NATURAL SCIENCE FOUNDATION grant number 82260360 and the FOREIGN YOUNG TALENTS PROGRAM QN2021033002L.</t>
  </si>
  <si>
    <t>[Chaddad, Ahmad; Peng, Jihao; Xu, Jian] Guilin Univ Elect Technol, Sch Artificial Intelligence, Jinji Rd, Guilin 541004, Peoples R China; [Chaddad, Ahmad] Ecole Technol Super, Lab Imagery Vis &amp; Artificial Intelligence, 1100 Rue Notre Dame, Montreal, PQ H3C 1K3, Canada; [Bouridane, Ahmed] Univ Sharjah, Ctr Data Analyt &amp; Cybersecur, Sharjah 27272, U Arab Emirates</t>
  </si>
  <si>
    <t>Guilin University of Electronic Technology; University of Quebec; Ecole de Technologie Superieure - Canada; University of Sharjah</t>
  </si>
  <si>
    <t>Survey of Explainable AI Techniques in Healthcare</t>
  </si>
  <si>
    <t>explainable AI; medical imaging; deep learning; radiomics</t>
  </si>
  <si>
    <t>ARTIFICIAL-INTELLIGENCE; BLACK-BOX; CLASSIFICATION; MULTICENTER; GENERATION; DECISIONS; NETWORKS; FAIRNESS; FUSION</t>
  </si>
  <si>
    <t>Chaddad, Ahmad/I-6894-2018</t>
  </si>
  <si>
    <t>Bouridane, Ahmed/0000-0002-1474-2772; Patil, Tanaya/0009-0007-3733-5532; Chaddad, Ahmad/0000-0003-3402-9576</t>
  </si>
  <si>
    <t>10.3390/s23020634</t>
  </si>
  <si>
    <t>http://dx.doi.org/10.3390/s23020634</t>
  </si>
  <si>
    <t>8Q5CD</t>
  </si>
  <si>
    <t>36679430</t>
  </si>
  <si>
    <t>WOS:000927224000001</t>
  </si>
  <si>
    <t>229</t>
  </si>
  <si>
    <t>Nussinov, R; Tsai, CJ; Jang, H</t>
  </si>
  <si>
    <t>Driver mutations promote initiation and progression of cancer. Pharmacological treatment can inhibit the action of the mutant protein; however, drug resistance almost invariably emerges. Multiple studies revealed that cancer drug resistance is based upon a plethora of distinct mechanisms. Drug resistance mutations can occur in the same protein or in different proteins; as well as in the same pathway or in parallel pathways, bypassing the intercepted signaling. The dilemma that the clinical oncologist is facing is that not all the genomic alterations as well as alterations in the tumor microenvironment that facilitate cancer cell proliferation are known, and neither are the alterations that are likely to promote metastasis. For example, the common KRasG12C driver mutation emerges in different cancers. Most occur in NSCLC, but some occur, albeit to a lower extent, in colorectal cancer and pancreatic ductal carcinoma. The responses to KRasG12C inhibitors are variable and fall into three categories, (i) new point mutations in KRas, or multiple copies of KRAS G12C which lead to higher expression level of the mutant protein; (ii) mutations in genes other than KRAS; (iii) original cancer transitioning to other cancer(s). Resistance to adagrasib, an experimental antitumor agent exerting its cytotoxic effect as a covalent inhibitor of the G12C KRas, indicated that half of the cases present multiple KRas mutations as well as allele amplification. Redundant or parallel pathways included MET amplification; emerging driver mutations in NRAS, BRAF, MAP2K1, and RET; gene fusion events in ALK, RET, BRAF, RAF1, and FGFR3; and loss-of-function mutations in NF1 and PTEN tumor suppressors. In the current review we discuss the molecular mechanisms underlying drug resistance while focusing on those emerging to common targeted cancer drivers. We also address questions of why cancers with a common driver mutation are unlikely to evolve a common drug resistance mechanism, and whether one can predict the likely mechanisms that the tumor cell may develop. These vastly important and tantalizing questions in drug discovery, and broadly in precision medicine, are the focus of our present review. We end with our perspective, which calls for target combinations to be selected and prioritized with the help of the emerging massive compute power which enables artificial intelligence, and the increased gathering of data to overcome its insatiable needs.</t>
  </si>
  <si>
    <t>Nussinov, Ruth; Tsai, Chung-Jung; Jang, Hyunbum</t>
  </si>
  <si>
    <t>Nussinov, R (corresponding author), NCI, Computat Struct Biol Sect, Frederick Natl Lab Canc Res, Lab Canc Irumunometab, Frederick, MD 21702 USA.</t>
  </si>
  <si>
    <t>NussinoR@mail.nih.gov</t>
  </si>
  <si>
    <t>National Cancer Institute, National Institutes of Health [HHSN261201500003I]; Intramural Research Program of the NIH, National Cancer Institute, Center for Cancer Research</t>
  </si>
  <si>
    <t>National Cancer Institute, National Institutes of Health (United States Department of Health &amp; Human Services, National Institutes of Health (NIH) - USA, NIH National Cancer Institute (NCI)); Intramural Research Program of the NIH, National Cancer Institute, Center for Cancer Research (United States Department of Health &amp; Human Services, National Institutes of Health (NIH) - USA, NIH National Cancer Institute (NCI))</t>
  </si>
  <si>
    <t>This project has been funded in whole or in part with federal funds from the National Cancer Institute, National Institutes of Health, under contract HHSN261201500003I. The content of this publication does not necessarily reflect the views or policies of the Department of Health and Human Services, nor does mention of trade names, commercial prod-ucts, or organizations imply endorsement by the U.S. Government. This Research was supported [in part] by the Intramural Research Program of the NIH, National Cancer Institute, Center for Cancer Research.</t>
  </si>
  <si>
    <t>[Nussinov, Ruth; Tsai, Chung-Jung; Jang, Hyunbum] NCI, Computat Struct Biol Sect, Frederick Natl Lab Canc Res, Lab Canc Irumunometab, Frederick, MD 21702 USA; [Nussinov, Ruth] Tel Aviv Univ, Sackler Sch Med, Dept Human Mol Genet &amp; Biochem, IL-69978 Tel Aviv, Israel</t>
  </si>
  <si>
    <t>National Institutes of Health (NIH) - USA; NIH National Cancer Institute (NCI); Frederick National Laboratory for Cancer Research; Tel Aviv University; Sackler Faculty of Medicine</t>
  </si>
  <si>
    <t>Anticancer drug resistance: An update and perspective</t>
  </si>
  <si>
    <t>DRUG RESISTANCE UPDATES</t>
  </si>
  <si>
    <t>Cancer; Chemotherapy; Drug resistance; Drug discovery; Precision medicine; Epigenetics; Transcriptomics; Interactome; Single cell; MAPK; Chromatin accessibility</t>
  </si>
  <si>
    <t>CELL LUNG-CANCER; TYROSINE KINASE INHIBITORS; PHASE-III TRIAL; MULTIDRUG-RESISTANCE; BCR-ABL; RAS MUTATIONS; EXTRACELLULAR VESICLES; IMATINIB RESISTANCE; ACQUIRED-RESISTANCE; PROGNOSTIC VALUE</t>
  </si>
  <si>
    <t>Nussinov, Ruth/0000-0002-8115-6415</t>
  </si>
  <si>
    <t>221</t>
  </si>
  <si>
    <t>162</t>
  </si>
  <si>
    <t>CHURCHILL LIVINGSTONE</t>
  </si>
  <si>
    <t>EDINBURGH</t>
  </si>
  <si>
    <t>JOURNAL PRODUCTION DEPT, ROBERT STEVENSON HOUSE, 1-3 BAXTERS PLACE, LEITH WALK, EDINBURGH EH1 3AF, MIDLOTHIAN, SCOTLAND</t>
  </si>
  <si>
    <t>1368-7646</t>
  </si>
  <si>
    <t>1532-2084</t>
  </si>
  <si>
    <t>DRUG RESIST UPDATE</t>
  </si>
  <si>
    <t>Drug Resist. Update</t>
  </si>
  <si>
    <t>100796</t>
  </si>
  <si>
    <t>10.1016/j.drup.2021.100796</t>
  </si>
  <si>
    <t>http://dx.doi.org/10.1016/j.drup.2021.100796</t>
  </si>
  <si>
    <t>YR5MB</t>
  </si>
  <si>
    <t>34953682</t>
  </si>
  <si>
    <t>WOS:000750035200006</t>
  </si>
  <si>
    <t>Xiao, WJ; Jiang, WJ; Chen, Z; Huang, Y; Mao, JY; Zheng, W; Hu, YH; Shi, JY</t>
  </si>
  <si>
    <t>The successful approval of peptide-based drugs can be attributed to a collaborative effort across multiple disciplines. The integration of novel drug design and synthesis techniques, display library technology, delivery systems, bioengineering advancements, and artificial intelligence have significantly expedited the development of groundbreaking peptide-based drugs, effectively addressing the obstacles associated with their character, such as the rapid clearance and degradation, necessitating subcutaneous injection leading to increasing patient discomfort, and ultimately advancing translational research efforts. Peptides are presently employed in the management and diagnosis of a diverse array of medical conditions, such as diabetes mellitus, weight loss, oncology, and rare diseases, and are additionally garnering interest in facilitating targeted drug delivery platforms and the advancement of peptide-based vaccines. This paper provides an overview of the present market and clinical trial progress of peptide-based therapeutics, delivery platforms, and vaccines. It examines the key areas of research in peptide-based drug development through a literature analysis and emphasizes the structural modification principles of peptide-based drugs, as well as the recent advancements in screening, design, and delivery technologies. The accelerated advancement in the development of novel peptide-based therapeutics, including peptide-drug complexes, new peptide-based vaccines, and innovative peptide-based diagnostic reagents, has the potential to promote the era of precise customization of disease therapeutic schedule.</t>
  </si>
  <si>
    <t>Xiao, Wenjing; Jiang, Wenjie; Chen, Zheng; Huang, Yu; Mao, Junyi; Zheng, Wei; Hu, Yonghe; Shi, Jianyou</t>
  </si>
  <si>
    <t>Shi, JY (corresponding author), Sichuan Acad Med Sci, Dept Pharm, Personalized Drug Therapy Key Lab Sichuan Prov, Chengdu 610072, Peoples R China.; Shi, JY (corresponding author), Univ Elect Sci &amp; Technol China, Sichuan Prov Peoples Hosp, Sch Med, Chengdu 610072, Peoples R China.</t>
  </si>
  <si>
    <t>shijianyoude@126.com</t>
  </si>
  <si>
    <t>National Natural Science Foundation of China (National Science Foundation of China) [82073311]; Natural Science Foundation of China [2022JDTD0025]; Science &amp; Technology Department of Sichuan Province Individualized Drug Therapy Small Molecule Innovative Drugs Sichuan Youth Science and Technology Innovation Research Team [2023MS026]; Sichuan Traditional Chinese Medicine Administration</t>
  </si>
  <si>
    <t>National Natural Science Foundation of China (National Science Foundation of China) (National Natural Science Foundation of China (NSFC)); Natural Science Foundation of China (National Natural Science Foundation of China (NSFC)); Science &amp; Technology Department of Sichuan Province Individualized Drug Therapy Small Molecule Innovative Drugs Sichuan Youth Science and Technology Innovation Research Team; Sichuan Traditional Chinese Medicine Administration</t>
  </si>
  <si>
    <t>This work was supported by the Natural Science Foundation of China (No. 82073311), Science &amp; Technology Department of Sichuan Province Individualized Drug Therapy Small Molecule Innovative Drugs Sichuan Youth Science and Technology Innovation Research Team (No. 2022JDTD0025), Sichuan Traditional Chinese Medicine Administration (No. 2023MS026).</t>
  </si>
  <si>
    <t>[Xiao, Wenjing] Gen Hosp Western Theater Command, Dept Pharm, Chengdu 610083, Peoples R China; [Jiang, Wenjie; Shi, Jianyou] Sichuan Acad Med Sci, Dept Pharm, Personalized Drug Therapy Key Lab Sichuan Prov, Chengdu 610072, Peoples R China; [Jiang, Wenjie; Shi, Jianyou] Univ Elect Sci &amp; Technol China, Sichuan Prov Peoples Hosp, Sch Med, Chengdu 610072, Peoples R China; [Chen, Zheng; Huang, Yu] Southwest Jiaotong Univ, Sch Life Sci &amp; Engn, Chengdu 610031, Peoples R China; [Mao, Junyi] Tianjin Univ Tradit Chinese Med, Sch Chinese Mat Med, Tianjin 301617, Peoples R China; [Zheng, Wei] Army Med Univ, Xinqiao Hosp, Dept Integrat Med, Chongqing 400037, Peoples R China; [Hu, Yonghe] Southwest Jiaotong Univ, Sch Med, Chengdu 610031, Peoples R China</t>
  </si>
  <si>
    <t>Sichuan Provincial People's Hospital; Sichuan Provincial People's Hospital; University of Electronic Science &amp; Technology of China; Southwest Jiaotong University; Tianjin University of Traditional Chinese Medicine; Army Medical University; Southwest Jiaotong University</t>
  </si>
  <si>
    <t>Advance in peptide-based drug development: delivery platforms, therapeutics and vaccines</t>
  </si>
  <si>
    <t>CELL-PENETRATING PEPTIDES; SHORT-BOWEL SYNDROME; GLYCOPROTEIN IIB/IIIA INHIBITORS; ACUTE BACTERIAL SKIN; PHASE-II TRIAL; PERCUTANEOUS CORONARY INTERVENTION; ELEVATION MYOCARDIAL-INFARCTION; ATRIAL-NATRIURETIC-PEPTIDE; LEFT-VENTRICULAR FUNCTION; SINGLE-DOSE ORITAVANCIN</t>
  </si>
  <si>
    <t>Zheng, Wei/O-3351-2013; xiao, wenjing/ACC-6984-2022</t>
  </si>
  <si>
    <t>chen, zheng/0009-0005-1555-7594</t>
  </si>
  <si>
    <t>MAR 5 2025</t>
  </si>
  <si>
    <t>10.1038/s41392-024-02107-5</t>
  </si>
  <si>
    <t>http://dx.doi.org/10.1038/s41392-024-02107-5</t>
  </si>
  <si>
    <t>Z6B2L</t>
  </si>
  <si>
    <t>40038239</t>
  </si>
  <si>
    <t>WOS:001439728500001</t>
  </si>
  <si>
    <t>Salahuddin, Z; Woodruff, HC; Chatterjee, A; Lambin, P</t>
  </si>
  <si>
    <t>Artificial Intelligence (AI) has emerged as a useful aid in numerous clinical applications for diagnosis and treatment decisions. Deep neural networks have shown the same or better performance than clinicians in many tasks owing to the rapid increase in the available data and computational power. In order to conform to the principles of trustworthy AI, it is essential that the AI system be transparent, robust, fair, and ensure accountability. Current deep neural solutions are referred to as black-boxes due to a lack of understanding of the specifics concerning the decision-making process. Therefore, there is a need to ensure the interpretability of deep neural networks before they can be incorporated into the routine clinical workflow. In this narrative review, we utilized systematic keyword searches and domain expertise to identify nine different types of interpretability methods that have been used for understanding deep learning models for medical image analysis applications based on the type of generated explanations and technical similarities. Furthermore, we report the progress made towards evaluating the explanations produced by various interpretability methods. Finally, we discuss limitations, provide guidelines for using interpretability methods and future directions concerning the interpretability of deep neural networks for medical imaging analysis.</t>
  </si>
  <si>
    <t>Salahuddin, Zohaib; Woodruff, Henry C.; Chatterjee, Avishek; Lambin, Philippe</t>
  </si>
  <si>
    <t>Salahuddin, Z (corresponding author), Maastricht Univ, GROW Sch Oncol &amp; Dev Biol, Dept Precis Med, D Lab, Maastricht, Netherlands.</t>
  </si>
  <si>
    <t>z.salahuddin@maastrichtuniversity.nl</t>
  </si>
  <si>
    <t>ERC advanced grant (ERC-ADG-2015) [694 812]; European Union's Horizon 2020 research and innovation programme [766 276, 952 172, 952 103, UM 2017-8295, 10 103 434]</t>
  </si>
  <si>
    <t>ERC advanced grant (ERC-ADG-2015) (European Research Council (ERC)); European Union's Horizon 2020 research and innovation programme (Horizon 2020)</t>
  </si>
  <si>
    <t>Authors acknowledge financial support from ERC advanced grant (ERC-ADG-2015 n. 694 812 -Hypoximmuno), the European Union's Horizon 2020 research and innovation programme under grant agreement: MSCA-ITN-PREDICT n. 766 276, CHAIMELEON n. 952 172, EuCanImage n. 952 103, TRANSCAN Joint Transnational Call 2016 (JTC2016 CLEARLY n. UM 2017-8295), H2020-JTI-IMI2-2020-23-twostage and IMI-OPTIMA n. 10 103 434.</t>
  </si>
  <si>
    <t>[Salahuddin, Zohaib; Woodruff, Henry C.; Chatterjee, Avishek; Lambin, Philippe] Maastricht Univ, GROW Sch Oncol &amp; Dev Biol, Dept Precis Med, D Lab, Maastricht, Netherlands; [Woodruff, Henry C.; Lambin, Philippe] Maastricht Univ Med Ctr, GROW Sch Oncol &amp; Dev Biol, Dept Radiol &amp; Nucl Med, Maastricht, Netherlands</t>
  </si>
  <si>
    <t>Maastricht University; Maastricht University Medical Centre (MUMC); Maastricht University; Maastricht University Medical Centre (MUMC)</t>
  </si>
  <si>
    <t>Transparency of deep neural networks for medical image analysis: A review of interpretability methods</t>
  </si>
  <si>
    <t>COMPUTERS IN BIOLOGY AND MEDICINE</t>
  </si>
  <si>
    <t>Explainable artificial intelligence; Medical imaging; Explainability; Interpretability; Deep neural networks</t>
  </si>
  <si>
    <t>EXPLANATIONS; RADIOMICS; DECISIONS</t>
  </si>
  <si>
    <t>Salahuddin, Zohaib/AFK-4778-2022; Woodruff, Henry/AAS-5573-2021; Lambin, Philippe/OYF-3183-2025</t>
  </si>
  <si>
    <t>Salahuddin, Zohaib/0000-0002-9900-329X; Lambin, Philippe/0000-0001-7961-0191</t>
  </si>
  <si>
    <t>0010-4825</t>
  </si>
  <si>
    <t>1879-0534</t>
  </si>
  <si>
    <t>COMPUT BIOL MED</t>
  </si>
  <si>
    <t>Comput. Biol. Med.</t>
  </si>
  <si>
    <t>105111</t>
  </si>
  <si>
    <t>10.1016/j.compbiomed.2021.105111</t>
  </si>
  <si>
    <t>http://dx.doi.org/10.1016/j.compbiomed.2021.105111</t>
  </si>
  <si>
    <t>Biology; Computer Science, Interdisciplinary Applications; Engineering, Biomedical; Mathematical &amp; Computational Biology</t>
  </si>
  <si>
    <t>Life Sciences &amp; Biomedicine - Other Topics; Computer Science; Engineering; Mathematical &amp; Computational Biology</t>
  </si>
  <si>
    <t>YJ0DD</t>
  </si>
  <si>
    <t>34891095</t>
  </si>
  <si>
    <t>WOS:000744208900006</t>
  </si>
  <si>
    <t>hybrid; Green Published</t>
  </si>
  <si>
    <t>Senders, JT; Staples, PC; Karhade, AV; Zaki, MM; Gormley, WB; Broekman, MLD; Smith, TR; Arnaout, O</t>
  </si>
  <si>
    <t>OBJECTIVE: Accurate measurement of surgical outcomes is highly desirable to optimize surgical decision-making. An important element of surgical decision making is identification of the patient cohort that will benefit from surgery before the intervention. Machine learning (ML) enables computers to learn from previous data to make accurate predictions on new data. In this systematic review, we evaluate the potential of ML for neurosurgical outcome prediction.METHODS: A systematic search in the PubMed and Embase databases was performed to identify all potential relevant studies up to January 1, 2017.RESULTS: Thirty studies were identified that evaluated ML algorithms used as prediction models for survival, recurrence, symptom improvement, and adverse events in patients undergoing surgery for epilepsy, brain tumor, spinal lesions, neurovascular disease, movement disorders, traumatic brain injury, and hydrocephalus. Depending on the specific prediction task evaluated and the type of input features included, ML models predicted outcomes after neurosurgery with a median accuracy and area under the receiver operating curve of 94.5% and 0.83, respectively. Compared with logistic regression, ML models performed significantly better and showed a median absolute improvement in accuracy and area under the receiver operating curve of 15% and 0.06, respectively. Some studies also demonstrated a better performance in ML models compared with established prognostic indices and clinical experts.CONCLUSIONS: In the research setting, ML has been studied extensively, demonstrating an excellent performance in outcome prediction for a wide range of neurosurgical conditions. However, future studies should investigate how ML can be implemented as a practical tool supporting neurosurgical care.</t>
  </si>
  <si>
    <t>Senders, Joeky T.; Staples, Patrick C.; Karhade, Aditya V.; Zaki, Mark M.; Gormley, William B.; Broekman, Marike L. D.; Smith, Timothy R.; Arnaout, Omar</t>
  </si>
  <si>
    <t>Arnaout, O (corresponding author), Brigham &amp; Womens Hosp, Harvard Med Sch, Dept Neurosurg, Computat Neurosci Outcomes Ctr, Boston, MA 02115 USA.</t>
  </si>
  <si>
    <t>oarnaout@bwh.harvard.edu</t>
  </si>
  <si>
    <t>[Senders, Joeky T.; Broekman, Marike L. D.] Univ Med Ctr Utrecht, Dept Neurosurg, Utrecht, Netherlands; [Senders, Joeky T.; Karhade, Aditya V.; Zaki, Mark M.; Gormley, William B.; Broekman, Marike L. D.; Smith, Timothy R.; Arnaout, Omar] Brigham &amp; Womens Hosp, Harvard Med Sch, Dept Neurosurg, Computat Neurosci Outcomes Ctr, Boston, MA 02115 USA; [Staples, Patrick C.] Harvard Univ, Dept Biostat, Harvard TH Chan Sch Publ Hlth, Boston, MA USA</t>
  </si>
  <si>
    <t>Utrecht University; Utrecht University Medical Center; Harvard University; Harvard Medical School; Harvard University Medical Affiliates; Brigham &amp; Women's Hospital; Harvard University; Harvard T.H. Chan School of Public Health</t>
  </si>
  <si>
    <t>Machine Learning and Neurosurgical Outcome Prediction: A Systematic Review</t>
  </si>
  <si>
    <t>WORLD NEUROSURGERY</t>
  </si>
  <si>
    <t>Artificial intelligence; Machine learning; Neurosurgery; Prediction</t>
  </si>
  <si>
    <t>ARTIFICIAL NEURAL-NETWORKS; PATTERN-ANALYSIS; BIG DATA; SURGERY; REGRESSION; CLASSIFICATION; HYDROCEPHALUS; STIMULATION</t>
  </si>
  <si>
    <t>Smith, Timothy/N-2481-2014</t>
  </si>
  <si>
    <t>1878-8750</t>
  </si>
  <si>
    <t>1878-8769</t>
  </si>
  <si>
    <t>WORLD NEUROSURG</t>
  </si>
  <si>
    <t>World Neurosurg.</t>
  </si>
  <si>
    <t>10.1016/j.wneu.2017.09.149</t>
  </si>
  <si>
    <t>http://dx.doi.org/10.1016/j.wneu.2017.09.149</t>
  </si>
  <si>
    <t>Clinical Neurology; Surgery</t>
  </si>
  <si>
    <t>Neurosciences &amp; Neurology; Surgery</t>
  </si>
  <si>
    <t>FR4DD</t>
  </si>
  <si>
    <t>28986230</t>
  </si>
  <si>
    <t>WOS:000419015000194</t>
  </si>
  <si>
    <t>Steiner, DF; MacDonald, R; Liu, Y; Truszkowski, P; Hipp, JD; Gammage, C; Thng, F; Peng, L; Stumpe, MC</t>
  </si>
  <si>
    <t>Advances in the quality of whole-slide images have set the stage for the clinical use of digital images in anatomic pathology. Along with advances in computer image analysis, this raises the possibility for computer-assisted diagnostics in pathology to improve histopathologic interpretation and clinical care. To evaluate the potential impact of digital assistance on interpretation of digitized slides, we conducted a multireader multicase study utilizing our deep learning algorithm for the detection of breast cancer metastasis in lymph nodes. Six pathologists reviewed 70 digitized slides from lymph node sections in 2 reader modes, unassisted and assisted, with a wash-out period between sessions. In the assisted mode, the deep learning algorithm was used to identify and outline regions with high likelihood of containing tumor. Algorithm-assisted pathologists demonstrated higher accuracy than either the algorithm or the pathologist alone. In particular, algorithm assistance significantly increased the sensitivity of detection for micrometastases (91% vs. 83%, P=0.02). In addition, average review time per image was significantly shorter with assistance than without assistance for both micrometastases (61 vs. 116s, P = 0.002) and negative images (111 vs. 137s, P = 0.018). Lastly, pathologists were asked to provide a numeric score regarding the difficulty of each image classification. On the basis of this score, pathologists considered the image review of micrometastases to be significantly easier when interpreted with assistance (P = 0.0005). Utilizing a proof of concept assistant tool, this study demonstrates the potential of a deep learning algorithm to improve pathologist accuracy and efficiency in a digital pathology workflow.</t>
  </si>
  <si>
    <t>Steiner, David F.; MacDonald, Robert; Liu, Yun; Truszkowski, Peter; Hipp, Jason D.; Gammage, Christopher; Thng, Florence; Peng, Lily; Stumpe, Martin C.</t>
  </si>
  <si>
    <t>Steiner, DF (corresponding author), Google AI Healthcare, 1600 Amphitheatre Way, Mountain View, CA 94043 USA.</t>
  </si>
  <si>
    <t>davesteiner@google.com</t>
  </si>
  <si>
    <t>[Steiner, David F.; MacDonald, Robert; Liu, Yun; Truszkowski, Peter; Hipp, Jason D.; Gammage, Christopher; Peng, Lily; Stumpe, Martin C.] Google AI Healthcare, 1600 Amphitheatre Way, Mountain View, CA 94043 USA; [Thng, Florence] Verily Life Sci, Mountain View, CA USA</t>
  </si>
  <si>
    <t>Impact of Deep Learning Assistance on the Histopathologic Review of Lymph Nodes for Metastatic Breast Cancer</t>
  </si>
  <si>
    <t>AMERICAN JOURNAL OF SURGICAL PATHOLOGY</t>
  </si>
  <si>
    <t>artificial intelligence; machine learning; digital pathology; breast cancer; computer aided detection</t>
  </si>
  <si>
    <t>ISOLATED TUMOR-CELLS; DIGITAL PATHOLOGY; CARCINOMA; DIAGNOSIS</t>
  </si>
  <si>
    <t>Liu, Yun/0000-0003-4079-8275</t>
  </si>
  <si>
    <t>0147-5185</t>
  </si>
  <si>
    <t>1532-0979</t>
  </si>
  <si>
    <t>AM J SURG PATHOL</t>
  </si>
  <si>
    <t>Am. J. Surg. Pathol.</t>
  </si>
  <si>
    <t>1636</t>
  </si>
  <si>
    <t>1646</t>
  </si>
  <si>
    <t>10.1097/PAS.0000000000001151</t>
  </si>
  <si>
    <t>http://dx.doi.org/10.1097/PAS.0000000000001151</t>
  </si>
  <si>
    <t>Pathology; Surgery</t>
  </si>
  <si>
    <t>HA7BB</t>
  </si>
  <si>
    <t>30312179</t>
  </si>
  <si>
    <t>WOS:000450434700007</t>
  </si>
  <si>
    <t>Goldenberg, SL; Nir, G; Salcudean, SE</t>
  </si>
  <si>
    <t>Artificial intelligence (AI)-the ability of a machine to perform cognitive tasks to achieve a particular goal based on provided data-is revolutionizing and reshaping our health-care systems. The current availability of ever-increasing computational power, highly developed pattern recognition algorithms and advanced image processing software working at very high speeds has led to the emergence of computer-based systems that are trained to perform complex tasks in bioinformatics, medical imaging and medical robotics. Accessibility to 'big data' enables the 'cognitive' computer to scan billions of bits of unstructured information, extract the relevant information and recognize complex patterns with increasing confidence. Computer-based decision-support systems based on machine learning (ML) have the potential to revolutionize medicine by performing complex tasks that are currently assigned to specialists to improve diagnostic accuracy, increase efficiency of throughputs, improve clinical workflow, decrease human resource costs and improve treatment choices. These characteristics could be especially helpful in the management of prostate cancer, with growing applications in diagnostic imaging, surgical interventions, skills training and assessment, digital pathology and genomics. Medicine must adapt to this changing world, and urologists, oncologists, radiologists and pathologists, as high-volume users of imaging and pathology, need to understand this burgeoning science and acknowledge that the development of highly accurate AI-based decision-support applications of ML will require collaboration between data scientists, computer researchers and engineers.</t>
  </si>
  <si>
    <t>Goldenberg, S. Larry; Nir, Guy; Salcudean, Septimiu E.</t>
  </si>
  <si>
    <t>Goldenberg, SL (corresponding author), Univ British Columbia, Dept Urol Sci, Vancouver, BC, Canada.; Goldenberg, SL (corresponding author), Univ British Columbia, Vancouver Prostate Ctr, Vancouver, BC, Canada.</t>
  </si>
  <si>
    <t>goldenb@me.com</t>
  </si>
  <si>
    <t>Prostate Cancer Canada [D2016-1352]; Canadian Institutes of Health Research [MOP-142439]; Prostate Cancer Canada Postdoctoral Research Fellowship Award [PDF2016-1338]</t>
  </si>
  <si>
    <t>Prostate Cancer Canada; Canadian Institutes of Health Research (Canadian Institutes of Health Research (CIHR)); Prostate Cancer Canada Postdoctoral Research Fellowship Award</t>
  </si>
  <si>
    <t>This work was funded by a Prostate Cancer Canada grant (D2016-1352), by the Canadian Institutes of Health Research (MOP-142439) and by the C. A. Laszlo Chair of S.E.S. G.N. is a recipient of a Prostate Cancer Canada Postdoctoral Research Fellowship Award (PDF2016-1338).</t>
  </si>
  <si>
    <t>[Goldenberg, S. Larry; Nir, Guy; Salcudean, Septimiu E.] Univ British Columbia, Dept Urol Sci, Vancouver, BC, Canada; [Goldenberg, S. Larry; Nir, Guy; Salcudean, Septimiu E.] Univ British Columbia, Vancouver Prostate Ctr, Vancouver, BC, Canada; [Nir, Guy; Salcudean, Septimiu E.] Univ British Columbia, Dept Elect &amp; Comp Engn, Vancouver, BC, Canada</t>
  </si>
  <si>
    <t>University of British Columbia; University of British Columbia; University of British Columbia</t>
  </si>
  <si>
    <t>A new era: artificial intelligence and machine learning in prostate cancer</t>
  </si>
  <si>
    <t>NATURE REVIEWS UROLOGY</t>
  </si>
  <si>
    <t>GENOMIC CLASSIFIER; METASTASIS; DIAGNOSIS; IMAGES; RISK; MRI</t>
  </si>
  <si>
    <t>Butkar, Umakant/0000-0002-9697-4568</t>
  </si>
  <si>
    <t>355</t>
  </si>
  <si>
    <t>1759-4812</t>
  </si>
  <si>
    <t>1759-4820</t>
  </si>
  <si>
    <t>NAT REV UROL</t>
  </si>
  <si>
    <t>Nat. Rev. Urol.</t>
  </si>
  <si>
    <t>391</t>
  </si>
  <si>
    <t>10.1038/s41585-019-0193-3</t>
  </si>
  <si>
    <t>http://dx.doi.org/10.1038/s41585-019-0193-3</t>
  </si>
  <si>
    <t>Urology &amp; Nephrology</t>
  </si>
  <si>
    <t>IG4IL</t>
  </si>
  <si>
    <t>31092914</t>
  </si>
  <si>
    <t>WOS:000473767200006</t>
  </si>
  <si>
    <t>Sadeghi, Z; Alizadehsani, R; Cifci, MA; Kausar, S; Rehman, R; Mahanta, P; Bora, PK; Almasri, A; Alkhawaldeh, RS; Hussain, S; Alatas, B; Shoeibi, A; Moosaei, H; Hladík, M; Nahavandi, S; Pardalos, PM</t>
  </si>
  <si>
    <t>Explainable Artificial Intelligence (XAI) encompasses the strategies and methodologies used in constructing AI systems that enable end -users to comprehend and interpret the outputs and predictions made by AI models. The increasing deployment of opaque AI applications in highstakes fields, particularly healthcare, has amplified the need for clarity and explainability. This stems from the potential high -impact consequences of erroneous AI predictions in such critical sectors. The effective integration of AI models in healthcare hinges on the capacity of these models to be both explainable and interpretable. Gaining the trust of healthcare professionals necessitates AI applications to be transparent about their decision -making processes and underlying logic. Our paper conducts a systematic review of the various facets and challenges of XAI within the healthcare realm. It aims to dissect a range of XAI methodologies and their applications in healthcare, categorizing them into six distinct groups: feature -oriented methods, global methods, concept models, surrogate models, local pixel -based methods, and human -centric approaches. Specifically, this study focuses on the significance of XAI in addressing healthcarerelated challenges, underscoring its vital role in safety -critical scenarios. Our objective is to provide an exhaustive exploration of XAI's applications in healthcare, alongside an analysis of relevant experimental outcomes, thereby fostering a holistic understanding of XAI's role and potential in this critical domain.</t>
  </si>
  <si>
    <t>Sadeghi, Zahra; Alizadehsani, Roohallah; Cifci, Mehmet Akif; Kausar, Samina; Rehman, Rizwan; Mahanta, Priyakshi; Bora, Pranjal Kumar; Almasri, Ammar; Alkhawaldeh, Rami S.; Hussain, Sadiq; Alatas, Bilal; Shoeibi, Afshin; Moosaei, Hossein; Hladik, Milan; Nahavandi, Saeid; Pardalos, Panos M.</t>
  </si>
  <si>
    <t>Alizadehsani, R (corresponding author), Deakin Univ, Inst Intelligent Syst Res &amp; Innovat IISRI, Geelong, Australia.</t>
  </si>
  <si>
    <t>r.alizadehsani@deakin.edu.au</t>
  </si>
  <si>
    <t>Czech Science Foundation [22-11117S, 22-19353S]</t>
  </si>
  <si>
    <t>Czech Science Foundation (Czech Science Foundation)</t>
  </si>
  <si>
    <t>The work of H. Moosaei was supported by the Czech Science Foundation Grant 22-19353S. Milan Hladik was supported by the Czech Science Foundation Grant 22-11117S. The work of P.M. Pardalos PM was conducted within the framework of the Basic Research Program at the National Research University Higher School of Economics (HSE) .</t>
  </si>
  <si>
    <t>[Sadeghi, Zahra] Dalhousie Univ, Inst Big Data Analyt, Fac Comp Sci, Halifax, NS, Canada; [Alizadehsani, Roohallah] Deakin Univ, Inst Intelligent Syst Res &amp; Innovat IISRI, Geelong, Australia; [Cifci, Mehmet Akif] Tu Wien Univ, Inst Comp Technol, A-1040 Vienna, Austria; [Cifci, Mehmet Akif] Bandirma Onyedi Eylul Univ, Dept Comp Engn, TR-10200 Balikesir, Turkiye; [Cifci, Mehmet Akif] Klaipedos Valstybine Kolegija Higher Educ Inst, Engn &amp; Informat Dept, LT-92294 Klaipeda, Lithuania; [Kausar, Samina] Univ Kotli Azad Jammu &amp; Kashmir, Kotli Azad Kashmir, Pakistan; [Rehman, Rizwan; Mahanta, Priyakshi; Bora, Pranjal Kumar] Dibrugarh Univ, Ctr Comp Sci &amp; Applicat, Dibrugarh, Assam, India; [Almasri, Ammar] Al Balqa Appl Univ, Dept Management Informat Sys, Salt 19117, Jordan; [Alkhawaldeh, Rami S.] Univ Jordan, Dept Comp Informat Syst, Aqaba 77110, Jordan; [Hussain, Sadiq] Dibrugarh Univ, Examinat Branch, Dibrugarh, Assam, India; [Alatas, Bilal] Firat Univ, Dept Software Engn, TR-23100 Elazig, Turkiye; [Shoeibi, Afshin] Univ Granada, Data Sci &amp; Computat Intelligence Inst, Granada, Spain; [Moosaei, Hossein] Jan Evangelista Purkyne Univ Usti nad Labem, Fac Sci, Dept Informat, Usti Nad Labem, Czech Republic; [Moosaei, Hossein] Prague Univ Econ &amp; Business, Fac Informat &amp; Stat, Dept Econometr, Prague, Czech Republic; [Hladik, Milan] Charles Univ Prague, Fac Math &amp; Phys, Sch CS, Dept Appl Math, Prague, Czech Republic; [Nahavandi, Saeid] Swinburne Univ Technol, Hawthorn, Australia; [Pardalos, Panos M.] Univ Florida, Dept Ind &amp; Syst Engn, Ctr Appl Optimizat, Gainesville, FL 32611 USA; [Pardalos, Panos M.] HSE Univ, Lab LATNA, Rodionova St 136, Nizhnii Novgorod, Russia</t>
  </si>
  <si>
    <t>Dalhousie University; Deakin University; Technische Universitat Wien; Bandirma Onyedi Eylul University; Dibrugarh University; Al-Balqa Applied University; University of Jordan; Dibrugarh University; Firat University; University of Granada; University of Jan Evangelista Purkyne; Prague University of Economics &amp; Business; Charles University Prague; Swinburne University of Technology; State University System of Florida; University of Florida</t>
  </si>
  <si>
    <t>A review of Explainable Artificial Intelligence in healthcare</t>
  </si>
  <si>
    <t>COMPUTERS &amp; ELECTRICAL ENGINEERING</t>
  </si>
  <si>
    <t>Explainable AI; Transparent AI; Interpretability; Healthcare</t>
  </si>
  <si>
    <t>TICK-BORNE ENCEPHALITIS; AI; IMMUNIZATION; FRAMEWORK; CANCER</t>
  </si>
  <si>
    <t>Moosaei, Hossein/AAG-2289-2021; Shoeibi, Afshin/AAT-3624-2020; Hladík, Milan/J-9663-2012; Cifci, Akif/V-2885-2018; Almasri, Ammar/ABI-8115-2020; Rehman, Rizwan/KEH-0399-2024; Nahavandi, Saeid/AAE-5536-2022; Alkhawaldeh, Rami/O-2950-2018; bora, dr pranjal kumar/JAO-2441-2023; Alatas, Bilal/W-4747-2018; Hussain, Sadiq/ABA-9849-2020; cifci, Mehmet/V-2885-2018; Pardalos, Panos/AAY-8591-2020; Alizadehsani, Roohallah/ABA-6810-2022</t>
  </si>
  <si>
    <t>Moosaei, Hossein/0000-0002-0640-2161; Hladík, Milan/0000-0002-7340-8491; Cifci, Akif/0000-0002-6439-8826; Rehman, Rizwan/0000-0002-4725-6877; Alizadehsani, Roohallah/0000-0003-0898-5054</t>
  </si>
  <si>
    <t>354</t>
  </si>
  <si>
    <t>415</t>
  </si>
  <si>
    <t>0045-7906</t>
  </si>
  <si>
    <t>1879-0755</t>
  </si>
  <si>
    <t>COMPUT ELECTR ENG</t>
  </si>
  <si>
    <t>Comput. Electr. Eng.</t>
  </si>
  <si>
    <t>AUG 2024</t>
  </si>
  <si>
    <t>A</t>
  </si>
  <si>
    <t>109370</t>
  </si>
  <si>
    <t>10.1016/j.compeleceng.2024.109370</t>
  </si>
  <si>
    <t>http://dx.doi.org/10.1016/j.compeleceng.2024.109370</t>
  </si>
  <si>
    <t>JUN 2024</t>
  </si>
  <si>
    <t>Computer Science, Hardware &amp; Architecture; Computer Science, Interdisciplinary Applications; Engineering, Electrical &amp; Electronic</t>
  </si>
  <si>
    <t>WA3Q7</t>
  </si>
  <si>
    <t>WOS:001252113300001</t>
  </si>
</sst>
</file>

<file path=xl/styles.xml><?xml version="1.0" encoding="utf-8"?>
<styleSheet xmlns="http://schemas.openxmlformats.org/spreadsheetml/2006/main">
  <numFmts count="0"/>
  <fonts count="401">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401">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038%2Fs41591-018-0300-7" TargetMode="External" Type="http://schemas.openxmlformats.org/officeDocument/2006/relationships/hyperlink"/><Relationship Id="rId10" Target="https%3A%2F%2Fwww.webofscience.com%2Fwos%2Fwoscc%2Ffull-record%2FWOS%3A000463386900011" TargetMode="External" Type="http://schemas.openxmlformats.org/officeDocument/2006/relationships/hyperlink"/><Relationship Id="rId100" Target="https%3A%2F%2Fwww.webofscience.com%2Fwos%2Fwoscc%2Ffull-record%2FWOS%3A000523764500002" TargetMode="External" Type="http://schemas.openxmlformats.org/officeDocument/2006/relationships/hyperlink"/><Relationship Id="rId101" Target="http%3A%2F%2Fdx.doi.org%2F10.7150%2Fthno.30309" TargetMode="External" Type="http://schemas.openxmlformats.org/officeDocument/2006/relationships/hyperlink"/><Relationship Id="rId102" Target="https%3A%2F%2Fwww.webofscience.com%2Fwos%2Fwoscc%2Ffull-record%2FWOS%3A000459354100007" TargetMode="External" Type="http://schemas.openxmlformats.org/officeDocument/2006/relationships/hyperlink"/><Relationship Id="rId103" Target="http%3A%2F%2Fdx.doi.org%2F10.1016%2Fj.media.2020.101693" TargetMode="External" Type="http://schemas.openxmlformats.org/officeDocument/2006/relationships/hyperlink"/><Relationship Id="rId104" Target="https%3A%2F%2Fwww.webofscience.com%2Fwos%2Fwoscc%2Ffull-record%2FWOS%3A000537839100007" TargetMode="External" Type="http://schemas.openxmlformats.org/officeDocument/2006/relationships/hyperlink"/><Relationship Id="rId105" Target="http%3A%2F%2Fdx.doi.org%2F10.1038%2Fs43856-023-00370-1" TargetMode="External" Type="http://schemas.openxmlformats.org/officeDocument/2006/relationships/hyperlink"/><Relationship Id="rId106" Target="https%3A%2F%2Fwww.webofscience.com%2Fwos%2Fwoscc%2Ffull-record%2FWOS%3A001078603900001" TargetMode="External" Type="http://schemas.openxmlformats.org/officeDocument/2006/relationships/hyperlink"/><Relationship Id="rId107" Target="http%3A%2F%2Fdx.doi.org%2F10.1038%2Fs41746-020-00341-z" TargetMode="External" Type="http://schemas.openxmlformats.org/officeDocument/2006/relationships/hyperlink"/><Relationship Id="rId108" Target="https%3A%2F%2Fwww.webofscience.com%2Fwos%2Fwoscc%2Ffull-record%2FWOS%3A000583291400003" TargetMode="External" Type="http://schemas.openxmlformats.org/officeDocument/2006/relationships/hyperlink"/><Relationship Id="rId109" Target="http%3A%2F%2Fdx.doi.org%2F10.1016%2Fj.jacc.2018.03.521" TargetMode="External" Type="http://schemas.openxmlformats.org/officeDocument/2006/relationships/hyperlink"/><Relationship Id="rId11" Target="http%3A%2F%2Fdx.doi.org%2F10.1038%2Fs41568-018-0016-5" TargetMode="External" Type="http://schemas.openxmlformats.org/officeDocument/2006/relationships/hyperlink"/><Relationship Id="rId110" Target="https%3A%2F%2Fwww.webofscience.com%2Fwos%2Fwoscc%2Ffull-record%2FWOS%3A000434924500011" TargetMode="External" Type="http://schemas.openxmlformats.org/officeDocument/2006/relationships/hyperlink"/><Relationship Id="rId111" Target="http%3A%2F%2Fdx.doi.org%2F10.1109%2FJPROC.2021.3054390" TargetMode="External" Type="http://schemas.openxmlformats.org/officeDocument/2006/relationships/hyperlink"/><Relationship Id="rId112" Target="https%3A%2F%2Fwww.webofscience.com%2Fwos%2Fwoscc%2Ffull-record%2FWOS%3A000645896700010" TargetMode="External" Type="http://schemas.openxmlformats.org/officeDocument/2006/relationships/hyperlink"/><Relationship Id="rId113" Target="http%3A%2F%2Fdx.doi.org%2F10.1111%2Fjoim.12822" TargetMode="External" Type="http://schemas.openxmlformats.org/officeDocument/2006/relationships/hyperlink"/><Relationship Id="rId114" Target="https%3A%2F%2Fwww.webofscience.com%2Fwos%2Fwoscc%2Ffull-record%2FWOS%3A000450513100004" TargetMode="External" Type="http://schemas.openxmlformats.org/officeDocument/2006/relationships/hyperlink"/><Relationship Id="rId115" Target="http%3A%2F%2Fdx.doi.org%2F10.1016%2Fj.conctc.2018.08.001" TargetMode="External" Type="http://schemas.openxmlformats.org/officeDocument/2006/relationships/hyperlink"/><Relationship Id="rId116" Target="https%3A%2F%2Fwww.webofscience.com%2Fwos%2Fwoscc%2Ffull-record%2FWOS%3A000443472200024" TargetMode="External" Type="http://schemas.openxmlformats.org/officeDocument/2006/relationships/hyperlink"/><Relationship Id="rId117" Target="http%3A%2F%2Fdx.doi.org%2F10.1002%2Fadma.201901958" TargetMode="External" Type="http://schemas.openxmlformats.org/officeDocument/2006/relationships/hyperlink"/><Relationship Id="rId118" Target="https%3A%2F%2Fwww.webofscience.com%2Fwos%2Fwoscc%2Ffull-record%2FWOS%3A000474099300001" TargetMode="External" Type="http://schemas.openxmlformats.org/officeDocument/2006/relationships/hyperlink"/><Relationship Id="rId119" Target="http%3A%2F%2Fdx.doi.org%2F10.1016%2Fj.cmpb.2018.04.005" TargetMode="External" Type="http://schemas.openxmlformats.org/officeDocument/2006/relationships/hyperlink"/><Relationship Id="rId12" Target="https%3A%2F%2Fwww.webofscience.com%2Fwos%2Fwoscc%2Ffull-record%2FWOS%3A000439569600010" TargetMode="External" Type="http://schemas.openxmlformats.org/officeDocument/2006/relationships/hyperlink"/><Relationship Id="rId120" Target="https%3A%2F%2Fwww.webofscience.com%2Fwos%2Fwoscc%2Ffull-record%2FWOS%3A000433324800002" TargetMode="External" Type="http://schemas.openxmlformats.org/officeDocument/2006/relationships/hyperlink"/><Relationship Id="rId121" Target="http%3A%2F%2Fdx.doi.org%2F10.1111%2F1754-9485.13261" TargetMode="External" Type="http://schemas.openxmlformats.org/officeDocument/2006/relationships/hyperlink"/><Relationship Id="rId122" Target="https%3A%2F%2Fwww.webofscience.com%2Fwos%2Fwoscc%2Ffull-record%2FWOS%3A000663222700001" TargetMode="External" Type="http://schemas.openxmlformats.org/officeDocument/2006/relationships/hyperlink"/><Relationship Id="rId123" Target="http%3A%2F%2Fdx.doi.org%2F10.1016%2Fj.biotechadv.2021.107739" TargetMode="External" Type="http://schemas.openxmlformats.org/officeDocument/2006/relationships/hyperlink"/><Relationship Id="rId124" Target="https%3A%2F%2Fwww.webofscience.com%2Fwos%2Fwoscc%2Ffull-record%2FWOS%3A000663421300008" TargetMode="External" Type="http://schemas.openxmlformats.org/officeDocument/2006/relationships/hyperlink"/><Relationship Id="rId125" Target="http%3A%2F%2Fdx.doi.org%2F10.1148%2Fradiol.2020192224" TargetMode="External" Type="http://schemas.openxmlformats.org/officeDocument/2006/relationships/hyperlink"/><Relationship Id="rId126" Target="https%3A%2F%2Fwww.webofscience.com%2Fwos%2Fwoscc%2Ffull-record%2FWOS%3A000520166000002" TargetMode="External" Type="http://schemas.openxmlformats.org/officeDocument/2006/relationships/hyperlink"/><Relationship Id="rId127" Target="http%3A%2F%2Fdx.doi.org%2F10.1007%2Fs10462-020-09854-1" TargetMode="External" Type="http://schemas.openxmlformats.org/officeDocument/2006/relationships/hyperlink"/><Relationship Id="rId128" Target="https%3A%2F%2Fwww.webofscience.com%2Fwos%2Fwoscc%2Ffull-record%2FWOS%3A000539923400001" TargetMode="External" Type="http://schemas.openxmlformats.org/officeDocument/2006/relationships/hyperlink"/><Relationship Id="rId129" Target="http%3A%2F%2Fdx.doi.org%2F10.1109%2FACCESS.2018.2812999" TargetMode="External" Type="http://schemas.openxmlformats.org/officeDocument/2006/relationships/hyperlink"/><Relationship Id="rId13" Target="http%3A%2F%2Fdx.doi.org%2F10.1136%2Fbmj.m1328" TargetMode="External" Type="http://schemas.openxmlformats.org/officeDocument/2006/relationships/hyperlink"/><Relationship Id="rId130" Target="https%3A%2F%2Fwww.webofscience.com%2Fwos%2Fwoscc%2Ffull-record%2FWOS%3A000429248600001" TargetMode="External" Type="http://schemas.openxmlformats.org/officeDocument/2006/relationships/hyperlink"/><Relationship Id="rId131" Target="http%3A%2F%2Fdx.doi.org%2F10.1038%2Fs41746-021-00438-z" TargetMode="External" Type="http://schemas.openxmlformats.org/officeDocument/2006/relationships/hyperlink"/><Relationship Id="rId132" Target="https%3A%2F%2Fwww.webofscience.com%2Fwos%2Fwoscc%2Ffull-record%2FWOS%3A000637760900001" TargetMode="External" Type="http://schemas.openxmlformats.org/officeDocument/2006/relationships/hyperlink"/><Relationship Id="rId133" Target="http%3A%2F%2Fdx.doi.org%2F10.1186%2Fs13073-021-00968-x" TargetMode="External" Type="http://schemas.openxmlformats.org/officeDocument/2006/relationships/hyperlink"/><Relationship Id="rId134" Target="https%3A%2F%2Fwww.webofscience.com%2Fwos%2Fwoscc%2Ffull-record%2FWOS%3A000700392500001" TargetMode="External" Type="http://schemas.openxmlformats.org/officeDocument/2006/relationships/hyperlink"/><Relationship Id="rId135" Target="http%3A%2F%2Fdx.doi.org%2F10.1039%2Fd0cs00098a" TargetMode="External" Type="http://schemas.openxmlformats.org/officeDocument/2006/relationships/hyperlink"/><Relationship Id="rId136" Target="https%3A%2F%2Fwww.webofscience.com%2Fwos%2Fwoscc%2Ffull-record%2FWOS%3A000540575800007" TargetMode="External" Type="http://schemas.openxmlformats.org/officeDocument/2006/relationships/hyperlink"/><Relationship Id="rId137" Target="http%3A%2F%2Fdx.doi.org%2F10.1038%2Fs41591-021-01343-4" TargetMode="External" Type="http://schemas.openxmlformats.org/officeDocument/2006/relationships/hyperlink"/><Relationship Id="rId138" Target="https%3A%2F%2Fwww.webofscience.com%2Fwos%2Fwoscc%2Ffull-record%2FWOS%3A000650698900017" TargetMode="External" Type="http://schemas.openxmlformats.org/officeDocument/2006/relationships/hyperlink"/><Relationship Id="rId139" Target="http%3A%2F%2Fdx.doi.org%2F10.1148%2Fradiol.2017171920" TargetMode="External" Type="http://schemas.openxmlformats.org/officeDocument/2006/relationships/hyperlink"/><Relationship Id="rId14" Target="https%3A%2F%2Fwww.webofscience.com%2Fwos%2Fwoscc%2Ffull-record%2FWOS%3A000527703000001" TargetMode="External" Type="http://schemas.openxmlformats.org/officeDocument/2006/relationships/hyperlink"/><Relationship Id="rId140" Target="https%3A%2F%2Fwww.webofscience.com%2Fwos%2Fwoscc%2Ffull-record%2FWOS%3A000425583200006" TargetMode="External" Type="http://schemas.openxmlformats.org/officeDocument/2006/relationships/hyperlink"/><Relationship Id="rId141" Target="http%3A%2F%2Fdx.doi.org%2F10.1007%2Fs13735-017-0141-z" TargetMode="External" Type="http://schemas.openxmlformats.org/officeDocument/2006/relationships/hyperlink"/><Relationship Id="rId142" Target="https%3A%2F%2Fwww.webofscience.com%2Fwos%2Fwoscc%2Ffull-record%2FWOS%3A000442633600001" TargetMode="External" Type="http://schemas.openxmlformats.org/officeDocument/2006/relationships/hyperlink"/><Relationship Id="rId143" Target="http%3A%2F%2Fdx.doi.org%2F10.1109%2FTPAMI.2024.3435571" TargetMode="External" Type="http://schemas.openxmlformats.org/officeDocument/2006/relationships/hyperlink"/><Relationship Id="rId144" Target="https%3A%2F%2Fwww.webofscience.com%2Fwos%2Fwoscc%2Ffull-record%2FWOS%3A001364431200162" TargetMode="External" Type="http://schemas.openxmlformats.org/officeDocument/2006/relationships/hyperlink"/><Relationship Id="rId145" Target="http%3A%2F%2Fdx.doi.org%2F10.1038%2Fs41569-020-00503-2" TargetMode="External" Type="http://schemas.openxmlformats.org/officeDocument/2006/relationships/hyperlink"/><Relationship Id="rId146" Target="https%3A%2F%2Fwww.webofscience.com%2Fwos%2Fwoscc%2Ffull-record%2FWOS%3A000613593200001" TargetMode="External" Type="http://schemas.openxmlformats.org/officeDocument/2006/relationships/hyperlink"/><Relationship Id="rId147" Target="http%3A%2F%2Fdx.doi.org%2F10.2174%2F1570159X18666200528142429" TargetMode="External" Type="http://schemas.openxmlformats.org/officeDocument/2006/relationships/hyperlink"/><Relationship Id="rId148" Target="https%3A%2F%2Fwww.webofscience.com%2Fwos%2Fwoscc%2Ffull-record%2FWOS%3A000589936500005" TargetMode="External" Type="http://schemas.openxmlformats.org/officeDocument/2006/relationships/hyperlink"/><Relationship Id="rId149" Target="http%3A%2F%2Fdx.doi.org%2F10.3390%2Fcomputers12050091" TargetMode="External" Type="http://schemas.openxmlformats.org/officeDocument/2006/relationships/hyperlink"/><Relationship Id="rId15" Target="http%3A%2F%2Fdx.doi.org%2F10.3390%2Fe23010018" TargetMode="External" Type="http://schemas.openxmlformats.org/officeDocument/2006/relationships/hyperlink"/><Relationship Id="rId150" Target="https%3A%2F%2Fwww.webofscience.com%2Fwos%2Fwoscc%2Ffull-record%2FWOS%3A000997810700001" TargetMode="External" Type="http://schemas.openxmlformats.org/officeDocument/2006/relationships/hyperlink"/><Relationship Id="rId151" Target="http%3A%2F%2Fdx.doi.org%2F10.1186%2Fs13045-021-01037-x" TargetMode="External" Type="http://schemas.openxmlformats.org/officeDocument/2006/relationships/hyperlink"/><Relationship Id="rId152" Target="https%3A%2F%2Fwww.webofscience.com%2Fwos%2Fwoscc%2Ffull-record%2FWOS%3A000617550400001" TargetMode="External" Type="http://schemas.openxmlformats.org/officeDocument/2006/relationships/hyperlink"/><Relationship Id="rId153" Target="http%3A%2F%2Fdx.doi.org%2F10.1093%2Fbib%2Fbbad518" TargetMode="External" Type="http://schemas.openxmlformats.org/officeDocument/2006/relationships/hyperlink"/><Relationship Id="rId154" Target="https%3A%2F%2Fwww.webofscience.com%2Fwos%2Fwoscc%2Ffull-record%2FWOS%3A001173375300038" TargetMode="External" Type="http://schemas.openxmlformats.org/officeDocument/2006/relationships/hyperlink"/><Relationship Id="rId155" Target="http%3A%2F%2Fdx.doi.org%2F10.1109%2FACCESS.2020.2992341" TargetMode="External" Type="http://schemas.openxmlformats.org/officeDocument/2006/relationships/hyperlink"/><Relationship Id="rId156" Target="https%3A%2F%2Fwww.webofscience.com%2Fwos%2Fwoscc%2Ffull-record%2FWOS%3A000538727700107" TargetMode="External" Type="http://schemas.openxmlformats.org/officeDocument/2006/relationships/hyperlink"/><Relationship Id="rId157" Target="http%3A%2F%2Fdx.doi.org%2F10.1101%2Fgad.315739.118" TargetMode="External" Type="http://schemas.openxmlformats.org/officeDocument/2006/relationships/hyperlink"/><Relationship Id="rId158" Target="https%3A%2F%2Fwww.webofscience.com%2Fwos%2Fwoscc%2Ffull-record%2FWOS%3A000443566500002" TargetMode="External" Type="http://schemas.openxmlformats.org/officeDocument/2006/relationships/hyperlink"/><Relationship Id="rId159" Target="http%3A%2F%2Fdx.doi.org%2F10.1016%2Fj.eng.2018.11.020" TargetMode="External" Type="http://schemas.openxmlformats.org/officeDocument/2006/relationships/hyperlink"/><Relationship Id="rId16" Target="https%3A%2F%2Fwww.webofscience.com%2Fwos%2Fwoscc%2Ffull-record%2FWOS%3A000611065800001" TargetMode="External" Type="http://schemas.openxmlformats.org/officeDocument/2006/relationships/hyperlink"/><Relationship Id="rId160" Target="https%3A%2F%2Fwww.webofscience.com%2Fwos%2Fwoscc%2Ffull-record%2FWOS%3A000464753200011" TargetMode="External" Type="http://schemas.openxmlformats.org/officeDocument/2006/relationships/hyperlink"/><Relationship Id="rId161" Target="http%3A%2F%2Fdx.doi.org%2F10.3390%2Fsu13031224" TargetMode="External" Type="http://schemas.openxmlformats.org/officeDocument/2006/relationships/hyperlink"/><Relationship Id="rId162" Target="https%3A%2F%2Fwww.webofscience.com%2Fwos%2Fwoscc%2Ffull-record%2FWOS%3A000615617000001" TargetMode="External" Type="http://schemas.openxmlformats.org/officeDocument/2006/relationships/hyperlink"/><Relationship Id="rId163" Target="http%3A%2F%2Fdx.doi.org%2F10.1136%2Fbmjqs-2018-008370" TargetMode="External" Type="http://schemas.openxmlformats.org/officeDocument/2006/relationships/hyperlink"/><Relationship Id="rId164" Target="https%3A%2F%2Fwww.webofscience.com%2Fwos%2Fwoscc%2Ffull-record%2FWOS%3A000471848700010" TargetMode="External" Type="http://schemas.openxmlformats.org/officeDocument/2006/relationships/hyperlink"/><Relationship Id="rId165" Target="http%3A%2F%2Fdx.doi.org%2F10.3390%2Fpharmaceutics15071916" TargetMode="External" Type="http://schemas.openxmlformats.org/officeDocument/2006/relationships/hyperlink"/><Relationship Id="rId166" Target="https%3A%2F%2Fwww.webofscience.com%2Fwos%2Fwoscc%2Ffull-record%2FWOS%3A001036563700001" TargetMode="External" Type="http://schemas.openxmlformats.org/officeDocument/2006/relationships/hyperlink"/><Relationship Id="rId167" Target="http%3A%2F%2Fdx.doi.org%2F10.1016%2Fj.socscimed.2020.113172" TargetMode="External" Type="http://schemas.openxmlformats.org/officeDocument/2006/relationships/hyperlink"/><Relationship Id="rId168" Target="https%3A%2F%2Fwww.webofscience.com%2Fwos%2Fwoscc%2Ffull-record%2FWOS%3A000564624400022" TargetMode="External" Type="http://schemas.openxmlformats.org/officeDocument/2006/relationships/hyperlink"/><Relationship Id="rId169" Target="http%3A%2F%2Fdx.doi.org%2F10.1038%2Fs41573-019-0050-3" TargetMode="External" Type="http://schemas.openxmlformats.org/officeDocument/2006/relationships/hyperlink"/><Relationship Id="rId17" Target="http%3A%2F%2Fdx.doi.org%2F10.1016%2Fj.inffus.2021.05.008" TargetMode="External" Type="http://schemas.openxmlformats.org/officeDocument/2006/relationships/hyperlink"/><Relationship Id="rId170" Target="https%3A%2F%2Fwww.webofscience.com%2Fwos%2Fwoscc%2Ffull-record%2FWOS%3A000533322800012" TargetMode="External" Type="http://schemas.openxmlformats.org/officeDocument/2006/relationships/hyperlink"/><Relationship Id="rId171" Target="http%3A%2F%2Fdx.doi.org%2F10.1145%2F3343440" TargetMode="External" Type="http://schemas.openxmlformats.org/officeDocument/2006/relationships/hyperlink"/><Relationship Id="rId172" Target="https%3A%2F%2Fwww.webofscience.com%2Fwos%2Fwoscc%2Ffull-record%2FWOS%3A000489551100015" TargetMode="External" Type="http://schemas.openxmlformats.org/officeDocument/2006/relationships/hyperlink"/><Relationship Id="rId173" Target="http%3A%2F%2Fdx.doi.org%2F10.1016%2Fj.bpsc.2017.11.007" TargetMode="External" Type="http://schemas.openxmlformats.org/officeDocument/2006/relationships/hyperlink"/><Relationship Id="rId174" Target="https%3A%2F%2Fwww.webofscience.com%2Fwos%2Fwoscc%2Ffull-record%2FWOS%3A000494340900007" TargetMode="External" Type="http://schemas.openxmlformats.org/officeDocument/2006/relationships/hyperlink"/><Relationship Id="rId175" Target="http%3A%2F%2Fdx.doi.org%2F10.1016%2Fj.preteyeres.2018.07.004" TargetMode="External" Type="http://schemas.openxmlformats.org/officeDocument/2006/relationships/hyperlink"/><Relationship Id="rId176" Target="https%3A%2F%2Fwww.webofscience.com%2Fwos%2Fwoscc%2Ffull-record%2FWOS%3A000452579500001" TargetMode="External" Type="http://schemas.openxmlformats.org/officeDocument/2006/relationships/hyperlink"/><Relationship Id="rId177" Target="http%3A%2F%2Fdx.doi.org%2F10.1148%2Fradiol.2018171820" TargetMode="External" Type="http://schemas.openxmlformats.org/officeDocument/2006/relationships/hyperlink"/><Relationship Id="rId178" Target="https%3A%2F%2Fwww.webofscience.com%2Fwos%2Fwoscc%2Ffull-record%2FWOS%3A000441808100002" TargetMode="External" Type="http://schemas.openxmlformats.org/officeDocument/2006/relationships/hyperlink"/><Relationship Id="rId179" Target="http%3A%2F%2Fdx.doi.org%2F10.1186%2Fs12911-021-01488-9" TargetMode="External" Type="http://schemas.openxmlformats.org/officeDocument/2006/relationships/hyperlink"/><Relationship Id="rId18" Target="https%3A%2F%2Fwww.webofscience.com%2Fwos%2Fwoscc%2Ffull-record%2FWOS%3A000684868400005" TargetMode="External" Type="http://schemas.openxmlformats.org/officeDocument/2006/relationships/hyperlink"/><Relationship Id="rId180" Target="https%3A%2F%2Fwww.webofscience.com%2Fwos%2Fwoscc%2Ffull-record%2FWOS%3A000638599800001" TargetMode="External" Type="http://schemas.openxmlformats.org/officeDocument/2006/relationships/hyperlink"/><Relationship Id="rId181" Target="http%3A%2F%2Fdx.doi.org%2F10.1093%2Feurheartj%2Fehaa159" TargetMode="External" Type="http://schemas.openxmlformats.org/officeDocument/2006/relationships/hyperlink"/><Relationship Id="rId182" Target="https%3A%2F%2Fwww.webofscience.com%2Fwos%2Fwoscc%2Ffull-record%2FWOS%3A000608413100010" TargetMode="External" Type="http://schemas.openxmlformats.org/officeDocument/2006/relationships/hyperlink"/><Relationship Id="rId183" Target="http%3A%2F%2Fdx.doi.org%2F10.1002%2Finf2.12122" TargetMode="External" Type="http://schemas.openxmlformats.org/officeDocument/2006/relationships/hyperlink"/><Relationship Id="rId184" Target="https%3A%2F%2Fwww.webofscience.com%2Fwos%2Fwoscc%2Ffull-record%2FWOS%3A000549424300001" TargetMode="External" Type="http://schemas.openxmlformats.org/officeDocument/2006/relationships/hyperlink"/><Relationship Id="rId185" Target="http%3A%2F%2Fdx.doi.org%2F10.1017%2FS0033291719000151" TargetMode="External" Type="http://schemas.openxmlformats.org/officeDocument/2006/relationships/hyperlink"/><Relationship Id="rId186" Target="https%3A%2F%2Fwww.webofscience.com%2Fwos%2Fwoscc%2Ffull-record%2FWOS%3A000474922400003" TargetMode="External" Type="http://schemas.openxmlformats.org/officeDocument/2006/relationships/hyperlink"/><Relationship Id="rId187" Target="http%3A%2F%2Fdx.doi.org%2F10.1016%2Fj.gie.2020.06.040" TargetMode="External" Type="http://schemas.openxmlformats.org/officeDocument/2006/relationships/hyperlink"/><Relationship Id="rId188" Target="https%3A%2F%2Fwww.webofscience.com%2Fwos%2Fwoscc%2Ffull-record%2FWOS%3A000574357800002" TargetMode="External" Type="http://schemas.openxmlformats.org/officeDocument/2006/relationships/hyperlink"/><Relationship Id="rId189" Target="http%3A%2F%2Fdx.doi.org%2F10.1109%2FACCESS.2024.3365742" TargetMode="External" Type="http://schemas.openxmlformats.org/officeDocument/2006/relationships/hyperlink"/><Relationship Id="rId19" Target="http%3A%2F%2Fdx.doi.org%2F10.1038%2Fs41573-019-0024-5" TargetMode="External" Type="http://schemas.openxmlformats.org/officeDocument/2006/relationships/hyperlink"/><Relationship Id="rId190" Target="https%3A%2F%2Fwww.webofscience.com%2Fwos%2Fwoscc%2Ffull-record%2FWOS%3A001173153100001" TargetMode="External" Type="http://schemas.openxmlformats.org/officeDocument/2006/relationships/hyperlink"/><Relationship Id="rId191" Target="http%3A%2F%2Fdx.doi.org%2F10.1016%2Fj.arr.2020.101174" TargetMode="External" Type="http://schemas.openxmlformats.org/officeDocument/2006/relationships/hyperlink"/><Relationship Id="rId192" Target="https%3A%2F%2Fwww.webofscience.com%2Fwos%2Fwoscc%2Ffull-record%2FWOS%3A000595935300013" TargetMode="External" Type="http://schemas.openxmlformats.org/officeDocument/2006/relationships/hyperlink"/><Relationship Id="rId193" Target="http%3A%2F%2Fdx.doi.org%2F10.1093%2Fbib%2Fbbad002" TargetMode="External" Type="http://schemas.openxmlformats.org/officeDocument/2006/relationships/hyperlink"/><Relationship Id="rId194" Target="https%3A%2F%2Fwww.webofscience.com%2Fwos%2Fwoscc%2Ffull-record%2FWOS%3A000914936600001" TargetMode="External" Type="http://schemas.openxmlformats.org/officeDocument/2006/relationships/hyperlink"/><Relationship Id="rId195" Target="http%3A%2F%2Fdx.doi.org%2F10.1016%2Fj.artmed.2020.101822" TargetMode="External" Type="http://schemas.openxmlformats.org/officeDocument/2006/relationships/hyperlink"/><Relationship Id="rId196" Target="https%3A%2F%2Fwww.webofscience.com%2Fwos%2Fwoscc%2Ffull-record%2FWOS%3A000537804900016" TargetMode="External" Type="http://schemas.openxmlformats.org/officeDocument/2006/relationships/hyperlink"/><Relationship Id="rId197" Target="http%3A%2F%2Fdx.doi.org%2F10.1002%2Fadmt.201800628" TargetMode="External" Type="http://schemas.openxmlformats.org/officeDocument/2006/relationships/hyperlink"/><Relationship Id="rId198" Target="https%3A%2F%2Fwww.webofscience.com%2Fwos%2Fwoscc%2Ffull-record%2FWOS%3A000461232400002" TargetMode="External" Type="http://schemas.openxmlformats.org/officeDocument/2006/relationships/hyperlink"/><Relationship Id="rId199" Target="http%3A%2F%2Fdx.doi.org%2F10.1002%2Fmp.13264" TargetMode="External" Type="http://schemas.openxmlformats.org/officeDocument/2006/relationships/hyperlink"/><Relationship Id="rId2" Target="https%3A%2F%2Fwww.webofscience.com%2Fwos%2Fwoscc%2Ffull-record%2FWOS%3A000455027700019" TargetMode="External" Type="http://schemas.openxmlformats.org/officeDocument/2006/relationships/hyperlink"/><Relationship Id="rId20" Target="https%3A%2F%2Fwww.webofscience.com%2Fwos%2Fwoscc%2Ffull-record%2FWOS%3A000470081100015" TargetMode="External" Type="http://schemas.openxmlformats.org/officeDocument/2006/relationships/hyperlink"/><Relationship Id="rId200" Target="https%3A%2F%2Fwww.webofscience.com%2Fwos%2Fwoscc%2Ffull-record%2FWOS%3A000455029900001" TargetMode="External" Type="http://schemas.openxmlformats.org/officeDocument/2006/relationships/hyperlink"/><Relationship Id="rId201" Target="http%3A%2F%2Fdx.doi.org%2F10.1038%2Fs41578-023-00552-2" TargetMode="External" Type="http://schemas.openxmlformats.org/officeDocument/2006/relationships/hyperlink"/><Relationship Id="rId202" Target="https%3A%2F%2Fwww.webofscience.com%2Fwos%2Fwoscc%2Ffull-record%2FWOS%3A000955844700001" TargetMode="External" Type="http://schemas.openxmlformats.org/officeDocument/2006/relationships/hyperlink"/><Relationship Id="rId203" Target="http%3A%2F%2Fdx.doi.org%2F10.1158%2F2159-8290.CD-21-0090" TargetMode="External" Type="http://schemas.openxmlformats.org/officeDocument/2006/relationships/hyperlink"/><Relationship Id="rId204" Target="https%3A%2F%2Fwww.webofscience.com%2Fwos%2Fwoscc%2Ffull-record%2FWOS%3A000636962700011" TargetMode="External" Type="http://schemas.openxmlformats.org/officeDocument/2006/relationships/hyperlink"/><Relationship Id="rId205" Target="http%3A%2F%2Fdx.doi.org%2F10.1080%2F10408363.2020.1783198" TargetMode="External" Type="http://schemas.openxmlformats.org/officeDocument/2006/relationships/hyperlink"/><Relationship Id="rId206" Target="https%3A%2F%2Fwww.webofscience.com%2Fwos%2Fwoscc%2Ffull-record%2FWOS%3A000547158200001" TargetMode="External" Type="http://schemas.openxmlformats.org/officeDocument/2006/relationships/hyperlink"/><Relationship Id="rId207" Target="http%3A%2F%2Fdx.doi.org%2F10.1007%2Fs00134-019-05872-y" TargetMode="External" Type="http://schemas.openxmlformats.org/officeDocument/2006/relationships/hyperlink"/><Relationship Id="rId208" Target="https%3A%2F%2Fwww.webofscience.com%2Fwos%2Fwoscc%2Ffull-record%2FWOS%3A000519960500001" TargetMode="External" Type="http://schemas.openxmlformats.org/officeDocument/2006/relationships/hyperlink"/><Relationship Id="rId209" Target="http%3A%2F%2Fdx.doi.org%2F10.1088%2F1361-6633%2Fac0a50" TargetMode="External" Type="http://schemas.openxmlformats.org/officeDocument/2006/relationships/hyperlink"/><Relationship Id="rId21" Target="http%3A%2F%2Fdx.doi.org%2F10.1186%2Fs12909-023-04698-z" TargetMode="External" Type="http://schemas.openxmlformats.org/officeDocument/2006/relationships/hyperlink"/><Relationship Id="rId210" Target="https%3A%2F%2Fwww.webofscience.com%2Fwos%2Fwoscc%2Ffull-record%2FWOS%3A000694432000001" TargetMode="External" Type="http://schemas.openxmlformats.org/officeDocument/2006/relationships/hyperlink"/><Relationship Id="rId211" Target="http%3A%2F%2Fdx.doi.org%2F10.1016%2Fj.heliyon.2024.e26297" TargetMode="External" Type="http://schemas.openxmlformats.org/officeDocument/2006/relationships/hyperlink"/><Relationship Id="rId212" Target="https%3A%2F%2Fwww.webofscience.com%2Fwos%2Fwoscc%2Ffull-record%2FWOS%3A001188935900001" TargetMode="External" Type="http://schemas.openxmlformats.org/officeDocument/2006/relationships/hyperlink"/><Relationship Id="rId213" Target="http%3A%2F%2Fdx.doi.org%2F10.1093%2Fjamia%2Focy068" TargetMode="External" Type="http://schemas.openxmlformats.org/officeDocument/2006/relationships/hyperlink"/><Relationship Id="rId214" Target="https%3A%2F%2Fwww.webofscience.com%2Fwos%2Fwoscc%2Ffull-record%2FWOS%3A000448166200019" TargetMode="External" Type="http://schemas.openxmlformats.org/officeDocument/2006/relationships/hyperlink"/><Relationship Id="rId215" Target="http%3A%2F%2Fdx.doi.org%2F10.3390%2Fdiagnostics13172760" TargetMode="External" Type="http://schemas.openxmlformats.org/officeDocument/2006/relationships/hyperlink"/><Relationship Id="rId216" Target="https%3A%2F%2Fwww.webofscience.com%2Fwos%2Fwoscc%2Ffull-record%2FWOS%3A001061049600001" TargetMode="External" Type="http://schemas.openxmlformats.org/officeDocument/2006/relationships/hyperlink"/><Relationship Id="rId217" Target="http%3A%2F%2Fdx.doi.org%2F10.1088%2F1361-6560%2Fab843e" TargetMode="External" Type="http://schemas.openxmlformats.org/officeDocument/2006/relationships/hyperlink"/><Relationship Id="rId218" Target="https%3A%2F%2Fwww.webofscience.com%2Fwos%2Fwoscc%2Ffull-record%2FWOS%3A000583389600001" TargetMode="External" Type="http://schemas.openxmlformats.org/officeDocument/2006/relationships/hyperlink"/><Relationship Id="rId219" Target="http%3A%2F%2Fdx.doi.org%2F10.1007%2Fs11920-019-1094-0" TargetMode="External" Type="http://schemas.openxmlformats.org/officeDocument/2006/relationships/hyperlink"/><Relationship Id="rId22" Target="https%3A%2F%2Fwww.webofscience.com%2Fwos%2Fwoscc%2Ffull-record%2FWOS%3A001073754200001" TargetMode="External" Type="http://schemas.openxmlformats.org/officeDocument/2006/relationships/hyperlink"/><Relationship Id="rId220" Target="https%3A%2F%2Fwww.webofscience.com%2Fwos%2Fwoscc%2Ffull-record%2FWOS%3A000496139900003" TargetMode="External" Type="http://schemas.openxmlformats.org/officeDocument/2006/relationships/hyperlink"/><Relationship Id="rId221" Target="http%3A%2F%2Fdx.doi.org%2F10.1038%2Fs41416-020-01122-x" TargetMode="External" Type="http://schemas.openxmlformats.org/officeDocument/2006/relationships/hyperlink"/><Relationship Id="rId222" Target="https%3A%2F%2Fwww.webofscience.com%2Fwos%2Fwoscc%2Ffull-record%2FWOS%3A000590213700004" TargetMode="External" Type="http://schemas.openxmlformats.org/officeDocument/2006/relationships/hyperlink"/><Relationship Id="rId223" Target="http%3A%2F%2Fdx.doi.org%2F10.1007%2Fs10462-021-10058-4" TargetMode="External" Type="http://schemas.openxmlformats.org/officeDocument/2006/relationships/hyperlink"/><Relationship Id="rId224" Target="https%3A%2F%2Fwww.webofscience.com%2Fwos%2Fwoscc%2Ffull-record%2FWOS%3A000684096000001" TargetMode="External" Type="http://schemas.openxmlformats.org/officeDocument/2006/relationships/hyperlink"/><Relationship Id="rId225" Target="http%3A%2F%2Fdx.doi.org%2F10.1145%2F3491209" TargetMode="External" Type="http://schemas.openxmlformats.org/officeDocument/2006/relationships/hyperlink"/><Relationship Id="rId226" Target="https%3A%2F%2Fwww.webofscience.com%2Fwos%2Fwoscc%2Ffull-record%2FWOS%3A000778458900016" TargetMode="External" Type="http://schemas.openxmlformats.org/officeDocument/2006/relationships/hyperlink"/><Relationship Id="rId227" Target="http%3A%2F%2Fdx.doi.org%2F10.1016%2FS2213-8587%2819%2930411-5" TargetMode="External" Type="http://schemas.openxmlformats.org/officeDocument/2006/relationships/hyperlink"/><Relationship Id="rId228" Target="https%3A%2F%2Fwww.webofscience.com%2Fwos%2Fwoscc%2Ffull-record%2FWOS%3A000520865400021" TargetMode="External" Type="http://schemas.openxmlformats.org/officeDocument/2006/relationships/hyperlink"/><Relationship Id="rId229" Target="http%3A%2F%2Fdx.doi.org%2F10.1016%2Fj.cell.2023.01.035" TargetMode="External" Type="http://schemas.openxmlformats.org/officeDocument/2006/relationships/hyperlink"/><Relationship Id="rId23" Target="http%3A%2F%2Fdx.doi.org%2F10.1038%2Fs41551-018-0305-z" TargetMode="External" Type="http://schemas.openxmlformats.org/officeDocument/2006/relationships/hyperlink"/><Relationship Id="rId230" Target="https%3A%2F%2Fwww.webofscience.com%2Fwos%2Fwoscc%2Ffull-record%2FWOS%3A000987749100001" TargetMode="External" Type="http://schemas.openxmlformats.org/officeDocument/2006/relationships/hyperlink"/><Relationship Id="rId231" Target="http%3A%2F%2Fdx.doi.org%2F10.1038%2Fs41568-021-00408-3" TargetMode="External" Type="http://schemas.openxmlformats.org/officeDocument/2006/relationships/hyperlink"/><Relationship Id="rId232" Target="https%3A%2F%2Fwww.webofscience.com%2Fwos%2Fwoscc%2Ffull-record%2FWOS%3A000708347800001" TargetMode="External" Type="http://schemas.openxmlformats.org/officeDocument/2006/relationships/hyperlink"/><Relationship Id="rId233" Target="http%3A%2F%2Fdx.doi.org%2F10.1016%2Fj.jacc.2018.12.054" TargetMode="External" Type="http://schemas.openxmlformats.org/officeDocument/2006/relationships/hyperlink"/><Relationship Id="rId234" Target="https%3A%2F%2Fwww.webofscience.com%2Fwos%2Fwoscc%2Ffull-record%2FWOS%3A000461466500012" TargetMode="External" Type="http://schemas.openxmlformats.org/officeDocument/2006/relationships/hyperlink"/><Relationship Id="rId235" Target="http%3A%2F%2Fdx.doi.org%2F10.3390%2Fjimaging6060052" TargetMode="External" Type="http://schemas.openxmlformats.org/officeDocument/2006/relationships/hyperlink"/><Relationship Id="rId236" Target="https%3A%2F%2Fwww.webofscience.com%2Fwos%2Fwoscc%2Ffull-record%2FWOS%3A000551247200019" TargetMode="External" Type="http://schemas.openxmlformats.org/officeDocument/2006/relationships/hyperlink"/><Relationship Id="rId237" Target="http%3A%2F%2Fdx.doi.org%2F10.3390%2Fbioengineering11040337" TargetMode="External" Type="http://schemas.openxmlformats.org/officeDocument/2006/relationships/hyperlink"/><Relationship Id="rId238" Target="https%3A%2F%2Fwww.webofscience.com%2Fwos%2Fwoscc%2Ffull-record%2FWOS%3A001210567500001" TargetMode="External" Type="http://schemas.openxmlformats.org/officeDocument/2006/relationships/hyperlink"/><Relationship Id="rId239" Target="http%3A%2F%2Fdx.doi.org%2F10.1016%2Fj.array.2019.100004" TargetMode="External" Type="http://schemas.openxmlformats.org/officeDocument/2006/relationships/hyperlink"/><Relationship Id="rId24" Target="https%3A%2F%2Fwww.webofscience.com%2Fwos%2Fwoscc%2Ffull-record%2FWOS%3A000446910800006" TargetMode="External" Type="http://schemas.openxmlformats.org/officeDocument/2006/relationships/hyperlink"/><Relationship Id="rId240" Target="https%3A%2F%2Fwww.webofscience.com%2Fwos%2Fwoscc%2Ffull-record%2FWOS%3A001229380700001" TargetMode="External" Type="http://schemas.openxmlformats.org/officeDocument/2006/relationships/hyperlink"/><Relationship Id="rId241" Target="http%3A%2F%2Fdx.doi.org%2F10.1111%2F2041-210X.13256" TargetMode="External" Type="http://schemas.openxmlformats.org/officeDocument/2006/relationships/hyperlink"/><Relationship Id="rId242" Target="https%3A%2F%2Fwww.webofscience.com%2Fwos%2Fwoscc%2Ffull-record%2FWOS%3A000488345800001" TargetMode="External" Type="http://schemas.openxmlformats.org/officeDocument/2006/relationships/hyperlink"/><Relationship Id="rId243" Target="http%3A%2F%2Fdx.doi.org%2F10.1038%2Fs41746-019-0193-y" TargetMode="External" Type="http://schemas.openxmlformats.org/officeDocument/2006/relationships/hyperlink"/><Relationship Id="rId244" Target="https%3A%2F%2Fwww.webofscience.com%2Fwos%2Fwoscc%2Ffull-record%2FWOS%3A000503006300001" TargetMode="External" Type="http://schemas.openxmlformats.org/officeDocument/2006/relationships/hyperlink"/><Relationship Id="rId245" Target="http%3A%2F%2Fdx.doi.org%2F10.1177%2F1729881419839596" TargetMode="External" Type="http://schemas.openxmlformats.org/officeDocument/2006/relationships/hyperlink"/><Relationship Id="rId246" Target="https%3A%2F%2Fwww.webofscience.com%2Fwos%2Fwoscc%2Ffull-record%2FWOS%3A000465135800001" TargetMode="External" Type="http://schemas.openxmlformats.org/officeDocument/2006/relationships/hyperlink"/><Relationship Id="rId247" Target="http%3A%2F%2Fdx.doi.org%2F10.3390%2Fmedicina56090455" TargetMode="External" Type="http://schemas.openxmlformats.org/officeDocument/2006/relationships/hyperlink"/><Relationship Id="rId248" Target="https%3A%2F%2Fwww.webofscience.com%2Fwos%2Fwoscc%2Ffull-record%2FWOS%3A000578236200001" TargetMode="External" Type="http://schemas.openxmlformats.org/officeDocument/2006/relationships/hyperlink"/><Relationship Id="rId249" Target="http%3A%2F%2Fdx.doi.org%2F10.1038%2Fs41746-024-01073-0" TargetMode="External" Type="http://schemas.openxmlformats.org/officeDocument/2006/relationships/hyperlink"/><Relationship Id="rId25" Target="http%3A%2F%2Fdx.doi.org%2F10.1080%2F10408398.2023.2176464" TargetMode="External" Type="http://schemas.openxmlformats.org/officeDocument/2006/relationships/hyperlink"/><Relationship Id="rId250" Target="https%3A%2F%2Fwww.webofscience.com%2Fwos%2Fwoscc%2Ffull-record%2FWOS%3A001189226400001" TargetMode="External" Type="http://schemas.openxmlformats.org/officeDocument/2006/relationships/hyperlink"/><Relationship Id="rId251" Target="http%3A%2F%2Fdx.doi.org%2F10.1038%2Fs44160-022-00231-0" TargetMode="External" Type="http://schemas.openxmlformats.org/officeDocument/2006/relationships/hyperlink"/><Relationship Id="rId252" Target="https%3A%2F%2Fwww.webofscience.com%2Fwos%2Fwoscc%2Ffull-record%2FWOS%3A001126317200001" TargetMode="External" Type="http://schemas.openxmlformats.org/officeDocument/2006/relationships/hyperlink"/><Relationship Id="rId253" Target="http%3A%2F%2Fdx.doi.org%2F10.1038%2Fs41578-021-00337-5" TargetMode="External" Type="http://schemas.openxmlformats.org/officeDocument/2006/relationships/hyperlink"/><Relationship Id="rId254" Target="https%3A%2F%2Fwww.webofscience.com%2Fwos%2Fwoscc%2Ffull-record%2FWOS%3A000673035600001" TargetMode="External" Type="http://schemas.openxmlformats.org/officeDocument/2006/relationships/hyperlink"/><Relationship Id="rId255" Target="http%3A%2F%2Fdx.doi.org%2F10.1016%2Fj.ejmp.2021.02.006" TargetMode="External" Type="http://schemas.openxmlformats.org/officeDocument/2006/relationships/hyperlink"/><Relationship Id="rId256" Target="https%3A%2F%2Fwww.webofscience.com%2Fwos%2Fwoscc%2Ffull-record%2FWOS%3A000657912000002" TargetMode="External" Type="http://schemas.openxmlformats.org/officeDocument/2006/relationships/hyperlink"/><Relationship Id="rId257" Target="http%3A%2F%2Fdx.doi.org%2F10.3390%2Fjpm13060951" TargetMode="External" Type="http://schemas.openxmlformats.org/officeDocument/2006/relationships/hyperlink"/><Relationship Id="rId258" Target="https%3A%2F%2Fwww.webofscience.com%2Fwos%2Fwoscc%2Ffull-record%2FWOS%3A001015376300001" TargetMode="External" Type="http://schemas.openxmlformats.org/officeDocument/2006/relationships/hyperlink"/><Relationship Id="rId259" Target="http%3A%2F%2Fdx.doi.org%2F10.1038%2Fs41392-023-01381-z" TargetMode="External" Type="http://schemas.openxmlformats.org/officeDocument/2006/relationships/hyperlink"/><Relationship Id="rId26" Target="https%3A%2F%2Fwww.webofscience.com%2Fwos%2Fwoscc%2Ffull-record%2FWOS%3A000934237100001" TargetMode="External" Type="http://schemas.openxmlformats.org/officeDocument/2006/relationships/hyperlink"/><Relationship Id="rId260" Target="https%3A%2F%2Fwww.webofscience.com%2Fwos%2Fwoscc%2Ffull-record%2FWOS%3A000953048300004" TargetMode="External" Type="http://schemas.openxmlformats.org/officeDocument/2006/relationships/hyperlink"/><Relationship Id="rId261" Target="http%3A%2F%2Fdx.doi.org%2F10.3390%2Fbios11090336" TargetMode="External" Type="http://schemas.openxmlformats.org/officeDocument/2006/relationships/hyperlink"/><Relationship Id="rId262" Target="https%3A%2F%2Fwww.webofscience.com%2Fwos%2Fwoscc%2Ffull-record%2FWOS%3A000699338900001" TargetMode="External" Type="http://schemas.openxmlformats.org/officeDocument/2006/relationships/hyperlink"/><Relationship Id="rId263" Target="http%3A%2F%2Fdx.doi.org%2F10.1038%2Fs41580-018-0094-y" TargetMode="External" Type="http://schemas.openxmlformats.org/officeDocument/2006/relationships/hyperlink"/><Relationship Id="rId264" Target="https%3A%2F%2Fwww.webofscience.com%2Fwos%2Fwoscc%2Ffull-record%2FWOS%3A000465500200008" TargetMode="External" Type="http://schemas.openxmlformats.org/officeDocument/2006/relationships/hyperlink"/><Relationship Id="rId265" Target="http%3A%2F%2Fdx.doi.org%2F10.1016%2Fj.chaos.2020.110059" TargetMode="External" Type="http://schemas.openxmlformats.org/officeDocument/2006/relationships/hyperlink"/><Relationship Id="rId266" Target="https%3A%2F%2Fwww.webofscience.com%2Fwos%2Fwoscc%2Ffull-record%2FWOS%3A000588433800064" TargetMode="External" Type="http://schemas.openxmlformats.org/officeDocument/2006/relationships/hyperlink"/><Relationship Id="rId267" Target="http%3A%2F%2Fdx.doi.org%2F10.1016%2Fj.inffus.2021.02.012" TargetMode="External" Type="http://schemas.openxmlformats.org/officeDocument/2006/relationships/hyperlink"/><Relationship Id="rId268" Target="https%3A%2F%2Fwww.webofscience.com%2Fwos%2Fwoscc%2Ffull-record%2FWOS%3A000651146500003" TargetMode="External" Type="http://schemas.openxmlformats.org/officeDocument/2006/relationships/hyperlink"/><Relationship Id="rId269" Target="http%3A%2F%2Fdx.doi.org%2F10.1145%2F3494672" TargetMode="External" Type="http://schemas.openxmlformats.org/officeDocument/2006/relationships/hyperlink"/><Relationship Id="rId27" Target="http%3A%2F%2Fdx.doi.org%2F10.3390%2Fhealthcare11060887" TargetMode="External" Type="http://schemas.openxmlformats.org/officeDocument/2006/relationships/hyperlink"/><Relationship Id="rId270" Target="https%3A%2F%2Fwww.webofscience.com%2Fwos%2Fwoscc%2Ffull-record%2FWOS%3A000886932500002" TargetMode="External" Type="http://schemas.openxmlformats.org/officeDocument/2006/relationships/hyperlink"/><Relationship Id="rId271" Target="http%3A%2F%2Fdx.doi.org%2F10.1007%2Fs00521-021-06352-5" TargetMode="External" Type="http://schemas.openxmlformats.org/officeDocument/2006/relationships/hyperlink"/><Relationship Id="rId272" Target="https%3A%2F%2Fwww.webofscience.com%2Fwos%2Fwoscc%2Ffull-record%2FWOS%3A000688393800001" TargetMode="External" Type="http://schemas.openxmlformats.org/officeDocument/2006/relationships/hyperlink"/><Relationship Id="rId273" Target="http%3A%2F%2Fdx.doi.org%2F10.1038%2Fs42256-020-00273-z" TargetMode="External" Type="http://schemas.openxmlformats.org/officeDocument/2006/relationships/hyperlink"/><Relationship Id="rId274" Target="https%3A%2F%2Fwww.webofscience.com%2Fwos%2Fwoscc%2Ffull-record%2FWOS%3A000600016400004" TargetMode="External" Type="http://schemas.openxmlformats.org/officeDocument/2006/relationships/hyperlink"/><Relationship Id="rId275" Target="http%3A%2F%2Fdx.doi.org%2F10.1016%2Fj.cell.2020.03.022" TargetMode="External" Type="http://schemas.openxmlformats.org/officeDocument/2006/relationships/hyperlink"/><Relationship Id="rId276" Target="https%3A%2F%2Fwww.webofscience.com%2Fwos%2Fwoscc%2Ffull-record%2FWOS%3A000523319000015" TargetMode="External" Type="http://schemas.openxmlformats.org/officeDocument/2006/relationships/hyperlink"/><Relationship Id="rId277" Target="http%3A%2F%2Fdx.doi.org%2F10.2352%2FJ.ImagingSci.Technol.2020.64.2.020508" TargetMode="External" Type="http://schemas.openxmlformats.org/officeDocument/2006/relationships/hyperlink"/><Relationship Id="rId278" Target="https%3A%2F%2Fwww.webofscience.com%2Fwos%2Fwoscc%2Ffull-record%2FWOS%3A000534263600008" TargetMode="External" Type="http://schemas.openxmlformats.org/officeDocument/2006/relationships/hyperlink"/><Relationship Id="rId279" Target="http%3A%2F%2Fdx.doi.org%2F10.1016%2Fj.jtho.2018.11.023" TargetMode="External" Type="http://schemas.openxmlformats.org/officeDocument/2006/relationships/hyperlink"/><Relationship Id="rId28" Target="https%3A%2F%2Fwww.webofscience.com%2Fwos%2Fwoscc%2Ffull-record%2FWOS%3A000956609200001" TargetMode="External" Type="http://schemas.openxmlformats.org/officeDocument/2006/relationships/hyperlink"/><Relationship Id="rId280" Target="https%3A%2F%2Fwww.webofscience.com%2Fwos%2Fwoscc%2Ffull-record%2FWOS%3A000459167100014" TargetMode="External" Type="http://schemas.openxmlformats.org/officeDocument/2006/relationships/hyperlink"/><Relationship Id="rId281" Target="http%3A%2F%2Fdx.doi.org%2F10.1016%2Fj.canlet.2019.12.007" TargetMode="External" Type="http://schemas.openxmlformats.org/officeDocument/2006/relationships/hyperlink"/><Relationship Id="rId282" Target="https%3A%2F%2Fwww.webofscience.com%2Fwos%2Fwoscc%2Ffull-record%2FWOS%3A000509630300006" TargetMode="External" Type="http://schemas.openxmlformats.org/officeDocument/2006/relationships/hyperlink"/><Relationship Id="rId283" Target="http%3A%2F%2Fdx.doi.org%2F10.1038%2Fs41576-019-0108-4" TargetMode="External" Type="http://schemas.openxmlformats.org/officeDocument/2006/relationships/hyperlink"/><Relationship Id="rId284" Target="https%3A%2F%2Fwww.webofscience.com%2Fwos%2Fwoscc%2Ffull-record%2FWOS%3A000468574800012" TargetMode="External" Type="http://schemas.openxmlformats.org/officeDocument/2006/relationships/hyperlink"/><Relationship Id="rId285" Target="http%3A%2F%2Fdx.doi.org%2F10.1016%2Fj.cmpb.2018.02.001" TargetMode="External" Type="http://schemas.openxmlformats.org/officeDocument/2006/relationships/hyperlink"/><Relationship Id="rId286" Target="https%3A%2F%2Fwww.webofscience.com%2Fwos%2Fwoscc%2Ffull-record%2FWOS%3A000427786400008" TargetMode="External" Type="http://schemas.openxmlformats.org/officeDocument/2006/relationships/hyperlink"/><Relationship Id="rId287" Target="http%3A%2F%2Fdx.doi.org%2F10.1002%2Fadma.201706910" TargetMode="External" Type="http://schemas.openxmlformats.org/officeDocument/2006/relationships/hyperlink"/><Relationship Id="rId288" Target="https%3A%2F%2Fwww.webofscience.com%2Fwos%2Fwoscc%2Ffull-record%2FWOS%3A000441411500004" TargetMode="External" Type="http://schemas.openxmlformats.org/officeDocument/2006/relationships/hyperlink"/><Relationship Id="rId289" Target="http%3A%2F%2Fdx.doi.org%2F10.1109%2FACCESS.2020.2990528" TargetMode="External" Type="http://schemas.openxmlformats.org/officeDocument/2006/relationships/hyperlink"/><Relationship Id="rId29" Target="http%3A%2F%2Fdx.doi.org%2F10.1093%2Fbib%2Fbbx044" TargetMode="External" Type="http://schemas.openxmlformats.org/officeDocument/2006/relationships/hyperlink"/><Relationship Id="rId290" Target="https%3A%2F%2Fwww.webofscience.com%2Fwos%2Fwoscc%2Ffull-record%2FWOS%3A000541121800019" TargetMode="External" Type="http://schemas.openxmlformats.org/officeDocument/2006/relationships/hyperlink"/><Relationship Id="rId291" Target="http%3A%2F%2Fdx.doi.org%2F10.1016%2Fj.inffus.2023.03.008" TargetMode="External" Type="http://schemas.openxmlformats.org/officeDocument/2006/relationships/hyperlink"/><Relationship Id="rId292" Target="https%3A%2F%2Fwww.webofscience.com%2Fwos%2Fwoscc%2Ffull-record%2FWOS%3A000992727400001" TargetMode="External" Type="http://schemas.openxmlformats.org/officeDocument/2006/relationships/hyperlink"/><Relationship Id="rId293" Target="http%3A%2F%2Fdx.doi.org%2F10.1016%2Fj.amjmed.2017.10.035" TargetMode="External" Type="http://schemas.openxmlformats.org/officeDocument/2006/relationships/hyperlink"/><Relationship Id="rId294" Target="https%3A%2F%2Fwww.webofscience.com%2Fwos%2Fwoscc%2Ffull-record%2FWOS%3A000424408300025" TargetMode="External" Type="http://schemas.openxmlformats.org/officeDocument/2006/relationships/hyperlink"/><Relationship Id="rId295" Target="http%3A%2F%2Fdx.doi.org%2F10.1016%2Fj.preteyeres.2020.100900" TargetMode="External" Type="http://schemas.openxmlformats.org/officeDocument/2006/relationships/hyperlink"/><Relationship Id="rId296" Target="https%3A%2F%2Fwww.webofscience.com%2Fwos%2Fwoscc%2Ffull-record%2FWOS%3A000670077000003" TargetMode="External" Type="http://schemas.openxmlformats.org/officeDocument/2006/relationships/hyperlink"/><Relationship Id="rId297" Target="http%3A%2F%2Fdx.doi.org%2F10.1001%2Fjamasurg.2019.4917" TargetMode="External" Type="http://schemas.openxmlformats.org/officeDocument/2006/relationships/hyperlink"/><Relationship Id="rId298" Target="https%3A%2F%2Fwww.webofscience.com%2Fwos%2Fwoscc%2Ffull-record%2FWOS%3A000517986100010" TargetMode="External" Type="http://schemas.openxmlformats.org/officeDocument/2006/relationships/hyperlink"/><Relationship Id="rId299" Target="http%3A%2F%2Fdx.doi.org%2F10.1038%2Fs41379-021-00919-2" TargetMode="External" Type="http://schemas.openxmlformats.org/officeDocument/2006/relationships/hyperlink"/><Relationship Id="rId3" Target="http%3A%2F%2Fdx.doi.org%2F10.1186%2Fs40537-021-00444-8" TargetMode="External" Type="http://schemas.openxmlformats.org/officeDocument/2006/relationships/hyperlink"/><Relationship Id="rId30" Target="https%3A%2F%2Fwww.webofscience.com%2Fwos%2Fwoscc%2Ffull-record%2FWOS%3A000456689400011" TargetMode="External" Type="http://schemas.openxmlformats.org/officeDocument/2006/relationships/hyperlink"/><Relationship Id="rId300" Target="https%3A%2F%2Fwww.webofscience.com%2Fwos%2Fwoscc%2Ffull-record%2FWOS%3A000703819900001" TargetMode="External" Type="http://schemas.openxmlformats.org/officeDocument/2006/relationships/hyperlink"/><Relationship Id="rId301" Target="http%3A%2F%2Fdx.doi.org%2F10.3390%2Fs20185097" TargetMode="External" Type="http://schemas.openxmlformats.org/officeDocument/2006/relationships/hyperlink"/><Relationship Id="rId302" Target="https%3A%2F%2Fwww.webofscience.com%2Fwos%2Fwoscc%2Ffull-record%2FWOS%3A000579958100001" TargetMode="External" Type="http://schemas.openxmlformats.org/officeDocument/2006/relationships/hyperlink"/><Relationship Id="rId303" Target="http%3A%2F%2Fdx.doi.org%2F10.1038%2Fs12276-024-01201-6" TargetMode="External" Type="http://schemas.openxmlformats.org/officeDocument/2006/relationships/hyperlink"/><Relationship Id="rId304" Target="https%3A%2F%2Fwww.webofscience.com%2Fwos%2Fwoscc%2Ffull-record%2FWOS%3A001194799500011" TargetMode="External" Type="http://schemas.openxmlformats.org/officeDocument/2006/relationships/hyperlink"/><Relationship Id="rId305" Target="http%3A%2F%2Fdx.doi.org%2F10.1186%2Fs40779-021-00338-z" TargetMode="External" Type="http://schemas.openxmlformats.org/officeDocument/2006/relationships/hyperlink"/><Relationship Id="rId306" Target="https%3A%2F%2Fwww.webofscience.com%2Fwos%2Fwoscc%2Ffull-record%2FWOS%3A000684205600001" TargetMode="External" Type="http://schemas.openxmlformats.org/officeDocument/2006/relationships/hyperlink"/><Relationship Id="rId307" Target="http%3A%2F%2Fdx.doi.org%2F10.3390%2Fapp11115088" TargetMode="External" Type="http://schemas.openxmlformats.org/officeDocument/2006/relationships/hyperlink"/><Relationship Id="rId308" Target="https%3A%2F%2Fwww.webofscience.com%2Fwos%2Fwoscc%2Ffull-record%2FWOS%3A000659606300001" TargetMode="External" Type="http://schemas.openxmlformats.org/officeDocument/2006/relationships/hyperlink"/><Relationship Id="rId309" Target="http%3A%2F%2Fdx.doi.org%2F10.1016%2Fj.gpb.2017.07.003" TargetMode="External" Type="http://schemas.openxmlformats.org/officeDocument/2006/relationships/hyperlink"/><Relationship Id="rId31" Target="http%3A%2F%2Fdx.doi.org%2F10.1038%2Fs41566-020-00754-y" TargetMode="External" Type="http://schemas.openxmlformats.org/officeDocument/2006/relationships/hyperlink"/><Relationship Id="rId310" Target="https%3A%2F%2Fwww.webofscience.com%2Fwos%2Fwoscc%2Ffull-record%2FWOS%3A000428133100003" TargetMode="External" Type="http://schemas.openxmlformats.org/officeDocument/2006/relationships/hyperlink"/><Relationship Id="rId311" Target="http%3A%2F%2Fdx.doi.org%2F10.1007%2Fs13735-021-00218-1" TargetMode="External" Type="http://schemas.openxmlformats.org/officeDocument/2006/relationships/hyperlink"/><Relationship Id="rId312" Target="https%3A%2F%2Fwww.webofscience.com%2Fwos%2Fwoscc%2Ffull-record%2FWOS%3A000692438200001" TargetMode="External" Type="http://schemas.openxmlformats.org/officeDocument/2006/relationships/hyperlink"/><Relationship Id="rId313" Target="http%3A%2F%2Fdx.doi.org%2F10.1093%2Fnar%2Fgky889" TargetMode="External" Type="http://schemas.openxmlformats.org/officeDocument/2006/relationships/hyperlink"/><Relationship Id="rId314" Target="https%3A%2F%2Fwww.webofscience.com%2Fwos%2Fwoscc%2Ffull-record%2FWOS%3A000456709700008" TargetMode="External" Type="http://schemas.openxmlformats.org/officeDocument/2006/relationships/hyperlink"/><Relationship Id="rId315" Target="http%3A%2F%2Fdx.doi.org%2F10.1002%2Fmco2.315" TargetMode="External" Type="http://schemas.openxmlformats.org/officeDocument/2006/relationships/hyperlink"/><Relationship Id="rId316" Target="https%3A%2F%2Fwww.webofscience.com%2Fwos%2Fwoscc%2Ffull-record%2FWOS%3A001040080600001" TargetMode="External" Type="http://schemas.openxmlformats.org/officeDocument/2006/relationships/hyperlink"/><Relationship Id="rId317" Target="http%3A%2F%2Fdx.doi.org%2F10.1038%2Fs41582-020-0377-8" TargetMode="External" Type="http://schemas.openxmlformats.org/officeDocument/2006/relationships/hyperlink"/><Relationship Id="rId318" Target="https%3A%2F%2Fwww.webofscience.com%2Fwos%2Fwoscc%2Ffull-record%2FWOS%3A000548827900001" TargetMode="External" Type="http://schemas.openxmlformats.org/officeDocument/2006/relationships/hyperlink"/><Relationship Id="rId319" Target="http%3A%2F%2Fdx.doi.org%2F10.1016%2Fj.preteyeres.2019.04.003" TargetMode="External" Type="http://schemas.openxmlformats.org/officeDocument/2006/relationships/hyperlink"/><Relationship Id="rId32" Target="https%3A%2F%2Fwww.webofscience.com%2Fwos%2Fwoscc%2Ffull-record%2FWOS%3A000613495900009" TargetMode="External" Type="http://schemas.openxmlformats.org/officeDocument/2006/relationships/hyperlink"/><Relationship Id="rId320" Target="https%3A%2F%2Fwww.webofscience.com%2Fwos%2Fwoscc%2Ffull-record%2FWOS%3A000488311400001" TargetMode="External" Type="http://schemas.openxmlformats.org/officeDocument/2006/relationships/hyperlink"/><Relationship Id="rId321" Target="http%3A%2F%2Fdx.doi.org%2F10.1016%2Fj.cmi.2019.09.009" TargetMode="External" Type="http://schemas.openxmlformats.org/officeDocument/2006/relationships/hyperlink"/><Relationship Id="rId322" Target="https%3A%2F%2Fwww.webofscience.com%2Fwos%2Fwoscc%2Ffull-record%2FWOS%3A000532069100011" TargetMode="External" Type="http://schemas.openxmlformats.org/officeDocument/2006/relationships/hyperlink"/><Relationship Id="rId323" Target="http%3A%2F%2Fdx.doi.org%2F10.1016%2Fj.jds.2020.06.019" TargetMode="External" Type="http://schemas.openxmlformats.org/officeDocument/2006/relationships/hyperlink"/><Relationship Id="rId324" Target="https%3A%2F%2Fwww.webofscience.com%2Fwos%2Fwoscc%2Ffull-record%2FWOS%3A000604780000026" TargetMode="External" Type="http://schemas.openxmlformats.org/officeDocument/2006/relationships/hyperlink"/><Relationship Id="rId325" Target="http%3A%2F%2Fdx.doi.org%2F10.1002%2Fwidm.1379" TargetMode="External" Type="http://schemas.openxmlformats.org/officeDocument/2006/relationships/hyperlink"/><Relationship Id="rId326" Target="https%3A%2F%2Fwww.webofscience.com%2Fwos%2Fwoscc%2Ffull-record%2FWOS%3A000543919100001" TargetMode="External" Type="http://schemas.openxmlformats.org/officeDocument/2006/relationships/hyperlink"/><Relationship Id="rId327" Target="http%3A%2F%2Fdx.doi.org%2F10.21037%2Fatm.2020.02.44" TargetMode="External" Type="http://schemas.openxmlformats.org/officeDocument/2006/relationships/hyperlink"/><Relationship Id="rId328" Target="https%3A%2F%2Fwww.webofscience.com%2Fwos%2Fwoscc%2Ffull-record%2FWOS%3A000541834200053" TargetMode="External" Type="http://schemas.openxmlformats.org/officeDocument/2006/relationships/hyperlink"/><Relationship Id="rId329" Target="http%3A%2F%2Fdx.doi.org%2F10.1016%2Fj.tips.2019.05.005" TargetMode="External" Type="http://schemas.openxmlformats.org/officeDocument/2006/relationships/hyperlink"/><Relationship Id="rId33" Target="http%3A%2F%2Fdx.doi.org%2F10.1016%2Fj.jclinepi.2019.02.004" TargetMode="External" Type="http://schemas.openxmlformats.org/officeDocument/2006/relationships/hyperlink"/><Relationship Id="rId330" Target="https%3A%2F%2Fwww.webofscience.com%2Fwos%2Fwoscc%2Ffull-record%2FWOS%3A000476996500008" TargetMode="External" Type="http://schemas.openxmlformats.org/officeDocument/2006/relationships/hyperlink"/><Relationship Id="rId331" Target="http%3A%2F%2Fdx.doi.org%2F10.1002%2Fadma.201901989" TargetMode="External" Type="http://schemas.openxmlformats.org/officeDocument/2006/relationships/hyperlink"/><Relationship Id="rId332" Target="https%3A%2F%2Fwww.webofscience.com%2Fwos%2Fwoscc%2Ffull-record%2FWOS%3A000524500400006" TargetMode="External" Type="http://schemas.openxmlformats.org/officeDocument/2006/relationships/hyperlink"/><Relationship Id="rId333" Target="http%3A%2F%2Fdx.doi.org%2F10.3390%2Fsu151712983" TargetMode="External" Type="http://schemas.openxmlformats.org/officeDocument/2006/relationships/hyperlink"/><Relationship Id="rId334" Target="https%3A%2F%2Fwww.webofscience.com%2Fwos%2Fwoscc%2Ffull-record%2FWOS%3A001061927300001" TargetMode="External" Type="http://schemas.openxmlformats.org/officeDocument/2006/relationships/hyperlink"/><Relationship Id="rId335" Target="http%3A%2F%2Fdx.doi.org%2F10.1007%2Fs00109-020-01874-2" TargetMode="External" Type="http://schemas.openxmlformats.org/officeDocument/2006/relationships/hyperlink"/><Relationship Id="rId336" Target="https%3A%2F%2Fwww.webofscience.com%2Fwos%2Fwoscc%2Ffull-record%2FWOS%3A000508697200001" TargetMode="External" Type="http://schemas.openxmlformats.org/officeDocument/2006/relationships/hyperlink"/><Relationship Id="rId337" Target="http%3A%2F%2Fdx.doi.org%2F10.1002%2Fjmri.26534" TargetMode="External" Type="http://schemas.openxmlformats.org/officeDocument/2006/relationships/hyperlink"/><Relationship Id="rId338" Target="https%3A%2F%2Fwww.webofscience.com%2Fwos%2Fwoscc%2Ffull-record%2FWOS%3A000461233600003" TargetMode="External" Type="http://schemas.openxmlformats.org/officeDocument/2006/relationships/hyperlink"/><Relationship Id="rId339" Target="http%3A%2F%2Fdx.doi.org%2F10.1038%2Fs42256-018-0004-1" TargetMode="External" Type="http://schemas.openxmlformats.org/officeDocument/2006/relationships/hyperlink"/><Relationship Id="rId34" Target="https%3A%2F%2Fwww.webofscience.com%2Fwos%2Fwoscc%2Ffull-record%2FWOS%3A000487194400003" TargetMode="External" Type="http://schemas.openxmlformats.org/officeDocument/2006/relationships/hyperlink"/><Relationship Id="rId340" Target="https%3A%2F%2Fwww.webofscience.com%2Fwos%2Fwoscc%2Ffull-record%2FWOS%3A000566947600008" TargetMode="External" Type="http://schemas.openxmlformats.org/officeDocument/2006/relationships/hyperlink"/><Relationship Id="rId341" Target="http%3A%2F%2Fdx.doi.org%2F10.1016%2Fj.gie.2020.06.059" TargetMode="External" Type="http://schemas.openxmlformats.org/officeDocument/2006/relationships/hyperlink"/><Relationship Id="rId342" Target="https%3A%2F%2Fwww.webofscience.com%2Fwos%2Fwoscc%2Ffull-record%2FWOS%3A000600548600008" TargetMode="External" Type="http://schemas.openxmlformats.org/officeDocument/2006/relationships/hyperlink"/><Relationship Id="rId343" Target="http%3A%2F%2Fdx.doi.org%2F10.1016%2FS0140-6736%2822%2901694-4" TargetMode="External" Type="http://schemas.openxmlformats.org/officeDocument/2006/relationships/hyperlink"/><Relationship Id="rId344" Target="https%3A%2F%2Fwww.webofscience.com%2Fwos%2Fwoscc%2Ffull-record%2FWOS%3A000964691200001" TargetMode="External" Type="http://schemas.openxmlformats.org/officeDocument/2006/relationships/hyperlink"/><Relationship Id="rId345" Target="http%3A%2F%2Fdx.doi.org%2F10.1002%2Fadma.202003722" TargetMode="External" Type="http://schemas.openxmlformats.org/officeDocument/2006/relationships/hyperlink"/><Relationship Id="rId346" Target="https%3A%2F%2Fwww.webofscience.com%2Fwos%2Fwoscc%2Ffull-record%2FWOS%3A000588810800001" TargetMode="External" Type="http://schemas.openxmlformats.org/officeDocument/2006/relationships/hyperlink"/><Relationship Id="rId347" Target="http%3A%2F%2Fdx.doi.org%2F10.2196%2F17158" TargetMode="External" Type="http://schemas.openxmlformats.org/officeDocument/2006/relationships/hyperlink"/><Relationship Id="rId348" Target="https%3A%2F%2Fwww.webofscience.com%2Fwos%2Fwoscc%2Ffull-record%2FWOS%3A000575058600004" TargetMode="External" Type="http://schemas.openxmlformats.org/officeDocument/2006/relationships/hyperlink"/><Relationship Id="rId349" Target="http%3A%2F%2Fdx.doi.org%2F10.3390%2Fapp9071345" TargetMode="External" Type="http://schemas.openxmlformats.org/officeDocument/2006/relationships/hyperlink"/><Relationship Id="rId35" Target="http%3A%2F%2Fdx.doi.org%2F10.1098%2Frsif.2017.0387" TargetMode="External" Type="http://schemas.openxmlformats.org/officeDocument/2006/relationships/hyperlink"/><Relationship Id="rId350" Target="https%3A%2F%2Fwww.webofscience.com%2Fwos%2Fwoscc%2Ffull-record%2FWOS%3A000466547500080" TargetMode="External" Type="http://schemas.openxmlformats.org/officeDocument/2006/relationships/hyperlink"/><Relationship Id="rId351" Target="http%3A%2F%2Fdx.doi.org%2F10.1371%2Fjournal.pdig.0000278" TargetMode="External" Type="http://schemas.openxmlformats.org/officeDocument/2006/relationships/hyperlink"/><Relationship Id="rId352" Target="https%3A%2F%2Fwww.webofscience.com%2Fwos%2Fwoscc%2Ffull-record%2FWOS%3A001416689900001" TargetMode="External" Type="http://schemas.openxmlformats.org/officeDocument/2006/relationships/hyperlink"/><Relationship Id="rId353" Target="http%3A%2F%2Fdx.doi.org%2F10.1016%2FS1875-5364%2823%2960429-7" TargetMode="External" Type="http://schemas.openxmlformats.org/officeDocument/2006/relationships/hyperlink"/><Relationship Id="rId354" Target="https%3A%2F%2Fwww.webofscience.com%2Fwos%2Fwoscc%2Ffull-record%2FWOS%3A001019459500001" TargetMode="External" Type="http://schemas.openxmlformats.org/officeDocument/2006/relationships/hyperlink"/><Relationship Id="rId355" Target="http%3A%2F%2Fdx.doi.org%2F10.1002%2Flio2.354" TargetMode="External" Type="http://schemas.openxmlformats.org/officeDocument/2006/relationships/hyperlink"/><Relationship Id="rId356" Target="https%3A%2F%2Fwww.webofscience.com%2Fwos%2Fwoscc%2Ffull-record%2FWOS%3A000510253000001" TargetMode="External" Type="http://schemas.openxmlformats.org/officeDocument/2006/relationships/hyperlink"/><Relationship Id="rId357" Target="http%3A%2F%2Fdx.doi.org%2F10.1097%2FALN.0000000000002960" TargetMode="External" Type="http://schemas.openxmlformats.org/officeDocument/2006/relationships/hyperlink"/><Relationship Id="rId358" Target="https%3A%2F%2Fwww.webofscience.com%2Fwos%2Fwoscc%2Ffull-record%2FWOS%3A000510662400021" TargetMode="External" Type="http://schemas.openxmlformats.org/officeDocument/2006/relationships/hyperlink"/><Relationship Id="rId359" Target="http%3A%2F%2Fdx.doi.org%2F10.1038%2Fs41591-024-03434-4" TargetMode="External" Type="http://schemas.openxmlformats.org/officeDocument/2006/relationships/hyperlink"/><Relationship Id="rId36" Target="https%3A%2F%2Fwww.webofscience.com%2Fwos%2Fwoscc%2Ffull-record%2FWOS%3A000431106100001" TargetMode="External" Type="http://schemas.openxmlformats.org/officeDocument/2006/relationships/hyperlink"/><Relationship Id="rId360" Target="https%3A%2F%2Fwww.webofscience.com%2Fwos%2Fwoscc%2Ffull-record%2FWOS%3A001400818700001" TargetMode="External" Type="http://schemas.openxmlformats.org/officeDocument/2006/relationships/hyperlink"/><Relationship Id="rId361" Target="http%3A%2F%2Fdx.doi.org%2F10.1038%2Fs41746-023-00979-5" TargetMode="External" Type="http://schemas.openxmlformats.org/officeDocument/2006/relationships/hyperlink"/><Relationship Id="rId362" Target="https%3A%2F%2Fwww.webofscience.com%2Fwos%2Fwoscc%2Ffull-record%2FWOS%3A001129970300001" TargetMode="External" Type="http://schemas.openxmlformats.org/officeDocument/2006/relationships/hyperlink"/><Relationship Id="rId363" Target="http%3A%2F%2Fdx.doi.org%2F10.1016%2Fj.lungcan.2017.10.015" TargetMode="External" Type="http://schemas.openxmlformats.org/officeDocument/2006/relationships/hyperlink"/><Relationship Id="rId364" Target="https%3A%2F%2Fwww.webofscience.com%2Fwos%2Fwoscc%2Ffull-record%2FWOS%3A000424181800006" TargetMode="External" Type="http://schemas.openxmlformats.org/officeDocument/2006/relationships/hyperlink"/><Relationship Id="rId365" Target="http%3A%2F%2Fdx.doi.org%2F10.3390%2Fcancers12030731" TargetMode="External" Type="http://schemas.openxmlformats.org/officeDocument/2006/relationships/hyperlink"/><Relationship Id="rId366" Target="https%3A%2F%2Fwww.webofscience.com%2Fwos%2Fwoscc%2Ffull-record%2FWOS%3A000530232300207" TargetMode="External" Type="http://schemas.openxmlformats.org/officeDocument/2006/relationships/hyperlink"/><Relationship Id="rId367" Target="http%3A%2F%2Fdx.doi.org%2F10.1016%2FS0140-6736%2821%2900673-5" TargetMode="External" Type="http://schemas.openxmlformats.org/officeDocument/2006/relationships/hyperlink"/><Relationship Id="rId368" Target="https%3A%2F%2Fwww.webofscience.com%2Fwos%2Fwoscc%2Ffull-record%2FWOS%3A000722897200032" TargetMode="External" Type="http://schemas.openxmlformats.org/officeDocument/2006/relationships/hyperlink"/><Relationship Id="rId369" Target="http%3A%2F%2Fdx.doi.org%2F10.1007%2Fs11604-023-01474-3" TargetMode="External" Type="http://schemas.openxmlformats.org/officeDocument/2006/relationships/hyperlink"/><Relationship Id="rId37" Target="http%3A%2F%2Fdx.doi.org%2F10.1016%2Fj.zemedi.2018.11.002" TargetMode="External" Type="http://schemas.openxmlformats.org/officeDocument/2006/relationships/hyperlink"/><Relationship Id="rId370" Target="https%3A%2F%2Fwww.webofscience.com%2Fwos%2Fwoscc%2Ffull-record%2FWOS%3A001043049800002" TargetMode="External" Type="http://schemas.openxmlformats.org/officeDocument/2006/relationships/hyperlink"/><Relationship Id="rId371" Target="http%3A%2F%2Fdx.doi.org%2F10.1371%2Fjournal.pdig.0000651" TargetMode="External" Type="http://schemas.openxmlformats.org/officeDocument/2006/relationships/hyperlink"/><Relationship Id="rId372" Target="https%3A%2F%2Fwww.webofscience.com%2Fwos%2Fwoscc%2Ffull-record%2FWOS%3A001416955700001" TargetMode="External" Type="http://schemas.openxmlformats.org/officeDocument/2006/relationships/hyperlink"/><Relationship Id="rId373" Target="http%3A%2F%2Fdx.doi.org%2F10.1021%2Facs.chemrev.3c00502" TargetMode="External" Type="http://schemas.openxmlformats.org/officeDocument/2006/relationships/hyperlink"/><Relationship Id="rId374" Target="https%3A%2F%2Fwww.webofscience.com%2Fwos%2Fwoscc%2Ffull-record%2FWOS%3A001150740300001" TargetMode="External" Type="http://schemas.openxmlformats.org/officeDocument/2006/relationships/hyperlink"/><Relationship Id="rId375" Target="http%3A%2F%2Fdx.doi.org%2F10.3390%2Fbioengineering10121435" TargetMode="External" Type="http://schemas.openxmlformats.org/officeDocument/2006/relationships/hyperlink"/><Relationship Id="rId376" Target="https%3A%2F%2Fwww.webofscience.com%2Fwos%2Fwoscc%2Ffull-record%2FWOS%3A001130543200001" TargetMode="External" Type="http://schemas.openxmlformats.org/officeDocument/2006/relationships/hyperlink"/><Relationship Id="rId377" Target="http%3A%2F%2Fdx.doi.org%2F10.1016%2Fj.amjmed.2019.01.017" TargetMode="External" Type="http://schemas.openxmlformats.org/officeDocument/2006/relationships/hyperlink"/><Relationship Id="rId378" Target="https%3A%2F%2Fwww.webofscience.com%2Fwos%2Fwoscc%2Ffull-record%2FWOS%3A000479120000023" TargetMode="External" Type="http://schemas.openxmlformats.org/officeDocument/2006/relationships/hyperlink"/><Relationship Id="rId379" Target="http%3A%2F%2Fdx.doi.org%2F10.3390%2Fcells8050403" TargetMode="External" Type="http://schemas.openxmlformats.org/officeDocument/2006/relationships/hyperlink"/><Relationship Id="rId38" Target="https%3A%2F%2Fwww.webofscience.com%2Fwos%2Fwoscc%2Ffull-record%2FWOS%3A000469897200003" TargetMode="External" Type="http://schemas.openxmlformats.org/officeDocument/2006/relationships/hyperlink"/><Relationship Id="rId380" Target="https%3A%2F%2Fwww.webofscience.com%2Fwos%2Fwoscc%2Ffull-record%2FWOS%3A000470994400023" TargetMode="External" Type="http://schemas.openxmlformats.org/officeDocument/2006/relationships/hyperlink"/><Relationship Id="rId381" Target="http%3A%2F%2Fdx.doi.org%2F10.1053%2Fj.gastro.2019.08.058" TargetMode="External" Type="http://schemas.openxmlformats.org/officeDocument/2006/relationships/hyperlink"/><Relationship Id="rId382" Target="https%3A%2F%2Fwww.webofscience.com%2Fwos%2Fwoscc%2Ffull-record%2FWOS%3A000502549500029" TargetMode="External" Type="http://schemas.openxmlformats.org/officeDocument/2006/relationships/hyperlink"/><Relationship Id="rId383" Target="http%3A%2F%2Fdx.doi.org%2F10.2196%2F12239" TargetMode="External" Type="http://schemas.openxmlformats.org/officeDocument/2006/relationships/hyperlink"/><Relationship Id="rId384" Target="https%3A%2F%2Fwww.webofscience.com%2Fwos%2Fwoscc%2Ffull-record%2FWOS%3A000473777800002" TargetMode="External" Type="http://schemas.openxmlformats.org/officeDocument/2006/relationships/hyperlink"/><Relationship Id="rId385" Target="http%3A%2F%2Fdx.doi.org%2F10.3390%2Fs23020634" TargetMode="External" Type="http://schemas.openxmlformats.org/officeDocument/2006/relationships/hyperlink"/><Relationship Id="rId386" Target="https%3A%2F%2Fwww.webofscience.com%2Fwos%2Fwoscc%2Ffull-record%2FWOS%3A000927224000001" TargetMode="External" Type="http://schemas.openxmlformats.org/officeDocument/2006/relationships/hyperlink"/><Relationship Id="rId387" Target="http%3A%2F%2Fdx.doi.org%2F10.1016%2Fj.drup.2021.100796" TargetMode="External" Type="http://schemas.openxmlformats.org/officeDocument/2006/relationships/hyperlink"/><Relationship Id="rId388" Target="https%3A%2F%2Fwww.webofscience.com%2Fwos%2Fwoscc%2Ffull-record%2FWOS%3A000750035200006" TargetMode="External" Type="http://schemas.openxmlformats.org/officeDocument/2006/relationships/hyperlink"/><Relationship Id="rId389" Target="http%3A%2F%2Fdx.doi.org%2F10.1038%2Fs41392-024-02107-5" TargetMode="External" Type="http://schemas.openxmlformats.org/officeDocument/2006/relationships/hyperlink"/><Relationship Id="rId39" Target="http%3A%2F%2Fdx.doi.org%2F10.1007%2Fs12559-023-10179-8" TargetMode="External" Type="http://schemas.openxmlformats.org/officeDocument/2006/relationships/hyperlink"/><Relationship Id="rId390" Target="https%3A%2F%2Fwww.webofscience.com%2Fwos%2Fwoscc%2Ffull-record%2FWOS%3A001439728500001" TargetMode="External" Type="http://schemas.openxmlformats.org/officeDocument/2006/relationships/hyperlink"/><Relationship Id="rId391" Target="http%3A%2F%2Fdx.doi.org%2F10.1016%2Fj.compbiomed.2021.105111" TargetMode="External" Type="http://schemas.openxmlformats.org/officeDocument/2006/relationships/hyperlink"/><Relationship Id="rId392" Target="https%3A%2F%2Fwww.webofscience.com%2Fwos%2Fwoscc%2Ffull-record%2FWOS%3A000744208900006" TargetMode="External" Type="http://schemas.openxmlformats.org/officeDocument/2006/relationships/hyperlink"/><Relationship Id="rId393" Target="http%3A%2F%2Fdx.doi.org%2F10.1016%2Fj.wneu.2017.09.149" TargetMode="External" Type="http://schemas.openxmlformats.org/officeDocument/2006/relationships/hyperlink"/><Relationship Id="rId394" Target="https%3A%2F%2Fwww.webofscience.com%2Fwos%2Fwoscc%2Ffull-record%2FWOS%3A000419015000194" TargetMode="External" Type="http://schemas.openxmlformats.org/officeDocument/2006/relationships/hyperlink"/><Relationship Id="rId395" Target="http%3A%2F%2Fdx.doi.org%2F10.1097%2FPAS.0000000000001151" TargetMode="External" Type="http://schemas.openxmlformats.org/officeDocument/2006/relationships/hyperlink"/><Relationship Id="rId396" Target="https%3A%2F%2Fwww.webofscience.com%2Fwos%2Fwoscc%2Ffull-record%2FWOS%3A000450434700007" TargetMode="External" Type="http://schemas.openxmlformats.org/officeDocument/2006/relationships/hyperlink"/><Relationship Id="rId397" Target="http%3A%2F%2Fdx.doi.org%2F10.1038%2Fs41585-019-0193-3" TargetMode="External" Type="http://schemas.openxmlformats.org/officeDocument/2006/relationships/hyperlink"/><Relationship Id="rId398" Target="https%3A%2F%2Fwww.webofscience.com%2Fwos%2Fwoscc%2Ffull-record%2FWOS%3A000473767200006" TargetMode="External" Type="http://schemas.openxmlformats.org/officeDocument/2006/relationships/hyperlink"/><Relationship Id="rId399" Target="http%3A%2F%2Fdx.doi.org%2F10.1016%2Fj.compeleceng.2024.109370" TargetMode="External" Type="http://schemas.openxmlformats.org/officeDocument/2006/relationships/hyperlink"/><Relationship Id="rId4" Target="https%3A%2F%2Fwww.webofscience.com%2Fwos%2Fwoscc%2Ffull-record%2FWOS%3A000636709200001" TargetMode="External" Type="http://schemas.openxmlformats.org/officeDocument/2006/relationships/hyperlink"/><Relationship Id="rId40" Target="https%3A%2F%2Fwww.webofscience.com%2Fwos%2Fwoscc%2Ffull-record%2FWOS%3A001060142200001" TargetMode="External" Type="http://schemas.openxmlformats.org/officeDocument/2006/relationships/hyperlink"/><Relationship Id="rId400" Target="https%3A%2F%2Fwww.webofscience.com%2Fwos%2Fwoscc%2Ffull-record%2FWOS%3A001252113300001" TargetMode="External" Type="http://schemas.openxmlformats.org/officeDocument/2006/relationships/hyperlink"/><Relationship Id="rId41" Target="http%3A%2F%2Fdx.doi.org%2F10.1109%2FACCESS.2021.3086020" TargetMode="External" Type="http://schemas.openxmlformats.org/officeDocument/2006/relationships/hyperlink"/><Relationship Id="rId42" Target="https%3A%2F%2Fwww.webofscience.com%2Fwos%2Fwoscc%2Ffull-record%2FWOS%3A000673957200001" TargetMode="External" Type="http://schemas.openxmlformats.org/officeDocument/2006/relationships/hyperlink"/><Relationship Id="rId43" Target="http%3A%2F%2Fdx.doi.org%2F10.1109%2FACCESS.2019.2912200" TargetMode="External" Type="http://schemas.openxmlformats.org/officeDocument/2006/relationships/hyperlink"/><Relationship Id="rId44" Target="https%3A%2F%2Fwww.webofscience.com%2Fwos%2Fwoscc%2Ffull-record%2FWOS%3A000466593700001" TargetMode="External" Type="http://schemas.openxmlformats.org/officeDocument/2006/relationships/hyperlink"/><Relationship Id="rId45" Target="http%3A%2F%2Fdx.doi.org%2F10.1016%2Fj.media.2019.101552" TargetMode="External" Type="http://schemas.openxmlformats.org/officeDocument/2006/relationships/hyperlink"/><Relationship Id="rId46" Target="https%3A%2F%2Fwww.webofscience.com%2Fwos%2Fwoscc%2Ffull-record%2FWOS%3A000496605700015" TargetMode="External" Type="http://schemas.openxmlformats.org/officeDocument/2006/relationships/hyperlink"/><Relationship Id="rId47" Target="http%3A%2F%2Fdx.doi.org%2F10.1016%2FS2589-7500%2820%2930219-3" TargetMode="External" Type="http://schemas.openxmlformats.org/officeDocument/2006/relationships/hyperlink"/><Relationship Id="rId48" Target="https%3A%2F%2Fwww.webofscience.com%2Fwos%2Fwoscc%2Ffull-record%2FWOS%3A000581145100012" TargetMode="External" Type="http://schemas.openxmlformats.org/officeDocument/2006/relationships/hyperlink"/><Relationship Id="rId49" Target="http%3A%2F%2Fdx.doi.org%2F10.1016%2FS2589-7500%2820%2930218-1" TargetMode="External" Type="http://schemas.openxmlformats.org/officeDocument/2006/relationships/hyperlink"/><Relationship Id="rId5" Target="http%3A%2F%2Fdx.doi.org%2F10.1007%2Fs13244-018-0639-9" TargetMode="External" Type="http://schemas.openxmlformats.org/officeDocument/2006/relationships/hyperlink"/><Relationship Id="rId50" Target="https%3A%2F%2Fwww.webofscience.com%2Fwos%2Fwoscc%2Ffull-record%2FWOS%3A000581145100011" TargetMode="External" Type="http://schemas.openxmlformats.org/officeDocument/2006/relationships/hyperlink"/><Relationship Id="rId51" Target="http%3A%2F%2Fdx.doi.org%2F10.1002%2Fwidm.1312" TargetMode="External" Type="http://schemas.openxmlformats.org/officeDocument/2006/relationships/hyperlink"/><Relationship Id="rId52" Target="https%3A%2F%2Fwww.webofscience.com%2Fwos%2Fwoscc%2Ffull-record%2FWOS%3A000471293100005" TargetMode="External" Type="http://schemas.openxmlformats.org/officeDocument/2006/relationships/hyperlink"/><Relationship Id="rId53" Target="http%3A%2F%2Fdx.doi.org%2F10.1016%2Fj.cosrev.2021.100379" TargetMode="External" Type="http://schemas.openxmlformats.org/officeDocument/2006/relationships/hyperlink"/><Relationship Id="rId54" Target="https%3A%2F%2Fwww.webofscience.com%2Fwos%2Fwoscc%2Ffull-record%2FWOS%3A000663500200003" TargetMode="External" Type="http://schemas.openxmlformats.org/officeDocument/2006/relationships/hyperlink"/><Relationship Id="rId55" Target="http%3A%2F%2Fdx.doi.org%2F10.3390%2Felectronics8030292" TargetMode="External" Type="http://schemas.openxmlformats.org/officeDocument/2006/relationships/hyperlink"/><Relationship Id="rId56" Target="https%3A%2F%2Fwww.webofscience.com%2Fwos%2Fwoscc%2Ffull-record%2FWOS%3A000464239600001" TargetMode="External" Type="http://schemas.openxmlformats.org/officeDocument/2006/relationships/hyperlink"/><Relationship Id="rId57" Target="http%3A%2F%2Fdx.doi.org%2F10.2147%2FCLEP.S196293" TargetMode="External" Type="http://schemas.openxmlformats.org/officeDocument/2006/relationships/hyperlink"/><Relationship Id="rId58" Target="https%3A%2F%2Fwww.webofscience.com%2Fwos%2Fwoscc%2Ffull-record%2FWOS%3A000467113200001" TargetMode="External" Type="http://schemas.openxmlformats.org/officeDocument/2006/relationships/hyperlink"/><Relationship Id="rId59" Target="http%3A%2F%2Fdx.doi.org%2F10.1016%2Fj.xinn.2021.100179" TargetMode="External" Type="http://schemas.openxmlformats.org/officeDocument/2006/relationships/hyperlink"/><Relationship Id="rId6" Target="https%3A%2F%2Fwww.webofscience.com%2Fwos%2Fwoscc%2Ffull-record%2FWOS%3A000442680100018" TargetMode="External" Type="http://schemas.openxmlformats.org/officeDocument/2006/relationships/hyperlink"/><Relationship Id="rId60" Target="https%3A%2F%2Fwww.webofscience.com%2Fwos%2Fwoscc%2Ffull-record%2FWOS%3A000747248500027" TargetMode="External" Type="http://schemas.openxmlformats.org/officeDocument/2006/relationships/hyperlink"/><Relationship Id="rId61" Target="http%3A%2F%2Fdx.doi.org%2F10.1016%2FS2589-7500%2819%2930123-2" TargetMode="External" Type="http://schemas.openxmlformats.org/officeDocument/2006/relationships/hyperlink"/><Relationship Id="rId62" Target="https%3A%2F%2Fwww.webofscience.com%2Fwos%2Fwoscc%2Ffull-record%2FWOS%3A000525871300011" TargetMode="External" Type="http://schemas.openxmlformats.org/officeDocument/2006/relationships/hyperlink"/><Relationship Id="rId63" Target="http%3A%2F%2Fdx.doi.org%2F10.1186%2Fs13244-020-00887-2" TargetMode="External" Type="http://schemas.openxmlformats.org/officeDocument/2006/relationships/hyperlink"/><Relationship Id="rId64" Target="https%3A%2F%2Fwww.webofscience.com%2Fwos%2Fwoscc%2Ffull-record%2FWOS%3A000563915600001" TargetMode="External" Type="http://schemas.openxmlformats.org/officeDocument/2006/relationships/hyperlink"/><Relationship Id="rId65" Target="http%3A%2F%2Fdx.doi.org%2F10.1136%2Fbjophthalmol-2018-313173" TargetMode="External" Type="http://schemas.openxmlformats.org/officeDocument/2006/relationships/hyperlink"/><Relationship Id="rId66" Target="https%3A%2F%2Fwww.webofscience.com%2Fwos%2Fwoscc%2Ffull-record%2FWOS%3A000459028400003" TargetMode="External" Type="http://schemas.openxmlformats.org/officeDocument/2006/relationships/hyperlink"/><Relationship Id="rId67" Target="http%3A%2F%2Fdx.doi.org%2F10.1111%2Fcts.12884" TargetMode="External" Type="http://schemas.openxmlformats.org/officeDocument/2006/relationships/hyperlink"/><Relationship Id="rId68" Target="https%3A%2F%2Fwww.webofscience.com%2Fwos%2Fwoscc%2Ffull-record%2FWOS%3A000579560100001" TargetMode="External" Type="http://schemas.openxmlformats.org/officeDocument/2006/relationships/hyperlink"/><Relationship Id="rId69" Target="http%3A%2F%2Fdx.doi.org%2F10.1016%2Fj.drudis.2020.10.010" TargetMode="External" Type="http://schemas.openxmlformats.org/officeDocument/2006/relationships/hyperlink"/><Relationship Id="rId7" Target="http%3A%2F%2Fdx.doi.org%2F10.1038%2Fs41591-023-02448-8" TargetMode="External" Type="http://schemas.openxmlformats.org/officeDocument/2006/relationships/hyperlink"/><Relationship Id="rId70" Target="https%3A%2F%2Fwww.webofscience.com%2Fwos%2Fwoscc%2Ffull-record%2FWOS%3A000632655700004" TargetMode="External" Type="http://schemas.openxmlformats.org/officeDocument/2006/relationships/hyperlink"/><Relationship Id="rId71" Target="http%3A%2F%2Fdx.doi.org%2F10.1007%2Fs10916-018-1088-1" TargetMode="External" Type="http://schemas.openxmlformats.org/officeDocument/2006/relationships/hyperlink"/><Relationship Id="rId72" Target="https%3A%2F%2Fwww.webofscience.com%2Fwos%2Fwoscc%2Ffull-record%2FWOS%3A000446738200001" TargetMode="External" Type="http://schemas.openxmlformats.org/officeDocument/2006/relationships/hyperlink"/><Relationship Id="rId73" Target="http%3A%2F%2Fdx.doi.org%2F10.1038%2Fs42256-020-0186-1" TargetMode="External" Type="http://schemas.openxmlformats.org/officeDocument/2006/relationships/hyperlink"/><Relationship Id="rId74" Target="https%3A%2F%2Fwww.webofscience.com%2Fwos%2Fwoscc%2Ffull-record%2FWOS%3A000567382000007" TargetMode="External" Type="http://schemas.openxmlformats.org/officeDocument/2006/relationships/hyperlink"/><Relationship Id="rId75" Target="http%3A%2F%2Fdx.doi.org%2F10.1097%2FSLA.0000000000002693" TargetMode="External" Type="http://schemas.openxmlformats.org/officeDocument/2006/relationships/hyperlink"/><Relationship Id="rId76" Target="https%3A%2F%2Fwww.webofscience.com%2Fwos%2Fwoscc%2Ffull-record%2FWOS%3A000452662400036" TargetMode="External" Type="http://schemas.openxmlformats.org/officeDocument/2006/relationships/hyperlink"/><Relationship Id="rId77" Target="http%3A%2F%2Fdx.doi.org%2F10.1038%2Fs41591-018-0272-7" TargetMode="External" Type="http://schemas.openxmlformats.org/officeDocument/2006/relationships/hyperlink"/><Relationship Id="rId78" Target="https%3A%2F%2Fwww.webofscience.com%2Fwos%2Fwoscc%2Ffull-record%2FWOS%3A000455027700018" TargetMode="External" Type="http://schemas.openxmlformats.org/officeDocument/2006/relationships/hyperlink"/><Relationship Id="rId79" Target="http%3A%2F%2Fdx.doi.org%2F10.3390%2Fijms19061578" TargetMode="External" Type="http://schemas.openxmlformats.org/officeDocument/2006/relationships/hyperlink"/><Relationship Id="rId8" Target="https%3A%2F%2Fwww.webofscience.com%2Fwos%2Fwoscc%2Ffull-record%2FWOS%3A001032505800003" TargetMode="External" Type="http://schemas.openxmlformats.org/officeDocument/2006/relationships/hyperlink"/><Relationship Id="rId80" Target="https%3A%2F%2Fwww.webofscience.com%2Fwos%2Fwoscc%2Ffull-record%2FWOS%3A000436506600033" TargetMode="External" Type="http://schemas.openxmlformats.org/officeDocument/2006/relationships/hyperlink"/><Relationship Id="rId81" Target="http%3A%2F%2Fdx.doi.org%2F10.1056%2FNEJMra2302038" TargetMode="External" Type="http://schemas.openxmlformats.org/officeDocument/2006/relationships/hyperlink"/><Relationship Id="rId82" Target="https%3A%2F%2Fwww.webofscience.com%2Fwos%2Fwoscc%2Ffull-record%2FWOS%3A000989319200011" TargetMode="External" Type="http://schemas.openxmlformats.org/officeDocument/2006/relationships/hyperlink"/><Relationship Id="rId83" Target="http%3A%2F%2Fdx.doi.org%2F10.1093%2Fjamia%2Focy072" TargetMode="External" Type="http://schemas.openxmlformats.org/officeDocument/2006/relationships/hyperlink"/><Relationship Id="rId84" Target="https%3A%2F%2Fwww.webofscience.com%2Fwos%2Fwoscc%2Ffull-record%2FWOS%3A000443542400020" TargetMode="External" Type="http://schemas.openxmlformats.org/officeDocument/2006/relationships/hyperlink"/><Relationship Id="rId85" Target="http%3A%2F%2Fdx.doi.org%2F10.3389%2Ffrai.2023.1169595" TargetMode="External" Type="http://schemas.openxmlformats.org/officeDocument/2006/relationships/hyperlink"/><Relationship Id="rId86" Target="https%3A%2F%2Fwww.webofscience.com%2Fwos%2Fwoscc%2Ffull-record%2FWOS%3A000989845200001" TargetMode="External" Type="http://schemas.openxmlformats.org/officeDocument/2006/relationships/hyperlink"/><Relationship Id="rId87" Target="http%3A%2F%2Fdx.doi.org%2F10.1038%2Fs41746-020-00376-2" TargetMode="External" Type="http://schemas.openxmlformats.org/officeDocument/2006/relationships/hyperlink"/><Relationship Id="rId88" Target="https%3A%2F%2Fwww.webofscience.com%2Fwos%2Fwoscc%2Ffull-record%2FWOS%3A000610370300001" TargetMode="External" Type="http://schemas.openxmlformats.org/officeDocument/2006/relationships/hyperlink"/><Relationship Id="rId89" Target="http%3A%2F%2Fdx.doi.org%2F10.1038%2Fs41392-023-01642-x" TargetMode="External" Type="http://schemas.openxmlformats.org/officeDocument/2006/relationships/hyperlink"/><Relationship Id="rId9" Target="http%3A%2F%2Fdx.doi.org%2F10.1056%2FNEJMra1814259" TargetMode="External" Type="http://schemas.openxmlformats.org/officeDocument/2006/relationships/hyperlink"/><Relationship Id="rId90" Target="https%3A%2F%2Fwww.webofscience.com%2Fwos%2Fwoscc%2Ffull-record%2FWOS%3A001092160000001" TargetMode="External" Type="http://schemas.openxmlformats.org/officeDocument/2006/relationships/hyperlink"/><Relationship Id="rId91" Target="http%3A%2F%2Fdx.doi.org%2F10.1109%2FTKDE.2021.3130191" TargetMode="External" Type="http://schemas.openxmlformats.org/officeDocument/2006/relationships/hyperlink"/><Relationship Id="rId92" Target="https%3A%2F%2Fwww.webofscience.com%2Fwos%2Fwoscc%2Ffull-record%2FWOS%3A000965229000001" TargetMode="External" Type="http://schemas.openxmlformats.org/officeDocument/2006/relationships/hyperlink"/><Relationship Id="rId93" Target="http%3A%2F%2Fdx.doi.org%2F10.1109%2FRBME.2020.2987975" TargetMode="External" Type="http://schemas.openxmlformats.org/officeDocument/2006/relationships/hyperlink"/><Relationship Id="rId94" Target="https%3A%2F%2Fwww.webofscience.com%2Fwos%2Fwoscc%2Ffull-record%2FWOS%3A000708445300005" TargetMode="External" Type="http://schemas.openxmlformats.org/officeDocument/2006/relationships/hyperlink"/><Relationship Id="rId95" Target="http%3A%2F%2Fdx.doi.org%2F10.1038%2Fs41392-024-02108-4" TargetMode="External" Type="http://schemas.openxmlformats.org/officeDocument/2006/relationships/hyperlink"/><Relationship Id="rId96" Target="https%3A%2F%2Fwww.webofscience.com%2Fwos%2Fwoscc%2Ffull-record%2FWOS%3A001424950700002" TargetMode="External" Type="http://schemas.openxmlformats.org/officeDocument/2006/relationships/hyperlink"/><Relationship Id="rId97" Target="http%3A%2F%2Fdx.doi.org%2F10.1016%2FS1474-4422%2823%2900131-X" TargetMode="External" Type="http://schemas.openxmlformats.org/officeDocument/2006/relationships/hyperlink"/><Relationship Id="rId98" Target="https%3A%2F%2Fwww.webofscience.com%2Fwos%2Fwoscc%2Ffull-record%2FWOS%3A001042347100001" TargetMode="External" Type="http://schemas.openxmlformats.org/officeDocument/2006/relationships/hyperlink"/><Relationship Id="rId99" Target="http%3A%2F%2Fdx.doi.org%2F10.1136%2Fbmj.m689"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202"/>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78</v>
      </c>
      <c r="C2" t="s" s="0">
        <v>79</v>
      </c>
      <c r="D2" t="s" s="0">
        <v>80</v>
      </c>
      <c r="E2" t="s" s="0">
        <v>81</v>
      </c>
      <c r="F2" t="s" s="0">
        <v>82</v>
      </c>
      <c r="G2" t="s" s="0">
        <v>83</v>
      </c>
      <c r="H2" t="s" s="0">
        <v>84</v>
      </c>
      <c r="I2" t="s" s="0">
        <v>85</v>
      </c>
      <c r="J2" t="s" s="0">
        <v>86</v>
      </c>
      <c r="K2" t="s" s="0">
        <v>87</v>
      </c>
      <c r="L2" t="s" s="0">
        <v>88</v>
      </c>
      <c r="M2" t="s" s="0">
        <v>89</v>
      </c>
      <c r="N2" t="s" s="0">
        <v>90</v>
      </c>
      <c r="O2" t="s" s="0">
        <v>91</v>
      </c>
      <c r="P2" t="s" s="0">
        <v>92</v>
      </c>
      <c r="Q2" t="s" s="0">
        <v>93</v>
      </c>
      <c r="R2" t="s" s="0">
        <v>84</v>
      </c>
      <c r="S2" t="s" s="0">
        <v>84</v>
      </c>
      <c r="T2" t="s" s="0">
        <v>84</v>
      </c>
      <c r="U2" t="s" s="0">
        <v>84</v>
      </c>
      <c r="V2" t="s" s="0">
        <v>94</v>
      </c>
      <c r="W2" t="s" s="0">
        <v>95</v>
      </c>
      <c r="X2" t="s" s="0">
        <v>84</v>
      </c>
      <c r="Y2" t="s" s="0">
        <v>84</v>
      </c>
      <c r="Z2" t="s" s="0">
        <v>96</v>
      </c>
      <c r="AA2" t="s" s="0">
        <v>97</v>
      </c>
      <c r="AB2" t="s" s="0">
        <v>84</v>
      </c>
      <c r="AC2" t="s" s="0">
        <v>84</v>
      </c>
      <c r="AD2" t="s" s="0">
        <v>84</v>
      </c>
      <c r="AE2" t="s" s="0">
        <v>84</v>
      </c>
      <c r="AF2" t="s" s="0">
        <v>84</v>
      </c>
      <c r="AG2" t="s" s="0">
        <v>84</v>
      </c>
      <c r="AH2" t="s" s="0">
        <v>98</v>
      </c>
      <c r="AI2" t="s" s="0">
        <v>99</v>
      </c>
      <c r="AJ2" t="s" s="0">
        <v>100</v>
      </c>
      <c r="AK2" t="s" s="0">
        <v>84</v>
      </c>
      <c r="AL2" t="s" s="0">
        <v>101</v>
      </c>
      <c r="AM2" t="s" s="0">
        <v>102</v>
      </c>
      <c r="AN2" t="s" s="0">
        <v>103</v>
      </c>
      <c r="AO2" t="s" s="0">
        <v>104</v>
      </c>
      <c r="AP2" t="s" s="0">
        <v>105</v>
      </c>
      <c r="AQ2" t="s" s="0">
        <v>106</v>
      </c>
      <c r="AR2" t="s" s="0">
        <v>107</v>
      </c>
      <c r="AS2" t="s" s="0">
        <v>108</v>
      </c>
      <c r="AT2" t="s" s="0">
        <v>109</v>
      </c>
      <c r="AU2" t="s" s="0">
        <v>110</v>
      </c>
      <c r="AV2" t="s" s="0">
        <v>84</v>
      </c>
      <c r="AW2" t="s" s="0">
        <v>111</v>
      </c>
      <c r="AX2" t="s" s="0">
        <v>112</v>
      </c>
      <c r="AY2" t="s" s="0">
        <v>113</v>
      </c>
      <c r="AZ2" t="s" s="0">
        <v>114</v>
      </c>
      <c r="BA2" t="s" s="0">
        <v>115</v>
      </c>
      <c r="BB2" t="s" s="0">
        <v>116</v>
      </c>
      <c r="BC2" t="s" s="0">
        <v>84</v>
      </c>
      <c r="BD2" t="s" s="0">
        <v>84</v>
      </c>
      <c r="BE2" t="s" s="0">
        <v>84</v>
      </c>
      <c r="BF2" t="s" s="0">
        <v>84</v>
      </c>
      <c r="BG2" t="s" s="0">
        <v>117</v>
      </c>
      <c r="BH2" t="s" s="0">
        <v>118</v>
      </c>
      <c r="BI2" t="s" s="0">
        <v>84</v>
      </c>
      <c r="BJ2" t="s" s="0">
        <v>119</v>
      </c>
      <c r="BK2" t="s" s="1">
        <f>HYPERLINK("http://dx.doi.org/10.1038/s41591-018-0300-7","http://dx.doi.org/10.1038/s41591-018-0300-7")</f>
        <v>120</v>
      </c>
      <c r="BL2" t="s" s="0">
        <v>84</v>
      </c>
      <c r="BM2" t="s" s="0">
        <v>84</v>
      </c>
      <c r="BN2" t="s" s="0">
        <v>121</v>
      </c>
      <c r="BO2" t="s" s="0">
        <v>122</v>
      </c>
      <c r="BP2" t="s" s="0">
        <v>123</v>
      </c>
      <c r="BQ2" t="s" s="0">
        <v>124</v>
      </c>
      <c r="BR2" t="s" s="0">
        <v>125</v>
      </c>
      <c r="BS2" t="s" s="0">
        <v>126</v>
      </c>
      <c r="BT2" t="s" s="2">
        <f>HYPERLINK("https://www.webofscience.com/wos/woscc/full-record/WOS:000455027700019","View Record in Web of Science")</f>
        <v>127</v>
      </c>
      <c r="BU2" t="s" s="0">
        <v>84</v>
      </c>
      <c r="BV2" t="s" s="0">
        <v>128</v>
      </c>
      <c r="BW2" t="s" s="0">
        <v>129</v>
      </c>
      <c r="BX2" t="s" s="0">
        <v>130</v>
      </c>
    </row>
    <row r="3">
      <c r="A3" t="s" s="0">
        <v>131</v>
      </c>
      <c r="B3" t="s" s="0">
        <v>78</v>
      </c>
      <c r="C3" t="s" s="0">
        <v>132</v>
      </c>
      <c r="D3" t="s" s="0">
        <v>133</v>
      </c>
      <c r="E3" t="s" s="0">
        <v>134</v>
      </c>
      <c r="F3" t="s" s="0">
        <v>135</v>
      </c>
      <c r="G3" t="s" s="0">
        <v>136</v>
      </c>
      <c r="H3" t="s" s="0">
        <v>84</v>
      </c>
      <c r="I3" t="s" s="0">
        <v>85</v>
      </c>
      <c r="J3" t="s" s="0">
        <v>137</v>
      </c>
      <c r="K3" t="s" s="0">
        <v>138</v>
      </c>
      <c r="L3" t="s" s="0">
        <v>84</v>
      </c>
      <c r="M3" t="s" s="0">
        <v>84</v>
      </c>
      <c r="N3" t="s" s="0">
        <v>84</v>
      </c>
      <c r="O3" t="s" s="0">
        <v>139</v>
      </c>
      <c r="P3" t="s" s="0">
        <v>140</v>
      </c>
      <c r="Q3" t="s" s="0">
        <v>93</v>
      </c>
      <c r="R3" t="s" s="0">
        <v>84</v>
      </c>
      <c r="S3" t="s" s="0">
        <v>84</v>
      </c>
      <c r="T3" t="s" s="0">
        <v>84</v>
      </c>
      <c r="U3" t="s" s="0">
        <v>84</v>
      </c>
      <c r="V3" t="s" s="0">
        <v>141</v>
      </c>
      <c r="W3" t="s" s="0">
        <v>142</v>
      </c>
      <c r="X3" t="s" s="0">
        <v>84</v>
      </c>
      <c r="Y3" t="s" s="0">
        <v>84</v>
      </c>
      <c r="Z3" t="s" s="0">
        <v>96</v>
      </c>
      <c r="AA3" t="s" s="0">
        <v>97</v>
      </c>
      <c r="AB3" t="s" s="0">
        <v>84</v>
      </c>
      <c r="AC3" t="s" s="0">
        <v>84</v>
      </c>
      <c r="AD3" t="s" s="0">
        <v>84</v>
      </c>
      <c r="AE3" t="s" s="0">
        <v>84</v>
      </c>
      <c r="AF3" t="s" s="0">
        <v>84</v>
      </c>
      <c r="AG3" t="s" s="0">
        <v>143</v>
      </c>
      <c r="AH3" t="s" s="0">
        <v>144</v>
      </c>
      <c r="AI3" t="s" s="0">
        <v>145</v>
      </c>
      <c r="AJ3" t="s" s="0">
        <v>146</v>
      </c>
      <c r="AK3" t="s" s="0">
        <v>84</v>
      </c>
      <c r="AL3" t="s" s="0">
        <v>147</v>
      </c>
      <c r="AM3" t="s" s="0">
        <v>148</v>
      </c>
      <c r="AN3" t="s" s="0">
        <v>149</v>
      </c>
      <c r="AO3" t="s" s="0">
        <v>150</v>
      </c>
      <c r="AP3" t="s" s="0">
        <v>151</v>
      </c>
      <c r="AQ3" t="s" s="0">
        <v>152</v>
      </c>
      <c r="AR3" t="s" s="0">
        <v>153</v>
      </c>
      <c r="AS3" t="s" s="0">
        <v>154</v>
      </c>
      <c r="AT3" t="s" s="0">
        <v>84</v>
      </c>
      <c r="AU3" t="s" s="0">
        <v>155</v>
      </c>
      <c r="AV3" t="s" s="0">
        <v>84</v>
      </c>
      <c r="AW3" t="s" s="0">
        <v>156</v>
      </c>
      <c r="AX3" t="s" s="0">
        <v>157</v>
      </c>
      <c r="AY3" t="s" s="0">
        <v>158</v>
      </c>
      <c r="AZ3" t="s" s="0">
        <v>159</v>
      </c>
      <c r="BA3" t="s" s="0">
        <v>160</v>
      </c>
      <c r="BB3" t="s" s="0">
        <v>116</v>
      </c>
      <c r="BC3" t="s" s="0">
        <v>84</v>
      </c>
      <c r="BD3" t="s" s="0">
        <v>84</v>
      </c>
      <c r="BE3" t="s" s="0">
        <v>84</v>
      </c>
      <c r="BF3" t="s" s="0">
        <v>84</v>
      </c>
      <c r="BG3" t="s" s="0">
        <v>84</v>
      </c>
      <c r="BH3" t="s" s="0">
        <v>84</v>
      </c>
      <c r="BI3" t="s" s="0">
        <v>161</v>
      </c>
      <c r="BJ3" t="s" s="0">
        <v>162</v>
      </c>
      <c r="BK3" t="s" s="3">
        <f>HYPERLINK("http://dx.doi.org/10.1186/s40537-021-00444-8","http://dx.doi.org/10.1186/s40537-021-00444-8")</f>
        <v>163</v>
      </c>
      <c r="BL3" t="s" s="0">
        <v>84</v>
      </c>
      <c r="BM3" t="s" s="0">
        <v>84</v>
      </c>
      <c r="BN3" t="s" s="0">
        <v>164</v>
      </c>
      <c r="BO3" t="s" s="0">
        <v>165</v>
      </c>
      <c r="BP3" t="s" s="0">
        <v>166</v>
      </c>
      <c r="BQ3" t="s" s="0">
        <v>167</v>
      </c>
      <c r="BR3" t="s" s="0">
        <v>168</v>
      </c>
      <c r="BS3" t="s" s="0">
        <v>169</v>
      </c>
      <c r="BT3" t="s" s="4">
        <f>HYPERLINK("https://www.webofscience.com/wos/woscc/full-record/WOS:000636709200001","View Record in Web of Science")</f>
        <v>127</v>
      </c>
      <c r="BU3" t="s" s="0">
        <v>170</v>
      </c>
      <c r="BV3" t="s" s="0">
        <v>128</v>
      </c>
      <c r="BW3" t="s" s="0">
        <v>129</v>
      </c>
      <c r="BX3" t="s" s="0">
        <v>130</v>
      </c>
    </row>
    <row r="4">
      <c r="A4" t="s" s="0">
        <v>80</v>
      </c>
      <c r="B4" t="s" s="0">
        <v>116</v>
      </c>
      <c r="C4" t="s" s="0">
        <v>171</v>
      </c>
      <c r="D4" t="s" s="0">
        <v>172</v>
      </c>
      <c r="E4" t="s" s="0">
        <v>173</v>
      </c>
      <c r="F4" t="s" s="0">
        <v>174</v>
      </c>
      <c r="G4" t="s" s="0">
        <v>175</v>
      </c>
      <c r="H4" t="s" s="0">
        <v>84</v>
      </c>
      <c r="I4" t="s" s="0">
        <v>85</v>
      </c>
      <c r="J4" t="s" s="0">
        <v>176</v>
      </c>
      <c r="K4" t="s" s="0">
        <v>177</v>
      </c>
      <c r="L4" t="s" s="0">
        <v>178</v>
      </c>
      <c r="M4" t="s" s="0">
        <v>179</v>
      </c>
      <c r="N4" t="s" s="0">
        <v>180</v>
      </c>
      <c r="O4" t="s" s="0">
        <v>181</v>
      </c>
      <c r="P4" t="s" s="0">
        <v>182</v>
      </c>
      <c r="Q4" t="s" s="0">
        <v>93</v>
      </c>
      <c r="R4" t="s" s="0">
        <v>84</v>
      </c>
      <c r="S4" t="s" s="0">
        <v>84</v>
      </c>
      <c r="T4" t="s" s="0">
        <v>84</v>
      </c>
      <c r="U4" t="s" s="0">
        <v>84</v>
      </c>
      <c r="V4" t="s" s="0">
        <v>183</v>
      </c>
      <c r="W4" t="s" s="0">
        <v>184</v>
      </c>
      <c r="X4" t="s" s="0">
        <v>84</v>
      </c>
      <c r="Y4" t="s" s="0">
        <v>84</v>
      </c>
      <c r="Z4" t="s" s="0">
        <v>96</v>
      </c>
      <c r="AA4" t="s" s="0">
        <v>97</v>
      </c>
      <c r="AB4" t="s" s="0">
        <v>84</v>
      </c>
      <c r="AC4" t="s" s="0">
        <v>84</v>
      </c>
      <c r="AD4" t="s" s="0">
        <v>84</v>
      </c>
      <c r="AE4" t="s" s="0">
        <v>84</v>
      </c>
      <c r="AF4" t="s" s="0">
        <v>84</v>
      </c>
      <c r="AG4" t="s" s="0">
        <v>185</v>
      </c>
      <c r="AH4" t="s" s="0">
        <v>186</v>
      </c>
      <c r="AI4" t="s" s="0">
        <v>187</v>
      </c>
      <c r="AJ4" t="s" s="0">
        <v>188</v>
      </c>
      <c r="AK4" t="s" s="0">
        <v>84</v>
      </c>
      <c r="AL4" t="s" s="0">
        <v>189</v>
      </c>
      <c r="AM4" t="s" s="0">
        <v>190</v>
      </c>
      <c r="AN4" t="s" s="0">
        <v>191</v>
      </c>
      <c r="AO4" t="s" s="0">
        <v>192</v>
      </c>
      <c r="AP4" t="s" s="0">
        <v>193</v>
      </c>
      <c r="AQ4" t="s" s="0">
        <v>194</v>
      </c>
      <c r="AR4" t="s" s="0">
        <v>195</v>
      </c>
      <c r="AS4" t="s" s="0">
        <v>196</v>
      </c>
      <c r="AT4" t="s" s="0">
        <v>197</v>
      </c>
      <c r="AU4" t="s" s="0">
        <v>84</v>
      </c>
      <c r="AV4" t="s" s="0">
        <v>84</v>
      </c>
      <c r="AW4" t="s" s="0">
        <v>198</v>
      </c>
      <c r="AX4" t="s" s="0">
        <v>199</v>
      </c>
      <c r="AY4" t="s" s="0">
        <v>200</v>
      </c>
      <c r="AZ4" t="s" s="0">
        <v>201</v>
      </c>
      <c r="BA4" t="s" s="0">
        <v>172</v>
      </c>
      <c r="BB4" t="s" s="0">
        <v>202</v>
      </c>
      <c r="BC4" t="s" s="0">
        <v>84</v>
      </c>
      <c r="BD4" t="s" s="0">
        <v>84</v>
      </c>
      <c r="BE4" t="s" s="0">
        <v>84</v>
      </c>
      <c r="BF4" t="s" s="0">
        <v>84</v>
      </c>
      <c r="BG4" t="s" s="0">
        <v>203</v>
      </c>
      <c r="BH4" t="s" s="0">
        <v>204</v>
      </c>
      <c r="BI4" t="s" s="0">
        <v>84</v>
      </c>
      <c r="BJ4" t="s" s="0">
        <v>205</v>
      </c>
      <c r="BK4" t="s" s="5">
        <f>HYPERLINK("http://dx.doi.org/10.1007/s13244-018-0639-9","http://dx.doi.org/10.1007/s13244-018-0639-9")</f>
        <v>206</v>
      </c>
      <c r="BL4" t="s" s="0">
        <v>84</v>
      </c>
      <c r="BM4" t="s" s="0">
        <v>84</v>
      </c>
      <c r="BN4" t="s" s="0">
        <v>207</v>
      </c>
      <c r="BO4" t="s" s="0">
        <v>208</v>
      </c>
      <c r="BP4" t="s" s="0">
        <v>208</v>
      </c>
      <c r="BQ4" t="s" s="0">
        <v>209</v>
      </c>
      <c r="BR4" t="s" s="0">
        <v>210</v>
      </c>
      <c r="BS4" t="s" s="0">
        <v>211</v>
      </c>
      <c r="BT4" t="s" s="6">
        <f>HYPERLINK("https://www.webofscience.com/wos/woscc/full-record/WOS:000442680100018","View Record in Web of Science")</f>
        <v>127</v>
      </c>
      <c r="BU4" t="s" s="0">
        <v>170</v>
      </c>
      <c r="BV4" t="s" s="0">
        <v>128</v>
      </c>
      <c r="BW4" t="s" s="0">
        <v>129</v>
      </c>
      <c r="BX4" t="s" s="0">
        <v>130</v>
      </c>
    </row>
    <row r="5">
      <c r="A5" t="s" s="0">
        <v>212</v>
      </c>
      <c r="B5" t="s" s="0">
        <v>78</v>
      </c>
      <c r="C5" t="s" s="0">
        <v>213</v>
      </c>
      <c r="D5" t="s" s="0">
        <v>214</v>
      </c>
      <c r="E5" t="s" s="0">
        <v>215</v>
      </c>
      <c r="F5" t="s" s="0">
        <v>216</v>
      </c>
      <c r="G5" t="s" s="0">
        <v>217</v>
      </c>
      <c r="H5" t="s" s="0">
        <v>84</v>
      </c>
      <c r="I5" t="s" s="0">
        <v>85</v>
      </c>
      <c r="J5" t="s" s="0">
        <v>218</v>
      </c>
      <c r="K5" t="s" s="0">
        <v>219</v>
      </c>
      <c r="L5" t="s" s="0">
        <v>220</v>
      </c>
      <c r="M5" t="s" s="0">
        <v>221</v>
      </c>
      <c r="N5" t="s" s="0">
        <v>222</v>
      </c>
      <c r="O5" t="s" s="0">
        <v>223</v>
      </c>
      <c r="P5" t="s" s="0">
        <v>224</v>
      </c>
      <c r="Q5" t="s" s="0">
        <v>93</v>
      </c>
      <c r="R5" t="s" s="0">
        <v>84</v>
      </c>
      <c r="S5" t="s" s="0">
        <v>84</v>
      </c>
      <c r="T5" t="s" s="0">
        <v>84</v>
      </c>
      <c r="U5" t="s" s="0">
        <v>84</v>
      </c>
      <c r="V5" t="s" s="0">
        <v>225</v>
      </c>
      <c r="W5" t="s" s="0">
        <v>95</v>
      </c>
      <c r="X5" t="s" s="0">
        <v>84</v>
      </c>
      <c r="Y5" t="s" s="0">
        <v>84</v>
      </c>
      <c r="Z5" t="s" s="0">
        <v>96</v>
      </c>
      <c r="AA5" t="s" s="0">
        <v>97</v>
      </c>
      <c r="AB5" t="s" s="0">
        <v>84</v>
      </c>
      <c r="AC5" t="s" s="0">
        <v>84</v>
      </c>
      <c r="AD5" t="s" s="0">
        <v>84</v>
      </c>
      <c r="AE5" t="s" s="0">
        <v>84</v>
      </c>
      <c r="AF5" t="s" s="0">
        <v>84</v>
      </c>
      <c r="AG5" t="s" s="0">
        <v>84</v>
      </c>
      <c r="AH5" t="s" s="0">
        <v>226</v>
      </c>
      <c r="AI5" t="s" s="0">
        <v>227</v>
      </c>
      <c r="AJ5" t="s" s="0">
        <v>228</v>
      </c>
      <c r="AK5" t="s" s="0">
        <v>84</v>
      </c>
      <c r="AL5" t="s" s="0">
        <v>229</v>
      </c>
      <c r="AM5" t="s" s="0">
        <v>230</v>
      </c>
      <c r="AN5" t="s" s="0">
        <v>231</v>
      </c>
      <c r="AO5" t="s" s="0">
        <v>232</v>
      </c>
      <c r="AP5" t="s" s="0">
        <v>233</v>
      </c>
      <c r="AQ5" t="s" s="0">
        <v>106</v>
      </c>
      <c r="AR5" t="s" s="0">
        <v>107</v>
      </c>
      <c r="AS5" t="s" s="0">
        <v>108</v>
      </c>
      <c r="AT5" t="s" s="0">
        <v>109</v>
      </c>
      <c r="AU5" t="s" s="0">
        <v>110</v>
      </c>
      <c r="AV5" t="s" s="0">
        <v>84</v>
      </c>
      <c r="AW5" t="s" s="0">
        <v>111</v>
      </c>
      <c r="AX5" t="s" s="0">
        <v>112</v>
      </c>
      <c r="AY5" t="s" s="0">
        <v>234</v>
      </c>
      <c r="AZ5" t="s" s="0">
        <v>235</v>
      </c>
      <c r="BA5" t="s" s="0">
        <v>236</v>
      </c>
      <c r="BB5" t="s" s="0">
        <v>160</v>
      </c>
      <c r="BC5" t="s" s="0">
        <v>84</v>
      </c>
      <c r="BD5" t="s" s="0">
        <v>84</v>
      </c>
      <c r="BE5" t="s" s="0">
        <v>84</v>
      </c>
      <c r="BF5" t="s" s="0">
        <v>84</v>
      </c>
      <c r="BG5" t="s" s="0">
        <v>237</v>
      </c>
      <c r="BH5" t="s" s="0">
        <v>238</v>
      </c>
      <c r="BI5" t="s" s="0">
        <v>84</v>
      </c>
      <c r="BJ5" t="s" s="0">
        <v>239</v>
      </c>
      <c r="BK5" t="s" s="7">
        <f>HYPERLINK("http://dx.doi.org/10.1038/s41591-023-02448-8","http://dx.doi.org/10.1038/s41591-023-02448-8")</f>
        <v>240</v>
      </c>
      <c r="BL5" t="s" s="0">
        <v>84</v>
      </c>
      <c r="BM5" t="s" s="0">
        <v>241</v>
      </c>
      <c r="BN5" t="s" s="0">
        <v>242</v>
      </c>
      <c r="BO5" t="s" s="0">
        <v>122</v>
      </c>
      <c r="BP5" t="s" s="0">
        <v>123</v>
      </c>
      <c r="BQ5" t="s" s="0">
        <v>243</v>
      </c>
      <c r="BR5" t="s" s="0">
        <v>244</v>
      </c>
      <c r="BS5" t="s" s="0">
        <v>245</v>
      </c>
      <c r="BT5" t="s" s="8">
        <f>HYPERLINK("https://www.webofscience.com/wos/woscc/full-record/WOS:001032505800003","View Record in Web of Science")</f>
        <v>127</v>
      </c>
      <c r="BU5" t="s" s="0">
        <v>84</v>
      </c>
      <c r="BV5" t="s" s="0">
        <v>128</v>
      </c>
      <c r="BW5" t="s" s="0">
        <v>129</v>
      </c>
      <c r="BX5" t="s" s="0">
        <v>130</v>
      </c>
    </row>
    <row r="6">
      <c r="A6" t="s" s="0">
        <v>246</v>
      </c>
      <c r="B6" t="s" s="0">
        <v>78</v>
      </c>
      <c r="C6" t="s" s="0">
        <v>247</v>
      </c>
      <c r="D6" t="s" s="0">
        <v>133</v>
      </c>
      <c r="E6" t="s" s="0">
        <v>248</v>
      </c>
      <c r="F6" t="s" s="0">
        <v>249</v>
      </c>
      <c r="G6" t="s" s="0">
        <v>250</v>
      </c>
      <c r="H6" t="s" s="0">
        <v>84</v>
      </c>
      <c r="I6" t="s" s="0">
        <v>251</v>
      </c>
      <c r="J6" t="s" s="0">
        <v>252</v>
      </c>
      <c r="K6" t="s" s="0">
        <v>253</v>
      </c>
      <c r="L6" t="s" s="0">
        <v>84</v>
      </c>
      <c r="M6" t="s" s="0">
        <v>84</v>
      </c>
      <c r="N6" t="s" s="0">
        <v>84</v>
      </c>
      <c r="O6" t="s" s="0">
        <v>254</v>
      </c>
      <c r="P6" t="s" s="0">
        <v>255</v>
      </c>
      <c r="Q6" t="s" s="0">
        <v>93</v>
      </c>
      <c r="R6" t="s" s="0">
        <v>84</v>
      </c>
      <c r="S6" t="s" s="0">
        <v>84</v>
      </c>
      <c r="T6" t="s" s="0">
        <v>84</v>
      </c>
      <c r="U6" t="s" s="0">
        <v>84</v>
      </c>
      <c r="V6" t="s" s="0">
        <v>256</v>
      </c>
      <c r="W6" t="s" s="0">
        <v>257</v>
      </c>
      <c r="X6" t="s" s="0">
        <v>84</v>
      </c>
      <c r="Y6" t="s" s="0">
        <v>84</v>
      </c>
      <c r="Z6" t="s" s="0">
        <v>96</v>
      </c>
      <c r="AA6" t="s" s="0">
        <v>97</v>
      </c>
      <c r="AB6" t="s" s="0">
        <v>84</v>
      </c>
      <c r="AC6" t="s" s="0">
        <v>84</v>
      </c>
      <c r="AD6" t="s" s="0">
        <v>84</v>
      </c>
      <c r="AE6" t="s" s="0">
        <v>84</v>
      </c>
      <c r="AF6" t="s" s="0">
        <v>84</v>
      </c>
      <c r="AG6" t="s" s="0">
        <v>84</v>
      </c>
      <c r="AH6" t="s" s="0">
        <v>258</v>
      </c>
      <c r="AI6" t="s" s="0">
        <v>259</v>
      </c>
      <c r="AJ6" t="s" s="0">
        <v>260</v>
      </c>
      <c r="AK6" t="s" s="0">
        <v>84</v>
      </c>
      <c r="AL6" t="s" s="0">
        <v>261</v>
      </c>
      <c r="AM6" t="s" s="0">
        <v>262</v>
      </c>
      <c r="AN6" t="s" s="0">
        <v>263</v>
      </c>
      <c r="AO6" t="s" s="0">
        <v>264</v>
      </c>
      <c r="AP6" t="s" s="0">
        <v>265</v>
      </c>
      <c r="AQ6" t="s" s="0">
        <v>266</v>
      </c>
      <c r="AR6" t="s" s="0">
        <v>267</v>
      </c>
      <c r="AS6" t="s" s="0">
        <v>268</v>
      </c>
      <c r="AT6" t="s" s="0">
        <v>269</v>
      </c>
      <c r="AU6" t="s" s="0">
        <v>270</v>
      </c>
      <c r="AV6" t="s" s="0">
        <v>84</v>
      </c>
      <c r="AW6" t="s" s="0">
        <v>271</v>
      </c>
      <c r="AX6" t="s" s="0">
        <v>272</v>
      </c>
      <c r="AY6" t="s" s="0">
        <v>273</v>
      </c>
      <c r="AZ6" t="s" s="0">
        <v>114</v>
      </c>
      <c r="BA6" t="s" s="0">
        <v>274</v>
      </c>
      <c r="BB6" t="s" s="0">
        <v>275</v>
      </c>
      <c r="BC6" t="s" s="0">
        <v>84</v>
      </c>
      <c r="BD6" t="s" s="0">
        <v>84</v>
      </c>
      <c r="BE6" t="s" s="0">
        <v>84</v>
      </c>
      <c r="BF6" t="s" s="0">
        <v>84</v>
      </c>
      <c r="BG6" t="s" s="0">
        <v>276</v>
      </c>
      <c r="BH6" t="s" s="0">
        <v>277</v>
      </c>
      <c r="BI6" t="s" s="0">
        <v>84</v>
      </c>
      <c r="BJ6" t="s" s="0">
        <v>278</v>
      </c>
      <c r="BK6" t="s" s="9">
        <f>HYPERLINK("http://dx.doi.org/10.1056/NEJMra1814259","http://dx.doi.org/10.1056/NEJMra1814259")</f>
        <v>279</v>
      </c>
      <c r="BL6" t="s" s="0">
        <v>84</v>
      </c>
      <c r="BM6" t="s" s="0">
        <v>84</v>
      </c>
      <c r="BN6" t="s" s="0">
        <v>280</v>
      </c>
      <c r="BO6" t="s" s="0">
        <v>281</v>
      </c>
      <c r="BP6" t="s" s="0">
        <v>282</v>
      </c>
      <c r="BQ6" t="s" s="0">
        <v>283</v>
      </c>
      <c r="BR6" t="s" s="0">
        <v>284</v>
      </c>
      <c r="BS6" t="s" s="0">
        <v>285</v>
      </c>
      <c r="BT6" t="s" s="10">
        <f>HYPERLINK("https://www.webofscience.com/wos/woscc/full-record/WOS:000463386900011","View Record in Web of Science")</f>
        <v>127</v>
      </c>
      <c r="BU6" t="s" s="0">
        <v>84</v>
      </c>
      <c r="BV6" t="s" s="0">
        <v>128</v>
      </c>
      <c r="BW6" t="s" s="0">
        <v>129</v>
      </c>
      <c r="BX6" t="s" s="0">
        <v>130</v>
      </c>
    </row>
    <row r="7">
      <c r="A7" t="s" s="0">
        <v>286</v>
      </c>
      <c r="B7" t="s" s="0">
        <v>78</v>
      </c>
      <c r="C7" t="s" s="0">
        <v>287</v>
      </c>
      <c r="D7" t="s" s="0">
        <v>172</v>
      </c>
      <c r="E7" t="s" s="0">
        <v>288</v>
      </c>
      <c r="F7" t="s" s="0">
        <v>289</v>
      </c>
      <c r="G7" t="s" s="0">
        <v>290</v>
      </c>
      <c r="H7" t="s" s="0">
        <v>84</v>
      </c>
      <c r="I7" t="s" s="0">
        <v>85</v>
      </c>
      <c r="J7" t="s" s="0">
        <v>291</v>
      </c>
      <c r="K7" t="s" s="0">
        <v>292</v>
      </c>
      <c r="L7" t="s" s="0">
        <v>293</v>
      </c>
      <c r="M7" t="s" s="0">
        <v>294</v>
      </c>
      <c r="N7" t="s" s="0">
        <v>295</v>
      </c>
      <c r="O7" t="s" s="0">
        <v>296</v>
      </c>
      <c r="P7" t="s" s="0">
        <v>297</v>
      </c>
      <c r="Q7" t="s" s="0">
        <v>93</v>
      </c>
      <c r="R7" t="s" s="0">
        <v>84</v>
      </c>
      <c r="S7" t="s" s="0">
        <v>84</v>
      </c>
      <c r="T7" t="s" s="0">
        <v>84</v>
      </c>
      <c r="U7" t="s" s="0">
        <v>84</v>
      </c>
      <c r="V7" t="s" s="0">
        <v>298</v>
      </c>
      <c r="W7" t="s" s="0">
        <v>299</v>
      </c>
      <c r="X7" t="s" s="0">
        <v>84</v>
      </c>
      <c r="Y7" t="s" s="0">
        <v>84</v>
      </c>
      <c r="Z7" t="s" s="0">
        <v>96</v>
      </c>
      <c r="AA7" t="s" s="0">
        <v>97</v>
      </c>
      <c r="AB7" t="s" s="0">
        <v>84</v>
      </c>
      <c r="AC7" t="s" s="0">
        <v>84</v>
      </c>
      <c r="AD7" t="s" s="0">
        <v>84</v>
      </c>
      <c r="AE7" t="s" s="0">
        <v>84</v>
      </c>
      <c r="AF7" t="s" s="0">
        <v>84</v>
      </c>
      <c r="AG7" t="s" s="0">
        <v>84</v>
      </c>
      <c r="AH7" t="s" s="0">
        <v>300</v>
      </c>
      <c r="AI7" t="s" s="0">
        <v>301</v>
      </c>
      <c r="AJ7" t="s" s="0">
        <v>302</v>
      </c>
      <c r="AK7" t="s" s="0">
        <v>84</v>
      </c>
      <c r="AL7" t="s" s="0">
        <v>303</v>
      </c>
      <c r="AM7" t="s" s="0">
        <v>304</v>
      </c>
      <c r="AN7" t="s" s="0">
        <v>305</v>
      </c>
      <c r="AO7" t="s" s="0">
        <v>306</v>
      </c>
      <c r="AP7" t="s" s="0">
        <v>307</v>
      </c>
      <c r="AQ7" t="s" s="0">
        <v>106</v>
      </c>
      <c r="AR7" t="s" s="0">
        <v>107</v>
      </c>
      <c r="AS7" t="s" s="0">
        <v>108</v>
      </c>
      <c r="AT7" t="s" s="0">
        <v>308</v>
      </c>
      <c r="AU7" t="s" s="0">
        <v>309</v>
      </c>
      <c r="AV7" t="s" s="0">
        <v>84</v>
      </c>
      <c r="AW7" t="s" s="0">
        <v>310</v>
      </c>
      <c r="AX7" t="s" s="0">
        <v>311</v>
      </c>
      <c r="AY7" t="s" s="0">
        <v>200</v>
      </c>
      <c r="AZ7" t="s" s="0">
        <v>201</v>
      </c>
      <c r="BA7" t="s" s="0">
        <v>312</v>
      </c>
      <c r="BB7" t="s" s="0">
        <v>160</v>
      </c>
      <c r="BC7" t="s" s="0">
        <v>84</v>
      </c>
      <c r="BD7" t="s" s="0">
        <v>84</v>
      </c>
      <c r="BE7" t="s" s="0">
        <v>84</v>
      </c>
      <c r="BF7" t="s" s="0">
        <v>84</v>
      </c>
      <c r="BG7" t="s" s="0">
        <v>313</v>
      </c>
      <c r="BH7" t="s" s="0">
        <v>314</v>
      </c>
      <c r="BI7" t="s" s="0">
        <v>84</v>
      </c>
      <c r="BJ7" t="s" s="0">
        <v>315</v>
      </c>
      <c r="BK7" t="s" s="11">
        <f>HYPERLINK("http://dx.doi.org/10.1038/s41568-018-0016-5","http://dx.doi.org/10.1038/s41568-018-0016-5")</f>
        <v>316</v>
      </c>
      <c r="BL7" t="s" s="0">
        <v>84</v>
      </c>
      <c r="BM7" t="s" s="0">
        <v>84</v>
      </c>
      <c r="BN7" t="s" s="0">
        <v>242</v>
      </c>
      <c r="BO7" t="s" s="0">
        <v>317</v>
      </c>
      <c r="BP7" t="s" s="0">
        <v>317</v>
      </c>
      <c r="BQ7" t="s" s="0">
        <v>318</v>
      </c>
      <c r="BR7" t="s" s="0">
        <v>319</v>
      </c>
      <c r="BS7" t="s" s="0">
        <v>320</v>
      </c>
      <c r="BT7" t="s" s="12">
        <f>HYPERLINK("https://www.webofscience.com/wos/woscc/full-record/WOS:000439569600010","View Record in Web of Science")</f>
        <v>127</v>
      </c>
      <c r="BU7" t="s" s="0">
        <v>321</v>
      </c>
      <c r="BV7" t="s" s="0">
        <v>128</v>
      </c>
      <c r="BW7" t="s" s="0">
        <v>129</v>
      </c>
      <c r="BX7" t="s" s="0">
        <v>130</v>
      </c>
    </row>
    <row r="8">
      <c r="A8" t="s" s="0">
        <v>322</v>
      </c>
      <c r="B8" t="s" s="0">
        <v>78</v>
      </c>
      <c r="C8" t="s" s="0">
        <v>323</v>
      </c>
      <c r="D8" t="s" s="0">
        <v>80</v>
      </c>
      <c r="E8" t="s" s="0">
        <v>324</v>
      </c>
      <c r="F8" t="s" s="0">
        <v>325</v>
      </c>
      <c r="G8" t="s" s="0">
        <v>326</v>
      </c>
      <c r="H8" t="s" s="0">
        <v>84</v>
      </c>
      <c r="I8" t="s" s="0">
        <v>85</v>
      </c>
      <c r="J8" t="s" s="0">
        <v>327</v>
      </c>
      <c r="K8" t="s" s="0">
        <v>328</v>
      </c>
      <c r="L8" t="s" s="0">
        <v>329</v>
      </c>
      <c r="M8" t="s" s="0">
        <v>330</v>
      </c>
      <c r="N8" t="s" s="0">
        <v>331</v>
      </c>
      <c r="O8" t="s" s="0">
        <v>332</v>
      </c>
      <c r="P8" t="s" s="0">
        <v>333</v>
      </c>
      <c r="Q8" t="s" s="0">
        <v>93</v>
      </c>
      <c r="R8" t="s" s="0">
        <v>84</v>
      </c>
      <c r="S8" t="s" s="0">
        <v>84</v>
      </c>
      <c r="T8" t="s" s="0">
        <v>84</v>
      </c>
      <c r="U8" t="s" s="0">
        <v>84</v>
      </c>
      <c r="V8" t="s" s="0">
        <v>334</v>
      </c>
      <c r="W8" t="s" s="0">
        <v>335</v>
      </c>
      <c r="X8" t="s" s="0">
        <v>84</v>
      </c>
      <c r="Y8" t="s" s="0">
        <v>84</v>
      </c>
      <c r="Z8" t="s" s="0">
        <v>96</v>
      </c>
      <c r="AA8" t="s" s="0">
        <v>97</v>
      </c>
      <c r="AB8" t="s" s="0">
        <v>84</v>
      </c>
      <c r="AC8" t="s" s="0">
        <v>84</v>
      </c>
      <c r="AD8" t="s" s="0">
        <v>84</v>
      </c>
      <c r="AE8" t="s" s="0">
        <v>84</v>
      </c>
      <c r="AF8" t="s" s="0">
        <v>84</v>
      </c>
      <c r="AG8" t="s" s="0">
        <v>84</v>
      </c>
      <c r="AH8" t="s" s="0">
        <v>336</v>
      </c>
      <c r="AI8" t="s" s="0">
        <v>337</v>
      </c>
      <c r="AJ8" t="s" s="0">
        <v>338</v>
      </c>
      <c r="AK8" t="s" s="0">
        <v>84</v>
      </c>
      <c r="AL8" t="s" s="0">
        <v>339</v>
      </c>
      <c r="AM8" t="s" s="0">
        <v>340</v>
      </c>
      <c r="AN8" t="s" s="0">
        <v>341</v>
      </c>
      <c r="AO8" t="s" s="0">
        <v>342</v>
      </c>
      <c r="AP8" t="s" s="0">
        <v>343</v>
      </c>
      <c r="AQ8" t="s" s="0">
        <v>344</v>
      </c>
      <c r="AR8" t="s" s="0">
        <v>153</v>
      </c>
      <c r="AS8" t="s" s="0">
        <v>345</v>
      </c>
      <c r="AT8" t="s" s="0">
        <v>346</v>
      </c>
      <c r="AU8" t="s" s="0">
        <v>347</v>
      </c>
      <c r="AV8" t="s" s="0">
        <v>84</v>
      </c>
      <c r="AW8" t="s" s="0">
        <v>348</v>
      </c>
      <c r="AX8" t="s" s="0">
        <v>349</v>
      </c>
      <c r="AY8" t="s" s="0">
        <v>350</v>
      </c>
      <c r="AZ8" t="s" s="0">
        <v>351</v>
      </c>
      <c r="BA8" t="s" s="0">
        <v>352</v>
      </c>
      <c r="BB8" t="s" s="0">
        <v>84</v>
      </c>
      <c r="BC8" t="s" s="0">
        <v>84</v>
      </c>
      <c r="BD8" t="s" s="0">
        <v>84</v>
      </c>
      <c r="BE8" t="s" s="0">
        <v>84</v>
      </c>
      <c r="BF8" t="s" s="0">
        <v>84</v>
      </c>
      <c r="BG8" t="s" s="0">
        <v>84</v>
      </c>
      <c r="BH8" t="s" s="0">
        <v>84</v>
      </c>
      <c r="BI8" t="s" s="0">
        <v>353</v>
      </c>
      <c r="BJ8" t="s" s="0">
        <v>354</v>
      </c>
      <c r="BK8" t="s" s="13">
        <f>HYPERLINK("http://dx.doi.org/10.1136/bmj.m1328","http://dx.doi.org/10.1136/bmj.m1328")</f>
        <v>355</v>
      </c>
      <c r="BL8" t="s" s="0">
        <v>84</v>
      </c>
      <c r="BM8" t="s" s="0">
        <v>84</v>
      </c>
      <c r="BN8" t="s" s="0">
        <v>242</v>
      </c>
      <c r="BO8" t="s" s="0">
        <v>281</v>
      </c>
      <c r="BP8" t="s" s="0">
        <v>282</v>
      </c>
      <c r="BQ8" t="s" s="0">
        <v>356</v>
      </c>
      <c r="BR8" t="s" s="0">
        <v>357</v>
      </c>
      <c r="BS8" t="s" s="0">
        <v>358</v>
      </c>
      <c r="BT8" t="s" s="14">
        <f>HYPERLINK("https://www.webofscience.com/wos/woscc/full-record/WOS:000527703000001","View Record in Web of Science")</f>
        <v>127</v>
      </c>
      <c r="BU8" t="s" s="0">
        <v>359</v>
      </c>
      <c r="BV8" t="s" s="0">
        <v>128</v>
      </c>
      <c r="BW8" t="s" s="0">
        <v>129</v>
      </c>
      <c r="BX8" t="s" s="0">
        <v>130</v>
      </c>
    </row>
    <row r="9">
      <c r="A9" t="s" s="0">
        <v>360</v>
      </c>
      <c r="B9" t="s" s="0">
        <v>78</v>
      </c>
      <c r="C9" t="s" s="0">
        <v>361</v>
      </c>
      <c r="D9" t="s" s="0">
        <v>202</v>
      </c>
      <c r="E9" t="s" s="0">
        <v>362</v>
      </c>
      <c r="F9" t="s" s="0">
        <v>363</v>
      </c>
      <c r="G9" t="s" s="0">
        <v>364</v>
      </c>
      <c r="H9" t="s" s="0">
        <v>84</v>
      </c>
      <c r="I9" t="s" s="0">
        <v>85</v>
      </c>
      <c r="J9" t="s" s="0">
        <v>365</v>
      </c>
      <c r="K9" t="s" s="0">
        <v>366</v>
      </c>
      <c r="L9" t="s" s="0">
        <v>84</v>
      </c>
      <c r="M9" t="s" s="0">
        <v>84</v>
      </c>
      <c r="N9" t="s" s="0">
        <v>84</v>
      </c>
      <c r="O9" t="s" s="0">
        <v>367</v>
      </c>
      <c r="P9" t="s" s="0">
        <v>368</v>
      </c>
      <c r="Q9" t="s" s="0">
        <v>93</v>
      </c>
      <c r="R9" t="s" s="0">
        <v>84</v>
      </c>
      <c r="S9" t="s" s="0">
        <v>84</v>
      </c>
      <c r="T9" t="s" s="0">
        <v>84</v>
      </c>
      <c r="U9" t="s" s="0">
        <v>84</v>
      </c>
      <c r="V9" t="s" s="0">
        <v>369</v>
      </c>
      <c r="W9" t="s" s="0">
        <v>370</v>
      </c>
      <c r="X9" t="s" s="0">
        <v>84</v>
      </c>
      <c r="Y9" t="s" s="0">
        <v>84</v>
      </c>
      <c r="Z9" t="s" s="0">
        <v>96</v>
      </c>
      <c r="AA9" t="s" s="0">
        <v>97</v>
      </c>
      <c r="AB9" t="s" s="0">
        <v>84</v>
      </c>
      <c r="AC9" t="s" s="0">
        <v>84</v>
      </c>
      <c r="AD9" t="s" s="0">
        <v>84</v>
      </c>
      <c r="AE9" t="s" s="0">
        <v>84</v>
      </c>
      <c r="AF9" t="s" s="0">
        <v>84</v>
      </c>
      <c r="AG9" t="s" s="0">
        <v>371</v>
      </c>
      <c r="AH9" t="s" s="0">
        <v>372</v>
      </c>
      <c r="AI9" t="s" s="0">
        <v>373</v>
      </c>
      <c r="AJ9" t="s" s="0">
        <v>374</v>
      </c>
      <c r="AK9" t="s" s="0">
        <v>84</v>
      </c>
      <c r="AL9" t="s" s="0">
        <v>375</v>
      </c>
      <c r="AM9" t="s" s="0">
        <v>376</v>
      </c>
      <c r="AN9" t="s" s="0">
        <v>377</v>
      </c>
      <c r="AO9" t="s" s="0">
        <v>212</v>
      </c>
      <c r="AP9" t="s" s="0">
        <v>378</v>
      </c>
      <c r="AQ9" t="s" s="0">
        <v>379</v>
      </c>
      <c r="AR9" t="s" s="0">
        <v>380</v>
      </c>
      <c r="AS9" t="s" s="0">
        <v>381</v>
      </c>
      <c r="AT9" t="s" s="0">
        <v>84</v>
      </c>
      <c r="AU9" t="s" s="0">
        <v>382</v>
      </c>
      <c r="AV9" t="s" s="0">
        <v>84</v>
      </c>
      <c r="AW9" t="s" s="0">
        <v>383</v>
      </c>
      <c r="AX9" t="s" s="0">
        <v>384</v>
      </c>
      <c r="AY9" t="s" s="0">
        <v>385</v>
      </c>
      <c r="AZ9" t="s" s="0">
        <v>159</v>
      </c>
      <c r="BA9" t="s" s="0">
        <v>192</v>
      </c>
      <c r="BB9" t="s" s="0">
        <v>116</v>
      </c>
      <c r="BC9" t="s" s="0">
        <v>84</v>
      </c>
      <c r="BD9" t="s" s="0">
        <v>84</v>
      </c>
      <c r="BE9" t="s" s="0">
        <v>84</v>
      </c>
      <c r="BF9" t="s" s="0">
        <v>84</v>
      </c>
      <c r="BG9" t="s" s="0">
        <v>84</v>
      </c>
      <c r="BH9" t="s" s="0">
        <v>84</v>
      </c>
      <c r="BI9" t="s" s="0">
        <v>312</v>
      </c>
      <c r="BJ9" t="s" s="0">
        <v>386</v>
      </c>
      <c r="BK9" t="s" s="15">
        <f>HYPERLINK("http://dx.doi.org/10.3390/e23010018","http://dx.doi.org/10.3390/e23010018")</f>
        <v>387</v>
      </c>
      <c r="BL9" t="s" s="0">
        <v>84</v>
      </c>
      <c r="BM9" t="s" s="0">
        <v>84</v>
      </c>
      <c r="BN9" t="s" s="0">
        <v>388</v>
      </c>
      <c r="BO9" t="s" s="0">
        <v>389</v>
      </c>
      <c r="BP9" t="s" s="0">
        <v>390</v>
      </c>
      <c r="BQ9" t="s" s="0">
        <v>391</v>
      </c>
      <c r="BR9" t="s" s="0">
        <v>392</v>
      </c>
      <c r="BS9" t="s" s="0">
        <v>393</v>
      </c>
      <c r="BT9" t="s" s="16">
        <f>HYPERLINK("https://www.webofscience.com/wos/woscc/full-record/WOS:000611065800001","View Record in Web of Science")</f>
        <v>127</v>
      </c>
      <c r="BU9" t="s" s="0">
        <v>170</v>
      </c>
      <c r="BV9" t="s" s="0">
        <v>128</v>
      </c>
      <c r="BW9" t="s" s="0">
        <v>129</v>
      </c>
      <c r="BX9" t="s" s="0">
        <v>130</v>
      </c>
    </row>
    <row r="10">
      <c r="A10" t="s" s="0">
        <v>394</v>
      </c>
      <c r="B10" t="s" s="0">
        <v>78</v>
      </c>
      <c r="C10" t="s" s="0">
        <v>395</v>
      </c>
      <c r="D10" t="s" s="0">
        <v>396</v>
      </c>
      <c r="E10" t="s" s="0">
        <v>397</v>
      </c>
      <c r="F10" t="s" s="0">
        <v>398</v>
      </c>
      <c r="G10" t="s" s="0">
        <v>399</v>
      </c>
      <c r="H10" t="s" s="0">
        <v>84</v>
      </c>
      <c r="I10" t="s" s="0">
        <v>85</v>
      </c>
      <c r="J10" t="s" s="0">
        <v>400</v>
      </c>
      <c r="K10" t="s" s="0">
        <v>401</v>
      </c>
      <c r="L10" t="s" s="0">
        <v>84</v>
      </c>
      <c r="M10" t="s" s="0">
        <v>84</v>
      </c>
      <c r="N10" t="s" s="0">
        <v>84</v>
      </c>
      <c r="O10" t="s" s="0">
        <v>402</v>
      </c>
      <c r="P10" t="s" s="0">
        <v>403</v>
      </c>
      <c r="Q10" t="s" s="0">
        <v>93</v>
      </c>
      <c r="R10" t="s" s="0">
        <v>84</v>
      </c>
      <c r="S10" t="s" s="0">
        <v>84</v>
      </c>
      <c r="T10" t="s" s="0">
        <v>84</v>
      </c>
      <c r="U10" t="s" s="0">
        <v>84</v>
      </c>
      <c r="V10" t="s" s="0">
        <v>404</v>
      </c>
      <c r="W10" t="s" s="0">
        <v>405</v>
      </c>
      <c r="X10" t="s" s="0">
        <v>84</v>
      </c>
      <c r="Y10" t="s" s="0">
        <v>84</v>
      </c>
      <c r="Z10" t="s" s="0">
        <v>96</v>
      </c>
      <c r="AA10" t="s" s="0">
        <v>97</v>
      </c>
      <c r="AB10" t="s" s="0">
        <v>84</v>
      </c>
      <c r="AC10" t="s" s="0">
        <v>84</v>
      </c>
      <c r="AD10" t="s" s="0">
        <v>84</v>
      </c>
      <c r="AE10" t="s" s="0">
        <v>84</v>
      </c>
      <c r="AF10" t="s" s="0">
        <v>84</v>
      </c>
      <c r="AG10" t="s" s="0">
        <v>406</v>
      </c>
      <c r="AH10" t="s" s="0">
        <v>407</v>
      </c>
      <c r="AI10" t="s" s="0">
        <v>408</v>
      </c>
      <c r="AJ10" t="s" s="0">
        <v>409</v>
      </c>
      <c r="AK10" t="s" s="0">
        <v>84</v>
      </c>
      <c r="AL10" t="s" s="0">
        <v>410</v>
      </c>
      <c r="AM10" t="s" s="0">
        <v>411</v>
      </c>
      <c r="AN10" t="s" s="0">
        <v>412</v>
      </c>
      <c r="AO10" t="s" s="0">
        <v>413</v>
      </c>
      <c r="AP10" t="s" s="0">
        <v>414</v>
      </c>
      <c r="AQ10" t="s" s="0">
        <v>415</v>
      </c>
      <c r="AR10" t="s" s="0">
        <v>416</v>
      </c>
      <c r="AS10" t="s" s="0">
        <v>417</v>
      </c>
      <c r="AT10" t="s" s="0">
        <v>418</v>
      </c>
      <c r="AU10" t="s" s="0">
        <v>419</v>
      </c>
      <c r="AV10" t="s" s="0">
        <v>84</v>
      </c>
      <c r="AW10" t="s" s="0">
        <v>420</v>
      </c>
      <c r="AX10" t="s" s="0">
        <v>421</v>
      </c>
      <c r="AY10" t="s" s="0">
        <v>422</v>
      </c>
      <c r="AZ10" t="s" s="0">
        <v>159</v>
      </c>
      <c r="BA10" t="s" s="0">
        <v>423</v>
      </c>
      <c r="BB10" t="s" s="0">
        <v>84</v>
      </c>
      <c r="BC10" t="s" s="0">
        <v>84</v>
      </c>
      <c r="BD10" t="s" s="0">
        <v>84</v>
      </c>
      <c r="BE10" t="s" s="0">
        <v>84</v>
      </c>
      <c r="BF10" t="s" s="0">
        <v>84</v>
      </c>
      <c r="BG10" t="s" s="0">
        <v>395</v>
      </c>
      <c r="BH10" t="s" s="0">
        <v>424</v>
      </c>
      <c r="BI10" t="s" s="0">
        <v>84</v>
      </c>
      <c r="BJ10" t="s" s="0">
        <v>425</v>
      </c>
      <c r="BK10" t="s" s="17">
        <f>HYPERLINK("http://dx.doi.org/10.1016/j.inffus.2021.05.008","http://dx.doi.org/10.1016/j.inffus.2021.05.008")</f>
        <v>426</v>
      </c>
      <c r="BL10" t="s" s="0">
        <v>84</v>
      </c>
      <c r="BM10" t="s" s="0">
        <v>427</v>
      </c>
      <c r="BN10" t="s" s="0">
        <v>428</v>
      </c>
      <c r="BO10" t="s" s="0">
        <v>429</v>
      </c>
      <c r="BP10" t="s" s="0">
        <v>166</v>
      </c>
      <c r="BQ10" t="s" s="0">
        <v>430</v>
      </c>
      <c r="BR10" t="s" s="0">
        <v>84</v>
      </c>
      <c r="BS10" t="s" s="0">
        <v>431</v>
      </c>
      <c r="BT10" t="s" s="18">
        <f>HYPERLINK("https://www.webofscience.com/wos/woscc/full-record/WOS:000684868400005","View Record in Web of Science")</f>
        <v>127</v>
      </c>
      <c r="BU10" t="s" s="0">
        <v>432</v>
      </c>
      <c r="BV10" t="s" s="0">
        <v>128</v>
      </c>
      <c r="BW10" t="s" s="0">
        <v>129</v>
      </c>
      <c r="BX10" t="s" s="0">
        <v>130</v>
      </c>
    </row>
    <row r="11">
      <c r="A11" t="s" s="0">
        <v>433</v>
      </c>
      <c r="B11" t="s" s="0">
        <v>78</v>
      </c>
      <c r="C11" t="s" s="0">
        <v>434</v>
      </c>
      <c r="D11" t="s" s="0">
        <v>342</v>
      </c>
      <c r="E11" t="s" s="0">
        <v>435</v>
      </c>
      <c r="F11" t="s" s="0">
        <v>436</v>
      </c>
      <c r="G11" t="s" s="0">
        <v>437</v>
      </c>
      <c r="H11" t="s" s="0">
        <v>84</v>
      </c>
      <c r="I11" t="s" s="0">
        <v>85</v>
      </c>
      <c r="J11" t="s" s="0">
        <v>438</v>
      </c>
      <c r="K11" t="s" s="0">
        <v>439</v>
      </c>
      <c r="L11" t="s" s="0">
        <v>440</v>
      </c>
      <c r="M11" t="s" s="0">
        <v>441</v>
      </c>
      <c r="N11" t="s" s="0">
        <v>84</v>
      </c>
      <c r="O11" t="s" s="0">
        <v>442</v>
      </c>
      <c r="P11" t="s" s="0">
        <v>443</v>
      </c>
      <c r="Q11" t="s" s="0">
        <v>93</v>
      </c>
      <c r="R11" t="s" s="0">
        <v>84</v>
      </c>
      <c r="S11" t="s" s="0">
        <v>84</v>
      </c>
      <c r="T11" t="s" s="0">
        <v>84</v>
      </c>
      <c r="U11" t="s" s="0">
        <v>84</v>
      </c>
      <c r="V11" t="s" s="0">
        <v>444</v>
      </c>
      <c r="W11" t="s" s="0">
        <v>445</v>
      </c>
      <c r="X11" t="s" s="0">
        <v>84</v>
      </c>
      <c r="Y11" t="s" s="0">
        <v>84</v>
      </c>
      <c r="Z11" t="s" s="0">
        <v>96</v>
      </c>
      <c r="AA11" t="s" s="0">
        <v>97</v>
      </c>
      <c r="AB11" t="s" s="0">
        <v>84</v>
      </c>
      <c r="AC11" t="s" s="0">
        <v>84</v>
      </c>
      <c r="AD11" t="s" s="0">
        <v>84</v>
      </c>
      <c r="AE11" t="s" s="0">
        <v>84</v>
      </c>
      <c r="AF11" t="s" s="0">
        <v>84</v>
      </c>
      <c r="AG11" t="s" s="0">
        <v>84</v>
      </c>
      <c r="AH11" t="s" s="0">
        <v>446</v>
      </c>
      <c r="AI11" t="s" s="0">
        <v>447</v>
      </c>
      <c r="AJ11" t="s" s="0">
        <v>448</v>
      </c>
      <c r="AK11" t="s" s="0">
        <v>84</v>
      </c>
      <c r="AL11" t="s" s="0">
        <v>449</v>
      </c>
      <c r="AM11" t="s" s="0">
        <v>450</v>
      </c>
      <c r="AN11" t="s" s="0">
        <v>451</v>
      </c>
      <c r="AO11" t="s" s="0">
        <v>452</v>
      </c>
      <c r="AP11" t="s" s="0">
        <v>453</v>
      </c>
      <c r="AQ11" t="s" s="0">
        <v>106</v>
      </c>
      <c r="AR11" t="s" s="0">
        <v>107</v>
      </c>
      <c r="AS11" t="s" s="0">
        <v>108</v>
      </c>
      <c r="AT11" t="s" s="0">
        <v>454</v>
      </c>
      <c r="AU11" t="s" s="0">
        <v>455</v>
      </c>
      <c r="AV11" t="s" s="0">
        <v>84</v>
      </c>
      <c r="AW11" t="s" s="0">
        <v>456</v>
      </c>
      <c r="AX11" t="s" s="0">
        <v>457</v>
      </c>
      <c r="AY11" t="s" s="0">
        <v>458</v>
      </c>
      <c r="AZ11" t="s" s="0">
        <v>114</v>
      </c>
      <c r="BA11" t="s" s="0">
        <v>312</v>
      </c>
      <c r="BB11" t="s" s="0">
        <v>459</v>
      </c>
      <c r="BC11" t="s" s="0">
        <v>84</v>
      </c>
      <c r="BD11" t="s" s="0">
        <v>84</v>
      </c>
      <c r="BE11" t="s" s="0">
        <v>84</v>
      </c>
      <c r="BF11" t="s" s="0">
        <v>84</v>
      </c>
      <c r="BG11" t="s" s="0">
        <v>460</v>
      </c>
      <c r="BH11" t="s" s="0">
        <v>461</v>
      </c>
      <c r="BI11" t="s" s="0">
        <v>84</v>
      </c>
      <c r="BJ11" t="s" s="0">
        <v>462</v>
      </c>
      <c r="BK11" t="s" s="19">
        <f>HYPERLINK("http://dx.doi.org/10.1038/s41573-019-0024-5","http://dx.doi.org/10.1038/s41573-019-0024-5")</f>
        <v>463</v>
      </c>
      <c r="BL11" t="s" s="0">
        <v>84</v>
      </c>
      <c r="BM11" t="s" s="0">
        <v>84</v>
      </c>
      <c r="BN11" t="s" s="0">
        <v>133</v>
      </c>
      <c r="BO11" t="s" s="0">
        <v>464</v>
      </c>
      <c r="BP11" t="s" s="0">
        <v>464</v>
      </c>
      <c r="BQ11" t="s" s="0">
        <v>465</v>
      </c>
      <c r="BR11" t="s" s="0">
        <v>466</v>
      </c>
      <c r="BS11" t="s" s="0">
        <v>467</v>
      </c>
      <c r="BT11" t="s" s="20">
        <f>HYPERLINK("https://www.webofscience.com/wos/woscc/full-record/WOS:000470081100015","View Record in Web of Science")</f>
        <v>127</v>
      </c>
      <c r="BU11" t="s" s="0">
        <v>321</v>
      </c>
      <c r="BV11" t="s" s="0">
        <v>128</v>
      </c>
      <c r="BW11" t="s" s="0">
        <v>129</v>
      </c>
      <c r="BX11" t="s" s="0">
        <v>130</v>
      </c>
    </row>
    <row r="12">
      <c r="A12" t="s" s="0">
        <v>468</v>
      </c>
      <c r="B12" t="s" s="0">
        <v>78</v>
      </c>
      <c r="C12" t="s" s="0">
        <v>469</v>
      </c>
      <c r="D12" t="s" s="0">
        <v>160</v>
      </c>
      <c r="E12" t="s" s="0">
        <v>470</v>
      </c>
      <c r="F12" t="s" s="0">
        <v>471</v>
      </c>
      <c r="G12" t="s" s="0">
        <v>472</v>
      </c>
      <c r="H12" t="s" s="0">
        <v>84</v>
      </c>
      <c r="I12" t="s" s="0">
        <v>251</v>
      </c>
      <c r="J12" t="s" s="0">
        <v>473</v>
      </c>
      <c r="K12" t="s" s="0">
        <v>474</v>
      </c>
      <c r="L12" t="s" s="0">
        <v>475</v>
      </c>
      <c r="M12" t="s" s="0">
        <v>475</v>
      </c>
      <c r="N12" t="s" s="0">
        <v>475</v>
      </c>
      <c r="O12" t="s" s="0">
        <v>476</v>
      </c>
      <c r="P12" t="s" s="0">
        <v>477</v>
      </c>
      <c r="Q12" t="s" s="0">
        <v>93</v>
      </c>
      <c r="R12" t="s" s="0">
        <v>84</v>
      </c>
      <c r="S12" t="s" s="0">
        <v>84</v>
      </c>
      <c r="T12" t="s" s="0">
        <v>84</v>
      </c>
      <c r="U12" t="s" s="0">
        <v>84</v>
      </c>
      <c r="V12" t="s" s="0">
        <v>478</v>
      </c>
      <c r="W12" t="s" s="0">
        <v>479</v>
      </c>
      <c r="X12" t="s" s="0">
        <v>84</v>
      </c>
      <c r="Y12" t="s" s="0">
        <v>84</v>
      </c>
      <c r="Z12" t="s" s="0">
        <v>96</v>
      </c>
      <c r="AA12" t="s" s="0">
        <v>97</v>
      </c>
      <c r="AB12" t="s" s="0">
        <v>84</v>
      </c>
      <c r="AC12" t="s" s="0">
        <v>84</v>
      </c>
      <c r="AD12" t="s" s="0">
        <v>84</v>
      </c>
      <c r="AE12" t="s" s="0">
        <v>84</v>
      </c>
      <c r="AF12" t="s" s="0">
        <v>84</v>
      </c>
      <c r="AG12" t="s" s="0">
        <v>480</v>
      </c>
      <c r="AH12" t="s" s="0">
        <v>481</v>
      </c>
      <c r="AI12" t="s" s="0">
        <v>482</v>
      </c>
      <c r="AJ12" t="s" s="0">
        <v>483</v>
      </c>
      <c r="AK12" t="s" s="0">
        <v>84</v>
      </c>
      <c r="AL12" t="s" s="0">
        <v>484</v>
      </c>
      <c r="AM12" t="s" s="0">
        <v>485</v>
      </c>
      <c r="AN12" t="s" s="0">
        <v>486</v>
      </c>
      <c r="AO12" t="s" s="0">
        <v>487</v>
      </c>
      <c r="AP12" t="s" s="0">
        <v>488</v>
      </c>
      <c r="AQ12" t="s" s="0">
        <v>489</v>
      </c>
      <c r="AR12" t="s" s="0">
        <v>153</v>
      </c>
      <c r="AS12" t="s" s="0">
        <v>490</v>
      </c>
      <c r="AT12" t="s" s="0">
        <v>84</v>
      </c>
      <c r="AU12" t="s" s="0">
        <v>491</v>
      </c>
      <c r="AV12" t="s" s="0">
        <v>84</v>
      </c>
      <c r="AW12" t="s" s="0">
        <v>492</v>
      </c>
      <c r="AX12" t="s" s="0">
        <v>493</v>
      </c>
      <c r="AY12" t="s" s="0">
        <v>494</v>
      </c>
      <c r="AZ12" t="s" s="0">
        <v>235</v>
      </c>
      <c r="BA12" t="s" s="0">
        <v>192</v>
      </c>
      <c r="BB12" t="s" s="0">
        <v>116</v>
      </c>
      <c r="BC12" t="s" s="0">
        <v>84</v>
      </c>
      <c r="BD12" t="s" s="0">
        <v>84</v>
      </c>
      <c r="BE12" t="s" s="0">
        <v>84</v>
      </c>
      <c r="BF12" t="s" s="0">
        <v>84</v>
      </c>
      <c r="BG12" t="s" s="0">
        <v>84</v>
      </c>
      <c r="BH12" t="s" s="0">
        <v>84</v>
      </c>
      <c r="BI12" t="s" s="0">
        <v>495</v>
      </c>
      <c r="BJ12" t="s" s="0">
        <v>496</v>
      </c>
      <c r="BK12" t="s" s="21">
        <f>HYPERLINK("http://dx.doi.org/10.1186/s12909-023-04698-z","http://dx.doi.org/10.1186/s12909-023-04698-z")</f>
        <v>497</v>
      </c>
      <c r="BL12" t="s" s="0">
        <v>84</v>
      </c>
      <c r="BM12" t="s" s="0">
        <v>84</v>
      </c>
      <c r="BN12" t="s" s="0">
        <v>133</v>
      </c>
      <c r="BO12" t="s" s="0">
        <v>498</v>
      </c>
      <c r="BP12" t="s" s="0">
        <v>499</v>
      </c>
      <c r="BQ12" t="s" s="0">
        <v>500</v>
      </c>
      <c r="BR12" t="s" s="0">
        <v>501</v>
      </c>
      <c r="BS12" t="s" s="0">
        <v>502</v>
      </c>
      <c r="BT12" t="s" s="22">
        <f>HYPERLINK("https://www.webofscience.com/wos/woscc/full-record/WOS:001073754200001","View Record in Web of Science")</f>
        <v>127</v>
      </c>
      <c r="BU12" t="s" s="0">
        <v>170</v>
      </c>
      <c r="BV12" t="s" s="0">
        <v>128</v>
      </c>
      <c r="BW12" t="s" s="0">
        <v>129</v>
      </c>
      <c r="BX12" t="s" s="0">
        <v>130</v>
      </c>
    </row>
    <row r="13">
      <c r="A13" t="s" s="0">
        <v>394</v>
      </c>
      <c r="B13" t="s" s="0">
        <v>78</v>
      </c>
      <c r="C13" t="s" s="0">
        <v>503</v>
      </c>
      <c r="D13" t="s" s="0">
        <v>121</v>
      </c>
      <c r="E13" t="s" s="0">
        <v>504</v>
      </c>
      <c r="F13" t="s" s="0">
        <v>505</v>
      </c>
      <c r="G13" t="s" s="0">
        <v>506</v>
      </c>
      <c r="H13" t="s" s="0">
        <v>84</v>
      </c>
      <c r="I13" t="s" s="0">
        <v>251</v>
      </c>
      <c r="J13" t="s" s="0">
        <v>507</v>
      </c>
      <c r="K13" t="s" s="0">
        <v>508</v>
      </c>
      <c r="L13" t="s" s="0">
        <v>509</v>
      </c>
      <c r="M13" t="s" s="0">
        <v>510</v>
      </c>
      <c r="N13" t="s" s="0">
        <v>511</v>
      </c>
      <c r="O13" t="s" s="0">
        <v>512</v>
      </c>
      <c r="P13" t="s" s="0">
        <v>513</v>
      </c>
      <c r="Q13" t="s" s="0">
        <v>93</v>
      </c>
      <c r="R13" t="s" s="0">
        <v>84</v>
      </c>
      <c r="S13" t="s" s="0">
        <v>84</v>
      </c>
      <c r="T13" t="s" s="0">
        <v>84</v>
      </c>
      <c r="U13" t="s" s="0">
        <v>84</v>
      </c>
      <c r="V13" t="s" s="0">
        <v>514</v>
      </c>
      <c r="W13" t="s" s="0">
        <v>515</v>
      </c>
      <c r="X13" t="s" s="0">
        <v>84</v>
      </c>
      <c r="Y13" t="s" s="0">
        <v>84</v>
      </c>
      <c r="Z13" t="s" s="0">
        <v>96</v>
      </c>
      <c r="AA13" t="s" s="0">
        <v>97</v>
      </c>
      <c r="AB13" t="s" s="0">
        <v>84</v>
      </c>
      <c r="AC13" t="s" s="0">
        <v>84</v>
      </c>
      <c r="AD13" t="s" s="0">
        <v>84</v>
      </c>
      <c r="AE13" t="s" s="0">
        <v>84</v>
      </c>
      <c r="AF13" t="s" s="0">
        <v>84</v>
      </c>
      <c r="AG13" t="s" s="0">
        <v>84</v>
      </c>
      <c r="AH13" t="s" s="0">
        <v>516</v>
      </c>
      <c r="AI13" t="s" s="0">
        <v>517</v>
      </c>
      <c r="AJ13" t="s" s="0">
        <v>84</v>
      </c>
      <c r="AK13" t="s" s="0">
        <v>84</v>
      </c>
      <c r="AL13" t="s" s="0">
        <v>518</v>
      </c>
      <c r="AM13" t="s" s="0">
        <v>519</v>
      </c>
      <c r="AN13" t="s" s="0">
        <v>520</v>
      </c>
      <c r="AO13" t="s" s="0">
        <v>521</v>
      </c>
      <c r="AP13" t="s" s="0">
        <v>522</v>
      </c>
      <c r="AQ13" t="s" s="0">
        <v>106</v>
      </c>
      <c r="AR13" t="s" s="0">
        <v>107</v>
      </c>
      <c r="AS13" t="s" s="0">
        <v>108</v>
      </c>
      <c r="AT13" t="s" s="0">
        <v>523</v>
      </c>
      <c r="AU13" t="s" s="0">
        <v>84</v>
      </c>
      <c r="AV13" t="s" s="0">
        <v>84</v>
      </c>
      <c r="AW13" t="s" s="0">
        <v>524</v>
      </c>
      <c r="AX13" t="s" s="0">
        <v>525</v>
      </c>
      <c r="AY13" t="s" s="0">
        <v>526</v>
      </c>
      <c r="AZ13" t="s" s="0">
        <v>201</v>
      </c>
      <c r="BA13" t="s" s="0">
        <v>396</v>
      </c>
      <c r="BB13" t="s" s="0">
        <v>527</v>
      </c>
      <c r="BC13" t="s" s="0">
        <v>84</v>
      </c>
      <c r="BD13" t="s" s="0">
        <v>84</v>
      </c>
      <c r="BE13" t="s" s="0">
        <v>84</v>
      </c>
      <c r="BF13" t="s" s="0">
        <v>84</v>
      </c>
      <c r="BG13" t="s" s="0">
        <v>528</v>
      </c>
      <c r="BH13" t="s" s="0">
        <v>529</v>
      </c>
      <c r="BI13" t="s" s="0">
        <v>84</v>
      </c>
      <c r="BJ13" t="s" s="0">
        <v>530</v>
      </c>
      <c r="BK13" t="s" s="23">
        <f>HYPERLINK("http://dx.doi.org/10.1038/s41551-018-0305-z","http://dx.doi.org/10.1038/s41551-018-0305-z")</f>
        <v>531</v>
      </c>
      <c r="BL13" t="s" s="0">
        <v>84</v>
      </c>
      <c r="BM13" t="s" s="0">
        <v>84</v>
      </c>
      <c r="BN13" t="s" s="0">
        <v>121</v>
      </c>
      <c r="BO13" t="s" s="0">
        <v>532</v>
      </c>
      <c r="BP13" t="s" s="0">
        <v>533</v>
      </c>
      <c r="BQ13" t="s" s="0">
        <v>534</v>
      </c>
      <c r="BR13" t="s" s="0">
        <v>535</v>
      </c>
      <c r="BS13" t="s" s="0">
        <v>536</v>
      </c>
      <c r="BT13" t="s" s="24">
        <f>HYPERLINK("https://www.webofscience.com/wos/woscc/full-record/WOS:000446910800006","View Record in Web of Science")</f>
        <v>127</v>
      </c>
      <c r="BU13" t="s" s="0">
        <v>84</v>
      </c>
      <c r="BV13" t="s" s="0">
        <v>128</v>
      </c>
      <c r="BW13" t="s" s="0">
        <v>129</v>
      </c>
      <c r="BX13" t="s" s="0">
        <v>130</v>
      </c>
    </row>
    <row r="14">
      <c r="A14" t="s" s="0">
        <v>537</v>
      </c>
      <c r="B14" t="s" s="0">
        <v>78</v>
      </c>
      <c r="C14" t="s" s="0">
        <v>538</v>
      </c>
      <c r="D14" t="s" s="0">
        <v>78</v>
      </c>
      <c r="E14" t="s" s="0">
        <v>539</v>
      </c>
      <c r="F14" t="s" s="0">
        <v>540</v>
      </c>
      <c r="G14" t="s" s="0">
        <v>541</v>
      </c>
      <c r="H14" t="s" s="0">
        <v>84</v>
      </c>
      <c r="I14" t="s" s="0">
        <v>85</v>
      </c>
      <c r="J14" t="s" s="0">
        <v>542</v>
      </c>
      <c r="K14" t="s" s="0">
        <v>543</v>
      </c>
      <c r="L14" t="s" s="0">
        <v>544</v>
      </c>
      <c r="M14" t="s" s="0">
        <v>545</v>
      </c>
      <c r="N14" t="s" s="0">
        <v>546</v>
      </c>
      <c r="O14" t="s" s="0">
        <v>547</v>
      </c>
      <c r="P14" t="s" s="0">
        <v>548</v>
      </c>
      <c r="Q14" t="s" s="0">
        <v>93</v>
      </c>
      <c r="R14" t="s" s="0">
        <v>84</v>
      </c>
      <c r="S14" t="s" s="0">
        <v>84</v>
      </c>
      <c r="T14" t="s" s="0">
        <v>84</v>
      </c>
      <c r="U14" t="s" s="0">
        <v>84</v>
      </c>
      <c r="V14" t="s" s="0">
        <v>549</v>
      </c>
      <c r="W14" t="s" s="0">
        <v>550</v>
      </c>
      <c r="X14" t="s" s="0">
        <v>84</v>
      </c>
      <c r="Y14" t="s" s="0">
        <v>84</v>
      </c>
      <c r="Z14" t="s" s="0">
        <v>96</v>
      </c>
      <c r="AA14" t="s" s="0">
        <v>97</v>
      </c>
      <c r="AB14" t="s" s="0">
        <v>84</v>
      </c>
      <c r="AC14" t="s" s="0">
        <v>84</v>
      </c>
      <c r="AD14" t="s" s="0">
        <v>84</v>
      </c>
      <c r="AE14" t="s" s="0">
        <v>84</v>
      </c>
      <c r="AF14" t="s" s="0">
        <v>84</v>
      </c>
      <c r="AG14" t="s" s="0">
        <v>551</v>
      </c>
      <c r="AH14" t="s" s="0">
        <v>552</v>
      </c>
      <c r="AI14" t="s" s="0">
        <v>553</v>
      </c>
      <c r="AJ14" t="s" s="0">
        <v>554</v>
      </c>
      <c r="AK14" t="s" s="0">
        <v>84</v>
      </c>
      <c r="AL14" t="s" s="0">
        <v>555</v>
      </c>
      <c r="AM14" t="s" s="0">
        <v>556</v>
      </c>
      <c r="AN14" t="s" s="0">
        <v>557</v>
      </c>
      <c r="AO14" t="s" s="0">
        <v>121</v>
      </c>
      <c r="AP14" t="s" s="0">
        <v>558</v>
      </c>
      <c r="AQ14" t="s" s="0">
        <v>559</v>
      </c>
      <c r="AR14" t="s" s="0">
        <v>560</v>
      </c>
      <c r="AS14" t="s" s="0">
        <v>561</v>
      </c>
      <c r="AT14" t="s" s="0">
        <v>562</v>
      </c>
      <c r="AU14" t="s" s="0">
        <v>563</v>
      </c>
      <c r="AV14" t="s" s="0">
        <v>84</v>
      </c>
      <c r="AW14" t="s" s="0">
        <v>564</v>
      </c>
      <c r="AX14" t="s" s="0">
        <v>565</v>
      </c>
      <c r="AY14" t="s" s="0">
        <v>566</v>
      </c>
      <c r="AZ14" t="s" s="0">
        <v>567</v>
      </c>
      <c r="BA14" t="s" s="0">
        <v>568</v>
      </c>
      <c r="BB14" t="s" s="0">
        <v>207</v>
      </c>
      <c r="BC14" t="s" s="0">
        <v>84</v>
      </c>
      <c r="BD14" t="s" s="0">
        <v>84</v>
      </c>
      <c r="BE14" t="s" s="0">
        <v>84</v>
      </c>
      <c r="BF14" t="s" s="0">
        <v>84</v>
      </c>
      <c r="BG14" t="s" s="0">
        <v>569</v>
      </c>
      <c r="BH14" t="s" s="0">
        <v>570</v>
      </c>
      <c r="BI14" t="s" s="0">
        <v>84</v>
      </c>
      <c r="BJ14" t="s" s="0">
        <v>571</v>
      </c>
      <c r="BK14" t="s" s="25">
        <f>HYPERLINK("http://dx.doi.org/10.1080/10408398.2023.2176464","http://dx.doi.org/10.1080/10408398.2023.2176464")</f>
        <v>572</v>
      </c>
      <c r="BL14" t="s" s="0">
        <v>84</v>
      </c>
      <c r="BM14" t="s" s="0">
        <v>573</v>
      </c>
      <c r="BN14" t="s" s="0">
        <v>538</v>
      </c>
      <c r="BO14" t="s" s="0">
        <v>574</v>
      </c>
      <c r="BP14" t="s" s="0">
        <v>574</v>
      </c>
      <c r="BQ14" t="s" s="0">
        <v>575</v>
      </c>
      <c r="BR14" t="s" s="0">
        <v>576</v>
      </c>
      <c r="BS14" t="s" s="0">
        <v>577</v>
      </c>
      <c r="BT14" t="s" s="26">
        <f>HYPERLINK("https://www.webofscience.com/wos/woscc/full-record/WOS:000934237100001","View Record in Web of Science")</f>
        <v>127</v>
      </c>
      <c r="BU14" t="s" s="0">
        <v>84</v>
      </c>
      <c r="BV14" t="s" s="0">
        <v>128</v>
      </c>
      <c r="BW14" t="s" s="0">
        <v>129</v>
      </c>
      <c r="BX14" t="s" s="0">
        <v>130</v>
      </c>
    </row>
    <row r="15">
      <c r="A15" t="s" s="0">
        <v>312</v>
      </c>
      <c r="B15" t="s" s="0">
        <v>78</v>
      </c>
      <c r="C15" t="s" s="0">
        <v>578</v>
      </c>
      <c r="D15" t="s" s="0">
        <v>322</v>
      </c>
      <c r="E15" t="s" s="0">
        <v>579</v>
      </c>
      <c r="F15" t="s" s="0">
        <v>580</v>
      </c>
      <c r="G15" t="s" s="0">
        <v>581</v>
      </c>
      <c r="H15" t="s" s="0">
        <v>84</v>
      </c>
      <c r="I15" t="s" s="0">
        <v>251</v>
      </c>
      <c r="J15" t="s" s="0">
        <v>582</v>
      </c>
      <c r="K15" t="s" s="0">
        <v>583</v>
      </c>
      <c r="L15" t="s" s="0">
        <v>84</v>
      </c>
      <c r="M15" t="s" s="0">
        <v>84</v>
      </c>
      <c r="N15" t="s" s="0">
        <v>84</v>
      </c>
      <c r="O15" t="s" s="0">
        <v>584</v>
      </c>
      <c r="P15" t="s" s="0">
        <v>585</v>
      </c>
      <c r="Q15" t="s" s="0">
        <v>93</v>
      </c>
      <c r="R15" t="s" s="0">
        <v>84</v>
      </c>
      <c r="S15" t="s" s="0">
        <v>84</v>
      </c>
      <c r="T15" t="s" s="0">
        <v>84</v>
      </c>
      <c r="U15" t="s" s="0">
        <v>84</v>
      </c>
      <c r="V15" t="s" s="0">
        <v>586</v>
      </c>
      <c r="W15" t="s" s="0">
        <v>587</v>
      </c>
      <c r="X15" t="s" s="0">
        <v>84</v>
      </c>
      <c r="Y15" t="s" s="0">
        <v>84</v>
      </c>
      <c r="Z15" t="s" s="0">
        <v>96</v>
      </c>
      <c r="AA15" t="s" s="0">
        <v>97</v>
      </c>
      <c r="AB15" t="s" s="0">
        <v>84</v>
      </c>
      <c r="AC15" t="s" s="0">
        <v>84</v>
      </c>
      <c r="AD15" t="s" s="0">
        <v>84</v>
      </c>
      <c r="AE15" t="s" s="0">
        <v>84</v>
      </c>
      <c r="AF15" t="s" s="0">
        <v>84</v>
      </c>
      <c r="AG15" t="s" s="0">
        <v>588</v>
      </c>
      <c r="AH15" t="s" s="0">
        <v>589</v>
      </c>
      <c r="AI15" t="s" s="0">
        <v>590</v>
      </c>
      <c r="AJ15" t="s" s="0">
        <v>591</v>
      </c>
      <c r="AK15" t="s" s="0">
        <v>84</v>
      </c>
      <c r="AL15" t="s" s="0">
        <v>592</v>
      </c>
      <c r="AM15" t="s" s="0">
        <v>593</v>
      </c>
      <c r="AN15" t="s" s="0">
        <v>594</v>
      </c>
      <c r="AO15" t="s" s="0">
        <v>595</v>
      </c>
      <c r="AP15" t="s" s="0">
        <v>596</v>
      </c>
      <c r="AQ15" t="s" s="0">
        <v>379</v>
      </c>
      <c r="AR15" t="s" s="0">
        <v>380</v>
      </c>
      <c r="AS15" t="s" s="0">
        <v>381</v>
      </c>
      <c r="AT15" t="s" s="0">
        <v>84</v>
      </c>
      <c r="AU15" t="s" s="0">
        <v>597</v>
      </c>
      <c r="AV15" t="s" s="0">
        <v>84</v>
      </c>
      <c r="AW15" t="s" s="0">
        <v>598</v>
      </c>
      <c r="AX15" t="s" s="0">
        <v>599</v>
      </c>
      <c r="AY15" t="s" s="0">
        <v>600</v>
      </c>
      <c r="AZ15" t="s" s="0">
        <v>235</v>
      </c>
      <c r="BA15" t="s" s="0">
        <v>242</v>
      </c>
      <c r="BB15" t="s" s="0">
        <v>459</v>
      </c>
      <c r="BC15" t="s" s="0">
        <v>84</v>
      </c>
      <c r="BD15" t="s" s="0">
        <v>84</v>
      </c>
      <c r="BE15" t="s" s="0">
        <v>84</v>
      </c>
      <c r="BF15" t="s" s="0">
        <v>84</v>
      </c>
      <c r="BG15" t="s" s="0">
        <v>84</v>
      </c>
      <c r="BH15" t="s" s="0">
        <v>84</v>
      </c>
      <c r="BI15" t="s" s="0">
        <v>601</v>
      </c>
      <c r="BJ15" t="s" s="0">
        <v>602</v>
      </c>
      <c r="BK15" t="s" s="27">
        <f>HYPERLINK("http://dx.doi.org/10.3390/healthcare11060887","http://dx.doi.org/10.3390/healthcare11060887")</f>
        <v>603</v>
      </c>
      <c r="BL15" t="s" s="0">
        <v>84</v>
      </c>
      <c r="BM15" t="s" s="0">
        <v>84</v>
      </c>
      <c r="BN15" t="s" s="0">
        <v>604</v>
      </c>
      <c r="BO15" t="s" s="0">
        <v>605</v>
      </c>
      <c r="BP15" t="s" s="0">
        <v>606</v>
      </c>
      <c r="BQ15" t="s" s="0">
        <v>607</v>
      </c>
      <c r="BR15" t="s" s="0">
        <v>608</v>
      </c>
      <c r="BS15" t="s" s="0">
        <v>609</v>
      </c>
      <c r="BT15" t="s" s="28">
        <f>HYPERLINK("https://www.webofscience.com/wos/woscc/full-record/WOS:000956609200001","View Record in Web of Science")</f>
        <v>127</v>
      </c>
      <c r="BU15" t="s" s="0">
        <v>170</v>
      </c>
      <c r="BV15" t="s" s="0">
        <v>128</v>
      </c>
      <c r="BW15" t="s" s="0">
        <v>129</v>
      </c>
      <c r="BX15" t="s" s="0">
        <v>130</v>
      </c>
    </row>
    <row r="16">
      <c r="A16" t="s" s="0">
        <v>610</v>
      </c>
      <c r="B16" t="s" s="0">
        <v>78</v>
      </c>
      <c r="C16" t="s" s="0">
        <v>611</v>
      </c>
      <c r="D16" t="s" s="0">
        <v>202</v>
      </c>
      <c r="E16" t="s" s="0">
        <v>612</v>
      </c>
      <c r="F16" t="s" s="0">
        <v>613</v>
      </c>
      <c r="G16" t="s" s="0">
        <v>614</v>
      </c>
      <c r="H16" t="s" s="0">
        <v>84</v>
      </c>
      <c r="I16" t="s" s="0">
        <v>85</v>
      </c>
      <c r="J16" t="s" s="0">
        <v>615</v>
      </c>
      <c r="K16" t="s" s="0">
        <v>616</v>
      </c>
      <c r="L16" t="s" s="0">
        <v>617</v>
      </c>
      <c r="M16" t="s" s="0">
        <v>618</v>
      </c>
      <c r="N16" t="s" s="0">
        <v>619</v>
      </c>
      <c r="O16" t="s" s="0">
        <v>620</v>
      </c>
      <c r="P16" t="s" s="0">
        <v>621</v>
      </c>
      <c r="Q16" t="s" s="0">
        <v>93</v>
      </c>
      <c r="R16" t="s" s="0">
        <v>84</v>
      </c>
      <c r="S16" t="s" s="0">
        <v>84</v>
      </c>
      <c r="T16" t="s" s="0">
        <v>84</v>
      </c>
      <c r="U16" t="s" s="0">
        <v>84</v>
      </c>
      <c r="V16" t="s" s="0">
        <v>622</v>
      </c>
      <c r="W16" t="s" s="0">
        <v>623</v>
      </c>
      <c r="X16" t="s" s="0">
        <v>84</v>
      </c>
      <c r="Y16" t="s" s="0">
        <v>84</v>
      </c>
      <c r="Z16" t="s" s="0">
        <v>96</v>
      </c>
      <c r="AA16" t="s" s="0">
        <v>97</v>
      </c>
      <c r="AB16" t="s" s="0">
        <v>84</v>
      </c>
      <c r="AC16" t="s" s="0">
        <v>84</v>
      </c>
      <c r="AD16" t="s" s="0">
        <v>84</v>
      </c>
      <c r="AE16" t="s" s="0">
        <v>84</v>
      </c>
      <c r="AF16" t="s" s="0">
        <v>84</v>
      </c>
      <c r="AG16" t="s" s="0">
        <v>624</v>
      </c>
      <c r="AH16" t="s" s="0">
        <v>625</v>
      </c>
      <c r="AI16" t="s" s="0">
        <v>626</v>
      </c>
      <c r="AJ16" t="s" s="0">
        <v>627</v>
      </c>
      <c r="AK16" t="s" s="0">
        <v>84</v>
      </c>
      <c r="AL16" t="s" s="0">
        <v>628</v>
      </c>
      <c r="AM16" t="s" s="0">
        <v>629</v>
      </c>
      <c r="AN16" t="s" s="0">
        <v>630</v>
      </c>
      <c r="AO16" t="s" s="0">
        <v>242</v>
      </c>
      <c r="AP16" t="s" s="0">
        <v>631</v>
      </c>
      <c r="AQ16" t="s" s="0">
        <v>632</v>
      </c>
      <c r="AR16" t="s" s="0">
        <v>633</v>
      </c>
      <c r="AS16" t="s" s="0">
        <v>634</v>
      </c>
      <c r="AT16" t="s" s="0">
        <v>635</v>
      </c>
      <c r="AU16" t="s" s="0">
        <v>636</v>
      </c>
      <c r="AV16" t="s" s="0">
        <v>84</v>
      </c>
      <c r="AW16" t="s" s="0">
        <v>637</v>
      </c>
      <c r="AX16" t="s" s="0">
        <v>638</v>
      </c>
      <c r="AY16" t="s" s="0">
        <v>639</v>
      </c>
      <c r="AZ16" t="s" s="0">
        <v>201</v>
      </c>
      <c r="BA16" t="s" s="0">
        <v>207</v>
      </c>
      <c r="BB16" t="s" s="0">
        <v>459</v>
      </c>
      <c r="BC16" t="s" s="0">
        <v>84</v>
      </c>
      <c r="BD16" t="s" s="0">
        <v>84</v>
      </c>
      <c r="BE16" t="s" s="0">
        <v>84</v>
      </c>
      <c r="BF16" t="s" s="0">
        <v>84</v>
      </c>
      <c r="BG16" t="s" s="0">
        <v>640</v>
      </c>
      <c r="BH16" t="s" s="0">
        <v>641</v>
      </c>
      <c r="BI16" t="s" s="0">
        <v>84</v>
      </c>
      <c r="BJ16" t="s" s="0">
        <v>642</v>
      </c>
      <c r="BK16" t="s" s="29">
        <f>HYPERLINK("http://dx.doi.org/10.1093/bib/bbx044","http://dx.doi.org/10.1093/bib/bbx044")</f>
        <v>643</v>
      </c>
      <c r="BL16" t="s" s="0">
        <v>84</v>
      </c>
      <c r="BM16" t="s" s="0">
        <v>84</v>
      </c>
      <c r="BN16" t="s" s="0">
        <v>242</v>
      </c>
      <c r="BO16" t="s" s="0">
        <v>644</v>
      </c>
      <c r="BP16" t="s" s="0">
        <v>645</v>
      </c>
      <c r="BQ16" t="s" s="0">
        <v>646</v>
      </c>
      <c r="BR16" t="s" s="0">
        <v>647</v>
      </c>
      <c r="BS16" t="s" s="0">
        <v>648</v>
      </c>
      <c r="BT16" t="s" s="30">
        <f>HYPERLINK("https://www.webofscience.com/wos/woscc/full-record/WOS:000456689400011","View Record in Web of Science")</f>
        <v>127</v>
      </c>
      <c r="BU16" t="s" s="0">
        <v>649</v>
      </c>
      <c r="BV16" t="s" s="0">
        <v>128</v>
      </c>
      <c r="BW16" t="s" s="0">
        <v>129</v>
      </c>
      <c r="BX16" t="s" s="0">
        <v>130</v>
      </c>
    </row>
    <row r="17">
      <c r="A17" t="s" s="0">
        <v>375</v>
      </c>
      <c r="B17" t="s" s="0">
        <v>78</v>
      </c>
      <c r="C17" t="s" s="0">
        <v>118</v>
      </c>
      <c r="D17" t="s" s="0">
        <v>78</v>
      </c>
      <c r="E17" t="s" s="0">
        <v>650</v>
      </c>
      <c r="F17" t="s" s="0">
        <v>651</v>
      </c>
      <c r="G17" t="s" s="0">
        <v>652</v>
      </c>
      <c r="H17" t="s" s="0">
        <v>84</v>
      </c>
      <c r="I17" t="s" s="0">
        <v>85</v>
      </c>
      <c r="J17" t="s" s="0">
        <v>653</v>
      </c>
      <c r="K17" t="s" s="0">
        <v>654</v>
      </c>
      <c r="L17" t="s" s="0">
        <v>655</v>
      </c>
      <c r="M17" t="s" s="0">
        <v>656</v>
      </c>
      <c r="N17" t="s" s="0">
        <v>657</v>
      </c>
      <c r="O17" t="s" s="0">
        <v>658</v>
      </c>
      <c r="P17" t="s" s="0">
        <v>659</v>
      </c>
      <c r="Q17" t="s" s="0">
        <v>93</v>
      </c>
      <c r="R17" t="s" s="0">
        <v>84</v>
      </c>
      <c r="S17" t="s" s="0">
        <v>84</v>
      </c>
      <c r="T17" t="s" s="0">
        <v>84</v>
      </c>
      <c r="U17" t="s" s="0">
        <v>84</v>
      </c>
      <c r="V17" t="s" s="0">
        <v>660</v>
      </c>
      <c r="W17" t="s" s="0">
        <v>661</v>
      </c>
      <c r="X17" t="s" s="0">
        <v>84</v>
      </c>
      <c r="Y17" t="s" s="0">
        <v>84</v>
      </c>
      <c r="Z17" t="s" s="0">
        <v>96</v>
      </c>
      <c r="AA17" t="s" s="0">
        <v>97</v>
      </c>
      <c r="AB17" t="s" s="0">
        <v>84</v>
      </c>
      <c r="AC17" t="s" s="0">
        <v>84</v>
      </c>
      <c r="AD17" t="s" s="0">
        <v>84</v>
      </c>
      <c r="AE17" t="s" s="0">
        <v>84</v>
      </c>
      <c r="AF17" t="s" s="0">
        <v>84</v>
      </c>
      <c r="AG17" t="s" s="0">
        <v>84</v>
      </c>
      <c r="AH17" t="s" s="0">
        <v>662</v>
      </c>
      <c r="AI17" t="s" s="0">
        <v>663</v>
      </c>
      <c r="AJ17" t="s" s="0">
        <v>664</v>
      </c>
      <c r="AK17" t="s" s="0">
        <v>84</v>
      </c>
      <c r="AL17" t="s" s="0">
        <v>665</v>
      </c>
      <c r="AM17" t="s" s="0">
        <v>666</v>
      </c>
      <c r="AN17" t="s" s="0">
        <v>667</v>
      </c>
      <c r="AO17" t="s" s="0">
        <v>668</v>
      </c>
      <c r="AP17" t="s" s="0">
        <v>669</v>
      </c>
      <c r="AQ17" t="s" s="0">
        <v>106</v>
      </c>
      <c r="AR17" t="s" s="0">
        <v>107</v>
      </c>
      <c r="AS17" t="s" s="0">
        <v>108</v>
      </c>
      <c r="AT17" t="s" s="0">
        <v>670</v>
      </c>
      <c r="AU17" t="s" s="0">
        <v>671</v>
      </c>
      <c r="AV17" t="s" s="0">
        <v>84</v>
      </c>
      <c r="AW17" t="s" s="0">
        <v>672</v>
      </c>
      <c r="AX17" t="s" s="0">
        <v>673</v>
      </c>
      <c r="AY17" t="s" s="0">
        <v>674</v>
      </c>
      <c r="AZ17" t="s" s="0">
        <v>159</v>
      </c>
      <c r="BA17" t="s" s="0">
        <v>133</v>
      </c>
      <c r="BB17" t="s" s="0">
        <v>396</v>
      </c>
      <c r="BC17" t="s" s="0">
        <v>84</v>
      </c>
      <c r="BD17" t="s" s="0">
        <v>84</v>
      </c>
      <c r="BE17" t="s" s="0">
        <v>84</v>
      </c>
      <c r="BF17" t="s" s="0">
        <v>84</v>
      </c>
      <c r="BG17" t="s" s="0">
        <v>675</v>
      </c>
      <c r="BH17" t="s" s="0">
        <v>449</v>
      </c>
      <c r="BI17" t="s" s="0">
        <v>84</v>
      </c>
      <c r="BJ17" t="s" s="0">
        <v>676</v>
      </c>
      <c r="BK17" t="s" s="31">
        <f>HYPERLINK("http://dx.doi.org/10.1038/s41566-020-00754-y","http://dx.doi.org/10.1038/s41566-020-00754-y")</f>
        <v>677</v>
      </c>
      <c r="BL17" t="s" s="0">
        <v>84</v>
      </c>
      <c r="BM17" t="s" s="0">
        <v>84</v>
      </c>
      <c r="BN17" t="s" s="0">
        <v>121</v>
      </c>
      <c r="BO17" t="s" s="0">
        <v>678</v>
      </c>
      <c r="BP17" t="s" s="0">
        <v>679</v>
      </c>
      <c r="BQ17" t="s" s="0">
        <v>680</v>
      </c>
      <c r="BR17" t="s" s="0">
        <v>84</v>
      </c>
      <c r="BS17" t="s" s="0">
        <v>681</v>
      </c>
      <c r="BT17" t="s" s="32">
        <f>HYPERLINK("https://www.webofscience.com/wos/woscc/full-record/WOS:000613495900009","View Record in Web of Science")</f>
        <v>127</v>
      </c>
      <c r="BU17" t="s" s="0">
        <v>321</v>
      </c>
      <c r="BV17" t="s" s="0">
        <v>128</v>
      </c>
      <c r="BW17" t="s" s="0">
        <v>129</v>
      </c>
      <c r="BX17" t="s" s="0">
        <v>130</v>
      </c>
    </row>
    <row r="18">
      <c r="A18" t="s" s="0">
        <v>192</v>
      </c>
      <c r="B18" t="s" s="0">
        <v>78</v>
      </c>
      <c r="C18" t="s" s="0">
        <v>682</v>
      </c>
      <c r="D18" t="s" s="0">
        <v>214</v>
      </c>
      <c r="E18" t="s" s="0">
        <v>683</v>
      </c>
      <c r="F18" t="s" s="0">
        <v>684</v>
      </c>
      <c r="G18" t="s" s="0">
        <v>685</v>
      </c>
      <c r="H18" t="s" s="0">
        <v>84</v>
      </c>
      <c r="I18" t="s" s="0">
        <v>251</v>
      </c>
      <c r="J18" t="s" s="0">
        <v>686</v>
      </c>
      <c r="K18" t="s" s="0">
        <v>687</v>
      </c>
      <c r="L18" t="s" s="0">
        <v>688</v>
      </c>
      <c r="M18" t="s" s="0">
        <v>689</v>
      </c>
      <c r="N18" t="s" s="0">
        <v>690</v>
      </c>
      <c r="O18" t="s" s="0">
        <v>691</v>
      </c>
      <c r="P18" t="s" s="0">
        <v>692</v>
      </c>
      <c r="Q18" t="s" s="0">
        <v>93</v>
      </c>
      <c r="R18" t="s" s="0">
        <v>84</v>
      </c>
      <c r="S18" t="s" s="0">
        <v>84</v>
      </c>
      <c r="T18" t="s" s="0">
        <v>84</v>
      </c>
      <c r="U18" t="s" s="0">
        <v>84</v>
      </c>
      <c r="V18" t="s" s="0">
        <v>693</v>
      </c>
      <c r="W18" t="s" s="0">
        <v>694</v>
      </c>
      <c r="X18" t="s" s="0">
        <v>84</v>
      </c>
      <c r="Y18" t="s" s="0">
        <v>84</v>
      </c>
      <c r="Z18" t="s" s="0">
        <v>96</v>
      </c>
      <c r="AA18" t="s" s="0">
        <v>97</v>
      </c>
      <c r="AB18" t="s" s="0">
        <v>84</v>
      </c>
      <c r="AC18" t="s" s="0">
        <v>84</v>
      </c>
      <c r="AD18" t="s" s="0">
        <v>84</v>
      </c>
      <c r="AE18" t="s" s="0">
        <v>84</v>
      </c>
      <c r="AF18" t="s" s="0">
        <v>84</v>
      </c>
      <c r="AG18" t="s" s="0">
        <v>695</v>
      </c>
      <c r="AH18" t="s" s="0">
        <v>696</v>
      </c>
      <c r="AI18" t="s" s="0">
        <v>697</v>
      </c>
      <c r="AJ18" t="s" s="0">
        <v>698</v>
      </c>
      <c r="AK18" t="s" s="0">
        <v>84</v>
      </c>
      <c r="AL18" t="s" s="0">
        <v>628</v>
      </c>
      <c r="AM18" t="s" s="0">
        <v>699</v>
      </c>
      <c r="AN18" t="s" s="0">
        <v>700</v>
      </c>
      <c r="AO18" t="s" s="0">
        <v>701</v>
      </c>
      <c r="AP18" t="s" s="0">
        <v>702</v>
      </c>
      <c r="AQ18" t="s" s="0">
        <v>703</v>
      </c>
      <c r="AR18" t="s" s="0">
        <v>704</v>
      </c>
      <c r="AS18" t="s" s="0">
        <v>705</v>
      </c>
      <c r="AT18" t="s" s="0">
        <v>706</v>
      </c>
      <c r="AU18" t="s" s="0">
        <v>707</v>
      </c>
      <c r="AV18" t="s" s="0">
        <v>84</v>
      </c>
      <c r="AW18" t="s" s="0">
        <v>708</v>
      </c>
      <c r="AX18" t="s" s="0">
        <v>709</v>
      </c>
      <c r="AY18" t="s" s="0">
        <v>458</v>
      </c>
      <c r="AZ18" t="s" s="0">
        <v>114</v>
      </c>
      <c r="BA18" t="s" s="0">
        <v>710</v>
      </c>
      <c r="BB18" t="s" s="0">
        <v>84</v>
      </c>
      <c r="BC18" t="s" s="0">
        <v>84</v>
      </c>
      <c r="BD18" t="s" s="0">
        <v>84</v>
      </c>
      <c r="BE18" t="s" s="0">
        <v>84</v>
      </c>
      <c r="BF18" t="s" s="0">
        <v>84</v>
      </c>
      <c r="BG18" t="s" s="0">
        <v>280</v>
      </c>
      <c r="BH18" t="s" s="0">
        <v>468</v>
      </c>
      <c r="BI18" t="s" s="0">
        <v>84</v>
      </c>
      <c r="BJ18" t="s" s="0">
        <v>711</v>
      </c>
      <c r="BK18" t="s" s="33">
        <f>HYPERLINK("http://dx.doi.org/10.1016/j.jclinepi.2019.02.004","http://dx.doi.org/10.1016/j.jclinepi.2019.02.004")</f>
        <v>712</v>
      </c>
      <c r="BL18" t="s" s="0">
        <v>84</v>
      </c>
      <c r="BM18" t="s" s="0">
        <v>84</v>
      </c>
      <c r="BN18" t="s" s="0">
        <v>242</v>
      </c>
      <c r="BO18" t="s" s="0">
        <v>713</v>
      </c>
      <c r="BP18" t="s" s="0">
        <v>713</v>
      </c>
      <c r="BQ18" t="s" s="0">
        <v>714</v>
      </c>
      <c r="BR18" t="s" s="0">
        <v>715</v>
      </c>
      <c r="BS18" t="s" s="0">
        <v>716</v>
      </c>
      <c r="BT18" t="s" s="34">
        <f>HYPERLINK("https://www.webofscience.com/wos/woscc/full-record/WOS:000487194400003","View Record in Web of Science")</f>
        <v>127</v>
      </c>
      <c r="BU18" t="s" s="0">
        <v>717</v>
      </c>
      <c r="BV18" t="s" s="0">
        <v>128</v>
      </c>
      <c r="BW18" t="s" s="0">
        <v>129</v>
      </c>
      <c r="BX18" t="s" s="0">
        <v>130</v>
      </c>
    </row>
    <row r="19">
      <c r="A19" t="s" s="0">
        <v>428</v>
      </c>
      <c r="B19" t="s" s="0">
        <v>78</v>
      </c>
      <c r="C19" t="s" s="0">
        <v>718</v>
      </c>
      <c r="D19" t="s" s="0">
        <v>160</v>
      </c>
      <c r="E19" t="s" s="0">
        <v>719</v>
      </c>
      <c r="F19" t="s" s="0">
        <v>720</v>
      </c>
      <c r="G19" t="s" s="0">
        <v>721</v>
      </c>
      <c r="H19" t="s" s="0">
        <v>84</v>
      </c>
      <c r="I19" t="s" s="0">
        <v>85</v>
      </c>
      <c r="J19" t="s" s="0">
        <v>722</v>
      </c>
      <c r="K19" t="s" s="0">
        <v>723</v>
      </c>
      <c r="L19" t="s" s="0">
        <v>724</v>
      </c>
      <c r="M19" t="s" s="0">
        <v>725</v>
      </c>
      <c r="N19" t="s" s="0">
        <v>726</v>
      </c>
      <c r="O19" t="s" s="0">
        <v>727</v>
      </c>
      <c r="P19" t="s" s="0">
        <v>728</v>
      </c>
      <c r="Q19" t="s" s="0">
        <v>93</v>
      </c>
      <c r="R19" t="s" s="0">
        <v>84</v>
      </c>
      <c r="S19" t="s" s="0">
        <v>84</v>
      </c>
      <c r="T19" t="s" s="0">
        <v>84</v>
      </c>
      <c r="U19" t="s" s="0">
        <v>84</v>
      </c>
      <c r="V19" t="s" s="0">
        <v>729</v>
      </c>
      <c r="W19" t="s" s="0">
        <v>730</v>
      </c>
      <c r="X19" t="s" s="0">
        <v>84</v>
      </c>
      <c r="Y19" t="s" s="0">
        <v>84</v>
      </c>
      <c r="Z19" t="s" s="0">
        <v>96</v>
      </c>
      <c r="AA19" t="s" s="0">
        <v>97</v>
      </c>
      <c r="AB19" t="s" s="0">
        <v>84</v>
      </c>
      <c r="AC19" t="s" s="0">
        <v>84</v>
      </c>
      <c r="AD19" t="s" s="0">
        <v>84</v>
      </c>
      <c r="AE19" t="s" s="0">
        <v>84</v>
      </c>
      <c r="AF19" t="s" s="0">
        <v>84</v>
      </c>
      <c r="AG19" t="s" s="0">
        <v>731</v>
      </c>
      <c r="AH19" t="s" s="0">
        <v>732</v>
      </c>
      <c r="AI19" t="s" s="0">
        <v>733</v>
      </c>
      <c r="AJ19" t="s" s="0">
        <v>734</v>
      </c>
      <c r="AK19" t="s" s="0">
        <v>84</v>
      </c>
      <c r="AL19" t="s" s="0">
        <v>735</v>
      </c>
      <c r="AM19" t="s" s="0">
        <v>736</v>
      </c>
      <c r="AN19" t="s" s="0">
        <v>737</v>
      </c>
      <c r="AO19" t="s" s="0">
        <v>160</v>
      </c>
      <c r="AP19" t="s" s="0">
        <v>738</v>
      </c>
      <c r="AQ19" t="s" s="0">
        <v>739</v>
      </c>
      <c r="AR19" t="s" s="0">
        <v>153</v>
      </c>
      <c r="AS19" t="s" s="0">
        <v>740</v>
      </c>
      <c r="AT19" t="s" s="0">
        <v>741</v>
      </c>
      <c r="AU19" t="s" s="0">
        <v>742</v>
      </c>
      <c r="AV19" t="s" s="0">
        <v>84</v>
      </c>
      <c r="AW19" t="s" s="0">
        <v>743</v>
      </c>
      <c r="AX19" t="s" s="0">
        <v>744</v>
      </c>
      <c r="AY19" t="s" s="0">
        <v>745</v>
      </c>
      <c r="AZ19" t="s" s="0">
        <v>201</v>
      </c>
      <c r="BA19" t="s" s="0">
        <v>133</v>
      </c>
      <c r="BB19" t="s" s="0">
        <v>746</v>
      </c>
      <c r="BC19" t="s" s="0">
        <v>84</v>
      </c>
      <c r="BD19" t="s" s="0">
        <v>84</v>
      </c>
      <c r="BE19" t="s" s="0">
        <v>84</v>
      </c>
      <c r="BF19" t="s" s="0">
        <v>84</v>
      </c>
      <c r="BG19" t="s" s="0">
        <v>84</v>
      </c>
      <c r="BH19" t="s" s="0">
        <v>84</v>
      </c>
      <c r="BI19" t="s" s="0">
        <v>747</v>
      </c>
      <c r="BJ19" t="s" s="0">
        <v>748</v>
      </c>
      <c r="BK19" t="s" s="35">
        <f>HYPERLINK("http://dx.doi.org/10.1098/rsif.2017.0387","http://dx.doi.org/10.1098/rsif.2017.0387")</f>
        <v>749</v>
      </c>
      <c r="BL19" t="s" s="0">
        <v>84</v>
      </c>
      <c r="BM19" t="s" s="0">
        <v>84</v>
      </c>
      <c r="BN19" t="s" s="0">
        <v>394</v>
      </c>
      <c r="BO19" t="s" s="0">
        <v>750</v>
      </c>
      <c r="BP19" t="s" s="0">
        <v>751</v>
      </c>
      <c r="BQ19" t="s" s="0">
        <v>752</v>
      </c>
      <c r="BR19" t="s" s="0">
        <v>753</v>
      </c>
      <c r="BS19" t="s" s="0">
        <v>754</v>
      </c>
      <c r="BT19" t="s" s="36">
        <f>HYPERLINK("https://www.webofscience.com/wos/woscc/full-record/WOS:000431106100001","View Record in Web of Science")</f>
        <v>127</v>
      </c>
      <c r="BU19" t="s" s="0">
        <v>432</v>
      </c>
      <c r="BV19" t="s" s="0">
        <v>128</v>
      </c>
      <c r="BW19" t="s" s="0">
        <v>129</v>
      </c>
      <c r="BX19" t="s" s="0">
        <v>130</v>
      </c>
    </row>
    <row r="20">
      <c r="A20" t="s" s="0">
        <v>755</v>
      </c>
      <c r="B20" t="s" s="0">
        <v>78</v>
      </c>
      <c r="C20" t="s" s="0">
        <v>756</v>
      </c>
      <c r="D20" t="s" s="0">
        <v>214</v>
      </c>
      <c r="E20" t="s" s="0">
        <v>757</v>
      </c>
      <c r="F20" t="s" s="0">
        <v>758</v>
      </c>
      <c r="G20" t="s" s="0">
        <v>759</v>
      </c>
      <c r="H20" t="s" s="0">
        <v>84</v>
      </c>
      <c r="I20" t="s" s="0">
        <v>85</v>
      </c>
      <c r="J20" t="s" s="0">
        <v>760</v>
      </c>
      <c r="K20" t="s" s="0">
        <v>761</v>
      </c>
      <c r="L20" t="s" s="0">
        <v>762</v>
      </c>
      <c r="M20" t="s" s="0">
        <v>762</v>
      </c>
      <c r="N20" t="s" s="0">
        <v>763</v>
      </c>
      <c r="O20" t="s" s="0">
        <v>764</v>
      </c>
      <c r="P20" t="s" s="0">
        <v>765</v>
      </c>
      <c r="Q20" t="s" s="0">
        <v>93</v>
      </c>
      <c r="R20" t="s" s="0">
        <v>84</v>
      </c>
      <c r="S20" t="s" s="0">
        <v>84</v>
      </c>
      <c r="T20" t="s" s="0">
        <v>84</v>
      </c>
      <c r="U20" t="s" s="0">
        <v>84</v>
      </c>
      <c r="V20" t="s" s="0">
        <v>766</v>
      </c>
      <c r="W20" t="s" s="0">
        <v>767</v>
      </c>
      <c r="X20" t="s" s="0">
        <v>84</v>
      </c>
      <c r="Y20" t="s" s="0">
        <v>84</v>
      </c>
      <c r="Z20" t="s" s="0">
        <v>96</v>
      </c>
      <c r="AA20" t="s" s="0">
        <v>97</v>
      </c>
      <c r="AB20" t="s" s="0">
        <v>84</v>
      </c>
      <c r="AC20" t="s" s="0">
        <v>84</v>
      </c>
      <c r="AD20" t="s" s="0">
        <v>84</v>
      </c>
      <c r="AE20" t="s" s="0">
        <v>84</v>
      </c>
      <c r="AF20" t="s" s="0">
        <v>84</v>
      </c>
      <c r="AG20" t="s" s="0">
        <v>768</v>
      </c>
      <c r="AH20" t="s" s="0">
        <v>769</v>
      </c>
      <c r="AI20" t="s" s="0">
        <v>84</v>
      </c>
      <c r="AJ20" t="s" s="0">
        <v>770</v>
      </c>
      <c r="AK20" t="s" s="0">
        <v>84</v>
      </c>
      <c r="AL20" t="s" s="0">
        <v>702</v>
      </c>
      <c r="AM20" t="s" s="0">
        <v>771</v>
      </c>
      <c r="AN20" t="s" s="0">
        <v>772</v>
      </c>
      <c r="AO20" t="s" s="0">
        <v>207</v>
      </c>
      <c r="AP20" t="s" s="0">
        <v>773</v>
      </c>
      <c r="AQ20" t="s" s="0">
        <v>415</v>
      </c>
      <c r="AR20" t="s" s="0">
        <v>416</v>
      </c>
      <c r="AS20" t="s" s="0">
        <v>417</v>
      </c>
      <c r="AT20" t="s" s="0">
        <v>774</v>
      </c>
      <c r="AU20" t="s" s="0">
        <v>775</v>
      </c>
      <c r="AV20" t="s" s="0">
        <v>84</v>
      </c>
      <c r="AW20" t="s" s="0">
        <v>776</v>
      </c>
      <c r="AX20" t="s" s="0">
        <v>777</v>
      </c>
      <c r="AY20" t="s" s="0">
        <v>114</v>
      </c>
      <c r="AZ20" t="s" s="0">
        <v>114</v>
      </c>
      <c r="BA20" t="s" s="0">
        <v>236</v>
      </c>
      <c r="BB20" t="s" s="0">
        <v>396</v>
      </c>
      <c r="BC20" t="s" s="0">
        <v>778</v>
      </c>
      <c r="BD20" t="s" s="0">
        <v>84</v>
      </c>
      <c r="BE20" t="s" s="0">
        <v>84</v>
      </c>
      <c r="BF20" t="s" s="0">
        <v>84</v>
      </c>
      <c r="BG20" t="s" s="0">
        <v>675</v>
      </c>
      <c r="BH20" t="s" s="0">
        <v>779</v>
      </c>
      <c r="BI20" t="s" s="0">
        <v>84</v>
      </c>
      <c r="BJ20" t="s" s="0">
        <v>780</v>
      </c>
      <c r="BK20" t="s" s="37">
        <f>HYPERLINK("http://dx.doi.org/10.1016/j.zemedi.2018.11.002","http://dx.doi.org/10.1016/j.zemedi.2018.11.002")</f>
        <v>781</v>
      </c>
      <c r="BL20" t="s" s="0">
        <v>84</v>
      </c>
      <c r="BM20" t="s" s="0">
        <v>84</v>
      </c>
      <c r="BN20" t="s" s="0">
        <v>755</v>
      </c>
      <c r="BO20" t="s" s="0">
        <v>208</v>
      </c>
      <c r="BP20" t="s" s="0">
        <v>208</v>
      </c>
      <c r="BQ20" t="s" s="0">
        <v>782</v>
      </c>
      <c r="BR20" t="s" s="0">
        <v>783</v>
      </c>
      <c r="BS20" t="s" s="0">
        <v>784</v>
      </c>
      <c r="BT20" t="s" s="38">
        <f>HYPERLINK("https://www.webofscience.com/wos/woscc/full-record/WOS:000469897200003","View Record in Web of Science")</f>
        <v>127</v>
      </c>
      <c r="BU20" t="s" s="0">
        <v>785</v>
      </c>
      <c r="BV20" t="s" s="0">
        <v>128</v>
      </c>
      <c r="BW20" t="s" s="0">
        <v>129</v>
      </c>
      <c r="BX20" t="s" s="0">
        <v>130</v>
      </c>
    </row>
    <row r="21">
      <c r="A21" t="s" s="0">
        <v>452</v>
      </c>
      <c r="B21" t="s" s="0">
        <v>78</v>
      </c>
      <c r="C21" t="s" s="0">
        <v>786</v>
      </c>
      <c r="D21" t="s" s="0">
        <v>787</v>
      </c>
      <c r="E21" t="s" s="0">
        <v>788</v>
      </c>
      <c r="F21" t="s" s="0">
        <v>789</v>
      </c>
      <c r="G21" t="s" s="0">
        <v>790</v>
      </c>
      <c r="H21" t="s" s="0">
        <v>84</v>
      </c>
      <c r="I21" t="s" s="0">
        <v>85</v>
      </c>
      <c r="J21" t="s" s="0">
        <v>791</v>
      </c>
      <c r="K21" t="s" s="0">
        <v>792</v>
      </c>
      <c r="L21" t="s" s="0">
        <v>793</v>
      </c>
      <c r="M21" t="s" s="0">
        <v>794</v>
      </c>
      <c r="N21" t="s" s="0">
        <v>795</v>
      </c>
      <c r="O21" t="s" s="0">
        <v>796</v>
      </c>
      <c r="P21" t="s" s="0">
        <v>797</v>
      </c>
      <c r="Q21" t="s" s="0">
        <v>93</v>
      </c>
      <c r="R21" t="s" s="0">
        <v>84</v>
      </c>
      <c r="S21" t="s" s="0">
        <v>84</v>
      </c>
      <c r="T21" t="s" s="0">
        <v>84</v>
      </c>
      <c r="U21" t="s" s="0">
        <v>84</v>
      </c>
      <c r="V21" t="s" s="0">
        <v>798</v>
      </c>
      <c r="W21" t="s" s="0">
        <v>799</v>
      </c>
      <c r="X21" t="s" s="0">
        <v>84</v>
      </c>
      <c r="Y21" t="s" s="0">
        <v>84</v>
      </c>
      <c r="Z21" t="s" s="0">
        <v>96</v>
      </c>
      <c r="AA21" t="s" s="0">
        <v>97</v>
      </c>
      <c r="AB21" t="s" s="0">
        <v>84</v>
      </c>
      <c r="AC21" t="s" s="0">
        <v>84</v>
      </c>
      <c r="AD21" t="s" s="0">
        <v>84</v>
      </c>
      <c r="AE21" t="s" s="0">
        <v>84</v>
      </c>
      <c r="AF21" t="s" s="0">
        <v>84</v>
      </c>
      <c r="AG21" t="s" s="0">
        <v>800</v>
      </c>
      <c r="AH21" t="s" s="0">
        <v>801</v>
      </c>
      <c r="AI21" t="s" s="0">
        <v>802</v>
      </c>
      <c r="AJ21" t="s" s="0">
        <v>803</v>
      </c>
      <c r="AK21" t="s" s="0">
        <v>84</v>
      </c>
      <c r="AL21" t="s" s="0">
        <v>804</v>
      </c>
      <c r="AM21" t="s" s="0">
        <v>805</v>
      </c>
      <c r="AN21" t="s" s="0">
        <v>806</v>
      </c>
      <c r="AO21" t="s" s="0">
        <v>807</v>
      </c>
      <c r="AP21" t="s" s="0">
        <v>808</v>
      </c>
      <c r="AQ21" t="s" s="0">
        <v>809</v>
      </c>
      <c r="AR21" t="s" s="0">
        <v>704</v>
      </c>
      <c r="AS21" t="s" s="0">
        <v>810</v>
      </c>
      <c r="AT21" t="s" s="0">
        <v>811</v>
      </c>
      <c r="AU21" t="s" s="0">
        <v>812</v>
      </c>
      <c r="AV21" t="s" s="0">
        <v>84</v>
      </c>
      <c r="AW21" t="s" s="0">
        <v>813</v>
      </c>
      <c r="AX21" t="s" s="0">
        <v>814</v>
      </c>
      <c r="AY21" t="s" s="0">
        <v>815</v>
      </c>
      <c r="AZ21" t="s" s="0">
        <v>567</v>
      </c>
      <c r="BA21" t="s" s="0">
        <v>538</v>
      </c>
      <c r="BB21" t="s" s="0">
        <v>116</v>
      </c>
      <c r="BC21" t="s" s="0">
        <v>84</v>
      </c>
      <c r="BD21" t="s" s="0">
        <v>84</v>
      </c>
      <c r="BE21" t="s" s="0">
        <v>84</v>
      </c>
      <c r="BF21" t="s" s="0">
        <v>84</v>
      </c>
      <c r="BG21" t="s" s="0">
        <v>388</v>
      </c>
      <c r="BH21" t="s" s="0">
        <v>164</v>
      </c>
      <c r="BI21" t="s" s="0">
        <v>84</v>
      </c>
      <c r="BJ21" t="s" s="0">
        <v>816</v>
      </c>
      <c r="BK21" t="s" s="39">
        <f>HYPERLINK("http://dx.doi.org/10.1007/s12559-023-10179-8","http://dx.doi.org/10.1007/s12559-023-10179-8")</f>
        <v>817</v>
      </c>
      <c r="BL21" t="s" s="0">
        <v>84</v>
      </c>
      <c r="BM21" t="s" s="0">
        <v>234</v>
      </c>
      <c r="BN21" t="s" s="0">
        <v>452</v>
      </c>
      <c r="BO21" t="s" s="0">
        <v>818</v>
      </c>
      <c r="BP21" t="s" s="0">
        <v>819</v>
      </c>
      <c r="BQ21" t="s" s="0">
        <v>820</v>
      </c>
      <c r="BR21" t="s" s="0">
        <v>84</v>
      </c>
      <c r="BS21" t="s" s="0">
        <v>821</v>
      </c>
      <c r="BT21" t="s" s="40">
        <f>HYPERLINK("https://www.webofscience.com/wos/woscc/full-record/WOS:001060142200001","View Record in Web of Science")</f>
        <v>127</v>
      </c>
      <c r="BU21" t="s" s="0">
        <v>432</v>
      </c>
      <c r="BV21" t="s" s="0">
        <v>128</v>
      </c>
      <c r="BW21" t="s" s="0">
        <v>129</v>
      </c>
      <c r="BX21" t="s" s="0">
        <v>130</v>
      </c>
    </row>
    <row r="22">
      <c r="A22" t="s" s="0">
        <v>822</v>
      </c>
      <c r="B22" t="s" s="0">
        <v>78</v>
      </c>
      <c r="C22" t="s" s="0">
        <v>101</v>
      </c>
      <c r="D22" t="s" s="0">
        <v>78</v>
      </c>
      <c r="E22" t="s" s="0">
        <v>823</v>
      </c>
      <c r="F22" t="s" s="0">
        <v>824</v>
      </c>
      <c r="G22" t="s" s="0">
        <v>825</v>
      </c>
      <c r="H22" t="s" s="0">
        <v>84</v>
      </c>
      <c r="I22" t="s" s="0">
        <v>85</v>
      </c>
      <c r="J22" t="s" s="0">
        <v>826</v>
      </c>
      <c r="K22" t="s" s="0">
        <v>827</v>
      </c>
      <c r="L22" t="s" s="0">
        <v>84</v>
      </c>
      <c r="M22" t="s" s="0">
        <v>84</v>
      </c>
      <c r="N22" t="s" s="0">
        <v>84</v>
      </c>
      <c r="O22" t="s" s="0">
        <v>828</v>
      </c>
      <c r="P22" t="s" s="0">
        <v>829</v>
      </c>
      <c r="Q22" t="s" s="0">
        <v>93</v>
      </c>
      <c r="R22" t="s" s="0">
        <v>84</v>
      </c>
      <c r="S22" t="s" s="0">
        <v>84</v>
      </c>
      <c r="T22" t="s" s="0">
        <v>84</v>
      </c>
      <c r="U22" t="s" s="0">
        <v>84</v>
      </c>
      <c r="V22" t="s" s="0">
        <v>830</v>
      </c>
      <c r="W22" t="s" s="0">
        <v>831</v>
      </c>
      <c r="X22" t="s" s="0">
        <v>84</v>
      </c>
      <c r="Y22" t="s" s="0">
        <v>84</v>
      </c>
      <c r="Z22" t="s" s="0">
        <v>96</v>
      </c>
      <c r="AA22" t="s" s="0">
        <v>97</v>
      </c>
      <c r="AB22" t="s" s="0">
        <v>84</v>
      </c>
      <c r="AC22" t="s" s="0">
        <v>84</v>
      </c>
      <c r="AD22" t="s" s="0">
        <v>84</v>
      </c>
      <c r="AE22" t="s" s="0">
        <v>84</v>
      </c>
      <c r="AF22" t="s" s="0">
        <v>84</v>
      </c>
      <c r="AG22" t="s" s="0">
        <v>832</v>
      </c>
      <c r="AH22" t="s" s="0">
        <v>833</v>
      </c>
      <c r="AI22" t="s" s="0">
        <v>834</v>
      </c>
      <c r="AJ22" t="s" s="0">
        <v>835</v>
      </c>
      <c r="AK22" t="s" s="0">
        <v>84</v>
      </c>
      <c r="AL22" t="s" s="0">
        <v>836</v>
      </c>
      <c r="AM22" t="s" s="0">
        <v>837</v>
      </c>
      <c r="AN22" t="s" s="0">
        <v>838</v>
      </c>
      <c r="AO22" t="s" s="0">
        <v>839</v>
      </c>
      <c r="AP22" t="s" s="0">
        <v>840</v>
      </c>
      <c r="AQ22" t="s" s="0">
        <v>841</v>
      </c>
      <c r="AR22" t="s" s="0">
        <v>842</v>
      </c>
      <c r="AS22" t="s" s="0">
        <v>843</v>
      </c>
      <c r="AT22" t="s" s="0">
        <v>844</v>
      </c>
      <c r="AU22" t="s" s="0">
        <v>84</v>
      </c>
      <c r="AV22" t="s" s="0">
        <v>84</v>
      </c>
      <c r="AW22" t="s" s="0">
        <v>831</v>
      </c>
      <c r="AX22" t="s" s="0">
        <v>845</v>
      </c>
      <c r="AY22" t="s" s="0">
        <v>159</v>
      </c>
      <c r="AZ22" t="s" s="0">
        <v>159</v>
      </c>
      <c r="BA22" t="s" s="0">
        <v>172</v>
      </c>
      <c r="BB22" t="s" s="0">
        <v>84</v>
      </c>
      <c r="BC22" t="s" s="0">
        <v>84</v>
      </c>
      <c r="BD22" t="s" s="0">
        <v>84</v>
      </c>
      <c r="BE22" t="s" s="0">
        <v>84</v>
      </c>
      <c r="BF22" t="s" s="0">
        <v>84</v>
      </c>
      <c r="BG22" t="s" s="0">
        <v>846</v>
      </c>
      <c r="BH22" t="s" s="0">
        <v>847</v>
      </c>
      <c r="BI22" t="s" s="0">
        <v>84</v>
      </c>
      <c r="BJ22" t="s" s="0">
        <v>848</v>
      </c>
      <c r="BK22" t="s" s="41">
        <f>HYPERLINK("http://dx.doi.org/10.1109/ACCESS.2021.3086020","http://dx.doi.org/10.1109/ACCESS.2021.3086020")</f>
        <v>849</v>
      </c>
      <c r="BL22" t="s" s="0">
        <v>84</v>
      </c>
      <c r="BM22" t="s" s="0">
        <v>84</v>
      </c>
      <c r="BN22" t="s" s="0">
        <v>850</v>
      </c>
      <c r="BO22" t="s" s="0">
        <v>851</v>
      </c>
      <c r="BP22" t="s" s="0">
        <v>852</v>
      </c>
      <c r="BQ22" t="s" s="0">
        <v>853</v>
      </c>
      <c r="BR22" t="s" s="0">
        <v>84</v>
      </c>
      <c r="BS22" t="s" s="0">
        <v>854</v>
      </c>
      <c r="BT22" t="s" s="42">
        <f>HYPERLINK("https://www.webofscience.com/wos/woscc/full-record/WOS:000673957200001","View Record in Web of Science")</f>
        <v>127</v>
      </c>
      <c r="BU22" t="s" s="0">
        <v>170</v>
      </c>
      <c r="BV22" t="s" s="0">
        <v>128</v>
      </c>
      <c r="BW22" t="s" s="0">
        <v>129</v>
      </c>
      <c r="BX22" t="s" s="0">
        <v>130</v>
      </c>
    </row>
    <row r="23">
      <c r="A23" t="s" s="0">
        <v>855</v>
      </c>
      <c r="B23" t="s" s="0">
        <v>78</v>
      </c>
      <c r="C23" t="s" s="0">
        <v>856</v>
      </c>
      <c r="D23" t="s" s="0">
        <v>396</v>
      </c>
      <c r="E23" t="s" s="0">
        <v>857</v>
      </c>
      <c r="F23" t="s" s="0">
        <v>858</v>
      </c>
      <c r="G23" t="s" s="0">
        <v>859</v>
      </c>
      <c r="H23" t="s" s="0">
        <v>84</v>
      </c>
      <c r="I23" t="s" s="0">
        <v>85</v>
      </c>
      <c r="J23" t="s" s="0">
        <v>860</v>
      </c>
      <c r="K23" t="s" s="0">
        <v>861</v>
      </c>
      <c r="L23" t="s" s="0">
        <v>84</v>
      </c>
      <c r="M23" t="s" s="0">
        <v>84</v>
      </c>
      <c r="N23" t="s" s="0">
        <v>84</v>
      </c>
      <c r="O23" t="s" s="0">
        <v>862</v>
      </c>
      <c r="P23" t="s" s="0">
        <v>863</v>
      </c>
      <c r="Q23" t="s" s="0">
        <v>93</v>
      </c>
      <c r="R23" t="s" s="0">
        <v>84</v>
      </c>
      <c r="S23" t="s" s="0">
        <v>84</v>
      </c>
      <c r="T23" t="s" s="0">
        <v>84</v>
      </c>
      <c r="U23" t="s" s="0">
        <v>84</v>
      </c>
      <c r="V23" t="s" s="0">
        <v>864</v>
      </c>
      <c r="W23" t="s" s="0">
        <v>831</v>
      </c>
      <c r="X23" t="s" s="0">
        <v>84</v>
      </c>
      <c r="Y23" t="s" s="0">
        <v>84</v>
      </c>
      <c r="Z23" t="s" s="0">
        <v>96</v>
      </c>
      <c r="AA23" t="s" s="0">
        <v>97</v>
      </c>
      <c r="AB23" t="s" s="0">
        <v>84</v>
      </c>
      <c r="AC23" t="s" s="0">
        <v>84</v>
      </c>
      <c r="AD23" t="s" s="0">
        <v>84</v>
      </c>
      <c r="AE23" t="s" s="0">
        <v>84</v>
      </c>
      <c r="AF23" t="s" s="0">
        <v>84</v>
      </c>
      <c r="AG23" t="s" s="0">
        <v>865</v>
      </c>
      <c r="AH23" t="s" s="0">
        <v>866</v>
      </c>
      <c r="AI23" t="s" s="0">
        <v>867</v>
      </c>
      <c r="AJ23" t="s" s="0">
        <v>868</v>
      </c>
      <c r="AK23" t="s" s="0">
        <v>84</v>
      </c>
      <c r="AL23" t="s" s="0">
        <v>592</v>
      </c>
      <c r="AM23" t="s" s="0">
        <v>869</v>
      </c>
      <c r="AN23" t="s" s="0">
        <v>870</v>
      </c>
      <c r="AO23" t="s" s="0">
        <v>452</v>
      </c>
      <c r="AP23" t="s" s="0">
        <v>871</v>
      </c>
      <c r="AQ23" t="s" s="0">
        <v>841</v>
      </c>
      <c r="AR23" t="s" s="0">
        <v>842</v>
      </c>
      <c r="AS23" t="s" s="0">
        <v>843</v>
      </c>
      <c r="AT23" t="s" s="0">
        <v>844</v>
      </c>
      <c r="AU23" t="s" s="0">
        <v>84</v>
      </c>
      <c r="AV23" t="s" s="0">
        <v>84</v>
      </c>
      <c r="AW23" t="s" s="0">
        <v>831</v>
      </c>
      <c r="AX23" t="s" s="0">
        <v>845</v>
      </c>
      <c r="AY23" t="s" s="0">
        <v>114</v>
      </c>
      <c r="AZ23" t="s" s="0">
        <v>114</v>
      </c>
      <c r="BA23" t="s" s="0">
        <v>342</v>
      </c>
      <c r="BB23" t="s" s="0">
        <v>84</v>
      </c>
      <c r="BC23" t="s" s="0">
        <v>84</v>
      </c>
      <c r="BD23" t="s" s="0">
        <v>84</v>
      </c>
      <c r="BE23" t="s" s="0">
        <v>84</v>
      </c>
      <c r="BF23" t="s" s="0">
        <v>84</v>
      </c>
      <c r="BG23" t="s" s="0">
        <v>872</v>
      </c>
      <c r="BH23" t="s" s="0">
        <v>873</v>
      </c>
      <c r="BI23" t="s" s="0">
        <v>84</v>
      </c>
      <c r="BJ23" t="s" s="0">
        <v>874</v>
      </c>
      <c r="BK23" t="s" s="43">
        <f>HYPERLINK("http://dx.doi.org/10.1109/ACCESS.2019.2912200","http://dx.doi.org/10.1109/ACCESS.2019.2912200")</f>
        <v>875</v>
      </c>
      <c r="BL23" t="s" s="0">
        <v>84</v>
      </c>
      <c r="BM23" t="s" s="0">
        <v>84</v>
      </c>
      <c r="BN23" t="s" s="0">
        <v>755</v>
      </c>
      <c r="BO23" t="s" s="0">
        <v>851</v>
      </c>
      <c r="BP23" t="s" s="0">
        <v>852</v>
      </c>
      <c r="BQ23" t="s" s="0">
        <v>876</v>
      </c>
      <c r="BR23" t="s" s="0">
        <v>84</v>
      </c>
      <c r="BS23" t="s" s="0">
        <v>877</v>
      </c>
      <c r="BT23" t="s" s="44">
        <f>HYPERLINK("https://www.webofscience.com/wos/woscc/full-record/WOS:000466593700001","View Record in Web of Science")</f>
        <v>127</v>
      </c>
      <c r="BU23" t="s" s="0">
        <v>170</v>
      </c>
      <c r="BV23" t="s" s="0">
        <v>128</v>
      </c>
      <c r="BW23" t="s" s="0">
        <v>129</v>
      </c>
      <c r="BX23" t="s" s="0">
        <v>130</v>
      </c>
    </row>
    <row r="24">
      <c r="A24" t="s" s="0">
        <v>117</v>
      </c>
      <c r="B24" t="s" s="0">
        <v>78</v>
      </c>
      <c r="C24" t="s" s="0">
        <v>878</v>
      </c>
      <c r="D24" t="s" s="0">
        <v>78</v>
      </c>
      <c r="E24" t="s" s="0">
        <v>879</v>
      </c>
      <c r="F24" t="s" s="0">
        <v>880</v>
      </c>
      <c r="G24" t="s" s="0">
        <v>881</v>
      </c>
      <c r="H24" t="s" s="0">
        <v>84</v>
      </c>
      <c r="I24" t="s" s="0">
        <v>85</v>
      </c>
      <c r="J24" t="s" s="0">
        <v>882</v>
      </c>
      <c r="K24" t="s" s="0">
        <v>883</v>
      </c>
      <c r="L24" t="s" s="0">
        <v>84</v>
      </c>
      <c r="M24" t="s" s="0">
        <v>84</v>
      </c>
      <c r="N24" t="s" s="0">
        <v>84</v>
      </c>
      <c r="O24" t="s" s="0">
        <v>884</v>
      </c>
      <c r="P24" t="s" s="0">
        <v>885</v>
      </c>
      <c r="Q24" t="s" s="0">
        <v>93</v>
      </c>
      <c r="R24" t="s" s="0">
        <v>84</v>
      </c>
      <c r="S24" t="s" s="0">
        <v>84</v>
      </c>
      <c r="T24" t="s" s="0">
        <v>84</v>
      </c>
      <c r="U24" t="s" s="0">
        <v>84</v>
      </c>
      <c r="V24" t="s" s="0">
        <v>886</v>
      </c>
      <c r="W24" t="s" s="0">
        <v>887</v>
      </c>
      <c r="X24" t="s" s="0">
        <v>84</v>
      </c>
      <c r="Y24" t="s" s="0">
        <v>84</v>
      </c>
      <c r="Z24" t="s" s="0">
        <v>96</v>
      </c>
      <c r="AA24" t="s" s="0">
        <v>97</v>
      </c>
      <c r="AB24" t="s" s="0">
        <v>84</v>
      </c>
      <c r="AC24" t="s" s="0">
        <v>84</v>
      </c>
      <c r="AD24" t="s" s="0">
        <v>84</v>
      </c>
      <c r="AE24" t="s" s="0">
        <v>84</v>
      </c>
      <c r="AF24" t="s" s="0">
        <v>84</v>
      </c>
      <c r="AG24" t="s" s="0">
        <v>888</v>
      </c>
      <c r="AH24" t="s" s="0">
        <v>889</v>
      </c>
      <c r="AI24" t="s" s="0">
        <v>890</v>
      </c>
      <c r="AJ24" t="s" s="0">
        <v>891</v>
      </c>
      <c r="AK24" t="s" s="0">
        <v>84</v>
      </c>
      <c r="AL24" t="s" s="0">
        <v>892</v>
      </c>
      <c r="AM24" t="s" s="0">
        <v>893</v>
      </c>
      <c r="AN24" t="s" s="0">
        <v>894</v>
      </c>
      <c r="AO24" t="s" s="0">
        <v>527</v>
      </c>
      <c r="AP24" t="s" s="0">
        <v>895</v>
      </c>
      <c r="AQ24" t="s" s="0">
        <v>415</v>
      </c>
      <c r="AR24" t="s" s="0">
        <v>416</v>
      </c>
      <c r="AS24" t="s" s="0">
        <v>417</v>
      </c>
      <c r="AT24" t="s" s="0">
        <v>896</v>
      </c>
      <c r="AU24" t="s" s="0">
        <v>897</v>
      </c>
      <c r="AV24" t="s" s="0">
        <v>84</v>
      </c>
      <c r="AW24" t="s" s="0">
        <v>898</v>
      </c>
      <c r="AX24" t="s" s="0">
        <v>899</v>
      </c>
      <c r="AY24" t="s" s="0">
        <v>900</v>
      </c>
      <c r="AZ24" t="s" s="0">
        <v>114</v>
      </c>
      <c r="BA24" t="s" s="0">
        <v>822</v>
      </c>
      <c r="BB24" t="s" s="0">
        <v>84</v>
      </c>
      <c r="BC24" t="s" s="0">
        <v>84</v>
      </c>
      <c r="BD24" t="s" s="0">
        <v>84</v>
      </c>
      <c r="BE24" t="s" s="0">
        <v>84</v>
      </c>
      <c r="BF24" t="s" s="0">
        <v>84</v>
      </c>
      <c r="BG24" t="s" s="0">
        <v>84</v>
      </c>
      <c r="BH24" t="s" s="0">
        <v>84</v>
      </c>
      <c r="BI24" t="s" s="0">
        <v>901</v>
      </c>
      <c r="BJ24" t="s" s="0">
        <v>902</v>
      </c>
      <c r="BK24" t="s" s="45">
        <f>HYPERLINK("http://dx.doi.org/10.1016/j.media.2019.101552","http://dx.doi.org/10.1016/j.media.2019.101552")</f>
        <v>903</v>
      </c>
      <c r="BL24" t="s" s="0">
        <v>84</v>
      </c>
      <c r="BM24" t="s" s="0">
        <v>84</v>
      </c>
      <c r="BN24" t="s" s="0">
        <v>604</v>
      </c>
      <c r="BO24" t="s" s="0">
        <v>904</v>
      </c>
      <c r="BP24" t="s" s="0">
        <v>905</v>
      </c>
      <c r="BQ24" t="s" s="0">
        <v>906</v>
      </c>
      <c r="BR24" t="s" s="0">
        <v>907</v>
      </c>
      <c r="BS24" t="s" s="0">
        <v>908</v>
      </c>
      <c r="BT24" t="s" s="46">
        <f>HYPERLINK("https://www.webofscience.com/wos/woscc/full-record/WOS:000496605700015","View Record in Web of Science")</f>
        <v>127</v>
      </c>
      <c r="BU24" t="s" s="0">
        <v>321</v>
      </c>
      <c r="BV24" t="s" s="0">
        <v>128</v>
      </c>
      <c r="BW24" t="s" s="0">
        <v>129</v>
      </c>
      <c r="BX24" t="s" s="0">
        <v>130</v>
      </c>
    </row>
    <row r="25">
      <c r="A25" t="s" s="0">
        <v>264</v>
      </c>
      <c r="B25" t="s" s="0">
        <v>78</v>
      </c>
      <c r="C25" t="s" s="0">
        <v>909</v>
      </c>
      <c r="D25" t="s" s="0">
        <v>202</v>
      </c>
      <c r="E25" t="s" s="0">
        <v>910</v>
      </c>
      <c r="F25" t="s" s="0">
        <v>911</v>
      </c>
      <c r="G25" t="s" s="0">
        <v>912</v>
      </c>
      <c r="H25" t="s" s="0">
        <v>84</v>
      </c>
      <c r="I25" t="s" s="0">
        <v>85</v>
      </c>
      <c r="J25" t="s" s="0">
        <v>913</v>
      </c>
      <c r="K25" t="s" s="0">
        <v>914</v>
      </c>
      <c r="L25" t="s" s="0">
        <v>915</v>
      </c>
      <c r="M25" t="s" s="0">
        <v>916</v>
      </c>
      <c r="N25" t="s" s="0">
        <v>917</v>
      </c>
      <c r="O25" t="s" s="0">
        <v>918</v>
      </c>
      <c r="P25" t="s" s="0">
        <v>919</v>
      </c>
      <c r="Q25" t="s" s="0">
        <v>93</v>
      </c>
      <c r="R25" t="s" s="0">
        <v>84</v>
      </c>
      <c r="S25" t="s" s="0">
        <v>920</v>
      </c>
      <c r="T25" t="s" s="0">
        <v>84</v>
      </c>
      <c r="U25" t="s" s="0">
        <v>84</v>
      </c>
      <c r="V25" t="s" s="0">
        <v>921</v>
      </c>
      <c r="W25" t="s" s="0">
        <v>922</v>
      </c>
      <c r="X25" t="s" s="0">
        <v>84</v>
      </c>
      <c r="Y25" t="s" s="0">
        <v>84</v>
      </c>
      <c r="Z25" t="s" s="0">
        <v>96</v>
      </c>
      <c r="AA25" t="s" s="0">
        <v>97</v>
      </c>
      <c r="AB25" t="s" s="0">
        <v>84</v>
      </c>
      <c r="AC25" t="s" s="0">
        <v>84</v>
      </c>
      <c r="AD25" t="s" s="0">
        <v>84</v>
      </c>
      <c r="AE25" t="s" s="0">
        <v>84</v>
      </c>
      <c r="AF25" t="s" s="0">
        <v>84</v>
      </c>
      <c r="AG25" t="s" s="0">
        <v>84</v>
      </c>
      <c r="AH25" t="s" s="0">
        <v>923</v>
      </c>
      <c r="AI25" t="s" s="0">
        <v>924</v>
      </c>
      <c r="AJ25" t="s" s="0">
        <v>84</v>
      </c>
      <c r="AK25" t="s" s="0">
        <v>84</v>
      </c>
      <c r="AL25" t="s" s="0">
        <v>925</v>
      </c>
      <c r="AM25" t="s" s="0">
        <v>307</v>
      </c>
      <c r="AN25" t="s" s="0">
        <v>926</v>
      </c>
      <c r="AO25" t="s" s="0">
        <v>280</v>
      </c>
      <c r="AP25" t="s" s="0">
        <v>927</v>
      </c>
      <c r="AQ25" t="s" s="0">
        <v>415</v>
      </c>
      <c r="AR25" t="s" s="0">
        <v>416</v>
      </c>
      <c r="AS25" t="s" s="0">
        <v>417</v>
      </c>
      <c r="AT25" t="s" s="0">
        <v>84</v>
      </c>
      <c r="AU25" t="s" s="0">
        <v>928</v>
      </c>
      <c r="AV25" t="s" s="0">
        <v>84</v>
      </c>
      <c r="AW25" t="s" s="0">
        <v>929</v>
      </c>
      <c r="AX25" t="s" s="0">
        <v>930</v>
      </c>
      <c r="AY25" t="s" s="0">
        <v>931</v>
      </c>
      <c r="AZ25" t="s" s="0">
        <v>351</v>
      </c>
      <c r="BA25" t="s" s="0">
        <v>396</v>
      </c>
      <c r="BB25" t="s" s="0">
        <v>527</v>
      </c>
      <c r="BC25" t="s" s="0">
        <v>84</v>
      </c>
      <c r="BD25" t="s" s="0">
        <v>84</v>
      </c>
      <c r="BE25" t="s" s="0">
        <v>84</v>
      </c>
      <c r="BF25" t="s" s="0">
        <v>84</v>
      </c>
      <c r="BG25" t="s" s="0">
        <v>932</v>
      </c>
      <c r="BH25" t="s" s="0">
        <v>933</v>
      </c>
      <c r="BI25" t="s" s="0">
        <v>84</v>
      </c>
      <c r="BJ25" t="s" s="0">
        <v>934</v>
      </c>
      <c r="BK25" t="s" s="47">
        <f>HYPERLINK("http://dx.doi.org/10.1016/S2589-7500(20)30219-3","http://dx.doi.org/10.1016/S2589-7500(20)30219-3")</f>
        <v>935</v>
      </c>
      <c r="BL25" t="s" s="0">
        <v>84</v>
      </c>
      <c r="BM25" t="s" s="0">
        <v>84</v>
      </c>
      <c r="BN25" t="s" s="0">
        <v>280</v>
      </c>
      <c r="BO25" t="s" s="0">
        <v>936</v>
      </c>
      <c r="BP25" t="s" s="0">
        <v>937</v>
      </c>
      <c r="BQ25" t="s" s="0">
        <v>938</v>
      </c>
      <c r="BR25" t="s" s="0">
        <v>939</v>
      </c>
      <c r="BS25" t="s" s="0">
        <v>940</v>
      </c>
      <c r="BT25" t="s" s="48">
        <f>HYPERLINK("https://www.webofscience.com/wos/woscc/full-record/WOS:000581145100012","View Record in Web of Science")</f>
        <v>127</v>
      </c>
      <c r="BU25" t="s" s="0">
        <v>941</v>
      </c>
      <c r="BV25" t="s" s="0">
        <v>128</v>
      </c>
      <c r="BW25" t="s" s="0">
        <v>129</v>
      </c>
      <c r="BX25" t="s" s="0">
        <v>130</v>
      </c>
    </row>
    <row r="26">
      <c r="A26" t="s" s="0">
        <v>306</v>
      </c>
      <c r="B26" t="s" s="0">
        <v>78</v>
      </c>
      <c r="C26" t="s" s="0">
        <v>942</v>
      </c>
      <c r="D26" t="s" s="0">
        <v>202</v>
      </c>
      <c r="E26" t="s" s="0">
        <v>943</v>
      </c>
      <c r="F26" t="s" s="0">
        <v>944</v>
      </c>
      <c r="G26" t="s" s="0">
        <v>945</v>
      </c>
      <c r="H26" t="s" s="0">
        <v>84</v>
      </c>
      <c r="I26" t="s" s="0">
        <v>85</v>
      </c>
      <c r="J26" t="s" s="0">
        <v>913</v>
      </c>
      <c r="K26" t="s" s="0">
        <v>914</v>
      </c>
      <c r="L26" t="s" s="0">
        <v>946</v>
      </c>
      <c r="M26" t="s" s="0">
        <v>947</v>
      </c>
      <c r="N26" t="s" s="0">
        <v>948</v>
      </c>
      <c r="O26" t="s" s="0">
        <v>949</v>
      </c>
      <c r="P26" t="s" s="0">
        <v>950</v>
      </c>
      <c r="Q26" t="s" s="0">
        <v>93</v>
      </c>
      <c r="R26" t="s" s="0">
        <v>84</v>
      </c>
      <c r="S26" t="s" s="0">
        <v>920</v>
      </c>
      <c r="T26" t="s" s="0">
        <v>84</v>
      </c>
      <c r="U26" t="s" s="0">
        <v>84</v>
      </c>
      <c r="V26" t="s" s="0">
        <v>951</v>
      </c>
      <c r="W26" t="s" s="0">
        <v>922</v>
      </c>
      <c r="X26" t="s" s="0">
        <v>84</v>
      </c>
      <c r="Y26" t="s" s="0">
        <v>84</v>
      </c>
      <c r="Z26" t="s" s="0">
        <v>96</v>
      </c>
      <c r="AA26" t="s" s="0">
        <v>97</v>
      </c>
      <c r="AB26" t="s" s="0">
        <v>84</v>
      </c>
      <c r="AC26" t="s" s="0">
        <v>84</v>
      </c>
      <c r="AD26" t="s" s="0">
        <v>84</v>
      </c>
      <c r="AE26" t="s" s="0">
        <v>84</v>
      </c>
      <c r="AF26" t="s" s="0">
        <v>84</v>
      </c>
      <c r="AG26" t="s" s="0">
        <v>84</v>
      </c>
      <c r="AH26" t="s" s="0">
        <v>952</v>
      </c>
      <c r="AI26" t="s" s="0">
        <v>953</v>
      </c>
      <c r="AJ26" t="s" s="0">
        <v>954</v>
      </c>
      <c r="AK26" t="s" s="0">
        <v>84</v>
      </c>
      <c r="AL26" t="s" s="0">
        <v>433</v>
      </c>
      <c r="AM26" t="s" s="0">
        <v>79</v>
      </c>
      <c r="AN26" t="s" s="0">
        <v>955</v>
      </c>
      <c r="AO26" t="s" s="0">
        <v>275</v>
      </c>
      <c r="AP26" t="s" s="0">
        <v>628</v>
      </c>
      <c r="AQ26" t="s" s="0">
        <v>415</v>
      </c>
      <c r="AR26" t="s" s="0">
        <v>416</v>
      </c>
      <c r="AS26" t="s" s="0">
        <v>417</v>
      </c>
      <c r="AT26" t="s" s="0">
        <v>84</v>
      </c>
      <c r="AU26" t="s" s="0">
        <v>928</v>
      </c>
      <c r="AV26" t="s" s="0">
        <v>84</v>
      </c>
      <c r="AW26" t="s" s="0">
        <v>929</v>
      </c>
      <c r="AX26" t="s" s="0">
        <v>930</v>
      </c>
      <c r="AY26" t="s" s="0">
        <v>931</v>
      </c>
      <c r="AZ26" t="s" s="0">
        <v>351</v>
      </c>
      <c r="BA26" t="s" s="0">
        <v>396</v>
      </c>
      <c r="BB26" t="s" s="0">
        <v>527</v>
      </c>
      <c r="BC26" t="s" s="0">
        <v>84</v>
      </c>
      <c r="BD26" t="s" s="0">
        <v>84</v>
      </c>
      <c r="BE26" t="s" s="0">
        <v>84</v>
      </c>
      <c r="BF26" t="s" s="0">
        <v>84</v>
      </c>
      <c r="BG26" t="s" s="0">
        <v>956</v>
      </c>
      <c r="BH26" t="s" s="0">
        <v>957</v>
      </c>
      <c r="BI26" t="s" s="0">
        <v>84</v>
      </c>
      <c r="BJ26" t="s" s="0">
        <v>958</v>
      </c>
      <c r="BK26" t="s" s="49">
        <f>HYPERLINK("http://dx.doi.org/10.1016/S2589-7500(20)30218-1","http://dx.doi.org/10.1016/S2589-7500(20)30218-1")</f>
        <v>959</v>
      </c>
      <c r="BL26" t="s" s="0">
        <v>84</v>
      </c>
      <c r="BM26" t="s" s="0">
        <v>84</v>
      </c>
      <c r="BN26" t="s" s="0">
        <v>280</v>
      </c>
      <c r="BO26" t="s" s="0">
        <v>936</v>
      </c>
      <c r="BP26" t="s" s="0">
        <v>937</v>
      </c>
      <c r="BQ26" t="s" s="0">
        <v>938</v>
      </c>
      <c r="BR26" t="s" s="0">
        <v>960</v>
      </c>
      <c r="BS26" t="s" s="0">
        <v>961</v>
      </c>
      <c r="BT26" t="s" s="50">
        <f>HYPERLINK("https://www.webofscience.com/wos/woscc/full-record/WOS:000581145100011","View Record in Web of Science")</f>
        <v>127</v>
      </c>
      <c r="BU26" t="s" s="0">
        <v>941</v>
      </c>
      <c r="BV26" t="s" s="0">
        <v>128</v>
      </c>
      <c r="BW26" t="s" s="0">
        <v>129</v>
      </c>
      <c r="BX26" t="s" s="0">
        <v>130</v>
      </c>
    </row>
    <row r="27">
      <c r="A27" t="s" s="0">
        <v>701</v>
      </c>
      <c r="B27" t="s" s="0">
        <v>78</v>
      </c>
      <c r="C27" t="s" s="0">
        <v>578</v>
      </c>
      <c r="D27" t="s" s="0">
        <v>396</v>
      </c>
      <c r="E27" t="s" s="0">
        <v>962</v>
      </c>
      <c r="F27" t="s" s="0">
        <v>963</v>
      </c>
      <c r="G27" t="s" s="0">
        <v>964</v>
      </c>
      <c r="H27" t="s" s="0">
        <v>84</v>
      </c>
      <c r="I27" t="s" s="0">
        <v>85</v>
      </c>
      <c r="J27" t="s" s="0">
        <v>965</v>
      </c>
      <c r="K27" t="s" s="0">
        <v>966</v>
      </c>
      <c r="L27" t="s" s="0">
        <v>967</v>
      </c>
      <c r="M27" t="s" s="0">
        <v>968</v>
      </c>
      <c r="N27" t="s" s="0">
        <v>969</v>
      </c>
      <c r="O27" t="s" s="0">
        <v>970</v>
      </c>
      <c r="P27" t="s" s="0">
        <v>971</v>
      </c>
      <c r="Q27" t="s" s="0">
        <v>93</v>
      </c>
      <c r="R27" t="s" s="0">
        <v>84</v>
      </c>
      <c r="S27" t="s" s="0">
        <v>84</v>
      </c>
      <c r="T27" t="s" s="0">
        <v>84</v>
      </c>
      <c r="U27" t="s" s="0">
        <v>84</v>
      </c>
      <c r="V27" t="s" s="0">
        <v>972</v>
      </c>
      <c r="W27" t="s" s="0">
        <v>973</v>
      </c>
      <c r="X27" t="s" s="0">
        <v>84</v>
      </c>
      <c r="Y27" t="s" s="0">
        <v>84</v>
      </c>
      <c r="Z27" t="s" s="0">
        <v>96</v>
      </c>
      <c r="AA27" t="s" s="0">
        <v>97</v>
      </c>
      <c r="AB27" t="s" s="0">
        <v>84</v>
      </c>
      <c r="AC27" t="s" s="0">
        <v>84</v>
      </c>
      <c r="AD27" t="s" s="0">
        <v>84</v>
      </c>
      <c r="AE27" t="s" s="0">
        <v>84</v>
      </c>
      <c r="AF27" t="s" s="0">
        <v>84</v>
      </c>
      <c r="AG27" t="s" s="0">
        <v>974</v>
      </c>
      <c r="AH27" t="s" s="0">
        <v>975</v>
      </c>
      <c r="AI27" t="s" s="0">
        <v>976</v>
      </c>
      <c r="AJ27" t="s" s="0">
        <v>977</v>
      </c>
      <c r="AK27" t="s" s="0">
        <v>84</v>
      </c>
      <c r="AL27" t="s" s="0">
        <v>978</v>
      </c>
      <c r="AM27" t="s" s="0">
        <v>979</v>
      </c>
      <c r="AN27" t="s" s="0">
        <v>980</v>
      </c>
      <c r="AO27" t="s" s="0">
        <v>264</v>
      </c>
      <c r="AP27" t="s" s="0">
        <v>981</v>
      </c>
      <c r="AQ27" t="s" s="0">
        <v>982</v>
      </c>
      <c r="AR27" t="s" s="0">
        <v>983</v>
      </c>
      <c r="AS27" t="s" s="0">
        <v>984</v>
      </c>
      <c r="AT27" t="s" s="0">
        <v>985</v>
      </c>
      <c r="AU27" t="s" s="0">
        <v>986</v>
      </c>
      <c r="AV27" t="s" s="0">
        <v>84</v>
      </c>
      <c r="AW27" t="s" s="0">
        <v>987</v>
      </c>
      <c r="AX27" t="s" s="0">
        <v>988</v>
      </c>
      <c r="AY27" t="s" s="0">
        <v>989</v>
      </c>
      <c r="AZ27" t="s" s="0">
        <v>114</v>
      </c>
      <c r="BA27" t="s" s="0">
        <v>172</v>
      </c>
      <c r="BB27" t="s" s="0">
        <v>202</v>
      </c>
      <c r="BC27" t="s" s="0">
        <v>84</v>
      </c>
      <c r="BD27" t="s" s="0">
        <v>84</v>
      </c>
      <c r="BE27" t="s" s="0">
        <v>84</v>
      </c>
      <c r="BF27" t="s" s="0">
        <v>84</v>
      </c>
      <c r="BG27" t="s" s="0">
        <v>84</v>
      </c>
      <c r="BH27" t="s" s="0">
        <v>84</v>
      </c>
      <c r="BI27" t="s" s="0">
        <v>990</v>
      </c>
      <c r="BJ27" t="s" s="0">
        <v>991</v>
      </c>
      <c r="BK27" t="s" s="51">
        <f>HYPERLINK("http://dx.doi.org/10.1002/widm.1312","http://dx.doi.org/10.1002/widm.1312")</f>
        <v>992</v>
      </c>
      <c r="BL27" t="s" s="0">
        <v>84</v>
      </c>
      <c r="BM27" t="s" s="0">
        <v>84</v>
      </c>
      <c r="BN27" t="s" s="0">
        <v>121</v>
      </c>
      <c r="BO27" t="s" s="0">
        <v>429</v>
      </c>
      <c r="BP27" t="s" s="0">
        <v>166</v>
      </c>
      <c r="BQ27" t="s" s="0">
        <v>993</v>
      </c>
      <c r="BR27" t="s" s="0">
        <v>994</v>
      </c>
      <c r="BS27" t="s" s="0">
        <v>995</v>
      </c>
      <c r="BT27" t="s" s="52">
        <f>HYPERLINK("https://www.webofscience.com/wos/woscc/full-record/WOS:000471293100005","View Record in Web of Science")</f>
        <v>127</v>
      </c>
      <c r="BU27" t="s" s="0">
        <v>432</v>
      </c>
      <c r="BV27" t="s" s="0">
        <v>128</v>
      </c>
      <c r="BW27" t="s" s="0">
        <v>129</v>
      </c>
      <c r="BX27" t="s" s="0">
        <v>130</v>
      </c>
    </row>
    <row r="28">
      <c r="A28" t="s" s="0">
        <v>996</v>
      </c>
      <c r="B28" t="s" s="0">
        <v>78</v>
      </c>
      <c r="C28" t="s" s="0">
        <v>997</v>
      </c>
      <c r="D28" t="s" s="0">
        <v>116</v>
      </c>
      <c r="E28" t="s" s="0">
        <v>998</v>
      </c>
      <c r="F28" t="s" s="0">
        <v>999</v>
      </c>
      <c r="G28" t="s" s="0">
        <v>1000</v>
      </c>
      <c r="H28" t="s" s="0">
        <v>84</v>
      </c>
      <c r="I28" t="s" s="0">
        <v>85</v>
      </c>
      <c r="J28" t="s" s="0">
        <v>1001</v>
      </c>
      <c r="K28" t="s" s="0">
        <v>1002</v>
      </c>
      <c r="L28" t="s" s="0">
        <v>1003</v>
      </c>
      <c r="M28" t="s" s="0">
        <v>1004</v>
      </c>
      <c r="N28" t="s" s="0">
        <v>1005</v>
      </c>
      <c r="O28" t="s" s="0">
        <v>1006</v>
      </c>
      <c r="P28" t="s" s="0">
        <v>1007</v>
      </c>
      <c r="Q28" t="s" s="0">
        <v>93</v>
      </c>
      <c r="R28" t="s" s="0">
        <v>84</v>
      </c>
      <c r="S28" t="s" s="0">
        <v>84</v>
      </c>
      <c r="T28" t="s" s="0">
        <v>84</v>
      </c>
      <c r="U28" t="s" s="0">
        <v>84</v>
      </c>
      <c r="V28" t="s" s="0">
        <v>1008</v>
      </c>
      <c r="W28" t="s" s="0">
        <v>1009</v>
      </c>
      <c r="X28" t="s" s="0">
        <v>84</v>
      </c>
      <c r="Y28" t="s" s="0">
        <v>84</v>
      </c>
      <c r="Z28" t="s" s="0">
        <v>96</v>
      </c>
      <c r="AA28" t="s" s="0">
        <v>97</v>
      </c>
      <c r="AB28" t="s" s="0">
        <v>84</v>
      </c>
      <c r="AC28" t="s" s="0">
        <v>84</v>
      </c>
      <c r="AD28" t="s" s="0">
        <v>84</v>
      </c>
      <c r="AE28" t="s" s="0">
        <v>84</v>
      </c>
      <c r="AF28" t="s" s="0">
        <v>84</v>
      </c>
      <c r="AG28" t="s" s="0">
        <v>1010</v>
      </c>
      <c r="AH28" t="s" s="0">
        <v>1011</v>
      </c>
      <c r="AI28" t="s" s="0">
        <v>1012</v>
      </c>
      <c r="AJ28" t="s" s="0">
        <v>1013</v>
      </c>
      <c r="AK28" t="s" s="0">
        <v>84</v>
      </c>
      <c r="AL28" t="s" s="0">
        <v>1014</v>
      </c>
      <c r="AM28" t="s" s="0">
        <v>1015</v>
      </c>
      <c r="AN28" t="s" s="0">
        <v>1016</v>
      </c>
      <c r="AO28" t="s" s="0">
        <v>1017</v>
      </c>
      <c r="AP28" t="s" s="0">
        <v>1018</v>
      </c>
      <c r="AQ28" t="s" s="0">
        <v>415</v>
      </c>
      <c r="AR28" t="s" s="0">
        <v>416</v>
      </c>
      <c r="AS28" t="s" s="0">
        <v>417</v>
      </c>
      <c r="AT28" t="s" s="0">
        <v>1019</v>
      </c>
      <c r="AU28" t="s" s="0">
        <v>1020</v>
      </c>
      <c r="AV28" t="s" s="0">
        <v>84</v>
      </c>
      <c r="AW28" t="s" s="0">
        <v>1021</v>
      </c>
      <c r="AX28" t="s" s="0">
        <v>1022</v>
      </c>
      <c r="AY28" t="s" s="0">
        <v>1023</v>
      </c>
      <c r="AZ28" t="s" s="0">
        <v>159</v>
      </c>
      <c r="BA28" t="s" s="0">
        <v>1024</v>
      </c>
      <c r="BB28" t="s" s="0">
        <v>84</v>
      </c>
      <c r="BC28" t="s" s="0">
        <v>84</v>
      </c>
      <c r="BD28" t="s" s="0">
        <v>84</v>
      </c>
      <c r="BE28" t="s" s="0">
        <v>84</v>
      </c>
      <c r="BF28" t="s" s="0">
        <v>84</v>
      </c>
      <c r="BG28" t="s" s="0">
        <v>84</v>
      </c>
      <c r="BH28" t="s" s="0">
        <v>84</v>
      </c>
      <c r="BI28" t="s" s="0">
        <v>1025</v>
      </c>
      <c r="BJ28" t="s" s="0">
        <v>1026</v>
      </c>
      <c r="BK28" t="s" s="53">
        <f>HYPERLINK("http://dx.doi.org/10.1016/j.cosrev.2021.100379","http://dx.doi.org/10.1016/j.cosrev.2021.100379")</f>
        <v>1027</v>
      </c>
      <c r="BL28" t="s" s="0">
        <v>84</v>
      </c>
      <c r="BM28" t="s" s="0">
        <v>1028</v>
      </c>
      <c r="BN28" t="s" s="0">
        <v>468</v>
      </c>
      <c r="BO28" t="s" s="0">
        <v>1029</v>
      </c>
      <c r="BP28" t="s" s="0">
        <v>166</v>
      </c>
      <c r="BQ28" t="s" s="0">
        <v>1030</v>
      </c>
      <c r="BR28" t="s" s="0">
        <v>84</v>
      </c>
      <c r="BS28" t="s" s="0">
        <v>1031</v>
      </c>
      <c r="BT28" t="s" s="54">
        <f>HYPERLINK("https://www.webofscience.com/wos/woscc/full-record/WOS:000663500200003","View Record in Web of Science")</f>
        <v>127</v>
      </c>
      <c r="BU28" t="s" s="0">
        <v>84</v>
      </c>
      <c r="BV28" t="s" s="0">
        <v>128</v>
      </c>
      <c r="BW28" t="s" s="0">
        <v>129</v>
      </c>
      <c r="BX28" t="s" s="0">
        <v>130</v>
      </c>
    </row>
    <row r="29">
      <c r="A29" t="s" s="0">
        <v>80</v>
      </c>
      <c r="B29" t="s" s="0">
        <v>116</v>
      </c>
      <c r="C29" t="s" s="0">
        <v>1032</v>
      </c>
      <c r="D29" t="s" s="0">
        <v>116</v>
      </c>
      <c r="E29" t="s" s="0">
        <v>1033</v>
      </c>
      <c r="F29" t="s" s="0">
        <v>1034</v>
      </c>
      <c r="G29" t="s" s="0">
        <v>1035</v>
      </c>
      <c r="H29" t="s" s="0">
        <v>84</v>
      </c>
      <c r="I29" t="s" s="0">
        <v>251</v>
      </c>
      <c r="J29" t="s" s="0">
        <v>1036</v>
      </c>
      <c r="K29" t="s" s="0">
        <v>1037</v>
      </c>
      <c r="L29" t="s" s="0">
        <v>1038</v>
      </c>
      <c r="M29" t="s" s="0">
        <v>1039</v>
      </c>
      <c r="N29" t="s" s="0">
        <v>1040</v>
      </c>
      <c r="O29" t="s" s="0">
        <v>1041</v>
      </c>
      <c r="P29" t="s" s="0">
        <v>1042</v>
      </c>
      <c r="Q29" t="s" s="0">
        <v>93</v>
      </c>
      <c r="R29" t="s" s="0">
        <v>84</v>
      </c>
      <c r="S29" t="s" s="0">
        <v>84</v>
      </c>
      <c r="T29" t="s" s="0">
        <v>84</v>
      </c>
      <c r="U29" t="s" s="0">
        <v>84</v>
      </c>
      <c r="V29" t="s" s="0">
        <v>1043</v>
      </c>
      <c r="W29" t="s" s="0">
        <v>1044</v>
      </c>
      <c r="X29" t="s" s="0">
        <v>84</v>
      </c>
      <c r="Y29" t="s" s="0">
        <v>84</v>
      </c>
      <c r="Z29" t="s" s="0">
        <v>96</v>
      </c>
      <c r="AA29" t="s" s="0">
        <v>97</v>
      </c>
      <c r="AB29" t="s" s="0">
        <v>84</v>
      </c>
      <c r="AC29" t="s" s="0">
        <v>84</v>
      </c>
      <c r="AD29" t="s" s="0">
        <v>84</v>
      </c>
      <c r="AE29" t="s" s="0">
        <v>84</v>
      </c>
      <c r="AF29" t="s" s="0">
        <v>84</v>
      </c>
      <c r="AG29" t="s" s="0">
        <v>1045</v>
      </c>
      <c r="AH29" t="s" s="0">
        <v>1046</v>
      </c>
      <c r="AI29" t="s" s="0">
        <v>834</v>
      </c>
      <c r="AJ29" t="s" s="0">
        <v>84</v>
      </c>
      <c r="AK29" t="s" s="0">
        <v>84</v>
      </c>
      <c r="AL29" t="s" s="0">
        <v>1047</v>
      </c>
      <c r="AM29" t="s" s="0">
        <v>1048</v>
      </c>
      <c r="AN29" t="s" s="0">
        <v>1049</v>
      </c>
      <c r="AO29" t="s" s="0">
        <v>1050</v>
      </c>
      <c r="AP29" t="s" s="0">
        <v>1051</v>
      </c>
      <c r="AQ29" t="s" s="0">
        <v>379</v>
      </c>
      <c r="AR29" t="s" s="0">
        <v>380</v>
      </c>
      <c r="AS29" t="s" s="0">
        <v>381</v>
      </c>
      <c r="AT29" t="s" s="0">
        <v>1052</v>
      </c>
      <c r="AU29" t="s" s="0">
        <v>84</v>
      </c>
      <c r="AV29" t="s" s="0">
        <v>84</v>
      </c>
      <c r="AW29" t="s" s="0">
        <v>1053</v>
      </c>
      <c r="AX29" t="s" s="0">
        <v>1054</v>
      </c>
      <c r="AY29" t="s" s="0">
        <v>1055</v>
      </c>
      <c r="AZ29" t="s" s="0">
        <v>114</v>
      </c>
      <c r="BA29" t="s" s="0">
        <v>160</v>
      </c>
      <c r="BB29" t="s" s="0">
        <v>787</v>
      </c>
      <c r="BC29" t="s" s="0">
        <v>84</v>
      </c>
      <c r="BD29" t="s" s="0">
        <v>84</v>
      </c>
      <c r="BE29" t="s" s="0">
        <v>84</v>
      </c>
      <c r="BF29" t="s" s="0">
        <v>84</v>
      </c>
      <c r="BG29" t="s" s="0">
        <v>84</v>
      </c>
      <c r="BH29" t="s" s="0">
        <v>84</v>
      </c>
      <c r="BI29" t="s" s="0">
        <v>1056</v>
      </c>
      <c r="BJ29" t="s" s="0">
        <v>1057</v>
      </c>
      <c r="BK29" t="s" s="55">
        <f>HYPERLINK("http://dx.doi.org/10.3390/electronics8030292","http://dx.doi.org/10.3390/electronics8030292")</f>
        <v>1058</v>
      </c>
      <c r="BL29" t="s" s="0">
        <v>84</v>
      </c>
      <c r="BM29" t="s" s="0">
        <v>84</v>
      </c>
      <c r="BN29" t="s" s="0">
        <v>1059</v>
      </c>
      <c r="BO29" t="s" s="0">
        <v>1060</v>
      </c>
      <c r="BP29" t="s" s="0">
        <v>1061</v>
      </c>
      <c r="BQ29" t="s" s="0">
        <v>1062</v>
      </c>
      <c r="BR29" t="s" s="0">
        <v>84</v>
      </c>
      <c r="BS29" t="s" s="0">
        <v>1063</v>
      </c>
      <c r="BT29" t="s" s="56">
        <f>HYPERLINK("https://www.webofscience.com/wos/woscc/full-record/WOS:000464239600001","View Record in Web of Science")</f>
        <v>127</v>
      </c>
      <c r="BU29" t="s" s="0">
        <v>170</v>
      </c>
      <c r="BV29" t="s" s="0">
        <v>128</v>
      </c>
      <c r="BW29" t="s" s="0">
        <v>129</v>
      </c>
      <c r="BX29" t="s" s="0">
        <v>130</v>
      </c>
    </row>
    <row r="30">
      <c r="A30" t="s" s="0">
        <v>396</v>
      </c>
      <c r="B30" t="s" s="0">
        <v>78</v>
      </c>
      <c r="C30" t="s" s="0">
        <v>1064</v>
      </c>
      <c r="D30" t="s" s="0">
        <v>78</v>
      </c>
      <c r="E30" t="s" s="0">
        <v>1065</v>
      </c>
      <c r="F30" t="s" s="0">
        <v>1066</v>
      </c>
      <c r="G30" t="s" s="0">
        <v>1067</v>
      </c>
      <c r="H30" t="s" s="0">
        <v>84</v>
      </c>
      <c r="I30" t="s" s="0">
        <v>85</v>
      </c>
      <c r="J30" t="s" s="0">
        <v>1068</v>
      </c>
      <c r="K30" t="s" s="0">
        <v>1069</v>
      </c>
      <c r="L30" t="s" s="0">
        <v>1070</v>
      </c>
      <c r="M30" t="s" s="0">
        <v>1071</v>
      </c>
      <c r="N30" t="s" s="0">
        <v>1072</v>
      </c>
      <c r="O30" t="s" s="0">
        <v>1073</v>
      </c>
      <c r="P30" t="s" s="0">
        <v>1074</v>
      </c>
      <c r="Q30" t="s" s="0">
        <v>93</v>
      </c>
      <c r="R30" t="s" s="0">
        <v>84</v>
      </c>
      <c r="S30" t="s" s="0">
        <v>84</v>
      </c>
      <c r="T30" t="s" s="0">
        <v>84</v>
      </c>
      <c r="U30" t="s" s="0">
        <v>84</v>
      </c>
      <c r="V30" t="s" s="0">
        <v>1075</v>
      </c>
      <c r="W30" t="s" s="0">
        <v>1076</v>
      </c>
      <c r="X30" t="s" s="0">
        <v>84</v>
      </c>
      <c r="Y30" t="s" s="0">
        <v>84</v>
      </c>
      <c r="Z30" t="s" s="0">
        <v>96</v>
      </c>
      <c r="AA30" t="s" s="0">
        <v>97</v>
      </c>
      <c r="AB30" t="s" s="0">
        <v>84</v>
      </c>
      <c r="AC30" t="s" s="0">
        <v>84</v>
      </c>
      <c r="AD30" t="s" s="0">
        <v>84</v>
      </c>
      <c r="AE30" t="s" s="0">
        <v>84</v>
      </c>
      <c r="AF30" t="s" s="0">
        <v>84</v>
      </c>
      <c r="AG30" t="s" s="0">
        <v>1077</v>
      </c>
      <c r="AH30" t="s" s="0">
        <v>1078</v>
      </c>
      <c r="AI30" t="s" s="0">
        <v>1079</v>
      </c>
      <c r="AJ30" t="s" s="0">
        <v>1080</v>
      </c>
      <c r="AK30" t="s" s="0">
        <v>84</v>
      </c>
      <c r="AL30" t="s" s="0">
        <v>360</v>
      </c>
      <c r="AM30" t="s" s="0">
        <v>1081</v>
      </c>
      <c r="AN30" t="s" s="0">
        <v>1082</v>
      </c>
      <c r="AO30" t="s" s="0">
        <v>202</v>
      </c>
      <c r="AP30" t="s" s="0">
        <v>1083</v>
      </c>
      <c r="AQ30" t="s" s="0">
        <v>1084</v>
      </c>
      <c r="AR30" t="s" s="0">
        <v>1085</v>
      </c>
      <c r="AS30" t="s" s="0">
        <v>1086</v>
      </c>
      <c r="AT30" t="s" s="0">
        <v>1087</v>
      </c>
      <c r="AU30" t="s" s="0">
        <v>84</v>
      </c>
      <c r="AV30" t="s" s="0">
        <v>84</v>
      </c>
      <c r="AW30" t="s" s="0">
        <v>1088</v>
      </c>
      <c r="AX30" t="s" s="0">
        <v>1089</v>
      </c>
      <c r="AY30" t="s" s="0">
        <v>114</v>
      </c>
      <c r="AZ30" t="s" s="0">
        <v>114</v>
      </c>
      <c r="BA30" t="s" s="0">
        <v>242</v>
      </c>
      <c r="BB30" t="s" s="0">
        <v>84</v>
      </c>
      <c r="BC30" t="s" s="0">
        <v>84</v>
      </c>
      <c r="BD30" t="s" s="0">
        <v>84</v>
      </c>
      <c r="BE30" t="s" s="0">
        <v>84</v>
      </c>
      <c r="BF30" t="s" s="0">
        <v>84</v>
      </c>
      <c r="BG30" t="s" s="0">
        <v>1090</v>
      </c>
      <c r="BH30" t="s" s="0">
        <v>702</v>
      </c>
      <c r="BI30" t="s" s="0">
        <v>84</v>
      </c>
      <c r="BJ30" t="s" s="0">
        <v>1091</v>
      </c>
      <c r="BK30" t="s" s="57">
        <f>HYPERLINK("http://dx.doi.org/10.2147/CLEP.S196293","http://dx.doi.org/10.2147/CLEP.S196293")</f>
        <v>1092</v>
      </c>
      <c r="BL30" t="s" s="0">
        <v>84</v>
      </c>
      <c r="BM30" t="s" s="0">
        <v>84</v>
      </c>
      <c r="BN30" t="s" s="0">
        <v>527</v>
      </c>
      <c r="BO30" t="s" s="0">
        <v>1093</v>
      </c>
      <c r="BP30" t="s" s="0">
        <v>1093</v>
      </c>
      <c r="BQ30" t="s" s="0">
        <v>1094</v>
      </c>
      <c r="BR30" t="s" s="0">
        <v>1095</v>
      </c>
      <c r="BS30" t="s" s="0">
        <v>1096</v>
      </c>
      <c r="BT30" t="s" s="58">
        <f>HYPERLINK("https://www.webofscience.com/wos/woscc/full-record/WOS:000467113200001","View Record in Web of Science")</f>
        <v>127</v>
      </c>
      <c r="BU30" t="s" s="0">
        <v>170</v>
      </c>
      <c r="BV30" t="s" s="0">
        <v>128</v>
      </c>
      <c r="BW30" t="s" s="0">
        <v>129</v>
      </c>
      <c r="BX30" t="s" s="0">
        <v>130</v>
      </c>
    </row>
    <row r="31">
      <c r="A31" t="s" s="0">
        <v>822</v>
      </c>
      <c r="B31" t="s" s="0">
        <v>78</v>
      </c>
      <c r="C31" t="s" s="0">
        <v>804</v>
      </c>
      <c r="D31" t="s" s="0">
        <v>202</v>
      </c>
      <c r="E31" t="s" s="0">
        <v>1097</v>
      </c>
      <c r="F31" t="s" s="0">
        <v>1098</v>
      </c>
      <c r="G31" t="s" s="0">
        <v>1099</v>
      </c>
      <c r="H31" t="s" s="0">
        <v>84</v>
      </c>
      <c r="I31" t="s" s="0">
        <v>1100</v>
      </c>
      <c r="J31" t="s" s="0">
        <v>1101</v>
      </c>
      <c r="K31" t="s" s="0">
        <v>1102</v>
      </c>
      <c r="L31" t="s" s="0">
        <v>1103</v>
      </c>
      <c r="M31" t="s" s="0">
        <v>1104</v>
      </c>
      <c r="N31" t="s" s="0">
        <v>1105</v>
      </c>
      <c r="O31" t="s" s="0">
        <v>1106</v>
      </c>
      <c r="P31" t="s" s="0">
        <v>1107</v>
      </c>
      <c r="Q31" t="s" s="0">
        <v>93</v>
      </c>
      <c r="R31" t="s" s="0">
        <v>84</v>
      </c>
      <c r="S31" t="s" s="0">
        <v>84</v>
      </c>
      <c r="T31" t="s" s="0">
        <v>84</v>
      </c>
      <c r="U31" t="s" s="0">
        <v>84</v>
      </c>
      <c r="V31" t="s" s="0">
        <v>1108</v>
      </c>
      <c r="W31" t="s" s="0">
        <v>1109</v>
      </c>
      <c r="X31" t="s" s="0">
        <v>84</v>
      </c>
      <c r="Y31" t="s" s="0">
        <v>84</v>
      </c>
      <c r="Z31" t="s" s="0">
        <v>96</v>
      </c>
      <c r="AA31" t="s" s="0">
        <v>97</v>
      </c>
      <c r="AB31" t="s" s="0">
        <v>84</v>
      </c>
      <c r="AC31" t="s" s="0">
        <v>84</v>
      </c>
      <c r="AD31" t="s" s="0">
        <v>84</v>
      </c>
      <c r="AE31" t="s" s="0">
        <v>84</v>
      </c>
      <c r="AF31" t="s" s="0">
        <v>84</v>
      </c>
      <c r="AG31" t="s" s="0">
        <v>1110</v>
      </c>
      <c r="AH31" t="s" s="0">
        <v>1111</v>
      </c>
      <c r="AI31" t="s" s="0">
        <v>1112</v>
      </c>
      <c r="AJ31" t="s" s="0">
        <v>1113</v>
      </c>
      <c r="AK31" t="s" s="0">
        <v>84</v>
      </c>
      <c r="AL31" t="s" s="0">
        <v>1114</v>
      </c>
      <c r="AM31" t="s" s="0">
        <v>1115</v>
      </c>
      <c r="AN31" t="s" s="0">
        <v>1116</v>
      </c>
      <c r="AO31" t="s" s="0">
        <v>1117</v>
      </c>
      <c r="AP31" t="s" s="0">
        <v>1118</v>
      </c>
      <c r="AQ31" t="s" s="0">
        <v>1119</v>
      </c>
      <c r="AR31" t="s" s="0">
        <v>1120</v>
      </c>
      <c r="AS31" t="s" s="0">
        <v>1121</v>
      </c>
      <c r="AT31" t="s" s="0">
        <v>1122</v>
      </c>
      <c r="AU31" t="s" s="0">
        <v>84</v>
      </c>
      <c r="AV31" t="s" s="0">
        <v>84</v>
      </c>
      <c r="AW31" t="s" s="0">
        <v>1123</v>
      </c>
      <c r="AX31" t="s" s="0">
        <v>1124</v>
      </c>
      <c r="AY31" t="s" s="0">
        <v>1125</v>
      </c>
      <c r="AZ31" t="s" s="0">
        <v>159</v>
      </c>
      <c r="BA31" t="s" s="0">
        <v>396</v>
      </c>
      <c r="BB31" t="s" s="0">
        <v>202</v>
      </c>
      <c r="BC31" t="s" s="0">
        <v>84</v>
      </c>
      <c r="BD31" t="s" s="0">
        <v>84</v>
      </c>
      <c r="BE31" t="s" s="0">
        <v>84</v>
      </c>
      <c r="BF31" t="s" s="0">
        <v>84</v>
      </c>
      <c r="BG31" t="s" s="0">
        <v>84</v>
      </c>
      <c r="BH31" t="s" s="0">
        <v>84</v>
      </c>
      <c r="BI31" t="s" s="0">
        <v>1126</v>
      </c>
      <c r="BJ31" t="s" s="0">
        <v>1127</v>
      </c>
      <c r="BK31" t="s" s="59">
        <f>HYPERLINK("http://dx.doi.org/10.1016/j.xinn.2021.100179","http://dx.doi.org/10.1016/j.xinn.2021.100179")</f>
        <v>1128</v>
      </c>
      <c r="BL31" t="s" s="0">
        <v>84</v>
      </c>
      <c r="BM31" t="s" s="0">
        <v>1129</v>
      </c>
      <c r="BN31" t="s" s="0">
        <v>1130</v>
      </c>
      <c r="BO31" t="s" s="0">
        <v>750</v>
      </c>
      <c r="BP31" t="s" s="0">
        <v>751</v>
      </c>
      <c r="BQ31" t="s" s="0">
        <v>1131</v>
      </c>
      <c r="BR31" t="s" s="0">
        <v>1132</v>
      </c>
      <c r="BS31" t="s" s="0">
        <v>1133</v>
      </c>
      <c r="BT31" t="s" s="60">
        <f>HYPERLINK("https://www.webofscience.com/wos/woscc/full-record/WOS:000747248500027","View Record in Web of Science")</f>
        <v>127</v>
      </c>
      <c r="BU31" t="s" s="0">
        <v>170</v>
      </c>
      <c r="BV31" t="s" s="0">
        <v>84</v>
      </c>
      <c r="BW31" t="s" s="0">
        <v>84</v>
      </c>
      <c r="BX31" t="s" s="0">
        <v>130</v>
      </c>
    </row>
    <row r="32">
      <c r="A32" t="s" s="0">
        <v>214</v>
      </c>
      <c r="B32" t="s" s="0">
        <v>78</v>
      </c>
      <c r="C32" t="s" s="0">
        <v>1134</v>
      </c>
      <c r="D32" t="s" s="0">
        <v>396</v>
      </c>
      <c r="E32" t="s" s="0">
        <v>1135</v>
      </c>
      <c r="F32" t="s" s="0">
        <v>1136</v>
      </c>
      <c r="G32" t="s" s="0">
        <v>1137</v>
      </c>
      <c r="H32" t="s" s="0">
        <v>84</v>
      </c>
      <c r="I32" t="s" s="0">
        <v>85</v>
      </c>
      <c r="J32" t="s" s="0">
        <v>1138</v>
      </c>
      <c r="K32" t="s" s="0">
        <v>914</v>
      </c>
      <c r="L32" t="s" s="0">
        <v>1139</v>
      </c>
      <c r="M32" t="s" s="0">
        <v>1140</v>
      </c>
      <c r="N32" t="s" s="0">
        <v>84</v>
      </c>
      <c r="O32" t="s" s="0">
        <v>1141</v>
      </c>
      <c r="P32" t="s" s="0">
        <v>1142</v>
      </c>
      <c r="Q32" t="s" s="0">
        <v>93</v>
      </c>
      <c r="R32" t="s" s="0">
        <v>84</v>
      </c>
      <c r="S32" t="s" s="0">
        <v>84</v>
      </c>
      <c r="T32" t="s" s="0">
        <v>84</v>
      </c>
      <c r="U32" t="s" s="0">
        <v>84</v>
      </c>
      <c r="V32" t="s" s="0">
        <v>1143</v>
      </c>
      <c r="W32" t="s" s="0">
        <v>922</v>
      </c>
      <c r="X32" t="s" s="0">
        <v>84</v>
      </c>
      <c r="Y32" t="s" s="0">
        <v>84</v>
      </c>
      <c r="Z32" t="s" s="0">
        <v>96</v>
      </c>
      <c r="AA32" t="s" s="0">
        <v>97</v>
      </c>
      <c r="AB32" t="s" s="0">
        <v>84</v>
      </c>
      <c r="AC32" t="s" s="0">
        <v>84</v>
      </c>
      <c r="AD32" t="s" s="0">
        <v>84</v>
      </c>
      <c r="AE32" t="s" s="0">
        <v>84</v>
      </c>
      <c r="AF32" t="s" s="0">
        <v>84</v>
      </c>
      <c r="AG32" t="s" s="0">
        <v>84</v>
      </c>
      <c r="AH32" t="s" s="0">
        <v>1144</v>
      </c>
      <c r="AI32" t="s" s="0">
        <v>1145</v>
      </c>
      <c r="AJ32" t="s" s="0">
        <v>1146</v>
      </c>
      <c r="AK32" t="s" s="0">
        <v>84</v>
      </c>
      <c r="AL32" t="s" s="0">
        <v>1147</v>
      </c>
      <c r="AM32" t="s" s="0">
        <v>1148</v>
      </c>
      <c r="AN32" t="s" s="0">
        <v>1149</v>
      </c>
      <c r="AO32" t="s" s="0">
        <v>527</v>
      </c>
      <c r="AP32" t="s" s="0">
        <v>1150</v>
      </c>
      <c r="AQ32" t="s" s="0">
        <v>415</v>
      </c>
      <c r="AR32" t="s" s="0">
        <v>416</v>
      </c>
      <c r="AS32" t="s" s="0">
        <v>417</v>
      </c>
      <c r="AT32" t="s" s="0">
        <v>84</v>
      </c>
      <c r="AU32" t="s" s="0">
        <v>928</v>
      </c>
      <c r="AV32" t="s" s="0">
        <v>84</v>
      </c>
      <c r="AW32" t="s" s="0">
        <v>929</v>
      </c>
      <c r="AX32" t="s" s="0">
        <v>930</v>
      </c>
      <c r="AY32" t="s" s="0">
        <v>1151</v>
      </c>
      <c r="AZ32" t="s" s="0">
        <v>114</v>
      </c>
      <c r="BA32" t="s" s="0">
        <v>116</v>
      </c>
      <c r="BB32" t="s" s="0">
        <v>459</v>
      </c>
      <c r="BC32" t="s" s="0">
        <v>84</v>
      </c>
      <c r="BD32" t="s" s="0">
        <v>84</v>
      </c>
      <c r="BE32" t="s" s="0">
        <v>84</v>
      </c>
      <c r="BF32" t="s" s="0">
        <v>84</v>
      </c>
      <c r="BG32" t="s" s="0">
        <v>1152</v>
      </c>
      <c r="BH32" t="s" s="0">
        <v>1153</v>
      </c>
      <c r="BI32" t="s" s="0">
        <v>84</v>
      </c>
      <c r="BJ32" t="s" s="0">
        <v>1154</v>
      </c>
      <c r="BK32" t="s" s="61">
        <f>HYPERLINK("http://dx.doi.org/10.1016/S2589-7500(19)30123-2","http://dx.doi.org/10.1016/S2589-7500(19)30123-2")</f>
        <v>1155</v>
      </c>
      <c r="BL32" t="s" s="0">
        <v>84</v>
      </c>
      <c r="BM32" t="s" s="0">
        <v>84</v>
      </c>
      <c r="BN32" t="s" s="0">
        <v>850</v>
      </c>
      <c r="BO32" t="s" s="0">
        <v>936</v>
      </c>
      <c r="BP32" t="s" s="0">
        <v>937</v>
      </c>
      <c r="BQ32" t="s" s="0">
        <v>1156</v>
      </c>
      <c r="BR32" t="s" s="0">
        <v>84</v>
      </c>
      <c r="BS32" t="s" s="0">
        <v>1157</v>
      </c>
      <c r="BT32" t="s" s="62">
        <f>HYPERLINK("https://www.webofscience.com/wos/woscc/full-record/WOS:000525871300011","View Record in Web of Science")</f>
        <v>127</v>
      </c>
      <c r="BU32" t="s" s="0">
        <v>170</v>
      </c>
      <c r="BV32" t="s" s="0">
        <v>128</v>
      </c>
      <c r="BW32" t="s" s="0">
        <v>129</v>
      </c>
      <c r="BX32" t="s" s="0">
        <v>130</v>
      </c>
    </row>
    <row r="33">
      <c r="A33" t="s" s="0">
        <v>202</v>
      </c>
      <c r="B33" t="s" s="0">
        <v>78</v>
      </c>
      <c r="C33" t="s" s="0">
        <v>1158</v>
      </c>
      <c r="D33" t="s" s="0">
        <v>116</v>
      </c>
      <c r="E33" t="s" s="0">
        <v>1159</v>
      </c>
      <c r="F33" t="s" s="0">
        <v>1160</v>
      </c>
      <c r="G33" t="s" s="0">
        <v>1161</v>
      </c>
      <c r="H33" t="s" s="0">
        <v>84</v>
      </c>
      <c r="I33" t="s" s="0">
        <v>85</v>
      </c>
      <c r="J33" t="s" s="0">
        <v>1162</v>
      </c>
      <c r="K33" t="s" s="0">
        <v>1163</v>
      </c>
      <c r="L33" t="s" s="0">
        <v>84</v>
      </c>
      <c r="M33" t="s" s="0">
        <v>84</v>
      </c>
      <c r="N33" t="s" s="0">
        <v>84</v>
      </c>
      <c r="O33" t="s" s="0">
        <v>1164</v>
      </c>
      <c r="P33" t="s" s="0">
        <v>1165</v>
      </c>
      <c r="Q33" t="s" s="0">
        <v>93</v>
      </c>
      <c r="R33" t="s" s="0">
        <v>84</v>
      </c>
      <c r="S33" t="s" s="0">
        <v>84</v>
      </c>
      <c r="T33" t="s" s="0">
        <v>84</v>
      </c>
      <c r="U33" t="s" s="0">
        <v>84</v>
      </c>
      <c r="V33" t="s" s="0">
        <v>1166</v>
      </c>
      <c r="W33" t="s" s="0">
        <v>184</v>
      </c>
      <c r="X33" t="s" s="0">
        <v>84</v>
      </c>
      <c r="Y33" t="s" s="0">
        <v>84</v>
      </c>
      <c r="Z33" t="s" s="0">
        <v>96</v>
      </c>
      <c r="AA33" t="s" s="0">
        <v>97</v>
      </c>
      <c r="AB33" t="s" s="0">
        <v>84</v>
      </c>
      <c r="AC33" t="s" s="0">
        <v>84</v>
      </c>
      <c r="AD33" t="s" s="0">
        <v>84</v>
      </c>
      <c r="AE33" t="s" s="0">
        <v>84</v>
      </c>
      <c r="AF33" t="s" s="0">
        <v>84</v>
      </c>
      <c r="AG33" t="s" s="0">
        <v>1167</v>
      </c>
      <c r="AH33" t="s" s="0">
        <v>1168</v>
      </c>
      <c r="AI33" t="s" s="0">
        <v>1169</v>
      </c>
      <c r="AJ33" t="s" s="0">
        <v>1170</v>
      </c>
      <c r="AK33" t="s" s="0">
        <v>84</v>
      </c>
      <c r="AL33" t="s" s="0">
        <v>1171</v>
      </c>
      <c r="AM33" t="s" s="0">
        <v>1172</v>
      </c>
      <c r="AN33" t="s" s="0">
        <v>1173</v>
      </c>
      <c r="AO33" t="s" s="0">
        <v>342</v>
      </c>
      <c r="AP33" t="s" s="0">
        <v>1014</v>
      </c>
      <c r="AQ33" t="s" s="0">
        <v>194</v>
      </c>
      <c r="AR33" t="s" s="0">
        <v>195</v>
      </c>
      <c r="AS33" t="s" s="0">
        <v>196</v>
      </c>
      <c r="AT33" t="s" s="0">
        <v>197</v>
      </c>
      <c r="AU33" t="s" s="0">
        <v>84</v>
      </c>
      <c r="AV33" t="s" s="0">
        <v>84</v>
      </c>
      <c r="AW33" t="s" s="0">
        <v>198</v>
      </c>
      <c r="AX33" t="s" s="0">
        <v>199</v>
      </c>
      <c r="AY33" t="s" s="0">
        <v>1174</v>
      </c>
      <c r="AZ33" t="s" s="0">
        <v>351</v>
      </c>
      <c r="BA33" t="s" s="0">
        <v>242</v>
      </c>
      <c r="BB33" t="s" s="0">
        <v>116</v>
      </c>
      <c r="BC33" t="s" s="0">
        <v>84</v>
      </c>
      <c r="BD33" t="s" s="0">
        <v>84</v>
      </c>
      <c r="BE33" t="s" s="0">
        <v>84</v>
      </c>
      <c r="BF33" t="s" s="0">
        <v>84</v>
      </c>
      <c r="BG33" t="s" s="0">
        <v>84</v>
      </c>
      <c r="BH33" t="s" s="0">
        <v>84</v>
      </c>
      <c r="BI33" t="s" s="0">
        <v>261</v>
      </c>
      <c r="BJ33" t="s" s="0">
        <v>1175</v>
      </c>
      <c r="BK33" t="s" s="63">
        <f>HYPERLINK("http://dx.doi.org/10.1186/s13244-020-00887-2","http://dx.doi.org/10.1186/s13244-020-00887-2")</f>
        <v>1176</v>
      </c>
      <c r="BL33" t="s" s="0">
        <v>84</v>
      </c>
      <c r="BM33" t="s" s="0">
        <v>84</v>
      </c>
      <c r="BN33" t="s" s="0">
        <v>538</v>
      </c>
      <c r="BO33" t="s" s="0">
        <v>208</v>
      </c>
      <c r="BP33" t="s" s="0">
        <v>208</v>
      </c>
      <c r="BQ33" t="s" s="0">
        <v>1177</v>
      </c>
      <c r="BR33" t="s" s="0">
        <v>1178</v>
      </c>
      <c r="BS33" t="s" s="0">
        <v>1179</v>
      </c>
      <c r="BT33" t="s" s="64">
        <f>HYPERLINK("https://www.webofscience.com/wos/woscc/full-record/WOS:000563915600001","View Record in Web of Science")</f>
        <v>127</v>
      </c>
      <c r="BU33" t="s" s="0">
        <v>941</v>
      </c>
      <c r="BV33" t="s" s="0">
        <v>128</v>
      </c>
      <c r="BW33" t="s" s="0">
        <v>129</v>
      </c>
      <c r="BX33" t="s" s="0">
        <v>130</v>
      </c>
    </row>
    <row r="34">
      <c r="A34" t="s" s="0">
        <v>1050</v>
      </c>
      <c r="B34" t="s" s="0">
        <v>78</v>
      </c>
      <c r="C34" t="s" s="0">
        <v>1180</v>
      </c>
      <c r="D34" t="s" s="0">
        <v>342</v>
      </c>
      <c r="E34" t="s" s="0">
        <v>1181</v>
      </c>
      <c r="F34" t="s" s="0">
        <v>1182</v>
      </c>
      <c r="G34" t="s" s="0">
        <v>1183</v>
      </c>
      <c r="H34" t="s" s="0">
        <v>84</v>
      </c>
      <c r="I34" t="s" s="0">
        <v>85</v>
      </c>
      <c r="J34" t="s" s="0">
        <v>1184</v>
      </c>
      <c r="K34" t="s" s="0">
        <v>1185</v>
      </c>
      <c r="L34" t="s" s="0">
        <v>1186</v>
      </c>
      <c r="M34" t="s" s="0">
        <v>1187</v>
      </c>
      <c r="N34" t="s" s="0">
        <v>1188</v>
      </c>
      <c r="O34" t="s" s="0">
        <v>1189</v>
      </c>
      <c r="P34" t="s" s="0">
        <v>1190</v>
      </c>
      <c r="Q34" t="s" s="0">
        <v>93</v>
      </c>
      <c r="R34" t="s" s="0">
        <v>84</v>
      </c>
      <c r="S34" t="s" s="0">
        <v>84</v>
      </c>
      <c r="T34" t="s" s="0">
        <v>84</v>
      </c>
      <c r="U34" t="s" s="0">
        <v>84</v>
      </c>
      <c r="V34" t="s" s="0">
        <v>1191</v>
      </c>
      <c r="W34" t="s" s="0">
        <v>1192</v>
      </c>
      <c r="X34" t="s" s="0">
        <v>84</v>
      </c>
      <c r="Y34" t="s" s="0">
        <v>84</v>
      </c>
      <c r="Z34" t="s" s="0">
        <v>96</v>
      </c>
      <c r="AA34" t="s" s="0">
        <v>97</v>
      </c>
      <c r="AB34" t="s" s="0">
        <v>84</v>
      </c>
      <c r="AC34" t="s" s="0">
        <v>84</v>
      </c>
      <c r="AD34" t="s" s="0">
        <v>84</v>
      </c>
      <c r="AE34" t="s" s="0">
        <v>84</v>
      </c>
      <c r="AF34" t="s" s="0">
        <v>84</v>
      </c>
      <c r="AG34" t="s" s="0">
        <v>1193</v>
      </c>
      <c r="AH34" t="s" s="0">
        <v>1194</v>
      </c>
      <c r="AI34" t="s" s="0">
        <v>1195</v>
      </c>
      <c r="AJ34" t="s" s="0">
        <v>1196</v>
      </c>
      <c r="AK34" t="s" s="0">
        <v>84</v>
      </c>
      <c r="AL34" t="s" s="0">
        <v>1197</v>
      </c>
      <c r="AM34" t="s" s="0">
        <v>1198</v>
      </c>
      <c r="AN34" t="s" s="0">
        <v>1199</v>
      </c>
      <c r="AO34" t="s" s="0">
        <v>527</v>
      </c>
      <c r="AP34" t="s" s="0">
        <v>1200</v>
      </c>
      <c r="AQ34" t="s" s="0">
        <v>344</v>
      </c>
      <c r="AR34" t="s" s="0">
        <v>153</v>
      </c>
      <c r="AS34" t="s" s="0">
        <v>345</v>
      </c>
      <c r="AT34" t="s" s="0">
        <v>1201</v>
      </c>
      <c r="AU34" t="s" s="0">
        <v>1202</v>
      </c>
      <c r="AV34" t="s" s="0">
        <v>84</v>
      </c>
      <c r="AW34" t="s" s="0">
        <v>1203</v>
      </c>
      <c r="AX34" t="s" s="0">
        <v>1204</v>
      </c>
      <c r="AY34" t="s" s="0">
        <v>1205</v>
      </c>
      <c r="AZ34" t="s" s="0">
        <v>114</v>
      </c>
      <c r="BA34" t="s" s="0">
        <v>1206</v>
      </c>
      <c r="BB34" t="s" s="0">
        <v>396</v>
      </c>
      <c r="BC34" t="s" s="0">
        <v>84</v>
      </c>
      <c r="BD34" t="s" s="0">
        <v>84</v>
      </c>
      <c r="BE34" t="s" s="0">
        <v>84</v>
      </c>
      <c r="BF34" t="s" s="0">
        <v>84</v>
      </c>
      <c r="BG34" t="s" s="0">
        <v>77</v>
      </c>
      <c r="BH34" t="s" s="0">
        <v>232</v>
      </c>
      <c r="BI34" t="s" s="0">
        <v>84</v>
      </c>
      <c r="BJ34" t="s" s="0">
        <v>1207</v>
      </c>
      <c r="BK34" t="s" s="65">
        <f>HYPERLINK("http://dx.doi.org/10.1136/bjophthalmol-2018-313173","http://dx.doi.org/10.1136/bjophthalmol-2018-313173")</f>
        <v>1208</v>
      </c>
      <c r="BL34" t="s" s="0">
        <v>84</v>
      </c>
      <c r="BM34" t="s" s="0">
        <v>84</v>
      </c>
      <c r="BN34" t="s" s="0">
        <v>172</v>
      </c>
      <c r="BO34" t="s" s="0">
        <v>1209</v>
      </c>
      <c r="BP34" t="s" s="0">
        <v>1209</v>
      </c>
      <c r="BQ34" t="s" s="0">
        <v>1210</v>
      </c>
      <c r="BR34" t="s" s="0">
        <v>1211</v>
      </c>
      <c r="BS34" t="s" s="0">
        <v>1212</v>
      </c>
      <c r="BT34" t="s" s="66">
        <f>HYPERLINK("https://www.webofscience.com/wos/woscc/full-record/WOS:000459028400003","View Record in Web of Science")</f>
        <v>127</v>
      </c>
      <c r="BU34" t="s" s="0">
        <v>432</v>
      </c>
      <c r="BV34" t="s" s="0">
        <v>128</v>
      </c>
      <c r="BW34" t="s" s="0">
        <v>129</v>
      </c>
      <c r="BX34" t="s" s="0">
        <v>130</v>
      </c>
    </row>
    <row r="35">
      <c r="A35" t="s" s="0">
        <v>604</v>
      </c>
      <c r="B35" t="s" s="0">
        <v>78</v>
      </c>
      <c r="C35" t="s" s="0">
        <v>1213</v>
      </c>
      <c r="D35" t="s" s="0">
        <v>342</v>
      </c>
      <c r="E35" t="s" s="0">
        <v>1214</v>
      </c>
      <c r="F35" t="s" s="0">
        <v>1215</v>
      </c>
      <c r="G35" t="s" s="0">
        <v>1216</v>
      </c>
      <c r="H35" t="s" s="0">
        <v>84</v>
      </c>
      <c r="I35" t="s" s="0">
        <v>251</v>
      </c>
      <c r="J35" t="s" s="0">
        <v>1217</v>
      </c>
      <c r="K35" t="s" s="0">
        <v>1218</v>
      </c>
      <c r="L35" t="s" s="0">
        <v>1219</v>
      </c>
      <c r="M35" t="s" s="0">
        <v>1220</v>
      </c>
      <c r="N35" t="s" s="0">
        <v>1221</v>
      </c>
      <c r="O35" t="s" s="0">
        <v>1222</v>
      </c>
      <c r="P35" t="s" s="0">
        <v>1223</v>
      </c>
      <c r="Q35" t="s" s="0">
        <v>93</v>
      </c>
      <c r="R35" t="s" s="0">
        <v>84</v>
      </c>
      <c r="S35" t="s" s="0">
        <v>84</v>
      </c>
      <c r="T35" t="s" s="0">
        <v>84</v>
      </c>
      <c r="U35" t="s" s="0">
        <v>84</v>
      </c>
      <c r="V35" t="s" s="0">
        <v>1224</v>
      </c>
      <c r="W35" t="s" s="0">
        <v>1225</v>
      </c>
      <c r="X35" t="s" s="0">
        <v>84</v>
      </c>
      <c r="Y35" t="s" s="0">
        <v>84</v>
      </c>
      <c r="Z35" t="s" s="0">
        <v>96</v>
      </c>
      <c r="AA35" t="s" s="0">
        <v>97</v>
      </c>
      <c r="AB35" t="s" s="0">
        <v>84</v>
      </c>
      <c r="AC35" t="s" s="0">
        <v>84</v>
      </c>
      <c r="AD35" t="s" s="0">
        <v>84</v>
      </c>
      <c r="AE35" t="s" s="0">
        <v>84</v>
      </c>
      <c r="AF35" t="s" s="0">
        <v>84</v>
      </c>
      <c r="AG35" t="s" s="0">
        <v>84</v>
      </c>
      <c r="AH35" t="s" s="0">
        <v>1226</v>
      </c>
      <c r="AI35" t="s" s="0">
        <v>1227</v>
      </c>
      <c r="AJ35" t="s" s="0">
        <v>84</v>
      </c>
      <c r="AK35" t="s" s="0">
        <v>84</v>
      </c>
      <c r="AL35" t="s" s="0">
        <v>558</v>
      </c>
      <c r="AM35" t="s" s="0">
        <v>1228</v>
      </c>
      <c r="AN35" t="s" s="0">
        <v>1229</v>
      </c>
      <c r="AO35" t="s" s="0">
        <v>133</v>
      </c>
      <c r="AP35" t="s" s="0">
        <v>1230</v>
      </c>
      <c r="AQ35" t="s" s="0">
        <v>982</v>
      </c>
      <c r="AR35" t="s" s="0">
        <v>983</v>
      </c>
      <c r="AS35" t="s" s="0">
        <v>984</v>
      </c>
      <c r="AT35" t="s" s="0">
        <v>1231</v>
      </c>
      <c r="AU35" t="s" s="0">
        <v>1232</v>
      </c>
      <c r="AV35" t="s" s="0">
        <v>84</v>
      </c>
      <c r="AW35" t="s" s="0">
        <v>1233</v>
      </c>
      <c r="AX35" t="s" s="0">
        <v>1234</v>
      </c>
      <c r="AY35" t="s" s="0">
        <v>385</v>
      </c>
      <c r="AZ35" t="s" s="0">
        <v>159</v>
      </c>
      <c r="BA35" t="s" s="0">
        <v>275</v>
      </c>
      <c r="BB35" t="s" s="0">
        <v>116</v>
      </c>
      <c r="BC35" t="s" s="0">
        <v>84</v>
      </c>
      <c r="BD35" t="s" s="0">
        <v>84</v>
      </c>
      <c r="BE35" t="s" s="0">
        <v>84</v>
      </c>
      <c r="BF35" t="s" s="0">
        <v>84</v>
      </c>
      <c r="BG35" t="s" s="0">
        <v>537</v>
      </c>
      <c r="BH35" t="s" s="0">
        <v>1235</v>
      </c>
      <c r="BI35" t="s" s="0">
        <v>84</v>
      </c>
      <c r="BJ35" t="s" s="0">
        <v>1236</v>
      </c>
      <c r="BK35" t="s" s="67">
        <f>HYPERLINK("http://dx.doi.org/10.1111/cts.12884","http://dx.doi.org/10.1111/cts.12884")</f>
        <v>1237</v>
      </c>
      <c r="BL35" t="s" s="0">
        <v>84</v>
      </c>
      <c r="BM35" t="s" s="0">
        <v>931</v>
      </c>
      <c r="BN35" t="s" s="0">
        <v>160</v>
      </c>
      <c r="BO35" t="s" s="0">
        <v>1238</v>
      </c>
      <c r="BP35" t="s" s="0">
        <v>1239</v>
      </c>
      <c r="BQ35" t="s" s="0">
        <v>1240</v>
      </c>
      <c r="BR35" t="s" s="0">
        <v>1241</v>
      </c>
      <c r="BS35" t="s" s="0">
        <v>1242</v>
      </c>
      <c r="BT35" t="s" s="68">
        <f>HYPERLINK("https://www.webofscience.com/wos/woscc/full-record/WOS:000579560100001","View Record in Web of Science")</f>
        <v>127</v>
      </c>
      <c r="BU35" t="s" s="0">
        <v>170</v>
      </c>
      <c r="BV35" t="s" s="0">
        <v>128</v>
      </c>
      <c r="BW35" t="s" s="0">
        <v>129</v>
      </c>
      <c r="BX35" t="s" s="0">
        <v>130</v>
      </c>
    </row>
    <row r="36">
      <c r="A36" t="s" s="0">
        <v>121</v>
      </c>
      <c r="B36" t="s" s="0">
        <v>78</v>
      </c>
      <c r="C36" t="s" s="0">
        <v>1243</v>
      </c>
      <c r="D36" t="s" s="0">
        <v>202</v>
      </c>
      <c r="E36" t="s" s="0">
        <v>1244</v>
      </c>
      <c r="F36" t="s" s="0">
        <v>1245</v>
      </c>
      <c r="G36" t="s" s="0">
        <v>1246</v>
      </c>
      <c r="H36" t="s" s="0">
        <v>84</v>
      </c>
      <c r="I36" t="s" s="0">
        <v>251</v>
      </c>
      <c r="J36" t="s" s="0">
        <v>1247</v>
      </c>
      <c r="K36" t="s" s="0">
        <v>1248</v>
      </c>
      <c r="L36" t="s" s="0">
        <v>1249</v>
      </c>
      <c r="M36" t="s" s="0">
        <v>1250</v>
      </c>
      <c r="N36" t="s" s="0">
        <v>1251</v>
      </c>
      <c r="O36" t="s" s="0">
        <v>1252</v>
      </c>
      <c r="P36" t="s" s="0">
        <v>84</v>
      </c>
      <c r="Q36" t="s" s="0">
        <v>93</v>
      </c>
      <c r="R36" t="s" s="0">
        <v>84</v>
      </c>
      <c r="S36" t="s" s="0">
        <v>84</v>
      </c>
      <c r="T36" t="s" s="0">
        <v>84</v>
      </c>
      <c r="U36" t="s" s="0">
        <v>84</v>
      </c>
      <c r="V36" t="s" s="0">
        <v>1253</v>
      </c>
      <c r="W36" t="s" s="0">
        <v>1254</v>
      </c>
      <c r="X36" t="s" s="0">
        <v>84</v>
      </c>
      <c r="Y36" t="s" s="0">
        <v>84</v>
      </c>
      <c r="Z36" t="s" s="0">
        <v>96</v>
      </c>
      <c r="AA36" t="s" s="0">
        <v>97</v>
      </c>
      <c r="AB36" t="s" s="0">
        <v>84</v>
      </c>
      <c r="AC36" t="s" s="0">
        <v>84</v>
      </c>
      <c r="AD36" t="s" s="0">
        <v>84</v>
      </c>
      <c r="AE36" t="s" s="0">
        <v>84</v>
      </c>
      <c r="AF36" t="s" s="0">
        <v>84</v>
      </c>
      <c r="AG36" t="s" s="0">
        <v>84</v>
      </c>
      <c r="AH36" t="s" s="0">
        <v>1255</v>
      </c>
      <c r="AI36" t="s" s="0">
        <v>1256</v>
      </c>
      <c r="AJ36" t="s" s="0">
        <v>1257</v>
      </c>
      <c r="AK36" t="s" s="0">
        <v>84</v>
      </c>
      <c r="AL36" t="s" s="0">
        <v>1171</v>
      </c>
      <c r="AM36" t="s" s="0">
        <v>1258</v>
      </c>
      <c r="AN36" t="s" s="0">
        <v>1259</v>
      </c>
      <c r="AO36" t="s" s="0">
        <v>538</v>
      </c>
      <c r="AP36" t="s" s="0">
        <v>1260</v>
      </c>
      <c r="AQ36" t="s" s="0">
        <v>1261</v>
      </c>
      <c r="AR36" t="s" s="0">
        <v>1262</v>
      </c>
      <c r="AS36" t="s" s="0">
        <v>1263</v>
      </c>
      <c r="AT36" t="s" s="0">
        <v>1264</v>
      </c>
      <c r="AU36" t="s" s="0">
        <v>1265</v>
      </c>
      <c r="AV36" t="s" s="0">
        <v>84</v>
      </c>
      <c r="AW36" t="s" s="0">
        <v>1266</v>
      </c>
      <c r="AX36" t="s" s="0">
        <v>1267</v>
      </c>
      <c r="AY36" t="s" s="0">
        <v>1268</v>
      </c>
      <c r="AZ36" t="s" s="0">
        <v>351</v>
      </c>
      <c r="BA36" t="s" s="0">
        <v>755</v>
      </c>
      <c r="BB36" t="s" s="0">
        <v>116</v>
      </c>
      <c r="BC36" t="s" s="0">
        <v>84</v>
      </c>
      <c r="BD36" t="s" s="0">
        <v>84</v>
      </c>
      <c r="BE36" t="s" s="0">
        <v>84</v>
      </c>
      <c r="BF36" t="s" s="0">
        <v>84</v>
      </c>
      <c r="BG36" t="s" s="0">
        <v>1269</v>
      </c>
      <c r="BH36" t="s" s="0">
        <v>1235</v>
      </c>
      <c r="BI36" t="s" s="0">
        <v>84</v>
      </c>
      <c r="BJ36" t="s" s="0">
        <v>1270</v>
      </c>
      <c r="BK36" t="s" s="69">
        <f>HYPERLINK("http://dx.doi.org/10.1016/j.drudis.2020.10.010","http://dx.doi.org/10.1016/j.drudis.2020.10.010")</f>
        <v>1271</v>
      </c>
      <c r="BL36" t="s" s="0">
        <v>84</v>
      </c>
      <c r="BM36" t="s" s="0">
        <v>84</v>
      </c>
      <c r="BN36" t="s" s="0">
        <v>275</v>
      </c>
      <c r="BO36" t="s" s="0">
        <v>1272</v>
      </c>
      <c r="BP36" t="s" s="0">
        <v>1272</v>
      </c>
      <c r="BQ36" t="s" s="0">
        <v>1273</v>
      </c>
      <c r="BR36" t="s" s="0">
        <v>1274</v>
      </c>
      <c r="BS36" t="s" s="0">
        <v>1275</v>
      </c>
      <c r="BT36" t="s" s="70">
        <f>HYPERLINK("https://www.webofscience.com/wos/woscc/full-record/WOS:000632655700004","View Record in Web of Science")</f>
        <v>127</v>
      </c>
      <c r="BU36" t="s" s="0">
        <v>321</v>
      </c>
      <c r="BV36" t="s" s="0">
        <v>128</v>
      </c>
      <c r="BW36" t="s" s="0">
        <v>129</v>
      </c>
      <c r="BX36" t="s" s="0">
        <v>130</v>
      </c>
    </row>
    <row r="37">
      <c r="A37" t="s" s="0">
        <v>925</v>
      </c>
      <c r="B37" t="s" s="0">
        <v>78</v>
      </c>
      <c r="C37" t="s" s="0">
        <v>395</v>
      </c>
      <c r="D37" t="s" s="0">
        <v>787</v>
      </c>
      <c r="E37" t="s" s="0">
        <v>1276</v>
      </c>
      <c r="F37" t="s" s="0">
        <v>1277</v>
      </c>
      <c r="G37" t="s" s="0">
        <v>1278</v>
      </c>
      <c r="H37" t="s" s="0">
        <v>84</v>
      </c>
      <c r="I37" t="s" s="0">
        <v>85</v>
      </c>
      <c r="J37" t="s" s="0">
        <v>1279</v>
      </c>
      <c r="K37" t="s" s="0">
        <v>1280</v>
      </c>
      <c r="L37" t="s" s="0">
        <v>84</v>
      </c>
      <c r="M37" t="s" s="0">
        <v>84</v>
      </c>
      <c r="N37" t="s" s="0">
        <v>84</v>
      </c>
      <c r="O37" t="s" s="0">
        <v>1281</v>
      </c>
      <c r="P37" t="s" s="0">
        <v>1282</v>
      </c>
      <c r="Q37" t="s" s="0">
        <v>93</v>
      </c>
      <c r="R37" t="s" s="0">
        <v>84</v>
      </c>
      <c r="S37" t="s" s="0">
        <v>84</v>
      </c>
      <c r="T37" t="s" s="0">
        <v>84</v>
      </c>
      <c r="U37" t="s" s="0">
        <v>84</v>
      </c>
      <c r="V37" t="s" s="0">
        <v>1283</v>
      </c>
      <c r="W37" t="s" s="0">
        <v>1284</v>
      </c>
      <c r="X37" t="s" s="0">
        <v>84</v>
      </c>
      <c r="Y37" t="s" s="0">
        <v>84</v>
      </c>
      <c r="Z37" t="s" s="0">
        <v>96</v>
      </c>
      <c r="AA37" t="s" s="0">
        <v>97</v>
      </c>
      <c r="AB37" t="s" s="0">
        <v>84</v>
      </c>
      <c r="AC37" t="s" s="0">
        <v>84</v>
      </c>
      <c r="AD37" t="s" s="0">
        <v>84</v>
      </c>
      <c r="AE37" t="s" s="0">
        <v>84</v>
      </c>
      <c r="AF37" t="s" s="0">
        <v>84</v>
      </c>
      <c r="AG37" t="s" s="0">
        <v>1285</v>
      </c>
      <c r="AH37" t="s" s="0">
        <v>1286</v>
      </c>
      <c r="AI37" t="s" s="0">
        <v>1287</v>
      </c>
      <c r="AJ37" t="s" s="0">
        <v>1288</v>
      </c>
      <c r="AK37" t="s" s="0">
        <v>84</v>
      </c>
      <c r="AL37" t="s" s="0">
        <v>1289</v>
      </c>
      <c r="AM37" t="s" s="0">
        <v>1290</v>
      </c>
      <c r="AN37" t="s" s="0">
        <v>1199</v>
      </c>
      <c r="AO37" t="s" s="0">
        <v>160</v>
      </c>
      <c r="AP37" t="s" s="0">
        <v>738</v>
      </c>
      <c r="AQ37" t="s" s="0">
        <v>809</v>
      </c>
      <c r="AR37" t="s" s="0">
        <v>704</v>
      </c>
      <c r="AS37" t="s" s="0">
        <v>810</v>
      </c>
      <c r="AT37" t="s" s="0">
        <v>1291</v>
      </c>
      <c r="AU37" t="s" s="0">
        <v>1292</v>
      </c>
      <c r="AV37" t="s" s="0">
        <v>84</v>
      </c>
      <c r="AW37" t="s" s="0">
        <v>1293</v>
      </c>
      <c r="AX37" t="s" s="0">
        <v>1294</v>
      </c>
      <c r="AY37" t="s" s="0">
        <v>639</v>
      </c>
      <c r="AZ37" t="s" s="0">
        <v>201</v>
      </c>
      <c r="BA37" t="s" s="0">
        <v>610</v>
      </c>
      <c r="BB37" t="s" s="0">
        <v>242</v>
      </c>
      <c r="BC37" t="s" s="0">
        <v>84</v>
      </c>
      <c r="BD37" t="s" s="0">
        <v>84</v>
      </c>
      <c r="BE37" t="s" s="0">
        <v>84</v>
      </c>
      <c r="BF37" t="s" s="0">
        <v>84</v>
      </c>
      <c r="BG37" t="s" s="0">
        <v>84</v>
      </c>
      <c r="BH37" t="s" s="0">
        <v>84</v>
      </c>
      <c r="BI37" t="s" s="0">
        <v>1295</v>
      </c>
      <c r="BJ37" t="s" s="0">
        <v>1296</v>
      </c>
      <c r="BK37" t="s" s="71">
        <f>HYPERLINK("http://dx.doi.org/10.1007/s10916-018-1088-1","http://dx.doi.org/10.1007/s10916-018-1088-1")</f>
        <v>1297</v>
      </c>
      <c r="BL37" t="s" s="0">
        <v>84</v>
      </c>
      <c r="BM37" t="s" s="0">
        <v>84</v>
      </c>
      <c r="BN37" t="s" s="0">
        <v>121</v>
      </c>
      <c r="BO37" t="s" s="0">
        <v>1298</v>
      </c>
      <c r="BP37" t="s" s="0">
        <v>1298</v>
      </c>
      <c r="BQ37" t="s" s="0">
        <v>1299</v>
      </c>
      <c r="BR37" t="s" s="0">
        <v>1300</v>
      </c>
      <c r="BS37" t="s" s="0">
        <v>1301</v>
      </c>
      <c r="BT37" t="s" s="72">
        <f>HYPERLINK("https://www.webofscience.com/wos/woscc/full-record/WOS:000446738200001","View Record in Web of Science")</f>
        <v>127</v>
      </c>
      <c r="BU37" t="s" s="0">
        <v>321</v>
      </c>
      <c r="BV37" t="s" s="0">
        <v>128</v>
      </c>
      <c r="BW37" t="s" s="0">
        <v>129</v>
      </c>
      <c r="BX37" t="s" s="0">
        <v>130</v>
      </c>
    </row>
    <row r="38">
      <c r="A38" t="s" s="0">
        <v>236</v>
      </c>
      <c r="B38" t="s" s="0">
        <v>78</v>
      </c>
      <c r="C38" t="s" s="0">
        <v>303</v>
      </c>
      <c r="D38" t="s" s="0">
        <v>78</v>
      </c>
      <c r="E38" t="s" s="0">
        <v>1302</v>
      </c>
      <c r="F38" t="s" s="0">
        <v>1303</v>
      </c>
      <c r="G38" t="s" s="0">
        <v>1304</v>
      </c>
      <c r="H38" t="s" s="0">
        <v>84</v>
      </c>
      <c r="I38" t="s" s="0">
        <v>85</v>
      </c>
      <c r="J38" t="s" s="0">
        <v>1305</v>
      </c>
      <c r="K38" t="s" s="0">
        <v>1306</v>
      </c>
      <c r="L38" t="s" s="0">
        <v>84</v>
      </c>
      <c r="M38" t="s" s="0">
        <v>84</v>
      </c>
      <c r="N38" t="s" s="0">
        <v>84</v>
      </c>
      <c r="O38" t="s" s="0">
        <v>1307</v>
      </c>
      <c r="P38" t="s" s="0">
        <v>1308</v>
      </c>
      <c r="Q38" t="s" s="0">
        <v>93</v>
      </c>
      <c r="R38" t="s" s="0">
        <v>84</v>
      </c>
      <c r="S38" t="s" s="0">
        <v>84</v>
      </c>
      <c r="T38" t="s" s="0">
        <v>84</v>
      </c>
      <c r="U38" t="s" s="0">
        <v>84</v>
      </c>
      <c r="V38" t="s" s="0">
        <v>1309</v>
      </c>
      <c r="W38" t="s" s="0">
        <v>1310</v>
      </c>
      <c r="X38" t="s" s="0">
        <v>84</v>
      </c>
      <c r="Y38" t="s" s="0">
        <v>84</v>
      </c>
      <c r="Z38" t="s" s="0">
        <v>96</v>
      </c>
      <c r="AA38" t="s" s="0">
        <v>97</v>
      </c>
      <c r="AB38" t="s" s="0">
        <v>84</v>
      </c>
      <c r="AC38" t="s" s="0">
        <v>84</v>
      </c>
      <c r="AD38" t="s" s="0">
        <v>84</v>
      </c>
      <c r="AE38" t="s" s="0">
        <v>84</v>
      </c>
      <c r="AF38" t="s" s="0">
        <v>84</v>
      </c>
      <c r="AG38" t="s" s="0">
        <v>84</v>
      </c>
      <c r="AH38" t="s" s="0">
        <v>1311</v>
      </c>
      <c r="AI38" t="s" s="0">
        <v>1312</v>
      </c>
      <c r="AJ38" t="s" s="0">
        <v>1313</v>
      </c>
      <c r="AK38" t="s" s="0">
        <v>84</v>
      </c>
      <c r="AL38" t="s" s="0">
        <v>1314</v>
      </c>
      <c r="AM38" t="s" s="0">
        <v>1315</v>
      </c>
      <c r="AN38" t="s" s="0">
        <v>1316</v>
      </c>
      <c r="AO38" t="s" s="0">
        <v>192</v>
      </c>
      <c r="AP38" t="s" s="0">
        <v>461</v>
      </c>
      <c r="AQ38" t="s" s="0">
        <v>106</v>
      </c>
      <c r="AR38" t="s" s="0">
        <v>107</v>
      </c>
      <c r="AS38" t="s" s="0">
        <v>108</v>
      </c>
      <c r="AT38" t="s" s="0">
        <v>84</v>
      </c>
      <c r="AU38" t="s" s="0">
        <v>1317</v>
      </c>
      <c r="AV38" t="s" s="0">
        <v>84</v>
      </c>
      <c r="AW38" t="s" s="0">
        <v>1318</v>
      </c>
      <c r="AX38" t="s" s="0">
        <v>1319</v>
      </c>
      <c r="AY38" t="s" s="0">
        <v>1320</v>
      </c>
      <c r="AZ38" t="s" s="0">
        <v>351</v>
      </c>
      <c r="BA38" t="s" s="0">
        <v>396</v>
      </c>
      <c r="BB38" t="s" s="0">
        <v>459</v>
      </c>
      <c r="BC38" t="s" s="0">
        <v>84</v>
      </c>
      <c r="BD38" t="s" s="0">
        <v>84</v>
      </c>
      <c r="BE38" t="s" s="0">
        <v>84</v>
      </c>
      <c r="BF38" t="s" s="0">
        <v>84</v>
      </c>
      <c r="BG38" t="s" s="0">
        <v>1321</v>
      </c>
      <c r="BH38" t="s" s="0">
        <v>1322</v>
      </c>
      <c r="BI38" t="s" s="0">
        <v>84</v>
      </c>
      <c r="BJ38" t="s" s="0">
        <v>1323</v>
      </c>
      <c r="BK38" t="s" s="73">
        <f>HYPERLINK("http://dx.doi.org/10.1038/s42256-020-0186-1","http://dx.doi.org/10.1038/s42256-020-0186-1")</f>
        <v>1324</v>
      </c>
      <c r="BL38" t="s" s="0">
        <v>84</v>
      </c>
      <c r="BM38" t="s" s="0">
        <v>84</v>
      </c>
      <c r="BN38" t="s" s="0">
        <v>342</v>
      </c>
      <c r="BO38" t="s" s="0">
        <v>1325</v>
      </c>
      <c r="BP38" t="s" s="0">
        <v>166</v>
      </c>
      <c r="BQ38" t="s" s="0">
        <v>1326</v>
      </c>
      <c r="BR38" t="s" s="0">
        <v>84</v>
      </c>
      <c r="BS38" t="s" s="0">
        <v>1327</v>
      </c>
      <c r="BT38" t="s" s="74">
        <f>HYPERLINK("https://www.webofscience.com/wos/woscc/full-record/WOS:000567382000007","View Record in Web of Science")</f>
        <v>127</v>
      </c>
      <c r="BU38" t="s" s="0">
        <v>432</v>
      </c>
      <c r="BV38" t="s" s="0">
        <v>128</v>
      </c>
      <c r="BW38" t="s" s="0">
        <v>129</v>
      </c>
      <c r="BX38" t="s" s="0">
        <v>130</v>
      </c>
    </row>
    <row r="39">
      <c r="A39" t="s" s="0">
        <v>1117</v>
      </c>
      <c r="B39" t="s" s="0">
        <v>78</v>
      </c>
      <c r="C39" t="s" s="0">
        <v>1328</v>
      </c>
      <c r="D39" t="s" s="0">
        <v>160</v>
      </c>
      <c r="E39" t="s" s="0">
        <v>1329</v>
      </c>
      <c r="F39" t="s" s="0">
        <v>1330</v>
      </c>
      <c r="G39" t="s" s="0">
        <v>1331</v>
      </c>
      <c r="H39" t="s" s="0">
        <v>84</v>
      </c>
      <c r="I39" t="s" s="0">
        <v>251</v>
      </c>
      <c r="J39" t="s" s="0">
        <v>1332</v>
      </c>
      <c r="K39" t="s" s="0">
        <v>1333</v>
      </c>
      <c r="L39" t="s" s="0">
        <v>1334</v>
      </c>
      <c r="M39" t="s" s="0">
        <v>1335</v>
      </c>
      <c r="N39" t="s" s="0">
        <v>1336</v>
      </c>
      <c r="O39" t="s" s="0">
        <v>1337</v>
      </c>
      <c r="P39" t="s" s="0">
        <v>1338</v>
      </c>
      <c r="Q39" t="s" s="0">
        <v>93</v>
      </c>
      <c r="R39" t="s" s="0">
        <v>84</v>
      </c>
      <c r="S39" t="s" s="0">
        <v>84</v>
      </c>
      <c r="T39" t="s" s="0">
        <v>84</v>
      </c>
      <c r="U39" t="s" s="0">
        <v>84</v>
      </c>
      <c r="V39" t="s" s="0">
        <v>1339</v>
      </c>
      <c r="W39" t="s" s="0">
        <v>1340</v>
      </c>
      <c r="X39" t="s" s="0">
        <v>84</v>
      </c>
      <c r="Y39" t="s" s="0">
        <v>84</v>
      </c>
      <c r="Z39" t="s" s="0">
        <v>96</v>
      </c>
      <c r="AA39" t="s" s="0">
        <v>97</v>
      </c>
      <c r="AB39" t="s" s="0">
        <v>84</v>
      </c>
      <c r="AC39" t="s" s="0">
        <v>84</v>
      </c>
      <c r="AD39" t="s" s="0">
        <v>84</v>
      </c>
      <c r="AE39" t="s" s="0">
        <v>84</v>
      </c>
      <c r="AF39" t="s" s="0">
        <v>84</v>
      </c>
      <c r="AG39" t="s" s="0">
        <v>1341</v>
      </c>
      <c r="AH39" t="s" s="0">
        <v>1342</v>
      </c>
      <c r="AI39" t="s" s="0">
        <v>1343</v>
      </c>
      <c r="AJ39" t="s" s="0">
        <v>84</v>
      </c>
      <c r="AK39" t="s" s="0">
        <v>84</v>
      </c>
      <c r="AL39" t="s" s="0">
        <v>339</v>
      </c>
      <c r="AM39" t="s" s="0">
        <v>1344</v>
      </c>
      <c r="AN39" t="s" s="0">
        <v>1345</v>
      </c>
      <c r="AO39" t="s" s="0">
        <v>172</v>
      </c>
      <c r="AP39" t="s" s="0">
        <v>1346</v>
      </c>
      <c r="AQ39" t="s" s="0">
        <v>1347</v>
      </c>
      <c r="AR39" t="s" s="0">
        <v>560</v>
      </c>
      <c r="AS39" t="s" s="0">
        <v>1348</v>
      </c>
      <c r="AT39" t="s" s="0">
        <v>1349</v>
      </c>
      <c r="AU39" t="s" s="0">
        <v>1350</v>
      </c>
      <c r="AV39" t="s" s="0">
        <v>84</v>
      </c>
      <c r="AW39" t="s" s="0">
        <v>1351</v>
      </c>
      <c r="AX39" t="s" s="0">
        <v>1352</v>
      </c>
      <c r="AY39" t="s" s="0">
        <v>1353</v>
      </c>
      <c r="AZ39" t="s" s="0">
        <v>201</v>
      </c>
      <c r="BA39" t="s" s="0">
        <v>1354</v>
      </c>
      <c r="BB39" t="s" s="0">
        <v>116</v>
      </c>
      <c r="BC39" t="s" s="0">
        <v>84</v>
      </c>
      <c r="BD39" t="s" s="0">
        <v>84</v>
      </c>
      <c r="BE39" t="s" s="0">
        <v>84</v>
      </c>
      <c r="BF39" t="s" s="0">
        <v>84</v>
      </c>
      <c r="BG39" t="s" s="0">
        <v>1355</v>
      </c>
      <c r="BH39" t="s" s="0">
        <v>423</v>
      </c>
      <c r="BI39" t="s" s="0">
        <v>84</v>
      </c>
      <c r="BJ39" t="s" s="0">
        <v>1356</v>
      </c>
      <c r="BK39" t="s" s="75">
        <f>HYPERLINK("http://dx.doi.org/10.1097/SLA.0000000000002693","http://dx.doi.org/10.1097/SLA.0000000000002693")</f>
        <v>1357</v>
      </c>
      <c r="BL39" t="s" s="0">
        <v>84</v>
      </c>
      <c r="BM39" t="s" s="0">
        <v>84</v>
      </c>
      <c r="BN39" t="s" s="0">
        <v>342</v>
      </c>
      <c r="BO39" t="s" s="0">
        <v>1358</v>
      </c>
      <c r="BP39" t="s" s="0">
        <v>1358</v>
      </c>
      <c r="BQ39" t="s" s="0">
        <v>1359</v>
      </c>
      <c r="BR39" t="s" s="0">
        <v>1360</v>
      </c>
      <c r="BS39" t="s" s="0">
        <v>1361</v>
      </c>
      <c r="BT39" t="s" s="76">
        <f>HYPERLINK("https://www.webofscience.com/wos/woscc/full-record/WOS:000452662400036","View Record in Web of Science")</f>
        <v>127</v>
      </c>
      <c r="BU39" t="s" s="0">
        <v>321</v>
      </c>
      <c r="BV39" t="s" s="0">
        <v>128</v>
      </c>
      <c r="BW39" t="s" s="0">
        <v>129</v>
      </c>
      <c r="BX39" t="s" s="0">
        <v>130</v>
      </c>
    </row>
    <row r="40">
      <c r="A40" t="s" s="0">
        <v>236</v>
      </c>
      <c r="B40" t="s" s="0">
        <v>78</v>
      </c>
      <c r="C40" t="s" s="0">
        <v>1362</v>
      </c>
      <c r="D40" t="s" s="0">
        <v>396</v>
      </c>
      <c r="E40" t="s" s="0">
        <v>1363</v>
      </c>
      <c r="F40" t="s" s="0">
        <v>1364</v>
      </c>
      <c r="G40" t="s" s="0">
        <v>1365</v>
      </c>
      <c r="H40" t="s" s="0">
        <v>84</v>
      </c>
      <c r="I40" t="s" s="0">
        <v>251</v>
      </c>
      <c r="J40" t="s" s="0">
        <v>1366</v>
      </c>
      <c r="K40" t="s" s="0">
        <v>1367</v>
      </c>
      <c r="L40" t="s" s="0">
        <v>1368</v>
      </c>
      <c r="M40" t="s" s="0">
        <v>1369</v>
      </c>
      <c r="N40" t="s" s="0">
        <v>84</v>
      </c>
      <c r="O40" t="s" s="0">
        <v>1370</v>
      </c>
      <c r="P40" t="s" s="0">
        <v>1371</v>
      </c>
      <c r="Q40" t="s" s="0">
        <v>93</v>
      </c>
      <c r="R40" t="s" s="0">
        <v>84</v>
      </c>
      <c r="S40" t="s" s="0">
        <v>84</v>
      </c>
      <c r="T40" t="s" s="0">
        <v>84</v>
      </c>
      <c r="U40" t="s" s="0">
        <v>84</v>
      </c>
      <c r="V40" t="s" s="0">
        <v>1372</v>
      </c>
      <c r="W40" t="s" s="0">
        <v>95</v>
      </c>
      <c r="X40" t="s" s="0">
        <v>84</v>
      </c>
      <c r="Y40" t="s" s="0">
        <v>84</v>
      </c>
      <c r="Z40" t="s" s="0">
        <v>96</v>
      </c>
      <c r="AA40" t="s" s="0">
        <v>97</v>
      </c>
      <c r="AB40" t="s" s="0">
        <v>84</v>
      </c>
      <c r="AC40" t="s" s="0">
        <v>84</v>
      </c>
      <c r="AD40" t="s" s="0">
        <v>84</v>
      </c>
      <c r="AE40" t="s" s="0">
        <v>84</v>
      </c>
      <c r="AF40" t="s" s="0">
        <v>84</v>
      </c>
      <c r="AG40" t="s" s="0">
        <v>84</v>
      </c>
      <c r="AH40" t="s" s="0">
        <v>1373</v>
      </c>
      <c r="AI40" t="s" s="0">
        <v>84</v>
      </c>
      <c r="AJ40" t="s" s="0">
        <v>1374</v>
      </c>
      <c r="AK40" t="s" s="0">
        <v>84</v>
      </c>
      <c r="AL40" t="s" s="0">
        <v>1355</v>
      </c>
      <c r="AM40" t="s" s="0">
        <v>1375</v>
      </c>
      <c r="AN40" t="s" s="0">
        <v>1376</v>
      </c>
      <c r="AO40" t="s" s="0">
        <v>538</v>
      </c>
      <c r="AP40" t="s" s="0">
        <v>981</v>
      </c>
      <c r="AQ40" t="s" s="0">
        <v>106</v>
      </c>
      <c r="AR40" t="s" s="0">
        <v>107</v>
      </c>
      <c r="AS40" t="s" s="0">
        <v>108</v>
      </c>
      <c r="AT40" t="s" s="0">
        <v>109</v>
      </c>
      <c r="AU40" t="s" s="0">
        <v>110</v>
      </c>
      <c r="AV40" t="s" s="0">
        <v>84</v>
      </c>
      <c r="AW40" t="s" s="0">
        <v>111</v>
      </c>
      <c r="AX40" t="s" s="0">
        <v>112</v>
      </c>
      <c r="AY40" t="s" s="0">
        <v>113</v>
      </c>
      <c r="AZ40" t="s" s="0">
        <v>114</v>
      </c>
      <c r="BA40" t="s" s="0">
        <v>115</v>
      </c>
      <c r="BB40" t="s" s="0">
        <v>116</v>
      </c>
      <c r="BC40" t="s" s="0">
        <v>84</v>
      </c>
      <c r="BD40" t="s" s="0">
        <v>84</v>
      </c>
      <c r="BE40" t="s" s="0">
        <v>84</v>
      </c>
      <c r="BF40" t="s" s="0">
        <v>84</v>
      </c>
      <c r="BG40" t="s" s="0">
        <v>306</v>
      </c>
      <c r="BH40" t="s" s="0">
        <v>1377</v>
      </c>
      <c r="BI40" t="s" s="0">
        <v>84</v>
      </c>
      <c r="BJ40" t="s" s="0">
        <v>1378</v>
      </c>
      <c r="BK40" t="s" s="77">
        <f>HYPERLINK("http://dx.doi.org/10.1038/s41591-018-0272-7","http://dx.doi.org/10.1038/s41591-018-0272-7")</f>
        <v>1379</v>
      </c>
      <c r="BL40" t="s" s="0">
        <v>84</v>
      </c>
      <c r="BM40" t="s" s="0">
        <v>84</v>
      </c>
      <c r="BN40" t="s" s="0">
        <v>342</v>
      </c>
      <c r="BO40" t="s" s="0">
        <v>122</v>
      </c>
      <c r="BP40" t="s" s="0">
        <v>123</v>
      </c>
      <c r="BQ40" t="s" s="0">
        <v>124</v>
      </c>
      <c r="BR40" t="s" s="0">
        <v>1380</v>
      </c>
      <c r="BS40" t="s" s="0">
        <v>1381</v>
      </c>
      <c r="BT40" t="s" s="78">
        <f>HYPERLINK("https://www.webofscience.com/wos/woscc/full-record/WOS:000455027700018","View Record in Web of Science")</f>
        <v>127</v>
      </c>
      <c r="BU40" t="s" s="0">
        <v>84</v>
      </c>
      <c r="BV40" t="s" s="0">
        <v>128</v>
      </c>
      <c r="BW40" t="s" s="0">
        <v>129</v>
      </c>
      <c r="BX40" t="s" s="0">
        <v>130</v>
      </c>
    </row>
    <row r="41">
      <c r="A41" t="s" s="0">
        <v>452</v>
      </c>
      <c r="B41" t="s" s="0">
        <v>78</v>
      </c>
      <c r="C41" t="s" s="0">
        <v>1382</v>
      </c>
      <c r="D41" t="s" s="0">
        <v>242</v>
      </c>
      <c r="E41" t="s" s="0">
        <v>1383</v>
      </c>
      <c r="F41" t="s" s="0">
        <v>1384</v>
      </c>
      <c r="G41" t="s" s="0">
        <v>1385</v>
      </c>
      <c r="H41" t="s" s="0">
        <v>84</v>
      </c>
      <c r="I41" t="s" s="0">
        <v>85</v>
      </c>
      <c r="J41" t="s" s="0">
        <v>1386</v>
      </c>
      <c r="K41" t="s" s="0">
        <v>1387</v>
      </c>
      <c r="L41" t="s" s="0">
        <v>1388</v>
      </c>
      <c r="M41" t="s" s="0">
        <v>1389</v>
      </c>
      <c r="N41" t="s" s="0">
        <v>1390</v>
      </c>
      <c r="O41" t="s" s="0">
        <v>1391</v>
      </c>
      <c r="P41" t="s" s="0">
        <v>1392</v>
      </c>
      <c r="Q41" t="s" s="0">
        <v>93</v>
      </c>
      <c r="R41" t="s" s="0">
        <v>84</v>
      </c>
      <c r="S41" t="s" s="0">
        <v>84</v>
      </c>
      <c r="T41" t="s" s="0">
        <v>84</v>
      </c>
      <c r="U41" t="s" s="0">
        <v>84</v>
      </c>
      <c r="V41" t="s" s="0">
        <v>1393</v>
      </c>
      <c r="W41" t="s" s="0">
        <v>1394</v>
      </c>
      <c r="X41" t="s" s="0">
        <v>84</v>
      </c>
      <c r="Y41" t="s" s="0">
        <v>84</v>
      </c>
      <c r="Z41" t="s" s="0">
        <v>96</v>
      </c>
      <c r="AA41" t="s" s="0">
        <v>97</v>
      </c>
      <c r="AB41" t="s" s="0">
        <v>84</v>
      </c>
      <c r="AC41" t="s" s="0">
        <v>84</v>
      </c>
      <c r="AD41" t="s" s="0">
        <v>84</v>
      </c>
      <c r="AE41" t="s" s="0">
        <v>84</v>
      </c>
      <c r="AF41" t="s" s="0">
        <v>84</v>
      </c>
      <c r="AG41" t="s" s="0">
        <v>1395</v>
      </c>
      <c r="AH41" t="s" s="0">
        <v>1396</v>
      </c>
      <c r="AI41" t="s" s="0">
        <v>1397</v>
      </c>
      <c r="AJ41" t="s" s="0">
        <v>1398</v>
      </c>
      <c r="AK41" t="s" s="0">
        <v>84</v>
      </c>
      <c r="AL41" t="s" s="0">
        <v>1399</v>
      </c>
      <c r="AM41" t="s" s="0">
        <v>1400</v>
      </c>
      <c r="AN41" t="s" s="0">
        <v>1401</v>
      </c>
      <c r="AO41" t="s" s="0">
        <v>242</v>
      </c>
      <c r="AP41" t="s" s="0">
        <v>1402</v>
      </c>
      <c r="AQ41" t="s" s="0">
        <v>379</v>
      </c>
      <c r="AR41" t="s" s="0">
        <v>380</v>
      </c>
      <c r="AS41" t="s" s="0">
        <v>381</v>
      </c>
      <c r="AT41" t="s" s="0">
        <v>1403</v>
      </c>
      <c r="AU41" t="s" s="0">
        <v>1404</v>
      </c>
      <c r="AV41" t="s" s="0">
        <v>84</v>
      </c>
      <c r="AW41" t="s" s="0">
        <v>1405</v>
      </c>
      <c r="AX41" t="s" s="0">
        <v>1406</v>
      </c>
      <c r="AY41" t="s" s="0">
        <v>1407</v>
      </c>
      <c r="AZ41" t="s" s="0">
        <v>201</v>
      </c>
      <c r="BA41" t="s" s="0">
        <v>207</v>
      </c>
      <c r="BB41" t="s" s="0">
        <v>459</v>
      </c>
      <c r="BC41" t="s" s="0">
        <v>84</v>
      </c>
      <c r="BD41" t="s" s="0">
        <v>84</v>
      </c>
      <c r="BE41" t="s" s="0">
        <v>84</v>
      </c>
      <c r="BF41" t="s" s="0">
        <v>84</v>
      </c>
      <c r="BG41" t="s" s="0">
        <v>84</v>
      </c>
      <c r="BH41" t="s" s="0">
        <v>84</v>
      </c>
      <c r="BI41" t="s" s="0">
        <v>1408</v>
      </c>
      <c r="BJ41" t="s" s="0">
        <v>1409</v>
      </c>
      <c r="BK41" t="s" s="79">
        <f>HYPERLINK("http://dx.doi.org/10.3390/ijms19061578","http://dx.doi.org/10.3390/ijms19061578")</f>
        <v>1410</v>
      </c>
      <c r="BL41" t="s" s="0">
        <v>84</v>
      </c>
      <c r="BM41" t="s" s="0">
        <v>84</v>
      </c>
      <c r="BN41" t="s" s="0">
        <v>236</v>
      </c>
      <c r="BO41" t="s" s="0">
        <v>1411</v>
      </c>
      <c r="BP41" t="s" s="0">
        <v>1412</v>
      </c>
      <c r="BQ41" t="s" s="0">
        <v>1413</v>
      </c>
      <c r="BR41" t="s" s="0">
        <v>1414</v>
      </c>
      <c r="BS41" t="s" s="0">
        <v>1415</v>
      </c>
      <c r="BT41" t="s" s="80">
        <f>HYPERLINK("https://www.webofscience.com/wos/woscc/full-record/WOS:000436506600033","View Record in Web of Science")</f>
        <v>127</v>
      </c>
      <c r="BU41" t="s" s="0">
        <v>170</v>
      </c>
      <c r="BV41" t="s" s="0">
        <v>128</v>
      </c>
      <c r="BW41" t="s" s="0">
        <v>129</v>
      </c>
      <c r="BX41" t="s" s="0">
        <v>130</v>
      </c>
    </row>
    <row r="42">
      <c r="A42" t="s" s="0">
        <v>118</v>
      </c>
      <c r="B42" t="s" s="0">
        <v>78</v>
      </c>
      <c r="C42" t="s" s="0">
        <v>1416</v>
      </c>
      <c r="D42" t="s" s="0">
        <v>242</v>
      </c>
      <c r="E42" t="s" s="0">
        <v>1417</v>
      </c>
      <c r="F42" t="s" s="0">
        <v>1418</v>
      </c>
      <c r="G42" t="s" s="0">
        <v>1419</v>
      </c>
      <c r="H42" t="s" s="0">
        <v>84</v>
      </c>
      <c r="I42" t="s" s="0">
        <v>85</v>
      </c>
      <c r="J42" t="s" s="0">
        <v>1420</v>
      </c>
      <c r="K42" t="s" s="0">
        <v>1421</v>
      </c>
      <c r="L42" t="s" s="0">
        <v>84</v>
      </c>
      <c r="M42" t="s" s="0">
        <v>84</v>
      </c>
      <c r="N42" t="s" s="0">
        <v>84</v>
      </c>
      <c r="O42" t="s" s="0">
        <v>1422</v>
      </c>
      <c r="P42" t="s" s="0">
        <v>84</v>
      </c>
      <c r="Q42" t="s" s="0">
        <v>93</v>
      </c>
      <c r="R42" t="s" s="0">
        <v>84</v>
      </c>
      <c r="S42" t="s" s="0">
        <v>84</v>
      </c>
      <c r="T42" t="s" s="0">
        <v>84</v>
      </c>
      <c r="U42" t="s" s="0">
        <v>84</v>
      </c>
      <c r="V42" t="s" s="0">
        <v>1423</v>
      </c>
      <c r="W42" t="s" s="0">
        <v>257</v>
      </c>
      <c r="X42" t="s" s="0">
        <v>84</v>
      </c>
      <c r="Y42" t="s" s="0">
        <v>84</v>
      </c>
      <c r="Z42" t="s" s="0">
        <v>96</v>
      </c>
      <c r="AA42" t="s" s="0">
        <v>97</v>
      </c>
      <c r="AB42" t="s" s="0">
        <v>84</v>
      </c>
      <c r="AC42" t="s" s="0">
        <v>84</v>
      </c>
      <c r="AD42" t="s" s="0">
        <v>84</v>
      </c>
      <c r="AE42" t="s" s="0">
        <v>84</v>
      </c>
      <c r="AF42" t="s" s="0">
        <v>84</v>
      </c>
      <c r="AG42" t="s" s="0">
        <v>84</v>
      </c>
      <c r="AH42" t="s" s="0">
        <v>84</v>
      </c>
      <c r="AI42" t="s" s="0">
        <v>1424</v>
      </c>
      <c r="AJ42" t="s" s="0">
        <v>1425</v>
      </c>
      <c r="AK42" t="s" s="0">
        <v>84</v>
      </c>
      <c r="AL42" t="s" s="0">
        <v>242</v>
      </c>
      <c r="AM42" t="s" s="0">
        <v>1426</v>
      </c>
      <c r="AN42" t="s" s="0">
        <v>1148</v>
      </c>
      <c r="AO42" t="s" s="0">
        <v>925</v>
      </c>
      <c r="AP42" t="s" s="0">
        <v>1427</v>
      </c>
      <c r="AQ42" t="s" s="0">
        <v>266</v>
      </c>
      <c r="AR42" t="s" s="0">
        <v>267</v>
      </c>
      <c r="AS42" t="s" s="0">
        <v>268</v>
      </c>
      <c r="AT42" t="s" s="0">
        <v>269</v>
      </c>
      <c r="AU42" t="s" s="0">
        <v>270</v>
      </c>
      <c r="AV42" t="s" s="0">
        <v>84</v>
      </c>
      <c r="AW42" t="s" s="0">
        <v>271</v>
      </c>
      <c r="AX42" t="s" s="0">
        <v>272</v>
      </c>
      <c r="AY42" t="s" s="0">
        <v>1428</v>
      </c>
      <c r="AZ42" t="s" s="0">
        <v>235</v>
      </c>
      <c r="BA42" t="s" s="0">
        <v>1429</v>
      </c>
      <c r="BB42" t="s" s="0">
        <v>121</v>
      </c>
      <c r="BC42" t="s" s="0">
        <v>84</v>
      </c>
      <c r="BD42" t="s" s="0">
        <v>84</v>
      </c>
      <c r="BE42" t="s" s="0">
        <v>84</v>
      </c>
      <c r="BF42" t="s" s="0">
        <v>84</v>
      </c>
      <c r="BG42" t="s" s="0">
        <v>1430</v>
      </c>
      <c r="BH42" t="s" s="0">
        <v>1431</v>
      </c>
      <c r="BI42" t="s" s="0">
        <v>84</v>
      </c>
      <c r="BJ42" t="s" s="0">
        <v>1432</v>
      </c>
      <c r="BK42" t="s" s="81">
        <f>HYPERLINK("http://dx.doi.org/10.1056/NEJMra2302038","http://dx.doi.org/10.1056/NEJMra2302038")</f>
        <v>1433</v>
      </c>
      <c r="BL42" t="s" s="0">
        <v>84</v>
      </c>
      <c r="BM42" t="s" s="0">
        <v>84</v>
      </c>
      <c r="BN42" t="s" s="0">
        <v>160</v>
      </c>
      <c r="BO42" t="s" s="0">
        <v>281</v>
      </c>
      <c r="BP42" t="s" s="0">
        <v>282</v>
      </c>
      <c r="BQ42" t="s" s="0">
        <v>1434</v>
      </c>
      <c r="BR42" t="s" s="0">
        <v>1435</v>
      </c>
      <c r="BS42" t="s" s="0">
        <v>1436</v>
      </c>
      <c r="BT42" t="s" s="82">
        <f>HYPERLINK("https://www.webofscience.com/wos/woscc/full-record/WOS:000989319200011","View Record in Web of Science")</f>
        <v>127</v>
      </c>
      <c r="BU42" t="s" s="0">
        <v>84</v>
      </c>
      <c r="BV42" t="s" s="0">
        <v>128</v>
      </c>
      <c r="BW42" t="s" s="0">
        <v>129</v>
      </c>
      <c r="BX42" t="s" s="0">
        <v>130</v>
      </c>
    </row>
    <row r="43">
      <c r="A43" t="s" s="0">
        <v>459</v>
      </c>
      <c r="B43" t="s" s="0">
        <v>78</v>
      </c>
      <c r="C43" t="s" s="0">
        <v>1377</v>
      </c>
      <c r="D43" t="s" s="0">
        <v>202</v>
      </c>
      <c r="E43" t="s" s="0">
        <v>1437</v>
      </c>
      <c r="F43" t="s" s="0">
        <v>1438</v>
      </c>
      <c r="G43" t="s" s="0">
        <v>1439</v>
      </c>
      <c r="H43" t="s" s="0">
        <v>84</v>
      </c>
      <c r="I43" t="s" s="0">
        <v>251</v>
      </c>
      <c r="J43" t="s" s="0">
        <v>1440</v>
      </c>
      <c r="K43" t="s" s="0">
        <v>1441</v>
      </c>
      <c r="L43" t="s" s="0">
        <v>1442</v>
      </c>
      <c r="M43" t="s" s="0">
        <v>1443</v>
      </c>
      <c r="N43" t="s" s="0">
        <v>1444</v>
      </c>
      <c r="O43" t="s" s="0">
        <v>1445</v>
      </c>
      <c r="P43" t="s" s="0">
        <v>1446</v>
      </c>
      <c r="Q43" t="s" s="0">
        <v>93</v>
      </c>
      <c r="R43" t="s" s="0">
        <v>84</v>
      </c>
      <c r="S43" t="s" s="0">
        <v>84</v>
      </c>
      <c r="T43" t="s" s="0">
        <v>84</v>
      </c>
      <c r="U43" t="s" s="0">
        <v>84</v>
      </c>
      <c r="V43" t="s" s="0">
        <v>1447</v>
      </c>
      <c r="W43" t="s" s="0">
        <v>1448</v>
      </c>
      <c r="X43" t="s" s="0">
        <v>84</v>
      </c>
      <c r="Y43" t="s" s="0">
        <v>84</v>
      </c>
      <c r="Z43" t="s" s="0">
        <v>96</v>
      </c>
      <c r="AA43" t="s" s="0">
        <v>97</v>
      </c>
      <c r="AB43" t="s" s="0">
        <v>84</v>
      </c>
      <c r="AC43" t="s" s="0">
        <v>84</v>
      </c>
      <c r="AD43" t="s" s="0">
        <v>84</v>
      </c>
      <c r="AE43" t="s" s="0">
        <v>84</v>
      </c>
      <c r="AF43" t="s" s="0">
        <v>84</v>
      </c>
      <c r="AG43" t="s" s="0">
        <v>1449</v>
      </c>
      <c r="AH43" t="s" s="0">
        <v>1450</v>
      </c>
      <c r="AI43" t="s" s="0">
        <v>1451</v>
      </c>
      <c r="AJ43" t="s" s="0">
        <v>1452</v>
      </c>
      <c r="AK43" t="s" s="0">
        <v>84</v>
      </c>
      <c r="AL43" t="s" s="0">
        <v>433</v>
      </c>
      <c r="AM43" t="s" s="0">
        <v>1453</v>
      </c>
      <c r="AN43" t="s" s="0">
        <v>1454</v>
      </c>
      <c r="AO43" t="s" s="0">
        <v>121</v>
      </c>
      <c r="AP43" t="s" s="0">
        <v>1455</v>
      </c>
      <c r="AQ43" t="s" s="0">
        <v>632</v>
      </c>
      <c r="AR43" t="s" s="0">
        <v>633</v>
      </c>
      <c r="AS43" t="s" s="0">
        <v>634</v>
      </c>
      <c r="AT43" t="s" s="0">
        <v>1456</v>
      </c>
      <c r="AU43" t="s" s="0">
        <v>1457</v>
      </c>
      <c r="AV43" t="s" s="0">
        <v>84</v>
      </c>
      <c r="AW43" t="s" s="0">
        <v>1458</v>
      </c>
      <c r="AX43" t="s" s="0">
        <v>1459</v>
      </c>
      <c r="AY43" t="s" s="0">
        <v>1460</v>
      </c>
      <c r="AZ43" t="s" s="0">
        <v>201</v>
      </c>
      <c r="BA43" t="s" s="0">
        <v>115</v>
      </c>
      <c r="BB43" t="s" s="0">
        <v>172</v>
      </c>
      <c r="BC43" t="s" s="0">
        <v>84</v>
      </c>
      <c r="BD43" t="s" s="0">
        <v>84</v>
      </c>
      <c r="BE43" t="s" s="0">
        <v>84</v>
      </c>
      <c r="BF43" t="s" s="0">
        <v>84</v>
      </c>
      <c r="BG43" t="s" s="0">
        <v>1461</v>
      </c>
      <c r="BH43" t="s" s="0">
        <v>1462</v>
      </c>
      <c r="BI43" t="s" s="0">
        <v>84</v>
      </c>
      <c r="BJ43" t="s" s="0">
        <v>1463</v>
      </c>
      <c r="BK43" t="s" s="83">
        <f>HYPERLINK("http://dx.doi.org/10.1093/jamia/ocy072","http://dx.doi.org/10.1093/jamia/ocy072")</f>
        <v>1464</v>
      </c>
      <c r="BL43" t="s" s="0">
        <v>84</v>
      </c>
      <c r="BM43" t="s" s="0">
        <v>84</v>
      </c>
      <c r="BN43" t="s" s="0">
        <v>242</v>
      </c>
      <c r="BO43" t="s" s="0">
        <v>1465</v>
      </c>
      <c r="BP43" t="s" s="0">
        <v>1466</v>
      </c>
      <c r="BQ43" t="s" s="0">
        <v>1467</v>
      </c>
      <c r="BR43" t="s" s="0">
        <v>1468</v>
      </c>
      <c r="BS43" t="s" s="0">
        <v>1469</v>
      </c>
      <c r="BT43" t="s" s="84">
        <f>HYPERLINK("https://www.webofscience.com/wos/woscc/full-record/WOS:000443542400020","View Record in Web of Science")</f>
        <v>127</v>
      </c>
      <c r="BU43" t="s" s="0">
        <v>432</v>
      </c>
      <c r="BV43" t="s" s="0">
        <v>128</v>
      </c>
      <c r="BW43" t="s" s="0">
        <v>129</v>
      </c>
      <c r="BX43" t="s" s="0">
        <v>130</v>
      </c>
    </row>
    <row r="44">
      <c r="A44" t="s" s="0">
        <v>280</v>
      </c>
      <c r="B44" t="s" s="0">
        <v>78</v>
      </c>
      <c r="C44" t="s" s="0">
        <v>1032</v>
      </c>
      <c r="D44" t="s" s="0">
        <v>701</v>
      </c>
      <c r="E44" t="s" s="0">
        <v>1470</v>
      </c>
      <c r="F44" t="s" s="0">
        <v>1471</v>
      </c>
      <c r="G44" t="s" s="0">
        <v>1472</v>
      </c>
      <c r="H44" t="s" s="0">
        <v>84</v>
      </c>
      <c r="I44" t="s" s="0">
        <v>1100</v>
      </c>
      <c r="J44" t="s" s="0">
        <v>1473</v>
      </c>
      <c r="K44" t="s" s="0">
        <v>1474</v>
      </c>
      <c r="L44" t="s" s="0">
        <v>84</v>
      </c>
      <c r="M44" t="s" s="0">
        <v>84</v>
      </c>
      <c r="N44" t="s" s="0">
        <v>84</v>
      </c>
      <c r="O44" t="s" s="0">
        <v>1475</v>
      </c>
      <c r="P44" t="s" s="0">
        <v>1476</v>
      </c>
      <c r="Q44" t="s" s="0">
        <v>93</v>
      </c>
      <c r="R44" t="s" s="0">
        <v>84</v>
      </c>
      <c r="S44" t="s" s="0">
        <v>84</v>
      </c>
      <c r="T44" t="s" s="0">
        <v>84</v>
      </c>
      <c r="U44" t="s" s="0">
        <v>84</v>
      </c>
      <c r="V44" t="s" s="0">
        <v>1477</v>
      </c>
      <c r="W44" t="s" s="0">
        <v>1478</v>
      </c>
      <c r="X44" t="s" s="0">
        <v>84</v>
      </c>
      <c r="Y44" t="s" s="0">
        <v>84</v>
      </c>
      <c r="Z44" t="s" s="0">
        <v>96</v>
      </c>
      <c r="AA44" t="s" s="0">
        <v>97</v>
      </c>
      <c r="AB44" t="s" s="0">
        <v>84</v>
      </c>
      <c r="AC44" t="s" s="0">
        <v>84</v>
      </c>
      <c r="AD44" t="s" s="0">
        <v>84</v>
      </c>
      <c r="AE44" t="s" s="0">
        <v>84</v>
      </c>
      <c r="AF44" t="s" s="0">
        <v>84</v>
      </c>
      <c r="AG44" t="s" s="0">
        <v>1479</v>
      </c>
      <c r="AH44" t="s" s="0">
        <v>84</v>
      </c>
      <c r="AI44" t="s" s="0">
        <v>1480</v>
      </c>
      <c r="AJ44" t="s" s="0">
        <v>1481</v>
      </c>
      <c r="AK44" t="s" s="0">
        <v>84</v>
      </c>
      <c r="AL44" t="s" s="0">
        <v>264</v>
      </c>
      <c r="AM44" t="s" s="0">
        <v>1482</v>
      </c>
      <c r="AN44" t="s" s="0">
        <v>1172</v>
      </c>
      <c r="AO44" t="s" s="0">
        <v>121</v>
      </c>
      <c r="AP44" t="s" s="0">
        <v>1483</v>
      </c>
      <c r="AQ44" t="s" s="0">
        <v>1484</v>
      </c>
      <c r="AR44" t="s" s="0">
        <v>1485</v>
      </c>
      <c r="AS44" t="s" s="0">
        <v>1486</v>
      </c>
      <c r="AT44" t="s" s="0">
        <v>84</v>
      </c>
      <c r="AU44" t="s" s="0">
        <v>1487</v>
      </c>
      <c r="AV44" t="s" s="0">
        <v>84</v>
      </c>
      <c r="AW44" t="s" s="0">
        <v>1488</v>
      </c>
      <c r="AX44" t="s" s="0">
        <v>1489</v>
      </c>
      <c r="AY44" t="s" s="0">
        <v>1490</v>
      </c>
      <c r="AZ44" t="s" s="0">
        <v>235</v>
      </c>
      <c r="BA44" t="s" s="0">
        <v>459</v>
      </c>
      <c r="BB44" t="s" s="0">
        <v>84</v>
      </c>
      <c r="BC44" t="s" s="0">
        <v>84</v>
      </c>
      <c r="BD44" t="s" s="0">
        <v>84</v>
      </c>
      <c r="BE44" t="s" s="0">
        <v>84</v>
      </c>
      <c r="BF44" t="s" s="0">
        <v>84</v>
      </c>
      <c r="BG44" t="s" s="0">
        <v>84</v>
      </c>
      <c r="BH44" t="s" s="0">
        <v>84</v>
      </c>
      <c r="BI44" t="s" s="0">
        <v>1491</v>
      </c>
      <c r="BJ44" t="s" s="0">
        <v>1492</v>
      </c>
      <c r="BK44" t="s" s="85">
        <f>HYPERLINK("http://dx.doi.org/10.3389/frai.2023.1169595","http://dx.doi.org/10.3389/frai.2023.1169595")</f>
        <v>1493</v>
      </c>
      <c r="BL44" t="s" s="0">
        <v>84</v>
      </c>
      <c r="BM44" t="s" s="0">
        <v>84</v>
      </c>
      <c r="BN44" t="s" s="0">
        <v>214</v>
      </c>
      <c r="BO44" t="s" s="0">
        <v>1494</v>
      </c>
      <c r="BP44" t="s" s="0">
        <v>166</v>
      </c>
      <c r="BQ44" t="s" s="0">
        <v>1495</v>
      </c>
      <c r="BR44" t="s" s="0">
        <v>1496</v>
      </c>
      <c r="BS44" t="s" s="0">
        <v>1497</v>
      </c>
      <c r="BT44" t="s" s="86">
        <f>HYPERLINK("https://www.webofscience.com/wos/woscc/full-record/WOS:000989845200001","View Record in Web of Science")</f>
        <v>127</v>
      </c>
      <c r="BU44" t="s" s="0">
        <v>170</v>
      </c>
      <c r="BV44" t="s" s="0">
        <v>84</v>
      </c>
      <c r="BW44" t="s" s="0">
        <v>84</v>
      </c>
      <c r="BX44" t="s" s="0">
        <v>130</v>
      </c>
    </row>
    <row r="45">
      <c r="A45" t="s" s="0">
        <v>1050</v>
      </c>
      <c r="B45" t="s" s="0">
        <v>78</v>
      </c>
      <c r="C45" t="s" s="0">
        <v>1498</v>
      </c>
      <c r="D45" t="s" s="0">
        <v>202</v>
      </c>
      <c r="E45" t="s" s="0">
        <v>1499</v>
      </c>
      <c r="F45" t="s" s="0">
        <v>1500</v>
      </c>
      <c r="G45" t="s" s="0">
        <v>1501</v>
      </c>
      <c r="H45" t="s" s="0">
        <v>84</v>
      </c>
      <c r="I45" t="s" s="0">
        <v>85</v>
      </c>
      <c r="J45" t="s" s="0">
        <v>1502</v>
      </c>
      <c r="K45" t="s" s="0">
        <v>1503</v>
      </c>
      <c r="L45" t="s" s="0">
        <v>84</v>
      </c>
      <c r="M45" t="s" s="0">
        <v>84</v>
      </c>
      <c r="N45" t="s" s="0">
        <v>84</v>
      </c>
      <c r="O45" t="s" s="0">
        <v>1504</v>
      </c>
      <c r="P45" t="s" s="0">
        <v>1505</v>
      </c>
      <c r="Q45" t="s" s="0">
        <v>93</v>
      </c>
      <c r="R45" t="s" s="0">
        <v>84</v>
      </c>
      <c r="S45" t="s" s="0">
        <v>84</v>
      </c>
      <c r="T45" t="s" s="0">
        <v>84</v>
      </c>
      <c r="U45" t="s" s="0">
        <v>84</v>
      </c>
      <c r="V45" t="s" s="0">
        <v>1506</v>
      </c>
      <c r="W45" t="s" s="0">
        <v>1507</v>
      </c>
      <c r="X45" t="s" s="0">
        <v>84</v>
      </c>
      <c r="Y45" t="s" s="0">
        <v>84</v>
      </c>
      <c r="Z45" t="s" s="0">
        <v>96</v>
      </c>
      <c r="AA45" t="s" s="0">
        <v>97</v>
      </c>
      <c r="AB45" t="s" s="0">
        <v>84</v>
      </c>
      <c r="AC45" t="s" s="0">
        <v>84</v>
      </c>
      <c r="AD45" t="s" s="0">
        <v>84</v>
      </c>
      <c r="AE45" t="s" s="0">
        <v>84</v>
      </c>
      <c r="AF45" t="s" s="0">
        <v>84</v>
      </c>
      <c r="AG45" t="s" s="0">
        <v>84</v>
      </c>
      <c r="AH45" t="s" s="0">
        <v>1508</v>
      </c>
      <c r="AI45" t="s" s="0">
        <v>1509</v>
      </c>
      <c r="AJ45" t="s" s="0">
        <v>1510</v>
      </c>
      <c r="AK45" t="s" s="0">
        <v>84</v>
      </c>
      <c r="AL45" t="s" s="0">
        <v>1511</v>
      </c>
      <c r="AM45" t="s" s="0">
        <v>1512</v>
      </c>
      <c r="AN45" t="s" s="0">
        <v>1513</v>
      </c>
      <c r="AO45" t="s" s="0">
        <v>133</v>
      </c>
      <c r="AP45" t="s" s="0">
        <v>1514</v>
      </c>
      <c r="AQ45" t="s" s="0">
        <v>106</v>
      </c>
      <c r="AR45" t="s" s="0">
        <v>107</v>
      </c>
      <c r="AS45" t="s" s="0">
        <v>108</v>
      </c>
      <c r="AT45" t="s" s="0">
        <v>1515</v>
      </c>
      <c r="AU45" t="s" s="0">
        <v>84</v>
      </c>
      <c r="AV45" t="s" s="0">
        <v>84</v>
      </c>
      <c r="AW45" t="s" s="0">
        <v>1516</v>
      </c>
      <c r="AX45" t="s" s="0">
        <v>1517</v>
      </c>
      <c r="AY45" t="s" s="0">
        <v>1518</v>
      </c>
      <c r="AZ45" t="s" s="0">
        <v>159</v>
      </c>
      <c r="BA45" t="s" s="0">
        <v>202</v>
      </c>
      <c r="BB45" t="s" s="0">
        <v>116</v>
      </c>
      <c r="BC45" t="s" s="0">
        <v>84</v>
      </c>
      <c r="BD45" t="s" s="0">
        <v>84</v>
      </c>
      <c r="BE45" t="s" s="0">
        <v>84</v>
      </c>
      <c r="BF45" t="s" s="0">
        <v>84</v>
      </c>
      <c r="BG45" t="s" s="0">
        <v>84</v>
      </c>
      <c r="BH45" t="s" s="0">
        <v>84</v>
      </c>
      <c r="BI45" t="s" s="0">
        <v>214</v>
      </c>
      <c r="BJ45" t="s" s="0">
        <v>1519</v>
      </c>
      <c r="BK45" t="s" s="87">
        <f>HYPERLINK("http://dx.doi.org/10.1038/s41746-020-00376-2","http://dx.doi.org/10.1038/s41746-020-00376-2")</f>
        <v>1520</v>
      </c>
      <c r="BL45" t="s" s="0">
        <v>84</v>
      </c>
      <c r="BM45" t="s" s="0">
        <v>84</v>
      </c>
      <c r="BN45" t="s" s="0">
        <v>172</v>
      </c>
      <c r="BO45" t="s" s="0">
        <v>1298</v>
      </c>
      <c r="BP45" t="s" s="0">
        <v>1298</v>
      </c>
      <c r="BQ45" t="s" s="0">
        <v>1521</v>
      </c>
      <c r="BR45" t="s" s="0">
        <v>1522</v>
      </c>
      <c r="BS45" t="s" s="0">
        <v>1523</v>
      </c>
      <c r="BT45" t="s" s="88">
        <f>HYPERLINK("https://www.webofscience.com/wos/woscc/full-record/WOS:000610370300001","View Record in Web of Science")</f>
        <v>127</v>
      </c>
      <c r="BU45" t="s" s="0">
        <v>170</v>
      </c>
      <c r="BV45" t="s" s="0">
        <v>128</v>
      </c>
      <c r="BW45" t="s" s="0">
        <v>129</v>
      </c>
      <c r="BX45" t="s" s="0">
        <v>130</v>
      </c>
    </row>
    <row r="46">
      <c r="A46" t="s" s="0">
        <v>1524</v>
      </c>
      <c r="B46" t="s" s="0">
        <v>78</v>
      </c>
      <c r="C46" t="s" s="0">
        <v>1525</v>
      </c>
      <c r="D46" t="s" s="0">
        <v>78</v>
      </c>
      <c r="E46" t="s" s="0">
        <v>1526</v>
      </c>
      <c r="F46" t="s" s="0">
        <v>1527</v>
      </c>
      <c r="G46" t="s" s="0">
        <v>1528</v>
      </c>
      <c r="H46" t="s" s="0">
        <v>84</v>
      </c>
      <c r="I46" t="s" s="0">
        <v>85</v>
      </c>
      <c r="J46" t="s" s="0">
        <v>1529</v>
      </c>
      <c r="K46" t="s" s="0">
        <v>1530</v>
      </c>
      <c r="L46" t="s" s="0">
        <v>1531</v>
      </c>
      <c r="M46" t="s" s="0">
        <v>1532</v>
      </c>
      <c r="N46" t="s" s="0">
        <v>1533</v>
      </c>
      <c r="O46" t="s" s="0">
        <v>1534</v>
      </c>
      <c r="P46" t="s" s="0">
        <v>1535</v>
      </c>
      <c r="Q46" t="s" s="0">
        <v>93</v>
      </c>
      <c r="R46" t="s" s="0">
        <v>84</v>
      </c>
      <c r="S46" t="s" s="0">
        <v>84</v>
      </c>
      <c r="T46" t="s" s="0">
        <v>84</v>
      </c>
      <c r="U46" t="s" s="0">
        <v>84</v>
      </c>
      <c r="V46" t="s" s="0">
        <v>1536</v>
      </c>
      <c r="W46" t="s" s="0">
        <v>1537</v>
      </c>
      <c r="X46" t="s" s="0">
        <v>84</v>
      </c>
      <c r="Y46" t="s" s="0">
        <v>84</v>
      </c>
      <c r="Z46" t="s" s="0">
        <v>96</v>
      </c>
      <c r="AA46" t="s" s="0">
        <v>97</v>
      </c>
      <c r="AB46" t="s" s="0">
        <v>84</v>
      </c>
      <c r="AC46" t="s" s="0">
        <v>84</v>
      </c>
      <c r="AD46" t="s" s="0">
        <v>84</v>
      </c>
      <c r="AE46" t="s" s="0">
        <v>84</v>
      </c>
      <c r="AF46" t="s" s="0">
        <v>84</v>
      </c>
      <c r="AG46" t="s" s="0">
        <v>84</v>
      </c>
      <c r="AH46" t="s" s="0">
        <v>1538</v>
      </c>
      <c r="AI46" t="s" s="0">
        <v>1539</v>
      </c>
      <c r="AJ46" t="s" s="0">
        <v>1540</v>
      </c>
      <c r="AK46" t="s" s="0">
        <v>84</v>
      </c>
      <c r="AL46" t="s" s="0">
        <v>1541</v>
      </c>
      <c r="AM46" t="s" s="0">
        <v>1542</v>
      </c>
      <c r="AN46" t="s" s="0">
        <v>1543</v>
      </c>
      <c r="AO46" t="s" s="0">
        <v>360</v>
      </c>
      <c r="AP46" t="s" s="0">
        <v>1544</v>
      </c>
      <c r="AQ46" t="s" s="0">
        <v>152</v>
      </c>
      <c r="AR46" t="s" s="0">
        <v>153</v>
      </c>
      <c r="AS46" t="s" s="0">
        <v>1545</v>
      </c>
      <c r="AT46" t="s" s="0">
        <v>1546</v>
      </c>
      <c r="AU46" t="s" s="0">
        <v>1547</v>
      </c>
      <c r="AV46" t="s" s="0">
        <v>84</v>
      </c>
      <c r="AW46" t="s" s="0">
        <v>1548</v>
      </c>
      <c r="AX46" t="s" s="0">
        <v>1549</v>
      </c>
      <c r="AY46" t="s" s="0">
        <v>1550</v>
      </c>
      <c r="AZ46" t="s" s="0">
        <v>235</v>
      </c>
      <c r="BA46" t="s" s="0">
        <v>160</v>
      </c>
      <c r="BB46" t="s" s="0">
        <v>116</v>
      </c>
      <c r="BC46" t="s" s="0">
        <v>84</v>
      </c>
      <c r="BD46" t="s" s="0">
        <v>84</v>
      </c>
      <c r="BE46" t="s" s="0">
        <v>84</v>
      </c>
      <c r="BF46" t="s" s="0">
        <v>84</v>
      </c>
      <c r="BG46" t="s" s="0">
        <v>84</v>
      </c>
      <c r="BH46" t="s" s="0">
        <v>84</v>
      </c>
      <c r="BI46" t="s" s="0">
        <v>1551</v>
      </c>
      <c r="BJ46" t="s" s="0">
        <v>1552</v>
      </c>
      <c r="BK46" t="s" s="89">
        <f>HYPERLINK("http://dx.doi.org/10.1038/s41392-023-01642-x","http://dx.doi.org/10.1038/s41392-023-01642-x")</f>
        <v>1553</v>
      </c>
      <c r="BL46" t="s" s="0">
        <v>84</v>
      </c>
      <c r="BM46" t="s" s="0">
        <v>84</v>
      </c>
      <c r="BN46" t="s" s="0">
        <v>322</v>
      </c>
      <c r="BO46" t="s" s="0">
        <v>1554</v>
      </c>
      <c r="BP46" t="s" s="0">
        <v>1554</v>
      </c>
      <c r="BQ46" t="s" s="0">
        <v>1555</v>
      </c>
      <c r="BR46" t="s" s="0">
        <v>1556</v>
      </c>
      <c r="BS46" t="s" s="0">
        <v>1557</v>
      </c>
      <c r="BT46" t="s" s="90">
        <f>HYPERLINK("https://www.webofscience.com/wos/woscc/full-record/WOS:001092160000001","View Record in Web of Science")</f>
        <v>127</v>
      </c>
      <c r="BU46" t="s" s="0">
        <v>170</v>
      </c>
      <c r="BV46" t="s" s="0">
        <v>128</v>
      </c>
      <c r="BW46" t="s" s="0">
        <v>129</v>
      </c>
      <c r="BX46" t="s" s="0">
        <v>130</v>
      </c>
    </row>
    <row r="47">
      <c r="A47" t="s" s="0">
        <v>306</v>
      </c>
      <c r="B47" t="s" s="0">
        <v>78</v>
      </c>
      <c r="C47" t="s" s="0">
        <v>1558</v>
      </c>
      <c r="D47" t="s" s="0">
        <v>116</v>
      </c>
      <c r="E47" t="s" s="0">
        <v>1559</v>
      </c>
      <c r="F47" t="s" s="0">
        <v>1560</v>
      </c>
      <c r="G47" t="s" s="0">
        <v>1561</v>
      </c>
      <c r="H47" t="s" s="0">
        <v>84</v>
      </c>
      <c r="I47" t="s" s="0">
        <v>85</v>
      </c>
      <c r="J47" t="s" s="0">
        <v>1562</v>
      </c>
      <c r="K47" t="s" s="0">
        <v>1563</v>
      </c>
      <c r="L47" t="s" s="0">
        <v>1564</v>
      </c>
      <c r="M47" t="s" s="0">
        <v>1565</v>
      </c>
      <c r="N47" t="s" s="0">
        <v>1566</v>
      </c>
      <c r="O47" t="s" s="0">
        <v>1567</v>
      </c>
      <c r="P47" t="s" s="0">
        <v>1568</v>
      </c>
      <c r="Q47" t="s" s="0">
        <v>93</v>
      </c>
      <c r="R47" t="s" s="0">
        <v>84</v>
      </c>
      <c r="S47" t="s" s="0">
        <v>84</v>
      </c>
      <c r="T47" t="s" s="0">
        <v>84</v>
      </c>
      <c r="U47" t="s" s="0">
        <v>84</v>
      </c>
      <c r="V47" t="s" s="0">
        <v>1569</v>
      </c>
      <c r="W47" t="s" s="0">
        <v>1570</v>
      </c>
      <c r="X47" t="s" s="0">
        <v>84</v>
      </c>
      <c r="Y47" t="s" s="0">
        <v>84</v>
      </c>
      <c r="Z47" t="s" s="0">
        <v>96</v>
      </c>
      <c r="AA47" t="s" s="0">
        <v>97</v>
      </c>
      <c r="AB47" t="s" s="0">
        <v>84</v>
      </c>
      <c r="AC47" t="s" s="0">
        <v>84</v>
      </c>
      <c r="AD47" t="s" s="0">
        <v>84</v>
      </c>
      <c r="AE47" t="s" s="0">
        <v>84</v>
      </c>
      <c r="AF47" t="s" s="0">
        <v>84</v>
      </c>
      <c r="AG47" t="s" s="0">
        <v>1571</v>
      </c>
      <c r="AH47" t="s" s="0">
        <v>1572</v>
      </c>
      <c r="AI47" t="s" s="0">
        <v>1573</v>
      </c>
      <c r="AJ47" t="s" s="0">
        <v>1574</v>
      </c>
      <c r="AK47" t="s" s="0">
        <v>84</v>
      </c>
      <c r="AL47" t="s" s="0">
        <v>1575</v>
      </c>
      <c r="AM47" t="s" s="0">
        <v>1576</v>
      </c>
      <c r="AN47" t="s" s="0">
        <v>1577</v>
      </c>
      <c r="AO47" t="s" s="0">
        <v>1578</v>
      </c>
      <c r="AP47" t="s" s="0">
        <v>1579</v>
      </c>
      <c r="AQ47" t="s" s="0">
        <v>1580</v>
      </c>
      <c r="AR47" t="s" s="0">
        <v>1581</v>
      </c>
      <c r="AS47" t="s" s="0">
        <v>1582</v>
      </c>
      <c r="AT47" t="s" s="0">
        <v>1583</v>
      </c>
      <c r="AU47" t="s" s="0">
        <v>1584</v>
      </c>
      <c r="AV47" t="s" s="0">
        <v>84</v>
      </c>
      <c r="AW47" t="s" s="0">
        <v>1585</v>
      </c>
      <c r="AX47" t="s" s="0">
        <v>1586</v>
      </c>
      <c r="AY47" t="s" s="0">
        <v>1587</v>
      </c>
      <c r="AZ47" t="s" s="0">
        <v>235</v>
      </c>
      <c r="BA47" t="s" s="0">
        <v>1588</v>
      </c>
      <c r="BB47" t="s" s="0">
        <v>202</v>
      </c>
      <c r="BC47" t="s" s="0">
        <v>84</v>
      </c>
      <c r="BD47" t="s" s="0">
        <v>84</v>
      </c>
      <c r="BE47" t="s" s="0">
        <v>84</v>
      </c>
      <c r="BF47" t="s" s="0">
        <v>84</v>
      </c>
      <c r="BG47" t="s" s="0">
        <v>1589</v>
      </c>
      <c r="BH47" t="s" s="0">
        <v>1590</v>
      </c>
      <c r="BI47" t="s" s="0">
        <v>84</v>
      </c>
      <c r="BJ47" t="s" s="0">
        <v>1591</v>
      </c>
      <c r="BK47" t="s" s="91">
        <f>HYPERLINK("http://dx.doi.org/10.1109/TKDE.2021.3130191","http://dx.doi.org/10.1109/TKDE.2021.3130191")</f>
        <v>1592</v>
      </c>
      <c r="BL47" t="s" s="0">
        <v>84</v>
      </c>
      <c r="BM47" t="s" s="0">
        <v>84</v>
      </c>
      <c r="BN47" t="s" s="0">
        <v>604</v>
      </c>
      <c r="BO47" t="s" s="0">
        <v>1593</v>
      </c>
      <c r="BP47" t="s" s="0">
        <v>1594</v>
      </c>
      <c r="BQ47" t="s" s="0">
        <v>1595</v>
      </c>
      <c r="BR47" t="s" s="0">
        <v>84</v>
      </c>
      <c r="BS47" t="s" s="0">
        <v>1596</v>
      </c>
      <c r="BT47" t="s" s="92">
        <f>HYPERLINK("https://www.webofscience.com/wos/woscc/full-record/WOS:000965229000001","View Record in Web of Science")</f>
        <v>127</v>
      </c>
      <c r="BU47" t="s" s="0">
        <v>84</v>
      </c>
      <c r="BV47" t="s" s="0">
        <v>128</v>
      </c>
      <c r="BW47" t="s" s="0">
        <v>129</v>
      </c>
      <c r="BX47" t="s" s="0">
        <v>130</v>
      </c>
    </row>
    <row r="48">
      <c r="A48" t="s" s="0">
        <v>452</v>
      </c>
      <c r="B48" t="s" s="0">
        <v>78</v>
      </c>
      <c r="C48" t="s" s="0">
        <v>1597</v>
      </c>
      <c r="D48" t="s" s="0">
        <v>787</v>
      </c>
      <c r="E48" t="s" s="0">
        <v>1598</v>
      </c>
      <c r="F48" t="s" s="0">
        <v>1599</v>
      </c>
      <c r="G48" t="s" s="0">
        <v>1600</v>
      </c>
      <c r="H48" t="s" s="0">
        <v>84</v>
      </c>
      <c r="I48" t="s" s="0">
        <v>85</v>
      </c>
      <c r="J48" t="s" s="0">
        <v>1601</v>
      </c>
      <c r="K48" t="s" s="0">
        <v>1602</v>
      </c>
      <c r="L48" t="s" s="0">
        <v>1603</v>
      </c>
      <c r="M48" t="s" s="0">
        <v>1604</v>
      </c>
      <c r="N48" t="s" s="0">
        <v>1605</v>
      </c>
      <c r="O48" t="s" s="0">
        <v>1606</v>
      </c>
      <c r="P48" t="s" s="0">
        <v>1607</v>
      </c>
      <c r="Q48" t="s" s="0">
        <v>93</v>
      </c>
      <c r="R48" t="s" s="0">
        <v>84</v>
      </c>
      <c r="S48" t="s" s="0">
        <v>84</v>
      </c>
      <c r="T48" t="s" s="0">
        <v>84</v>
      </c>
      <c r="U48" t="s" s="0">
        <v>84</v>
      </c>
      <c r="V48" t="s" s="0">
        <v>1608</v>
      </c>
      <c r="W48" t="s" s="0">
        <v>1609</v>
      </c>
      <c r="X48" t="s" s="0">
        <v>84</v>
      </c>
      <c r="Y48" t="s" s="0">
        <v>84</v>
      </c>
      <c r="Z48" t="s" s="0">
        <v>96</v>
      </c>
      <c r="AA48" t="s" s="0">
        <v>97</v>
      </c>
      <c r="AB48" t="s" s="0">
        <v>84</v>
      </c>
      <c r="AC48" t="s" s="0">
        <v>84</v>
      </c>
      <c r="AD48" t="s" s="0">
        <v>84</v>
      </c>
      <c r="AE48" t="s" s="0">
        <v>84</v>
      </c>
      <c r="AF48" t="s" s="0">
        <v>84</v>
      </c>
      <c r="AG48" t="s" s="0">
        <v>1610</v>
      </c>
      <c r="AH48" t="s" s="0">
        <v>1611</v>
      </c>
      <c r="AI48" t="s" s="0">
        <v>1612</v>
      </c>
      <c r="AJ48" t="s" s="0">
        <v>1613</v>
      </c>
      <c r="AK48" t="s" s="0">
        <v>84</v>
      </c>
      <c r="AL48" t="s" s="0">
        <v>1289</v>
      </c>
      <c r="AM48" t="s" s="0">
        <v>1614</v>
      </c>
      <c r="AN48" t="s" s="0">
        <v>1615</v>
      </c>
      <c r="AO48" t="s" s="0">
        <v>214</v>
      </c>
      <c r="AP48" t="s" s="0">
        <v>1616</v>
      </c>
      <c r="AQ48" t="s" s="0">
        <v>841</v>
      </c>
      <c r="AR48" t="s" s="0">
        <v>842</v>
      </c>
      <c r="AS48" t="s" s="0">
        <v>843</v>
      </c>
      <c r="AT48" t="s" s="0">
        <v>1617</v>
      </c>
      <c r="AU48" t="s" s="0">
        <v>1618</v>
      </c>
      <c r="AV48" t="s" s="0">
        <v>84</v>
      </c>
      <c r="AW48" t="s" s="0">
        <v>1619</v>
      </c>
      <c r="AX48" t="s" s="0">
        <v>1620</v>
      </c>
      <c r="AY48" t="s" s="0">
        <v>159</v>
      </c>
      <c r="AZ48" t="s" s="0">
        <v>159</v>
      </c>
      <c r="BA48" t="s" s="0">
        <v>275</v>
      </c>
      <c r="BB48" t="s" s="0">
        <v>84</v>
      </c>
      <c r="BC48" t="s" s="0">
        <v>84</v>
      </c>
      <c r="BD48" t="s" s="0">
        <v>84</v>
      </c>
      <c r="BE48" t="s" s="0">
        <v>84</v>
      </c>
      <c r="BF48" t="s" s="0">
        <v>84</v>
      </c>
      <c r="BG48" t="s" s="0">
        <v>202</v>
      </c>
      <c r="BH48" t="s" s="0">
        <v>133</v>
      </c>
      <c r="BI48" t="s" s="0">
        <v>84</v>
      </c>
      <c r="BJ48" t="s" s="0">
        <v>1621</v>
      </c>
      <c r="BK48" t="s" s="93">
        <f>HYPERLINK("http://dx.doi.org/10.1109/RBME.2020.2987975","http://dx.doi.org/10.1109/RBME.2020.2987975")</f>
        <v>1622</v>
      </c>
      <c r="BL48" t="s" s="0">
        <v>84</v>
      </c>
      <c r="BM48" t="s" s="0">
        <v>84</v>
      </c>
      <c r="BN48" t="s" s="0">
        <v>280</v>
      </c>
      <c r="BO48" t="s" s="0">
        <v>532</v>
      </c>
      <c r="BP48" t="s" s="0">
        <v>533</v>
      </c>
      <c r="BQ48" t="s" s="0">
        <v>1623</v>
      </c>
      <c r="BR48" t="s" s="0">
        <v>1624</v>
      </c>
      <c r="BS48" t="s" s="0">
        <v>1625</v>
      </c>
      <c r="BT48" t="s" s="94">
        <f>HYPERLINK("https://www.webofscience.com/wos/woscc/full-record/WOS:000708445300005","View Record in Web of Science")</f>
        <v>127</v>
      </c>
      <c r="BU48" t="s" s="0">
        <v>321</v>
      </c>
      <c r="BV48" t="s" s="0">
        <v>128</v>
      </c>
      <c r="BW48" t="s" s="0">
        <v>129</v>
      </c>
      <c r="BX48" t="s" s="0">
        <v>130</v>
      </c>
    </row>
    <row r="49">
      <c r="A49" t="s" s="0">
        <v>855</v>
      </c>
      <c r="B49" t="s" s="0">
        <v>78</v>
      </c>
      <c r="C49" t="s" s="0">
        <v>1626</v>
      </c>
      <c r="D49" t="s" s="0">
        <v>116</v>
      </c>
      <c r="E49" t="s" s="0">
        <v>1627</v>
      </c>
      <c r="F49" t="s" s="0">
        <v>1628</v>
      </c>
      <c r="G49" t="s" s="0">
        <v>1629</v>
      </c>
      <c r="H49" t="s" s="0">
        <v>84</v>
      </c>
      <c r="I49" t="s" s="0">
        <v>85</v>
      </c>
      <c r="J49" t="s" s="0">
        <v>1630</v>
      </c>
      <c r="K49" t="s" s="0">
        <v>1631</v>
      </c>
      <c r="L49" t="s" s="0">
        <v>1632</v>
      </c>
      <c r="M49" t="s" s="0">
        <v>1633</v>
      </c>
      <c r="N49" t="s" s="0">
        <v>1634</v>
      </c>
      <c r="O49" t="s" s="0">
        <v>1635</v>
      </c>
      <c r="P49" t="s" s="0">
        <v>1636</v>
      </c>
      <c r="Q49" t="s" s="0">
        <v>93</v>
      </c>
      <c r="R49" t="s" s="0">
        <v>84</v>
      </c>
      <c r="S49" t="s" s="0">
        <v>84</v>
      </c>
      <c r="T49" t="s" s="0">
        <v>84</v>
      </c>
      <c r="U49" t="s" s="0">
        <v>84</v>
      </c>
      <c r="V49" t="s" s="0">
        <v>1637</v>
      </c>
      <c r="W49" t="s" s="0">
        <v>1537</v>
      </c>
      <c r="X49" t="s" s="0">
        <v>84</v>
      </c>
      <c r="Y49" t="s" s="0">
        <v>84</v>
      </c>
      <c r="Z49" t="s" s="0">
        <v>96</v>
      </c>
      <c r="AA49" t="s" s="0">
        <v>97</v>
      </c>
      <c r="AB49" t="s" s="0">
        <v>84</v>
      </c>
      <c r="AC49" t="s" s="0">
        <v>84</v>
      </c>
      <c r="AD49" t="s" s="0">
        <v>84</v>
      </c>
      <c r="AE49" t="s" s="0">
        <v>84</v>
      </c>
      <c r="AF49" t="s" s="0">
        <v>84</v>
      </c>
      <c r="AG49" t="s" s="0">
        <v>84</v>
      </c>
      <c r="AH49" t="s" s="0">
        <v>1638</v>
      </c>
      <c r="AI49" t="s" s="0">
        <v>1639</v>
      </c>
      <c r="AJ49" t="s" s="0">
        <v>1640</v>
      </c>
      <c r="AK49" t="s" s="0">
        <v>84</v>
      </c>
      <c r="AL49" t="s" s="0">
        <v>1641</v>
      </c>
      <c r="AM49" t="s" s="0">
        <v>1642</v>
      </c>
      <c r="AN49" t="s" s="0">
        <v>1643</v>
      </c>
      <c r="AO49" t="s" s="0">
        <v>1597</v>
      </c>
      <c r="AP49" t="s" s="0">
        <v>1644</v>
      </c>
      <c r="AQ49" t="s" s="0">
        <v>152</v>
      </c>
      <c r="AR49" t="s" s="0">
        <v>153</v>
      </c>
      <c r="AS49" t="s" s="0">
        <v>1545</v>
      </c>
      <c r="AT49" t="s" s="0">
        <v>1546</v>
      </c>
      <c r="AU49" t="s" s="0">
        <v>1547</v>
      </c>
      <c r="AV49" t="s" s="0">
        <v>84</v>
      </c>
      <c r="AW49" t="s" s="0">
        <v>1548</v>
      </c>
      <c r="AX49" t="s" s="0">
        <v>1549</v>
      </c>
      <c r="AY49" t="s" s="0">
        <v>1645</v>
      </c>
      <c r="AZ49" t="s" s="0">
        <v>1646</v>
      </c>
      <c r="BA49" t="s" s="0">
        <v>527</v>
      </c>
      <c r="BB49" t="s" s="0">
        <v>116</v>
      </c>
      <c r="BC49" t="s" s="0">
        <v>84</v>
      </c>
      <c r="BD49" t="s" s="0">
        <v>84</v>
      </c>
      <c r="BE49" t="s" s="0">
        <v>84</v>
      </c>
      <c r="BF49" t="s" s="0">
        <v>84</v>
      </c>
      <c r="BG49" t="s" s="0">
        <v>84</v>
      </c>
      <c r="BH49" t="s" s="0">
        <v>84</v>
      </c>
      <c r="BI49" t="s" s="0">
        <v>1647</v>
      </c>
      <c r="BJ49" t="s" s="0">
        <v>1648</v>
      </c>
      <c r="BK49" t="s" s="95">
        <f>HYPERLINK("http://dx.doi.org/10.1038/s41392-024-02108-4","http://dx.doi.org/10.1038/s41392-024-02108-4")</f>
        <v>1649</v>
      </c>
      <c r="BL49" t="s" s="0">
        <v>84</v>
      </c>
      <c r="BM49" t="s" s="0">
        <v>84</v>
      </c>
      <c r="BN49" t="s" s="0">
        <v>1050</v>
      </c>
      <c r="BO49" t="s" s="0">
        <v>1554</v>
      </c>
      <c r="BP49" t="s" s="0">
        <v>1554</v>
      </c>
      <c r="BQ49" t="s" s="0">
        <v>1650</v>
      </c>
      <c r="BR49" t="s" s="0">
        <v>1651</v>
      </c>
      <c r="BS49" t="s" s="0">
        <v>1652</v>
      </c>
      <c r="BT49" t="s" s="96">
        <f>HYPERLINK("https://www.webofscience.com/wos/woscc/full-record/WOS:001424950700002","View Record in Web of Science")</f>
        <v>127</v>
      </c>
      <c r="BU49" t="s" s="0">
        <v>170</v>
      </c>
      <c r="BV49" t="s" s="0">
        <v>129</v>
      </c>
      <c r="BW49" t="s" s="0">
        <v>129</v>
      </c>
      <c r="BX49" t="s" s="0">
        <v>130</v>
      </c>
    </row>
    <row r="50">
      <c r="A50" t="s" s="0">
        <v>1653</v>
      </c>
      <c r="B50" t="s" s="0">
        <v>78</v>
      </c>
      <c r="C50" t="s" s="0">
        <v>1654</v>
      </c>
      <c r="D50" t="s" s="0">
        <v>116</v>
      </c>
      <c r="E50" t="s" s="0">
        <v>1655</v>
      </c>
      <c r="F50" t="s" s="0">
        <v>1656</v>
      </c>
      <c r="G50" t="s" s="0">
        <v>1657</v>
      </c>
      <c r="H50" t="s" s="0">
        <v>84</v>
      </c>
      <c r="I50" t="s" s="0">
        <v>85</v>
      </c>
      <c r="J50" t="s" s="0">
        <v>1658</v>
      </c>
      <c r="K50" t="s" s="0">
        <v>1659</v>
      </c>
      <c r="L50" t="s" s="0">
        <v>1660</v>
      </c>
      <c r="M50" t="s" s="0">
        <v>1661</v>
      </c>
      <c r="N50" t="s" s="0">
        <v>84</v>
      </c>
      <c r="O50" t="s" s="0">
        <v>1662</v>
      </c>
      <c r="P50" t="s" s="0">
        <v>1663</v>
      </c>
      <c r="Q50" t="s" s="0">
        <v>93</v>
      </c>
      <c r="R50" t="s" s="0">
        <v>84</v>
      </c>
      <c r="S50" t="s" s="0">
        <v>84</v>
      </c>
      <c r="T50" t="s" s="0">
        <v>84</v>
      </c>
      <c r="U50" t="s" s="0">
        <v>84</v>
      </c>
      <c r="V50" t="s" s="0">
        <v>1664</v>
      </c>
      <c r="W50" t="s" s="0">
        <v>1665</v>
      </c>
      <c r="X50" t="s" s="0">
        <v>84</v>
      </c>
      <c r="Y50" t="s" s="0">
        <v>84</v>
      </c>
      <c r="Z50" t="s" s="0">
        <v>96</v>
      </c>
      <c r="AA50" t="s" s="0">
        <v>97</v>
      </c>
      <c r="AB50" t="s" s="0">
        <v>84</v>
      </c>
      <c r="AC50" t="s" s="0">
        <v>84</v>
      </c>
      <c r="AD50" t="s" s="0">
        <v>84</v>
      </c>
      <c r="AE50" t="s" s="0">
        <v>84</v>
      </c>
      <c r="AF50" t="s" s="0">
        <v>84</v>
      </c>
      <c r="AG50" t="s" s="0">
        <v>84</v>
      </c>
      <c r="AH50" t="s" s="0">
        <v>1666</v>
      </c>
      <c r="AI50" t="s" s="0">
        <v>1667</v>
      </c>
      <c r="AJ50" t="s" s="0">
        <v>1668</v>
      </c>
      <c r="AK50" t="s" s="0">
        <v>84</v>
      </c>
      <c r="AL50" t="s" s="0">
        <v>1669</v>
      </c>
      <c r="AM50" t="s" s="0">
        <v>1670</v>
      </c>
      <c r="AN50" t="s" s="0">
        <v>1671</v>
      </c>
      <c r="AO50" t="s" s="0">
        <v>115</v>
      </c>
      <c r="AP50" t="s" s="0">
        <v>1416</v>
      </c>
      <c r="AQ50" t="s" s="0">
        <v>703</v>
      </c>
      <c r="AR50" t="s" s="0">
        <v>704</v>
      </c>
      <c r="AS50" t="s" s="0">
        <v>1672</v>
      </c>
      <c r="AT50" t="s" s="0">
        <v>1673</v>
      </c>
      <c r="AU50" t="s" s="0">
        <v>1674</v>
      </c>
      <c r="AV50" t="s" s="0">
        <v>84</v>
      </c>
      <c r="AW50" t="s" s="0">
        <v>1675</v>
      </c>
      <c r="AX50" t="s" s="0">
        <v>1676</v>
      </c>
      <c r="AY50" t="s" s="0">
        <v>241</v>
      </c>
      <c r="AZ50" t="s" s="0">
        <v>235</v>
      </c>
      <c r="BA50" t="s" s="0">
        <v>468</v>
      </c>
      <c r="BB50" t="s" s="0">
        <v>342</v>
      </c>
      <c r="BC50" t="s" s="0">
        <v>84</v>
      </c>
      <c r="BD50" t="s" s="0">
        <v>84</v>
      </c>
      <c r="BE50" t="s" s="0">
        <v>84</v>
      </c>
      <c r="BF50" t="s" s="0">
        <v>84</v>
      </c>
      <c r="BG50" t="s" s="0">
        <v>1677</v>
      </c>
      <c r="BH50" t="s" s="0">
        <v>1616</v>
      </c>
      <c r="BI50" t="s" s="0">
        <v>84</v>
      </c>
      <c r="BJ50" t="s" s="0">
        <v>1678</v>
      </c>
      <c r="BK50" t="s" s="97">
        <f>HYPERLINK("http://dx.doi.org/10.1016/S1474-4422(23)00131-X","http://dx.doi.org/10.1016/S1474-4422(23)00131-X")</f>
        <v>1679</v>
      </c>
      <c r="BL50" t="s" s="0">
        <v>84</v>
      </c>
      <c r="BM50" t="s" s="0">
        <v>1680</v>
      </c>
      <c r="BN50" t="s" s="0">
        <v>701</v>
      </c>
      <c r="BO50" t="s" s="0">
        <v>1681</v>
      </c>
      <c r="BP50" t="s" s="0">
        <v>1682</v>
      </c>
      <c r="BQ50" t="s" s="0">
        <v>1683</v>
      </c>
      <c r="BR50" t="s" s="0">
        <v>1684</v>
      </c>
      <c r="BS50" t="s" s="0">
        <v>1685</v>
      </c>
      <c r="BT50" t="s" s="98">
        <f>HYPERLINK("https://www.webofscience.com/wos/woscc/full-record/WOS:001042347100001","View Record in Web of Science")</f>
        <v>127</v>
      </c>
      <c r="BU50" t="s" s="0">
        <v>1686</v>
      </c>
      <c r="BV50" t="s" s="0">
        <v>128</v>
      </c>
      <c r="BW50" t="s" s="0">
        <v>129</v>
      </c>
      <c r="BX50" t="s" s="0">
        <v>130</v>
      </c>
    </row>
    <row r="51">
      <c r="A51" t="s" s="0">
        <v>207</v>
      </c>
      <c r="B51" t="s" s="0">
        <v>78</v>
      </c>
      <c r="C51" t="s" s="0">
        <v>1687</v>
      </c>
      <c r="D51" t="s" s="0">
        <v>396</v>
      </c>
      <c r="E51" t="s" s="0">
        <v>1688</v>
      </c>
      <c r="F51" t="s" s="0">
        <v>1689</v>
      </c>
      <c r="G51" t="s" s="0">
        <v>1690</v>
      </c>
      <c r="H51" t="s" s="0">
        <v>84</v>
      </c>
      <c r="I51" t="s" s="0">
        <v>85</v>
      </c>
      <c r="J51" t="s" s="0">
        <v>1691</v>
      </c>
      <c r="K51" t="s" s="0">
        <v>1692</v>
      </c>
      <c r="L51" t="s" s="0">
        <v>1693</v>
      </c>
      <c r="M51" t="s" s="0">
        <v>1694</v>
      </c>
      <c r="N51" t="s" s="0">
        <v>1695</v>
      </c>
      <c r="O51" t="s" s="0">
        <v>1696</v>
      </c>
      <c r="P51" t="s" s="0">
        <v>1697</v>
      </c>
      <c r="Q51" t="s" s="0">
        <v>93</v>
      </c>
      <c r="R51" t="s" s="0">
        <v>84</v>
      </c>
      <c r="S51" t="s" s="0">
        <v>84</v>
      </c>
      <c r="T51" t="s" s="0">
        <v>84</v>
      </c>
      <c r="U51" t="s" s="0">
        <v>84</v>
      </c>
      <c r="V51" t="s" s="0">
        <v>1698</v>
      </c>
      <c r="W51" t="s" s="0">
        <v>335</v>
      </c>
      <c r="X51" t="s" s="0">
        <v>84</v>
      </c>
      <c r="Y51" t="s" s="0">
        <v>84</v>
      </c>
      <c r="Z51" t="s" s="0">
        <v>96</v>
      </c>
      <c r="AA51" t="s" s="0">
        <v>97</v>
      </c>
      <c r="AB51" t="s" s="0">
        <v>84</v>
      </c>
      <c r="AC51" t="s" s="0">
        <v>84</v>
      </c>
      <c r="AD51" t="s" s="0">
        <v>84</v>
      </c>
      <c r="AE51" t="s" s="0">
        <v>84</v>
      </c>
      <c r="AF51" t="s" s="0">
        <v>84</v>
      </c>
      <c r="AG51" t="s" s="0">
        <v>84</v>
      </c>
      <c r="AH51" t="s" s="0">
        <v>1699</v>
      </c>
      <c r="AI51" t="s" s="0">
        <v>1700</v>
      </c>
      <c r="AJ51" t="s" s="0">
        <v>1701</v>
      </c>
      <c r="AK51" t="s" s="0">
        <v>84</v>
      </c>
      <c r="AL51" t="s" s="0">
        <v>1702</v>
      </c>
      <c r="AM51" t="s" s="0">
        <v>1703</v>
      </c>
      <c r="AN51" t="s" s="0">
        <v>1543</v>
      </c>
      <c r="AO51" t="s" s="0">
        <v>172</v>
      </c>
      <c r="AP51" t="s" s="0">
        <v>1704</v>
      </c>
      <c r="AQ51" t="s" s="0">
        <v>344</v>
      </c>
      <c r="AR51" t="s" s="0">
        <v>153</v>
      </c>
      <c r="AS51" t="s" s="0">
        <v>345</v>
      </c>
      <c r="AT51" t="s" s="0">
        <v>346</v>
      </c>
      <c r="AU51" t="s" s="0">
        <v>347</v>
      </c>
      <c r="AV51" t="s" s="0">
        <v>84</v>
      </c>
      <c r="AW51" t="s" s="0">
        <v>348</v>
      </c>
      <c r="AX51" t="s" s="0">
        <v>349</v>
      </c>
      <c r="AY51" t="s" s="0">
        <v>1705</v>
      </c>
      <c r="AZ51" t="s" s="0">
        <v>351</v>
      </c>
      <c r="BA51" t="s" s="0">
        <v>1706</v>
      </c>
      <c r="BB51" t="s" s="0">
        <v>84</v>
      </c>
      <c r="BC51" t="s" s="0">
        <v>84</v>
      </c>
      <c r="BD51" t="s" s="0">
        <v>84</v>
      </c>
      <c r="BE51" t="s" s="0">
        <v>84</v>
      </c>
      <c r="BF51" t="s" s="0">
        <v>84</v>
      </c>
      <c r="BG51" t="s" s="0">
        <v>84</v>
      </c>
      <c r="BH51" t="s" s="0">
        <v>84</v>
      </c>
      <c r="BI51" t="s" s="0">
        <v>1707</v>
      </c>
      <c r="BJ51" t="s" s="0">
        <v>1708</v>
      </c>
      <c r="BK51" t="s" s="99">
        <f>HYPERLINK("http://dx.doi.org/10.1136/bmj.m689","http://dx.doi.org/10.1136/bmj.m689")</f>
        <v>1709</v>
      </c>
      <c r="BL51" t="s" s="0">
        <v>84</v>
      </c>
      <c r="BM51" t="s" s="0">
        <v>84</v>
      </c>
      <c r="BN51" t="s" s="0">
        <v>280</v>
      </c>
      <c r="BO51" t="s" s="0">
        <v>281</v>
      </c>
      <c r="BP51" t="s" s="0">
        <v>282</v>
      </c>
      <c r="BQ51" t="s" s="0">
        <v>1710</v>
      </c>
      <c r="BR51" t="s" s="0">
        <v>1711</v>
      </c>
      <c r="BS51" t="s" s="0">
        <v>1712</v>
      </c>
      <c r="BT51" t="s" s="100">
        <f>HYPERLINK("https://www.webofscience.com/wos/woscc/full-record/WOS:000523764500002","View Record in Web of Science")</f>
        <v>127</v>
      </c>
      <c r="BU51" t="s" s="0">
        <v>1713</v>
      </c>
      <c r="BV51" t="s" s="0">
        <v>128</v>
      </c>
      <c r="BW51" t="s" s="0">
        <v>129</v>
      </c>
      <c r="BX51" t="s" s="0">
        <v>130</v>
      </c>
    </row>
    <row r="52">
      <c r="A52" t="s" s="0">
        <v>1714</v>
      </c>
      <c r="B52" t="s" s="0">
        <v>78</v>
      </c>
      <c r="C52" t="s" s="0">
        <v>1715</v>
      </c>
      <c r="D52" t="s" s="0">
        <v>116</v>
      </c>
      <c r="E52" t="s" s="0">
        <v>1716</v>
      </c>
      <c r="F52" t="s" s="0">
        <v>1717</v>
      </c>
      <c r="G52" t="s" s="0">
        <v>1718</v>
      </c>
      <c r="H52" t="s" s="0">
        <v>84</v>
      </c>
      <c r="I52" t="s" s="0">
        <v>85</v>
      </c>
      <c r="J52" t="s" s="0">
        <v>1719</v>
      </c>
      <c r="K52" t="s" s="0">
        <v>1720</v>
      </c>
      <c r="L52" t="s" s="0">
        <v>1721</v>
      </c>
      <c r="M52" t="s" s="0">
        <v>1722</v>
      </c>
      <c r="N52" t="s" s="0">
        <v>1723</v>
      </c>
      <c r="O52" t="s" s="0">
        <v>1724</v>
      </c>
      <c r="P52" t="s" s="0">
        <v>1725</v>
      </c>
      <c r="Q52" t="s" s="0">
        <v>93</v>
      </c>
      <c r="R52" t="s" s="0">
        <v>84</v>
      </c>
      <c r="S52" t="s" s="0">
        <v>84</v>
      </c>
      <c r="T52" t="s" s="0">
        <v>84</v>
      </c>
      <c r="U52" t="s" s="0">
        <v>84</v>
      </c>
      <c r="V52" t="s" s="0">
        <v>1726</v>
      </c>
      <c r="W52" t="s" s="0">
        <v>1727</v>
      </c>
      <c r="X52" t="s" s="0">
        <v>84</v>
      </c>
      <c r="Y52" t="s" s="0">
        <v>84</v>
      </c>
      <c r="Z52" t="s" s="0">
        <v>96</v>
      </c>
      <c r="AA52" t="s" s="0">
        <v>97</v>
      </c>
      <c r="AB52" t="s" s="0">
        <v>84</v>
      </c>
      <c r="AC52" t="s" s="0">
        <v>84</v>
      </c>
      <c r="AD52" t="s" s="0">
        <v>84</v>
      </c>
      <c r="AE52" t="s" s="0">
        <v>84</v>
      </c>
      <c r="AF52" t="s" s="0">
        <v>84</v>
      </c>
      <c r="AG52" t="s" s="0">
        <v>1728</v>
      </c>
      <c r="AH52" t="s" s="0">
        <v>1729</v>
      </c>
      <c r="AI52" t="s" s="0">
        <v>1730</v>
      </c>
      <c r="AJ52" t="s" s="0">
        <v>1731</v>
      </c>
      <c r="AK52" t="s" s="0">
        <v>84</v>
      </c>
      <c r="AL52" t="s" s="0">
        <v>1230</v>
      </c>
      <c r="AM52" t="s" s="0">
        <v>1732</v>
      </c>
      <c r="AN52" t="s" s="0">
        <v>1733</v>
      </c>
      <c r="AO52" t="s" s="0">
        <v>527</v>
      </c>
      <c r="AP52" t="s" s="0">
        <v>1734</v>
      </c>
      <c r="AQ52" t="s" s="0">
        <v>1735</v>
      </c>
      <c r="AR52" t="s" s="0">
        <v>1736</v>
      </c>
      <c r="AS52" t="s" s="0">
        <v>1737</v>
      </c>
      <c r="AT52" t="s" s="0">
        <v>1738</v>
      </c>
      <c r="AU52" t="s" s="0">
        <v>84</v>
      </c>
      <c r="AV52" t="s" s="0">
        <v>84</v>
      </c>
      <c r="AW52" t="s" s="0">
        <v>1727</v>
      </c>
      <c r="AX52" t="s" s="0">
        <v>1739</v>
      </c>
      <c r="AY52" t="s" s="0">
        <v>114</v>
      </c>
      <c r="AZ52" t="s" s="0">
        <v>114</v>
      </c>
      <c r="BA52" t="s" s="0">
        <v>172</v>
      </c>
      <c r="BB52" t="s" s="0">
        <v>214</v>
      </c>
      <c r="BC52" t="s" s="0">
        <v>84</v>
      </c>
      <c r="BD52" t="s" s="0">
        <v>84</v>
      </c>
      <c r="BE52" t="s" s="0">
        <v>84</v>
      </c>
      <c r="BF52" t="s" s="0">
        <v>84</v>
      </c>
      <c r="BG52" t="s" s="0">
        <v>1740</v>
      </c>
      <c r="BH52" t="s" s="0">
        <v>1049</v>
      </c>
      <c r="BI52" t="s" s="0">
        <v>84</v>
      </c>
      <c r="BJ52" t="s" s="0">
        <v>1741</v>
      </c>
      <c r="BK52" t="s" s="101">
        <f>HYPERLINK("http://dx.doi.org/10.7150/thno.30309","http://dx.doi.org/10.7150/thno.30309")</f>
        <v>1742</v>
      </c>
      <c r="BL52" t="s" s="0">
        <v>84</v>
      </c>
      <c r="BM52" t="s" s="0">
        <v>84</v>
      </c>
      <c r="BN52" t="s" s="0">
        <v>604</v>
      </c>
      <c r="BO52" t="s" s="0">
        <v>1238</v>
      </c>
      <c r="BP52" t="s" s="0">
        <v>1239</v>
      </c>
      <c r="BQ52" t="s" s="0">
        <v>1743</v>
      </c>
      <c r="BR52" t="s" s="0">
        <v>1744</v>
      </c>
      <c r="BS52" t="s" s="0">
        <v>1745</v>
      </c>
      <c r="BT52" t="s" s="102">
        <f>HYPERLINK("https://www.webofscience.com/wos/woscc/full-record/WOS:000459354100007","View Record in Web of Science")</f>
        <v>127</v>
      </c>
      <c r="BU52" t="s" s="0">
        <v>170</v>
      </c>
      <c r="BV52" t="s" s="0">
        <v>128</v>
      </c>
      <c r="BW52" t="s" s="0">
        <v>129</v>
      </c>
      <c r="BX52" t="s" s="0">
        <v>130</v>
      </c>
    </row>
    <row r="53">
      <c r="A53" t="s" s="0">
        <v>192</v>
      </c>
      <c r="B53" t="s" s="0">
        <v>78</v>
      </c>
      <c r="C53" t="s" s="0">
        <v>1032</v>
      </c>
      <c r="D53" t="s" s="0">
        <v>78</v>
      </c>
      <c r="E53" t="s" s="0">
        <v>1746</v>
      </c>
      <c r="F53" t="s" s="0">
        <v>1747</v>
      </c>
      <c r="G53" t="s" s="0">
        <v>1748</v>
      </c>
      <c r="H53" t="s" s="0">
        <v>84</v>
      </c>
      <c r="I53" t="s" s="0">
        <v>85</v>
      </c>
      <c r="J53" t="s" s="0">
        <v>1749</v>
      </c>
      <c r="K53" t="s" s="0">
        <v>1750</v>
      </c>
      <c r="L53" t="s" s="0">
        <v>84</v>
      </c>
      <c r="M53" t="s" s="0">
        <v>84</v>
      </c>
      <c r="N53" t="s" s="0">
        <v>84</v>
      </c>
      <c r="O53" t="s" s="0">
        <v>1751</v>
      </c>
      <c r="P53" t="s" s="0">
        <v>84</v>
      </c>
      <c r="Q53" t="s" s="0">
        <v>93</v>
      </c>
      <c r="R53" t="s" s="0">
        <v>84</v>
      </c>
      <c r="S53" t="s" s="0">
        <v>84</v>
      </c>
      <c r="T53" t="s" s="0">
        <v>84</v>
      </c>
      <c r="U53" t="s" s="0">
        <v>84</v>
      </c>
      <c r="V53" t="s" s="0">
        <v>1752</v>
      </c>
      <c r="W53" t="s" s="0">
        <v>887</v>
      </c>
      <c r="X53" t="s" s="0">
        <v>84</v>
      </c>
      <c r="Y53" t="s" s="0">
        <v>84</v>
      </c>
      <c r="Z53" t="s" s="0">
        <v>96</v>
      </c>
      <c r="AA53" t="s" s="0">
        <v>97</v>
      </c>
      <c r="AB53" t="s" s="0">
        <v>84</v>
      </c>
      <c r="AC53" t="s" s="0">
        <v>84</v>
      </c>
      <c r="AD53" t="s" s="0">
        <v>84</v>
      </c>
      <c r="AE53" t="s" s="0">
        <v>84</v>
      </c>
      <c r="AF53" t="s" s="0">
        <v>84</v>
      </c>
      <c r="AG53" t="s" s="0">
        <v>1753</v>
      </c>
      <c r="AH53" t="s" s="0">
        <v>1754</v>
      </c>
      <c r="AI53" t="s" s="0">
        <v>1755</v>
      </c>
      <c r="AJ53" t="s" s="0">
        <v>1756</v>
      </c>
      <c r="AK53" t="s" s="0">
        <v>84</v>
      </c>
      <c r="AL53" t="s" s="0">
        <v>1757</v>
      </c>
      <c r="AM53" t="s" s="0">
        <v>1758</v>
      </c>
      <c r="AN53" t="s" s="0">
        <v>1759</v>
      </c>
      <c r="AO53" t="s" s="0">
        <v>527</v>
      </c>
      <c r="AP53" t="s" s="0">
        <v>1760</v>
      </c>
      <c r="AQ53" t="s" s="0">
        <v>415</v>
      </c>
      <c r="AR53" t="s" s="0">
        <v>416</v>
      </c>
      <c r="AS53" t="s" s="0">
        <v>417</v>
      </c>
      <c r="AT53" t="s" s="0">
        <v>896</v>
      </c>
      <c r="AU53" t="s" s="0">
        <v>897</v>
      </c>
      <c r="AV53" t="s" s="0">
        <v>84</v>
      </c>
      <c r="AW53" t="s" s="0">
        <v>898</v>
      </c>
      <c r="AX53" t="s" s="0">
        <v>899</v>
      </c>
      <c r="AY53" t="s" s="0">
        <v>1761</v>
      </c>
      <c r="AZ53" t="s" s="0">
        <v>351</v>
      </c>
      <c r="BA53" t="s" s="0">
        <v>246</v>
      </c>
      <c r="BB53" t="s" s="0">
        <v>84</v>
      </c>
      <c r="BC53" t="s" s="0">
        <v>84</v>
      </c>
      <c r="BD53" t="s" s="0">
        <v>84</v>
      </c>
      <c r="BE53" t="s" s="0">
        <v>84</v>
      </c>
      <c r="BF53" t="s" s="0">
        <v>84</v>
      </c>
      <c r="BG53" t="s" s="0">
        <v>84</v>
      </c>
      <c r="BH53" t="s" s="0">
        <v>84</v>
      </c>
      <c r="BI53" t="s" s="0">
        <v>1762</v>
      </c>
      <c r="BJ53" t="s" s="0">
        <v>1763</v>
      </c>
      <c r="BK53" t="s" s="103">
        <f>HYPERLINK("http://dx.doi.org/10.1016/j.media.2020.101693","http://dx.doi.org/10.1016/j.media.2020.101693")</f>
        <v>1764</v>
      </c>
      <c r="BL53" t="s" s="0">
        <v>84</v>
      </c>
      <c r="BM53" t="s" s="0">
        <v>84</v>
      </c>
      <c r="BN53" t="s" s="0">
        <v>452</v>
      </c>
      <c r="BO53" t="s" s="0">
        <v>904</v>
      </c>
      <c r="BP53" t="s" s="0">
        <v>905</v>
      </c>
      <c r="BQ53" t="s" s="0">
        <v>1765</v>
      </c>
      <c r="BR53" t="s" s="0">
        <v>1766</v>
      </c>
      <c r="BS53" t="s" s="0">
        <v>1767</v>
      </c>
      <c r="BT53" t="s" s="104">
        <f>HYPERLINK("https://www.webofscience.com/wos/woscc/full-record/WOS:000537839100007","View Record in Web of Science")</f>
        <v>127</v>
      </c>
      <c r="BU53" t="s" s="0">
        <v>84</v>
      </c>
      <c r="BV53" t="s" s="0">
        <v>128</v>
      </c>
      <c r="BW53" t="s" s="0">
        <v>129</v>
      </c>
      <c r="BX53" t="s" s="0">
        <v>130</v>
      </c>
    </row>
    <row r="54">
      <c r="A54" t="s" s="0">
        <v>121</v>
      </c>
      <c r="B54" t="s" s="0">
        <v>78</v>
      </c>
      <c r="C54" t="s" s="0">
        <v>1768</v>
      </c>
      <c r="D54" t="s" s="0">
        <v>396</v>
      </c>
      <c r="E54" t="s" s="0">
        <v>1769</v>
      </c>
      <c r="F54" t="s" s="0">
        <v>1770</v>
      </c>
      <c r="G54" t="s" s="0">
        <v>1771</v>
      </c>
      <c r="H54" t="s" s="0">
        <v>84</v>
      </c>
      <c r="I54" t="s" s="0">
        <v>1100</v>
      </c>
      <c r="J54" t="s" s="0">
        <v>1772</v>
      </c>
      <c r="K54" t="s" s="0">
        <v>1773</v>
      </c>
      <c r="L54" t="s" s="0">
        <v>1774</v>
      </c>
      <c r="M54" t="s" s="0">
        <v>1775</v>
      </c>
      <c r="N54" t="s" s="0">
        <v>1776</v>
      </c>
      <c r="O54" t="s" s="0">
        <v>1777</v>
      </c>
      <c r="P54" t="s" s="0">
        <v>1778</v>
      </c>
      <c r="Q54" t="s" s="0">
        <v>93</v>
      </c>
      <c r="R54" t="s" s="0">
        <v>84</v>
      </c>
      <c r="S54" t="s" s="0">
        <v>84</v>
      </c>
      <c r="T54" t="s" s="0">
        <v>84</v>
      </c>
      <c r="U54" t="s" s="0">
        <v>84</v>
      </c>
      <c r="V54" t="s" s="0">
        <v>1779</v>
      </c>
      <c r="W54" t="s" s="0">
        <v>1780</v>
      </c>
      <c r="X54" t="s" s="0">
        <v>84</v>
      </c>
      <c r="Y54" t="s" s="0">
        <v>84</v>
      </c>
      <c r="Z54" t="s" s="0">
        <v>96</v>
      </c>
      <c r="AA54" t="s" s="0">
        <v>97</v>
      </c>
      <c r="AB54" t="s" s="0">
        <v>84</v>
      </c>
      <c r="AC54" t="s" s="0">
        <v>84</v>
      </c>
      <c r="AD54" t="s" s="0">
        <v>84</v>
      </c>
      <c r="AE54" t="s" s="0">
        <v>84</v>
      </c>
      <c r="AF54" t="s" s="0">
        <v>84</v>
      </c>
      <c r="AG54" t="s" s="0">
        <v>84</v>
      </c>
      <c r="AH54" t="s" s="0">
        <v>1781</v>
      </c>
      <c r="AI54" t="s" s="0">
        <v>1782</v>
      </c>
      <c r="AJ54" t="s" s="0">
        <v>1783</v>
      </c>
      <c r="AK54" t="s" s="0">
        <v>84</v>
      </c>
      <c r="AL54" t="s" s="0">
        <v>164</v>
      </c>
      <c r="AM54" t="s" s="0">
        <v>1784</v>
      </c>
      <c r="AN54" t="s" s="0">
        <v>1785</v>
      </c>
      <c r="AO54" t="s" s="0">
        <v>275</v>
      </c>
      <c r="AP54" t="s" s="0">
        <v>1786</v>
      </c>
      <c r="AQ54" t="s" s="0">
        <v>152</v>
      </c>
      <c r="AR54" t="s" s="0">
        <v>153</v>
      </c>
      <c r="AS54" t="s" s="0">
        <v>1545</v>
      </c>
      <c r="AT54" t="s" s="0">
        <v>1787</v>
      </c>
      <c r="AU54" t="s" s="0">
        <v>84</v>
      </c>
      <c r="AV54" t="s" s="0">
        <v>84</v>
      </c>
      <c r="AW54" t="s" s="0">
        <v>1788</v>
      </c>
      <c r="AX54" t="s" s="0">
        <v>1789</v>
      </c>
      <c r="AY54" t="s" s="0">
        <v>1790</v>
      </c>
      <c r="AZ54" t="s" s="0">
        <v>235</v>
      </c>
      <c r="BA54" t="s" s="0">
        <v>787</v>
      </c>
      <c r="BB54" t="s" s="0">
        <v>116</v>
      </c>
      <c r="BC54" t="s" s="0">
        <v>84</v>
      </c>
      <c r="BD54" t="s" s="0">
        <v>84</v>
      </c>
      <c r="BE54" t="s" s="0">
        <v>84</v>
      </c>
      <c r="BF54" t="s" s="0">
        <v>84</v>
      </c>
      <c r="BG54" t="s" s="0">
        <v>84</v>
      </c>
      <c r="BH54" t="s" s="0">
        <v>84</v>
      </c>
      <c r="BI54" t="s" s="0">
        <v>746</v>
      </c>
      <c r="BJ54" t="s" s="0">
        <v>1791</v>
      </c>
      <c r="BK54" t="s" s="105">
        <f>HYPERLINK("http://dx.doi.org/10.1038/s43856-023-00370-1","http://dx.doi.org/10.1038/s43856-023-00370-1")</f>
        <v>1792</v>
      </c>
      <c r="BL54" t="s" s="0">
        <v>84</v>
      </c>
      <c r="BM54" t="s" s="0">
        <v>84</v>
      </c>
      <c r="BN54" t="s" s="0">
        <v>160</v>
      </c>
      <c r="BO54" t="s" s="0">
        <v>1238</v>
      </c>
      <c r="BP54" t="s" s="0">
        <v>1239</v>
      </c>
      <c r="BQ54" t="s" s="0">
        <v>1793</v>
      </c>
      <c r="BR54" t="s" s="0">
        <v>1794</v>
      </c>
      <c r="BS54" t="s" s="0">
        <v>1795</v>
      </c>
      <c r="BT54" t="s" s="106">
        <f>HYPERLINK("https://www.webofscience.com/wos/woscc/full-record/WOS:001078603900001","View Record in Web of Science")</f>
        <v>127</v>
      </c>
      <c r="BU54" t="s" s="0">
        <v>170</v>
      </c>
      <c r="BV54" t="s" s="0">
        <v>84</v>
      </c>
      <c r="BW54" t="s" s="0">
        <v>84</v>
      </c>
      <c r="BX54" t="s" s="0">
        <v>130</v>
      </c>
    </row>
    <row r="55">
      <c r="A55" t="s" s="0">
        <v>275</v>
      </c>
      <c r="B55" t="s" s="0">
        <v>78</v>
      </c>
      <c r="C55" t="s" s="0">
        <v>1796</v>
      </c>
      <c r="D55" t="s" s="0">
        <v>78</v>
      </c>
      <c r="E55" t="s" s="0">
        <v>1797</v>
      </c>
      <c r="F55" t="s" s="0">
        <v>1798</v>
      </c>
      <c r="G55" t="s" s="0">
        <v>1799</v>
      </c>
      <c r="H55" t="s" s="0">
        <v>84</v>
      </c>
      <c r="I55" t="s" s="0">
        <v>85</v>
      </c>
      <c r="J55" t="s" s="0">
        <v>1800</v>
      </c>
      <c r="K55" t="s" s="0">
        <v>1801</v>
      </c>
      <c r="L55" t="s" s="0">
        <v>1802</v>
      </c>
      <c r="M55" t="s" s="0">
        <v>1803</v>
      </c>
      <c r="N55" t="s" s="0">
        <v>1804</v>
      </c>
      <c r="O55" t="s" s="0">
        <v>1805</v>
      </c>
      <c r="P55" t="s" s="0">
        <v>1806</v>
      </c>
      <c r="Q55" t="s" s="0">
        <v>93</v>
      </c>
      <c r="R55" t="s" s="0">
        <v>84</v>
      </c>
      <c r="S55" t="s" s="0">
        <v>84</v>
      </c>
      <c r="T55" t="s" s="0">
        <v>84</v>
      </c>
      <c r="U55" t="s" s="0">
        <v>84</v>
      </c>
      <c r="V55" t="s" s="0">
        <v>1807</v>
      </c>
      <c r="W55" t="s" s="0">
        <v>1507</v>
      </c>
      <c r="X55" t="s" s="0">
        <v>84</v>
      </c>
      <c r="Y55" t="s" s="0">
        <v>84</v>
      </c>
      <c r="Z55" t="s" s="0">
        <v>96</v>
      </c>
      <c r="AA55" t="s" s="0">
        <v>97</v>
      </c>
      <c r="AB55" t="s" s="0">
        <v>84</v>
      </c>
      <c r="AC55" t="s" s="0">
        <v>84</v>
      </c>
      <c r="AD55" t="s" s="0">
        <v>84</v>
      </c>
      <c r="AE55" t="s" s="0">
        <v>84</v>
      </c>
      <c r="AF55" t="s" s="0">
        <v>84</v>
      </c>
      <c r="AG55" t="s" s="0">
        <v>84</v>
      </c>
      <c r="AH55" t="s" s="0">
        <v>1808</v>
      </c>
      <c r="AI55" t="s" s="0">
        <v>84</v>
      </c>
      <c r="AJ55" t="s" s="0">
        <v>1809</v>
      </c>
      <c r="AK55" t="s" s="0">
        <v>84</v>
      </c>
      <c r="AL55" t="s" s="0">
        <v>1810</v>
      </c>
      <c r="AM55" t="s" s="0">
        <v>1784</v>
      </c>
      <c r="AN55" t="s" s="0">
        <v>1811</v>
      </c>
      <c r="AO55" t="s" s="0">
        <v>701</v>
      </c>
      <c r="AP55" t="s" s="0">
        <v>1812</v>
      </c>
      <c r="AQ55" t="s" s="0">
        <v>106</v>
      </c>
      <c r="AR55" t="s" s="0">
        <v>107</v>
      </c>
      <c r="AS55" t="s" s="0">
        <v>108</v>
      </c>
      <c r="AT55" t="s" s="0">
        <v>1515</v>
      </c>
      <c r="AU55" t="s" s="0">
        <v>84</v>
      </c>
      <c r="AV55" t="s" s="0">
        <v>84</v>
      </c>
      <c r="AW55" t="s" s="0">
        <v>1516</v>
      </c>
      <c r="AX55" t="s" s="0">
        <v>1517</v>
      </c>
      <c r="AY55" t="s" s="0">
        <v>1813</v>
      </c>
      <c r="AZ55" t="s" s="0">
        <v>351</v>
      </c>
      <c r="BA55" t="s" s="0">
        <v>787</v>
      </c>
      <c r="BB55" t="s" s="0">
        <v>116</v>
      </c>
      <c r="BC55" t="s" s="0">
        <v>84</v>
      </c>
      <c r="BD55" t="s" s="0">
        <v>84</v>
      </c>
      <c r="BE55" t="s" s="0">
        <v>84</v>
      </c>
      <c r="BF55" t="s" s="0">
        <v>84</v>
      </c>
      <c r="BG55" t="s" s="0">
        <v>84</v>
      </c>
      <c r="BH55" t="s" s="0">
        <v>84</v>
      </c>
      <c r="BI55" t="s" s="0">
        <v>665</v>
      </c>
      <c r="BJ55" t="s" s="0">
        <v>1814</v>
      </c>
      <c r="BK55" t="s" s="107">
        <f>HYPERLINK("http://dx.doi.org/10.1038/s41746-020-00341-z","http://dx.doi.org/10.1038/s41746-020-00341-z")</f>
        <v>1815</v>
      </c>
      <c r="BL55" t="s" s="0">
        <v>84</v>
      </c>
      <c r="BM55" t="s" s="0">
        <v>84</v>
      </c>
      <c r="BN55" t="s" s="0">
        <v>172</v>
      </c>
      <c r="BO55" t="s" s="0">
        <v>1298</v>
      </c>
      <c r="BP55" t="s" s="0">
        <v>1298</v>
      </c>
      <c r="BQ55" t="s" s="0">
        <v>1816</v>
      </c>
      <c r="BR55" t="s" s="0">
        <v>1817</v>
      </c>
      <c r="BS55" t="s" s="0">
        <v>1818</v>
      </c>
      <c r="BT55" t="s" s="108">
        <f>HYPERLINK("https://www.webofscience.com/wos/woscc/full-record/WOS:000583291400003","View Record in Web of Science")</f>
        <v>127</v>
      </c>
      <c r="BU55" t="s" s="0">
        <v>170</v>
      </c>
      <c r="BV55" t="s" s="0">
        <v>128</v>
      </c>
      <c r="BW55" t="s" s="0">
        <v>129</v>
      </c>
      <c r="BX55" t="s" s="0">
        <v>130</v>
      </c>
    </row>
    <row r="56">
      <c r="A56" t="s" s="0">
        <v>850</v>
      </c>
      <c r="B56" t="s" s="0">
        <v>78</v>
      </c>
      <c r="C56" t="s" s="0">
        <v>1362</v>
      </c>
      <c r="D56" t="s" s="0">
        <v>172</v>
      </c>
      <c r="E56" t="s" s="0">
        <v>1819</v>
      </c>
      <c r="F56" t="s" s="0">
        <v>1820</v>
      </c>
      <c r="G56" t="s" s="0">
        <v>1821</v>
      </c>
      <c r="H56" t="s" s="0">
        <v>84</v>
      </c>
      <c r="I56" t="s" s="0">
        <v>85</v>
      </c>
      <c r="J56" t="s" s="0">
        <v>1822</v>
      </c>
      <c r="K56" t="s" s="0">
        <v>1823</v>
      </c>
      <c r="L56" t="s" s="0">
        <v>1824</v>
      </c>
      <c r="M56" t="s" s="0">
        <v>1825</v>
      </c>
      <c r="N56" t="s" s="0">
        <v>1826</v>
      </c>
      <c r="O56" t="s" s="0">
        <v>1827</v>
      </c>
      <c r="P56" t="s" s="0">
        <v>1828</v>
      </c>
      <c r="Q56" t="s" s="0">
        <v>93</v>
      </c>
      <c r="R56" t="s" s="0">
        <v>84</v>
      </c>
      <c r="S56" t="s" s="0">
        <v>84</v>
      </c>
      <c r="T56" t="s" s="0">
        <v>84</v>
      </c>
      <c r="U56" t="s" s="0">
        <v>84</v>
      </c>
      <c r="V56" t="s" s="0">
        <v>1829</v>
      </c>
      <c r="W56" t="s" s="0">
        <v>1830</v>
      </c>
      <c r="X56" t="s" s="0">
        <v>84</v>
      </c>
      <c r="Y56" t="s" s="0">
        <v>84</v>
      </c>
      <c r="Z56" t="s" s="0">
        <v>96</v>
      </c>
      <c r="AA56" t="s" s="0">
        <v>97</v>
      </c>
      <c r="AB56" t="s" s="0">
        <v>84</v>
      </c>
      <c r="AC56" t="s" s="0">
        <v>84</v>
      </c>
      <c r="AD56" t="s" s="0">
        <v>84</v>
      </c>
      <c r="AE56" t="s" s="0">
        <v>84</v>
      </c>
      <c r="AF56" t="s" s="0">
        <v>84</v>
      </c>
      <c r="AG56" t="s" s="0">
        <v>1831</v>
      </c>
      <c r="AH56" t="s" s="0">
        <v>1832</v>
      </c>
      <c r="AI56" t="s" s="0">
        <v>1833</v>
      </c>
      <c r="AJ56" t="s" s="0">
        <v>1834</v>
      </c>
      <c r="AK56" t="s" s="0">
        <v>84</v>
      </c>
      <c r="AL56" t="s" s="0">
        <v>360</v>
      </c>
      <c r="AM56" t="s" s="0">
        <v>1835</v>
      </c>
      <c r="AN56" t="s" s="0">
        <v>1836</v>
      </c>
      <c r="AO56" t="s" s="0">
        <v>342</v>
      </c>
      <c r="AP56" t="s" s="0">
        <v>1837</v>
      </c>
      <c r="AQ56" t="s" s="0">
        <v>703</v>
      </c>
      <c r="AR56" t="s" s="0">
        <v>704</v>
      </c>
      <c r="AS56" t="s" s="0">
        <v>705</v>
      </c>
      <c r="AT56" t="s" s="0">
        <v>1838</v>
      </c>
      <c r="AU56" t="s" s="0">
        <v>1839</v>
      </c>
      <c r="AV56" t="s" s="0">
        <v>84</v>
      </c>
      <c r="AW56" t="s" s="0">
        <v>1840</v>
      </c>
      <c r="AX56" t="s" s="0">
        <v>1841</v>
      </c>
      <c r="AY56" t="s" s="0">
        <v>1842</v>
      </c>
      <c r="AZ56" t="s" s="0">
        <v>201</v>
      </c>
      <c r="BA56" t="s" s="0">
        <v>339</v>
      </c>
      <c r="BB56" t="s" s="0">
        <v>192</v>
      </c>
      <c r="BC56" t="s" s="0">
        <v>84</v>
      </c>
      <c r="BD56" t="s" s="0">
        <v>84</v>
      </c>
      <c r="BE56" t="s" s="0">
        <v>84</v>
      </c>
      <c r="BF56" t="s" s="0">
        <v>84</v>
      </c>
      <c r="BG56" t="s" s="0">
        <v>1843</v>
      </c>
      <c r="BH56" t="s" s="0">
        <v>262</v>
      </c>
      <c r="BI56" t="s" s="0">
        <v>84</v>
      </c>
      <c r="BJ56" t="s" s="0">
        <v>1844</v>
      </c>
      <c r="BK56" t="s" s="109">
        <f>HYPERLINK("http://dx.doi.org/10.1016/j.jacc.2018.03.521","http://dx.doi.org/10.1016/j.jacc.2018.03.521")</f>
        <v>1845</v>
      </c>
      <c r="BL56" t="s" s="0">
        <v>84</v>
      </c>
      <c r="BM56" t="s" s="0">
        <v>84</v>
      </c>
      <c r="BN56" t="s" s="0">
        <v>280</v>
      </c>
      <c r="BO56" t="s" s="0">
        <v>1846</v>
      </c>
      <c r="BP56" t="s" s="0">
        <v>1847</v>
      </c>
      <c r="BQ56" t="s" s="0">
        <v>1848</v>
      </c>
      <c r="BR56" t="s" s="0">
        <v>1849</v>
      </c>
      <c r="BS56" t="s" s="0">
        <v>1850</v>
      </c>
      <c r="BT56" t="s" s="110">
        <f>HYPERLINK("https://www.webofscience.com/wos/woscc/full-record/WOS:000434924500011","View Record in Web of Science")</f>
        <v>127</v>
      </c>
      <c r="BU56" t="s" s="0">
        <v>1851</v>
      </c>
      <c r="BV56" t="s" s="0">
        <v>128</v>
      </c>
      <c r="BW56" t="s" s="0">
        <v>129</v>
      </c>
      <c r="BX56" t="s" s="0">
        <v>130</v>
      </c>
    </row>
    <row r="57">
      <c r="A57" t="s" s="0">
        <v>468</v>
      </c>
      <c r="B57" t="s" s="0">
        <v>78</v>
      </c>
      <c r="C57" t="s" s="0">
        <v>1852</v>
      </c>
      <c r="D57" t="s" s="0">
        <v>78</v>
      </c>
      <c r="E57" t="s" s="0">
        <v>1853</v>
      </c>
      <c r="F57" t="s" s="0">
        <v>1854</v>
      </c>
      <c r="G57" t="s" s="0">
        <v>1855</v>
      </c>
      <c r="H57" t="s" s="0">
        <v>84</v>
      </c>
      <c r="I57" t="s" s="0">
        <v>85</v>
      </c>
      <c r="J57" t="s" s="0">
        <v>1856</v>
      </c>
      <c r="K57" t="s" s="0">
        <v>1857</v>
      </c>
      <c r="L57" t="s" s="0">
        <v>1858</v>
      </c>
      <c r="M57" t="s" s="0">
        <v>1859</v>
      </c>
      <c r="N57" t="s" s="0">
        <v>1860</v>
      </c>
      <c r="O57" t="s" s="0">
        <v>1861</v>
      </c>
      <c r="P57" t="s" s="0">
        <v>1862</v>
      </c>
      <c r="Q57" t="s" s="0">
        <v>93</v>
      </c>
      <c r="R57" t="s" s="0">
        <v>84</v>
      </c>
      <c r="S57" t="s" s="0">
        <v>84</v>
      </c>
      <c r="T57" t="s" s="0">
        <v>84</v>
      </c>
      <c r="U57" t="s" s="0">
        <v>84</v>
      </c>
      <c r="V57" t="s" s="0">
        <v>1863</v>
      </c>
      <c r="W57" t="s" s="0">
        <v>1864</v>
      </c>
      <c r="X57" t="s" s="0">
        <v>84</v>
      </c>
      <c r="Y57" t="s" s="0">
        <v>84</v>
      </c>
      <c r="Z57" t="s" s="0">
        <v>96</v>
      </c>
      <c r="AA57" t="s" s="0">
        <v>97</v>
      </c>
      <c r="AB57" t="s" s="0">
        <v>84</v>
      </c>
      <c r="AC57" t="s" s="0">
        <v>84</v>
      </c>
      <c r="AD57" t="s" s="0">
        <v>84</v>
      </c>
      <c r="AE57" t="s" s="0">
        <v>84</v>
      </c>
      <c r="AF57" t="s" s="0">
        <v>84</v>
      </c>
      <c r="AG57" t="s" s="0">
        <v>1865</v>
      </c>
      <c r="AH57" t="s" s="0">
        <v>1866</v>
      </c>
      <c r="AI57" t="s" s="0">
        <v>1867</v>
      </c>
      <c r="AJ57" t="s" s="0">
        <v>1868</v>
      </c>
      <c r="AK57" t="s" s="0">
        <v>84</v>
      </c>
      <c r="AL57" t="s" s="0">
        <v>1869</v>
      </c>
      <c r="AM57" t="s" s="0">
        <v>132</v>
      </c>
      <c r="AN57" t="s" s="0">
        <v>1870</v>
      </c>
      <c r="AO57" t="s" s="0">
        <v>1524</v>
      </c>
      <c r="AP57" t="s" s="0">
        <v>1871</v>
      </c>
      <c r="AQ57" t="s" s="0">
        <v>841</v>
      </c>
      <c r="AR57" t="s" s="0">
        <v>842</v>
      </c>
      <c r="AS57" t="s" s="0">
        <v>843</v>
      </c>
      <c r="AT57" t="s" s="0">
        <v>1872</v>
      </c>
      <c r="AU57" t="s" s="0">
        <v>1873</v>
      </c>
      <c r="AV57" t="s" s="0">
        <v>84</v>
      </c>
      <c r="AW57" t="s" s="0">
        <v>1874</v>
      </c>
      <c r="AX57" t="s" s="0">
        <v>1875</v>
      </c>
      <c r="AY57" t="s" s="0">
        <v>1023</v>
      </c>
      <c r="AZ57" t="s" s="0">
        <v>159</v>
      </c>
      <c r="BA57" t="s" s="0">
        <v>1876</v>
      </c>
      <c r="BB57" t="s" s="0">
        <v>214</v>
      </c>
      <c r="BC57" t="s" s="0">
        <v>84</v>
      </c>
      <c r="BD57" t="s" s="0">
        <v>84</v>
      </c>
      <c r="BE57" t="s" s="0">
        <v>84</v>
      </c>
      <c r="BF57" t="s" s="0">
        <v>84</v>
      </c>
      <c r="BG57" t="s" s="0">
        <v>1877</v>
      </c>
      <c r="BH57" t="s" s="0">
        <v>1878</v>
      </c>
      <c r="BI57" t="s" s="0">
        <v>84</v>
      </c>
      <c r="BJ57" t="s" s="0">
        <v>1879</v>
      </c>
      <c r="BK57" t="s" s="111">
        <f>HYPERLINK("http://dx.doi.org/10.1109/JPROC.2021.3054390","http://dx.doi.org/10.1109/JPROC.2021.3054390")</f>
        <v>1880</v>
      </c>
      <c r="BL57" t="s" s="0">
        <v>84</v>
      </c>
      <c r="BM57" t="s" s="0">
        <v>84</v>
      </c>
      <c r="BN57" t="s" s="0">
        <v>207</v>
      </c>
      <c r="BO57" t="s" s="0">
        <v>1881</v>
      </c>
      <c r="BP57" t="s" s="0">
        <v>533</v>
      </c>
      <c r="BQ57" t="s" s="0">
        <v>1882</v>
      </c>
      <c r="BR57" t="s" s="0">
        <v>1883</v>
      </c>
      <c r="BS57" t="s" s="0">
        <v>1884</v>
      </c>
      <c r="BT57" t="s" s="112">
        <f>HYPERLINK("https://www.webofscience.com/wos/woscc/full-record/WOS:000645896700010","View Record in Web of Science")</f>
        <v>127</v>
      </c>
      <c r="BU57" t="s" s="0">
        <v>321</v>
      </c>
      <c r="BV57" t="s" s="0">
        <v>128</v>
      </c>
      <c r="BW57" t="s" s="0">
        <v>129</v>
      </c>
      <c r="BX57" t="s" s="0">
        <v>130</v>
      </c>
    </row>
    <row r="58">
      <c r="A58" t="s" s="0">
        <v>118</v>
      </c>
      <c r="B58" t="s" s="0">
        <v>78</v>
      </c>
      <c r="C58" t="s" s="0">
        <v>1885</v>
      </c>
      <c r="D58" t="s" s="0">
        <v>396</v>
      </c>
      <c r="E58" t="s" s="0">
        <v>1886</v>
      </c>
      <c r="F58" t="s" s="0">
        <v>1887</v>
      </c>
      <c r="G58" t="s" s="0">
        <v>1888</v>
      </c>
      <c r="H58" t="s" s="0">
        <v>84</v>
      </c>
      <c r="I58" t="s" s="0">
        <v>85</v>
      </c>
      <c r="J58" t="s" s="0">
        <v>1889</v>
      </c>
      <c r="K58" t="s" s="0">
        <v>1890</v>
      </c>
      <c r="L58" t="s" s="0">
        <v>84</v>
      </c>
      <c r="M58" t="s" s="0">
        <v>84</v>
      </c>
      <c r="N58" t="s" s="0">
        <v>84</v>
      </c>
      <c r="O58" t="s" s="0">
        <v>1891</v>
      </c>
      <c r="P58" t="s" s="0">
        <v>1892</v>
      </c>
      <c r="Q58" t="s" s="0">
        <v>93</v>
      </c>
      <c r="R58" t="s" s="0">
        <v>84</v>
      </c>
      <c r="S58" t="s" s="0">
        <v>84</v>
      </c>
      <c r="T58" t="s" s="0">
        <v>84</v>
      </c>
      <c r="U58" t="s" s="0">
        <v>84</v>
      </c>
      <c r="V58" t="s" s="0">
        <v>1893</v>
      </c>
      <c r="W58" t="s" s="0">
        <v>1894</v>
      </c>
      <c r="X58" t="s" s="0">
        <v>84</v>
      </c>
      <c r="Y58" t="s" s="0">
        <v>84</v>
      </c>
      <c r="Z58" t="s" s="0">
        <v>96</v>
      </c>
      <c r="AA58" t="s" s="0">
        <v>97</v>
      </c>
      <c r="AB58" t="s" s="0">
        <v>84</v>
      </c>
      <c r="AC58" t="s" s="0">
        <v>84</v>
      </c>
      <c r="AD58" t="s" s="0">
        <v>84</v>
      </c>
      <c r="AE58" t="s" s="0">
        <v>84</v>
      </c>
      <c r="AF58" t="s" s="0">
        <v>84</v>
      </c>
      <c r="AG58" t="s" s="0">
        <v>1895</v>
      </c>
      <c r="AH58" t="s" s="0">
        <v>1896</v>
      </c>
      <c r="AI58" t="s" s="0">
        <v>1897</v>
      </c>
      <c r="AJ58" t="s" s="0">
        <v>1898</v>
      </c>
      <c r="AK58" t="s" s="0">
        <v>84</v>
      </c>
      <c r="AL58" t="s" s="0">
        <v>1899</v>
      </c>
      <c r="AM58" t="s" s="0">
        <v>1900</v>
      </c>
      <c r="AN58" t="s" s="0">
        <v>1901</v>
      </c>
      <c r="AO58" t="s" s="0">
        <v>312</v>
      </c>
      <c r="AP58" t="s" s="0">
        <v>1902</v>
      </c>
      <c r="AQ58" t="s" s="0">
        <v>982</v>
      </c>
      <c r="AR58" t="s" s="0">
        <v>983</v>
      </c>
      <c r="AS58" t="s" s="0">
        <v>984</v>
      </c>
      <c r="AT58" t="s" s="0">
        <v>1903</v>
      </c>
      <c r="AU58" t="s" s="0">
        <v>1904</v>
      </c>
      <c r="AV58" t="s" s="0">
        <v>84</v>
      </c>
      <c r="AW58" t="s" s="0">
        <v>1905</v>
      </c>
      <c r="AX58" t="s" s="0">
        <v>1906</v>
      </c>
      <c r="AY58" t="s" s="0">
        <v>1907</v>
      </c>
      <c r="AZ58" t="s" s="0">
        <v>201</v>
      </c>
      <c r="BA58" t="s" s="0">
        <v>1908</v>
      </c>
      <c r="BB58" t="s" s="0">
        <v>459</v>
      </c>
      <c r="BC58" t="s" s="0">
        <v>84</v>
      </c>
      <c r="BD58" t="s" s="0">
        <v>84</v>
      </c>
      <c r="BE58" t="s" s="0">
        <v>84</v>
      </c>
      <c r="BF58" t="s" s="0">
        <v>84</v>
      </c>
      <c r="BG58" t="s" s="0">
        <v>1909</v>
      </c>
      <c r="BH58" t="s" s="0">
        <v>1910</v>
      </c>
      <c r="BI58" t="s" s="0">
        <v>84</v>
      </c>
      <c r="BJ58" t="s" s="0">
        <v>1911</v>
      </c>
      <c r="BK58" t="s" s="113">
        <f>HYPERLINK("http://dx.doi.org/10.1111/joim.12822","http://dx.doi.org/10.1111/joim.12822")</f>
        <v>1912</v>
      </c>
      <c r="BL58" t="s" s="0">
        <v>84</v>
      </c>
      <c r="BM58" t="s" s="0">
        <v>84</v>
      </c>
      <c r="BN58" t="s" s="0">
        <v>701</v>
      </c>
      <c r="BO58" t="s" s="0">
        <v>281</v>
      </c>
      <c r="BP58" t="s" s="0">
        <v>282</v>
      </c>
      <c r="BQ58" t="s" s="0">
        <v>1913</v>
      </c>
      <c r="BR58" t="s" s="0">
        <v>1914</v>
      </c>
      <c r="BS58" t="s" s="0">
        <v>1915</v>
      </c>
      <c r="BT58" t="s" s="114">
        <f>HYPERLINK("https://www.webofscience.com/wos/woscc/full-record/WOS:000450513100004","View Record in Web of Science")</f>
        <v>127</v>
      </c>
      <c r="BU58" t="s" s="0">
        <v>1916</v>
      </c>
      <c r="BV58" t="s" s="0">
        <v>128</v>
      </c>
      <c r="BW58" t="s" s="0">
        <v>129</v>
      </c>
      <c r="BX58" t="s" s="0">
        <v>130</v>
      </c>
    </row>
    <row r="59">
      <c r="A59" t="s" s="0">
        <v>160</v>
      </c>
      <c r="B59" t="s" s="0">
        <v>78</v>
      </c>
      <c r="C59" t="s" s="0">
        <v>1917</v>
      </c>
      <c r="D59" t="s" s="0">
        <v>396</v>
      </c>
      <c r="E59" t="s" s="0">
        <v>1918</v>
      </c>
      <c r="F59" t="s" s="0">
        <v>1919</v>
      </c>
      <c r="G59" t="s" s="0">
        <v>1920</v>
      </c>
      <c r="H59" t="s" s="0">
        <v>84</v>
      </c>
      <c r="I59" t="s" s="0">
        <v>1100</v>
      </c>
      <c r="J59" t="s" s="0">
        <v>1921</v>
      </c>
      <c r="K59" t="s" s="0">
        <v>1922</v>
      </c>
      <c r="L59" t="s" s="0">
        <v>84</v>
      </c>
      <c r="M59" t="s" s="0">
        <v>84</v>
      </c>
      <c r="N59" t="s" s="0">
        <v>84</v>
      </c>
      <c r="O59" t="s" s="0">
        <v>1923</v>
      </c>
      <c r="P59" t="s" s="0">
        <v>84</v>
      </c>
      <c r="Q59" t="s" s="0">
        <v>93</v>
      </c>
      <c r="R59" t="s" s="0">
        <v>84</v>
      </c>
      <c r="S59" t="s" s="0">
        <v>84</v>
      </c>
      <c r="T59" t="s" s="0">
        <v>84</v>
      </c>
      <c r="U59" t="s" s="0">
        <v>84</v>
      </c>
      <c r="V59" t="s" s="0">
        <v>1924</v>
      </c>
      <c r="W59" t="s" s="0">
        <v>1925</v>
      </c>
      <c r="X59" t="s" s="0">
        <v>84</v>
      </c>
      <c r="Y59" t="s" s="0">
        <v>84</v>
      </c>
      <c r="Z59" t="s" s="0">
        <v>96</v>
      </c>
      <c r="AA59" t="s" s="0">
        <v>97</v>
      </c>
      <c r="AB59" t="s" s="0">
        <v>84</v>
      </c>
      <c r="AC59" t="s" s="0">
        <v>84</v>
      </c>
      <c r="AD59" t="s" s="0">
        <v>84</v>
      </c>
      <c r="AE59" t="s" s="0">
        <v>84</v>
      </c>
      <c r="AF59" t="s" s="0">
        <v>84</v>
      </c>
      <c r="AG59" t="s" s="0">
        <v>1926</v>
      </c>
      <c r="AH59" t="s" s="0">
        <v>1927</v>
      </c>
      <c r="AI59" t="s" s="0">
        <v>84</v>
      </c>
      <c r="AJ59" t="s" s="0">
        <v>84</v>
      </c>
      <c r="AK59" t="s" s="0">
        <v>84</v>
      </c>
      <c r="AL59" t="s" s="0">
        <v>1171</v>
      </c>
      <c r="AM59" t="s" s="0">
        <v>1928</v>
      </c>
      <c r="AN59" t="s" s="0">
        <v>1929</v>
      </c>
      <c r="AO59" t="s" s="0">
        <v>78</v>
      </c>
      <c r="AP59" t="s" s="0">
        <v>1024</v>
      </c>
      <c r="AQ59" t="s" s="0">
        <v>1930</v>
      </c>
      <c r="AR59" t="s" s="0">
        <v>1931</v>
      </c>
      <c r="AS59" t="s" s="0">
        <v>1932</v>
      </c>
      <c r="AT59" t="s" s="0">
        <v>84</v>
      </c>
      <c r="AU59" t="s" s="0">
        <v>1933</v>
      </c>
      <c r="AV59" t="s" s="0">
        <v>84</v>
      </c>
      <c r="AW59" t="s" s="0">
        <v>1934</v>
      </c>
      <c r="AX59" t="s" s="0">
        <v>1935</v>
      </c>
      <c r="AY59" t="s" s="0">
        <v>1460</v>
      </c>
      <c r="AZ59" t="s" s="0">
        <v>201</v>
      </c>
      <c r="BA59" t="s" s="0">
        <v>242</v>
      </c>
      <c r="BB59" t="s" s="0">
        <v>84</v>
      </c>
      <c r="BC59" t="s" s="0">
        <v>84</v>
      </c>
      <c r="BD59" t="s" s="0">
        <v>84</v>
      </c>
      <c r="BE59" t="s" s="0">
        <v>84</v>
      </c>
      <c r="BF59" t="s" s="0">
        <v>84</v>
      </c>
      <c r="BG59" t="s" s="0">
        <v>104</v>
      </c>
      <c r="BH59" t="s" s="0">
        <v>1936</v>
      </c>
      <c r="BI59" t="s" s="0">
        <v>84</v>
      </c>
      <c r="BJ59" t="s" s="0">
        <v>1937</v>
      </c>
      <c r="BK59" t="s" s="115">
        <f>HYPERLINK("http://dx.doi.org/10.1016/j.conctc.2018.08.001","http://dx.doi.org/10.1016/j.conctc.2018.08.001")</f>
        <v>1938</v>
      </c>
      <c r="BL59" t="s" s="0">
        <v>84</v>
      </c>
      <c r="BM59" t="s" s="0">
        <v>84</v>
      </c>
      <c r="BN59" t="s" s="0">
        <v>172</v>
      </c>
      <c r="BO59" t="s" s="0">
        <v>1238</v>
      </c>
      <c r="BP59" t="s" s="0">
        <v>1239</v>
      </c>
      <c r="BQ59" t="s" s="0">
        <v>1939</v>
      </c>
      <c r="BR59" t="s" s="0">
        <v>1940</v>
      </c>
      <c r="BS59" t="s" s="0">
        <v>1941</v>
      </c>
      <c r="BT59" t="s" s="116">
        <f>HYPERLINK("https://www.webofscience.com/wos/woscc/full-record/WOS:000443472200024","View Record in Web of Science")</f>
        <v>127</v>
      </c>
      <c r="BU59" t="s" s="0">
        <v>170</v>
      </c>
      <c r="BV59" t="s" s="0">
        <v>84</v>
      </c>
      <c r="BW59" t="s" s="0">
        <v>84</v>
      </c>
      <c r="BX59" t="s" s="0">
        <v>130</v>
      </c>
    </row>
    <row r="60">
      <c r="A60" t="s" s="0">
        <v>1942</v>
      </c>
      <c r="B60" t="s" s="0">
        <v>78</v>
      </c>
      <c r="C60" t="s" s="0">
        <v>1942</v>
      </c>
      <c r="D60" t="s" s="0">
        <v>78</v>
      </c>
      <c r="E60" t="s" s="0">
        <v>1943</v>
      </c>
      <c r="F60" t="s" s="0">
        <v>1944</v>
      </c>
      <c r="G60" t="s" s="0">
        <v>1945</v>
      </c>
      <c r="H60" t="s" s="0">
        <v>84</v>
      </c>
      <c r="I60" t="s" s="0">
        <v>85</v>
      </c>
      <c r="J60" t="s" s="0">
        <v>1946</v>
      </c>
      <c r="K60" t="s" s="0">
        <v>1947</v>
      </c>
      <c r="L60" t="s" s="0">
        <v>1948</v>
      </c>
      <c r="M60" t="s" s="0">
        <v>1949</v>
      </c>
      <c r="N60" t="s" s="0">
        <v>1950</v>
      </c>
      <c r="O60" t="s" s="0">
        <v>1951</v>
      </c>
      <c r="P60" t="s" s="0">
        <v>1952</v>
      </c>
      <c r="Q60" t="s" s="0">
        <v>93</v>
      </c>
      <c r="R60" t="s" s="0">
        <v>84</v>
      </c>
      <c r="S60" t="s" s="0">
        <v>84</v>
      </c>
      <c r="T60" t="s" s="0">
        <v>84</v>
      </c>
      <c r="U60" t="s" s="0">
        <v>84</v>
      </c>
      <c r="V60" t="s" s="0">
        <v>1953</v>
      </c>
      <c r="W60" t="s" s="0">
        <v>1954</v>
      </c>
      <c r="X60" t="s" s="0">
        <v>84</v>
      </c>
      <c r="Y60" t="s" s="0">
        <v>84</v>
      </c>
      <c r="Z60" t="s" s="0">
        <v>96</v>
      </c>
      <c r="AA60" t="s" s="0">
        <v>97</v>
      </c>
      <c r="AB60" t="s" s="0">
        <v>84</v>
      </c>
      <c r="AC60" t="s" s="0">
        <v>84</v>
      </c>
      <c r="AD60" t="s" s="0">
        <v>84</v>
      </c>
      <c r="AE60" t="s" s="0">
        <v>84</v>
      </c>
      <c r="AF60" t="s" s="0">
        <v>84</v>
      </c>
      <c r="AG60" t="s" s="0">
        <v>1955</v>
      </c>
      <c r="AH60" t="s" s="0">
        <v>1956</v>
      </c>
      <c r="AI60" t="s" s="0">
        <v>1957</v>
      </c>
      <c r="AJ60" t="s" s="0">
        <v>1958</v>
      </c>
      <c r="AK60" t="s" s="0">
        <v>84</v>
      </c>
      <c r="AL60" t="s" s="0">
        <v>1959</v>
      </c>
      <c r="AM60" t="s" s="0">
        <v>1960</v>
      </c>
      <c r="AN60" t="s" s="0">
        <v>1877</v>
      </c>
      <c r="AO60" t="s" s="0">
        <v>1059</v>
      </c>
      <c r="AP60" t="s" s="0">
        <v>1961</v>
      </c>
      <c r="AQ60" t="s" s="0">
        <v>1962</v>
      </c>
      <c r="AR60" t="s" s="0">
        <v>1963</v>
      </c>
      <c r="AS60" t="s" s="0">
        <v>1964</v>
      </c>
      <c r="AT60" t="s" s="0">
        <v>1965</v>
      </c>
      <c r="AU60" t="s" s="0">
        <v>1966</v>
      </c>
      <c r="AV60" t="s" s="0">
        <v>84</v>
      </c>
      <c r="AW60" t="s" s="0">
        <v>1967</v>
      </c>
      <c r="AX60" t="s" s="0">
        <v>1968</v>
      </c>
      <c r="AY60" t="s" s="0">
        <v>1969</v>
      </c>
      <c r="AZ60" t="s" s="0">
        <v>351</v>
      </c>
      <c r="BA60" t="s" s="0">
        <v>1117</v>
      </c>
      <c r="BB60" t="s" s="0">
        <v>214</v>
      </c>
      <c r="BC60" t="s" s="0">
        <v>778</v>
      </c>
      <c r="BD60" t="s" s="0">
        <v>84</v>
      </c>
      <c r="BE60" t="s" s="0">
        <v>84</v>
      </c>
      <c r="BF60" t="s" s="0">
        <v>84</v>
      </c>
      <c r="BG60" t="s" s="0">
        <v>84</v>
      </c>
      <c r="BH60" t="s" s="0">
        <v>84</v>
      </c>
      <c r="BI60" t="s" s="0">
        <v>1970</v>
      </c>
      <c r="BJ60" t="s" s="0">
        <v>1971</v>
      </c>
      <c r="BK60" t="s" s="117">
        <f>HYPERLINK("http://dx.doi.org/10.1002/adma.201901958","http://dx.doi.org/10.1002/adma.201901958")</f>
        <v>1972</v>
      </c>
      <c r="BL60" t="s" s="0">
        <v>84</v>
      </c>
      <c r="BM60" t="s" s="0">
        <v>989</v>
      </c>
      <c r="BN60" t="s" s="0">
        <v>306</v>
      </c>
      <c r="BO60" t="s" s="0">
        <v>1973</v>
      </c>
      <c r="BP60" t="s" s="0">
        <v>1974</v>
      </c>
      <c r="BQ60" t="s" s="0">
        <v>1975</v>
      </c>
      <c r="BR60" t="s" s="0">
        <v>1976</v>
      </c>
      <c r="BS60" t="s" s="0">
        <v>1977</v>
      </c>
      <c r="BT60" t="s" s="118">
        <f>HYPERLINK("https://www.webofscience.com/wos/woscc/full-record/WOS:000474099300001","View Record in Web of Science")</f>
        <v>127</v>
      </c>
      <c r="BU60" t="s" s="0">
        <v>84</v>
      </c>
      <c r="BV60" t="s" s="0">
        <v>128</v>
      </c>
      <c r="BW60" t="s" s="0">
        <v>129</v>
      </c>
      <c r="BX60" t="s" s="0">
        <v>130</v>
      </c>
    </row>
    <row r="61">
      <c r="A61" t="s" s="0">
        <v>242</v>
      </c>
      <c r="B61" t="s" s="0">
        <v>78</v>
      </c>
      <c r="C61" t="s" s="0">
        <v>1978</v>
      </c>
      <c r="D61" t="s" s="0">
        <v>116</v>
      </c>
      <c r="E61" t="s" s="0">
        <v>1979</v>
      </c>
      <c r="F61" t="s" s="0">
        <v>1980</v>
      </c>
      <c r="G61" t="s" s="0">
        <v>1981</v>
      </c>
      <c r="H61" t="s" s="0">
        <v>84</v>
      </c>
      <c r="I61" t="s" s="0">
        <v>85</v>
      </c>
      <c r="J61" t="s" s="0">
        <v>1982</v>
      </c>
      <c r="K61" t="s" s="0">
        <v>1983</v>
      </c>
      <c r="L61" t="s" s="0">
        <v>84</v>
      </c>
      <c r="M61" t="s" s="0">
        <v>84</v>
      </c>
      <c r="N61" t="s" s="0">
        <v>84</v>
      </c>
      <c r="O61" t="s" s="0">
        <v>1984</v>
      </c>
      <c r="P61" t="s" s="0">
        <v>1985</v>
      </c>
      <c r="Q61" t="s" s="0">
        <v>93</v>
      </c>
      <c r="R61" t="s" s="0">
        <v>84</v>
      </c>
      <c r="S61" t="s" s="0">
        <v>84</v>
      </c>
      <c r="T61" t="s" s="0">
        <v>84</v>
      </c>
      <c r="U61" t="s" s="0">
        <v>84</v>
      </c>
      <c r="V61" t="s" s="0">
        <v>1986</v>
      </c>
      <c r="W61" t="s" s="0">
        <v>1987</v>
      </c>
      <c r="X61" t="s" s="0">
        <v>84</v>
      </c>
      <c r="Y61" t="s" s="0">
        <v>84</v>
      </c>
      <c r="Z61" t="s" s="0">
        <v>96</v>
      </c>
      <c r="AA61" t="s" s="0">
        <v>97</v>
      </c>
      <c r="AB61" t="s" s="0">
        <v>84</v>
      </c>
      <c r="AC61" t="s" s="0">
        <v>84</v>
      </c>
      <c r="AD61" t="s" s="0">
        <v>84</v>
      </c>
      <c r="AE61" t="s" s="0">
        <v>84</v>
      </c>
      <c r="AF61" t="s" s="0">
        <v>84</v>
      </c>
      <c r="AG61" t="s" s="0">
        <v>1988</v>
      </c>
      <c r="AH61" t="s" s="0">
        <v>1989</v>
      </c>
      <c r="AI61" t="s" s="0">
        <v>1990</v>
      </c>
      <c r="AJ61" t="s" s="0">
        <v>1991</v>
      </c>
      <c r="AK61" t="s" s="0">
        <v>84</v>
      </c>
      <c r="AL61" t="s" s="0">
        <v>1498</v>
      </c>
      <c r="AM61" t="s" s="0">
        <v>1992</v>
      </c>
      <c r="AN61" t="s" s="0">
        <v>1993</v>
      </c>
      <c r="AO61" t="s" s="0">
        <v>133</v>
      </c>
      <c r="AP61" t="s" s="0">
        <v>1994</v>
      </c>
      <c r="AQ61" t="s" s="0">
        <v>1995</v>
      </c>
      <c r="AR61" t="s" s="0">
        <v>1996</v>
      </c>
      <c r="AS61" t="s" s="0">
        <v>1997</v>
      </c>
      <c r="AT61" t="s" s="0">
        <v>1998</v>
      </c>
      <c r="AU61" t="s" s="0">
        <v>1999</v>
      </c>
      <c r="AV61" t="s" s="0">
        <v>84</v>
      </c>
      <c r="AW61" t="s" s="0">
        <v>2000</v>
      </c>
      <c r="AX61" t="s" s="0">
        <v>2001</v>
      </c>
      <c r="AY61" t="s" s="0">
        <v>1353</v>
      </c>
      <c r="AZ61" t="s" s="0">
        <v>201</v>
      </c>
      <c r="BA61" t="s" s="0">
        <v>2002</v>
      </c>
      <c r="BB61" t="s" s="0">
        <v>84</v>
      </c>
      <c r="BC61" t="s" s="0">
        <v>84</v>
      </c>
      <c r="BD61" t="s" s="0">
        <v>84</v>
      </c>
      <c r="BE61" t="s" s="0">
        <v>84</v>
      </c>
      <c r="BF61" t="s" s="0">
        <v>84</v>
      </c>
      <c r="BG61" t="s" s="0">
        <v>116</v>
      </c>
      <c r="BH61" t="s" s="0">
        <v>121</v>
      </c>
      <c r="BI61" t="s" s="0">
        <v>84</v>
      </c>
      <c r="BJ61" t="s" s="0">
        <v>2003</v>
      </c>
      <c r="BK61" t="s" s="119">
        <f>HYPERLINK("http://dx.doi.org/10.1016/j.cmpb.2018.04.005","http://dx.doi.org/10.1016/j.cmpb.2018.04.005")</f>
        <v>2004</v>
      </c>
      <c r="BL61" t="s" s="0">
        <v>84</v>
      </c>
      <c r="BM61" t="s" s="0">
        <v>84</v>
      </c>
      <c r="BN61" t="s" s="0">
        <v>121</v>
      </c>
      <c r="BO61" t="s" s="0">
        <v>2005</v>
      </c>
      <c r="BP61" t="s" s="0">
        <v>2006</v>
      </c>
      <c r="BQ61" t="s" s="0">
        <v>2007</v>
      </c>
      <c r="BR61" t="s" s="0">
        <v>2008</v>
      </c>
      <c r="BS61" t="s" s="0">
        <v>2009</v>
      </c>
      <c r="BT61" t="s" s="120">
        <f>HYPERLINK("https://www.webofscience.com/wos/woscc/full-record/WOS:000433324800002","View Record in Web of Science")</f>
        <v>127</v>
      </c>
      <c r="BU61" t="s" s="0">
        <v>84</v>
      </c>
      <c r="BV61" t="s" s="0">
        <v>128</v>
      </c>
      <c r="BW61" t="s" s="0">
        <v>129</v>
      </c>
      <c r="BX61" t="s" s="0">
        <v>130</v>
      </c>
    </row>
    <row r="62">
      <c r="A62" t="s" s="0">
        <v>312</v>
      </c>
      <c r="B62" t="s" s="0">
        <v>78</v>
      </c>
      <c r="C62" t="s" s="0">
        <v>1328</v>
      </c>
      <c r="D62" t="s" s="0">
        <v>116</v>
      </c>
      <c r="E62" t="s" s="0">
        <v>2010</v>
      </c>
      <c r="F62" t="s" s="0">
        <v>2011</v>
      </c>
      <c r="G62" t="s" s="0">
        <v>2012</v>
      </c>
      <c r="H62" t="s" s="0">
        <v>84</v>
      </c>
      <c r="I62" t="s" s="0">
        <v>85</v>
      </c>
      <c r="J62" t="s" s="0">
        <v>2013</v>
      </c>
      <c r="K62" t="s" s="0">
        <v>2014</v>
      </c>
      <c r="L62" t="s" s="0">
        <v>2015</v>
      </c>
      <c r="M62" t="s" s="0">
        <v>2016</v>
      </c>
      <c r="N62" t="s" s="0">
        <v>2017</v>
      </c>
      <c r="O62" t="s" s="0">
        <v>2018</v>
      </c>
      <c r="P62" t="s" s="0">
        <v>2019</v>
      </c>
      <c r="Q62" t="s" s="0">
        <v>93</v>
      </c>
      <c r="R62" t="s" s="0">
        <v>84</v>
      </c>
      <c r="S62" t="s" s="0">
        <v>84</v>
      </c>
      <c r="T62" t="s" s="0">
        <v>84</v>
      </c>
      <c r="U62" t="s" s="0">
        <v>84</v>
      </c>
      <c r="V62" t="s" s="0">
        <v>2020</v>
      </c>
      <c r="W62" t="s" s="0">
        <v>2021</v>
      </c>
      <c r="X62" t="s" s="0">
        <v>84</v>
      </c>
      <c r="Y62" t="s" s="0">
        <v>84</v>
      </c>
      <c r="Z62" t="s" s="0">
        <v>96</v>
      </c>
      <c r="AA62" t="s" s="0">
        <v>97</v>
      </c>
      <c r="AB62" t="s" s="0">
        <v>84</v>
      </c>
      <c r="AC62" t="s" s="0">
        <v>84</v>
      </c>
      <c r="AD62" t="s" s="0">
        <v>84</v>
      </c>
      <c r="AE62" t="s" s="0">
        <v>84</v>
      </c>
      <c r="AF62" t="s" s="0">
        <v>84</v>
      </c>
      <c r="AG62" t="s" s="0">
        <v>2022</v>
      </c>
      <c r="AH62" t="s" s="0">
        <v>2023</v>
      </c>
      <c r="AI62" t="s" s="0">
        <v>2024</v>
      </c>
      <c r="AJ62" t="s" s="0">
        <v>2025</v>
      </c>
      <c r="AK62" t="s" s="0">
        <v>84</v>
      </c>
      <c r="AL62" t="s" s="0">
        <v>2026</v>
      </c>
      <c r="AM62" t="s" s="0">
        <v>2027</v>
      </c>
      <c r="AN62" t="s" s="0">
        <v>2028</v>
      </c>
      <c r="AO62" t="s" s="0">
        <v>280</v>
      </c>
      <c r="AP62" t="s" s="0">
        <v>2029</v>
      </c>
      <c r="AQ62" t="s" s="0">
        <v>982</v>
      </c>
      <c r="AR62" t="s" s="0">
        <v>983</v>
      </c>
      <c r="AS62" t="s" s="0">
        <v>984</v>
      </c>
      <c r="AT62" t="s" s="0">
        <v>2030</v>
      </c>
      <c r="AU62" t="s" s="0">
        <v>2031</v>
      </c>
      <c r="AV62" t="s" s="0">
        <v>84</v>
      </c>
      <c r="AW62" t="s" s="0">
        <v>2032</v>
      </c>
      <c r="AX62" t="s" s="0">
        <v>2033</v>
      </c>
      <c r="AY62" t="s" s="0">
        <v>2034</v>
      </c>
      <c r="AZ62" t="s" s="0">
        <v>159</v>
      </c>
      <c r="BA62" t="s" s="0">
        <v>2035</v>
      </c>
      <c r="BB62" t="s" s="0">
        <v>214</v>
      </c>
      <c r="BC62" t="s" s="0">
        <v>778</v>
      </c>
      <c r="BD62" t="s" s="0">
        <v>84</v>
      </c>
      <c r="BE62" t="s" s="0">
        <v>84</v>
      </c>
      <c r="BF62" t="s" s="0">
        <v>84</v>
      </c>
      <c r="BG62" t="s" s="0">
        <v>2036</v>
      </c>
      <c r="BH62" t="s" s="0">
        <v>2037</v>
      </c>
      <c r="BI62" t="s" s="0">
        <v>84</v>
      </c>
      <c r="BJ62" t="s" s="0">
        <v>2038</v>
      </c>
      <c r="BK62" t="s" s="121">
        <f>HYPERLINK("http://dx.doi.org/10.1111/1754-9485.13261","http://dx.doi.org/10.1111/1754-9485.13261")</f>
        <v>2039</v>
      </c>
      <c r="BL62" t="s" s="0">
        <v>84</v>
      </c>
      <c r="BM62" t="s" s="0">
        <v>427</v>
      </c>
      <c r="BN62" t="s" s="0">
        <v>207</v>
      </c>
      <c r="BO62" t="s" s="0">
        <v>208</v>
      </c>
      <c r="BP62" t="s" s="0">
        <v>208</v>
      </c>
      <c r="BQ62" t="s" s="0">
        <v>2040</v>
      </c>
      <c r="BR62" t="s" s="0">
        <v>2041</v>
      </c>
      <c r="BS62" t="s" s="0">
        <v>2042</v>
      </c>
      <c r="BT62" t="s" s="122">
        <f>HYPERLINK("https://www.webofscience.com/wos/woscc/full-record/WOS:000663222700001","View Record in Web of Science")</f>
        <v>127</v>
      </c>
      <c r="BU62" t="s" s="0">
        <v>84</v>
      </c>
      <c r="BV62" t="s" s="0">
        <v>128</v>
      </c>
      <c r="BW62" t="s" s="0">
        <v>129</v>
      </c>
      <c r="BX62" t="s" s="0">
        <v>130</v>
      </c>
    </row>
    <row r="63">
      <c r="A63" t="s" s="0">
        <v>521</v>
      </c>
      <c r="B63" t="s" s="0">
        <v>78</v>
      </c>
      <c r="C63" t="s" s="0">
        <v>1706</v>
      </c>
      <c r="D63" t="s" s="0">
        <v>116</v>
      </c>
      <c r="E63" t="s" s="0">
        <v>2043</v>
      </c>
      <c r="F63" t="s" s="0">
        <v>2044</v>
      </c>
      <c r="G63" t="s" s="0">
        <v>2045</v>
      </c>
      <c r="H63" t="s" s="0">
        <v>84</v>
      </c>
      <c r="I63" t="s" s="0">
        <v>251</v>
      </c>
      <c r="J63" t="s" s="0">
        <v>2046</v>
      </c>
      <c r="K63" t="s" s="0">
        <v>2047</v>
      </c>
      <c r="L63" t="s" s="0">
        <v>2048</v>
      </c>
      <c r="M63" t="s" s="0">
        <v>2049</v>
      </c>
      <c r="N63" t="s" s="0">
        <v>2050</v>
      </c>
      <c r="O63" t="s" s="0">
        <v>2051</v>
      </c>
      <c r="P63" t="s" s="0">
        <v>2052</v>
      </c>
      <c r="Q63" t="s" s="0">
        <v>93</v>
      </c>
      <c r="R63" t="s" s="0">
        <v>84</v>
      </c>
      <c r="S63" t="s" s="0">
        <v>84</v>
      </c>
      <c r="T63" t="s" s="0">
        <v>84</v>
      </c>
      <c r="U63" t="s" s="0">
        <v>84</v>
      </c>
      <c r="V63" t="s" s="0">
        <v>2053</v>
      </c>
      <c r="W63" t="s" s="0">
        <v>2054</v>
      </c>
      <c r="X63" t="s" s="0">
        <v>84</v>
      </c>
      <c r="Y63" t="s" s="0">
        <v>84</v>
      </c>
      <c r="Z63" t="s" s="0">
        <v>96</v>
      </c>
      <c r="AA63" t="s" s="0">
        <v>97</v>
      </c>
      <c r="AB63" t="s" s="0">
        <v>84</v>
      </c>
      <c r="AC63" t="s" s="0">
        <v>84</v>
      </c>
      <c r="AD63" t="s" s="0">
        <v>84</v>
      </c>
      <c r="AE63" t="s" s="0">
        <v>84</v>
      </c>
      <c r="AF63" t="s" s="0">
        <v>84</v>
      </c>
      <c r="AG63" t="s" s="0">
        <v>2055</v>
      </c>
      <c r="AH63" t="s" s="0">
        <v>2056</v>
      </c>
      <c r="AI63" t="s" s="0">
        <v>2057</v>
      </c>
      <c r="AJ63" t="s" s="0">
        <v>2058</v>
      </c>
      <c r="AK63" t="s" s="0">
        <v>84</v>
      </c>
      <c r="AL63" t="s" s="0">
        <v>1090</v>
      </c>
      <c r="AM63" t="s" s="0">
        <v>2059</v>
      </c>
      <c r="AN63" t="s" s="0">
        <v>2060</v>
      </c>
      <c r="AO63" t="s" s="0">
        <v>207</v>
      </c>
      <c r="AP63" t="s" s="0">
        <v>2061</v>
      </c>
      <c r="AQ63" t="s" s="0">
        <v>2062</v>
      </c>
      <c r="AR63" t="s" s="0">
        <v>633</v>
      </c>
      <c r="AS63" t="s" s="0">
        <v>2063</v>
      </c>
      <c r="AT63" t="s" s="0">
        <v>2064</v>
      </c>
      <c r="AU63" t="s" s="0">
        <v>2065</v>
      </c>
      <c r="AV63" t="s" s="0">
        <v>84</v>
      </c>
      <c r="AW63" t="s" s="0">
        <v>2066</v>
      </c>
      <c r="AX63" t="s" s="0">
        <v>2067</v>
      </c>
      <c r="AY63" t="s" s="0">
        <v>2068</v>
      </c>
      <c r="AZ63" t="s" s="0">
        <v>159</v>
      </c>
      <c r="BA63" t="s" s="0">
        <v>1647</v>
      </c>
      <c r="BB63" t="s" s="0">
        <v>84</v>
      </c>
      <c r="BC63" t="s" s="0">
        <v>84</v>
      </c>
      <c r="BD63" t="s" s="0">
        <v>84</v>
      </c>
      <c r="BE63" t="s" s="0">
        <v>84</v>
      </c>
      <c r="BF63" t="s" s="0">
        <v>84</v>
      </c>
      <c r="BG63" t="s" s="0">
        <v>84</v>
      </c>
      <c r="BH63" t="s" s="0">
        <v>84</v>
      </c>
      <c r="BI63" t="s" s="0">
        <v>2069</v>
      </c>
      <c r="BJ63" t="s" s="0">
        <v>2070</v>
      </c>
      <c r="BK63" t="s" s="123">
        <f>HYPERLINK("http://dx.doi.org/10.1016/j.biotechadv.2021.107739","http://dx.doi.org/10.1016/j.biotechadv.2021.107739")</f>
        <v>2071</v>
      </c>
      <c r="BL63" t="s" s="0">
        <v>84</v>
      </c>
      <c r="BM63" t="s" s="0">
        <v>2072</v>
      </c>
      <c r="BN63" t="s" s="0">
        <v>264</v>
      </c>
      <c r="BO63" t="s" s="0">
        <v>2073</v>
      </c>
      <c r="BP63" t="s" s="0">
        <v>2073</v>
      </c>
      <c r="BQ63" t="s" s="0">
        <v>2074</v>
      </c>
      <c r="BR63" t="s" s="0">
        <v>2075</v>
      </c>
      <c r="BS63" t="s" s="0">
        <v>2076</v>
      </c>
      <c r="BT63" t="s" s="124">
        <f>HYPERLINK("https://www.webofscience.com/wos/woscc/full-record/WOS:000663421300008","View Record in Web of Science")</f>
        <v>127</v>
      </c>
      <c r="BU63" t="s" s="0">
        <v>1916</v>
      </c>
      <c r="BV63" t="s" s="0">
        <v>128</v>
      </c>
      <c r="BW63" t="s" s="0">
        <v>129</v>
      </c>
      <c r="BX63" t="s" s="0">
        <v>130</v>
      </c>
    </row>
    <row r="64">
      <c r="A64" t="s" s="0">
        <v>527</v>
      </c>
      <c r="B64" t="s" s="0">
        <v>78</v>
      </c>
      <c r="C64" t="s" s="0">
        <v>2077</v>
      </c>
      <c r="D64" t="s" s="0">
        <v>78</v>
      </c>
      <c r="E64" t="s" s="0">
        <v>2078</v>
      </c>
      <c r="F64" t="s" s="0">
        <v>2079</v>
      </c>
      <c r="G64" t="s" s="0">
        <v>2080</v>
      </c>
      <c r="H64" t="s" s="0">
        <v>84</v>
      </c>
      <c r="I64" t="s" s="0">
        <v>251</v>
      </c>
      <c r="J64" t="s" s="0">
        <v>2081</v>
      </c>
      <c r="K64" t="s" s="0">
        <v>2082</v>
      </c>
      <c r="L64" t="s" s="0">
        <v>2083</v>
      </c>
      <c r="M64" t="s" s="0">
        <v>2084</v>
      </c>
      <c r="N64" t="s" s="0">
        <v>2085</v>
      </c>
      <c r="O64" t="s" s="0">
        <v>2086</v>
      </c>
      <c r="P64" t="s" s="0">
        <v>2087</v>
      </c>
      <c r="Q64" t="s" s="0">
        <v>93</v>
      </c>
      <c r="R64" t="s" s="0">
        <v>84</v>
      </c>
      <c r="S64" t="s" s="0">
        <v>84</v>
      </c>
      <c r="T64" t="s" s="0">
        <v>84</v>
      </c>
      <c r="U64" t="s" s="0">
        <v>84</v>
      </c>
      <c r="V64" t="s" s="0">
        <v>2088</v>
      </c>
      <c r="W64" t="s" s="0">
        <v>2089</v>
      </c>
      <c r="X64" t="s" s="0">
        <v>84</v>
      </c>
      <c r="Y64" t="s" s="0">
        <v>84</v>
      </c>
      <c r="Z64" t="s" s="0">
        <v>96</v>
      </c>
      <c r="AA64" t="s" s="0">
        <v>97</v>
      </c>
      <c r="AB64" t="s" s="0">
        <v>84</v>
      </c>
      <c r="AC64" t="s" s="0">
        <v>84</v>
      </c>
      <c r="AD64" t="s" s="0">
        <v>84</v>
      </c>
      <c r="AE64" t="s" s="0">
        <v>84</v>
      </c>
      <c r="AF64" t="s" s="0">
        <v>84</v>
      </c>
      <c r="AG64" t="s" s="0">
        <v>84</v>
      </c>
      <c r="AH64" t="s" s="0">
        <v>2090</v>
      </c>
      <c r="AI64" t="s" s="0">
        <v>2091</v>
      </c>
      <c r="AJ64" t="s" s="0">
        <v>2092</v>
      </c>
      <c r="AK64" t="s" s="0">
        <v>84</v>
      </c>
      <c r="AL64" t="s" s="0">
        <v>997</v>
      </c>
      <c r="AM64" t="s" s="0">
        <v>2059</v>
      </c>
      <c r="AN64" t="s" s="0">
        <v>2093</v>
      </c>
      <c r="AO64" t="s" s="0">
        <v>214</v>
      </c>
      <c r="AP64" t="s" s="0">
        <v>77</v>
      </c>
      <c r="AQ64" t="s" s="0">
        <v>2094</v>
      </c>
      <c r="AR64" t="s" s="0">
        <v>2095</v>
      </c>
      <c r="AS64" t="s" s="0">
        <v>2096</v>
      </c>
      <c r="AT64" t="s" s="0">
        <v>2097</v>
      </c>
      <c r="AU64" t="s" s="0">
        <v>84</v>
      </c>
      <c r="AV64" t="s" s="0">
        <v>84</v>
      </c>
      <c r="AW64" t="s" s="0">
        <v>2089</v>
      </c>
      <c r="AX64" t="s" s="0">
        <v>2098</v>
      </c>
      <c r="AY64" t="s" s="0">
        <v>2099</v>
      </c>
      <c r="AZ64" t="s" s="0">
        <v>351</v>
      </c>
      <c r="BA64" t="s" s="0">
        <v>2100</v>
      </c>
      <c r="BB64" t="s" s="0">
        <v>116</v>
      </c>
      <c r="BC64" t="s" s="0">
        <v>84</v>
      </c>
      <c r="BD64" t="s" s="0">
        <v>84</v>
      </c>
      <c r="BE64" t="s" s="0">
        <v>84</v>
      </c>
      <c r="BF64" t="s" s="0">
        <v>84</v>
      </c>
      <c r="BG64" t="s" s="0">
        <v>202</v>
      </c>
      <c r="BH64" t="s" s="0">
        <v>133</v>
      </c>
      <c r="BI64" t="s" s="0">
        <v>84</v>
      </c>
      <c r="BJ64" t="s" s="0">
        <v>2101</v>
      </c>
      <c r="BK64" t="s" s="125">
        <f>HYPERLINK("http://dx.doi.org/10.1148/radiol.2020192224","http://dx.doi.org/10.1148/radiol.2020192224")</f>
        <v>2102</v>
      </c>
      <c r="BL64" t="s" s="0">
        <v>84</v>
      </c>
      <c r="BM64" t="s" s="0">
        <v>84</v>
      </c>
      <c r="BN64" t="s" s="0">
        <v>280</v>
      </c>
      <c r="BO64" t="s" s="0">
        <v>208</v>
      </c>
      <c r="BP64" t="s" s="0">
        <v>208</v>
      </c>
      <c r="BQ64" t="s" s="0">
        <v>2103</v>
      </c>
      <c r="BR64" t="s" s="0">
        <v>2104</v>
      </c>
      <c r="BS64" t="s" s="0">
        <v>2105</v>
      </c>
      <c r="BT64" t="s" s="126">
        <f>HYPERLINK("https://www.webofscience.com/wos/woscc/full-record/WOS:000520166000002","View Record in Web of Science")</f>
        <v>127</v>
      </c>
      <c r="BU64" t="s" s="0">
        <v>321</v>
      </c>
      <c r="BV64" t="s" s="0">
        <v>128</v>
      </c>
      <c r="BW64" t="s" s="0">
        <v>129</v>
      </c>
      <c r="BX64" t="s" s="0">
        <v>130</v>
      </c>
    </row>
    <row r="65">
      <c r="A65" t="s" s="0">
        <v>1130</v>
      </c>
      <c r="B65" t="s" s="0">
        <v>78</v>
      </c>
      <c r="C65" t="s" s="0">
        <v>1314</v>
      </c>
      <c r="D65" t="s" s="0">
        <v>78</v>
      </c>
      <c r="E65" t="s" s="0">
        <v>2106</v>
      </c>
      <c r="F65" t="s" s="0">
        <v>2107</v>
      </c>
      <c r="G65" t="s" s="0">
        <v>2108</v>
      </c>
      <c r="H65" t="s" s="0">
        <v>84</v>
      </c>
      <c r="I65" t="s" s="0">
        <v>85</v>
      </c>
      <c r="J65" t="s" s="0">
        <v>2109</v>
      </c>
      <c r="K65" t="s" s="0">
        <v>2110</v>
      </c>
      <c r="L65" t="s" s="0">
        <v>84</v>
      </c>
      <c r="M65" t="s" s="0">
        <v>84</v>
      </c>
      <c r="N65" t="s" s="0">
        <v>84</v>
      </c>
      <c r="O65" t="s" s="0">
        <v>2111</v>
      </c>
      <c r="P65" t="s" s="0">
        <v>2112</v>
      </c>
      <c r="Q65" t="s" s="0">
        <v>93</v>
      </c>
      <c r="R65" t="s" s="0">
        <v>84</v>
      </c>
      <c r="S65" t="s" s="0">
        <v>84</v>
      </c>
      <c r="T65" t="s" s="0">
        <v>84</v>
      </c>
      <c r="U65" t="s" s="0">
        <v>84</v>
      </c>
      <c r="V65" t="s" s="0">
        <v>2113</v>
      </c>
      <c r="W65" t="s" s="0">
        <v>2114</v>
      </c>
      <c r="X65" t="s" s="0">
        <v>84</v>
      </c>
      <c r="Y65" t="s" s="0">
        <v>84</v>
      </c>
      <c r="Z65" t="s" s="0">
        <v>96</v>
      </c>
      <c r="AA65" t="s" s="0">
        <v>97</v>
      </c>
      <c r="AB65" t="s" s="0">
        <v>84</v>
      </c>
      <c r="AC65" t="s" s="0">
        <v>84</v>
      </c>
      <c r="AD65" t="s" s="0">
        <v>84</v>
      </c>
      <c r="AE65" t="s" s="0">
        <v>84</v>
      </c>
      <c r="AF65" t="s" s="0">
        <v>84</v>
      </c>
      <c r="AG65" t="s" s="0">
        <v>2115</v>
      </c>
      <c r="AH65" t="s" s="0">
        <v>2116</v>
      </c>
      <c r="AI65" t="s" s="0">
        <v>2117</v>
      </c>
      <c r="AJ65" t="s" s="0">
        <v>2118</v>
      </c>
      <c r="AK65" t="s" s="0">
        <v>84</v>
      </c>
      <c r="AL65" t="s" s="0">
        <v>2119</v>
      </c>
      <c r="AM65" t="s" s="0">
        <v>2120</v>
      </c>
      <c r="AN65" t="s" s="0">
        <v>2121</v>
      </c>
      <c r="AO65" t="s" s="0">
        <v>527</v>
      </c>
      <c r="AP65" t="s" s="0">
        <v>2122</v>
      </c>
      <c r="AQ65" t="s" s="0">
        <v>809</v>
      </c>
      <c r="AR65" t="s" s="0">
        <v>2123</v>
      </c>
      <c r="AS65" t="s" s="0">
        <v>2124</v>
      </c>
      <c r="AT65" t="s" s="0">
        <v>2125</v>
      </c>
      <c r="AU65" t="s" s="0">
        <v>2126</v>
      </c>
      <c r="AV65" t="s" s="0">
        <v>84</v>
      </c>
      <c r="AW65" t="s" s="0">
        <v>2127</v>
      </c>
      <c r="AX65" t="s" s="0">
        <v>2128</v>
      </c>
      <c r="AY65" t="s" s="0">
        <v>385</v>
      </c>
      <c r="AZ65" t="s" s="0">
        <v>159</v>
      </c>
      <c r="BA65" t="s" s="0">
        <v>1810</v>
      </c>
      <c r="BB65" t="s" s="0">
        <v>116</v>
      </c>
      <c r="BC65" t="s" s="0">
        <v>84</v>
      </c>
      <c r="BD65" t="s" s="0">
        <v>84</v>
      </c>
      <c r="BE65" t="s" s="0">
        <v>84</v>
      </c>
      <c r="BF65" t="s" s="0">
        <v>84</v>
      </c>
      <c r="BG65" t="s" s="0">
        <v>2129</v>
      </c>
      <c r="BH65" t="s" s="0">
        <v>2130</v>
      </c>
      <c r="BI65" t="s" s="0">
        <v>84</v>
      </c>
      <c r="BJ65" t="s" s="0">
        <v>2131</v>
      </c>
      <c r="BK65" t="s" s="127">
        <f>HYPERLINK("http://dx.doi.org/10.1007/s10462-020-09854-1","http://dx.doi.org/10.1007/s10462-020-09854-1")</f>
        <v>2132</v>
      </c>
      <c r="BL65" t="s" s="0">
        <v>84</v>
      </c>
      <c r="BM65" t="s" s="0">
        <v>1320</v>
      </c>
      <c r="BN65" t="s" s="0">
        <v>610</v>
      </c>
      <c r="BO65" t="s" s="0">
        <v>2133</v>
      </c>
      <c r="BP65" t="s" s="0">
        <v>166</v>
      </c>
      <c r="BQ65" t="s" s="0">
        <v>2134</v>
      </c>
      <c r="BR65" t="s" s="0">
        <v>84</v>
      </c>
      <c r="BS65" t="s" s="0">
        <v>2135</v>
      </c>
      <c r="BT65" t="s" s="128">
        <f>HYPERLINK("https://www.webofscience.com/wos/woscc/full-record/WOS:000539923400001","View Record in Web of Science")</f>
        <v>127</v>
      </c>
      <c r="BU65" t="s" s="0">
        <v>321</v>
      </c>
      <c r="BV65" t="s" s="0">
        <v>128</v>
      </c>
      <c r="BW65" t="s" s="0">
        <v>129</v>
      </c>
      <c r="BX65" t="s" s="0">
        <v>130</v>
      </c>
    </row>
    <row r="66">
      <c r="A66" t="s" s="0">
        <v>1117</v>
      </c>
      <c r="B66" t="s" s="0">
        <v>116</v>
      </c>
      <c r="C66" t="s" s="0">
        <v>927</v>
      </c>
      <c r="D66" t="s" s="0">
        <v>202</v>
      </c>
      <c r="E66" t="s" s="0">
        <v>2136</v>
      </c>
      <c r="F66" t="s" s="0">
        <v>2137</v>
      </c>
      <c r="G66" t="s" s="0">
        <v>2138</v>
      </c>
      <c r="H66" t="s" s="0">
        <v>84</v>
      </c>
      <c r="I66" t="s" s="0">
        <v>85</v>
      </c>
      <c r="J66" t="s" s="0">
        <v>2139</v>
      </c>
      <c r="K66" t="s" s="0">
        <v>2140</v>
      </c>
      <c r="L66" t="s" s="0">
        <v>84</v>
      </c>
      <c r="M66" t="s" s="0">
        <v>84</v>
      </c>
      <c r="N66" t="s" s="0">
        <v>84</v>
      </c>
      <c r="O66" t="s" s="0">
        <v>2141</v>
      </c>
      <c r="P66" t="s" s="0">
        <v>2142</v>
      </c>
      <c r="Q66" t="s" s="0">
        <v>93</v>
      </c>
      <c r="R66" t="s" s="0">
        <v>84</v>
      </c>
      <c r="S66" t="s" s="0">
        <v>84</v>
      </c>
      <c r="T66" t="s" s="0">
        <v>84</v>
      </c>
      <c r="U66" t="s" s="0">
        <v>84</v>
      </c>
      <c r="V66" t="s" s="0">
        <v>2143</v>
      </c>
      <c r="W66" t="s" s="0">
        <v>831</v>
      </c>
      <c r="X66" t="s" s="0">
        <v>84</v>
      </c>
      <c r="Y66" t="s" s="0">
        <v>84</v>
      </c>
      <c r="Z66" t="s" s="0">
        <v>96</v>
      </c>
      <c r="AA66" t="s" s="0">
        <v>97</v>
      </c>
      <c r="AB66" t="s" s="0">
        <v>84</v>
      </c>
      <c r="AC66" t="s" s="0">
        <v>84</v>
      </c>
      <c r="AD66" t="s" s="0">
        <v>84</v>
      </c>
      <c r="AE66" t="s" s="0">
        <v>84</v>
      </c>
      <c r="AF66" t="s" s="0">
        <v>84</v>
      </c>
      <c r="AG66" t="s" s="0">
        <v>2144</v>
      </c>
      <c r="AH66" t="s" s="0">
        <v>2145</v>
      </c>
      <c r="AI66" t="s" s="0">
        <v>2146</v>
      </c>
      <c r="AJ66" t="s" s="0">
        <v>2147</v>
      </c>
      <c r="AK66" t="s" s="0">
        <v>84</v>
      </c>
      <c r="AL66" t="s" s="0">
        <v>2148</v>
      </c>
      <c r="AM66" t="s" s="0">
        <v>2120</v>
      </c>
      <c r="AN66" t="s" s="0">
        <v>132</v>
      </c>
      <c r="AO66" t="s" s="0">
        <v>275</v>
      </c>
      <c r="AP66" t="s" s="0">
        <v>2149</v>
      </c>
      <c r="AQ66" t="s" s="0">
        <v>841</v>
      </c>
      <c r="AR66" t="s" s="0">
        <v>842</v>
      </c>
      <c r="AS66" t="s" s="0">
        <v>843</v>
      </c>
      <c r="AT66" t="s" s="0">
        <v>844</v>
      </c>
      <c r="AU66" t="s" s="0">
        <v>84</v>
      </c>
      <c r="AV66" t="s" s="0">
        <v>84</v>
      </c>
      <c r="AW66" t="s" s="0">
        <v>831</v>
      </c>
      <c r="AX66" t="s" s="0">
        <v>845</v>
      </c>
      <c r="AY66" t="s" s="0">
        <v>201</v>
      </c>
      <c r="AZ66" t="s" s="0">
        <v>201</v>
      </c>
      <c r="BA66" t="s" s="0">
        <v>459</v>
      </c>
      <c r="BB66" t="s" s="0">
        <v>84</v>
      </c>
      <c r="BC66" t="s" s="0">
        <v>84</v>
      </c>
      <c r="BD66" t="s" s="0">
        <v>84</v>
      </c>
      <c r="BE66" t="s" s="0">
        <v>84</v>
      </c>
      <c r="BF66" t="s" s="0">
        <v>84</v>
      </c>
      <c r="BG66" t="s" s="0">
        <v>2150</v>
      </c>
      <c r="BH66" t="s" s="0">
        <v>2151</v>
      </c>
      <c r="BI66" t="s" s="0">
        <v>84</v>
      </c>
      <c r="BJ66" t="s" s="0">
        <v>2152</v>
      </c>
      <c r="BK66" t="s" s="129">
        <f>HYPERLINK("http://dx.doi.org/10.1109/ACCESS.2018.2812999","http://dx.doi.org/10.1109/ACCESS.2018.2812999")</f>
        <v>2153</v>
      </c>
      <c r="BL66" t="s" s="0">
        <v>84</v>
      </c>
      <c r="BM66" t="s" s="0">
        <v>84</v>
      </c>
      <c r="BN66" t="s" s="0">
        <v>280</v>
      </c>
      <c r="BO66" t="s" s="0">
        <v>851</v>
      </c>
      <c r="BP66" t="s" s="0">
        <v>852</v>
      </c>
      <c r="BQ66" t="s" s="0">
        <v>2154</v>
      </c>
      <c r="BR66" t="s" s="0">
        <v>84</v>
      </c>
      <c r="BS66" t="s" s="0">
        <v>2155</v>
      </c>
      <c r="BT66" t="s" s="130">
        <f>HYPERLINK("https://www.webofscience.com/wos/woscc/full-record/WOS:000429248600001","View Record in Web of Science")</f>
        <v>127</v>
      </c>
      <c r="BU66" t="s" s="0">
        <v>170</v>
      </c>
      <c r="BV66" t="s" s="0">
        <v>128</v>
      </c>
      <c r="BW66" t="s" s="0">
        <v>129</v>
      </c>
      <c r="BX66" t="s" s="0">
        <v>130</v>
      </c>
    </row>
    <row r="67">
      <c r="A67" t="s" s="0">
        <v>527</v>
      </c>
      <c r="B67" t="s" s="0">
        <v>78</v>
      </c>
      <c r="C67" t="s" s="0">
        <v>286</v>
      </c>
      <c r="D67" t="s" s="0">
        <v>116</v>
      </c>
      <c r="E67" t="s" s="0">
        <v>2156</v>
      </c>
      <c r="F67" t="s" s="0">
        <v>2157</v>
      </c>
      <c r="G67" t="s" s="0">
        <v>2158</v>
      </c>
      <c r="H67" t="s" s="0">
        <v>84</v>
      </c>
      <c r="I67" t="s" s="0">
        <v>85</v>
      </c>
      <c r="J67" t="s" s="0">
        <v>2159</v>
      </c>
      <c r="K67" t="s" s="0">
        <v>2160</v>
      </c>
      <c r="L67" t="s" s="0">
        <v>2161</v>
      </c>
      <c r="M67" t="s" s="0">
        <v>2162</v>
      </c>
      <c r="N67" t="s" s="0">
        <v>84</v>
      </c>
      <c r="O67" t="s" s="0">
        <v>2163</v>
      </c>
      <c r="P67" t="s" s="0">
        <v>2164</v>
      </c>
      <c r="Q67" t="s" s="0">
        <v>93</v>
      </c>
      <c r="R67" t="s" s="0">
        <v>84</v>
      </c>
      <c r="S67" t="s" s="0">
        <v>84</v>
      </c>
      <c r="T67" t="s" s="0">
        <v>84</v>
      </c>
      <c r="U67" t="s" s="0">
        <v>84</v>
      </c>
      <c r="V67" t="s" s="0">
        <v>2165</v>
      </c>
      <c r="W67" t="s" s="0">
        <v>1507</v>
      </c>
      <c r="X67" t="s" s="0">
        <v>84</v>
      </c>
      <c r="Y67" t="s" s="0">
        <v>84</v>
      </c>
      <c r="Z67" t="s" s="0">
        <v>96</v>
      </c>
      <c r="AA67" t="s" s="0">
        <v>97</v>
      </c>
      <c r="AB67" t="s" s="0">
        <v>84</v>
      </c>
      <c r="AC67" t="s" s="0">
        <v>84</v>
      </c>
      <c r="AD67" t="s" s="0">
        <v>84</v>
      </c>
      <c r="AE67" t="s" s="0">
        <v>84</v>
      </c>
      <c r="AF67" t="s" s="0">
        <v>84</v>
      </c>
      <c r="AG67" t="s" s="0">
        <v>84</v>
      </c>
      <c r="AH67" t="s" s="0">
        <v>2166</v>
      </c>
      <c r="AI67" t="s" s="0">
        <v>2167</v>
      </c>
      <c r="AJ67" t="s" s="0">
        <v>2168</v>
      </c>
      <c r="AK67" t="s" s="0">
        <v>84</v>
      </c>
      <c r="AL67" t="s" s="0">
        <v>131</v>
      </c>
      <c r="AM67" t="s" s="0">
        <v>495</v>
      </c>
      <c r="AN67" t="s" s="0">
        <v>2169</v>
      </c>
      <c r="AO67" t="s" s="0">
        <v>280</v>
      </c>
      <c r="AP67" t="s" s="0">
        <v>469</v>
      </c>
      <c r="AQ67" t="s" s="0">
        <v>106</v>
      </c>
      <c r="AR67" t="s" s="0">
        <v>107</v>
      </c>
      <c r="AS67" t="s" s="0">
        <v>108</v>
      </c>
      <c r="AT67" t="s" s="0">
        <v>1515</v>
      </c>
      <c r="AU67" t="s" s="0">
        <v>84</v>
      </c>
      <c r="AV67" t="s" s="0">
        <v>84</v>
      </c>
      <c r="AW67" t="s" s="0">
        <v>1516</v>
      </c>
      <c r="AX67" t="s" s="0">
        <v>1517</v>
      </c>
      <c r="AY67" t="s" s="0">
        <v>2170</v>
      </c>
      <c r="AZ67" t="s" s="0">
        <v>159</v>
      </c>
      <c r="BA67" t="s" s="0">
        <v>202</v>
      </c>
      <c r="BB67" t="s" s="0">
        <v>116</v>
      </c>
      <c r="BC67" t="s" s="0">
        <v>84</v>
      </c>
      <c r="BD67" t="s" s="0">
        <v>84</v>
      </c>
      <c r="BE67" t="s" s="0">
        <v>84</v>
      </c>
      <c r="BF67" t="s" s="0">
        <v>84</v>
      </c>
      <c r="BG67" t="s" s="0">
        <v>84</v>
      </c>
      <c r="BH67" t="s" s="0">
        <v>84</v>
      </c>
      <c r="BI67" t="s" s="0">
        <v>2035</v>
      </c>
      <c r="BJ67" t="s" s="0">
        <v>2171</v>
      </c>
      <c r="BK67" t="s" s="131">
        <f>HYPERLINK("http://dx.doi.org/10.1038/s41746-021-00438-z","http://dx.doi.org/10.1038/s41746-021-00438-z")</f>
        <v>2172</v>
      </c>
      <c r="BL67" t="s" s="0">
        <v>84</v>
      </c>
      <c r="BM67" t="s" s="0">
        <v>84</v>
      </c>
      <c r="BN67" t="s" s="0">
        <v>192</v>
      </c>
      <c r="BO67" t="s" s="0">
        <v>1298</v>
      </c>
      <c r="BP67" t="s" s="0">
        <v>1298</v>
      </c>
      <c r="BQ67" t="s" s="0">
        <v>2173</v>
      </c>
      <c r="BR67" t="s" s="0">
        <v>2174</v>
      </c>
      <c r="BS67" t="s" s="0">
        <v>2175</v>
      </c>
      <c r="BT67" t="s" s="132">
        <f>HYPERLINK("https://www.webofscience.com/wos/woscc/full-record/WOS:000637760900001","View Record in Web of Science")</f>
        <v>127</v>
      </c>
      <c r="BU67" t="s" s="0">
        <v>2176</v>
      </c>
      <c r="BV67" t="s" s="0">
        <v>128</v>
      </c>
      <c r="BW67" t="s" s="0">
        <v>129</v>
      </c>
      <c r="BX67" t="s" s="0">
        <v>130</v>
      </c>
    </row>
    <row r="68">
      <c r="A68" t="s" s="0">
        <v>521</v>
      </c>
      <c r="B68" t="s" s="0">
        <v>78</v>
      </c>
      <c r="C68" t="s" s="0">
        <v>892</v>
      </c>
      <c r="D68" t="s" s="0">
        <v>202</v>
      </c>
      <c r="E68" t="s" s="0">
        <v>2177</v>
      </c>
      <c r="F68" t="s" s="0">
        <v>2178</v>
      </c>
      <c r="G68" t="s" s="0">
        <v>2179</v>
      </c>
      <c r="H68" t="s" s="0">
        <v>84</v>
      </c>
      <c r="I68" t="s" s="0">
        <v>85</v>
      </c>
      <c r="J68" t="s" s="0">
        <v>2180</v>
      </c>
      <c r="K68" t="s" s="0">
        <v>2181</v>
      </c>
      <c r="L68" t="s" s="0">
        <v>2182</v>
      </c>
      <c r="M68" t="s" s="0">
        <v>2183</v>
      </c>
      <c r="N68" t="s" s="0">
        <v>2184</v>
      </c>
      <c r="O68" t="s" s="0">
        <v>2185</v>
      </c>
      <c r="P68" t="s" s="0">
        <v>2186</v>
      </c>
      <c r="Q68" t="s" s="0">
        <v>93</v>
      </c>
      <c r="R68" t="s" s="0">
        <v>84</v>
      </c>
      <c r="S68" t="s" s="0">
        <v>84</v>
      </c>
      <c r="T68" t="s" s="0">
        <v>84</v>
      </c>
      <c r="U68" t="s" s="0">
        <v>84</v>
      </c>
      <c r="V68" t="s" s="0">
        <v>2187</v>
      </c>
      <c r="W68" t="s" s="0">
        <v>2188</v>
      </c>
      <c r="X68" t="s" s="0">
        <v>84</v>
      </c>
      <c r="Y68" t="s" s="0">
        <v>84</v>
      </c>
      <c r="Z68" t="s" s="0">
        <v>96</v>
      </c>
      <c r="AA68" t="s" s="0">
        <v>97</v>
      </c>
      <c r="AB68" t="s" s="0">
        <v>84</v>
      </c>
      <c r="AC68" t="s" s="0">
        <v>84</v>
      </c>
      <c r="AD68" t="s" s="0">
        <v>84</v>
      </c>
      <c r="AE68" t="s" s="0">
        <v>84</v>
      </c>
      <c r="AF68" t="s" s="0">
        <v>84</v>
      </c>
      <c r="AG68" t="s" s="0">
        <v>2189</v>
      </c>
      <c r="AH68" t="s" s="0">
        <v>2190</v>
      </c>
      <c r="AI68" t="s" s="0">
        <v>2191</v>
      </c>
      <c r="AJ68" t="s" s="0">
        <v>2192</v>
      </c>
      <c r="AK68" t="s" s="0">
        <v>84</v>
      </c>
      <c r="AL68" t="s" s="0">
        <v>1936</v>
      </c>
      <c r="AM68" t="s" s="0">
        <v>2193</v>
      </c>
      <c r="AN68" t="s" s="0">
        <v>2194</v>
      </c>
      <c r="AO68" t="s" s="0">
        <v>527</v>
      </c>
      <c r="AP68" t="s" s="0">
        <v>2195</v>
      </c>
      <c r="AQ68" t="s" s="0">
        <v>489</v>
      </c>
      <c r="AR68" t="s" s="0">
        <v>153</v>
      </c>
      <c r="AS68" t="s" s="0">
        <v>490</v>
      </c>
      <c r="AT68" t="s" s="0">
        <v>2196</v>
      </c>
      <c r="AU68" t="s" s="0">
        <v>84</v>
      </c>
      <c r="AV68" t="s" s="0">
        <v>84</v>
      </c>
      <c r="AW68" t="s" s="0">
        <v>2197</v>
      </c>
      <c r="AX68" t="s" s="0">
        <v>2198</v>
      </c>
      <c r="AY68" t="s" s="0">
        <v>2199</v>
      </c>
      <c r="AZ68" t="s" s="0">
        <v>159</v>
      </c>
      <c r="BA68" t="s" s="0">
        <v>121</v>
      </c>
      <c r="BB68" t="s" s="0">
        <v>116</v>
      </c>
      <c r="BC68" t="s" s="0">
        <v>84</v>
      </c>
      <c r="BD68" t="s" s="0">
        <v>84</v>
      </c>
      <c r="BE68" t="s" s="0">
        <v>84</v>
      </c>
      <c r="BF68" t="s" s="0">
        <v>84</v>
      </c>
      <c r="BG68" t="s" s="0">
        <v>84</v>
      </c>
      <c r="BH68" t="s" s="0">
        <v>84</v>
      </c>
      <c r="BI68" t="s" s="0">
        <v>1032</v>
      </c>
      <c r="BJ68" t="s" s="0">
        <v>2200</v>
      </c>
      <c r="BK68" t="s" s="133">
        <f>HYPERLINK("http://dx.doi.org/10.1186/s13073-021-00968-x","http://dx.doi.org/10.1186/s13073-021-00968-x")</f>
        <v>2201</v>
      </c>
      <c r="BL68" t="s" s="0">
        <v>84</v>
      </c>
      <c r="BM68" t="s" s="0">
        <v>84</v>
      </c>
      <c r="BN68" t="s" s="0">
        <v>701</v>
      </c>
      <c r="BO68" t="s" s="0">
        <v>2202</v>
      </c>
      <c r="BP68" t="s" s="0">
        <v>2202</v>
      </c>
      <c r="BQ68" t="s" s="0">
        <v>2203</v>
      </c>
      <c r="BR68" t="s" s="0">
        <v>2204</v>
      </c>
      <c r="BS68" t="s" s="0">
        <v>2205</v>
      </c>
      <c r="BT68" t="s" s="134">
        <f>HYPERLINK("https://www.webofscience.com/wos/woscc/full-record/WOS:000700392500001","View Record in Web of Science")</f>
        <v>127</v>
      </c>
      <c r="BU68" t="s" s="0">
        <v>170</v>
      </c>
      <c r="BV68" t="s" s="0">
        <v>128</v>
      </c>
      <c r="BW68" t="s" s="0">
        <v>129</v>
      </c>
      <c r="BX68" t="s" s="0">
        <v>130</v>
      </c>
    </row>
    <row r="69">
      <c r="A69" t="s" s="0">
        <v>115</v>
      </c>
      <c r="B69" t="s" s="0">
        <v>78</v>
      </c>
      <c r="C69" t="s" s="0">
        <v>2206</v>
      </c>
      <c r="D69" t="s" s="0">
        <v>787</v>
      </c>
      <c r="E69" t="s" s="0">
        <v>2207</v>
      </c>
      <c r="F69" t="s" s="0">
        <v>2208</v>
      </c>
      <c r="G69" t="s" s="0">
        <v>2209</v>
      </c>
      <c r="H69" t="s" s="0">
        <v>84</v>
      </c>
      <c r="I69" t="s" s="0">
        <v>85</v>
      </c>
      <c r="J69" t="s" s="0">
        <v>2210</v>
      </c>
      <c r="K69" t="s" s="0">
        <v>2211</v>
      </c>
      <c r="L69" t="s" s="0">
        <v>2212</v>
      </c>
      <c r="M69" t="s" s="0">
        <v>2213</v>
      </c>
      <c r="N69" t="s" s="0">
        <v>2214</v>
      </c>
      <c r="O69" t="s" s="0">
        <v>2215</v>
      </c>
      <c r="P69" t="s" s="0">
        <v>2216</v>
      </c>
      <c r="Q69" t="s" s="0">
        <v>93</v>
      </c>
      <c r="R69" t="s" s="0">
        <v>84</v>
      </c>
      <c r="S69" t="s" s="0">
        <v>84</v>
      </c>
      <c r="T69" t="s" s="0">
        <v>84</v>
      </c>
      <c r="U69" t="s" s="0">
        <v>84</v>
      </c>
      <c r="V69" t="s" s="0">
        <v>2217</v>
      </c>
      <c r="W69" t="s" s="0">
        <v>2218</v>
      </c>
      <c r="X69" t="s" s="0">
        <v>84</v>
      </c>
      <c r="Y69" t="s" s="0">
        <v>84</v>
      </c>
      <c r="Z69" t="s" s="0">
        <v>96</v>
      </c>
      <c r="AA69" t="s" s="0">
        <v>97</v>
      </c>
      <c r="AB69" t="s" s="0">
        <v>84</v>
      </c>
      <c r="AC69" t="s" s="0">
        <v>84</v>
      </c>
      <c r="AD69" t="s" s="0">
        <v>84</v>
      </c>
      <c r="AE69" t="s" s="0">
        <v>84</v>
      </c>
      <c r="AF69" t="s" s="0">
        <v>84</v>
      </c>
      <c r="AG69" t="s" s="0">
        <v>84</v>
      </c>
      <c r="AH69" t="s" s="0">
        <v>2219</v>
      </c>
      <c r="AI69" t="s" s="0">
        <v>2220</v>
      </c>
      <c r="AJ69" t="s" s="0">
        <v>2221</v>
      </c>
      <c r="AK69" t="s" s="0">
        <v>84</v>
      </c>
      <c r="AL69" t="s" s="0">
        <v>2222</v>
      </c>
      <c r="AM69" t="s" s="0">
        <v>2223</v>
      </c>
      <c r="AN69" t="s" s="0">
        <v>2224</v>
      </c>
      <c r="AO69" t="s" s="0">
        <v>1130</v>
      </c>
      <c r="AP69" t="s" s="0">
        <v>2225</v>
      </c>
      <c r="AQ69" t="s" s="0">
        <v>2226</v>
      </c>
      <c r="AR69" t="s" s="0">
        <v>1120</v>
      </c>
      <c r="AS69" t="s" s="0">
        <v>2227</v>
      </c>
      <c r="AT69" t="s" s="0">
        <v>2228</v>
      </c>
      <c r="AU69" t="s" s="0">
        <v>2229</v>
      </c>
      <c r="AV69" t="s" s="0">
        <v>84</v>
      </c>
      <c r="AW69" t="s" s="0">
        <v>2230</v>
      </c>
      <c r="AX69" t="s" s="0">
        <v>2231</v>
      </c>
      <c r="AY69" t="s" s="0">
        <v>2232</v>
      </c>
      <c r="AZ69" t="s" s="0">
        <v>351</v>
      </c>
      <c r="BA69" t="s" s="0">
        <v>1647</v>
      </c>
      <c r="BB69" t="s" s="0">
        <v>242</v>
      </c>
      <c r="BC69" t="s" s="0">
        <v>84</v>
      </c>
      <c r="BD69" t="s" s="0">
        <v>84</v>
      </c>
      <c r="BE69" t="s" s="0">
        <v>84</v>
      </c>
      <c r="BF69" t="s" s="0">
        <v>84</v>
      </c>
      <c r="BG69" t="s" s="0">
        <v>2233</v>
      </c>
      <c r="BH69" t="s" s="0">
        <v>2234</v>
      </c>
      <c r="BI69" t="s" s="0">
        <v>84</v>
      </c>
      <c r="BJ69" t="s" s="0">
        <v>2235</v>
      </c>
      <c r="BK69" t="s" s="135">
        <f>HYPERLINK("http://dx.doi.org/10.1039/d0cs00098a","http://dx.doi.org/10.1039/d0cs00098a")</f>
        <v>2236</v>
      </c>
      <c r="BL69" t="s" s="0">
        <v>84</v>
      </c>
      <c r="BM69" t="s" s="0">
        <v>84</v>
      </c>
      <c r="BN69" t="s" s="0">
        <v>1024</v>
      </c>
      <c r="BO69" t="s" s="0">
        <v>2237</v>
      </c>
      <c r="BP69" t="s" s="0">
        <v>2238</v>
      </c>
      <c r="BQ69" t="s" s="0">
        <v>2239</v>
      </c>
      <c r="BR69" t="s" s="0">
        <v>2240</v>
      </c>
      <c r="BS69" t="s" s="0">
        <v>2241</v>
      </c>
      <c r="BT69" t="s" s="136">
        <f>HYPERLINK("https://www.webofscience.com/wos/woscc/full-record/WOS:000540575800007","View Record in Web of Science")</f>
        <v>127</v>
      </c>
      <c r="BU69" t="s" s="0">
        <v>1713</v>
      </c>
      <c r="BV69" t="s" s="0">
        <v>128</v>
      </c>
      <c r="BW69" t="s" s="0">
        <v>129</v>
      </c>
      <c r="BX69" t="s" s="0">
        <v>130</v>
      </c>
    </row>
    <row r="70">
      <c r="A70" t="s" s="0">
        <v>396</v>
      </c>
      <c r="B70" t="s" s="0">
        <v>78</v>
      </c>
      <c r="C70" t="s" s="0">
        <v>2119</v>
      </c>
      <c r="D70" t="s" s="0">
        <v>78</v>
      </c>
      <c r="E70" t="s" s="0">
        <v>2242</v>
      </c>
      <c r="F70" t="s" s="0">
        <v>2243</v>
      </c>
      <c r="G70" t="s" s="0">
        <v>2244</v>
      </c>
      <c r="H70" t="s" s="0">
        <v>84</v>
      </c>
      <c r="I70" t="s" s="0">
        <v>85</v>
      </c>
      <c r="J70" t="s" s="0">
        <v>2245</v>
      </c>
      <c r="K70" t="s" s="0">
        <v>2246</v>
      </c>
      <c r="L70" t="s" s="0">
        <v>84</v>
      </c>
      <c r="M70" t="s" s="0">
        <v>84</v>
      </c>
      <c r="N70" t="s" s="0">
        <v>84</v>
      </c>
      <c r="O70" t="s" s="0">
        <v>2247</v>
      </c>
      <c r="P70" t="s" s="0">
        <v>2248</v>
      </c>
      <c r="Q70" t="s" s="0">
        <v>93</v>
      </c>
      <c r="R70" t="s" s="0">
        <v>84</v>
      </c>
      <c r="S70" t="s" s="0">
        <v>84</v>
      </c>
      <c r="T70" t="s" s="0">
        <v>84</v>
      </c>
      <c r="U70" t="s" s="0">
        <v>84</v>
      </c>
      <c r="V70" t="s" s="0">
        <v>2249</v>
      </c>
      <c r="W70" t="s" s="0">
        <v>95</v>
      </c>
      <c r="X70" t="s" s="0">
        <v>84</v>
      </c>
      <c r="Y70" t="s" s="0">
        <v>84</v>
      </c>
      <c r="Z70" t="s" s="0">
        <v>96</v>
      </c>
      <c r="AA70" t="s" s="0">
        <v>97</v>
      </c>
      <c r="AB70" t="s" s="0">
        <v>84</v>
      </c>
      <c r="AC70" t="s" s="0">
        <v>84</v>
      </c>
      <c r="AD70" t="s" s="0">
        <v>84</v>
      </c>
      <c r="AE70" t="s" s="0">
        <v>84</v>
      </c>
      <c r="AF70" t="s" s="0">
        <v>84</v>
      </c>
      <c r="AG70" t="s" s="0">
        <v>84</v>
      </c>
      <c r="AH70" t="s" s="0">
        <v>2250</v>
      </c>
      <c r="AI70" t="s" s="0">
        <v>2251</v>
      </c>
      <c r="AJ70" t="s" s="0">
        <v>2252</v>
      </c>
      <c r="AK70" t="s" s="0">
        <v>84</v>
      </c>
      <c r="AL70" t="s" s="0">
        <v>2253</v>
      </c>
      <c r="AM70" t="s" s="0">
        <v>2254</v>
      </c>
      <c r="AN70" t="s" s="0">
        <v>2255</v>
      </c>
      <c r="AO70" t="s" s="0">
        <v>202</v>
      </c>
      <c r="AP70" t="s" s="0">
        <v>2256</v>
      </c>
      <c r="AQ70" t="s" s="0">
        <v>106</v>
      </c>
      <c r="AR70" t="s" s="0">
        <v>107</v>
      </c>
      <c r="AS70" t="s" s="0">
        <v>108</v>
      </c>
      <c r="AT70" t="s" s="0">
        <v>109</v>
      </c>
      <c r="AU70" t="s" s="0">
        <v>110</v>
      </c>
      <c r="AV70" t="s" s="0">
        <v>84</v>
      </c>
      <c r="AW70" t="s" s="0">
        <v>111</v>
      </c>
      <c r="AX70" t="s" s="0">
        <v>112</v>
      </c>
      <c r="AY70" t="s" s="0">
        <v>1023</v>
      </c>
      <c r="AZ70" t="s" s="0">
        <v>159</v>
      </c>
      <c r="BA70" t="s" s="0">
        <v>850</v>
      </c>
      <c r="BB70" t="s" s="0">
        <v>214</v>
      </c>
      <c r="BC70" t="s" s="0">
        <v>84</v>
      </c>
      <c r="BD70" t="s" s="0">
        <v>84</v>
      </c>
      <c r="BE70" t="s" s="0">
        <v>84</v>
      </c>
      <c r="BF70" t="s" s="0">
        <v>84</v>
      </c>
      <c r="BG70" t="s" s="0">
        <v>2257</v>
      </c>
      <c r="BH70" t="s" s="0">
        <v>1758</v>
      </c>
      <c r="BI70" t="s" s="0">
        <v>84</v>
      </c>
      <c r="BJ70" t="s" s="0">
        <v>2258</v>
      </c>
      <c r="BK70" t="s" s="137">
        <f>HYPERLINK("http://dx.doi.org/10.1038/s41591-021-01343-4","http://dx.doi.org/10.1038/s41591-021-01343-4")</f>
        <v>2259</v>
      </c>
      <c r="BL70" t="s" s="0">
        <v>84</v>
      </c>
      <c r="BM70" t="s" s="0">
        <v>84</v>
      </c>
      <c r="BN70" t="s" s="0">
        <v>527</v>
      </c>
      <c r="BO70" t="s" s="0">
        <v>122</v>
      </c>
      <c r="BP70" t="s" s="0">
        <v>123</v>
      </c>
      <c r="BQ70" t="s" s="0">
        <v>2260</v>
      </c>
      <c r="BR70" t="s" s="0">
        <v>2261</v>
      </c>
      <c r="BS70" t="s" s="0">
        <v>2262</v>
      </c>
      <c r="BT70" t="s" s="138">
        <f>HYPERLINK("https://www.webofscience.com/wos/woscc/full-record/WOS:000650698900017","View Record in Web of Science")</f>
        <v>127</v>
      </c>
      <c r="BU70" t="s" s="0">
        <v>321</v>
      </c>
      <c r="BV70" t="s" s="0">
        <v>128</v>
      </c>
      <c r="BW70" t="s" s="0">
        <v>129</v>
      </c>
      <c r="BX70" t="s" s="0">
        <v>130</v>
      </c>
    </row>
    <row r="71">
      <c r="A71" t="s" s="0">
        <v>242</v>
      </c>
      <c r="B71" t="s" s="0">
        <v>78</v>
      </c>
      <c r="C71" t="s" s="0">
        <v>2263</v>
      </c>
      <c r="D71" t="s" s="0">
        <v>116</v>
      </c>
      <c r="E71" t="s" s="0">
        <v>2264</v>
      </c>
      <c r="F71" t="s" s="0">
        <v>2265</v>
      </c>
      <c r="G71" t="s" s="0">
        <v>2266</v>
      </c>
      <c r="H71" t="s" s="0">
        <v>84</v>
      </c>
      <c r="I71" t="s" s="0">
        <v>85</v>
      </c>
      <c r="J71" t="s" s="0">
        <v>2267</v>
      </c>
      <c r="K71" t="s" s="0">
        <v>2268</v>
      </c>
      <c r="L71" t="s" s="0">
        <v>2269</v>
      </c>
      <c r="M71" t="s" s="0">
        <v>2270</v>
      </c>
      <c r="N71" t="s" s="0">
        <v>2271</v>
      </c>
      <c r="O71" t="s" s="0">
        <v>2272</v>
      </c>
      <c r="P71" t="s" s="0">
        <v>2273</v>
      </c>
      <c r="Q71" t="s" s="0">
        <v>93</v>
      </c>
      <c r="R71" t="s" s="0">
        <v>84</v>
      </c>
      <c r="S71" t="s" s="0">
        <v>84</v>
      </c>
      <c r="T71" t="s" s="0">
        <v>84</v>
      </c>
      <c r="U71" t="s" s="0">
        <v>84</v>
      </c>
      <c r="V71" t="s" s="0">
        <v>2274</v>
      </c>
      <c r="W71" t="s" s="0">
        <v>2089</v>
      </c>
      <c r="X71" t="s" s="0">
        <v>84</v>
      </c>
      <c r="Y71" t="s" s="0">
        <v>84</v>
      </c>
      <c r="Z71" t="s" s="0">
        <v>96</v>
      </c>
      <c r="AA71" t="s" s="0">
        <v>97</v>
      </c>
      <c r="AB71" t="s" s="0">
        <v>84</v>
      </c>
      <c r="AC71" t="s" s="0">
        <v>84</v>
      </c>
      <c r="AD71" t="s" s="0">
        <v>84</v>
      </c>
      <c r="AE71" t="s" s="0">
        <v>84</v>
      </c>
      <c r="AF71" t="s" s="0">
        <v>84</v>
      </c>
      <c r="AG71" t="s" s="0">
        <v>84</v>
      </c>
      <c r="AH71" t="s" s="0">
        <v>2275</v>
      </c>
      <c r="AI71" t="s" s="0">
        <v>84</v>
      </c>
      <c r="AJ71" t="s" s="0">
        <v>2276</v>
      </c>
      <c r="AK71" t="s" s="0">
        <v>84</v>
      </c>
      <c r="AL71" t="s" s="0">
        <v>118</v>
      </c>
      <c r="AM71" t="s" s="0">
        <v>2277</v>
      </c>
      <c r="AN71" t="s" s="0">
        <v>2278</v>
      </c>
      <c r="AO71" t="s" s="0">
        <v>160</v>
      </c>
      <c r="AP71" t="s" s="0">
        <v>1295</v>
      </c>
      <c r="AQ71" t="s" s="0">
        <v>2094</v>
      </c>
      <c r="AR71" t="s" s="0">
        <v>2095</v>
      </c>
      <c r="AS71" t="s" s="0">
        <v>2096</v>
      </c>
      <c r="AT71" t="s" s="0">
        <v>2097</v>
      </c>
      <c r="AU71" t="s" s="0">
        <v>2279</v>
      </c>
      <c r="AV71" t="s" s="0">
        <v>84</v>
      </c>
      <c r="AW71" t="s" s="0">
        <v>2089</v>
      </c>
      <c r="AX71" t="s" s="0">
        <v>2098</v>
      </c>
      <c r="AY71" t="s" s="0">
        <v>2280</v>
      </c>
      <c r="AZ71" t="s" s="0">
        <v>201</v>
      </c>
      <c r="BA71" t="s" s="0">
        <v>2281</v>
      </c>
      <c r="BB71" t="s" s="0">
        <v>787</v>
      </c>
      <c r="BC71" t="s" s="0">
        <v>84</v>
      </c>
      <c r="BD71" t="s" s="0">
        <v>84</v>
      </c>
      <c r="BE71" t="s" s="0">
        <v>84</v>
      </c>
      <c r="BF71" t="s" s="0">
        <v>84</v>
      </c>
      <c r="BG71" t="s" s="0">
        <v>2060</v>
      </c>
      <c r="BH71" t="s" s="0">
        <v>2282</v>
      </c>
      <c r="BI71" t="s" s="0">
        <v>84</v>
      </c>
      <c r="BJ71" t="s" s="0">
        <v>2283</v>
      </c>
      <c r="BK71" t="s" s="139">
        <f>HYPERLINK("http://dx.doi.org/10.1148/radiol.2017171920","http://dx.doi.org/10.1148/radiol.2017171920")</f>
        <v>2284</v>
      </c>
      <c r="BL71" t="s" s="0">
        <v>84</v>
      </c>
      <c r="BM71" t="s" s="0">
        <v>84</v>
      </c>
      <c r="BN71" t="s" s="0">
        <v>527</v>
      </c>
      <c r="BO71" t="s" s="0">
        <v>208</v>
      </c>
      <c r="BP71" t="s" s="0">
        <v>208</v>
      </c>
      <c r="BQ71" t="s" s="0">
        <v>2285</v>
      </c>
      <c r="BR71" t="s" s="0">
        <v>2286</v>
      </c>
      <c r="BS71" t="s" s="0">
        <v>2287</v>
      </c>
      <c r="BT71" t="s" s="140">
        <f>HYPERLINK("https://www.webofscience.com/wos/woscc/full-record/WOS:000425583200006","View Record in Web of Science")</f>
        <v>127</v>
      </c>
      <c r="BU71" t="s" s="0">
        <v>84</v>
      </c>
      <c r="BV71" t="s" s="0">
        <v>128</v>
      </c>
      <c r="BW71" t="s" s="0">
        <v>129</v>
      </c>
      <c r="BX71" t="s" s="0">
        <v>130</v>
      </c>
    </row>
    <row r="72">
      <c r="A72" t="s" s="0">
        <v>214</v>
      </c>
      <c r="B72" t="s" s="0">
        <v>78</v>
      </c>
      <c r="C72" t="s" s="0">
        <v>1017</v>
      </c>
      <c r="D72" t="s" s="0">
        <v>116</v>
      </c>
      <c r="E72" t="s" s="0">
        <v>2288</v>
      </c>
      <c r="F72" t="s" s="0">
        <v>2289</v>
      </c>
      <c r="G72" t="s" s="0">
        <v>2290</v>
      </c>
      <c r="H72" t="s" s="0">
        <v>84</v>
      </c>
      <c r="I72" t="s" s="0">
        <v>85</v>
      </c>
      <c r="J72" t="s" s="0">
        <v>2291</v>
      </c>
      <c r="K72" t="s" s="0">
        <v>2292</v>
      </c>
      <c r="L72" t="s" s="0">
        <v>84</v>
      </c>
      <c r="M72" t="s" s="0">
        <v>84</v>
      </c>
      <c r="N72" t="s" s="0">
        <v>84</v>
      </c>
      <c r="O72" t="s" s="0">
        <v>2293</v>
      </c>
      <c r="P72" t="s" s="0">
        <v>2294</v>
      </c>
      <c r="Q72" t="s" s="0">
        <v>93</v>
      </c>
      <c r="R72" t="s" s="0">
        <v>84</v>
      </c>
      <c r="S72" t="s" s="0">
        <v>84</v>
      </c>
      <c r="T72" t="s" s="0">
        <v>84</v>
      </c>
      <c r="U72" t="s" s="0">
        <v>84</v>
      </c>
      <c r="V72" t="s" s="0">
        <v>2295</v>
      </c>
      <c r="W72" t="s" s="0">
        <v>2296</v>
      </c>
      <c r="X72" t="s" s="0">
        <v>84</v>
      </c>
      <c r="Y72" t="s" s="0">
        <v>84</v>
      </c>
      <c r="Z72" t="s" s="0">
        <v>96</v>
      </c>
      <c r="AA72" t="s" s="0">
        <v>97</v>
      </c>
      <c r="AB72" t="s" s="0">
        <v>84</v>
      </c>
      <c r="AC72" t="s" s="0">
        <v>84</v>
      </c>
      <c r="AD72" t="s" s="0">
        <v>84</v>
      </c>
      <c r="AE72" t="s" s="0">
        <v>84</v>
      </c>
      <c r="AF72" t="s" s="0">
        <v>84</v>
      </c>
      <c r="AG72" t="s" s="0">
        <v>2297</v>
      </c>
      <c r="AH72" t="s" s="0">
        <v>2298</v>
      </c>
      <c r="AI72" t="s" s="0">
        <v>84</v>
      </c>
      <c r="AJ72" t="s" s="0">
        <v>84</v>
      </c>
      <c r="AK72" t="s" s="0">
        <v>84</v>
      </c>
      <c r="AL72" t="s" s="0">
        <v>246</v>
      </c>
      <c r="AM72" t="s" s="0">
        <v>2299</v>
      </c>
      <c r="AN72" t="s" s="0">
        <v>2300</v>
      </c>
      <c r="AO72" t="s" s="0">
        <v>121</v>
      </c>
      <c r="AP72" t="s" s="0">
        <v>1180</v>
      </c>
      <c r="AQ72" t="s" s="0">
        <v>809</v>
      </c>
      <c r="AR72" t="s" s="0">
        <v>704</v>
      </c>
      <c r="AS72" t="s" s="0">
        <v>810</v>
      </c>
      <c r="AT72" t="s" s="0">
        <v>2301</v>
      </c>
      <c r="AU72" t="s" s="0">
        <v>2302</v>
      </c>
      <c r="AV72" t="s" s="0">
        <v>84</v>
      </c>
      <c r="AW72" t="s" s="0">
        <v>2303</v>
      </c>
      <c r="AX72" t="s" s="0">
        <v>2304</v>
      </c>
      <c r="AY72" t="s" s="0">
        <v>1407</v>
      </c>
      <c r="AZ72" t="s" s="0">
        <v>201</v>
      </c>
      <c r="BA72" t="s" s="0">
        <v>342</v>
      </c>
      <c r="BB72" t="s" s="0">
        <v>396</v>
      </c>
      <c r="BC72" t="s" s="0">
        <v>84</v>
      </c>
      <c r="BD72" t="s" s="0">
        <v>84</v>
      </c>
      <c r="BE72" t="s" s="0">
        <v>84</v>
      </c>
      <c r="BF72" t="s" s="0">
        <v>84</v>
      </c>
      <c r="BG72" t="s" s="0">
        <v>2305</v>
      </c>
      <c r="BH72" t="s" s="0">
        <v>1235</v>
      </c>
      <c r="BI72" t="s" s="0">
        <v>84</v>
      </c>
      <c r="BJ72" t="s" s="0">
        <v>2306</v>
      </c>
      <c r="BK72" t="s" s="141">
        <f>HYPERLINK("http://dx.doi.org/10.1007/s13735-017-0141-z","http://dx.doi.org/10.1007/s13735-017-0141-z")</f>
        <v>2307</v>
      </c>
      <c r="BL72" t="s" s="0">
        <v>84</v>
      </c>
      <c r="BM72" t="s" s="0">
        <v>84</v>
      </c>
      <c r="BN72" t="s" s="0">
        <v>342</v>
      </c>
      <c r="BO72" t="s" s="0">
        <v>2308</v>
      </c>
      <c r="BP72" t="s" s="0">
        <v>166</v>
      </c>
      <c r="BQ72" t="s" s="0">
        <v>2309</v>
      </c>
      <c r="BR72" t="s" s="0">
        <v>84</v>
      </c>
      <c r="BS72" t="s" s="0">
        <v>2310</v>
      </c>
      <c r="BT72" t="s" s="142">
        <f>HYPERLINK("https://www.webofscience.com/wos/woscc/full-record/WOS:000442633600001","View Record in Web of Science")</f>
        <v>127</v>
      </c>
      <c r="BU72" t="s" s="0">
        <v>432</v>
      </c>
      <c r="BV72" t="s" s="0">
        <v>128</v>
      </c>
      <c r="BW72" t="s" s="0">
        <v>129</v>
      </c>
      <c r="BX72" t="s" s="0">
        <v>130</v>
      </c>
    </row>
    <row r="73">
      <c r="A73" t="s" s="0">
        <v>192</v>
      </c>
      <c r="B73" t="s" s="0">
        <v>78</v>
      </c>
      <c r="C73" t="s" s="0">
        <v>261</v>
      </c>
      <c r="D73" t="s" s="0">
        <v>78</v>
      </c>
      <c r="E73" t="s" s="0">
        <v>2311</v>
      </c>
      <c r="F73" t="s" s="0">
        <v>2312</v>
      </c>
      <c r="G73" t="s" s="0">
        <v>2313</v>
      </c>
      <c r="H73" t="s" s="0">
        <v>84</v>
      </c>
      <c r="I73" t="s" s="0">
        <v>85</v>
      </c>
      <c r="J73" t="s" s="0">
        <v>2314</v>
      </c>
      <c r="K73" t="s" s="0">
        <v>2315</v>
      </c>
      <c r="L73" t="s" s="0">
        <v>84</v>
      </c>
      <c r="M73" t="s" s="0">
        <v>84</v>
      </c>
      <c r="N73" t="s" s="0">
        <v>84</v>
      </c>
      <c r="O73" t="s" s="0">
        <v>2316</v>
      </c>
      <c r="P73" t="s" s="0">
        <v>2317</v>
      </c>
      <c r="Q73" t="s" s="0">
        <v>93</v>
      </c>
      <c r="R73" t="s" s="0">
        <v>84</v>
      </c>
      <c r="S73" t="s" s="0">
        <v>84</v>
      </c>
      <c r="T73" t="s" s="0">
        <v>84</v>
      </c>
      <c r="U73" t="s" s="0">
        <v>84</v>
      </c>
      <c r="V73" t="s" s="0">
        <v>2318</v>
      </c>
      <c r="W73" t="s" s="0">
        <v>2319</v>
      </c>
      <c r="X73" t="s" s="0">
        <v>84</v>
      </c>
      <c r="Y73" t="s" s="0">
        <v>84</v>
      </c>
      <c r="Z73" t="s" s="0">
        <v>96</v>
      </c>
      <c r="AA73" t="s" s="0">
        <v>97</v>
      </c>
      <c r="AB73" t="s" s="0">
        <v>84</v>
      </c>
      <c r="AC73" t="s" s="0">
        <v>84</v>
      </c>
      <c r="AD73" t="s" s="0">
        <v>84</v>
      </c>
      <c r="AE73" t="s" s="0">
        <v>84</v>
      </c>
      <c r="AF73" t="s" s="0">
        <v>84</v>
      </c>
      <c r="AG73" t="s" s="0">
        <v>2320</v>
      </c>
      <c r="AH73" t="s" s="0">
        <v>2321</v>
      </c>
      <c r="AI73" t="s" s="0">
        <v>2322</v>
      </c>
      <c r="AJ73" t="s" s="0">
        <v>2323</v>
      </c>
      <c r="AK73" t="s" s="0">
        <v>84</v>
      </c>
      <c r="AL73" t="s" s="0">
        <v>1328</v>
      </c>
      <c r="AM73" t="s" s="0">
        <v>2324</v>
      </c>
      <c r="AN73" t="s" s="0">
        <v>528</v>
      </c>
      <c r="AO73" t="s" s="0">
        <v>2325</v>
      </c>
      <c r="AP73" t="s" s="0">
        <v>323</v>
      </c>
      <c r="AQ73" t="s" s="0">
        <v>1580</v>
      </c>
      <c r="AR73" t="s" s="0">
        <v>1581</v>
      </c>
      <c r="AS73" t="s" s="0">
        <v>1582</v>
      </c>
      <c r="AT73" t="s" s="0">
        <v>2326</v>
      </c>
      <c r="AU73" t="s" s="0">
        <v>2327</v>
      </c>
      <c r="AV73" t="s" s="0">
        <v>84</v>
      </c>
      <c r="AW73" t="s" s="0">
        <v>2328</v>
      </c>
      <c r="AX73" t="s" s="0">
        <v>2329</v>
      </c>
      <c r="AY73" t="s" s="0">
        <v>2330</v>
      </c>
      <c r="AZ73" t="s" s="0">
        <v>567</v>
      </c>
      <c r="BA73" t="s" s="0">
        <v>1942</v>
      </c>
      <c r="BB73" t="s" s="0">
        <v>280</v>
      </c>
      <c r="BC73" t="s" s="0">
        <v>84</v>
      </c>
      <c r="BD73" t="s" s="0">
        <v>84</v>
      </c>
      <c r="BE73" t="s" s="0">
        <v>84</v>
      </c>
      <c r="BF73" t="s" s="0">
        <v>84</v>
      </c>
      <c r="BG73" t="s" s="0">
        <v>2331</v>
      </c>
      <c r="BH73" t="s" s="0">
        <v>2332</v>
      </c>
      <c r="BI73" t="s" s="0">
        <v>84</v>
      </c>
      <c r="BJ73" t="s" s="0">
        <v>2333</v>
      </c>
      <c r="BK73" t="s" s="143">
        <f>HYPERLINK("http://dx.doi.org/10.1109/TPAMI.2024.3435571","http://dx.doi.org/10.1109/TPAMI.2024.3435571")</f>
        <v>2334</v>
      </c>
      <c r="BL73" t="s" s="0">
        <v>84</v>
      </c>
      <c r="BM73" t="s" s="0">
        <v>84</v>
      </c>
      <c r="BN73" t="s" s="0">
        <v>604</v>
      </c>
      <c r="BO73" t="s" s="0">
        <v>2335</v>
      </c>
      <c r="BP73" t="s" s="0">
        <v>1594</v>
      </c>
      <c r="BQ73" t="s" s="0">
        <v>2336</v>
      </c>
      <c r="BR73" t="s" s="0">
        <v>2337</v>
      </c>
      <c r="BS73" t="s" s="0">
        <v>2338</v>
      </c>
      <c r="BT73" t="s" s="144">
        <f>HYPERLINK("https://www.webofscience.com/wos/woscc/full-record/WOS:001364431200162","View Record in Web of Science")</f>
        <v>127</v>
      </c>
      <c r="BU73" t="s" s="0">
        <v>84</v>
      </c>
      <c r="BV73" t="s" s="0">
        <v>129</v>
      </c>
      <c r="BW73" t="s" s="0">
        <v>129</v>
      </c>
      <c r="BX73" t="s" s="0">
        <v>130</v>
      </c>
    </row>
    <row r="74">
      <c r="A74" t="s" s="0">
        <v>604</v>
      </c>
      <c r="B74" t="s" s="0">
        <v>78</v>
      </c>
      <c r="C74" t="s" s="0">
        <v>1852</v>
      </c>
      <c r="D74" t="s" s="0">
        <v>396</v>
      </c>
      <c r="E74" t="s" s="0">
        <v>2339</v>
      </c>
      <c r="F74" t="s" s="0">
        <v>2340</v>
      </c>
      <c r="G74" t="s" s="0">
        <v>2341</v>
      </c>
      <c r="H74" t="s" s="0">
        <v>84</v>
      </c>
      <c r="I74" t="s" s="0">
        <v>85</v>
      </c>
      <c r="J74" t="s" s="0">
        <v>2342</v>
      </c>
      <c r="K74" t="s" s="0">
        <v>2343</v>
      </c>
      <c r="L74" t="s" s="0">
        <v>84</v>
      </c>
      <c r="M74" t="s" s="0">
        <v>84</v>
      </c>
      <c r="N74" t="s" s="0">
        <v>84</v>
      </c>
      <c r="O74" t="s" s="0">
        <v>2344</v>
      </c>
      <c r="P74" t="s" s="0">
        <v>2345</v>
      </c>
      <c r="Q74" t="s" s="0">
        <v>93</v>
      </c>
      <c r="R74" t="s" s="0">
        <v>84</v>
      </c>
      <c r="S74" t="s" s="0">
        <v>84</v>
      </c>
      <c r="T74" t="s" s="0">
        <v>84</v>
      </c>
      <c r="U74" t="s" s="0">
        <v>84</v>
      </c>
      <c r="V74" t="s" s="0">
        <v>2346</v>
      </c>
      <c r="W74" t="s" s="0">
        <v>2347</v>
      </c>
      <c r="X74" t="s" s="0">
        <v>84</v>
      </c>
      <c r="Y74" t="s" s="0">
        <v>84</v>
      </c>
      <c r="Z74" t="s" s="0">
        <v>96</v>
      </c>
      <c r="AA74" t="s" s="0">
        <v>97</v>
      </c>
      <c r="AB74" t="s" s="0">
        <v>84</v>
      </c>
      <c r="AC74" t="s" s="0">
        <v>84</v>
      </c>
      <c r="AD74" t="s" s="0">
        <v>84</v>
      </c>
      <c r="AE74" t="s" s="0">
        <v>84</v>
      </c>
      <c r="AF74" t="s" s="0">
        <v>84</v>
      </c>
      <c r="AG74" t="s" s="0">
        <v>84</v>
      </c>
      <c r="AH74" t="s" s="0">
        <v>2348</v>
      </c>
      <c r="AI74" t="s" s="0">
        <v>2349</v>
      </c>
      <c r="AJ74" t="s" s="0">
        <v>2350</v>
      </c>
      <c r="AK74" t="s" s="0">
        <v>84</v>
      </c>
      <c r="AL74" t="s" s="0">
        <v>2351</v>
      </c>
      <c r="AM74" t="s" s="0">
        <v>2352</v>
      </c>
      <c r="AN74" t="s" s="0">
        <v>2353</v>
      </c>
      <c r="AO74" t="s" s="0">
        <v>312</v>
      </c>
      <c r="AP74" t="s" s="0">
        <v>2354</v>
      </c>
      <c r="AQ74" t="s" s="0">
        <v>106</v>
      </c>
      <c r="AR74" t="s" s="0">
        <v>107</v>
      </c>
      <c r="AS74" t="s" s="0">
        <v>108</v>
      </c>
      <c r="AT74" t="s" s="0">
        <v>2355</v>
      </c>
      <c r="AU74" t="s" s="0">
        <v>2356</v>
      </c>
      <c r="AV74" t="s" s="0">
        <v>84</v>
      </c>
      <c r="AW74" t="s" s="0">
        <v>2357</v>
      </c>
      <c r="AX74" t="s" s="0">
        <v>2358</v>
      </c>
      <c r="AY74" t="s" s="0">
        <v>2359</v>
      </c>
      <c r="AZ74" t="s" s="0">
        <v>159</v>
      </c>
      <c r="BA74" t="s" s="0">
        <v>312</v>
      </c>
      <c r="BB74" t="s" s="0">
        <v>342</v>
      </c>
      <c r="BC74" t="s" s="0">
        <v>84</v>
      </c>
      <c r="BD74" t="s" s="0">
        <v>84</v>
      </c>
      <c r="BE74" t="s" s="0">
        <v>84</v>
      </c>
      <c r="BF74" t="s" s="0">
        <v>84</v>
      </c>
      <c r="BG74" t="s" s="0">
        <v>2360</v>
      </c>
      <c r="BH74" t="s" s="0">
        <v>2361</v>
      </c>
      <c r="BI74" t="s" s="0">
        <v>84</v>
      </c>
      <c r="BJ74" t="s" s="0">
        <v>2362</v>
      </c>
      <c r="BK74" t="s" s="145">
        <f>HYPERLINK("http://dx.doi.org/10.1038/s41569-020-00503-2","http://dx.doi.org/10.1038/s41569-020-00503-2")</f>
        <v>2363</v>
      </c>
      <c r="BL74" t="s" s="0">
        <v>84</v>
      </c>
      <c r="BM74" t="s" s="0">
        <v>674</v>
      </c>
      <c r="BN74" t="s" s="0">
        <v>275</v>
      </c>
      <c r="BO74" t="s" s="0">
        <v>1846</v>
      </c>
      <c r="BP74" t="s" s="0">
        <v>1847</v>
      </c>
      <c r="BQ74" t="s" s="0">
        <v>2364</v>
      </c>
      <c r="BR74" t="s" s="0">
        <v>2365</v>
      </c>
      <c r="BS74" t="s" s="0">
        <v>2366</v>
      </c>
      <c r="BT74" t="s" s="146">
        <f>HYPERLINK("https://www.webofscience.com/wos/woscc/full-record/WOS:000613593200001","View Record in Web of Science")</f>
        <v>127</v>
      </c>
      <c r="BU74" t="s" s="0">
        <v>1916</v>
      </c>
      <c r="BV74" t="s" s="0">
        <v>128</v>
      </c>
      <c r="BW74" t="s" s="0">
        <v>129</v>
      </c>
      <c r="BX74" t="s" s="0">
        <v>130</v>
      </c>
    </row>
    <row r="75">
      <c r="A75" t="s" s="0">
        <v>1059</v>
      </c>
      <c r="B75" t="s" s="0">
        <v>78</v>
      </c>
      <c r="C75" t="s" s="0">
        <v>2367</v>
      </c>
      <c r="D75" t="s" s="0">
        <v>396</v>
      </c>
      <c r="E75" t="s" s="0">
        <v>2368</v>
      </c>
      <c r="F75" t="s" s="0">
        <v>2369</v>
      </c>
      <c r="G75" t="s" s="0">
        <v>2370</v>
      </c>
      <c r="H75" t="s" s="0">
        <v>84</v>
      </c>
      <c r="I75" t="s" s="0">
        <v>85</v>
      </c>
      <c r="J75" t="s" s="0">
        <v>2371</v>
      </c>
      <c r="K75" t="s" s="0">
        <v>2372</v>
      </c>
      <c r="L75" t="s" s="0">
        <v>84</v>
      </c>
      <c r="M75" t="s" s="0">
        <v>84</v>
      </c>
      <c r="N75" t="s" s="0">
        <v>84</v>
      </c>
      <c r="O75" t="s" s="0">
        <v>2373</v>
      </c>
      <c r="P75" t="s" s="0">
        <v>2374</v>
      </c>
      <c r="Q75" t="s" s="0">
        <v>93</v>
      </c>
      <c r="R75" t="s" s="0">
        <v>84</v>
      </c>
      <c r="S75" t="s" s="0">
        <v>84</v>
      </c>
      <c r="T75" t="s" s="0">
        <v>84</v>
      </c>
      <c r="U75" t="s" s="0">
        <v>84</v>
      </c>
      <c r="V75" t="s" s="0">
        <v>2375</v>
      </c>
      <c r="W75" t="s" s="0">
        <v>2376</v>
      </c>
      <c r="X75" t="s" s="0">
        <v>84</v>
      </c>
      <c r="Y75" t="s" s="0">
        <v>84</v>
      </c>
      <c r="Z75" t="s" s="0">
        <v>96</v>
      </c>
      <c r="AA75" t="s" s="0">
        <v>97</v>
      </c>
      <c r="AB75" t="s" s="0">
        <v>84</v>
      </c>
      <c r="AC75" t="s" s="0">
        <v>84</v>
      </c>
      <c r="AD75" t="s" s="0">
        <v>84</v>
      </c>
      <c r="AE75" t="s" s="0">
        <v>84</v>
      </c>
      <c r="AF75" t="s" s="0">
        <v>84</v>
      </c>
      <c r="AG75" t="s" s="0">
        <v>2377</v>
      </c>
      <c r="AH75" t="s" s="0">
        <v>2378</v>
      </c>
      <c r="AI75" t="s" s="0">
        <v>2379</v>
      </c>
      <c r="AJ75" t="s" s="0">
        <v>2380</v>
      </c>
      <c r="AK75" t="s" s="0">
        <v>84</v>
      </c>
      <c r="AL75" t="s" s="0">
        <v>2077</v>
      </c>
      <c r="AM75" t="s" s="0">
        <v>323</v>
      </c>
      <c r="AN75" t="s" s="0">
        <v>2381</v>
      </c>
      <c r="AO75" t="s" s="0">
        <v>121</v>
      </c>
      <c r="AP75" t="s" s="0">
        <v>2382</v>
      </c>
      <c r="AQ75" t="s" s="0">
        <v>2383</v>
      </c>
      <c r="AR75" t="s" s="0">
        <v>2384</v>
      </c>
      <c r="AS75" t="s" s="0">
        <v>2385</v>
      </c>
      <c r="AT75" t="s" s="0">
        <v>2386</v>
      </c>
      <c r="AU75" t="s" s="0">
        <v>2387</v>
      </c>
      <c r="AV75" t="s" s="0">
        <v>84</v>
      </c>
      <c r="AW75" t="s" s="0">
        <v>2388</v>
      </c>
      <c r="AX75" t="s" s="0">
        <v>2389</v>
      </c>
      <c r="AY75" t="s" s="0">
        <v>351</v>
      </c>
      <c r="AZ75" t="s" s="0">
        <v>351</v>
      </c>
      <c r="BA75" t="s" s="0">
        <v>312</v>
      </c>
      <c r="BB75" t="s" s="0">
        <v>242</v>
      </c>
      <c r="BC75" t="s" s="0">
        <v>84</v>
      </c>
      <c r="BD75" t="s" s="0">
        <v>84</v>
      </c>
      <c r="BE75" t="s" s="0">
        <v>84</v>
      </c>
      <c r="BF75" t="s" s="0">
        <v>84</v>
      </c>
      <c r="BG75" t="s" s="0">
        <v>1148</v>
      </c>
      <c r="BH75" t="s" s="0">
        <v>2390</v>
      </c>
      <c r="BI75" t="s" s="0">
        <v>84</v>
      </c>
      <c r="BJ75" t="s" s="0">
        <v>2391</v>
      </c>
      <c r="BK75" t="s" s="147">
        <f>HYPERLINK("http://dx.doi.org/10.2174/1570159X18666200528142429","http://dx.doi.org/10.2174/1570159X18666200528142429")</f>
        <v>2392</v>
      </c>
      <c r="BL75" t="s" s="0">
        <v>84</v>
      </c>
      <c r="BM75" t="s" s="0">
        <v>84</v>
      </c>
      <c r="BN75" t="s" s="0">
        <v>604</v>
      </c>
      <c r="BO75" t="s" s="0">
        <v>2393</v>
      </c>
      <c r="BP75" t="s" s="0">
        <v>2394</v>
      </c>
      <c r="BQ75" t="s" s="0">
        <v>2395</v>
      </c>
      <c r="BR75" t="s" s="0">
        <v>2396</v>
      </c>
      <c r="BS75" t="s" s="0">
        <v>2397</v>
      </c>
      <c r="BT75" t="s" s="148">
        <f>HYPERLINK("https://www.webofscience.com/wos/woscc/full-record/WOS:000589936500005","View Record in Web of Science")</f>
        <v>127</v>
      </c>
      <c r="BU75" t="s" s="0">
        <v>321</v>
      </c>
      <c r="BV75" t="s" s="0">
        <v>128</v>
      </c>
      <c r="BW75" t="s" s="0">
        <v>129</v>
      </c>
      <c r="BX75" t="s" s="0">
        <v>130</v>
      </c>
    </row>
    <row r="76">
      <c r="A76" t="s" s="0">
        <v>160</v>
      </c>
      <c r="B76" t="s" s="0">
        <v>78</v>
      </c>
      <c r="C76" t="s" s="0">
        <v>1978</v>
      </c>
      <c r="D76" t="s" s="0">
        <v>116</v>
      </c>
      <c r="E76" t="s" s="0">
        <v>2398</v>
      </c>
      <c r="F76" t="s" s="0">
        <v>2399</v>
      </c>
      <c r="G76" t="s" s="0">
        <v>2400</v>
      </c>
      <c r="H76" t="s" s="0">
        <v>84</v>
      </c>
      <c r="I76" t="s" s="0">
        <v>1100</v>
      </c>
      <c r="J76" t="s" s="0">
        <v>2401</v>
      </c>
      <c r="K76" t="s" s="0">
        <v>2402</v>
      </c>
      <c r="L76" t="s" s="0">
        <v>84</v>
      </c>
      <c r="M76" t="s" s="0">
        <v>84</v>
      </c>
      <c r="N76" t="s" s="0">
        <v>84</v>
      </c>
      <c r="O76" t="s" s="0">
        <v>2403</v>
      </c>
      <c r="P76" t="s" s="0">
        <v>2404</v>
      </c>
      <c r="Q76" t="s" s="0">
        <v>93</v>
      </c>
      <c r="R76" t="s" s="0">
        <v>84</v>
      </c>
      <c r="S76" t="s" s="0">
        <v>84</v>
      </c>
      <c r="T76" t="s" s="0">
        <v>84</v>
      </c>
      <c r="U76" t="s" s="0">
        <v>84</v>
      </c>
      <c r="V76" t="s" s="0">
        <v>2405</v>
      </c>
      <c r="W76" t="s" s="0">
        <v>2406</v>
      </c>
      <c r="X76" t="s" s="0">
        <v>84</v>
      </c>
      <c r="Y76" t="s" s="0">
        <v>84</v>
      </c>
      <c r="Z76" t="s" s="0">
        <v>96</v>
      </c>
      <c r="AA76" t="s" s="0">
        <v>97</v>
      </c>
      <c r="AB76" t="s" s="0">
        <v>84</v>
      </c>
      <c r="AC76" t="s" s="0">
        <v>84</v>
      </c>
      <c r="AD76" t="s" s="0">
        <v>84</v>
      </c>
      <c r="AE76" t="s" s="0">
        <v>84</v>
      </c>
      <c r="AF76" t="s" s="0">
        <v>84</v>
      </c>
      <c r="AG76" t="s" s="0">
        <v>2407</v>
      </c>
      <c r="AH76" t="s" s="0">
        <v>2408</v>
      </c>
      <c r="AI76" t="s" s="0">
        <v>84</v>
      </c>
      <c r="AJ76" t="s" s="0">
        <v>2409</v>
      </c>
      <c r="AK76" t="s" s="0">
        <v>84</v>
      </c>
      <c r="AL76" t="s" s="0">
        <v>2305</v>
      </c>
      <c r="AM76" t="s" s="0">
        <v>204</v>
      </c>
      <c r="AN76" t="s" s="0">
        <v>2410</v>
      </c>
      <c r="AO76" t="s" s="0">
        <v>242</v>
      </c>
      <c r="AP76" t="s" s="0">
        <v>2411</v>
      </c>
      <c r="AQ76" t="s" s="0">
        <v>379</v>
      </c>
      <c r="AR76" t="s" s="0">
        <v>380</v>
      </c>
      <c r="AS76" t="s" s="0">
        <v>381</v>
      </c>
      <c r="AT76" t="s" s="0">
        <v>2412</v>
      </c>
      <c r="AU76" t="s" s="0">
        <v>84</v>
      </c>
      <c r="AV76" t="s" s="0">
        <v>84</v>
      </c>
      <c r="AW76" t="s" s="0">
        <v>2406</v>
      </c>
      <c r="AX76" t="s" s="0">
        <v>2413</v>
      </c>
      <c r="AY76" t="s" s="0">
        <v>2414</v>
      </c>
      <c r="AZ76" t="s" s="0">
        <v>235</v>
      </c>
      <c r="BA76" t="s" s="0">
        <v>280</v>
      </c>
      <c r="BB76" t="s" s="0">
        <v>214</v>
      </c>
      <c r="BC76" t="s" s="0">
        <v>84</v>
      </c>
      <c r="BD76" t="s" s="0">
        <v>84</v>
      </c>
      <c r="BE76" t="s" s="0">
        <v>84</v>
      </c>
      <c r="BF76" t="s" s="0">
        <v>84</v>
      </c>
      <c r="BG76" t="s" s="0">
        <v>84</v>
      </c>
      <c r="BH76" t="s" s="0">
        <v>84</v>
      </c>
      <c r="BI76" t="s" s="0">
        <v>261</v>
      </c>
      <c r="BJ76" t="s" s="0">
        <v>2415</v>
      </c>
      <c r="BK76" t="s" s="149">
        <f>HYPERLINK("http://dx.doi.org/10.3390/computers12050091","http://dx.doi.org/10.3390/computers12050091")</f>
        <v>2416</v>
      </c>
      <c r="BL76" t="s" s="0">
        <v>84</v>
      </c>
      <c r="BM76" t="s" s="0">
        <v>84</v>
      </c>
      <c r="BN76" t="s" s="0">
        <v>755</v>
      </c>
      <c r="BO76" t="s" s="0">
        <v>2417</v>
      </c>
      <c r="BP76" t="s" s="0">
        <v>166</v>
      </c>
      <c r="BQ76" t="s" s="0">
        <v>2418</v>
      </c>
      <c r="BR76" t="s" s="0">
        <v>84</v>
      </c>
      <c r="BS76" t="s" s="0">
        <v>2419</v>
      </c>
      <c r="BT76" t="s" s="150">
        <f>HYPERLINK("https://www.webofscience.com/wos/woscc/full-record/WOS:000997810700001","View Record in Web of Science")</f>
        <v>127</v>
      </c>
      <c r="BU76" t="s" s="0">
        <v>170</v>
      </c>
      <c r="BV76" t="s" s="0">
        <v>84</v>
      </c>
      <c r="BW76" t="s" s="0">
        <v>84</v>
      </c>
      <c r="BX76" t="s" s="0">
        <v>130</v>
      </c>
    </row>
    <row r="77">
      <c r="A77" t="s" s="0">
        <v>1702</v>
      </c>
      <c r="B77" t="s" s="0">
        <v>78</v>
      </c>
      <c r="C77" t="s" s="0">
        <v>352</v>
      </c>
      <c r="D77" t="s" s="0">
        <v>787</v>
      </c>
      <c r="E77" t="s" s="0">
        <v>2420</v>
      </c>
      <c r="F77" t="s" s="0">
        <v>2421</v>
      </c>
      <c r="G77" t="s" s="0">
        <v>2422</v>
      </c>
      <c r="H77" t="s" s="0">
        <v>84</v>
      </c>
      <c r="I77" t="s" s="0">
        <v>85</v>
      </c>
      <c r="J77" t="s" s="0">
        <v>2423</v>
      </c>
      <c r="K77" t="s" s="0">
        <v>2424</v>
      </c>
      <c r="L77" t="s" s="0">
        <v>2425</v>
      </c>
      <c r="M77" t="s" s="0">
        <v>2426</v>
      </c>
      <c r="N77" t="s" s="0">
        <v>2427</v>
      </c>
      <c r="O77" t="s" s="0">
        <v>2428</v>
      </c>
      <c r="P77" t="s" s="0">
        <v>2429</v>
      </c>
      <c r="Q77" t="s" s="0">
        <v>93</v>
      </c>
      <c r="R77" t="s" s="0">
        <v>84</v>
      </c>
      <c r="S77" t="s" s="0">
        <v>84</v>
      </c>
      <c r="T77" t="s" s="0">
        <v>84</v>
      </c>
      <c r="U77" t="s" s="0">
        <v>84</v>
      </c>
      <c r="V77" t="s" s="0">
        <v>2430</v>
      </c>
      <c r="W77" t="s" s="0">
        <v>2431</v>
      </c>
      <c r="X77" t="s" s="0">
        <v>84</v>
      </c>
      <c r="Y77" t="s" s="0">
        <v>84</v>
      </c>
      <c r="Z77" t="s" s="0">
        <v>96</v>
      </c>
      <c r="AA77" t="s" s="0">
        <v>97</v>
      </c>
      <c r="AB77" t="s" s="0">
        <v>84</v>
      </c>
      <c r="AC77" t="s" s="0">
        <v>84</v>
      </c>
      <c r="AD77" t="s" s="0">
        <v>84</v>
      </c>
      <c r="AE77" t="s" s="0">
        <v>84</v>
      </c>
      <c r="AF77" t="s" s="0">
        <v>84</v>
      </c>
      <c r="AG77" t="s" s="0">
        <v>2432</v>
      </c>
      <c r="AH77" t="s" s="0">
        <v>2433</v>
      </c>
      <c r="AI77" t="s" s="0">
        <v>84</v>
      </c>
      <c r="AJ77" t="s" s="0">
        <v>2434</v>
      </c>
      <c r="AK77" t="s" s="0">
        <v>84</v>
      </c>
      <c r="AL77" t="s" s="0">
        <v>101</v>
      </c>
      <c r="AM77" t="s" s="0">
        <v>2435</v>
      </c>
      <c r="AN77" t="s" s="0">
        <v>2436</v>
      </c>
      <c r="AO77" t="s" s="0">
        <v>312</v>
      </c>
      <c r="AP77" t="s" s="0">
        <v>756</v>
      </c>
      <c r="AQ77" t="s" s="0">
        <v>489</v>
      </c>
      <c r="AR77" t="s" s="0">
        <v>153</v>
      </c>
      <c r="AS77" t="s" s="0">
        <v>490</v>
      </c>
      <c r="AT77" t="s" s="0">
        <v>84</v>
      </c>
      <c r="AU77" t="s" s="0">
        <v>2437</v>
      </c>
      <c r="AV77" t="s" s="0">
        <v>84</v>
      </c>
      <c r="AW77" t="s" s="0">
        <v>2438</v>
      </c>
      <c r="AX77" t="s" s="0">
        <v>2439</v>
      </c>
      <c r="AY77" t="s" s="0">
        <v>2440</v>
      </c>
      <c r="AZ77" t="s" s="0">
        <v>159</v>
      </c>
      <c r="BA77" t="s" s="0">
        <v>275</v>
      </c>
      <c r="BB77" t="s" s="0">
        <v>116</v>
      </c>
      <c r="BC77" t="s" s="0">
        <v>84</v>
      </c>
      <c r="BD77" t="s" s="0">
        <v>84</v>
      </c>
      <c r="BE77" t="s" s="0">
        <v>84</v>
      </c>
      <c r="BF77" t="s" s="0">
        <v>84</v>
      </c>
      <c r="BG77" t="s" s="0">
        <v>84</v>
      </c>
      <c r="BH77" t="s" s="0">
        <v>84</v>
      </c>
      <c r="BI77" t="s" s="0">
        <v>264</v>
      </c>
      <c r="BJ77" t="s" s="0">
        <v>2441</v>
      </c>
      <c r="BK77" t="s" s="151">
        <f>HYPERLINK("http://dx.doi.org/10.1186/s13045-021-01037-x","http://dx.doi.org/10.1186/s13045-021-01037-x")</f>
        <v>2442</v>
      </c>
      <c r="BL77" t="s" s="0">
        <v>84</v>
      </c>
      <c r="BM77" t="s" s="0">
        <v>84</v>
      </c>
      <c r="BN77" t="s" s="0">
        <v>264</v>
      </c>
      <c r="BO77" t="s" s="0">
        <v>2443</v>
      </c>
      <c r="BP77" t="s" s="0">
        <v>2443</v>
      </c>
      <c r="BQ77" t="s" s="0">
        <v>2444</v>
      </c>
      <c r="BR77" t="s" s="0">
        <v>2445</v>
      </c>
      <c r="BS77" t="s" s="0">
        <v>2446</v>
      </c>
      <c r="BT77" t="s" s="152">
        <f>HYPERLINK("https://www.webofscience.com/wos/woscc/full-record/WOS:000617550400001","View Record in Web of Science")</f>
        <v>127</v>
      </c>
      <c r="BU77" t="s" s="0">
        <v>170</v>
      </c>
      <c r="BV77" t="s" s="0">
        <v>128</v>
      </c>
      <c r="BW77" t="s" s="0">
        <v>129</v>
      </c>
      <c r="BX77" t="s" s="0">
        <v>130</v>
      </c>
    </row>
    <row r="78">
      <c r="A78" t="s" s="0">
        <v>1117</v>
      </c>
      <c r="B78" t="s" s="0">
        <v>78</v>
      </c>
      <c r="C78" t="s" s="0">
        <v>1322</v>
      </c>
      <c r="D78" t="s" s="0">
        <v>78</v>
      </c>
      <c r="E78" t="s" s="0">
        <v>2447</v>
      </c>
      <c r="F78" t="s" s="0">
        <v>2448</v>
      </c>
      <c r="G78" t="s" s="0">
        <v>2449</v>
      </c>
      <c r="H78" t="s" s="0">
        <v>84</v>
      </c>
      <c r="I78" t="s" s="0">
        <v>85</v>
      </c>
      <c r="J78" t="s" s="0">
        <v>2450</v>
      </c>
      <c r="K78" t="s" s="0">
        <v>2451</v>
      </c>
      <c r="L78" t="s" s="0">
        <v>2452</v>
      </c>
      <c r="M78" t="s" s="0">
        <v>2453</v>
      </c>
      <c r="N78" t="s" s="0">
        <v>2454</v>
      </c>
      <c r="O78" t="s" s="0">
        <v>2455</v>
      </c>
      <c r="P78" t="s" s="0">
        <v>2456</v>
      </c>
      <c r="Q78" t="s" s="0">
        <v>93</v>
      </c>
      <c r="R78" t="s" s="0">
        <v>84</v>
      </c>
      <c r="S78" t="s" s="0">
        <v>84</v>
      </c>
      <c r="T78" t="s" s="0">
        <v>84</v>
      </c>
      <c r="U78" t="s" s="0">
        <v>84</v>
      </c>
      <c r="V78" t="s" s="0">
        <v>2457</v>
      </c>
      <c r="W78" t="s" s="0">
        <v>623</v>
      </c>
      <c r="X78" t="s" s="0">
        <v>84</v>
      </c>
      <c r="Y78" t="s" s="0">
        <v>84</v>
      </c>
      <c r="Z78" t="s" s="0">
        <v>96</v>
      </c>
      <c r="AA78" t="s" s="0">
        <v>97</v>
      </c>
      <c r="AB78" t="s" s="0">
        <v>84</v>
      </c>
      <c r="AC78" t="s" s="0">
        <v>84</v>
      </c>
      <c r="AD78" t="s" s="0">
        <v>84</v>
      </c>
      <c r="AE78" t="s" s="0">
        <v>84</v>
      </c>
      <c r="AF78" t="s" s="0">
        <v>84</v>
      </c>
      <c r="AG78" t="s" s="0">
        <v>2458</v>
      </c>
      <c r="AH78" t="s" s="0">
        <v>2459</v>
      </c>
      <c r="AI78" t="s" s="0">
        <v>2460</v>
      </c>
      <c r="AJ78" t="s" s="0">
        <v>2461</v>
      </c>
      <c r="AK78" t="s" s="0">
        <v>84</v>
      </c>
      <c r="AL78" t="s" s="0">
        <v>2325</v>
      </c>
      <c r="AM78" t="s" s="0">
        <v>2462</v>
      </c>
      <c r="AN78" t="s" s="0">
        <v>2463</v>
      </c>
      <c r="AO78" t="s" s="0">
        <v>2464</v>
      </c>
      <c r="AP78" t="s" s="0">
        <v>2465</v>
      </c>
      <c r="AQ78" t="s" s="0">
        <v>632</v>
      </c>
      <c r="AR78" t="s" s="0">
        <v>633</v>
      </c>
      <c r="AS78" t="s" s="0">
        <v>634</v>
      </c>
      <c r="AT78" t="s" s="0">
        <v>635</v>
      </c>
      <c r="AU78" t="s" s="0">
        <v>636</v>
      </c>
      <c r="AV78" t="s" s="0">
        <v>84</v>
      </c>
      <c r="AW78" t="s" s="0">
        <v>637</v>
      </c>
      <c r="AX78" t="s" s="0">
        <v>638</v>
      </c>
      <c r="AY78" t="s" s="0">
        <v>815</v>
      </c>
      <c r="AZ78" t="s" s="0">
        <v>567</v>
      </c>
      <c r="BA78" t="s" s="0">
        <v>115</v>
      </c>
      <c r="BB78" t="s" s="0">
        <v>116</v>
      </c>
      <c r="BC78" t="s" s="0">
        <v>84</v>
      </c>
      <c r="BD78" t="s" s="0">
        <v>84</v>
      </c>
      <c r="BE78" t="s" s="0">
        <v>84</v>
      </c>
      <c r="BF78" t="s" s="0">
        <v>84</v>
      </c>
      <c r="BG78" t="s" s="0">
        <v>84</v>
      </c>
      <c r="BH78" t="s" s="0">
        <v>84</v>
      </c>
      <c r="BI78" t="s" s="0">
        <v>2466</v>
      </c>
      <c r="BJ78" t="s" s="0">
        <v>2467</v>
      </c>
      <c r="BK78" t="s" s="153">
        <f>HYPERLINK("http://dx.doi.org/10.1093/bib/bbad518","http://dx.doi.org/10.1093/bib/bbad518")</f>
        <v>2468</v>
      </c>
      <c r="BL78" t="s" s="0">
        <v>84</v>
      </c>
      <c r="BM78" t="s" s="0">
        <v>84</v>
      </c>
      <c r="BN78" t="s" s="0">
        <v>280</v>
      </c>
      <c r="BO78" t="s" s="0">
        <v>644</v>
      </c>
      <c r="BP78" t="s" s="0">
        <v>645</v>
      </c>
      <c r="BQ78" t="s" s="0">
        <v>2469</v>
      </c>
      <c r="BR78" t="s" s="0">
        <v>2470</v>
      </c>
      <c r="BS78" t="s" s="0">
        <v>2471</v>
      </c>
      <c r="BT78" t="s" s="154">
        <f>HYPERLINK("https://www.webofscience.com/wos/woscc/full-record/WOS:001173375300038","View Record in Web of Science")</f>
        <v>127</v>
      </c>
      <c r="BU78" t="s" s="0">
        <v>432</v>
      </c>
      <c r="BV78" t="s" s="0">
        <v>128</v>
      </c>
      <c r="BW78" t="s" s="0">
        <v>129</v>
      </c>
      <c r="BX78" t="s" s="0">
        <v>130</v>
      </c>
    </row>
    <row r="79">
      <c r="A79" t="s" s="0">
        <v>275</v>
      </c>
      <c r="B79" t="s" s="0">
        <v>78</v>
      </c>
      <c r="C79" t="s" s="0">
        <v>80</v>
      </c>
      <c r="D79" t="s" s="0">
        <v>214</v>
      </c>
      <c r="E79" t="s" s="0">
        <v>2472</v>
      </c>
      <c r="F79" t="s" s="0">
        <v>2473</v>
      </c>
      <c r="G79" t="s" s="0">
        <v>2474</v>
      </c>
      <c r="H79" t="s" s="0">
        <v>84</v>
      </c>
      <c r="I79" t="s" s="0">
        <v>85</v>
      </c>
      <c r="J79" t="s" s="0">
        <v>2475</v>
      </c>
      <c r="K79" t="s" s="0">
        <v>2476</v>
      </c>
      <c r="L79" t="s" s="0">
        <v>2477</v>
      </c>
      <c r="M79" t="s" s="0">
        <v>2478</v>
      </c>
      <c r="N79" t="s" s="0">
        <v>2479</v>
      </c>
      <c r="O79" t="s" s="0">
        <v>2480</v>
      </c>
      <c r="P79" t="s" s="0">
        <v>2481</v>
      </c>
      <c r="Q79" t="s" s="0">
        <v>93</v>
      </c>
      <c r="R79" t="s" s="0">
        <v>84</v>
      </c>
      <c r="S79" t="s" s="0">
        <v>84</v>
      </c>
      <c r="T79" t="s" s="0">
        <v>84</v>
      </c>
      <c r="U79" t="s" s="0">
        <v>84</v>
      </c>
      <c r="V79" t="s" s="0">
        <v>2482</v>
      </c>
      <c r="W79" t="s" s="0">
        <v>831</v>
      </c>
      <c r="X79" t="s" s="0">
        <v>84</v>
      </c>
      <c r="Y79" t="s" s="0">
        <v>84</v>
      </c>
      <c r="Z79" t="s" s="0">
        <v>96</v>
      </c>
      <c r="AA79" t="s" s="0">
        <v>97</v>
      </c>
      <c r="AB79" t="s" s="0">
        <v>84</v>
      </c>
      <c r="AC79" t="s" s="0">
        <v>84</v>
      </c>
      <c r="AD79" t="s" s="0">
        <v>84</v>
      </c>
      <c r="AE79" t="s" s="0">
        <v>84</v>
      </c>
      <c r="AF79" t="s" s="0">
        <v>84</v>
      </c>
      <c r="AG79" t="s" s="0">
        <v>2483</v>
      </c>
      <c r="AH79" t="s" s="0">
        <v>2484</v>
      </c>
      <c r="AI79" t="s" s="0">
        <v>2485</v>
      </c>
      <c r="AJ79" t="s" s="0">
        <v>2486</v>
      </c>
      <c r="AK79" t="s" s="0">
        <v>84</v>
      </c>
      <c r="AL79" t="s" s="0">
        <v>101</v>
      </c>
      <c r="AM79" t="s" s="0">
        <v>718</v>
      </c>
      <c r="AN79" t="s" s="0">
        <v>1992</v>
      </c>
      <c r="AO79" t="s" s="0">
        <v>214</v>
      </c>
      <c r="AP79" t="s" s="0">
        <v>2487</v>
      </c>
      <c r="AQ79" t="s" s="0">
        <v>841</v>
      </c>
      <c r="AR79" t="s" s="0">
        <v>842</v>
      </c>
      <c r="AS79" t="s" s="0">
        <v>843</v>
      </c>
      <c r="AT79" t="s" s="0">
        <v>844</v>
      </c>
      <c r="AU79" t="s" s="0">
        <v>84</v>
      </c>
      <c r="AV79" t="s" s="0">
        <v>84</v>
      </c>
      <c r="AW79" t="s" s="0">
        <v>831</v>
      </c>
      <c r="AX79" t="s" s="0">
        <v>845</v>
      </c>
      <c r="AY79" t="s" s="0">
        <v>351</v>
      </c>
      <c r="AZ79" t="s" s="0">
        <v>351</v>
      </c>
      <c r="BA79" t="s" s="0">
        <v>160</v>
      </c>
      <c r="BB79" t="s" s="0">
        <v>84</v>
      </c>
      <c r="BC79" t="s" s="0">
        <v>84</v>
      </c>
      <c r="BD79" t="s" s="0">
        <v>84</v>
      </c>
      <c r="BE79" t="s" s="0">
        <v>84</v>
      </c>
      <c r="BF79" t="s" s="0">
        <v>84</v>
      </c>
      <c r="BG79" t="s" s="0">
        <v>2488</v>
      </c>
      <c r="BH79" t="s" s="0">
        <v>2489</v>
      </c>
      <c r="BI79" t="s" s="0">
        <v>84</v>
      </c>
      <c r="BJ79" t="s" s="0">
        <v>2490</v>
      </c>
      <c r="BK79" t="s" s="155">
        <f>HYPERLINK("http://dx.doi.org/10.1109/ACCESS.2020.2992341","http://dx.doi.org/10.1109/ACCESS.2020.2992341")</f>
        <v>2491</v>
      </c>
      <c r="BL79" t="s" s="0">
        <v>84</v>
      </c>
      <c r="BM79" t="s" s="0">
        <v>84</v>
      </c>
      <c r="BN79" t="s" s="0">
        <v>1702</v>
      </c>
      <c r="BO79" t="s" s="0">
        <v>851</v>
      </c>
      <c r="BP79" t="s" s="0">
        <v>852</v>
      </c>
      <c r="BQ79" t="s" s="0">
        <v>2492</v>
      </c>
      <c r="BR79" t="s" s="0">
        <v>84</v>
      </c>
      <c r="BS79" t="s" s="0">
        <v>2493</v>
      </c>
      <c r="BT79" t="s" s="156">
        <f>HYPERLINK("https://www.webofscience.com/wos/woscc/full-record/WOS:000538727700107","View Record in Web of Science")</f>
        <v>127</v>
      </c>
      <c r="BU79" t="s" s="0">
        <v>170</v>
      </c>
      <c r="BV79" t="s" s="0">
        <v>128</v>
      </c>
      <c r="BW79" t="s" s="0">
        <v>129</v>
      </c>
      <c r="BX79" t="s" s="0">
        <v>130</v>
      </c>
    </row>
    <row r="80">
      <c r="A80" t="s" s="0">
        <v>1588</v>
      </c>
      <c r="B80" t="s" s="0">
        <v>78</v>
      </c>
      <c r="C80" t="s" s="0">
        <v>2494</v>
      </c>
      <c r="D80" t="s" s="0">
        <v>396</v>
      </c>
      <c r="E80" t="s" s="0">
        <v>2495</v>
      </c>
      <c r="F80" t="s" s="0">
        <v>2496</v>
      </c>
      <c r="G80" t="s" s="0">
        <v>2497</v>
      </c>
      <c r="H80" t="s" s="0">
        <v>84</v>
      </c>
      <c r="I80" t="s" s="0">
        <v>85</v>
      </c>
      <c r="J80" t="s" s="0">
        <v>2498</v>
      </c>
      <c r="K80" t="s" s="0">
        <v>2499</v>
      </c>
      <c r="L80" t="s" s="0">
        <v>2500</v>
      </c>
      <c r="M80" t="s" s="0">
        <v>2501</v>
      </c>
      <c r="N80" t="s" s="0">
        <v>2502</v>
      </c>
      <c r="O80" t="s" s="0">
        <v>2503</v>
      </c>
      <c r="P80" t="s" s="0">
        <v>2504</v>
      </c>
      <c r="Q80" t="s" s="0">
        <v>93</v>
      </c>
      <c r="R80" t="s" s="0">
        <v>84</v>
      </c>
      <c r="S80" t="s" s="0">
        <v>84</v>
      </c>
      <c r="T80" t="s" s="0">
        <v>84</v>
      </c>
      <c r="U80" t="s" s="0">
        <v>84</v>
      </c>
      <c r="V80" t="s" s="0">
        <v>2505</v>
      </c>
      <c r="W80" t="s" s="0">
        <v>2506</v>
      </c>
      <c r="X80" t="s" s="0">
        <v>84</v>
      </c>
      <c r="Y80" t="s" s="0">
        <v>84</v>
      </c>
      <c r="Z80" t="s" s="0">
        <v>96</v>
      </c>
      <c r="AA80" t="s" s="0">
        <v>97</v>
      </c>
      <c r="AB80" t="s" s="0">
        <v>84</v>
      </c>
      <c r="AC80" t="s" s="0">
        <v>84</v>
      </c>
      <c r="AD80" t="s" s="0">
        <v>84</v>
      </c>
      <c r="AE80" t="s" s="0">
        <v>84</v>
      </c>
      <c r="AF80" t="s" s="0">
        <v>84</v>
      </c>
      <c r="AG80" t="s" s="0">
        <v>2507</v>
      </c>
      <c r="AH80" t="s" s="0">
        <v>2508</v>
      </c>
      <c r="AI80" t="s" s="0">
        <v>2509</v>
      </c>
      <c r="AJ80" t="s" s="0">
        <v>2510</v>
      </c>
      <c r="AK80" t="s" s="0">
        <v>84</v>
      </c>
      <c r="AL80" t="s" s="0">
        <v>1579</v>
      </c>
      <c r="AM80" t="s" s="0">
        <v>718</v>
      </c>
      <c r="AN80" t="s" s="0">
        <v>2511</v>
      </c>
      <c r="AO80" t="s" s="0">
        <v>396</v>
      </c>
      <c r="AP80" t="s" s="0">
        <v>2512</v>
      </c>
      <c r="AQ80" t="s" s="0">
        <v>2513</v>
      </c>
      <c r="AR80" t="s" s="0">
        <v>2514</v>
      </c>
      <c r="AS80" t="s" s="0">
        <v>2515</v>
      </c>
      <c r="AT80" t="s" s="0">
        <v>2516</v>
      </c>
      <c r="AU80" t="s" s="0">
        <v>2517</v>
      </c>
      <c r="AV80" t="s" s="0">
        <v>84</v>
      </c>
      <c r="AW80" t="s" s="0">
        <v>2518</v>
      </c>
      <c r="AX80" t="s" s="0">
        <v>2519</v>
      </c>
      <c r="AY80" t="s" s="0">
        <v>2520</v>
      </c>
      <c r="AZ80" t="s" s="0">
        <v>201</v>
      </c>
      <c r="BA80" t="s" s="0">
        <v>1117</v>
      </c>
      <c r="BB80" t="s" s="0">
        <v>2521</v>
      </c>
      <c r="BC80" t="s" s="0">
        <v>84</v>
      </c>
      <c r="BD80" t="s" s="0">
        <v>84</v>
      </c>
      <c r="BE80" t="s" s="0">
        <v>84</v>
      </c>
      <c r="BF80" t="s" s="0">
        <v>84</v>
      </c>
      <c r="BG80" t="s" s="0">
        <v>2522</v>
      </c>
      <c r="BH80" t="s" s="0">
        <v>1316</v>
      </c>
      <c r="BI80" t="s" s="0">
        <v>84</v>
      </c>
      <c r="BJ80" t="s" s="0">
        <v>2523</v>
      </c>
      <c r="BK80" t="s" s="157">
        <f>HYPERLINK("http://dx.doi.org/10.1101/gad.315739.118","http://dx.doi.org/10.1101/gad.315739.118")</f>
        <v>2524</v>
      </c>
      <c r="BL80" t="s" s="0">
        <v>84</v>
      </c>
      <c r="BM80" t="s" s="0">
        <v>84</v>
      </c>
      <c r="BN80" t="s" s="0">
        <v>855</v>
      </c>
      <c r="BO80" t="s" s="0">
        <v>2525</v>
      </c>
      <c r="BP80" t="s" s="0">
        <v>2525</v>
      </c>
      <c r="BQ80" t="s" s="0">
        <v>2526</v>
      </c>
      <c r="BR80" t="s" s="0">
        <v>2527</v>
      </c>
      <c r="BS80" t="s" s="0">
        <v>2528</v>
      </c>
      <c r="BT80" t="s" s="158">
        <f>HYPERLINK("https://www.webofscience.com/wos/woscc/full-record/WOS:000443566500002","View Record in Web of Science")</f>
        <v>127</v>
      </c>
      <c r="BU80" t="s" s="0">
        <v>170</v>
      </c>
      <c r="BV80" t="s" s="0">
        <v>128</v>
      </c>
      <c r="BW80" t="s" s="0">
        <v>129</v>
      </c>
      <c r="BX80" t="s" s="0">
        <v>130</v>
      </c>
    </row>
    <row r="81">
      <c r="A81" t="s" s="0">
        <v>264</v>
      </c>
      <c r="B81" t="s" s="0">
        <v>78</v>
      </c>
      <c r="C81" t="s" s="0">
        <v>212</v>
      </c>
      <c r="D81" t="s" s="0">
        <v>78</v>
      </c>
      <c r="E81" t="s" s="0">
        <v>2529</v>
      </c>
      <c r="F81" t="s" s="0">
        <v>2530</v>
      </c>
      <c r="G81" t="s" s="0">
        <v>2531</v>
      </c>
      <c r="H81" t="s" s="0">
        <v>84</v>
      </c>
      <c r="I81" t="s" s="0">
        <v>85</v>
      </c>
      <c r="J81" t="s" s="0">
        <v>2532</v>
      </c>
      <c r="K81" t="s" s="0">
        <v>2533</v>
      </c>
      <c r="L81" t="s" s="0">
        <v>2534</v>
      </c>
      <c r="M81" t="s" s="0">
        <v>2535</v>
      </c>
      <c r="N81" t="s" s="0">
        <v>2536</v>
      </c>
      <c r="O81" t="s" s="0">
        <v>2537</v>
      </c>
      <c r="P81" t="s" s="0">
        <v>2538</v>
      </c>
      <c r="Q81" t="s" s="0">
        <v>93</v>
      </c>
      <c r="R81" t="s" s="0">
        <v>84</v>
      </c>
      <c r="S81" t="s" s="0">
        <v>84</v>
      </c>
      <c r="T81" t="s" s="0">
        <v>84</v>
      </c>
      <c r="U81" t="s" s="0">
        <v>84</v>
      </c>
      <c r="V81" t="s" s="0">
        <v>2539</v>
      </c>
      <c r="W81" t="s" s="0">
        <v>2540</v>
      </c>
      <c r="X81" t="s" s="0">
        <v>84</v>
      </c>
      <c r="Y81" t="s" s="0">
        <v>84</v>
      </c>
      <c r="Z81" t="s" s="0">
        <v>96</v>
      </c>
      <c r="AA81" t="s" s="0">
        <v>97</v>
      </c>
      <c r="AB81" t="s" s="0">
        <v>84</v>
      </c>
      <c r="AC81" t="s" s="0">
        <v>84</v>
      </c>
      <c r="AD81" t="s" s="0">
        <v>84</v>
      </c>
      <c r="AE81" t="s" s="0">
        <v>84</v>
      </c>
      <c r="AF81" t="s" s="0">
        <v>84</v>
      </c>
      <c r="AG81" t="s" s="0">
        <v>2541</v>
      </c>
      <c r="AH81" t="s" s="0">
        <v>2542</v>
      </c>
      <c r="AI81" t="s" s="0">
        <v>2543</v>
      </c>
      <c r="AJ81" t="s" s="0">
        <v>2544</v>
      </c>
      <c r="AK81" t="s" s="0">
        <v>84</v>
      </c>
      <c r="AL81" t="s" s="0">
        <v>2263</v>
      </c>
      <c r="AM81" t="s" s="0">
        <v>2545</v>
      </c>
      <c r="AN81" t="s" s="0">
        <v>2546</v>
      </c>
      <c r="AO81" t="s" s="0">
        <v>280</v>
      </c>
      <c r="AP81" t="s" s="0">
        <v>1837</v>
      </c>
      <c r="AQ81" t="s" s="0">
        <v>415</v>
      </c>
      <c r="AR81" t="s" s="0">
        <v>416</v>
      </c>
      <c r="AS81" t="s" s="0">
        <v>417</v>
      </c>
      <c r="AT81" t="s" s="0">
        <v>2547</v>
      </c>
      <c r="AU81" t="s" s="0">
        <v>2548</v>
      </c>
      <c r="AV81" t="s" s="0">
        <v>84</v>
      </c>
      <c r="AW81" t="s" s="0">
        <v>2549</v>
      </c>
      <c r="AX81" t="s" s="0">
        <v>533</v>
      </c>
      <c r="AY81" t="s" s="0">
        <v>2550</v>
      </c>
      <c r="AZ81" t="s" s="0">
        <v>114</v>
      </c>
      <c r="BA81" t="s" s="0">
        <v>214</v>
      </c>
      <c r="BB81" t="s" s="0">
        <v>396</v>
      </c>
      <c r="BC81" t="s" s="0">
        <v>84</v>
      </c>
      <c r="BD81" t="s" s="0">
        <v>84</v>
      </c>
      <c r="BE81" t="s" s="0">
        <v>84</v>
      </c>
      <c r="BF81" t="s" s="0">
        <v>84</v>
      </c>
      <c r="BG81" t="s" s="0">
        <v>2551</v>
      </c>
      <c r="BH81" t="s" s="0">
        <v>1158</v>
      </c>
      <c r="BI81" t="s" s="0">
        <v>84</v>
      </c>
      <c r="BJ81" t="s" s="0">
        <v>2552</v>
      </c>
      <c r="BK81" t="s" s="159">
        <f>HYPERLINK("http://dx.doi.org/10.1016/j.eng.2018.11.020","http://dx.doi.org/10.1016/j.eng.2018.11.020")</f>
        <v>2553</v>
      </c>
      <c r="BL81" t="s" s="0">
        <v>84</v>
      </c>
      <c r="BM81" t="s" s="0">
        <v>84</v>
      </c>
      <c r="BN81" t="s" s="0">
        <v>133</v>
      </c>
      <c r="BO81" t="s" s="0">
        <v>2554</v>
      </c>
      <c r="BP81" t="s" s="0">
        <v>533</v>
      </c>
      <c r="BQ81" t="s" s="0">
        <v>2555</v>
      </c>
      <c r="BR81" t="s" s="0">
        <v>84</v>
      </c>
      <c r="BS81" t="s" s="0">
        <v>2556</v>
      </c>
      <c r="BT81" t="s" s="160">
        <f>HYPERLINK("https://www.webofscience.com/wos/woscc/full-record/WOS:000464753200011","View Record in Web of Science")</f>
        <v>127</v>
      </c>
      <c r="BU81" t="s" s="0">
        <v>170</v>
      </c>
      <c r="BV81" t="s" s="0">
        <v>128</v>
      </c>
      <c r="BW81" t="s" s="0">
        <v>129</v>
      </c>
      <c r="BX81" t="s" s="0">
        <v>130</v>
      </c>
    </row>
    <row r="82">
      <c r="A82" t="s" s="0">
        <v>280</v>
      </c>
      <c r="B82" t="s" s="0">
        <v>78</v>
      </c>
      <c r="C82" t="s" s="0">
        <v>555</v>
      </c>
      <c r="D82" t="s" s="0">
        <v>396</v>
      </c>
      <c r="E82" t="s" s="0">
        <v>2557</v>
      </c>
      <c r="F82" t="s" s="0">
        <v>2558</v>
      </c>
      <c r="G82" t="s" s="0">
        <v>2559</v>
      </c>
      <c r="H82" t="s" s="0">
        <v>84</v>
      </c>
      <c r="I82" t="s" s="0">
        <v>251</v>
      </c>
      <c r="J82" t="s" s="0">
        <v>2560</v>
      </c>
      <c r="K82" t="s" s="0">
        <v>2561</v>
      </c>
      <c r="L82" t="s" s="0">
        <v>2562</v>
      </c>
      <c r="M82" t="s" s="0">
        <v>2563</v>
      </c>
      <c r="N82" t="s" s="0">
        <v>2564</v>
      </c>
      <c r="O82" t="s" s="0">
        <v>2565</v>
      </c>
      <c r="P82" t="s" s="0">
        <v>2566</v>
      </c>
      <c r="Q82" t="s" s="0">
        <v>93</v>
      </c>
      <c r="R82" t="s" s="0">
        <v>84</v>
      </c>
      <c r="S82" t="s" s="0">
        <v>84</v>
      </c>
      <c r="T82" t="s" s="0">
        <v>84</v>
      </c>
      <c r="U82" t="s" s="0">
        <v>84</v>
      </c>
      <c r="V82" t="s" s="0">
        <v>2567</v>
      </c>
      <c r="W82" t="s" s="0">
        <v>2568</v>
      </c>
      <c r="X82" t="s" s="0">
        <v>84</v>
      </c>
      <c r="Y82" t="s" s="0">
        <v>84</v>
      </c>
      <c r="Z82" t="s" s="0">
        <v>96</v>
      </c>
      <c r="AA82" t="s" s="0">
        <v>97</v>
      </c>
      <c r="AB82" t="s" s="0">
        <v>84</v>
      </c>
      <c r="AC82" t="s" s="0">
        <v>84</v>
      </c>
      <c r="AD82" t="s" s="0">
        <v>84</v>
      </c>
      <c r="AE82" t="s" s="0">
        <v>84</v>
      </c>
      <c r="AF82" t="s" s="0">
        <v>84</v>
      </c>
      <c r="AG82" t="s" s="0">
        <v>2569</v>
      </c>
      <c r="AH82" t="s" s="0">
        <v>2570</v>
      </c>
      <c r="AI82" t="s" s="0">
        <v>2571</v>
      </c>
      <c r="AJ82" t="s" s="0">
        <v>2572</v>
      </c>
      <c r="AK82" t="s" s="0">
        <v>84</v>
      </c>
      <c r="AL82" t="s" s="0">
        <v>449</v>
      </c>
      <c r="AM82" t="s" s="0">
        <v>2573</v>
      </c>
      <c r="AN82" t="s" s="0">
        <v>2574</v>
      </c>
      <c r="AO82" t="s" s="0">
        <v>2575</v>
      </c>
      <c r="AP82" t="s" s="0">
        <v>2576</v>
      </c>
      <c r="AQ82" t="s" s="0">
        <v>379</v>
      </c>
      <c r="AR82" t="s" s="0">
        <v>380</v>
      </c>
      <c r="AS82" t="s" s="0">
        <v>381</v>
      </c>
      <c r="AT82" t="s" s="0">
        <v>84</v>
      </c>
      <c r="AU82" t="s" s="0">
        <v>2577</v>
      </c>
      <c r="AV82" t="s" s="0">
        <v>84</v>
      </c>
      <c r="AW82" t="s" s="0">
        <v>2578</v>
      </c>
      <c r="AX82" t="s" s="0">
        <v>2579</v>
      </c>
      <c r="AY82" t="s" s="0">
        <v>674</v>
      </c>
      <c r="AZ82" t="s" s="0">
        <v>159</v>
      </c>
      <c r="BA82" t="s" s="0">
        <v>121</v>
      </c>
      <c r="BB82" t="s" s="0">
        <v>787</v>
      </c>
      <c r="BC82" t="s" s="0">
        <v>84</v>
      </c>
      <c r="BD82" t="s" s="0">
        <v>84</v>
      </c>
      <c r="BE82" t="s" s="0">
        <v>84</v>
      </c>
      <c r="BF82" t="s" s="0">
        <v>84</v>
      </c>
      <c r="BG82" t="s" s="0">
        <v>84</v>
      </c>
      <c r="BH82" t="s" s="0">
        <v>84</v>
      </c>
      <c r="BI82" t="s" s="0">
        <v>2580</v>
      </c>
      <c r="BJ82" t="s" s="0">
        <v>2581</v>
      </c>
      <c r="BK82" t="s" s="161">
        <f>HYPERLINK("http://dx.doi.org/10.3390/su13031224","http://dx.doi.org/10.3390/su13031224")</f>
        <v>2582</v>
      </c>
      <c r="BL82" t="s" s="0">
        <v>84</v>
      </c>
      <c r="BM82" t="s" s="0">
        <v>84</v>
      </c>
      <c r="BN82" t="s" s="0">
        <v>236</v>
      </c>
      <c r="BO82" t="s" s="0">
        <v>2583</v>
      </c>
      <c r="BP82" t="s" s="0">
        <v>2584</v>
      </c>
      <c r="BQ82" t="s" s="0">
        <v>2585</v>
      </c>
      <c r="BR82" t="s" s="0">
        <v>84</v>
      </c>
      <c r="BS82" t="s" s="0">
        <v>2586</v>
      </c>
      <c r="BT82" t="s" s="162">
        <f>HYPERLINK("https://www.webofscience.com/wos/woscc/full-record/WOS:000615617000001","View Record in Web of Science")</f>
        <v>127</v>
      </c>
      <c r="BU82" t="s" s="0">
        <v>170</v>
      </c>
      <c r="BV82" t="s" s="0">
        <v>128</v>
      </c>
      <c r="BW82" t="s" s="0">
        <v>129</v>
      </c>
      <c r="BX82" t="s" s="0">
        <v>130</v>
      </c>
    </row>
    <row r="83">
      <c r="A83" t="s" s="0">
        <v>280</v>
      </c>
      <c r="B83" t="s" s="0">
        <v>78</v>
      </c>
      <c r="C83" t="s" s="0">
        <v>2587</v>
      </c>
      <c r="D83" t="s" s="0">
        <v>116</v>
      </c>
      <c r="E83" t="s" s="0">
        <v>2588</v>
      </c>
      <c r="F83" t="s" s="0">
        <v>84</v>
      </c>
      <c r="G83" t="s" s="0">
        <v>2589</v>
      </c>
      <c r="H83" t="s" s="0">
        <v>84</v>
      </c>
      <c r="I83" t="s" s="0">
        <v>251</v>
      </c>
      <c r="J83" t="s" s="0">
        <v>2590</v>
      </c>
      <c r="K83" t="s" s="0">
        <v>2591</v>
      </c>
      <c r="L83" t="s" s="0">
        <v>2592</v>
      </c>
      <c r="M83" t="s" s="0">
        <v>2593</v>
      </c>
      <c r="N83" t="s" s="0">
        <v>2594</v>
      </c>
      <c r="O83" t="s" s="0">
        <v>2595</v>
      </c>
      <c r="P83" t="s" s="0">
        <v>2596</v>
      </c>
      <c r="Q83" t="s" s="0">
        <v>93</v>
      </c>
      <c r="R83" t="s" s="0">
        <v>84</v>
      </c>
      <c r="S83" t="s" s="0">
        <v>84</v>
      </c>
      <c r="T83" t="s" s="0">
        <v>84</v>
      </c>
      <c r="U83" t="s" s="0">
        <v>84</v>
      </c>
      <c r="V83" t="s" s="0">
        <v>2597</v>
      </c>
      <c r="W83" t="s" s="0">
        <v>2598</v>
      </c>
      <c r="X83" t="s" s="0">
        <v>84</v>
      </c>
      <c r="Y83" t="s" s="0">
        <v>84</v>
      </c>
      <c r="Z83" t="s" s="0">
        <v>96</v>
      </c>
      <c r="AA83" t="s" s="0">
        <v>97</v>
      </c>
      <c r="AB83" t="s" s="0">
        <v>84</v>
      </c>
      <c r="AC83" t="s" s="0">
        <v>84</v>
      </c>
      <c r="AD83" t="s" s="0">
        <v>84</v>
      </c>
      <c r="AE83" t="s" s="0">
        <v>84</v>
      </c>
      <c r="AF83" t="s" s="0">
        <v>84</v>
      </c>
      <c r="AG83" t="s" s="0">
        <v>84</v>
      </c>
      <c r="AH83" t="s" s="0">
        <v>2599</v>
      </c>
      <c r="AI83" t="s" s="0">
        <v>2600</v>
      </c>
      <c r="AJ83" t="s" s="0">
        <v>2601</v>
      </c>
      <c r="AK83" t="s" s="0">
        <v>84</v>
      </c>
      <c r="AL83" t="s" s="0">
        <v>161</v>
      </c>
      <c r="AM83" t="s" s="0">
        <v>2602</v>
      </c>
      <c r="AN83" t="s" s="0">
        <v>2149</v>
      </c>
      <c r="AO83" t="s" s="0">
        <v>202</v>
      </c>
      <c r="AP83" t="s" s="0">
        <v>2603</v>
      </c>
      <c r="AQ83" t="s" s="0">
        <v>344</v>
      </c>
      <c r="AR83" t="s" s="0">
        <v>153</v>
      </c>
      <c r="AS83" t="s" s="0">
        <v>345</v>
      </c>
      <c r="AT83" t="s" s="0">
        <v>2604</v>
      </c>
      <c r="AU83" t="s" s="0">
        <v>2605</v>
      </c>
      <c r="AV83" t="s" s="0">
        <v>84</v>
      </c>
      <c r="AW83" t="s" s="0">
        <v>2606</v>
      </c>
      <c r="AX83" t="s" s="0">
        <v>2607</v>
      </c>
      <c r="AY83" t="s" s="0">
        <v>2608</v>
      </c>
      <c r="AZ83" t="s" s="0">
        <v>114</v>
      </c>
      <c r="BA83" t="s" s="0">
        <v>322</v>
      </c>
      <c r="BB83" t="s" s="0">
        <v>787</v>
      </c>
      <c r="BC83" t="s" s="0">
        <v>84</v>
      </c>
      <c r="BD83" t="s" s="0">
        <v>84</v>
      </c>
      <c r="BE83" t="s" s="0">
        <v>84</v>
      </c>
      <c r="BF83" t="s" s="0">
        <v>84</v>
      </c>
      <c r="BG83" t="s" s="0">
        <v>2609</v>
      </c>
      <c r="BH83" t="s" s="0">
        <v>2610</v>
      </c>
      <c r="BI83" t="s" s="0">
        <v>84</v>
      </c>
      <c r="BJ83" t="s" s="0">
        <v>2611</v>
      </c>
      <c r="BK83" t="s" s="163">
        <f>HYPERLINK("http://dx.doi.org/10.1136/bmjqs-2018-008370","http://dx.doi.org/10.1136/bmjqs-2018-008370")</f>
        <v>2612</v>
      </c>
      <c r="BL83" t="s" s="0">
        <v>84</v>
      </c>
      <c r="BM83" t="s" s="0">
        <v>84</v>
      </c>
      <c r="BN83" t="s" s="0">
        <v>342</v>
      </c>
      <c r="BO83" t="s" s="0">
        <v>605</v>
      </c>
      <c r="BP83" t="s" s="0">
        <v>606</v>
      </c>
      <c r="BQ83" t="s" s="0">
        <v>2613</v>
      </c>
      <c r="BR83" t="s" s="0">
        <v>2614</v>
      </c>
      <c r="BS83" t="s" s="0">
        <v>2615</v>
      </c>
      <c r="BT83" t="s" s="164">
        <f>HYPERLINK("https://www.webofscience.com/wos/woscc/full-record/WOS:000471848700010","View Record in Web of Science")</f>
        <v>127</v>
      </c>
      <c r="BU83" t="s" s="0">
        <v>432</v>
      </c>
      <c r="BV83" t="s" s="0">
        <v>128</v>
      </c>
      <c r="BW83" t="s" s="0">
        <v>129</v>
      </c>
      <c r="BX83" t="s" s="0">
        <v>130</v>
      </c>
    </row>
    <row r="84">
      <c r="A84" t="s" s="0">
        <v>121</v>
      </c>
      <c r="B84" t="s" s="0">
        <v>78</v>
      </c>
      <c r="C84" t="s" s="0">
        <v>2610</v>
      </c>
      <c r="D84" t="s" s="0">
        <v>787</v>
      </c>
      <c r="E84" t="s" s="0">
        <v>2616</v>
      </c>
      <c r="F84" t="s" s="0">
        <v>2617</v>
      </c>
      <c r="G84" t="s" s="0">
        <v>2618</v>
      </c>
      <c r="H84" t="s" s="0">
        <v>84</v>
      </c>
      <c r="I84" t="s" s="0">
        <v>85</v>
      </c>
      <c r="J84" t="s" s="0">
        <v>2619</v>
      </c>
      <c r="K84" t="s" s="0">
        <v>2620</v>
      </c>
      <c r="L84" t="s" s="0">
        <v>84</v>
      </c>
      <c r="M84" t="s" s="0">
        <v>84</v>
      </c>
      <c r="N84" t="s" s="0">
        <v>84</v>
      </c>
      <c r="O84" t="s" s="0">
        <v>2621</v>
      </c>
      <c r="P84" t="s" s="0">
        <v>2622</v>
      </c>
      <c r="Q84" t="s" s="0">
        <v>93</v>
      </c>
      <c r="R84" t="s" s="0">
        <v>84</v>
      </c>
      <c r="S84" t="s" s="0">
        <v>84</v>
      </c>
      <c r="T84" t="s" s="0">
        <v>84</v>
      </c>
      <c r="U84" t="s" s="0">
        <v>84</v>
      </c>
      <c r="V84" t="s" s="0">
        <v>2623</v>
      </c>
      <c r="W84" t="s" s="0">
        <v>2624</v>
      </c>
      <c r="X84" t="s" s="0">
        <v>84</v>
      </c>
      <c r="Y84" t="s" s="0">
        <v>84</v>
      </c>
      <c r="Z84" t="s" s="0">
        <v>96</v>
      </c>
      <c r="AA84" t="s" s="0">
        <v>97</v>
      </c>
      <c r="AB84" t="s" s="0">
        <v>84</v>
      </c>
      <c r="AC84" t="s" s="0">
        <v>84</v>
      </c>
      <c r="AD84" t="s" s="0">
        <v>84</v>
      </c>
      <c r="AE84" t="s" s="0">
        <v>84</v>
      </c>
      <c r="AF84" t="s" s="0">
        <v>84</v>
      </c>
      <c r="AG84" t="s" s="0">
        <v>2625</v>
      </c>
      <c r="AH84" t="s" s="0">
        <v>2626</v>
      </c>
      <c r="AI84" t="s" s="0">
        <v>2627</v>
      </c>
      <c r="AJ84" t="s" s="0">
        <v>2628</v>
      </c>
      <c r="AK84" t="s" s="0">
        <v>84</v>
      </c>
      <c r="AL84" t="s" s="0">
        <v>2629</v>
      </c>
      <c r="AM84" t="s" s="0">
        <v>2630</v>
      </c>
      <c r="AN84" t="s" s="0">
        <v>1928</v>
      </c>
      <c r="AO84" t="s" s="0">
        <v>236</v>
      </c>
      <c r="AP84" t="s" s="0">
        <v>1551</v>
      </c>
      <c r="AQ84" t="s" s="0">
        <v>379</v>
      </c>
      <c r="AR84" t="s" s="0">
        <v>380</v>
      </c>
      <c r="AS84" t="s" s="0">
        <v>381</v>
      </c>
      <c r="AT84" t="s" s="0">
        <v>84</v>
      </c>
      <c r="AU84" t="s" s="0">
        <v>2631</v>
      </c>
      <c r="AV84" t="s" s="0">
        <v>84</v>
      </c>
      <c r="AW84" t="s" s="0">
        <v>2624</v>
      </c>
      <c r="AX84" t="s" s="0">
        <v>2632</v>
      </c>
      <c r="AY84" t="s" s="0">
        <v>241</v>
      </c>
      <c r="AZ84" t="s" s="0">
        <v>235</v>
      </c>
      <c r="BA84" t="s" s="0">
        <v>133</v>
      </c>
      <c r="BB84" t="s" s="0">
        <v>342</v>
      </c>
      <c r="BC84" t="s" s="0">
        <v>84</v>
      </c>
      <c r="BD84" t="s" s="0">
        <v>84</v>
      </c>
      <c r="BE84" t="s" s="0">
        <v>84</v>
      </c>
      <c r="BF84" t="s" s="0">
        <v>84</v>
      </c>
      <c r="BG84" t="s" s="0">
        <v>84</v>
      </c>
      <c r="BH84" t="s" s="0">
        <v>84</v>
      </c>
      <c r="BI84" t="s" s="0">
        <v>2633</v>
      </c>
      <c r="BJ84" t="s" s="0">
        <v>2634</v>
      </c>
      <c r="BK84" t="s" s="165">
        <f>HYPERLINK("http://dx.doi.org/10.3390/pharmaceutics15071916","http://dx.doi.org/10.3390/pharmaceutics15071916")</f>
        <v>2635</v>
      </c>
      <c r="BL84" t="s" s="0">
        <v>84</v>
      </c>
      <c r="BM84" t="s" s="0">
        <v>84</v>
      </c>
      <c r="BN84" t="s" s="0">
        <v>1942</v>
      </c>
      <c r="BO84" t="s" s="0">
        <v>1272</v>
      </c>
      <c r="BP84" t="s" s="0">
        <v>1272</v>
      </c>
      <c r="BQ84" t="s" s="0">
        <v>2636</v>
      </c>
      <c r="BR84" t="s" s="0">
        <v>2637</v>
      </c>
      <c r="BS84" t="s" s="0">
        <v>2638</v>
      </c>
      <c r="BT84" t="s" s="166">
        <f>HYPERLINK("https://www.webofscience.com/wos/woscc/full-record/WOS:001036563700001","View Record in Web of Science")</f>
        <v>127</v>
      </c>
      <c r="BU84" t="s" s="0">
        <v>2639</v>
      </c>
      <c r="BV84" t="s" s="0">
        <v>128</v>
      </c>
      <c r="BW84" t="s" s="0">
        <v>129</v>
      </c>
      <c r="BX84" t="s" s="0">
        <v>130</v>
      </c>
    </row>
    <row r="85">
      <c r="A85" t="s" s="0">
        <v>242</v>
      </c>
      <c r="B85" t="s" s="0">
        <v>78</v>
      </c>
      <c r="C85" t="s" s="0">
        <v>339</v>
      </c>
      <c r="D85" t="s" s="0">
        <v>459</v>
      </c>
      <c r="E85" t="s" s="0">
        <v>2640</v>
      </c>
      <c r="F85" t="s" s="0">
        <v>2641</v>
      </c>
      <c r="G85" t="s" s="0">
        <v>2642</v>
      </c>
      <c r="H85" t="s" s="0">
        <v>84</v>
      </c>
      <c r="I85" t="s" s="0">
        <v>251</v>
      </c>
      <c r="J85" t="s" s="0">
        <v>2643</v>
      </c>
      <c r="K85" t="s" s="0">
        <v>2644</v>
      </c>
      <c r="L85" t="s" s="0">
        <v>2645</v>
      </c>
      <c r="M85" t="s" s="0">
        <v>2646</v>
      </c>
      <c r="N85" t="s" s="0">
        <v>2647</v>
      </c>
      <c r="O85" t="s" s="0">
        <v>2648</v>
      </c>
      <c r="P85" t="s" s="0">
        <v>2649</v>
      </c>
      <c r="Q85" t="s" s="0">
        <v>93</v>
      </c>
      <c r="R85" t="s" s="0">
        <v>84</v>
      </c>
      <c r="S85" t="s" s="0">
        <v>84</v>
      </c>
      <c r="T85" t="s" s="0">
        <v>84</v>
      </c>
      <c r="U85" t="s" s="0">
        <v>84</v>
      </c>
      <c r="V85" t="s" s="0">
        <v>2650</v>
      </c>
      <c r="W85" t="s" s="0">
        <v>2651</v>
      </c>
      <c r="X85" t="s" s="0">
        <v>84</v>
      </c>
      <c r="Y85" t="s" s="0">
        <v>84</v>
      </c>
      <c r="Z85" t="s" s="0">
        <v>96</v>
      </c>
      <c r="AA85" t="s" s="0">
        <v>97</v>
      </c>
      <c r="AB85" t="s" s="0">
        <v>84</v>
      </c>
      <c r="AC85" t="s" s="0">
        <v>84</v>
      </c>
      <c r="AD85" t="s" s="0">
        <v>84</v>
      </c>
      <c r="AE85" t="s" s="0">
        <v>84</v>
      </c>
      <c r="AF85" t="s" s="0">
        <v>84</v>
      </c>
      <c r="AG85" t="s" s="0">
        <v>2652</v>
      </c>
      <c r="AH85" t="s" s="0">
        <v>2653</v>
      </c>
      <c r="AI85" t="s" s="0">
        <v>2654</v>
      </c>
      <c r="AJ85" t="s" s="0">
        <v>2655</v>
      </c>
      <c r="AK85" t="s" s="0">
        <v>84</v>
      </c>
      <c r="AL85" t="s" s="0">
        <v>1768</v>
      </c>
      <c r="AM85" t="s" s="0">
        <v>2656</v>
      </c>
      <c r="AN85" t="s" s="0">
        <v>2657</v>
      </c>
      <c r="AO85" t="s" s="0">
        <v>207</v>
      </c>
      <c r="AP85" t="s" s="0">
        <v>2658</v>
      </c>
      <c r="AQ85" t="s" s="0">
        <v>2062</v>
      </c>
      <c r="AR85" t="s" s="0">
        <v>633</v>
      </c>
      <c r="AS85" t="s" s="0">
        <v>2063</v>
      </c>
      <c r="AT85" t="s" s="0">
        <v>2659</v>
      </c>
      <c r="AU85" t="s" s="0">
        <v>2660</v>
      </c>
      <c r="AV85" t="s" s="0">
        <v>84</v>
      </c>
      <c r="AW85" t="s" s="0">
        <v>2661</v>
      </c>
      <c r="AX85" t="s" s="0">
        <v>2662</v>
      </c>
      <c r="AY85" t="s" s="0">
        <v>2663</v>
      </c>
      <c r="AZ85" t="s" s="0">
        <v>351</v>
      </c>
      <c r="BA85" t="s" s="0">
        <v>2664</v>
      </c>
      <c r="BB85" t="s" s="0">
        <v>84</v>
      </c>
      <c r="BC85" t="s" s="0">
        <v>84</v>
      </c>
      <c r="BD85" t="s" s="0">
        <v>84</v>
      </c>
      <c r="BE85" t="s" s="0">
        <v>84</v>
      </c>
      <c r="BF85" t="s" s="0">
        <v>84</v>
      </c>
      <c r="BG85" t="s" s="0">
        <v>84</v>
      </c>
      <c r="BH85" t="s" s="0">
        <v>84</v>
      </c>
      <c r="BI85" t="s" s="0">
        <v>2665</v>
      </c>
      <c r="BJ85" t="s" s="0">
        <v>2666</v>
      </c>
      <c r="BK85" t="s" s="167">
        <f>HYPERLINK("http://dx.doi.org/10.1016/j.socscimed.2020.113172","http://dx.doi.org/10.1016/j.socscimed.2020.113172")</f>
        <v>2667</v>
      </c>
      <c r="BL85" t="s" s="0">
        <v>84</v>
      </c>
      <c r="BM85" t="s" s="0">
        <v>84</v>
      </c>
      <c r="BN85" t="s" s="0">
        <v>275</v>
      </c>
      <c r="BO85" t="s" s="0">
        <v>2668</v>
      </c>
      <c r="BP85" t="s" s="0">
        <v>2669</v>
      </c>
      <c r="BQ85" t="s" s="0">
        <v>2670</v>
      </c>
      <c r="BR85" t="s" s="0">
        <v>2671</v>
      </c>
      <c r="BS85" t="s" s="0">
        <v>2672</v>
      </c>
      <c r="BT85" t="s" s="168">
        <f>HYPERLINK("https://www.webofscience.com/wos/woscc/full-record/WOS:000564624400022","View Record in Web of Science")</f>
        <v>127</v>
      </c>
      <c r="BU85" t="s" s="0">
        <v>84</v>
      </c>
      <c r="BV85" t="s" s="0">
        <v>128</v>
      </c>
      <c r="BW85" t="s" s="0">
        <v>129</v>
      </c>
      <c r="BX85" t="s" s="0">
        <v>130</v>
      </c>
    </row>
    <row r="86">
      <c r="A86" t="s" s="0">
        <v>604</v>
      </c>
      <c r="B86" t="s" s="0">
        <v>78</v>
      </c>
      <c r="C86" t="s" s="0">
        <v>2673</v>
      </c>
      <c r="D86" t="s" s="0">
        <v>396</v>
      </c>
      <c r="E86" t="s" s="0">
        <v>2674</v>
      </c>
      <c r="F86" t="s" s="0">
        <v>2675</v>
      </c>
      <c r="G86" t="s" s="0">
        <v>2676</v>
      </c>
      <c r="H86" t="s" s="0">
        <v>84</v>
      </c>
      <c r="I86" t="s" s="0">
        <v>85</v>
      </c>
      <c r="J86" t="s" s="0">
        <v>2677</v>
      </c>
      <c r="K86" t="s" s="0">
        <v>2678</v>
      </c>
      <c r="L86" t="s" s="0">
        <v>84</v>
      </c>
      <c r="M86" t="s" s="0">
        <v>84</v>
      </c>
      <c r="N86" t="s" s="0">
        <v>84</v>
      </c>
      <c r="O86" t="s" s="0">
        <v>2679</v>
      </c>
      <c r="P86" t="s" s="0">
        <v>2680</v>
      </c>
      <c r="Q86" t="s" s="0">
        <v>93</v>
      </c>
      <c r="R86" t="s" s="0">
        <v>84</v>
      </c>
      <c r="S86" t="s" s="0">
        <v>84</v>
      </c>
      <c r="T86" t="s" s="0">
        <v>84</v>
      </c>
      <c r="U86" t="s" s="0">
        <v>84</v>
      </c>
      <c r="V86" t="s" s="0">
        <v>2681</v>
      </c>
      <c r="W86" t="s" s="0">
        <v>445</v>
      </c>
      <c r="X86" t="s" s="0">
        <v>84</v>
      </c>
      <c r="Y86" t="s" s="0">
        <v>84</v>
      </c>
      <c r="Z86" t="s" s="0">
        <v>96</v>
      </c>
      <c r="AA86" t="s" s="0">
        <v>97</v>
      </c>
      <c r="AB86" t="s" s="0">
        <v>84</v>
      </c>
      <c r="AC86" t="s" s="0">
        <v>84</v>
      </c>
      <c r="AD86" t="s" s="0">
        <v>84</v>
      </c>
      <c r="AE86" t="s" s="0">
        <v>84</v>
      </c>
      <c r="AF86" t="s" s="0">
        <v>84</v>
      </c>
      <c r="AG86" t="s" s="0">
        <v>84</v>
      </c>
      <c r="AH86" t="s" s="0">
        <v>2682</v>
      </c>
      <c r="AI86" t="s" s="0">
        <v>2683</v>
      </c>
      <c r="AJ86" t="s" s="0">
        <v>2684</v>
      </c>
      <c r="AK86" t="s" s="0">
        <v>84</v>
      </c>
      <c r="AL86" t="s" s="0">
        <v>2685</v>
      </c>
      <c r="AM86" t="s" s="0">
        <v>2656</v>
      </c>
      <c r="AN86" t="s" s="0">
        <v>247</v>
      </c>
      <c r="AO86" t="s" s="0">
        <v>468</v>
      </c>
      <c r="AP86" t="s" s="0">
        <v>2686</v>
      </c>
      <c r="AQ86" t="s" s="0">
        <v>106</v>
      </c>
      <c r="AR86" t="s" s="0">
        <v>107</v>
      </c>
      <c r="AS86" t="s" s="0">
        <v>108</v>
      </c>
      <c r="AT86" t="s" s="0">
        <v>454</v>
      </c>
      <c r="AU86" t="s" s="0">
        <v>455</v>
      </c>
      <c r="AV86" t="s" s="0">
        <v>84</v>
      </c>
      <c r="AW86" t="s" s="0">
        <v>456</v>
      </c>
      <c r="AX86" t="s" s="0">
        <v>457</v>
      </c>
      <c r="AY86" t="s" s="0">
        <v>2687</v>
      </c>
      <c r="AZ86" t="s" s="0">
        <v>351</v>
      </c>
      <c r="BA86" t="s" s="0">
        <v>207</v>
      </c>
      <c r="BB86" t="s" s="0">
        <v>214</v>
      </c>
      <c r="BC86" t="s" s="0">
        <v>84</v>
      </c>
      <c r="BD86" t="s" s="0">
        <v>84</v>
      </c>
      <c r="BE86" t="s" s="0">
        <v>84</v>
      </c>
      <c r="BF86" t="s" s="0">
        <v>84</v>
      </c>
      <c r="BG86" t="s" s="0">
        <v>1541</v>
      </c>
      <c r="BH86" t="s" s="0">
        <v>2688</v>
      </c>
      <c r="BI86" t="s" s="0">
        <v>84</v>
      </c>
      <c r="BJ86" t="s" s="0">
        <v>2689</v>
      </c>
      <c r="BK86" t="s" s="169">
        <f>HYPERLINK("http://dx.doi.org/10.1038/s41573-019-0050-3","http://dx.doi.org/10.1038/s41573-019-0050-3")</f>
        <v>2690</v>
      </c>
      <c r="BL86" t="s" s="0">
        <v>84</v>
      </c>
      <c r="BM86" t="s" s="0">
        <v>84</v>
      </c>
      <c r="BN86" t="s" s="0">
        <v>280</v>
      </c>
      <c r="BO86" t="s" s="0">
        <v>464</v>
      </c>
      <c r="BP86" t="s" s="0">
        <v>464</v>
      </c>
      <c r="BQ86" t="s" s="0">
        <v>2691</v>
      </c>
      <c r="BR86" t="s" s="0">
        <v>2692</v>
      </c>
      <c r="BS86" t="s" s="0">
        <v>2693</v>
      </c>
      <c r="BT86" t="s" s="170">
        <f>HYPERLINK("https://www.webofscience.com/wos/woscc/full-record/WOS:000533322800012","View Record in Web of Science")</f>
        <v>127</v>
      </c>
      <c r="BU86" t="s" s="0">
        <v>84</v>
      </c>
      <c r="BV86" t="s" s="0">
        <v>128</v>
      </c>
      <c r="BW86" t="s" s="0">
        <v>129</v>
      </c>
      <c r="BX86" t="s" s="0">
        <v>130</v>
      </c>
    </row>
    <row r="87">
      <c r="A87" t="s" s="0">
        <v>538</v>
      </c>
      <c r="B87" t="s" s="0">
        <v>78</v>
      </c>
      <c r="C87" t="s" s="0">
        <v>1653</v>
      </c>
      <c r="D87" t="s" s="0">
        <v>787</v>
      </c>
      <c r="E87" t="s" s="0">
        <v>2694</v>
      </c>
      <c r="F87" t="s" s="0">
        <v>2695</v>
      </c>
      <c r="G87" t="s" s="0">
        <v>2696</v>
      </c>
      <c r="H87" t="s" s="0">
        <v>84</v>
      </c>
      <c r="I87" t="s" s="0">
        <v>85</v>
      </c>
      <c r="J87" t="s" s="0">
        <v>2697</v>
      </c>
      <c r="K87" t="s" s="0">
        <v>2698</v>
      </c>
      <c r="L87" t="s" s="0">
        <v>84</v>
      </c>
      <c r="M87" t="s" s="0">
        <v>84</v>
      </c>
      <c r="N87" t="s" s="0">
        <v>84</v>
      </c>
      <c r="O87" t="s" s="0">
        <v>2699</v>
      </c>
      <c r="P87" t="s" s="0">
        <v>2700</v>
      </c>
      <c r="Q87" t="s" s="0">
        <v>93</v>
      </c>
      <c r="R87" t="s" s="0">
        <v>84</v>
      </c>
      <c r="S87" t="s" s="0">
        <v>84</v>
      </c>
      <c r="T87" t="s" s="0">
        <v>84</v>
      </c>
      <c r="U87" t="s" s="0">
        <v>84</v>
      </c>
      <c r="V87" t="s" s="0">
        <v>2701</v>
      </c>
      <c r="W87" t="s" s="0">
        <v>2702</v>
      </c>
      <c r="X87" t="s" s="0">
        <v>84</v>
      </c>
      <c r="Y87" t="s" s="0">
        <v>84</v>
      </c>
      <c r="Z87" t="s" s="0">
        <v>96</v>
      </c>
      <c r="AA87" t="s" s="0">
        <v>97</v>
      </c>
      <c r="AB87" t="s" s="0">
        <v>84</v>
      </c>
      <c r="AC87" t="s" s="0">
        <v>84</v>
      </c>
      <c r="AD87" t="s" s="0">
        <v>84</v>
      </c>
      <c r="AE87" t="s" s="0">
        <v>84</v>
      </c>
      <c r="AF87" t="s" s="0">
        <v>84</v>
      </c>
      <c r="AG87" t="s" s="0">
        <v>2703</v>
      </c>
      <c r="AH87" t="s" s="0">
        <v>2704</v>
      </c>
      <c r="AI87" t="s" s="0">
        <v>84</v>
      </c>
      <c r="AJ87" t="s" s="0">
        <v>84</v>
      </c>
      <c r="AK87" t="s" s="0">
        <v>84</v>
      </c>
      <c r="AL87" t="s" s="0">
        <v>1083</v>
      </c>
      <c r="AM87" t="s" s="0">
        <v>2705</v>
      </c>
      <c r="AN87" t="s" s="0">
        <v>2706</v>
      </c>
      <c r="AO87" t="s" s="0">
        <v>527</v>
      </c>
      <c r="AP87" t="s" s="0">
        <v>2707</v>
      </c>
      <c r="AQ87" t="s" s="0">
        <v>2708</v>
      </c>
      <c r="AR87" t="s" s="0">
        <v>704</v>
      </c>
      <c r="AS87" t="s" s="0">
        <v>2709</v>
      </c>
      <c r="AT87" t="s" s="0">
        <v>2710</v>
      </c>
      <c r="AU87" t="s" s="0">
        <v>2711</v>
      </c>
      <c r="AV87" t="s" s="0">
        <v>84</v>
      </c>
      <c r="AW87" t="s" s="0">
        <v>2712</v>
      </c>
      <c r="AX87" t="s" s="0">
        <v>2713</v>
      </c>
      <c r="AY87" t="s" s="0">
        <v>2714</v>
      </c>
      <c r="AZ87" t="s" s="0">
        <v>114</v>
      </c>
      <c r="BA87" t="s" s="0">
        <v>360</v>
      </c>
      <c r="BB87" t="s" s="0">
        <v>202</v>
      </c>
      <c r="BC87" t="s" s="0">
        <v>84</v>
      </c>
      <c r="BD87" t="s" s="0">
        <v>84</v>
      </c>
      <c r="BE87" t="s" s="0">
        <v>84</v>
      </c>
      <c r="BF87" t="s" s="0">
        <v>84</v>
      </c>
      <c r="BG87" t="s" s="0">
        <v>84</v>
      </c>
      <c r="BH87" t="s" s="0">
        <v>84</v>
      </c>
      <c r="BI87" t="s" s="0">
        <v>2715</v>
      </c>
      <c r="BJ87" t="s" s="0">
        <v>2716</v>
      </c>
      <c r="BK87" t="s" s="171">
        <f>HYPERLINK("http://dx.doi.org/10.1145/3343440","http://dx.doi.org/10.1145/3343440")</f>
        <v>2717</v>
      </c>
      <c r="BL87" t="s" s="0">
        <v>84</v>
      </c>
      <c r="BM87" t="s" s="0">
        <v>84</v>
      </c>
      <c r="BN87" t="s" s="0">
        <v>855</v>
      </c>
      <c r="BO87" t="s" s="0">
        <v>165</v>
      </c>
      <c r="BP87" t="s" s="0">
        <v>166</v>
      </c>
      <c r="BQ87" t="s" s="0">
        <v>2718</v>
      </c>
      <c r="BR87" t="s" s="0">
        <v>84</v>
      </c>
      <c r="BS87" t="s" s="0">
        <v>2719</v>
      </c>
      <c r="BT87" t="s" s="172">
        <f>HYPERLINK("https://www.webofscience.com/wos/woscc/full-record/WOS:000489551100015","View Record in Web of Science")</f>
        <v>127</v>
      </c>
      <c r="BU87" t="s" s="0">
        <v>84</v>
      </c>
      <c r="BV87" t="s" s="0">
        <v>128</v>
      </c>
      <c r="BW87" t="s" s="0">
        <v>129</v>
      </c>
      <c r="BX87" t="s" s="0">
        <v>130</v>
      </c>
    </row>
    <row r="88">
      <c r="A88" t="s" s="0">
        <v>459</v>
      </c>
      <c r="B88" t="s" s="0">
        <v>78</v>
      </c>
      <c r="C88" t="s" s="0">
        <v>2720</v>
      </c>
      <c r="D88" t="s" s="0">
        <v>459</v>
      </c>
      <c r="E88" t="s" s="0">
        <v>2721</v>
      </c>
      <c r="F88" t="s" s="0">
        <v>2722</v>
      </c>
      <c r="G88" t="s" s="0">
        <v>2723</v>
      </c>
      <c r="H88" t="s" s="0">
        <v>84</v>
      </c>
      <c r="I88" t="s" s="0">
        <v>85</v>
      </c>
      <c r="J88" t="s" s="0">
        <v>2724</v>
      </c>
      <c r="K88" t="s" s="0">
        <v>2725</v>
      </c>
      <c r="L88" t="s" s="0">
        <v>2726</v>
      </c>
      <c r="M88" t="s" s="0">
        <v>2727</v>
      </c>
      <c r="N88" t="s" s="0">
        <v>2728</v>
      </c>
      <c r="O88" t="s" s="0">
        <v>2729</v>
      </c>
      <c r="P88" t="s" s="0">
        <v>2730</v>
      </c>
      <c r="Q88" t="s" s="0">
        <v>93</v>
      </c>
      <c r="R88" t="s" s="0">
        <v>84</v>
      </c>
      <c r="S88" t="s" s="0">
        <v>84</v>
      </c>
      <c r="T88" t="s" s="0">
        <v>84</v>
      </c>
      <c r="U88" t="s" s="0">
        <v>84</v>
      </c>
      <c r="V88" t="s" s="0">
        <v>2731</v>
      </c>
      <c r="W88" t="s" s="0">
        <v>2732</v>
      </c>
      <c r="X88" t="s" s="0">
        <v>84</v>
      </c>
      <c r="Y88" t="s" s="0">
        <v>84</v>
      </c>
      <c r="Z88" t="s" s="0">
        <v>96</v>
      </c>
      <c r="AA88" t="s" s="0">
        <v>97</v>
      </c>
      <c r="AB88" t="s" s="0">
        <v>84</v>
      </c>
      <c r="AC88" t="s" s="0">
        <v>84</v>
      </c>
      <c r="AD88" t="s" s="0">
        <v>84</v>
      </c>
      <c r="AE88" t="s" s="0">
        <v>84</v>
      </c>
      <c r="AF88" t="s" s="0">
        <v>84</v>
      </c>
      <c r="AG88" t="s" s="0">
        <v>2733</v>
      </c>
      <c r="AH88" t="s" s="0">
        <v>2734</v>
      </c>
      <c r="AI88" t="s" s="0">
        <v>2735</v>
      </c>
      <c r="AJ88" t="s" s="0">
        <v>84</v>
      </c>
      <c r="AK88" t="s" s="0">
        <v>84</v>
      </c>
      <c r="AL88" t="s" s="0">
        <v>2736</v>
      </c>
      <c r="AM88" t="s" s="0">
        <v>2737</v>
      </c>
      <c r="AN88" t="s" s="0">
        <v>808</v>
      </c>
      <c r="AO88" t="s" s="0">
        <v>459</v>
      </c>
      <c r="AP88" t="s" s="0">
        <v>1796</v>
      </c>
      <c r="AQ88" t="s" s="0">
        <v>415</v>
      </c>
      <c r="AR88" t="s" s="0">
        <v>416</v>
      </c>
      <c r="AS88" t="s" s="0">
        <v>417</v>
      </c>
      <c r="AT88" t="s" s="0">
        <v>2738</v>
      </c>
      <c r="AU88" t="s" s="0">
        <v>2739</v>
      </c>
      <c r="AV88" t="s" s="0">
        <v>84</v>
      </c>
      <c r="AW88" t="s" s="0">
        <v>2740</v>
      </c>
      <c r="AX88" t="s" s="0">
        <v>2741</v>
      </c>
      <c r="AY88" t="s" s="0">
        <v>2280</v>
      </c>
      <c r="AZ88" t="s" s="0">
        <v>201</v>
      </c>
      <c r="BA88" t="s" s="0">
        <v>787</v>
      </c>
      <c r="BB88" t="s" s="0">
        <v>787</v>
      </c>
      <c r="BC88" t="s" s="0">
        <v>84</v>
      </c>
      <c r="BD88" t="s" s="0">
        <v>84</v>
      </c>
      <c r="BE88" t="s" s="0">
        <v>84</v>
      </c>
      <c r="BF88" t="s" s="0">
        <v>84</v>
      </c>
      <c r="BG88" t="s" s="0">
        <v>2742</v>
      </c>
      <c r="BH88" t="s" s="0">
        <v>942</v>
      </c>
      <c r="BI88" t="s" s="0">
        <v>84</v>
      </c>
      <c r="BJ88" t="s" s="0">
        <v>2743</v>
      </c>
      <c r="BK88" t="s" s="173">
        <f>HYPERLINK("http://dx.doi.org/10.1016/j.bpsc.2017.11.007","http://dx.doi.org/10.1016/j.bpsc.2017.11.007")</f>
        <v>2744</v>
      </c>
      <c r="BL88" t="s" s="0">
        <v>84</v>
      </c>
      <c r="BM88" t="s" s="0">
        <v>84</v>
      </c>
      <c r="BN88" t="s" s="0">
        <v>160</v>
      </c>
      <c r="BO88" t="s" s="0">
        <v>2745</v>
      </c>
      <c r="BP88" t="s" s="0">
        <v>2746</v>
      </c>
      <c r="BQ88" t="s" s="0">
        <v>2747</v>
      </c>
      <c r="BR88" t="s" s="0">
        <v>2748</v>
      </c>
      <c r="BS88" t="s" s="0">
        <v>2749</v>
      </c>
      <c r="BT88" t="s" s="174">
        <f>HYPERLINK("https://www.webofscience.com/wos/woscc/full-record/WOS:000494340900007","View Record in Web of Science")</f>
        <v>127</v>
      </c>
      <c r="BU88" t="s" s="0">
        <v>84</v>
      </c>
      <c r="BV88" t="s" s="0">
        <v>128</v>
      </c>
      <c r="BW88" t="s" s="0">
        <v>129</v>
      </c>
      <c r="BX88" t="s" s="0">
        <v>130</v>
      </c>
    </row>
    <row r="89">
      <c r="A89" t="s" s="0">
        <v>1130</v>
      </c>
      <c r="B89" t="s" s="0">
        <v>78</v>
      </c>
      <c r="C89" t="s" s="0">
        <v>1715</v>
      </c>
      <c r="D89" t="s" s="0">
        <v>78</v>
      </c>
      <c r="E89" t="s" s="0">
        <v>2750</v>
      </c>
      <c r="F89" t="s" s="0">
        <v>2751</v>
      </c>
      <c r="G89" t="s" s="0">
        <v>2752</v>
      </c>
      <c r="H89" t="s" s="0">
        <v>84</v>
      </c>
      <c r="I89" t="s" s="0">
        <v>85</v>
      </c>
      <c r="J89" t="s" s="0">
        <v>2753</v>
      </c>
      <c r="K89" t="s" s="0">
        <v>2754</v>
      </c>
      <c r="L89" t="s" s="0">
        <v>2755</v>
      </c>
      <c r="M89" t="s" s="0">
        <v>2755</v>
      </c>
      <c r="N89" t="s" s="0">
        <v>2756</v>
      </c>
      <c r="O89" t="s" s="0">
        <v>2757</v>
      </c>
      <c r="P89" t="s" s="0">
        <v>2758</v>
      </c>
      <c r="Q89" t="s" s="0">
        <v>93</v>
      </c>
      <c r="R89" t="s" s="0">
        <v>84</v>
      </c>
      <c r="S89" t="s" s="0">
        <v>84</v>
      </c>
      <c r="T89" t="s" s="0">
        <v>84</v>
      </c>
      <c r="U89" t="s" s="0">
        <v>84</v>
      </c>
      <c r="V89" t="s" s="0">
        <v>2759</v>
      </c>
      <c r="W89" t="s" s="0">
        <v>2760</v>
      </c>
      <c r="X89" t="s" s="0">
        <v>84</v>
      </c>
      <c r="Y89" t="s" s="0">
        <v>84</v>
      </c>
      <c r="Z89" t="s" s="0">
        <v>96</v>
      </c>
      <c r="AA89" t="s" s="0">
        <v>97</v>
      </c>
      <c r="AB89" t="s" s="0">
        <v>84</v>
      </c>
      <c r="AC89" t="s" s="0">
        <v>84</v>
      </c>
      <c r="AD89" t="s" s="0">
        <v>84</v>
      </c>
      <c r="AE89" t="s" s="0">
        <v>84</v>
      </c>
      <c r="AF89" t="s" s="0">
        <v>84</v>
      </c>
      <c r="AG89" t="s" s="0">
        <v>2761</v>
      </c>
      <c r="AH89" t="s" s="0">
        <v>2762</v>
      </c>
      <c r="AI89" t="s" s="0">
        <v>2763</v>
      </c>
      <c r="AJ89" t="s" s="0">
        <v>2764</v>
      </c>
      <c r="AK89" t="s" s="0">
        <v>84</v>
      </c>
      <c r="AL89" t="s" s="0">
        <v>2765</v>
      </c>
      <c r="AM89" t="s" s="0">
        <v>2766</v>
      </c>
      <c r="AN89" t="s" s="0">
        <v>2767</v>
      </c>
      <c r="AO89" t="s" s="0">
        <v>202</v>
      </c>
      <c r="AP89" t="s" s="0">
        <v>2768</v>
      </c>
      <c r="AQ89" t="s" s="0">
        <v>2062</v>
      </c>
      <c r="AR89" t="s" s="0">
        <v>633</v>
      </c>
      <c r="AS89" t="s" s="0">
        <v>2063</v>
      </c>
      <c r="AT89" t="s" s="0">
        <v>2769</v>
      </c>
      <c r="AU89" t="s" s="0">
        <v>2770</v>
      </c>
      <c r="AV89" t="s" s="0">
        <v>84</v>
      </c>
      <c r="AW89" t="s" s="0">
        <v>2771</v>
      </c>
      <c r="AX89" t="s" s="0">
        <v>2772</v>
      </c>
      <c r="AY89" t="s" s="0">
        <v>639</v>
      </c>
      <c r="AZ89" t="s" s="0">
        <v>201</v>
      </c>
      <c r="BA89" t="s" s="0">
        <v>668</v>
      </c>
      <c r="BB89" t="s" s="0">
        <v>84</v>
      </c>
      <c r="BC89" t="s" s="0">
        <v>84</v>
      </c>
      <c r="BD89" t="s" s="0">
        <v>84</v>
      </c>
      <c r="BE89" t="s" s="0">
        <v>84</v>
      </c>
      <c r="BF89" t="s" s="0">
        <v>84</v>
      </c>
      <c r="BG89" t="s" s="0">
        <v>116</v>
      </c>
      <c r="BH89" t="s" s="0">
        <v>236</v>
      </c>
      <c r="BI89" t="s" s="0">
        <v>84</v>
      </c>
      <c r="BJ89" t="s" s="0">
        <v>2773</v>
      </c>
      <c r="BK89" t="s" s="175">
        <f>HYPERLINK("http://dx.doi.org/10.1016/j.preteyeres.2018.07.004","http://dx.doi.org/10.1016/j.preteyeres.2018.07.004")</f>
        <v>2774</v>
      </c>
      <c r="BL89" t="s" s="0">
        <v>84</v>
      </c>
      <c r="BM89" t="s" s="0">
        <v>84</v>
      </c>
      <c r="BN89" t="s" s="0">
        <v>236</v>
      </c>
      <c r="BO89" t="s" s="0">
        <v>1209</v>
      </c>
      <c r="BP89" t="s" s="0">
        <v>1209</v>
      </c>
      <c r="BQ89" t="s" s="0">
        <v>2775</v>
      </c>
      <c r="BR89" t="s" s="0">
        <v>2776</v>
      </c>
      <c r="BS89" t="s" s="0">
        <v>2777</v>
      </c>
      <c r="BT89" t="s" s="176">
        <f>HYPERLINK("https://www.webofscience.com/wos/woscc/full-record/WOS:000452579500001","View Record in Web of Science")</f>
        <v>127</v>
      </c>
      <c r="BU89" t="s" s="0">
        <v>1851</v>
      </c>
      <c r="BV89" t="s" s="0">
        <v>128</v>
      </c>
      <c r="BW89" t="s" s="0">
        <v>129</v>
      </c>
      <c r="BX89" t="s" s="0">
        <v>130</v>
      </c>
    </row>
    <row r="90">
      <c r="A90" t="s" s="0">
        <v>1130</v>
      </c>
      <c r="B90" t="s" s="0">
        <v>78</v>
      </c>
      <c r="C90" t="s" s="0">
        <v>303</v>
      </c>
      <c r="D90" t="s" s="0">
        <v>202</v>
      </c>
      <c r="E90" t="s" s="0">
        <v>2778</v>
      </c>
      <c r="F90" t="s" s="0">
        <v>2779</v>
      </c>
      <c r="G90" t="s" s="0">
        <v>2780</v>
      </c>
      <c r="H90" t="s" s="0">
        <v>84</v>
      </c>
      <c r="I90" t="s" s="0">
        <v>85</v>
      </c>
      <c r="J90" t="s" s="0">
        <v>2781</v>
      </c>
      <c r="K90" t="s" s="0">
        <v>2782</v>
      </c>
      <c r="L90" t="s" s="0">
        <v>2783</v>
      </c>
      <c r="M90" t="s" s="0">
        <v>2784</v>
      </c>
      <c r="N90" t="s" s="0">
        <v>84</v>
      </c>
      <c r="O90" t="s" s="0">
        <v>2785</v>
      </c>
      <c r="P90" t="s" s="0">
        <v>2786</v>
      </c>
      <c r="Q90" t="s" s="0">
        <v>93</v>
      </c>
      <c r="R90" t="s" s="0">
        <v>84</v>
      </c>
      <c r="S90" t="s" s="0">
        <v>84</v>
      </c>
      <c r="T90" t="s" s="0">
        <v>84</v>
      </c>
      <c r="U90" t="s" s="0">
        <v>84</v>
      </c>
      <c r="V90" t="s" s="0">
        <v>2787</v>
      </c>
      <c r="W90" t="s" s="0">
        <v>2089</v>
      </c>
      <c r="X90" t="s" s="0">
        <v>84</v>
      </c>
      <c r="Y90" t="s" s="0">
        <v>84</v>
      </c>
      <c r="Z90" t="s" s="0">
        <v>96</v>
      </c>
      <c r="AA90" t="s" s="0">
        <v>97</v>
      </c>
      <c r="AB90" t="s" s="0">
        <v>84</v>
      </c>
      <c r="AC90" t="s" s="0">
        <v>84</v>
      </c>
      <c r="AD90" t="s" s="0">
        <v>84</v>
      </c>
      <c r="AE90" t="s" s="0">
        <v>84</v>
      </c>
      <c r="AF90" t="s" s="0">
        <v>84</v>
      </c>
      <c r="AG90" t="s" s="0">
        <v>84</v>
      </c>
      <c r="AH90" t="s" s="0">
        <v>2788</v>
      </c>
      <c r="AI90" t="s" s="0">
        <v>2789</v>
      </c>
      <c r="AJ90" t="s" s="0">
        <v>84</v>
      </c>
      <c r="AK90" t="s" s="0">
        <v>84</v>
      </c>
      <c r="AL90" t="s" s="0">
        <v>592</v>
      </c>
      <c r="AM90" t="s" s="0">
        <v>2790</v>
      </c>
      <c r="AN90" t="s" s="0">
        <v>2027</v>
      </c>
      <c r="AO90" t="s" s="0">
        <v>214</v>
      </c>
      <c r="AP90" t="s" s="0">
        <v>2026</v>
      </c>
      <c r="AQ90" t="s" s="0">
        <v>2094</v>
      </c>
      <c r="AR90" t="s" s="0">
        <v>2095</v>
      </c>
      <c r="AS90" t="s" s="0">
        <v>2096</v>
      </c>
      <c r="AT90" t="s" s="0">
        <v>2097</v>
      </c>
      <c r="AU90" t="s" s="0">
        <v>2279</v>
      </c>
      <c r="AV90" t="s" s="0">
        <v>84</v>
      </c>
      <c r="AW90" t="s" s="0">
        <v>2089</v>
      </c>
      <c r="AX90" t="s" s="0">
        <v>2098</v>
      </c>
      <c r="AY90" t="s" s="0">
        <v>200</v>
      </c>
      <c r="AZ90" t="s" s="0">
        <v>201</v>
      </c>
      <c r="BA90" t="s" s="0">
        <v>2791</v>
      </c>
      <c r="BB90" t="s" s="0">
        <v>396</v>
      </c>
      <c r="BC90" t="s" s="0">
        <v>84</v>
      </c>
      <c r="BD90" t="s" s="0">
        <v>84</v>
      </c>
      <c r="BE90" t="s" s="0">
        <v>84</v>
      </c>
      <c r="BF90" t="s" s="0">
        <v>84</v>
      </c>
      <c r="BG90" t="s" s="0">
        <v>2792</v>
      </c>
      <c r="BH90" t="s" s="0">
        <v>2793</v>
      </c>
      <c r="BI90" t="s" s="0">
        <v>84</v>
      </c>
      <c r="BJ90" t="s" s="0">
        <v>2794</v>
      </c>
      <c r="BK90" t="s" s="177">
        <f>HYPERLINK("http://dx.doi.org/10.1148/radiol.2018171820","http://dx.doi.org/10.1148/radiol.2018171820")</f>
        <v>2795</v>
      </c>
      <c r="BL90" t="s" s="0">
        <v>84</v>
      </c>
      <c r="BM90" t="s" s="0">
        <v>84</v>
      </c>
      <c r="BN90" t="s" s="0">
        <v>242</v>
      </c>
      <c r="BO90" t="s" s="0">
        <v>208</v>
      </c>
      <c r="BP90" t="s" s="0">
        <v>208</v>
      </c>
      <c r="BQ90" t="s" s="0">
        <v>2796</v>
      </c>
      <c r="BR90" t="s" s="0">
        <v>2797</v>
      </c>
      <c r="BS90" t="s" s="0">
        <v>2798</v>
      </c>
      <c r="BT90" t="s" s="178">
        <f>HYPERLINK("https://www.webofscience.com/wos/woscc/full-record/WOS:000441808100002","View Record in Web of Science")</f>
        <v>127</v>
      </c>
      <c r="BU90" t="s" s="0">
        <v>84</v>
      </c>
      <c r="BV90" t="s" s="0">
        <v>128</v>
      </c>
      <c r="BW90" t="s" s="0">
        <v>129</v>
      </c>
      <c r="BX90" t="s" s="0">
        <v>130</v>
      </c>
    </row>
    <row r="91">
      <c r="A91" t="s" s="0">
        <v>342</v>
      </c>
      <c r="B91" t="s" s="0">
        <v>78</v>
      </c>
      <c r="C91" t="s" s="0">
        <v>2736</v>
      </c>
      <c r="D91" t="s" s="0">
        <v>342</v>
      </c>
      <c r="E91" t="s" s="0">
        <v>2799</v>
      </c>
      <c r="F91" t="s" s="0">
        <v>2800</v>
      </c>
      <c r="G91" t="s" s="0">
        <v>2801</v>
      </c>
      <c r="H91" t="s" s="0">
        <v>84</v>
      </c>
      <c r="I91" t="s" s="0">
        <v>251</v>
      </c>
      <c r="J91" t="s" s="0">
        <v>2802</v>
      </c>
      <c r="K91" t="s" s="0">
        <v>2803</v>
      </c>
      <c r="L91" t="s" s="0">
        <v>2804</v>
      </c>
      <c r="M91" t="s" s="0">
        <v>2805</v>
      </c>
      <c r="N91" t="s" s="0">
        <v>84</v>
      </c>
      <c r="O91" t="s" s="0">
        <v>2806</v>
      </c>
      <c r="P91" t="s" s="0">
        <v>2807</v>
      </c>
      <c r="Q91" t="s" s="0">
        <v>93</v>
      </c>
      <c r="R91" t="s" s="0">
        <v>84</v>
      </c>
      <c r="S91" t="s" s="0">
        <v>84</v>
      </c>
      <c r="T91" t="s" s="0">
        <v>84</v>
      </c>
      <c r="U91" t="s" s="0">
        <v>84</v>
      </c>
      <c r="V91" t="s" s="0">
        <v>2808</v>
      </c>
      <c r="W91" t="s" s="0">
        <v>2809</v>
      </c>
      <c r="X91" t="s" s="0">
        <v>84</v>
      </c>
      <c r="Y91" t="s" s="0">
        <v>84</v>
      </c>
      <c r="Z91" t="s" s="0">
        <v>96</v>
      </c>
      <c r="AA91" t="s" s="0">
        <v>97</v>
      </c>
      <c r="AB91" t="s" s="0">
        <v>84</v>
      </c>
      <c r="AC91" t="s" s="0">
        <v>84</v>
      </c>
      <c r="AD91" t="s" s="0">
        <v>84</v>
      </c>
      <c r="AE91" t="s" s="0">
        <v>84</v>
      </c>
      <c r="AF91" t="s" s="0">
        <v>84</v>
      </c>
      <c r="AG91" t="s" s="0">
        <v>2810</v>
      </c>
      <c r="AH91" t="s" s="0">
        <v>2811</v>
      </c>
      <c r="AI91" t="s" s="0">
        <v>2812</v>
      </c>
      <c r="AJ91" t="s" s="0">
        <v>2813</v>
      </c>
      <c r="AK91" t="s" s="0">
        <v>84</v>
      </c>
      <c r="AL91" t="s" s="0">
        <v>558</v>
      </c>
      <c r="AM91" t="s" s="0">
        <v>2814</v>
      </c>
      <c r="AN91" t="s" s="0">
        <v>2815</v>
      </c>
      <c r="AO91" t="s" s="0">
        <v>207</v>
      </c>
      <c r="AP91" t="s" s="0">
        <v>2816</v>
      </c>
      <c r="AQ91" t="s" s="0">
        <v>489</v>
      </c>
      <c r="AR91" t="s" s="0">
        <v>153</v>
      </c>
      <c r="AS91" t="s" s="0">
        <v>490</v>
      </c>
      <c r="AT91" t="s" s="0">
        <v>84</v>
      </c>
      <c r="AU91" t="s" s="0">
        <v>2817</v>
      </c>
      <c r="AV91" t="s" s="0">
        <v>84</v>
      </c>
      <c r="AW91" t="s" s="0">
        <v>2818</v>
      </c>
      <c r="AX91" t="s" s="0">
        <v>2819</v>
      </c>
      <c r="AY91" t="s" s="0">
        <v>2820</v>
      </c>
      <c r="AZ91" t="s" s="0">
        <v>159</v>
      </c>
      <c r="BA91" t="s" s="0">
        <v>1130</v>
      </c>
      <c r="BB91" t="s" s="0">
        <v>116</v>
      </c>
      <c r="BC91" t="s" s="0">
        <v>84</v>
      </c>
      <c r="BD91" t="s" s="0">
        <v>84</v>
      </c>
      <c r="BE91" t="s" s="0">
        <v>84</v>
      </c>
      <c r="BF91" t="s" s="0">
        <v>84</v>
      </c>
      <c r="BG91" t="s" s="0">
        <v>84</v>
      </c>
      <c r="BH91" t="s" s="0">
        <v>84</v>
      </c>
      <c r="BI91" t="s" s="0">
        <v>856</v>
      </c>
      <c r="BJ91" t="s" s="0">
        <v>2821</v>
      </c>
      <c r="BK91" t="s" s="179">
        <f>HYPERLINK("http://dx.doi.org/10.1186/s12911-021-01488-9","http://dx.doi.org/10.1186/s12911-021-01488-9")</f>
        <v>2822</v>
      </c>
      <c r="BL91" t="s" s="0">
        <v>84</v>
      </c>
      <c r="BM91" t="s" s="0">
        <v>84</v>
      </c>
      <c r="BN91" t="s" s="0">
        <v>192</v>
      </c>
      <c r="BO91" t="s" s="0">
        <v>2823</v>
      </c>
      <c r="BP91" t="s" s="0">
        <v>2823</v>
      </c>
      <c r="BQ91" t="s" s="0">
        <v>2824</v>
      </c>
      <c r="BR91" t="s" s="0">
        <v>2825</v>
      </c>
      <c r="BS91" t="s" s="0">
        <v>2826</v>
      </c>
      <c r="BT91" t="s" s="180">
        <f>HYPERLINK("https://www.webofscience.com/wos/woscc/full-record/WOS:000638599800001","View Record in Web of Science")</f>
        <v>127</v>
      </c>
      <c r="BU91" t="s" s="0">
        <v>2176</v>
      </c>
      <c r="BV91" t="s" s="0">
        <v>128</v>
      </c>
      <c r="BW91" t="s" s="0">
        <v>129</v>
      </c>
      <c r="BX91" t="s" s="0">
        <v>130</v>
      </c>
    </row>
    <row r="92">
      <c r="A92" t="s" s="0">
        <v>133</v>
      </c>
      <c r="B92" t="s" s="0">
        <v>78</v>
      </c>
      <c r="C92" t="s" s="0">
        <v>2253</v>
      </c>
      <c r="D92" t="s" s="0">
        <v>78</v>
      </c>
      <c r="E92" t="s" s="0">
        <v>2827</v>
      </c>
      <c r="F92" t="s" s="0">
        <v>2828</v>
      </c>
      <c r="G92" t="s" s="0">
        <v>2829</v>
      </c>
      <c r="H92" t="s" s="0">
        <v>84</v>
      </c>
      <c r="I92" t="s" s="0">
        <v>85</v>
      </c>
      <c r="J92" t="s" s="0">
        <v>2830</v>
      </c>
      <c r="K92" t="s" s="0">
        <v>2831</v>
      </c>
      <c r="L92" t="s" s="0">
        <v>2832</v>
      </c>
      <c r="M92" t="s" s="0">
        <v>2833</v>
      </c>
      <c r="N92" t="s" s="0">
        <v>2834</v>
      </c>
      <c r="O92" t="s" s="0">
        <v>2835</v>
      </c>
      <c r="P92" t="s" s="0">
        <v>2836</v>
      </c>
      <c r="Q92" t="s" s="0">
        <v>93</v>
      </c>
      <c r="R92" t="s" s="0">
        <v>84</v>
      </c>
      <c r="S92" t="s" s="0">
        <v>84</v>
      </c>
      <c r="T92" t="s" s="0">
        <v>84</v>
      </c>
      <c r="U92" t="s" s="0">
        <v>84</v>
      </c>
      <c r="V92" t="s" s="0">
        <v>2837</v>
      </c>
      <c r="W92" t="s" s="0">
        <v>2838</v>
      </c>
      <c r="X92" t="s" s="0">
        <v>84</v>
      </c>
      <c r="Y92" t="s" s="0">
        <v>84</v>
      </c>
      <c r="Z92" t="s" s="0">
        <v>96</v>
      </c>
      <c r="AA92" t="s" s="0">
        <v>97</v>
      </c>
      <c r="AB92" t="s" s="0">
        <v>84</v>
      </c>
      <c r="AC92" t="s" s="0">
        <v>84</v>
      </c>
      <c r="AD92" t="s" s="0">
        <v>84</v>
      </c>
      <c r="AE92" t="s" s="0">
        <v>84</v>
      </c>
      <c r="AF92" t="s" s="0">
        <v>84</v>
      </c>
      <c r="AG92" t="s" s="0">
        <v>2839</v>
      </c>
      <c r="AH92" t="s" s="0">
        <v>2840</v>
      </c>
      <c r="AI92" t="s" s="0">
        <v>2841</v>
      </c>
      <c r="AJ92" t="s" s="0">
        <v>2842</v>
      </c>
      <c r="AK92" t="s" s="0">
        <v>84</v>
      </c>
      <c r="AL92" t="s" s="0">
        <v>2843</v>
      </c>
      <c r="AM92" t="s" s="0">
        <v>2814</v>
      </c>
      <c r="AN92" t="s" s="0">
        <v>2844</v>
      </c>
      <c r="AO92" t="s" s="0">
        <v>242</v>
      </c>
      <c r="AP92" t="s" s="0">
        <v>1687</v>
      </c>
      <c r="AQ92" t="s" s="0">
        <v>632</v>
      </c>
      <c r="AR92" t="s" s="0">
        <v>633</v>
      </c>
      <c r="AS92" t="s" s="0">
        <v>634</v>
      </c>
      <c r="AT92" t="s" s="0">
        <v>2845</v>
      </c>
      <c r="AU92" t="s" s="0">
        <v>2846</v>
      </c>
      <c r="AV92" t="s" s="0">
        <v>84</v>
      </c>
      <c r="AW92" t="s" s="0">
        <v>2847</v>
      </c>
      <c r="AX92" t="s" s="0">
        <v>2848</v>
      </c>
      <c r="AY92" t="s" s="0">
        <v>2849</v>
      </c>
      <c r="AZ92" t="s" s="0">
        <v>351</v>
      </c>
      <c r="BA92" t="s" s="0">
        <v>1702</v>
      </c>
      <c r="BB92" t="s" s="0">
        <v>2850</v>
      </c>
      <c r="BC92" t="s" s="0">
        <v>84</v>
      </c>
      <c r="BD92" t="s" s="0">
        <v>84</v>
      </c>
      <c r="BE92" t="s" s="0">
        <v>84</v>
      </c>
      <c r="BF92" t="s" s="0">
        <v>84</v>
      </c>
      <c r="BG92" t="s" s="0">
        <v>2851</v>
      </c>
      <c r="BH92" t="s" s="0">
        <v>2852</v>
      </c>
      <c r="BI92" t="s" s="0">
        <v>84</v>
      </c>
      <c r="BJ92" t="s" s="0">
        <v>2853</v>
      </c>
      <c r="BK92" t="s" s="181">
        <f>HYPERLINK("http://dx.doi.org/10.1093/eurheartj/ehaa159","http://dx.doi.org/10.1093/eurheartj/ehaa159")</f>
        <v>2854</v>
      </c>
      <c r="BL92" t="s" s="0">
        <v>84</v>
      </c>
      <c r="BM92" t="s" s="0">
        <v>84</v>
      </c>
      <c r="BN92" t="s" s="0">
        <v>242</v>
      </c>
      <c r="BO92" t="s" s="0">
        <v>1846</v>
      </c>
      <c r="BP92" t="s" s="0">
        <v>1847</v>
      </c>
      <c r="BQ92" t="s" s="0">
        <v>2855</v>
      </c>
      <c r="BR92" t="s" s="0">
        <v>2856</v>
      </c>
      <c r="BS92" t="s" s="0">
        <v>2857</v>
      </c>
      <c r="BT92" t="s" s="182">
        <f>HYPERLINK("https://www.webofscience.com/wos/woscc/full-record/WOS:000608413100010","View Record in Web of Science")</f>
        <v>127</v>
      </c>
      <c r="BU92" t="s" s="0">
        <v>2858</v>
      </c>
      <c r="BV92" t="s" s="0">
        <v>128</v>
      </c>
      <c r="BW92" t="s" s="0">
        <v>129</v>
      </c>
      <c r="BX92" t="s" s="0">
        <v>130</v>
      </c>
    </row>
    <row r="93">
      <c r="A93" t="s" s="0">
        <v>996</v>
      </c>
      <c r="B93" t="s" s="0">
        <v>78</v>
      </c>
      <c r="C93" t="s" s="0">
        <v>117</v>
      </c>
      <c r="D93" t="s" s="0">
        <v>78</v>
      </c>
      <c r="E93" t="s" s="0">
        <v>2859</v>
      </c>
      <c r="F93" t="s" s="0">
        <v>2860</v>
      </c>
      <c r="G93" t="s" s="0">
        <v>2861</v>
      </c>
      <c r="H93" t="s" s="0">
        <v>84</v>
      </c>
      <c r="I93" t="s" s="0">
        <v>85</v>
      </c>
      <c r="J93" t="s" s="0">
        <v>2862</v>
      </c>
      <c r="K93" t="s" s="0">
        <v>2863</v>
      </c>
      <c r="L93" t="s" s="0">
        <v>2864</v>
      </c>
      <c r="M93" t="s" s="0">
        <v>2865</v>
      </c>
      <c r="N93" t="s" s="0">
        <v>2866</v>
      </c>
      <c r="O93" t="s" s="0">
        <v>2867</v>
      </c>
      <c r="P93" t="s" s="0">
        <v>2868</v>
      </c>
      <c r="Q93" t="s" s="0">
        <v>93</v>
      </c>
      <c r="R93" t="s" s="0">
        <v>84</v>
      </c>
      <c r="S93" t="s" s="0">
        <v>84</v>
      </c>
      <c r="T93" t="s" s="0">
        <v>84</v>
      </c>
      <c r="U93" t="s" s="0">
        <v>84</v>
      </c>
      <c r="V93" t="s" s="0">
        <v>2869</v>
      </c>
      <c r="W93" t="s" s="0">
        <v>2870</v>
      </c>
      <c r="X93" t="s" s="0">
        <v>84</v>
      </c>
      <c r="Y93" t="s" s="0">
        <v>84</v>
      </c>
      <c r="Z93" t="s" s="0">
        <v>96</v>
      </c>
      <c r="AA93" t="s" s="0">
        <v>97</v>
      </c>
      <c r="AB93" t="s" s="0">
        <v>84</v>
      </c>
      <c r="AC93" t="s" s="0">
        <v>84</v>
      </c>
      <c r="AD93" t="s" s="0">
        <v>84</v>
      </c>
      <c r="AE93" t="s" s="0">
        <v>84</v>
      </c>
      <c r="AF93" t="s" s="0">
        <v>84</v>
      </c>
      <c r="AG93" t="s" s="0">
        <v>2871</v>
      </c>
      <c r="AH93" t="s" s="0">
        <v>2872</v>
      </c>
      <c r="AI93" t="s" s="0">
        <v>2873</v>
      </c>
      <c r="AJ93" t="s" s="0">
        <v>2874</v>
      </c>
      <c r="AK93" t="s" s="0">
        <v>84</v>
      </c>
      <c r="AL93" t="s" s="0">
        <v>2875</v>
      </c>
      <c r="AM93" t="s" s="0">
        <v>1402</v>
      </c>
      <c r="AN93" t="s" s="0">
        <v>2876</v>
      </c>
      <c r="AO93" t="s" s="0">
        <v>2877</v>
      </c>
      <c r="AP93" t="s" s="0">
        <v>2878</v>
      </c>
      <c r="AQ93" t="s" s="0">
        <v>982</v>
      </c>
      <c r="AR93" t="s" s="0">
        <v>983</v>
      </c>
      <c r="AS93" t="s" s="0">
        <v>984</v>
      </c>
      <c r="AT93" t="s" s="0">
        <v>84</v>
      </c>
      <c r="AU93" t="s" s="0">
        <v>2879</v>
      </c>
      <c r="AV93" t="s" s="0">
        <v>84</v>
      </c>
      <c r="AW93" t="s" s="0">
        <v>2870</v>
      </c>
      <c r="AX93" t="s" s="0">
        <v>2880</v>
      </c>
      <c r="AY93" t="s" s="0">
        <v>2881</v>
      </c>
      <c r="AZ93" t="s" s="0">
        <v>351</v>
      </c>
      <c r="BA93" t="s" s="0">
        <v>396</v>
      </c>
      <c r="BB93" t="s" s="0">
        <v>459</v>
      </c>
      <c r="BC93" t="s" s="0">
        <v>84</v>
      </c>
      <c r="BD93" t="s" s="0">
        <v>84</v>
      </c>
      <c r="BE93" t="s" s="0">
        <v>84</v>
      </c>
      <c r="BF93" t="s" s="0">
        <v>84</v>
      </c>
      <c r="BG93" t="s" s="0">
        <v>2882</v>
      </c>
      <c r="BH93" t="s" s="0">
        <v>2883</v>
      </c>
      <c r="BI93" t="s" s="0">
        <v>84</v>
      </c>
      <c r="BJ93" t="s" s="0">
        <v>2884</v>
      </c>
      <c r="BK93" t="s" s="183">
        <f>HYPERLINK("http://dx.doi.org/10.1002/inf2.12122","http://dx.doi.org/10.1002/inf2.12122")</f>
        <v>2885</v>
      </c>
      <c r="BL93" t="s" s="0">
        <v>84</v>
      </c>
      <c r="BM93" t="s" s="0">
        <v>1761</v>
      </c>
      <c r="BN93" t="s" s="0">
        <v>1117</v>
      </c>
      <c r="BO93" t="s" s="0">
        <v>2886</v>
      </c>
      <c r="BP93" t="s" s="0">
        <v>2887</v>
      </c>
      <c r="BQ93" t="s" s="0">
        <v>2888</v>
      </c>
      <c r="BR93" t="s" s="0">
        <v>84</v>
      </c>
      <c r="BS93" t="s" s="0">
        <v>2889</v>
      </c>
      <c r="BT93" t="s" s="184">
        <f>HYPERLINK("https://www.webofscience.com/wos/woscc/full-record/WOS:000549424300001","View Record in Web of Science")</f>
        <v>127</v>
      </c>
      <c r="BU93" t="s" s="0">
        <v>170</v>
      </c>
      <c r="BV93" t="s" s="0">
        <v>128</v>
      </c>
      <c r="BW93" t="s" s="0">
        <v>129</v>
      </c>
      <c r="BX93" t="s" s="0">
        <v>130</v>
      </c>
    </row>
    <row r="94">
      <c r="A94" t="s" s="0">
        <v>121</v>
      </c>
      <c r="B94" t="s" s="0">
        <v>78</v>
      </c>
      <c r="C94" t="s" s="0">
        <v>1147</v>
      </c>
      <c r="D94" t="s" s="0">
        <v>459</v>
      </c>
      <c r="E94" t="s" s="0">
        <v>2890</v>
      </c>
      <c r="F94" t="s" s="0">
        <v>2891</v>
      </c>
      <c r="G94" t="s" s="0">
        <v>2892</v>
      </c>
      <c r="H94" t="s" s="0">
        <v>84</v>
      </c>
      <c r="I94" t="s" s="0">
        <v>251</v>
      </c>
      <c r="J94" t="s" s="0">
        <v>2893</v>
      </c>
      <c r="K94" t="s" s="0">
        <v>2894</v>
      </c>
      <c r="L94" t="s" s="0">
        <v>84</v>
      </c>
      <c r="M94" t="s" s="0">
        <v>84</v>
      </c>
      <c r="N94" t="s" s="0">
        <v>84</v>
      </c>
      <c r="O94" t="s" s="0">
        <v>2895</v>
      </c>
      <c r="P94" t="s" s="0">
        <v>2896</v>
      </c>
      <c r="Q94" t="s" s="0">
        <v>93</v>
      </c>
      <c r="R94" t="s" s="0">
        <v>84</v>
      </c>
      <c r="S94" t="s" s="0">
        <v>84</v>
      </c>
      <c r="T94" t="s" s="0">
        <v>84</v>
      </c>
      <c r="U94" t="s" s="0">
        <v>84</v>
      </c>
      <c r="V94" t="s" s="0">
        <v>2897</v>
      </c>
      <c r="W94" t="s" s="0">
        <v>2898</v>
      </c>
      <c r="X94" t="s" s="0">
        <v>84</v>
      </c>
      <c r="Y94" t="s" s="0">
        <v>84</v>
      </c>
      <c r="Z94" t="s" s="0">
        <v>96</v>
      </c>
      <c r="AA94" t="s" s="0">
        <v>97</v>
      </c>
      <c r="AB94" t="s" s="0">
        <v>84</v>
      </c>
      <c r="AC94" t="s" s="0">
        <v>84</v>
      </c>
      <c r="AD94" t="s" s="0">
        <v>84</v>
      </c>
      <c r="AE94" t="s" s="0">
        <v>84</v>
      </c>
      <c r="AF94" t="s" s="0">
        <v>84</v>
      </c>
      <c r="AG94" t="s" s="0">
        <v>2899</v>
      </c>
      <c r="AH94" t="s" s="0">
        <v>2900</v>
      </c>
      <c r="AI94" t="s" s="0">
        <v>2901</v>
      </c>
      <c r="AJ94" t="s" s="0">
        <v>2902</v>
      </c>
      <c r="AK94" t="s" s="0">
        <v>84</v>
      </c>
      <c r="AL94" t="s" s="0">
        <v>2903</v>
      </c>
      <c r="AM94" t="s" s="0">
        <v>2904</v>
      </c>
      <c r="AN94" t="s" s="0">
        <v>2905</v>
      </c>
      <c r="AO94" t="s" s="0">
        <v>115</v>
      </c>
      <c r="AP94" t="s" s="0">
        <v>2906</v>
      </c>
      <c r="AQ94" t="s" s="0">
        <v>2907</v>
      </c>
      <c r="AR94" t="s" s="0">
        <v>1120</v>
      </c>
      <c r="AS94" t="s" s="0">
        <v>2908</v>
      </c>
      <c r="AT94" t="s" s="0">
        <v>2909</v>
      </c>
      <c r="AU94" t="s" s="0">
        <v>2910</v>
      </c>
      <c r="AV94" t="s" s="0">
        <v>84</v>
      </c>
      <c r="AW94" t="s" s="0">
        <v>2911</v>
      </c>
      <c r="AX94" t="s" s="0">
        <v>2912</v>
      </c>
      <c r="AY94" t="s" s="0">
        <v>989</v>
      </c>
      <c r="AZ94" t="s" s="0">
        <v>114</v>
      </c>
      <c r="BA94" t="s" s="0">
        <v>1647</v>
      </c>
      <c r="BB94" t="s" s="0">
        <v>172</v>
      </c>
      <c r="BC94" t="s" s="0">
        <v>84</v>
      </c>
      <c r="BD94" t="s" s="0">
        <v>84</v>
      </c>
      <c r="BE94" t="s" s="0">
        <v>84</v>
      </c>
      <c r="BF94" t="s" s="0">
        <v>84</v>
      </c>
      <c r="BG94" t="s" s="0">
        <v>2913</v>
      </c>
      <c r="BH94" t="s" s="0">
        <v>2914</v>
      </c>
      <c r="BI94" t="s" s="0">
        <v>84</v>
      </c>
      <c r="BJ94" t="s" s="0">
        <v>2915</v>
      </c>
      <c r="BK94" t="s" s="185">
        <f>HYPERLINK("http://dx.doi.org/10.1017/S0033291719000151","http://dx.doi.org/10.1017/S0033291719000151")</f>
        <v>2916</v>
      </c>
      <c r="BL94" t="s" s="0">
        <v>84</v>
      </c>
      <c r="BM94" t="s" s="0">
        <v>84</v>
      </c>
      <c r="BN94" t="s" s="0">
        <v>192</v>
      </c>
      <c r="BO94" t="s" s="0">
        <v>2917</v>
      </c>
      <c r="BP94" t="s" s="0">
        <v>2918</v>
      </c>
      <c r="BQ94" t="s" s="0">
        <v>2919</v>
      </c>
      <c r="BR94" t="s" s="0">
        <v>2920</v>
      </c>
      <c r="BS94" t="s" s="0">
        <v>2921</v>
      </c>
      <c r="BT94" t="s" s="186">
        <f>HYPERLINK("https://www.webofscience.com/wos/woscc/full-record/WOS:000474922400003","View Record in Web of Science")</f>
        <v>127</v>
      </c>
      <c r="BU94" t="s" s="0">
        <v>321</v>
      </c>
      <c r="BV94" t="s" s="0">
        <v>128</v>
      </c>
      <c r="BW94" t="s" s="0">
        <v>129</v>
      </c>
      <c r="BX94" t="s" s="0">
        <v>130</v>
      </c>
    </row>
    <row r="95">
      <c r="A95" t="s" s="0">
        <v>236</v>
      </c>
      <c r="B95" t="s" s="0">
        <v>78</v>
      </c>
      <c r="C95" t="s" s="0">
        <v>449</v>
      </c>
      <c r="D95" t="s" s="0">
        <v>342</v>
      </c>
      <c r="E95" t="s" s="0">
        <v>2922</v>
      </c>
      <c r="F95" t="s" s="0">
        <v>2923</v>
      </c>
      <c r="G95" t="s" s="0">
        <v>2924</v>
      </c>
      <c r="H95" t="s" s="0">
        <v>84</v>
      </c>
      <c r="I95" t="s" s="0">
        <v>85</v>
      </c>
      <c r="J95" t="s" s="0">
        <v>2925</v>
      </c>
      <c r="K95" t="s" s="0">
        <v>84</v>
      </c>
      <c r="L95" t="s" s="0">
        <v>84</v>
      </c>
      <c r="M95" t="s" s="0">
        <v>84</v>
      </c>
      <c r="N95" t="s" s="0">
        <v>84</v>
      </c>
      <c r="O95" t="s" s="0">
        <v>2926</v>
      </c>
      <c r="P95" t="s" s="0">
        <v>2927</v>
      </c>
      <c r="Q95" t="s" s="0">
        <v>93</v>
      </c>
      <c r="R95" t="s" s="0">
        <v>84</v>
      </c>
      <c r="S95" t="s" s="0">
        <v>84</v>
      </c>
      <c r="T95" t="s" s="0">
        <v>84</v>
      </c>
      <c r="U95" t="s" s="0">
        <v>84</v>
      </c>
      <c r="V95" t="s" s="0">
        <v>2928</v>
      </c>
      <c r="W95" t="s" s="0">
        <v>2929</v>
      </c>
      <c r="X95" t="s" s="0">
        <v>84</v>
      </c>
      <c r="Y95" t="s" s="0">
        <v>84</v>
      </c>
      <c r="Z95" t="s" s="0">
        <v>96</v>
      </c>
      <c r="AA95" t="s" s="0">
        <v>97</v>
      </c>
      <c r="AB95" t="s" s="0">
        <v>84</v>
      </c>
      <c r="AC95" t="s" s="0">
        <v>84</v>
      </c>
      <c r="AD95" t="s" s="0">
        <v>84</v>
      </c>
      <c r="AE95" t="s" s="0">
        <v>84</v>
      </c>
      <c r="AF95" t="s" s="0">
        <v>84</v>
      </c>
      <c r="AG95" t="s" s="0">
        <v>84</v>
      </c>
      <c r="AH95" t="s" s="0">
        <v>2930</v>
      </c>
      <c r="AI95" t="s" s="0">
        <v>84</v>
      </c>
      <c r="AJ95" t="s" s="0">
        <v>84</v>
      </c>
      <c r="AK95" t="s" s="0">
        <v>84</v>
      </c>
      <c r="AL95" t="s" s="0">
        <v>394</v>
      </c>
      <c r="AM95" t="s" s="0">
        <v>2931</v>
      </c>
      <c r="AN95" t="s" s="0">
        <v>2932</v>
      </c>
      <c r="AO95" t="s" s="0">
        <v>527</v>
      </c>
      <c r="AP95" t="s" s="0">
        <v>2933</v>
      </c>
      <c r="AQ95" t="s" s="0">
        <v>2934</v>
      </c>
      <c r="AR95" t="s" s="0">
        <v>704</v>
      </c>
      <c r="AS95" t="s" s="0">
        <v>2935</v>
      </c>
      <c r="AT95" t="s" s="0">
        <v>2936</v>
      </c>
      <c r="AU95" t="s" s="0">
        <v>2937</v>
      </c>
      <c r="AV95" t="s" s="0">
        <v>84</v>
      </c>
      <c r="AW95" t="s" s="0">
        <v>2938</v>
      </c>
      <c r="AX95" t="s" s="0">
        <v>2939</v>
      </c>
      <c r="AY95" t="s" s="0">
        <v>931</v>
      </c>
      <c r="AZ95" t="s" s="0">
        <v>351</v>
      </c>
      <c r="BA95" t="s" s="0">
        <v>1289</v>
      </c>
      <c r="BB95" t="s" s="0">
        <v>202</v>
      </c>
      <c r="BC95" t="s" s="0">
        <v>84</v>
      </c>
      <c r="BD95" t="s" s="0">
        <v>84</v>
      </c>
      <c r="BE95" t="s" s="0">
        <v>84</v>
      </c>
      <c r="BF95" t="s" s="0">
        <v>84</v>
      </c>
      <c r="BG95" t="s" s="0">
        <v>1703</v>
      </c>
      <c r="BH95" t="s" s="0">
        <v>2194</v>
      </c>
      <c r="BI95" t="s" s="0">
        <v>84</v>
      </c>
      <c r="BJ95" t="s" s="0">
        <v>2940</v>
      </c>
      <c r="BK95" t="s" s="187">
        <f>HYPERLINK("http://dx.doi.org/10.1016/j.gie.2020.06.040","http://dx.doi.org/10.1016/j.gie.2020.06.040")</f>
        <v>2941</v>
      </c>
      <c r="BL95" t="s" s="0">
        <v>84</v>
      </c>
      <c r="BM95" t="s" s="0">
        <v>84</v>
      </c>
      <c r="BN95" t="s" s="0">
        <v>459</v>
      </c>
      <c r="BO95" t="s" s="0">
        <v>2942</v>
      </c>
      <c r="BP95" t="s" s="0">
        <v>2942</v>
      </c>
      <c r="BQ95" t="s" s="0">
        <v>2943</v>
      </c>
      <c r="BR95" t="s" s="0">
        <v>2944</v>
      </c>
      <c r="BS95" t="s" s="0">
        <v>2945</v>
      </c>
      <c r="BT95" t="s" s="188">
        <f>HYPERLINK("https://www.webofscience.com/wos/woscc/full-record/WOS:000574357800002","View Record in Web of Science")</f>
        <v>127</v>
      </c>
      <c r="BU95" t="s" s="0">
        <v>649</v>
      </c>
      <c r="BV95" t="s" s="0">
        <v>128</v>
      </c>
      <c r="BW95" t="s" s="0">
        <v>129</v>
      </c>
      <c r="BX95" t="s" s="0">
        <v>130</v>
      </c>
    </row>
    <row r="96">
      <c r="A96" t="s" s="0">
        <v>701</v>
      </c>
      <c r="B96" t="s" s="0">
        <v>78</v>
      </c>
      <c r="C96" t="s" s="0">
        <v>521</v>
      </c>
      <c r="D96" t="s" s="0">
        <v>787</v>
      </c>
      <c r="E96" t="s" s="0">
        <v>2946</v>
      </c>
      <c r="F96" t="s" s="0">
        <v>2947</v>
      </c>
      <c r="G96" t="s" s="0">
        <v>2948</v>
      </c>
      <c r="H96" t="s" s="0">
        <v>84</v>
      </c>
      <c r="I96" t="s" s="0">
        <v>85</v>
      </c>
      <c r="J96" t="s" s="0">
        <v>2949</v>
      </c>
      <c r="K96" t="s" s="0">
        <v>2950</v>
      </c>
      <c r="L96" t="s" s="0">
        <v>2951</v>
      </c>
      <c r="M96" t="s" s="0">
        <v>2951</v>
      </c>
      <c r="N96" t="s" s="0">
        <v>2952</v>
      </c>
      <c r="O96" t="s" s="0">
        <v>2953</v>
      </c>
      <c r="P96" t="s" s="0">
        <v>2954</v>
      </c>
      <c r="Q96" t="s" s="0">
        <v>93</v>
      </c>
      <c r="R96" t="s" s="0">
        <v>84</v>
      </c>
      <c r="S96" t="s" s="0">
        <v>84</v>
      </c>
      <c r="T96" t="s" s="0">
        <v>84</v>
      </c>
      <c r="U96" t="s" s="0">
        <v>84</v>
      </c>
      <c r="V96" t="s" s="0">
        <v>2955</v>
      </c>
      <c r="W96" t="s" s="0">
        <v>831</v>
      </c>
      <c r="X96" t="s" s="0">
        <v>84</v>
      </c>
      <c r="Y96" t="s" s="0">
        <v>84</v>
      </c>
      <c r="Z96" t="s" s="0">
        <v>96</v>
      </c>
      <c r="AA96" t="s" s="0">
        <v>97</v>
      </c>
      <c r="AB96" t="s" s="0">
        <v>84</v>
      </c>
      <c r="AC96" t="s" s="0">
        <v>84</v>
      </c>
      <c r="AD96" t="s" s="0">
        <v>84</v>
      </c>
      <c r="AE96" t="s" s="0">
        <v>84</v>
      </c>
      <c r="AF96" t="s" s="0">
        <v>84</v>
      </c>
      <c r="AG96" t="s" s="0">
        <v>2956</v>
      </c>
      <c r="AH96" t="s" s="0">
        <v>2957</v>
      </c>
      <c r="AI96" t="s" s="0">
        <v>2958</v>
      </c>
      <c r="AJ96" t="s" s="0">
        <v>2959</v>
      </c>
      <c r="AK96" t="s" s="0">
        <v>84</v>
      </c>
      <c r="AL96" t="s" s="0">
        <v>2960</v>
      </c>
      <c r="AM96" t="s" s="0">
        <v>2961</v>
      </c>
      <c r="AN96" t="s" s="0">
        <v>2962</v>
      </c>
      <c r="AO96" t="s" s="0">
        <v>303</v>
      </c>
      <c r="AP96" t="s" s="0">
        <v>2963</v>
      </c>
      <c r="AQ96" t="s" s="0">
        <v>841</v>
      </c>
      <c r="AR96" t="s" s="0">
        <v>842</v>
      </c>
      <c r="AS96" t="s" s="0">
        <v>843</v>
      </c>
      <c r="AT96" t="s" s="0">
        <v>844</v>
      </c>
      <c r="AU96" t="s" s="0">
        <v>84</v>
      </c>
      <c r="AV96" t="s" s="0">
        <v>84</v>
      </c>
      <c r="AW96" t="s" s="0">
        <v>831</v>
      </c>
      <c r="AX96" t="s" s="0">
        <v>845</v>
      </c>
      <c r="AY96" t="s" s="0">
        <v>567</v>
      </c>
      <c r="AZ96" t="s" s="0">
        <v>567</v>
      </c>
      <c r="BA96" t="s" s="0">
        <v>280</v>
      </c>
      <c r="BB96" t="s" s="0">
        <v>84</v>
      </c>
      <c r="BC96" t="s" s="0">
        <v>84</v>
      </c>
      <c r="BD96" t="s" s="0">
        <v>84</v>
      </c>
      <c r="BE96" t="s" s="0">
        <v>84</v>
      </c>
      <c r="BF96" t="s" s="0">
        <v>84</v>
      </c>
      <c r="BG96" t="s" s="0">
        <v>2964</v>
      </c>
      <c r="BH96" t="s" s="0">
        <v>2965</v>
      </c>
      <c r="BI96" t="s" s="0">
        <v>84</v>
      </c>
      <c r="BJ96" t="s" s="0">
        <v>2966</v>
      </c>
      <c r="BK96" t="s" s="189">
        <f>HYPERLINK("http://dx.doi.org/10.1109/ACCESS.2024.3365742","http://dx.doi.org/10.1109/ACCESS.2024.3365742")</f>
        <v>2967</v>
      </c>
      <c r="BL96" t="s" s="0">
        <v>84</v>
      </c>
      <c r="BM96" t="s" s="0">
        <v>84</v>
      </c>
      <c r="BN96" t="s" s="0">
        <v>855</v>
      </c>
      <c r="BO96" t="s" s="0">
        <v>851</v>
      </c>
      <c r="BP96" t="s" s="0">
        <v>852</v>
      </c>
      <c r="BQ96" t="s" s="0">
        <v>2968</v>
      </c>
      <c r="BR96" t="s" s="0">
        <v>84</v>
      </c>
      <c r="BS96" t="s" s="0">
        <v>2969</v>
      </c>
      <c r="BT96" t="s" s="190">
        <f>HYPERLINK("https://www.webofscience.com/wos/woscc/full-record/WOS:001173153100001","View Record in Web of Science")</f>
        <v>127</v>
      </c>
      <c r="BU96" t="s" s="0">
        <v>170</v>
      </c>
      <c r="BV96" t="s" s="0">
        <v>128</v>
      </c>
      <c r="BW96" t="s" s="0">
        <v>129</v>
      </c>
      <c r="BX96" t="s" s="0">
        <v>130</v>
      </c>
    </row>
    <row r="97">
      <c r="A97" t="s" s="0">
        <v>394</v>
      </c>
      <c r="B97" t="s" s="0">
        <v>78</v>
      </c>
      <c r="C97" t="s" s="0">
        <v>2325</v>
      </c>
      <c r="D97" t="s" s="0">
        <v>116</v>
      </c>
      <c r="E97" t="s" s="0">
        <v>2970</v>
      </c>
      <c r="F97" t="s" s="0">
        <v>2971</v>
      </c>
      <c r="G97" t="s" s="0">
        <v>2972</v>
      </c>
      <c r="H97" t="s" s="0">
        <v>84</v>
      </c>
      <c r="I97" t="s" s="0">
        <v>251</v>
      </c>
      <c r="J97" t="s" s="0">
        <v>2973</v>
      </c>
      <c r="K97" t="s" s="0">
        <v>2974</v>
      </c>
      <c r="L97" t="s" s="0">
        <v>2975</v>
      </c>
      <c r="M97" t="s" s="0">
        <v>2976</v>
      </c>
      <c r="N97" t="s" s="0">
        <v>2977</v>
      </c>
      <c r="O97" t="s" s="0">
        <v>2978</v>
      </c>
      <c r="P97" t="s" s="0">
        <v>2979</v>
      </c>
      <c r="Q97" t="s" s="0">
        <v>93</v>
      </c>
      <c r="R97" t="s" s="0">
        <v>84</v>
      </c>
      <c r="S97" t="s" s="0">
        <v>84</v>
      </c>
      <c r="T97" t="s" s="0">
        <v>84</v>
      </c>
      <c r="U97" t="s" s="0">
        <v>84</v>
      </c>
      <c r="V97" t="s" s="0">
        <v>2980</v>
      </c>
      <c r="W97" t="s" s="0">
        <v>2981</v>
      </c>
      <c r="X97" t="s" s="0">
        <v>84</v>
      </c>
      <c r="Y97" t="s" s="0">
        <v>84</v>
      </c>
      <c r="Z97" t="s" s="0">
        <v>96</v>
      </c>
      <c r="AA97" t="s" s="0">
        <v>97</v>
      </c>
      <c r="AB97" t="s" s="0">
        <v>84</v>
      </c>
      <c r="AC97" t="s" s="0">
        <v>84</v>
      </c>
      <c r="AD97" t="s" s="0">
        <v>84</v>
      </c>
      <c r="AE97" t="s" s="0">
        <v>84</v>
      </c>
      <c r="AF97" t="s" s="0">
        <v>84</v>
      </c>
      <c r="AG97" t="s" s="0">
        <v>2982</v>
      </c>
      <c r="AH97" t="s" s="0">
        <v>2983</v>
      </c>
      <c r="AI97" t="s" s="0">
        <v>2984</v>
      </c>
      <c r="AJ97" t="s" s="0">
        <v>2985</v>
      </c>
      <c r="AK97" t="s" s="0">
        <v>84</v>
      </c>
      <c r="AL97" t="s" s="0">
        <v>2986</v>
      </c>
      <c r="AM97" t="s" s="0">
        <v>2037</v>
      </c>
      <c r="AN97" t="s" s="0">
        <v>2987</v>
      </c>
      <c r="AO97" t="s" s="0">
        <v>610</v>
      </c>
      <c r="AP97" t="s" s="0">
        <v>2059</v>
      </c>
      <c r="AQ97" t="s" s="0">
        <v>1995</v>
      </c>
      <c r="AR97" t="s" s="0">
        <v>1996</v>
      </c>
      <c r="AS97" t="s" s="0">
        <v>1997</v>
      </c>
      <c r="AT97" t="s" s="0">
        <v>2988</v>
      </c>
      <c r="AU97" t="s" s="0">
        <v>2989</v>
      </c>
      <c r="AV97" t="s" s="0">
        <v>84</v>
      </c>
      <c r="AW97" t="s" s="0">
        <v>2990</v>
      </c>
      <c r="AX97" t="s" s="0">
        <v>2991</v>
      </c>
      <c r="AY97" t="s" s="0">
        <v>2992</v>
      </c>
      <c r="AZ97" t="s" s="0">
        <v>351</v>
      </c>
      <c r="BA97" t="s" s="0">
        <v>568</v>
      </c>
      <c r="BB97" t="s" s="0">
        <v>84</v>
      </c>
      <c r="BC97" t="s" s="0">
        <v>84</v>
      </c>
      <c r="BD97" t="s" s="0">
        <v>84</v>
      </c>
      <c r="BE97" t="s" s="0">
        <v>84</v>
      </c>
      <c r="BF97" t="s" s="0">
        <v>84</v>
      </c>
      <c r="BG97" t="s" s="0">
        <v>84</v>
      </c>
      <c r="BH97" t="s" s="0">
        <v>84</v>
      </c>
      <c r="BI97" t="s" s="0">
        <v>2993</v>
      </c>
      <c r="BJ97" t="s" s="0">
        <v>2994</v>
      </c>
      <c r="BK97" t="s" s="191">
        <f>HYPERLINK("http://dx.doi.org/10.1016/j.arr.2020.101174","http://dx.doi.org/10.1016/j.arr.2020.101174")</f>
        <v>2995</v>
      </c>
      <c r="BL97" t="s" s="0">
        <v>84</v>
      </c>
      <c r="BM97" t="s" s="0">
        <v>84</v>
      </c>
      <c r="BN97" t="s" s="0">
        <v>755</v>
      </c>
      <c r="BO97" t="s" s="0">
        <v>2996</v>
      </c>
      <c r="BP97" t="s" s="0">
        <v>2996</v>
      </c>
      <c r="BQ97" t="s" s="0">
        <v>2997</v>
      </c>
      <c r="BR97" t="s" s="0">
        <v>2998</v>
      </c>
      <c r="BS97" t="s" s="0">
        <v>2999</v>
      </c>
      <c r="BT97" t="s" s="192">
        <f>HYPERLINK("https://www.webofscience.com/wos/woscc/full-record/WOS:000595935300013","View Record in Web of Science")</f>
        <v>127</v>
      </c>
      <c r="BU97" t="s" s="0">
        <v>321</v>
      </c>
      <c r="BV97" t="s" s="0">
        <v>128</v>
      </c>
      <c r="BW97" t="s" s="0">
        <v>129</v>
      </c>
      <c r="BX97" t="s" s="0">
        <v>130</v>
      </c>
    </row>
    <row r="98">
      <c r="A98" t="s" s="0">
        <v>787</v>
      </c>
      <c r="B98" t="s" s="0">
        <v>78</v>
      </c>
      <c r="C98" t="s" s="0">
        <v>3000</v>
      </c>
      <c r="D98" t="s" s="0">
        <v>116</v>
      </c>
      <c r="E98" t="s" s="0">
        <v>3001</v>
      </c>
      <c r="F98" t="s" s="0">
        <v>3002</v>
      </c>
      <c r="G98" t="s" s="0">
        <v>3003</v>
      </c>
      <c r="H98" t="s" s="0">
        <v>84</v>
      </c>
      <c r="I98" t="s" s="0">
        <v>85</v>
      </c>
      <c r="J98" t="s" s="0">
        <v>3004</v>
      </c>
      <c r="K98" t="s" s="0">
        <v>3005</v>
      </c>
      <c r="L98" t="s" s="0">
        <v>3006</v>
      </c>
      <c r="M98" t="s" s="0">
        <v>3007</v>
      </c>
      <c r="N98" t="s" s="0">
        <v>3008</v>
      </c>
      <c r="O98" t="s" s="0">
        <v>3009</v>
      </c>
      <c r="P98" t="s" s="0">
        <v>3010</v>
      </c>
      <c r="Q98" t="s" s="0">
        <v>93</v>
      </c>
      <c r="R98" t="s" s="0">
        <v>84</v>
      </c>
      <c r="S98" t="s" s="0">
        <v>84</v>
      </c>
      <c r="T98" t="s" s="0">
        <v>84</v>
      </c>
      <c r="U98" t="s" s="0">
        <v>84</v>
      </c>
      <c r="V98" t="s" s="0">
        <v>3011</v>
      </c>
      <c r="W98" t="s" s="0">
        <v>623</v>
      </c>
      <c r="X98" t="s" s="0">
        <v>84</v>
      </c>
      <c r="Y98" t="s" s="0">
        <v>84</v>
      </c>
      <c r="Z98" t="s" s="0">
        <v>96</v>
      </c>
      <c r="AA98" t="s" s="0">
        <v>97</v>
      </c>
      <c r="AB98" t="s" s="0">
        <v>84</v>
      </c>
      <c r="AC98" t="s" s="0">
        <v>84</v>
      </c>
      <c r="AD98" t="s" s="0">
        <v>84</v>
      </c>
      <c r="AE98" t="s" s="0">
        <v>84</v>
      </c>
      <c r="AF98" t="s" s="0">
        <v>84</v>
      </c>
      <c r="AG98" t="s" s="0">
        <v>3012</v>
      </c>
      <c r="AH98" t="s" s="0">
        <v>3013</v>
      </c>
      <c r="AI98" t="s" s="0">
        <v>3014</v>
      </c>
      <c r="AJ98" t="s" s="0">
        <v>3015</v>
      </c>
      <c r="AK98" t="s" s="0">
        <v>84</v>
      </c>
      <c r="AL98" t="s" s="0">
        <v>246</v>
      </c>
      <c r="AM98" t="s" s="0">
        <v>3016</v>
      </c>
      <c r="AN98" t="s" s="0">
        <v>3017</v>
      </c>
      <c r="AO98" t="s" s="0">
        <v>115</v>
      </c>
      <c r="AP98" t="s" s="0">
        <v>1885</v>
      </c>
      <c r="AQ98" t="s" s="0">
        <v>632</v>
      </c>
      <c r="AR98" t="s" s="0">
        <v>633</v>
      </c>
      <c r="AS98" t="s" s="0">
        <v>634</v>
      </c>
      <c r="AT98" t="s" s="0">
        <v>635</v>
      </c>
      <c r="AU98" t="s" s="0">
        <v>636</v>
      </c>
      <c r="AV98" t="s" s="0">
        <v>84</v>
      </c>
      <c r="AW98" t="s" s="0">
        <v>637</v>
      </c>
      <c r="AX98" t="s" s="0">
        <v>638</v>
      </c>
      <c r="AY98" t="s" s="0">
        <v>3018</v>
      </c>
      <c r="AZ98" t="s" s="0">
        <v>235</v>
      </c>
      <c r="BA98" t="s" s="0">
        <v>264</v>
      </c>
      <c r="BB98" t="s" s="0">
        <v>396</v>
      </c>
      <c r="BC98" t="s" s="0">
        <v>84</v>
      </c>
      <c r="BD98" t="s" s="0">
        <v>84</v>
      </c>
      <c r="BE98" t="s" s="0">
        <v>84</v>
      </c>
      <c r="BF98" t="s" s="0">
        <v>84</v>
      </c>
      <c r="BG98" t="s" s="0">
        <v>84</v>
      </c>
      <c r="BH98" t="s" s="0">
        <v>84</v>
      </c>
      <c r="BI98" t="s" s="0">
        <v>84</v>
      </c>
      <c r="BJ98" t="s" s="0">
        <v>3019</v>
      </c>
      <c r="BK98" t="s" s="193">
        <f>HYPERLINK("http://dx.doi.org/10.1093/bib/bbad002","http://dx.doi.org/10.1093/bib/bbad002")</f>
        <v>3020</v>
      </c>
      <c r="BL98" t="s" s="0">
        <v>84</v>
      </c>
      <c r="BM98" t="s" s="0">
        <v>3021</v>
      </c>
      <c r="BN98" t="s" s="0">
        <v>242</v>
      </c>
      <c r="BO98" t="s" s="0">
        <v>644</v>
      </c>
      <c r="BP98" t="s" s="0">
        <v>645</v>
      </c>
      <c r="BQ98" t="s" s="0">
        <v>3022</v>
      </c>
      <c r="BR98" t="s" s="0">
        <v>3023</v>
      </c>
      <c r="BS98" t="s" s="0">
        <v>3024</v>
      </c>
      <c r="BT98" t="s" s="194">
        <f>HYPERLINK("https://www.webofscience.com/wos/woscc/full-record/WOS:000914936600001","View Record in Web of Science")</f>
        <v>127</v>
      </c>
      <c r="BU98" t="s" s="0">
        <v>432</v>
      </c>
      <c r="BV98" t="s" s="0">
        <v>128</v>
      </c>
      <c r="BW98" t="s" s="0">
        <v>129</v>
      </c>
      <c r="BX98" t="s" s="0">
        <v>130</v>
      </c>
    </row>
    <row r="99">
      <c r="A99" t="s" s="0">
        <v>280</v>
      </c>
      <c r="B99" t="s" s="0">
        <v>78</v>
      </c>
      <c r="C99" t="s" s="0">
        <v>1786</v>
      </c>
      <c r="D99" t="s" s="0">
        <v>116</v>
      </c>
      <c r="E99" t="s" s="0">
        <v>3025</v>
      </c>
      <c r="F99" t="s" s="0">
        <v>3026</v>
      </c>
      <c r="G99" t="s" s="0">
        <v>3027</v>
      </c>
      <c r="H99" t="s" s="0">
        <v>84</v>
      </c>
      <c r="I99" t="s" s="0">
        <v>251</v>
      </c>
      <c r="J99" t="s" s="0">
        <v>3028</v>
      </c>
      <c r="K99" t="s" s="0">
        <v>3029</v>
      </c>
      <c r="L99" t="s" s="0">
        <v>84</v>
      </c>
      <c r="M99" t="s" s="0">
        <v>84</v>
      </c>
      <c r="N99" t="s" s="0">
        <v>84</v>
      </c>
      <c r="O99" t="s" s="0">
        <v>3030</v>
      </c>
      <c r="P99" t="s" s="0">
        <v>3031</v>
      </c>
      <c r="Q99" t="s" s="0">
        <v>93</v>
      </c>
      <c r="R99" t="s" s="0">
        <v>84</v>
      </c>
      <c r="S99" t="s" s="0">
        <v>84</v>
      </c>
      <c r="T99" t="s" s="0">
        <v>84</v>
      </c>
      <c r="U99" t="s" s="0">
        <v>84</v>
      </c>
      <c r="V99" t="s" s="0">
        <v>3032</v>
      </c>
      <c r="W99" t="s" s="0">
        <v>3033</v>
      </c>
      <c r="X99" t="s" s="0">
        <v>84</v>
      </c>
      <c r="Y99" t="s" s="0">
        <v>84</v>
      </c>
      <c r="Z99" t="s" s="0">
        <v>96</v>
      </c>
      <c r="AA99" t="s" s="0">
        <v>97</v>
      </c>
      <c r="AB99" t="s" s="0">
        <v>84</v>
      </c>
      <c r="AC99" t="s" s="0">
        <v>84</v>
      </c>
      <c r="AD99" t="s" s="0">
        <v>84</v>
      </c>
      <c r="AE99" t="s" s="0">
        <v>84</v>
      </c>
      <c r="AF99" t="s" s="0">
        <v>84</v>
      </c>
      <c r="AG99" t="s" s="0">
        <v>3034</v>
      </c>
      <c r="AH99" t="s" s="0">
        <v>3035</v>
      </c>
      <c r="AI99" t="s" s="0">
        <v>84</v>
      </c>
      <c r="AJ99" t="s" s="0">
        <v>3036</v>
      </c>
      <c r="AK99" t="s" s="0">
        <v>84</v>
      </c>
      <c r="AL99" t="s" s="0">
        <v>1362</v>
      </c>
      <c r="AM99" t="s" s="0">
        <v>3037</v>
      </c>
      <c r="AN99" t="s" s="0">
        <v>3038</v>
      </c>
      <c r="AO99" t="s" s="0">
        <v>172</v>
      </c>
      <c r="AP99" t="s" s="0">
        <v>3039</v>
      </c>
      <c r="AQ99" t="s" s="0">
        <v>415</v>
      </c>
      <c r="AR99" t="s" s="0">
        <v>416</v>
      </c>
      <c r="AS99" t="s" s="0">
        <v>417</v>
      </c>
      <c r="AT99" t="s" s="0">
        <v>3040</v>
      </c>
      <c r="AU99" t="s" s="0">
        <v>3041</v>
      </c>
      <c r="AV99" t="s" s="0">
        <v>84</v>
      </c>
      <c r="AW99" t="s" s="0">
        <v>3042</v>
      </c>
      <c r="AX99" t="s" s="0">
        <v>3043</v>
      </c>
      <c r="AY99" t="s" s="0">
        <v>2099</v>
      </c>
      <c r="AZ99" t="s" s="0">
        <v>351</v>
      </c>
      <c r="BA99" t="s" s="0">
        <v>2587</v>
      </c>
      <c r="BB99" t="s" s="0">
        <v>84</v>
      </c>
      <c r="BC99" t="s" s="0">
        <v>84</v>
      </c>
      <c r="BD99" t="s" s="0">
        <v>84</v>
      </c>
      <c r="BE99" t="s" s="0">
        <v>84</v>
      </c>
      <c r="BF99" t="s" s="0">
        <v>84</v>
      </c>
      <c r="BG99" t="s" s="0">
        <v>84</v>
      </c>
      <c r="BH99" t="s" s="0">
        <v>84</v>
      </c>
      <c r="BI99" t="s" s="0">
        <v>3044</v>
      </c>
      <c r="BJ99" t="s" s="0">
        <v>3045</v>
      </c>
      <c r="BK99" t="s" s="195">
        <f>HYPERLINK("http://dx.doi.org/10.1016/j.artmed.2020.101822","http://dx.doi.org/10.1016/j.artmed.2020.101822")</f>
        <v>3046</v>
      </c>
      <c r="BL99" t="s" s="0">
        <v>84</v>
      </c>
      <c r="BM99" t="s" s="0">
        <v>84</v>
      </c>
      <c r="BN99" t="s" s="0">
        <v>280</v>
      </c>
      <c r="BO99" t="s" s="0">
        <v>3047</v>
      </c>
      <c r="BP99" t="s" s="0">
        <v>2006</v>
      </c>
      <c r="BQ99" t="s" s="0">
        <v>3048</v>
      </c>
      <c r="BR99" t="s" s="0">
        <v>3049</v>
      </c>
      <c r="BS99" t="s" s="0">
        <v>3050</v>
      </c>
      <c r="BT99" t="s" s="196">
        <f>HYPERLINK("https://www.webofscience.com/wos/woscc/full-record/WOS:000537804900016","View Record in Web of Science")</f>
        <v>127</v>
      </c>
      <c r="BU99" t="s" s="0">
        <v>1851</v>
      </c>
      <c r="BV99" t="s" s="0">
        <v>128</v>
      </c>
      <c r="BW99" t="s" s="0">
        <v>129</v>
      </c>
      <c r="BX99" t="s" s="0">
        <v>130</v>
      </c>
    </row>
    <row r="100">
      <c r="A100" t="s" s="0">
        <v>521</v>
      </c>
      <c r="B100" t="s" s="0">
        <v>78</v>
      </c>
      <c r="C100" t="s" s="0">
        <v>428</v>
      </c>
      <c r="D100" t="s" s="0">
        <v>78</v>
      </c>
      <c r="E100" t="s" s="0">
        <v>3051</v>
      </c>
      <c r="F100" t="s" s="0">
        <v>3052</v>
      </c>
      <c r="G100" t="s" s="0">
        <v>3053</v>
      </c>
      <c r="H100" t="s" s="0">
        <v>84</v>
      </c>
      <c r="I100" t="s" s="0">
        <v>85</v>
      </c>
      <c r="J100" t="s" s="0">
        <v>3054</v>
      </c>
      <c r="K100" t="s" s="0">
        <v>3055</v>
      </c>
      <c r="L100" t="s" s="0">
        <v>3056</v>
      </c>
      <c r="M100" t="s" s="0">
        <v>3057</v>
      </c>
      <c r="N100" t="s" s="0">
        <v>3058</v>
      </c>
      <c r="O100" t="s" s="0">
        <v>3059</v>
      </c>
      <c r="P100" t="s" s="0">
        <v>3060</v>
      </c>
      <c r="Q100" t="s" s="0">
        <v>93</v>
      </c>
      <c r="R100" t="s" s="0">
        <v>84</v>
      </c>
      <c r="S100" t="s" s="0">
        <v>84</v>
      </c>
      <c r="T100" t="s" s="0">
        <v>84</v>
      </c>
      <c r="U100" t="s" s="0">
        <v>84</v>
      </c>
      <c r="V100" t="s" s="0">
        <v>3061</v>
      </c>
      <c r="W100" t="s" s="0">
        <v>3062</v>
      </c>
      <c r="X100" t="s" s="0">
        <v>84</v>
      </c>
      <c r="Y100" t="s" s="0">
        <v>84</v>
      </c>
      <c r="Z100" t="s" s="0">
        <v>96</v>
      </c>
      <c r="AA100" t="s" s="0">
        <v>97</v>
      </c>
      <c r="AB100" t="s" s="0">
        <v>84</v>
      </c>
      <c r="AC100" t="s" s="0">
        <v>84</v>
      </c>
      <c r="AD100" t="s" s="0">
        <v>84</v>
      </c>
      <c r="AE100" t="s" s="0">
        <v>84</v>
      </c>
      <c r="AF100" t="s" s="0">
        <v>84</v>
      </c>
      <c r="AG100" t="s" s="0">
        <v>3063</v>
      </c>
      <c r="AH100" t="s" s="0">
        <v>3064</v>
      </c>
      <c r="AI100" t="s" s="0">
        <v>3065</v>
      </c>
      <c r="AJ100" t="s" s="0">
        <v>3066</v>
      </c>
      <c r="AK100" t="s" s="0">
        <v>84</v>
      </c>
      <c r="AL100" t="s" s="0">
        <v>2026</v>
      </c>
      <c r="AM100" t="s" s="0">
        <v>3067</v>
      </c>
      <c r="AN100" t="s" s="0">
        <v>718</v>
      </c>
      <c r="AO100" t="s" s="0">
        <v>521</v>
      </c>
      <c r="AP100" t="s" s="0">
        <v>3068</v>
      </c>
      <c r="AQ100" t="s" s="0">
        <v>1962</v>
      </c>
      <c r="AR100" t="s" s="0">
        <v>1963</v>
      </c>
      <c r="AS100" t="s" s="0">
        <v>1964</v>
      </c>
      <c r="AT100" t="s" s="0">
        <v>3069</v>
      </c>
      <c r="AU100" t="s" s="0">
        <v>84</v>
      </c>
      <c r="AV100" t="s" s="0">
        <v>84</v>
      </c>
      <c r="AW100" t="s" s="0">
        <v>3070</v>
      </c>
      <c r="AX100" t="s" s="0">
        <v>3071</v>
      </c>
      <c r="AY100" t="s" s="0">
        <v>2608</v>
      </c>
      <c r="AZ100" t="s" s="0">
        <v>114</v>
      </c>
      <c r="BA100" t="s" s="0">
        <v>202</v>
      </c>
      <c r="BB100" t="s" s="0">
        <v>787</v>
      </c>
      <c r="BC100" t="s" s="0">
        <v>84</v>
      </c>
      <c r="BD100" t="s" s="0">
        <v>84</v>
      </c>
      <c r="BE100" t="s" s="0">
        <v>84</v>
      </c>
      <c r="BF100" t="s" s="0">
        <v>84</v>
      </c>
      <c r="BG100" t="s" s="0">
        <v>84</v>
      </c>
      <c r="BH100" t="s" s="0">
        <v>84</v>
      </c>
      <c r="BI100" t="s" s="0">
        <v>3072</v>
      </c>
      <c r="BJ100" t="s" s="0">
        <v>3073</v>
      </c>
      <c r="BK100" t="s" s="197">
        <f>HYPERLINK("http://dx.doi.org/10.1002/admt.201800628","http://dx.doi.org/10.1002/admt.201800628")</f>
        <v>3074</v>
      </c>
      <c r="BL100" t="s" s="0">
        <v>84</v>
      </c>
      <c r="BM100" t="s" s="0">
        <v>84</v>
      </c>
      <c r="BN100" t="s" s="0">
        <v>115</v>
      </c>
      <c r="BO100" t="s" s="0">
        <v>2886</v>
      </c>
      <c r="BP100" t="s" s="0">
        <v>2887</v>
      </c>
      <c r="BQ100" t="s" s="0">
        <v>3075</v>
      </c>
      <c r="BR100" t="s" s="0">
        <v>84</v>
      </c>
      <c r="BS100" t="s" s="0">
        <v>3076</v>
      </c>
      <c r="BT100" t="s" s="198">
        <f>HYPERLINK("https://www.webofscience.com/wos/woscc/full-record/WOS:000461232400002","View Record in Web of Science")</f>
        <v>127</v>
      </c>
      <c r="BU100" t="s" s="0">
        <v>84</v>
      </c>
      <c r="BV100" t="s" s="0">
        <v>128</v>
      </c>
      <c r="BW100" t="s" s="0">
        <v>129</v>
      </c>
      <c r="BX100" t="s" s="0">
        <v>130</v>
      </c>
    </row>
    <row r="101">
      <c r="A101" t="s" s="0">
        <v>604</v>
      </c>
      <c r="B101" t="s" s="0">
        <v>78</v>
      </c>
      <c r="C101" t="s" s="0">
        <v>2148</v>
      </c>
      <c r="D101" t="s" s="0">
        <v>396</v>
      </c>
      <c r="E101" t="s" s="0">
        <v>3077</v>
      </c>
      <c r="F101" t="s" s="0">
        <v>3078</v>
      </c>
      <c r="G101" t="s" s="0">
        <v>3079</v>
      </c>
      <c r="H101" t="s" s="0">
        <v>84</v>
      </c>
      <c r="I101" t="s" s="0">
        <v>85</v>
      </c>
      <c r="J101" t="s" s="0">
        <v>3080</v>
      </c>
      <c r="K101" t="s" s="0">
        <v>3081</v>
      </c>
      <c r="L101" t="s" s="0">
        <v>3082</v>
      </c>
      <c r="M101" t="s" s="0">
        <v>3083</v>
      </c>
      <c r="N101" t="s" s="0">
        <v>3084</v>
      </c>
      <c r="O101" t="s" s="0">
        <v>3085</v>
      </c>
      <c r="P101" t="s" s="0">
        <v>3086</v>
      </c>
      <c r="Q101" t="s" s="0">
        <v>93</v>
      </c>
      <c r="R101" t="s" s="0">
        <v>84</v>
      </c>
      <c r="S101" t="s" s="0">
        <v>84</v>
      </c>
      <c r="T101" t="s" s="0">
        <v>84</v>
      </c>
      <c r="U101" t="s" s="0">
        <v>84</v>
      </c>
      <c r="V101" t="s" s="0">
        <v>3087</v>
      </c>
      <c r="W101" t="s" s="0">
        <v>3088</v>
      </c>
      <c r="X101" t="s" s="0">
        <v>84</v>
      </c>
      <c r="Y101" t="s" s="0">
        <v>84</v>
      </c>
      <c r="Z101" t="s" s="0">
        <v>96</v>
      </c>
      <c r="AA101" t="s" s="0">
        <v>97</v>
      </c>
      <c r="AB101" t="s" s="0">
        <v>84</v>
      </c>
      <c r="AC101" t="s" s="0">
        <v>84</v>
      </c>
      <c r="AD101" t="s" s="0">
        <v>84</v>
      </c>
      <c r="AE101" t="s" s="0">
        <v>84</v>
      </c>
      <c r="AF101" t="s" s="0">
        <v>84</v>
      </c>
      <c r="AG101" t="s" s="0">
        <v>3089</v>
      </c>
      <c r="AH101" t="s" s="0">
        <v>3090</v>
      </c>
      <c r="AI101" t="s" s="0">
        <v>3091</v>
      </c>
      <c r="AJ101" t="s" s="0">
        <v>3092</v>
      </c>
      <c r="AK101" t="s" s="0">
        <v>84</v>
      </c>
      <c r="AL101" t="s" s="0">
        <v>3093</v>
      </c>
      <c r="AM101" t="s" s="0">
        <v>3067</v>
      </c>
      <c r="AN101" t="s" s="0">
        <v>3094</v>
      </c>
      <c r="AO101" t="s" s="0">
        <v>459</v>
      </c>
      <c r="AP101" t="s" s="0">
        <v>3095</v>
      </c>
      <c r="AQ101" t="s" s="0">
        <v>982</v>
      </c>
      <c r="AR101" t="s" s="0">
        <v>983</v>
      </c>
      <c r="AS101" t="s" s="0">
        <v>984</v>
      </c>
      <c r="AT101" t="s" s="0">
        <v>3096</v>
      </c>
      <c r="AU101" t="s" s="0">
        <v>3097</v>
      </c>
      <c r="AV101" t="s" s="0">
        <v>84</v>
      </c>
      <c r="AW101" t="s" s="0">
        <v>3098</v>
      </c>
      <c r="AX101" t="s" s="0">
        <v>3099</v>
      </c>
      <c r="AY101" t="s" s="0">
        <v>113</v>
      </c>
      <c r="AZ101" t="s" s="0">
        <v>114</v>
      </c>
      <c r="BA101" t="s" s="0">
        <v>1942</v>
      </c>
      <c r="BB101" t="s" s="0">
        <v>116</v>
      </c>
      <c r="BC101" t="s" s="0">
        <v>84</v>
      </c>
      <c r="BD101" t="s" s="0">
        <v>84</v>
      </c>
      <c r="BE101" t="s" s="0">
        <v>84</v>
      </c>
      <c r="BF101" t="s" s="0">
        <v>84</v>
      </c>
      <c r="BG101" t="s" s="0">
        <v>3100</v>
      </c>
      <c r="BH101" t="s" s="0">
        <v>3101</v>
      </c>
      <c r="BI101" t="s" s="0">
        <v>84</v>
      </c>
      <c r="BJ101" t="s" s="0">
        <v>3102</v>
      </c>
      <c r="BK101" t="s" s="199">
        <f>HYPERLINK("http://dx.doi.org/10.1002/mp.13264","http://dx.doi.org/10.1002/mp.13264")</f>
        <v>3103</v>
      </c>
      <c r="BL101" t="s" s="0">
        <v>84</v>
      </c>
      <c r="BM101" t="s" s="0">
        <v>84</v>
      </c>
      <c r="BN101" t="s" s="0">
        <v>855</v>
      </c>
      <c r="BO101" t="s" s="0">
        <v>208</v>
      </c>
      <c r="BP101" t="s" s="0">
        <v>208</v>
      </c>
      <c r="BQ101" t="s" s="0">
        <v>3104</v>
      </c>
      <c r="BR101" t="s" s="0">
        <v>3105</v>
      </c>
      <c r="BS101" t="s" s="0">
        <v>3106</v>
      </c>
      <c r="BT101" t="s" s="200">
        <f>HYPERLINK("https://www.webofscience.com/wos/woscc/full-record/WOS:000455029900001","View Record in Web of Science")</f>
        <v>127</v>
      </c>
      <c r="BU101" t="s" s="0">
        <v>1916</v>
      </c>
      <c r="BV101" t="s" s="0">
        <v>128</v>
      </c>
      <c r="BW101" t="s" s="0">
        <v>129</v>
      </c>
      <c r="BX101" t="s" s="0">
        <v>130</v>
      </c>
    </row>
    <row r="102">
      <c r="A102" t="s" s="0">
        <v>121</v>
      </c>
      <c r="B102" t="s" s="0">
        <v>78</v>
      </c>
      <c r="C102" t="s" s="0">
        <v>3107</v>
      </c>
      <c r="D102" t="s" s="0">
        <v>78</v>
      </c>
      <c r="E102" t="s" s="0">
        <v>3108</v>
      </c>
      <c r="F102" t="s" s="0">
        <v>3109</v>
      </c>
      <c r="G102" t="s" s="0">
        <v>3110</v>
      </c>
      <c r="H102" t="s" s="0">
        <v>84</v>
      </c>
      <c r="I102" t="s" s="0">
        <v>85</v>
      </c>
      <c r="J102" t="s" s="0">
        <v>3111</v>
      </c>
      <c r="K102" t="s" s="0">
        <v>3112</v>
      </c>
      <c r="L102" t="s" s="0">
        <v>3113</v>
      </c>
      <c r="M102" t="s" s="0">
        <v>3114</v>
      </c>
      <c r="N102" t="s" s="0">
        <v>3115</v>
      </c>
      <c r="O102" t="s" s="0">
        <v>3116</v>
      </c>
      <c r="P102" t="s" s="0">
        <v>3117</v>
      </c>
      <c r="Q102" t="s" s="0">
        <v>93</v>
      </c>
      <c r="R102" t="s" s="0">
        <v>84</v>
      </c>
      <c r="S102" t="s" s="0">
        <v>84</v>
      </c>
      <c r="T102" t="s" s="0">
        <v>84</v>
      </c>
      <c r="U102" t="s" s="0">
        <v>84</v>
      </c>
      <c r="V102" t="s" s="0">
        <v>3118</v>
      </c>
      <c r="W102" t="s" s="0">
        <v>3119</v>
      </c>
      <c r="X102" t="s" s="0">
        <v>84</v>
      </c>
      <c r="Y102" t="s" s="0">
        <v>84</v>
      </c>
      <c r="Z102" t="s" s="0">
        <v>96</v>
      </c>
      <c r="AA102" t="s" s="0">
        <v>97</v>
      </c>
      <c r="AB102" t="s" s="0">
        <v>84</v>
      </c>
      <c r="AC102" t="s" s="0">
        <v>84</v>
      </c>
      <c r="AD102" t="s" s="0">
        <v>84</v>
      </c>
      <c r="AE102" t="s" s="0">
        <v>84</v>
      </c>
      <c r="AF102" t="s" s="0">
        <v>84</v>
      </c>
      <c r="AG102" t="s" s="0">
        <v>84</v>
      </c>
      <c r="AH102" t="s" s="0">
        <v>3120</v>
      </c>
      <c r="AI102" t="s" s="0">
        <v>84</v>
      </c>
      <c r="AJ102" t="s" s="0">
        <v>3121</v>
      </c>
      <c r="AK102" t="s" s="0">
        <v>84</v>
      </c>
      <c r="AL102" t="s" s="0">
        <v>1869</v>
      </c>
      <c r="AM102" t="s" s="0">
        <v>3122</v>
      </c>
      <c r="AN102" t="s" s="0">
        <v>1677</v>
      </c>
      <c r="AO102" t="s" s="0">
        <v>1702</v>
      </c>
      <c r="AP102" t="s" s="0">
        <v>3123</v>
      </c>
      <c r="AQ102" t="s" s="0">
        <v>106</v>
      </c>
      <c r="AR102" t="s" s="0">
        <v>107</v>
      </c>
      <c r="AS102" t="s" s="0">
        <v>108</v>
      </c>
      <c r="AT102" t="s" s="0">
        <v>3124</v>
      </c>
      <c r="AU102" t="s" s="0">
        <v>84</v>
      </c>
      <c r="AV102" t="s" s="0">
        <v>84</v>
      </c>
      <c r="AW102" t="s" s="0">
        <v>3125</v>
      </c>
      <c r="AX102" t="s" s="0">
        <v>3126</v>
      </c>
      <c r="AY102" t="s" s="0">
        <v>241</v>
      </c>
      <c r="AZ102" t="s" s="0">
        <v>235</v>
      </c>
      <c r="BA102" t="s" s="0">
        <v>160</v>
      </c>
      <c r="BB102" t="s" s="0">
        <v>342</v>
      </c>
      <c r="BC102" t="s" s="0">
        <v>84</v>
      </c>
      <c r="BD102" t="s" s="0">
        <v>84</v>
      </c>
      <c r="BE102" t="s" s="0">
        <v>84</v>
      </c>
      <c r="BF102" t="s" s="0">
        <v>84</v>
      </c>
      <c r="BG102" t="s" s="0">
        <v>3127</v>
      </c>
      <c r="BH102" t="s" s="0">
        <v>3128</v>
      </c>
      <c r="BI102" t="s" s="0">
        <v>84</v>
      </c>
      <c r="BJ102" t="s" s="0">
        <v>3129</v>
      </c>
      <c r="BK102" t="s" s="201">
        <f>HYPERLINK("http://dx.doi.org/10.1038/s41578-023-00552-2","http://dx.doi.org/10.1038/s41578-023-00552-2")</f>
        <v>3130</v>
      </c>
      <c r="BL102" t="s" s="0">
        <v>84</v>
      </c>
      <c r="BM102" t="s" s="0">
        <v>600</v>
      </c>
      <c r="BN102" t="s" s="0">
        <v>701</v>
      </c>
      <c r="BO102" t="s" s="0">
        <v>3131</v>
      </c>
      <c r="BP102" t="s" s="0">
        <v>3132</v>
      </c>
      <c r="BQ102" t="s" s="0">
        <v>3133</v>
      </c>
      <c r="BR102" t="s" s="0">
        <v>3134</v>
      </c>
      <c r="BS102" t="s" s="0">
        <v>3135</v>
      </c>
      <c r="BT102" t="s" s="202">
        <f>HYPERLINK("https://www.webofscience.com/wos/woscc/full-record/WOS:000955844700001","View Record in Web of Science")</f>
        <v>127</v>
      </c>
      <c r="BU102" t="s" s="0">
        <v>3136</v>
      </c>
      <c r="BV102" t="s" s="0">
        <v>128</v>
      </c>
      <c r="BW102" t="s" s="0">
        <v>129</v>
      </c>
      <c r="BX102" t="s" s="0">
        <v>130</v>
      </c>
    </row>
    <row r="103">
      <c r="A103" t="s" s="0">
        <v>1588</v>
      </c>
      <c r="B103" t="s" s="0">
        <v>78</v>
      </c>
      <c r="C103" t="s" s="0">
        <v>3137</v>
      </c>
      <c r="D103" t="s" s="0">
        <v>78</v>
      </c>
      <c r="E103" t="s" s="0">
        <v>3138</v>
      </c>
      <c r="F103" t="s" s="0">
        <v>3139</v>
      </c>
      <c r="G103" t="s" s="0">
        <v>3140</v>
      </c>
      <c r="H103" t="s" s="0">
        <v>84</v>
      </c>
      <c r="I103" t="s" s="0">
        <v>85</v>
      </c>
      <c r="J103" t="s" s="0">
        <v>3141</v>
      </c>
      <c r="K103" t="s" s="0">
        <v>3142</v>
      </c>
      <c r="L103" t="s" s="0">
        <v>3143</v>
      </c>
      <c r="M103" t="s" s="0">
        <v>3144</v>
      </c>
      <c r="N103" t="s" s="0">
        <v>3145</v>
      </c>
      <c r="O103" t="s" s="0">
        <v>3146</v>
      </c>
      <c r="P103" t="s" s="0">
        <v>3147</v>
      </c>
      <c r="Q103" t="s" s="0">
        <v>93</v>
      </c>
      <c r="R103" t="s" s="0">
        <v>84</v>
      </c>
      <c r="S103" t="s" s="0">
        <v>84</v>
      </c>
      <c r="T103" t="s" s="0">
        <v>84</v>
      </c>
      <c r="U103" t="s" s="0">
        <v>84</v>
      </c>
      <c r="V103" t="s" s="0">
        <v>3148</v>
      </c>
      <c r="W103" t="s" s="0">
        <v>3149</v>
      </c>
      <c r="X103" t="s" s="0">
        <v>84</v>
      </c>
      <c r="Y103" t="s" s="0">
        <v>84</v>
      </c>
      <c r="Z103" t="s" s="0">
        <v>96</v>
      </c>
      <c r="AA103" t="s" s="0">
        <v>97</v>
      </c>
      <c r="AB103" t="s" s="0">
        <v>84</v>
      </c>
      <c r="AC103" t="s" s="0">
        <v>84</v>
      </c>
      <c r="AD103" t="s" s="0">
        <v>84</v>
      </c>
      <c r="AE103" t="s" s="0">
        <v>84</v>
      </c>
      <c r="AF103" t="s" s="0">
        <v>84</v>
      </c>
      <c r="AG103" t="s" s="0">
        <v>84</v>
      </c>
      <c r="AH103" t="s" s="0">
        <v>3150</v>
      </c>
      <c r="AI103" t="s" s="0">
        <v>3151</v>
      </c>
      <c r="AJ103" t="s" s="0">
        <v>84</v>
      </c>
      <c r="AK103" t="s" s="0">
        <v>84</v>
      </c>
      <c r="AL103" t="s" s="0">
        <v>779</v>
      </c>
      <c r="AM103" t="s" s="0">
        <v>735</v>
      </c>
      <c r="AN103" t="s" s="0">
        <v>3152</v>
      </c>
      <c r="AO103" t="s" s="0">
        <v>242</v>
      </c>
      <c r="AP103" t="s" s="0">
        <v>395</v>
      </c>
      <c r="AQ103" t="s" s="0">
        <v>3153</v>
      </c>
      <c r="AR103" t="s" s="0">
        <v>560</v>
      </c>
      <c r="AS103" t="s" s="0">
        <v>3154</v>
      </c>
      <c r="AT103" t="s" s="0">
        <v>3155</v>
      </c>
      <c r="AU103" t="s" s="0">
        <v>3156</v>
      </c>
      <c r="AV103" t="s" s="0">
        <v>84</v>
      </c>
      <c r="AW103" t="s" s="0">
        <v>3157</v>
      </c>
      <c r="AX103" t="s" s="0">
        <v>3158</v>
      </c>
      <c r="AY103" t="s" s="0">
        <v>2072</v>
      </c>
      <c r="AZ103" t="s" s="0">
        <v>159</v>
      </c>
      <c r="BA103" t="s" s="0">
        <v>242</v>
      </c>
      <c r="BB103" t="s" s="0">
        <v>202</v>
      </c>
      <c r="BC103" t="s" s="0">
        <v>84</v>
      </c>
      <c r="BD103" t="s" s="0">
        <v>84</v>
      </c>
      <c r="BE103" t="s" s="0">
        <v>84</v>
      </c>
      <c r="BF103" t="s" s="0">
        <v>84</v>
      </c>
      <c r="BG103" t="s" s="0">
        <v>3159</v>
      </c>
      <c r="BH103" t="s" s="0">
        <v>3160</v>
      </c>
      <c r="BI103" t="s" s="0">
        <v>84</v>
      </c>
      <c r="BJ103" t="s" s="0">
        <v>3161</v>
      </c>
      <c r="BK103" t="s" s="203">
        <f>HYPERLINK("http://dx.doi.org/10.1158/2159-8290.CD-21-0090","http://dx.doi.org/10.1158/2159-8290.CD-21-0090")</f>
        <v>3162</v>
      </c>
      <c r="BL103" t="s" s="0">
        <v>84</v>
      </c>
      <c r="BM103" t="s" s="0">
        <v>84</v>
      </c>
      <c r="BN103" t="s" s="0">
        <v>538</v>
      </c>
      <c r="BO103" t="s" s="0">
        <v>317</v>
      </c>
      <c r="BP103" t="s" s="0">
        <v>317</v>
      </c>
      <c r="BQ103" t="s" s="0">
        <v>3163</v>
      </c>
      <c r="BR103" t="s" s="0">
        <v>3164</v>
      </c>
      <c r="BS103" t="s" s="0">
        <v>3165</v>
      </c>
      <c r="BT103" t="s" s="204">
        <f>HYPERLINK("https://www.webofscience.com/wos/woscc/full-record/WOS:000636962700011","View Record in Web of Science")</f>
        <v>127</v>
      </c>
      <c r="BU103" t="s" s="0">
        <v>321</v>
      </c>
      <c r="BV103" t="s" s="0">
        <v>128</v>
      </c>
      <c r="BW103" t="s" s="0">
        <v>129</v>
      </c>
      <c r="BX103" t="s" s="0">
        <v>130</v>
      </c>
    </row>
    <row r="104">
      <c r="A104" t="s" s="0">
        <v>527</v>
      </c>
      <c r="B104" t="s" s="0">
        <v>116</v>
      </c>
      <c r="C104" t="s" s="0">
        <v>665</v>
      </c>
      <c r="D104" t="s" s="0">
        <v>121</v>
      </c>
      <c r="E104" t="s" s="0">
        <v>3166</v>
      </c>
      <c r="F104" t="s" s="0">
        <v>3167</v>
      </c>
      <c r="G104" t="s" s="0">
        <v>3168</v>
      </c>
      <c r="H104" t="s" s="0">
        <v>84</v>
      </c>
      <c r="I104" t="s" s="0">
        <v>85</v>
      </c>
      <c r="J104" t="s" s="0">
        <v>3169</v>
      </c>
      <c r="K104" t="s" s="0">
        <v>3170</v>
      </c>
      <c r="L104" t="s" s="0">
        <v>84</v>
      </c>
      <c r="M104" t="s" s="0">
        <v>84</v>
      </c>
      <c r="N104" t="s" s="0">
        <v>84</v>
      </c>
      <c r="O104" t="s" s="0">
        <v>3171</v>
      </c>
      <c r="P104" t="s" s="0">
        <v>3172</v>
      </c>
      <c r="Q104" t="s" s="0">
        <v>93</v>
      </c>
      <c r="R104" t="s" s="0">
        <v>84</v>
      </c>
      <c r="S104" t="s" s="0">
        <v>84</v>
      </c>
      <c r="T104" t="s" s="0">
        <v>84</v>
      </c>
      <c r="U104" t="s" s="0">
        <v>84</v>
      </c>
      <c r="V104" t="s" s="0">
        <v>3173</v>
      </c>
      <c r="W104" t="s" s="0">
        <v>3174</v>
      </c>
      <c r="X104" t="s" s="0">
        <v>84</v>
      </c>
      <c r="Y104" t="s" s="0">
        <v>84</v>
      </c>
      <c r="Z104" t="s" s="0">
        <v>96</v>
      </c>
      <c r="AA104" t="s" s="0">
        <v>97</v>
      </c>
      <c r="AB104" t="s" s="0">
        <v>84</v>
      </c>
      <c r="AC104" t="s" s="0">
        <v>84</v>
      </c>
      <c r="AD104" t="s" s="0">
        <v>84</v>
      </c>
      <c r="AE104" t="s" s="0">
        <v>84</v>
      </c>
      <c r="AF104" t="s" s="0">
        <v>84</v>
      </c>
      <c r="AG104" t="s" s="0">
        <v>3175</v>
      </c>
      <c r="AH104" t="s" s="0">
        <v>3176</v>
      </c>
      <c r="AI104" t="s" s="0">
        <v>3177</v>
      </c>
      <c r="AJ104" t="s" s="0">
        <v>84</v>
      </c>
      <c r="AK104" t="s" s="0">
        <v>84</v>
      </c>
      <c r="AL104" t="s" s="0">
        <v>518</v>
      </c>
      <c r="AM104" t="s" s="0">
        <v>3178</v>
      </c>
      <c r="AN104" t="s" s="0">
        <v>1375</v>
      </c>
      <c r="AO104" t="s" s="0">
        <v>214</v>
      </c>
      <c r="AP104" t="s" s="0">
        <v>264</v>
      </c>
      <c r="AQ104" t="s" s="0">
        <v>3179</v>
      </c>
      <c r="AR104" t="s" s="0">
        <v>3180</v>
      </c>
      <c r="AS104" t="s" s="0">
        <v>3181</v>
      </c>
      <c r="AT104" t="s" s="0">
        <v>3182</v>
      </c>
      <c r="AU104" t="s" s="0">
        <v>3183</v>
      </c>
      <c r="AV104" t="s" s="0">
        <v>84</v>
      </c>
      <c r="AW104" t="s" s="0">
        <v>3184</v>
      </c>
      <c r="AX104" t="s" s="0">
        <v>3185</v>
      </c>
      <c r="AY104" t="s" s="0">
        <v>3186</v>
      </c>
      <c r="AZ104" t="s" s="0">
        <v>351</v>
      </c>
      <c r="BA104" t="s" s="0">
        <v>2575</v>
      </c>
      <c r="BB104" t="s" s="0">
        <v>459</v>
      </c>
      <c r="BC104" t="s" s="0">
        <v>778</v>
      </c>
      <c r="BD104" t="s" s="0">
        <v>84</v>
      </c>
      <c r="BE104" t="s" s="0">
        <v>84</v>
      </c>
      <c r="BF104" t="s" s="0">
        <v>84</v>
      </c>
      <c r="BG104" t="s" s="0">
        <v>3187</v>
      </c>
      <c r="BH104" t="s" s="0">
        <v>1429</v>
      </c>
      <c r="BI104" t="s" s="0">
        <v>84</v>
      </c>
      <c r="BJ104" t="s" s="0">
        <v>3188</v>
      </c>
      <c r="BK104" t="s" s="205">
        <f>HYPERLINK("http://dx.doi.org/10.1080/10408363.2020.1783198","http://dx.doi.org/10.1080/10408363.2020.1783198")</f>
        <v>3189</v>
      </c>
      <c r="BL104" t="s" s="0">
        <v>84</v>
      </c>
      <c r="BM104" t="s" s="0">
        <v>1761</v>
      </c>
      <c r="BN104" t="s" s="0">
        <v>264</v>
      </c>
      <c r="BO104" t="s" s="0">
        <v>3190</v>
      </c>
      <c r="BP104" t="s" s="0">
        <v>3190</v>
      </c>
      <c r="BQ104" t="s" s="0">
        <v>3191</v>
      </c>
      <c r="BR104" t="s" s="0">
        <v>84</v>
      </c>
      <c r="BS104" t="s" s="0">
        <v>3192</v>
      </c>
      <c r="BT104" t="s" s="206">
        <f>HYPERLINK("https://www.webofscience.com/wos/woscc/full-record/WOS:000547158200001","View Record in Web of Science")</f>
        <v>127</v>
      </c>
      <c r="BU104" t="s" s="0">
        <v>84</v>
      </c>
      <c r="BV104" t="s" s="0">
        <v>128</v>
      </c>
      <c r="BW104" t="s" s="0">
        <v>129</v>
      </c>
      <c r="BX104" t="s" s="0">
        <v>130</v>
      </c>
    </row>
    <row r="105">
      <c r="A105" t="s" s="0">
        <v>468</v>
      </c>
      <c r="B105" t="s" s="0">
        <v>78</v>
      </c>
      <c r="C105" t="s" s="0">
        <v>3193</v>
      </c>
      <c r="D105" t="s" s="0">
        <v>116</v>
      </c>
      <c r="E105" t="s" s="0">
        <v>3194</v>
      </c>
      <c r="F105" t="s" s="0">
        <v>3195</v>
      </c>
      <c r="G105" t="s" s="0">
        <v>3196</v>
      </c>
      <c r="H105" t="s" s="0">
        <v>84</v>
      </c>
      <c r="I105" t="s" s="0">
        <v>85</v>
      </c>
      <c r="J105" t="s" s="0">
        <v>3197</v>
      </c>
      <c r="K105" t="s" s="0">
        <v>3198</v>
      </c>
      <c r="L105" t="s" s="0">
        <v>84</v>
      </c>
      <c r="M105" t="s" s="0">
        <v>84</v>
      </c>
      <c r="N105" t="s" s="0">
        <v>84</v>
      </c>
      <c r="O105" t="s" s="0">
        <v>3199</v>
      </c>
      <c r="P105" t="s" s="0">
        <v>3200</v>
      </c>
      <c r="Q105" t="s" s="0">
        <v>93</v>
      </c>
      <c r="R105" t="s" s="0">
        <v>84</v>
      </c>
      <c r="S105" t="s" s="0">
        <v>84</v>
      </c>
      <c r="T105" t="s" s="0">
        <v>84</v>
      </c>
      <c r="U105" t="s" s="0">
        <v>84</v>
      </c>
      <c r="V105" t="s" s="0">
        <v>3201</v>
      </c>
      <c r="W105" t="s" s="0">
        <v>3202</v>
      </c>
      <c r="X105" t="s" s="0">
        <v>84</v>
      </c>
      <c r="Y105" t="s" s="0">
        <v>84</v>
      </c>
      <c r="Z105" t="s" s="0">
        <v>96</v>
      </c>
      <c r="AA105" t="s" s="0">
        <v>97</v>
      </c>
      <c r="AB105" t="s" s="0">
        <v>84</v>
      </c>
      <c r="AC105" t="s" s="0">
        <v>84</v>
      </c>
      <c r="AD105" t="s" s="0">
        <v>84</v>
      </c>
      <c r="AE105" t="s" s="0">
        <v>84</v>
      </c>
      <c r="AF105" t="s" s="0">
        <v>84</v>
      </c>
      <c r="AG105" t="s" s="0">
        <v>3203</v>
      </c>
      <c r="AH105" t="s" s="0">
        <v>3204</v>
      </c>
      <c r="AI105" t="s" s="0">
        <v>3205</v>
      </c>
      <c r="AJ105" t="s" s="0">
        <v>3206</v>
      </c>
      <c r="AK105" t="s" s="0">
        <v>84</v>
      </c>
      <c r="AL105" t="s" s="0">
        <v>2351</v>
      </c>
      <c r="AM105" t="s" s="0">
        <v>3207</v>
      </c>
      <c r="AN105" t="s" s="0">
        <v>3208</v>
      </c>
      <c r="AO105" t="s" s="0">
        <v>172</v>
      </c>
      <c r="AP105" t="s" s="0">
        <v>3209</v>
      </c>
      <c r="AQ105" t="s" s="0">
        <v>809</v>
      </c>
      <c r="AR105" t="s" s="0">
        <v>704</v>
      </c>
      <c r="AS105" t="s" s="0">
        <v>810</v>
      </c>
      <c r="AT105" t="s" s="0">
        <v>3210</v>
      </c>
      <c r="AU105" t="s" s="0">
        <v>3211</v>
      </c>
      <c r="AV105" t="s" s="0">
        <v>84</v>
      </c>
      <c r="AW105" t="s" s="0">
        <v>3212</v>
      </c>
      <c r="AX105" t="s" s="0">
        <v>3213</v>
      </c>
      <c r="AY105" t="s" s="0">
        <v>3214</v>
      </c>
      <c r="AZ105" t="s" s="0">
        <v>351</v>
      </c>
      <c r="BA105" t="s" s="0">
        <v>1942</v>
      </c>
      <c r="BB105" t="s" s="0">
        <v>787</v>
      </c>
      <c r="BC105" t="s" s="0">
        <v>84</v>
      </c>
      <c r="BD105" t="s" s="0">
        <v>84</v>
      </c>
      <c r="BE105" t="s" s="0">
        <v>84</v>
      </c>
      <c r="BF105" t="s" s="0">
        <v>84</v>
      </c>
      <c r="BG105" t="s" s="0">
        <v>3093</v>
      </c>
      <c r="BH105" t="s" s="0">
        <v>2487</v>
      </c>
      <c r="BI105" t="s" s="0">
        <v>84</v>
      </c>
      <c r="BJ105" t="s" s="0">
        <v>3215</v>
      </c>
      <c r="BK105" t="s" s="207">
        <f>HYPERLINK("http://dx.doi.org/10.1007/s00134-019-05872-y","http://dx.doi.org/10.1007/s00134-019-05872-y")</f>
        <v>3216</v>
      </c>
      <c r="BL105" t="s" s="0">
        <v>84</v>
      </c>
      <c r="BM105" t="s" s="0">
        <v>84</v>
      </c>
      <c r="BN105" t="s" s="0">
        <v>312</v>
      </c>
      <c r="BO105" t="s" s="0">
        <v>3217</v>
      </c>
      <c r="BP105" t="s" s="0">
        <v>282</v>
      </c>
      <c r="BQ105" t="s" s="0">
        <v>3218</v>
      </c>
      <c r="BR105" t="s" s="0">
        <v>3219</v>
      </c>
      <c r="BS105" t="s" s="0">
        <v>3220</v>
      </c>
      <c r="BT105" t="s" s="208">
        <f>HYPERLINK("https://www.webofscience.com/wos/woscc/full-record/WOS:000519960500001","View Record in Web of Science")</f>
        <v>127</v>
      </c>
      <c r="BU105" t="s" s="0">
        <v>1713</v>
      </c>
      <c r="BV105" t="s" s="0">
        <v>128</v>
      </c>
      <c r="BW105" t="s" s="0">
        <v>129</v>
      </c>
      <c r="BX105" t="s" s="0">
        <v>130</v>
      </c>
    </row>
    <row r="106">
      <c r="A106" t="s" s="0">
        <v>117</v>
      </c>
      <c r="B106" t="s" s="0">
        <v>78</v>
      </c>
      <c r="C106" t="s" s="0">
        <v>468</v>
      </c>
      <c r="D106" t="s" s="0">
        <v>78</v>
      </c>
      <c r="E106" t="s" s="0">
        <v>3221</v>
      </c>
      <c r="F106" t="s" s="0">
        <v>3222</v>
      </c>
      <c r="G106" t="s" s="0">
        <v>3223</v>
      </c>
      <c r="H106" t="s" s="0">
        <v>84</v>
      </c>
      <c r="I106" t="s" s="0">
        <v>85</v>
      </c>
      <c r="J106" t="s" s="0">
        <v>3224</v>
      </c>
      <c r="K106" t="s" s="0">
        <v>3225</v>
      </c>
      <c r="L106" t="s" s="0">
        <v>84</v>
      </c>
      <c r="M106" t="s" s="0">
        <v>84</v>
      </c>
      <c r="N106" t="s" s="0">
        <v>84</v>
      </c>
      <c r="O106" t="s" s="0">
        <v>3226</v>
      </c>
      <c r="P106" t="s" s="0">
        <v>3227</v>
      </c>
      <c r="Q106" t="s" s="0">
        <v>93</v>
      </c>
      <c r="R106" t="s" s="0">
        <v>84</v>
      </c>
      <c r="S106" t="s" s="0">
        <v>84</v>
      </c>
      <c r="T106" t="s" s="0">
        <v>84</v>
      </c>
      <c r="U106" t="s" s="0">
        <v>84</v>
      </c>
      <c r="V106" t="s" s="0">
        <v>3228</v>
      </c>
      <c r="W106" t="s" s="0">
        <v>3229</v>
      </c>
      <c r="X106" t="s" s="0">
        <v>84</v>
      </c>
      <c r="Y106" t="s" s="0">
        <v>84</v>
      </c>
      <c r="Z106" t="s" s="0">
        <v>96</v>
      </c>
      <c r="AA106" t="s" s="0">
        <v>97</v>
      </c>
      <c r="AB106" t="s" s="0">
        <v>84</v>
      </c>
      <c r="AC106" t="s" s="0">
        <v>84</v>
      </c>
      <c r="AD106" t="s" s="0">
        <v>84</v>
      </c>
      <c r="AE106" t="s" s="0">
        <v>84</v>
      </c>
      <c r="AF106" t="s" s="0">
        <v>84</v>
      </c>
      <c r="AG106" t="s" s="0">
        <v>3230</v>
      </c>
      <c r="AH106" t="s" s="0">
        <v>3231</v>
      </c>
      <c r="AI106" t="s" s="0">
        <v>3232</v>
      </c>
      <c r="AJ106" t="s" s="0">
        <v>3233</v>
      </c>
      <c r="AK106" t="s" s="0">
        <v>84</v>
      </c>
      <c r="AL106" t="s" s="0">
        <v>3234</v>
      </c>
      <c r="AM106" t="s" s="0">
        <v>3235</v>
      </c>
      <c r="AN106" t="s" s="0">
        <v>3236</v>
      </c>
      <c r="AO106" t="s" s="0">
        <v>521</v>
      </c>
      <c r="AP106" t="s" s="0">
        <v>1290</v>
      </c>
      <c r="AQ106" t="s" s="0">
        <v>3237</v>
      </c>
      <c r="AR106" t="s" s="0">
        <v>3238</v>
      </c>
      <c r="AS106" t="s" s="0">
        <v>3239</v>
      </c>
      <c r="AT106" t="s" s="0">
        <v>3240</v>
      </c>
      <c r="AU106" t="s" s="0">
        <v>3241</v>
      </c>
      <c r="AV106" t="s" s="0">
        <v>84</v>
      </c>
      <c r="AW106" t="s" s="0">
        <v>3242</v>
      </c>
      <c r="AX106" t="s" s="0">
        <v>3243</v>
      </c>
      <c r="AY106" t="s" s="0">
        <v>3244</v>
      </c>
      <c r="AZ106" t="s" s="0">
        <v>159</v>
      </c>
      <c r="BA106" t="s" s="0">
        <v>1017</v>
      </c>
      <c r="BB106" t="s" s="0">
        <v>172</v>
      </c>
      <c r="BC106" t="s" s="0">
        <v>84</v>
      </c>
      <c r="BD106" t="s" s="0">
        <v>84</v>
      </c>
      <c r="BE106" t="s" s="0">
        <v>84</v>
      </c>
      <c r="BF106" t="s" s="0">
        <v>84</v>
      </c>
      <c r="BG106" t="s" s="0">
        <v>84</v>
      </c>
      <c r="BH106" t="s" s="0">
        <v>84</v>
      </c>
      <c r="BI106" t="s" s="0">
        <v>3245</v>
      </c>
      <c r="BJ106" t="s" s="0">
        <v>3246</v>
      </c>
      <c r="BK106" t="s" s="209">
        <f>HYPERLINK("http://dx.doi.org/10.1088/1361-6633/ac0a50","http://dx.doi.org/10.1088/1361-6633/ac0a50")</f>
        <v>3247</v>
      </c>
      <c r="BL106" t="s" s="0">
        <v>84</v>
      </c>
      <c r="BM106" t="s" s="0">
        <v>84</v>
      </c>
      <c r="BN106" t="s" s="0">
        <v>2351</v>
      </c>
      <c r="BO106" t="s" s="0">
        <v>389</v>
      </c>
      <c r="BP106" t="s" s="0">
        <v>390</v>
      </c>
      <c r="BQ106" t="s" s="0">
        <v>3248</v>
      </c>
      <c r="BR106" t="s" s="0">
        <v>3249</v>
      </c>
      <c r="BS106" t="s" s="0">
        <v>3250</v>
      </c>
      <c r="BT106" t="s" s="210">
        <f>HYPERLINK("https://www.webofscience.com/wos/woscc/full-record/WOS:000694432000001","View Record in Web of Science")</f>
        <v>127</v>
      </c>
      <c r="BU106" t="s" s="0">
        <v>84</v>
      </c>
      <c r="BV106" t="s" s="0">
        <v>128</v>
      </c>
      <c r="BW106" t="s" s="0">
        <v>129</v>
      </c>
      <c r="BX106" t="s" s="0">
        <v>130</v>
      </c>
    </row>
    <row r="107">
      <c r="A107" t="s" s="0">
        <v>172</v>
      </c>
      <c r="B107" t="s" s="0">
        <v>78</v>
      </c>
      <c r="C107" t="s" s="0">
        <v>537</v>
      </c>
      <c r="D107" t="s" s="0">
        <v>116</v>
      </c>
      <c r="E107" t="s" s="0">
        <v>3251</v>
      </c>
      <c r="F107" t="s" s="0">
        <v>3252</v>
      </c>
      <c r="G107" t="s" s="0">
        <v>3253</v>
      </c>
      <c r="H107" t="s" s="0">
        <v>84</v>
      </c>
      <c r="I107" t="s" s="0">
        <v>85</v>
      </c>
      <c r="J107" t="s" s="0">
        <v>3254</v>
      </c>
      <c r="K107" t="s" s="0">
        <v>3255</v>
      </c>
      <c r="L107" t="s" s="0">
        <v>84</v>
      </c>
      <c r="M107" t="s" s="0">
        <v>84</v>
      </c>
      <c r="N107" t="s" s="0">
        <v>84</v>
      </c>
      <c r="O107" t="s" s="0">
        <v>3256</v>
      </c>
      <c r="P107" t="s" s="0">
        <v>3257</v>
      </c>
      <c r="Q107" t="s" s="0">
        <v>93</v>
      </c>
      <c r="R107" t="s" s="0">
        <v>84</v>
      </c>
      <c r="S107" t="s" s="0">
        <v>84</v>
      </c>
      <c r="T107" t="s" s="0">
        <v>84</v>
      </c>
      <c r="U107" t="s" s="0">
        <v>84</v>
      </c>
      <c r="V107" t="s" s="0">
        <v>3258</v>
      </c>
      <c r="W107" t="s" s="0">
        <v>3259</v>
      </c>
      <c r="X107" t="s" s="0">
        <v>84</v>
      </c>
      <c r="Y107" t="s" s="0">
        <v>84</v>
      </c>
      <c r="Z107" t="s" s="0">
        <v>96</v>
      </c>
      <c r="AA107" t="s" s="0">
        <v>97</v>
      </c>
      <c r="AB107" t="s" s="0">
        <v>84</v>
      </c>
      <c r="AC107" t="s" s="0">
        <v>84</v>
      </c>
      <c r="AD107" t="s" s="0">
        <v>84</v>
      </c>
      <c r="AE107" t="s" s="0">
        <v>84</v>
      </c>
      <c r="AF107" t="s" s="0">
        <v>84</v>
      </c>
      <c r="AG107" t="s" s="0">
        <v>3260</v>
      </c>
      <c r="AH107" t="s" s="0">
        <v>3261</v>
      </c>
      <c r="AI107" t="s" s="0">
        <v>3262</v>
      </c>
      <c r="AJ107" t="s" s="0">
        <v>3263</v>
      </c>
      <c r="AK107" t="s" s="0">
        <v>84</v>
      </c>
      <c r="AL107" t="s" s="0">
        <v>3264</v>
      </c>
      <c r="AM107" t="s" s="0">
        <v>1382</v>
      </c>
      <c r="AN107" t="s" s="0">
        <v>2254</v>
      </c>
      <c r="AO107" t="s" s="0">
        <v>2877</v>
      </c>
      <c r="AP107" t="s" s="0">
        <v>3265</v>
      </c>
      <c r="AQ107" t="s" s="0">
        <v>1119</v>
      </c>
      <c r="AR107" t="s" s="0">
        <v>1120</v>
      </c>
      <c r="AS107" t="s" s="0">
        <v>1121</v>
      </c>
      <c r="AT107" t="s" s="0">
        <v>84</v>
      </c>
      <c r="AU107" t="s" s="0">
        <v>3266</v>
      </c>
      <c r="AV107" t="s" s="0">
        <v>84</v>
      </c>
      <c r="AW107" t="s" s="0">
        <v>3259</v>
      </c>
      <c r="AX107" t="s" s="0">
        <v>3267</v>
      </c>
      <c r="AY107" t="s" s="0">
        <v>3268</v>
      </c>
      <c r="AZ107" t="s" s="0">
        <v>567</v>
      </c>
      <c r="BA107" t="s" s="0">
        <v>527</v>
      </c>
      <c r="BB107" t="s" s="0">
        <v>202</v>
      </c>
      <c r="BC107" t="s" s="0">
        <v>84</v>
      </c>
      <c r="BD107" t="s" s="0">
        <v>84</v>
      </c>
      <c r="BE107" t="s" s="0">
        <v>84</v>
      </c>
      <c r="BF107" t="s" s="0">
        <v>84</v>
      </c>
      <c r="BG107" t="s" s="0">
        <v>84</v>
      </c>
      <c r="BH107" t="s" s="0">
        <v>84</v>
      </c>
      <c r="BI107" t="s" s="0">
        <v>3269</v>
      </c>
      <c r="BJ107" t="s" s="0">
        <v>3270</v>
      </c>
      <c r="BK107" t="s" s="211">
        <f>HYPERLINK("http://dx.doi.org/10.1016/j.heliyon.2024.e26297","http://dx.doi.org/10.1016/j.heliyon.2024.e26297")</f>
        <v>3271</v>
      </c>
      <c r="BL107" t="s" s="0">
        <v>84</v>
      </c>
      <c r="BM107" t="s" s="0">
        <v>3272</v>
      </c>
      <c r="BN107" t="s" s="0">
        <v>604</v>
      </c>
      <c r="BO107" t="s" s="0">
        <v>750</v>
      </c>
      <c r="BP107" t="s" s="0">
        <v>751</v>
      </c>
      <c r="BQ107" t="s" s="0">
        <v>3273</v>
      </c>
      <c r="BR107" t="s" s="0">
        <v>3274</v>
      </c>
      <c r="BS107" t="s" s="0">
        <v>3275</v>
      </c>
      <c r="BT107" t="s" s="212">
        <f>HYPERLINK("https://www.webofscience.com/wos/woscc/full-record/WOS:001188935900001","View Record in Web of Science")</f>
        <v>127</v>
      </c>
      <c r="BU107" t="s" s="0">
        <v>170</v>
      </c>
      <c r="BV107" t="s" s="0">
        <v>128</v>
      </c>
      <c r="BW107" t="s" s="0">
        <v>129</v>
      </c>
      <c r="BX107" t="s" s="0">
        <v>130</v>
      </c>
    </row>
    <row r="108">
      <c r="A108" t="s" s="0">
        <v>280</v>
      </c>
      <c r="B108" t="s" s="0">
        <v>78</v>
      </c>
      <c r="C108" t="s" s="0">
        <v>997</v>
      </c>
      <c r="D108" t="s" s="0">
        <v>78</v>
      </c>
      <c r="E108" t="s" s="0">
        <v>3276</v>
      </c>
      <c r="F108" t="s" s="0">
        <v>3277</v>
      </c>
      <c r="G108" t="s" s="0">
        <v>3278</v>
      </c>
      <c r="H108" t="s" s="0">
        <v>84</v>
      </c>
      <c r="I108" t="s" s="0">
        <v>251</v>
      </c>
      <c r="J108" t="s" s="0">
        <v>3279</v>
      </c>
      <c r="K108" t="s" s="0">
        <v>3280</v>
      </c>
      <c r="L108" t="s" s="0">
        <v>3281</v>
      </c>
      <c r="M108" t="s" s="0">
        <v>3282</v>
      </c>
      <c r="N108" t="s" s="0">
        <v>3283</v>
      </c>
      <c r="O108" t="s" s="0">
        <v>3284</v>
      </c>
      <c r="P108" t="s" s="0">
        <v>3285</v>
      </c>
      <c r="Q108" t="s" s="0">
        <v>93</v>
      </c>
      <c r="R108" t="s" s="0">
        <v>84</v>
      </c>
      <c r="S108" t="s" s="0">
        <v>84</v>
      </c>
      <c r="T108" t="s" s="0">
        <v>84</v>
      </c>
      <c r="U108" t="s" s="0">
        <v>84</v>
      </c>
      <c r="V108" t="s" s="0">
        <v>3286</v>
      </c>
      <c r="W108" t="s" s="0">
        <v>1448</v>
      </c>
      <c r="X108" t="s" s="0">
        <v>84</v>
      </c>
      <c r="Y108" t="s" s="0">
        <v>84</v>
      </c>
      <c r="Z108" t="s" s="0">
        <v>96</v>
      </c>
      <c r="AA108" t="s" s="0">
        <v>97</v>
      </c>
      <c r="AB108" t="s" s="0">
        <v>84</v>
      </c>
      <c r="AC108" t="s" s="0">
        <v>84</v>
      </c>
      <c r="AD108" t="s" s="0">
        <v>84</v>
      </c>
      <c r="AE108" t="s" s="0">
        <v>84</v>
      </c>
      <c r="AF108" t="s" s="0">
        <v>84</v>
      </c>
      <c r="AG108" t="s" s="0">
        <v>3287</v>
      </c>
      <c r="AH108" t="s" s="0">
        <v>3288</v>
      </c>
      <c r="AI108" t="s" s="0">
        <v>3289</v>
      </c>
      <c r="AJ108" t="s" s="0">
        <v>3290</v>
      </c>
      <c r="AK108" t="s" s="0">
        <v>84</v>
      </c>
      <c r="AL108" t="s" s="0">
        <v>2325</v>
      </c>
      <c r="AM108" t="s" s="0">
        <v>3291</v>
      </c>
      <c r="AN108" t="s" s="0">
        <v>3292</v>
      </c>
      <c r="AO108" t="s" s="0">
        <v>787</v>
      </c>
      <c r="AP108" t="s" s="0">
        <v>631</v>
      </c>
      <c r="AQ108" t="s" s="0">
        <v>632</v>
      </c>
      <c r="AR108" t="s" s="0">
        <v>633</v>
      </c>
      <c r="AS108" t="s" s="0">
        <v>634</v>
      </c>
      <c r="AT108" t="s" s="0">
        <v>1456</v>
      </c>
      <c r="AU108" t="s" s="0">
        <v>1457</v>
      </c>
      <c r="AV108" t="s" s="0">
        <v>84</v>
      </c>
      <c r="AW108" t="s" s="0">
        <v>1458</v>
      </c>
      <c r="AX108" t="s" s="0">
        <v>1459</v>
      </c>
      <c r="AY108" t="s" s="0">
        <v>526</v>
      </c>
      <c r="AZ108" t="s" s="0">
        <v>201</v>
      </c>
      <c r="BA108" t="s" s="0">
        <v>115</v>
      </c>
      <c r="BB108" t="s" s="0">
        <v>527</v>
      </c>
      <c r="BC108" t="s" s="0">
        <v>84</v>
      </c>
      <c r="BD108" t="s" s="0">
        <v>84</v>
      </c>
      <c r="BE108" t="s" s="0">
        <v>84</v>
      </c>
      <c r="BF108" t="s" s="0">
        <v>84</v>
      </c>
      <c r="BG108" t="s" s="0">
        <v>3293</v>
      </c>
      <c r="BH108" t="s" s="0">
        <v>3294</v>
      </c>
      <c r="BI108" t="s" s="0">
        <v>84</v>
      </c>
      <c r="BJ108" t="s" s="0">
        <v>3295</v>
      </c>
      <c r="BK108" t="s" s="213">
        <f>HYPERLINK("http://dx.doi.org/10.1093/jamia/ocy068","http://dx.doi.org/10.1093/jamia/ocy068")</f>
        <v>3296</v>
      </c>
      <c r="BL108" t="s" s="0">
        <v>84</v>
      </c>
      <c r="BM108" t="s" s="0">
        <v>84</v>
      </c>
      <c r="BN108" t="s" s="0">
        <v>527</v>
      </c>
      <c r="BO108" t="s" s="0">
        <v>1465</v>
      </c>
      <c r="BP108" t="s" s="0">
        <v>1466</v>
      </c>
      <c r="BQ108" t="s" s="0">
        <v>3297</v>
      </c>
      <c r="BR108" t="s" s="0">
        <v>3298</v>
      </c>
      <c r="BS108" t="s" s="0">
        <v>3299</v>
      </c>
      <c r="BT108" t="s" s="214">
        <f>HYPERLINK("https://www.webofscience.com/wos/woscc/full-record/WOS:000448166200019","View Record in Web of Science")</f>
        <v>127</v>
      </c>
      <c r="BU108" t="s" s="0">
        <v>1851</v>
      </c>
      <c r="BV108" t="s" s="0">
        <v>128</v>
      </c>
      <c r="BW108" t="s" s="0">
        <v>129</v>
      </c>
      <c r="BX108" t="s" s="0">
        <v>130</v>
      </c>
    </row>
    <row r="109">
      <c r="A109" t="s" s="0">
        <v>396</v>
      </c>
      <c r="B109" t="s" s="0">
        <v>78</v>
      </c>
      <c r="C109" t="s" s="0">
        <v>3300</v>
      </c>
      <c r="D109" t="s" s="0">
        <v>116</v>
      </c>
      <c r="E109" t="s" s="0">
        <v>3301</v>
      </c>
      <c r="F109" t="s" s="0">
        <v>3302</v>
      </c>
      <c r="G109" t="s" s="0">
        <v>3303</v>
      </c>
      <c r="H109" t="s" s="0">
        <v>84</v>
      </c>
      <c r="I109" t="s" s="0">
        <v>85</v>
      </c>
      <c r="J109" t="s" s="0">
        <v>3304</v>
      </c>
      <c r="K109" t="s" s="0">
        <v>3305</v>
      </c>
      <c r="L109" t="s" s="0">
        <v>84</v>
      </c>
      <c r="M109" t="s" s="0">
        <v>84</v>
      </c>
      <c r="N109" t="s" s="0">
        <v>84</v>
      </c>
      <c r="O109" t="s" s="0">
        <v>3306</v>
      </c>
      <c r="P109" t="s" s="0">
        <v>84</v>
      </c>
      <c r="Q109" t="s" s="0">
        <v>93</v>
      </c>
      <c r="R109" t="s" s="0">
        <v>84</v>
      </c>
      <c r="S109" t="s" s="0">
        <v>84</v>
      </c>
      <c r="T109" t="s" s="0">
        <v>84</v>
      </c>
      <c r="U109" t="s" s="0">
        <v>84</v>
      </c>
      <c r="V109" t="s" s="0">
        <v>3307</v>
      </c>
      <c r="W109" t="s" s="0">
        <v>3308</v>
      </c>
      <c r="X109" t="s" s="0">
        <v>84</v>
      </c>
      <c r="Y109" t="s" s="0">
        <v>84</v>
      </c>
      <c r="Z109" t="s" s="0">
        <v>96</v>
      </c>
      <c r="AA109" t="s" s="0">
        <v>97</v>
      </c>
      <c r="AB109" t="s" s="0">
        <v>84</v>
      </c>
      <c r="AC109" t="s" s="0">
        <v>84</v>
      </c>
      <c r="AD109" t="s" s="0">
        <v>84</v>
      </c>
      <c r="AE109" t="s" s="0">
        <v>84</v>
      </c>
      <c r="AF109" t="s" s="0">
        <v>84</v>
      </c>
      <c r="AG109" t="s" s="0">
        <v>3309</v>
      </c>
      <c r="AH109" t="s" s="0">
        <v>3310</v>
      </c>
      <c r="AI109" t="s" s="0">
        <v>3311</v>
      </c>
      <c r="AJ109" t="s" s="0">
        <v>3312</v>
      </c>
      <c r="AK109" t="s" s="0">
        <v>84</v>
      </c>
      <c r="AL109" t="s" s="0">
        <v>1876</v>
      </c>
      <c r="AM109" t="s" s="0">
        <v>3313</v>
      </c>
      <c r="AN109" t="s" s="0">
        <v>3314</v>
      </c>
      <c r="AO109" t="s" s="0">
        <v>468</v>
      </c>
      <c r="AP109" t="s" s="0">
        <v>3315</v>
      </c>
      <c r="AQ109" t="s" s="0">
        <v>379</v>
      </c>
      <c r="AR109" t="s" s="0">
        <v>380</v>
      </c>
      <c r="AS109" t="s" s="0">
        <v>381</v>
      </c>
      <c r="AT109" t="s" s="0">
        <v>84</v>
      </c>
      <c r="AU109" t="s" s="0">
        <v>3316</v>
      </c>
      <c r="AV109" t="s" s="0">
        <v>84</v>
      </c>
      <c r="AW109" t="s" s="0">
        <v>3308</v>
      </c>
      <c r="AX109" t="s" s="0">
        <v>3317</v>
      </c>
      <c r="AY109" t="s" s="0">
        <v>3318</v>
      </c>
      <c r="AZ109" t="s" s="0">
        <v>235</v>
      </c>
      <c r="BA109" t="s" s="0">
        <v>121</v>
      </c>
      <c r="BB109" t="s" s="0">
        <v>701</v>
      </c>
      <c r="BC109" t="s" s="0">
        <v>84</v>
      </c>
      <c r="BD109" t="s" s="0">
        <v>84</v>
      </c>
      <c r="BE109" t="s" s="0">
        <v>84</v>
      </c>
      <c r="BF109" t="s" s="0">
        <v>84</v>
      </c>
      <c r="BG109" t="s" s="0">
        <v>84</v>
      </c>
      <c r="BH109" t="s" s="0">
        <v>84</v>
      </c>
      <c r="BI109" t="s" s="0">
        <v>3319</v>
      </c>
      <c r="BJ109" t="s" s="0">
        <v>3320</v>
      </c>
      <c r="BK109" t="s" s="215">
        <f>HYPERLINK("http://dx.doi.org/10.3390/diagnostics13172760","http://dx.doi.org/10.3390/diagnostics13172760")</f>
        <v>3321</v>
      </c>
      <c r="BL109" t="s" s="0">
        <v>84</v>
      </c>
      <c r="BM109" t="s" s="0">
        <v>84</v>
      </c>
      <c r="BN109" t="s" s="0">
        <v>115</v>
      </c>
      <c r="BO109" t="s" s="0">
        <v>281</v>
      </c>
      <c r="BP109" t="s" s="0">
        <v>282</v>
      </c>
      <c r="BQ109" t="s" s="0">
        <v>3322</v>
      </c>
      <c r="BR109" t="s" s="0">
        <v>3323</v>
      </c>
      <c r="BS109" t="s" s="0">
        <v>3324</v>
      </c>
      <c r="BT109" t="s" s="216">
        <f>HYPERLINK("https://www.webofscience.com/wos/woscc/full-record/WOS:001061049600001","View Record in Web of Science")</f>
        <v>127</v>
      </c>
      <c r="BU109" t="s" s="0">
        <v>170</v>
      </c>
      <c r="BV109" t="s" s="0">
        <v>128</v>
      </c>
      <c r="BW109" t="s" s="0">
        <v>129</v>
      </c>
      <c r="BX109" t="s" s="0">
        <v>130</v>
      </c>
    </row>
    <row r="110">
      <c r="A110" t="s" s="0">
        <v>1130</v>
      </c>
      <c r="B110" t="s" s="0">
        <v>78</v>
      </c>
      <c r="C110" t="s" s="0">
        <v>1328</v>
      </c>
      <c r="D110" t="s" s="0">
        <v>78</v>
      </c>
      <c r="E110" t="s" s="0">
        <v>3325</v>
      </c>
      <c r="F110" t="s" s="0">
        <v>3326</v>
      </c>
      <c r="G110" t="s" s="0">
        <v>3327</v>
      </c>
      <c r="H110" t="s" s="0">
        <v>84</v>
      </c>
      <c r="I110" t="s" s="0">
        <v>85</v>
      </c>
      <c r="J110" t="s" s="0">
        <v>3328</v>
      </c>
      <c r="K110" t="s" s="0">
        <v>3329</v>
      </c>
      <c r="L110" t="s" s="0">
        <v>3330</v>
      </c>
      <c r="M110" t="s" s="0">
        <v>3331</v>
      </c>
      <c r="N110" t="s" s="0">
        <v>3332</v>
      </c>
      <c r="O110" t="s" s="0">
        <v>3333</v>
      </c>
      <c r="P110" t="s" s="0">
        <v>3334</v>
      </c>
      <c r="Q110" t="s" s="0">
        <v>93</v>
      </c>
      <c r="R110" t="s" s="0">
        <v>84</v>
      </c>
      <c r="S110" t="s" s="0">
        <v>84</v>
      </c>
      <c r="T110" t="s" s="0">
        <v>84</v>
      </c>
      <c r="U110" t="s" s="0">
        <v>84</v>
      </c>
      <c r="V110" t="s" s="0">
        <v>3335</v>
      </c>
      <c r="W110" t="s" s="0">
        <v>3336</v>
      </c>
      <c r="X110" t="s" s="0">
        <v>84</v>
      </c>
      <c r="Y110" t="s" s="0">
        <v>84</v>
      </c>
      <c r="Z110" t="s" s="0">
        <v>96</v>
      </c>
      <c r="AA110" t="s" s="0">
        <v>97</v>
      </c>
      <c r="AB110" t="s" s="0">
        <v>84</v>
      </c>
      <c r="AC110" t="s" s="0">
        <v>84</v>
      </c>
      <c r="AD110" t="s" s="0">
        <v>84</v>
      </c>
      <c r="AE110" t="s" s="0">
        <v>84</v>
      </c>
      <c r="AF110" t="s" s="0">
        <v>84</v>
      </c>
      <c r="AG110" t="s" s="0">
        <v>3337</v>
      </c>
      <c r="AH110" t="s" s="0">
        <v>3338</v>
      </c>
      <c r="AI110" t="s" s="0">
        <v>3339</v>
      </c>
      <c r="AJ110" t="s" s="0">
        <v>3340</v>
      </c>
      <c r="AK110" t="s" s="0">
        <v>84</v>
      </c>
      <c r="AL110" t="s" s="0">
        <v>2765</v>
      </c>
      <c r="AM110" t="s" s="0">
        <v>3341</v>
      </c>
      <c r="AN110" t="s" s="0">
        <v>2435</v>
      </c>
      <c r="AO110" t="s" s="0">
        <v>242</v>
      </c>
      <c r="AP110" t="s" s="0">
        <v>3342</v>
      </c>
      <c r="AQ110" t="s" s="0">
        <v>3237</v>
      </c>
      <c r="AR110" t="s" s="0">
        <v>3238</v>
      </c>
      <c r="AS110" t="s" s="0">
        <v>3239</v>
      </c>
      <c r="AT110" t="s" s="0">
        <v>3343</v>
      </c>
      <c r="AU110" t="s" s="0">
        <v>3344</v>
      </c>
      <c r="AV110" t="s" s="0">
        <v>84</v>
      </c>
      <c r="AW110" t="s" s="0">
        <v>3345</v>
      </c>
      <c r="AX110" t="s" s="0">
        <v>3346</v>
      </c>
      <c r="AY110" t="s" s="0">
        <v>3347</v>
      </c>
      <c r="AZ110" t="s" s="0">
        <v>351</v>
      </c>
      <c r="BA110" t="s" s="0">
        <v>2035</v>
      </c>
      <c r="BB110" t="s" s="0">
        <v>604</v>
      </c>
      <c r="BC110" t="s" s="0">
        <v>84</v>
      </c>
      <c r="BD110" t="s" s="0">
        <v>84</v>
      </c>
      <c r="BE110" t="s" s="0">
        <v>84</v>
      </c>
      <c r="BF110" t="s" s="0">
        <v>84</v>
      </c>
      <c r="BG110" t="s" s="0">
        <v>84</v>
      </c>
      <c r="BH110" t="s" s="0">
        <v>84</v>
      </c>
      <c r="BI110" t="s" s="0">
        <v>3348</v>
      </c>
      <c r="BJ110" t="s" s="0">
        <v>3349</v>
      </c>
      <c r="BK110" t="s" s="217">
        <f>HYPERLINK("http://dx.doi.org/10.1088/1361-6560/ab843e","http://dx.doi.org/10.1088/1361-6560/ab843e")</f>
        <v>3350</v>
      </c>
      <c r="BL110" t="s" s="0">
        <v>84</v>
      </c>
      <c r="BM110" t="s" s="0">
        <v>84</v>
      </c>
      <c r="BN110" t="s" s="0">
        <v>850</v>
      </c>
      <c r="BO110" t="s" s="0">
        <v>3351</v>
      </c>
      <c r="BP110" t="s" s="0">
        <v>3352</v>
      </c>
      <c r="BQ110" t="s" s="0">
        <v>3353</v>
      </c>
      <c r="BR110" t="s" s="0">
        <v>3354</v>
      </c>
      <c r="BS110" t="s" s="0">
        <v>3355</v>
      </c>
      <c r="BT110" t="s" s="218">
        <f>HYPERLINK("https://www.webofscience.com/wos/woscc/full-record/WOS:000583389600001","View Record in Web of Science")</f>
        <v>127</v>
      </c>
      <c r="BU110" t="s" s="0">
        <v>1916</v>
      </c>
      <c r="BV110" t="s" s="0">
        <v>128</v>
      </c>
      <c r="BW110" t="s" s="0">
        <v>129</v>
      </c>
      <c r="BX110" t="s" s="0">
        <v>130</v>
      </c>
    </row>
    <row r="111">
      <c r="A111" t="s" s="0">
        <v>527</v>
      </c>
      <c r="B111" t="s" s="0">
        <v>78</v>
      </c>
      <c r="C111" t="s" s="0">
        <v>339</v>
      </c>
      <c r="D111" t="s" s="0">
        <v>78</v>
      </c>
      <c r="E111" t="s" s="0">
        <v>3356</v>
      </c>
      <c r="F111" t="s" s="0">
        <v>3357</v>
      </c>
      <c r="G111" t="s" s="0">
        <v>3358</v>
      </c>
      <c r="H111" t="s" s="0">
        <v>84</v>
      </c>
      <c r="I111" t="s" s="0">
        <v>251</v>
      </c>
      <c r="J111" t="s" s="0">
        <v>3359</v>
      </c>
      <c r="K111" t="s" s="0">
        <v>3360</v>
      </c>
      <c r="L111" t="s" s="0">
        <v>3361</v>
      </c>
      <c r="M111" t="s" s="0">
        <v>3362</v>
      </c>
      <c r="N111" t="s" s="0">
        <v>3363</v>
      </c>
      <c r="O111" t="s" s="0">
        <v>3364</v>
      </c>
      <c r="P111" t="s" s="0">
        <v>3365</v>
      </c>
      <c r="Q111" t="s" s="0">
        <v>93</v>
      </c>
      <c r="R111" t="s" s="0">
        <v>84</v>
      </c>
      <c r="S111" t="s" s="0">
        <v>84</v>
      </c>
      <c r="T111" t="s" s="0">
        <v>84</v>
      </c>
      <c r="U111" t="s" s="0">
        <v>84</v>
      </c>
      <c r="V111" t="s" s="0">
        <v>3366</v>
      </c>
      <c r="W111" t="s" s="0">
        <v>3367</v>
      </c>
      <c r="X111" t="s" s="0">
        <v>84</v>
      </c>
      <c r="Y111" t="s" s="0">
        <v>84</v>
      </c>
      <c r="Z111" t="s" s="0">
        <v>96</v>
      </c>
      <c r="AA111" t="s" s="0">
        <v>97</v>
      </c>
      <c r="AB111" t="s" s="0">
        <v>84</v>
      </c>
      <c r="AC111" t="s" s="0">
        <v>84</v>
      </c>
      <c r="AD111" t="s" s="0">
        <v>84</v>
      </c>
      <c r="AE111" t="s" s="0">
        <v>84</v>
      </c>
      <c r="AF111" t="s" s="0">
        <v>84</v>
      </c>
      <c r="AG111" t="s" s="0">
        <v>3368</v>
      </c>
      <c r="AH111" t="s" s="0">
        <v>3369</v>
      </c>
      <c r="AI111" t="s" s="0">
        <v>3370</v>
      </c>
      <c r="AJ111" t="s" s="0">
        <v>3371</v>
      </c>
      <c r="AK111" t="s" s="0">
        <v>84</v>
      </c>
      <c r="AL111" t="s" s="0">
        <v>3372</v>
      </c>
      <c r="AM111" t="s" s="0">
        <v>3341</v>
      </c>
      <c r="AN111" t="s" s="0">
        <v>3038</v>
      </c>
      <c r="AO111" t="s" s="0">
        <v>1524</v>
      </c>
      <c r="AP111" t="s" s="0">
        <v>3067</v>
      </c>
      <c r="AQ111" t="s" s="0">
        <v>809</v>
      </c>
      <c r="AR111" t="s" s="0">
        <v>704</v>
      </c>
      <c r="AS111" t="s" s="0">
        <v>810</v>
      </c>
      <c r="AT111" t="s" s="0">
        <v>3373</v>
      </c>
      <c r="AU111" t="s" s="0">
        <v>3374</v>
      </c>
      <c r="AV111" t="s" s="0">
        <v>84</v>
      </c>
      <c r="AW111" t="s" s="0">
        <v>3375</v>
      </c>
      <c r="AX111" t="s" s="0">
        <v>3376</v>
      </c>
      <c r="AY111" t="s" s="0">
        <v>3377</v>
      </c>
      <c r="AZ111" t="s" s="0">
        <v>114</v>
      </c>
      <c r="BA111" t="s" s="0">
        <v>1130</v>
      </c>
      <c r="BB111" t="s" s="0">
        <v>242</v>
      </c>
      <c r="BC111" t="s" s="0">
        <v>84</v>
      </c>
      <c r="BD111" t="s" s="0">
        <v>84</v>
      </c>
      <c r="BE111" t="s" s="0">
        <v>84</v>
      </c>
      <c r="BF111" t="s" s="0">
        <v>84</v>
      </c>
      <c r="BG111" t="s" s="0">
        <v>84</v>
      </c>
      <c r="BH111" t="s" s="0">
        <v>84</v>
      </c>
      <c r="BI111" t="s" s="0">
        <v>2512</v>
      </c>
      <c r="BJ111" t="s" s="0">
        <v>3378</v>
      </c>
      <c r="BK111" t="s" s="219">
        <f>HYPERLINK("http://dx.doi.org/10.1007/s11920-019-1094-0","http://dx.doi.org/10.1007/s11920-019-1094-0")</f>
        <v>3379</v>
      </c>
      <c r="BL111" t="s" s="0">
        <v>84</v>
      </c>
      <c r="BM111" t="s" s="0">
        <v>84</v>
      </c>
      <c r="BN111" t="s" s="0">
        <v>312</v>
      </c>
      <c r="BO111" t="s" s="0">
        <v>3380</v>
      </c>
      <c r="BP111" t="s" s="0">
        <v>3380</v>
      </c>
      <c r="BQ111" t="s" s="0">
        <v>3381</v>
      </c>
      <c r="BR111" t="s" s="0">
        <v>3382</v>
      </c>
      <c r="BS111" t="s" s="0">
        <v>3383</v>
      </c>
      <c r="BT111" t="s" s="220">
        <f>HYPERLINK("https://www.webofscience.com/wos/woscc/full-record/WOS:000496139900003","View Record in Web of Science")</f>
        <v>127</v>
      </c>
      <c r="BU111" t="s" s="0">
        <v>321</v>
      </c>
      <c r="BV111" t="s" s="0">
        <v>128</v>
      </c>
      <c r="BW111" t="s" s="0">
        <v>129</v>
      </c>
      <c r="BX111" t="s" s="0">
        <v>130</v>
      </c>
    </row>
    <row r="112">
      <c r="A112" t="s" s="0">
        <v>121</v>
      </c>
      <c r="B112" t="s" s="0">
        <v>78</v>
      </c>
      <c r="C112" t="s" s="0">
        <v>101</v>
      </c>
      <c r="D112" t="s" s="0">
        <v>78</v>
      </c>
      <c r="E112" t="s" s="0">
        <v>3384</v>
      </c>
      <c r="F112" t="s" s="0">
        <v>3385</v>
      </c>
      <c r="G112" t="s" s="0">
        <v>3386</v>
      </c>
      <c r="H112" t="s" s="0">
        <v>84</v>
      </c>
      <c r="I112" t="s" s="0">
        <v>85</v>
      </c>
      <c r="J112" t="s" s="0">
        <v>3387</v>
      </c>
      <c r="K112" t="s" s="0">
        <v>3388</v>
      </c>
      <c r="L112" t="s" s="0">
        <v>3389</v>
      </c>
      <c r="M112" t="s" s="0">
        <v>3390</v>
      </c>
      <c r="N112" t="s" s="0">
        <v>3391</v>
      </c>
      <c r="O112" t="s" s="0">
        <v>3392</v>
      </c>
      <c r="P112" t="s" s="0">
        <v>3393</v>
      </c>
      <c r="Q112" t="s" s="0">
        <v>93</v>
      </c>
      <c r="R112" t="s" s="0">
        <v>84</v>
      </c>
      <c r="S112" t="s" s="0">
        <v>84</v>
      </c>
      <c r="T112" t="s" s="0">
        <v>84</v>
      </c>
      <c r="U112" t="s" s="0">
        <v>84</v>
      </c>
      <c r="V112" t="s" s="0">
        <v>3394</v>
      </c>
      <c r="W112" t="s" s="0">
        <v>3395</v>
      </c>
      <c r="X112" t="s" s="0">
        <v>84</v>
      </c>
      <c r="Y112" t="s" s="0">
        <v>84</v>
      </c>
      <c r="Z112" t="s" s="0">
        <v>96</v>
      </c>
      <c r="AA112" t="s" s="0">
        <v>97</v>
      </c>
      <c r="AB112" t="s" s="0">
        <v>84</v>
      </c>
      <c r="AC112" t="s" s="0">
        <v>84</v>
      </c>
      <c r="AD112" t="s" s="0">
        <v>84</v>
      </c>
      <c r="AE112" t="s" s="0">
        <v>84</v>
      </c>
      <c r="AF112" t="s" s="0">
        <v>84</v>
      </c>
      <c r="AG112" t="s" s="0">
        <v>84</v>
      </c>
      <c r="AH112" t="s" s="0">
        <v>3396</v>
      </c>
      <c r="AI112" t="s" s="0">
        <v>3397</v>
      </c>
      <c r="AJ112" t="s" s="0">
        <v>3398</v>
      </c>
      <c r="AK112" t="s" s="0">
        <v>84</v>
      </c>
      <c r="AL112" t="s" s="0">
        <v>1653</v>
      </c>
      <c r="AM112" t="s" s="0">
        <v>3399</v>
      </c>
      <c r="AN112" t="s" s="0">
        <v>3400</v>
      </c>
      <c r="AO112" t="s" s="0">
        <v>396</v>
      </c>
      <c r="AP112" t="s" s="0">
        <v>668</v>
      </c>
      <c r="AQ112" t="s" s="0">
        <v>152</v>
      </c>
      <c r="AR112" t="s" s="0">
        <v>153</v>
      </c>
      <c r="AS112" t="s" s="0">
        <v>154</v>
      </c>
      <c r="AT112" t="s" s="0">
        <v>3401</v>
      </c>
      <c r="AU112" t="s" s="0">
        <v>3402</v>
      </c>
      <c r="AV112" t="s" s="0">
        <v>84</v>
      </c>
      <c r="AW112" t="s" s="0">
        <v>3403</v>
      </c>
      <c r="AX112" t="s" s="0">
        <v>3404</v>
      </c>
      <c r="AY112" t="s" s="0">
        <v>3405</v>
      </c>
      <c r="AZ112" t="s" s="0">
        <v>159</v>
      </c>
      <c r="BA112" t="s" s="0">
        <v>484</v>
      </c>
      <c r="BB112" t="s" s="0">
        <v>202</v>
      </c>
      <c r="BC112" t="s" s="0">
        <v>84</v>
      </c>
      <c r="BD112" t="s" s="0">
        <v>84</v>
      </c>
      <c r="BE112" t="s" s="0">
        <v>84</v>
      </c>
      <c r="BF112" t="s" s="0">
        <v>84</v>
      </c>
      <c r="BG112" t="s" s="0">
        <v>2223</v>
      </c>
      <c r="BH112" t="s" s="0">
        <v>453</v>
      </c>
      <c r="BI112" t="s" s="0">
        <v>84</v>
      </c>
      <c r="BJ112" t="s" s="0">
        <v>3406</v>
      </c>
      <c r="BK112" t="s" s="221">
        <f>HYPERLINK("http://dx.doi.org/10.1038/s41416-020-01122-x","http://dx.doi.org/10.1038/s41416-020-01122-x")</f>
        <v>3407</v>
      </c>
      <c r="BL112" t="s" s="0">
        <v>84</v>
      </c>
      <c r="BM112" t="s" s="0">
        <v>2881</v>
      </c>
      <c r="BN112" t="s" s="0">
        <v>242</v>
      </c>
      <c r="BO112" t="s" s="0">
        <v>317</v>
      </c>
      <c r="BP112" t="s" s="0">
        <v>317</v>
      </c>
      <c r="BQ112" t="s" s="0">
        <v>3408</v>
      </c>
      <c r="BR112" t="s" s="0">
        <v>3409</v>
      </c>
      <c r="BS112" t="s" s="0">
        <v>3410</v>
      </c>
      <c r="BT112" t="s" s="222">
        <f>HYPERLINK("https://www.webofscience.com/wos/woscc/full-record/WOS:000590213700004","View Record in Web of Science")</f>
        <v>127</v>
      </c>
      <c r="BU112" t="s" s="0">
        <v>432</v>
      </c>
      <c r="BV112" t="s" s="0">
        <v>128</v>
      </c>
      <c r="BW112" t="s" s="0">
        <v>129</v>
      </c>
      <c r="BX112" t="s" s="0">
        <v>130</v>
      </c>
    </row>
    <row r="113">
      <c r="A113" t="s" s="0">
        <v>275</v>
      </c>
      <c r="B113" t="s" s="0">
        <v>78</v>
      </c>
      <c r="C113" t="s" s="0">
        <v>1014</v>
      </c>
      <c r="D113" t="s" s="0">
        <v>787</v>
      </c>
      <c r="E113" t="s" s="0">
        <v>3411</v>
      </c>
      <c r="F113" t="s" s="0">
        <v>3412</v>
      </c>
      <c r="G113" t="s" s="0">
        <v>3413</v>
      </c>
      <c r="H113" t="s" s="0">
        <v>84</v>
      </c>
      <c r="I113" t="s" s="0">
        <v>85</v>
      </c>
      <c r="J113" t="s" s="0">
        <v>3414</v>
      </c>
      <c r="K113" t="s" s="0">
        <v>3415</v>
      </c>
      <c r="L113" t="s" s="0">
        <v>84</v>
      </c>
      <c r="M113" t="s" s="0">
        <v>84</v>
      </c>
      <c r="N113" t="s" s="0">
        <v>84</v>
      </c>
      <c r="O113" t="s" s="0">
        <v>3416</v>
      </c>
      <c r="P113" t="s" s="0">
        <v>84</v>
      </c>
      <c r="Q113" t="s" s="0">
        <v>93</v>
      </c>
      <c r="R113" t="s" s="0">
        <v>84</v>
      </c>
      <c r="S113" t="s" s="0">
        <v>84</v>
      </c>
      <c r="T113" t="s" s="0">
        <v>84</v>
      </c>
      <c r="U113" t="s" s="0">
        <v>84</v>
      </c>
      <c r="V113" t="s" s="0">
        <v>3417</v>
      </c>
      <c r="W113" t="s" s="0">
        <v>2114</v>
      </c>
      <c r="X113" t="s" s="0">
        <v>84</v>
      </c>
      <c r="Y113" t="s" s="0">
        <v>84</v>
      </c>
      <c r="Z113" t="s" s="0">
        <v>96</v>
      </c>
      <c r="AA113" t="s" s="0">
        <v>97</v>
      </c>
      <c r="AB113" t="s" s="0">
        <v>84</v>
      </c>
      <c r="AC113" t="s" s="0">
        <v>84</v>
      </c>
      <c r="AD113" t="s" s="0">
        <v>84</v>
      </c>
      <c r="AE113" t="s" s="0">
        <v>84</v>
      </c>
      <c r="AF113" t="s" s="0">
        <v>84</v>
      </c>
      <c r="AG113" t="s" s="0">
        <v>3418</v>
      </c>
      <c r="AH113" t="s" s="0">
        <v>3419</v>
      </c>
      <c r="AI113" t="s" s="0">
        <v>3420</v>
      </c>
      <c r="AJ113" t="s" s="0">
        <v>3421</v>
      </c>
      <c r="AK113" t="s" s="0">
        <v>84</v>
      </c>
      <c r="AL113" t="s" s="0">
        <v>3422</v>
      </c>
      <c r="AM113" t="s" s="0">
        <v>3423</v>
      </c>
      <c r="AN113" t="s" s="0">
        <v>2352</v>
      </c>
      <c r="AO113" t="s" s="0">
        <v>538</v>
      </c>
      <c r="AP113" t="s" s="0">
        <v>3424</v>
      </c>
      <c r="AQ113" t="s" s="0">
        <v>809</v>
      </c>
      <c r="AR113" t="s" s="0">
        <v>2123</v>
      </c>
      <c r="AS113" t="s" s="0">
        <v>2124</v>
      </c>
      <c r="AT113" t="s" s="0">
        <v>2125</v>
      </c>
      <c r="AU113" t="s" s="0">
        <v>2126</v>
      </c>
      <c r="AV113" t="s" s="0">
        <v>84</v>
      </c>
      <c r="AW113" t="s" s="0">
        <v>2127</v>
      </c>
      <c r="AX113" t="s" s="0">
        <v>2128</v>
      </c>
      <c r="AY113" t="s" s="0">
        <v>3425</v>
      </c>
      <c r="AZ113" t="s" s="0">
        <v>3426</v>
      </c>
      <c r="BA113" t="s" s="0">
        <v>428</v>
      </c>
      <c r="BB113" t="s" s="0">
        <v>787</v>
      </c>
      <c r="BC113" t="s" s="0">
        <v>84</v>
      </c>
      <c r="BD113" t="s" s="0">
        <v>84</v>
      </c>
      <c r="BE113" t="s" s="0">
        <v>84</v>
      </c>
      <c r="BF113" t="s" s="0">
        <v>84</v>
      </c>
      <c r="BG113" t="s" s="0">
        <v>3427</v>
      </c>
      <c r="BH113" t="s" s="0">
        <v>3428</v>
      </c>
      <c r="BI113" t="s" s="0">
        <v>84</v>
      </c>
      <c r="BJ113" t="s" s="0">
        <v>3429</v>
      </c>
      <c r="BK113" t="s" s="223">
        <f>HYPERLINK("http://dx.doi.org/10.1007/s10462-021-10058-4","http://dx.doi.org/10.1007/s10462-021-10058-4")</f>
        <v>3430</v>
      </c>
      <c r="BL113" t="s" s="0">
        <v>84</v>
      </c>
      <c r="BM113" t="s" s="0">
        <v>2034</v>
      </c>
      <c r="BN113" t="s" s="0">
        <v>161</v>
      </c>
      <c r="BO113" t="s" s="0">
        <v>2133</v>
      </c>
      <c r="BP113" t="s" s="0">
        <v>166</v>
      </c>
      <c r="BQ113" t="s" s="0">
        <v>3431</v>
      </c>
      <c r="BR113" t="s" s="0">
        <v>3432</v>
      </c>
      <c r="BS113" t="s" s="0">
        <v>3433</v>
      </c>
      <c r="BT113" t="s" s="224">
        <f>HYPERLINK("https://www.webofscience.com/wos/woscc/full-record/WOS:000684096000001","View Record in Web of Science")</f>
        <v>127</v>
      </c>
      <c r="BU113" t="s" s="0">
        <v>321</v>
      </c>
      <c r="BV113" t="s" s="0">
        <v>128</v>
      </c>
      <c r="BW113" t="s" s="0">
        <v>129</v>
      </c>
      <c r="BX113" t="s" s="0">
        <v>130</v>
      </c>
    </row>
    <row r="114">
      <c r="A114" t="s" s="0">
        <v>527</v>
      </c>
      <c r="B114" t="s" s="0">
        <v>78</v>
      </c>
      <c r="C114" t="s" s="0">
        <v>604</v>
      </c>
      <c r="D114" t="s" s="0">
        <v>396</v>
      </c>
      <c r="E114" t="s" s="0">
        <v>3434</v>
      </c>
      <c r="F114" t="s" s="0">
        <v>3435</v>
      </c>
      <c r="G114" t="s" s="0">
        <v>3436</v>
      </c>
      <c r="H114" t="s" s="0">
        <v>84</v>
      </c>
      <c r="I114" t="s" s="0">
        <v>251</v>
      </c>
      <c r="J114" t="s" s="0">
        <v>3437</v>
      </c>
      <c r="K114" t="s" s="0">
        <v>3438</v>
      </c>
      <c r="L114" t="s" s="0">
        <v>3439</v>
      </c>
      <c r="M114" t="s" s="0">
        <v>3440</v>
      </c>
      <c r="N114" t="s" s="0">
        <v>3441</v>
      </c>
      <c r="O114" t="s" s="0">
        <v>3442</v>
      </c>
      <c r="P114" t="s" s="0">
        <v>3443</v>
      </c>
      <c r="Q114" t="s" s="0">
        <v>93</v>
      </c>
      <c r="R114" t="s" s="0">
        <v>84</v>
      </c>
      <c r="S114" t="s" s="0">
        <v>84</v>
      </c>
      <c r="T114" t="s" s="0">
        <v>84</v>
      </c>
      <c r="U114" t="s" s="0">
        <v>84</v>
      </c>
      <c r="V114" t="s" s="0">
        <v>3444</v>
      </c>
      <c r="W114" t="s" s="0">
        <v>2702</v>
      </c>
      <c r="X114" t="s" s="0">
        <v>84</v>
      </c>
      <c r="Y114" t="s" s="0">
        <v>84</v>
      </c>
      <c r="Z114" t="s" s="0">
        <v>96</v>
      </c>
      <c r="AA114" t="s" s="0">
        <v>97</v>
      </c>
      <c r="AB114" t="s" s="0">
        <v>84</v>
      </c>
      <c r="AC114" t="s" s="0">
        <v>84</v>
      </c>
      <c r="AD114" t="s" s="0">
        <v>84</v>
      </c>
      <c r="AE114" t="s" s="0">
        <v>84</v>
      </c>
      <c r="AF114" t="s" s="0">
        <v>84</v>
      </c>
      <c r="AG114" t="s" s="0">
        <v>3445</v>
      </c>
      <c r="AH114" t="s" s="0">
        <v>3446</v>
      </c>
      <c r="AI114" t="s" s="0">
        <v>3447</v>
      </c>
      <c r="AJ114" t="s" s="0">
        <v>3448</v>
      </c>
      <c r="AK114" t="s" s="0">
        <v>84</v>
      </c>
      <c r="AL114" t="s" s="0">
        <v>3449</v>
      </c>
      <c r="AM114" t="s" s="0">
        <v>3450</v>
      </c>
      <c r="AN114" t="s" s="0">
        <v>2545</v>
      </c>
      <c r="AO114" t="s" s="0">
        <v>164</v>
      </c>
      <c r="AP114" t="s" s="0">
        <v>3451</v>
      </c>
      <c r="AQ114" t="s" s="0">
        <v>2708</v>
      </c>
      <c r="AR114" t="s" s="0">
        <v>704</v>
      </c>
      <c r="AS114" t="s" s="0">
        <v>2709</v>
      </c>
      <c r="AT114" t="s" s="0">
        <v>2710</v>
      </c>
      <c r="AU114" t="s" s="0">
        <v>2711</v>
      </c>
      <c r="AV114" t="s" s="0">
        <v>84</v>
      </c>
      <c r="AW114" t="s" s="0">
        <v>2712</v>
      </c>
      <c r="AX114" t="s" s="0">
        <v>2713</v>
      </c>
      <c r="AY114" t="s" s="0">
        <v>600</v>
      </c>
      <c r="AZ114" t="s" s="0">
        <v>235</v>
      </c>
      <c r="BA114" t="s" s="0">
        <v>428</v>
      </c>
      <c r="BB114" t="s" s="0">
        <v>396</v>
      </c>
      <c r="BC114" t="s" s="0">
        <v>84</v>
      </c>
      <c r="BD114" t="s" s="0">
        <v>84</v>
      </c>
      <c r="BE114" t="s" s="0">
        <v>84</v>
      </c>
      <c r="BF114" t="s" s="0">
        <v>84</v>
      </c>
      <c r="BG114" t="s" s="0">
        <v>84</v>
      </c>
      <c r="BH114" t="s" s="0">
        <v>84</v>
      </c>
      <c r="BI114" t="s" s="0">
        <v>2877</v>
      </c>
      <c r="BJ114" t="s" s="0">
        <v>3452</v>
      </c>
      <c r="BK114" t="s" s="225">
        <f>HYPERLINK("http://dx.doi.org/10.1145/3491209","http://dx.doi.org/10.1145/3491209")</f>
        <v>3453</v>
      </c>
      <c r="BL114" t="s" s="0">
        <v>84</v>
      </c>
      <c r="BM114" t="s" s="0">
        <v>84</v>
      </c>
      <c r="BN114" t="s" s="0">
        <v>521</v>
      </c>
      <c r="BO114" t="s" s="0">
        <v>165</v>
      </c>
      <c r="BP114" t="s" s="0">
        <v>166</v>
      </c>
      <c r="BQ114" t="s" s="0">
        <v>3454</v>
      </c>
      <c r="BR114" t="s" s="0">
        <v>84</v>
      </c>
      <c r="BS114" t="s" s="0">
        <v>3455</v>
      </c>
      <c r="BT114" t="s" s="226">
        <f>HYPERLINK("https://www.webofscience.com/wos/woscc/full-record/WOS:000778458900016","View Record in Web of Science")</f>
        <v>127</v>
      </c>
      <c r="BU114" t="s" s="0">
        <v>84</v>
      </c>
      <c r="BV114" t="s" s="0">
        <v>128</v>
      </c>
      <c r="BW114" t="s" s="0">
        <v>129</v>
      </c>
      <c r="BX114" t="s" s="0">
        <v>130</v>
      </c>
    </row>
    <row r="115">
      <c r="A115" t="s" s="0">
        <v>264</v>
      </c>
      <c r="B115" t="s" s="0">
        <v>78</v>
      </c>
      <c r="C115" t="s" s="0">
        <v>3456</v>
      </c>
      <c r="D115" t="s" s="0">
        <v>527</v>
      </c>
      <c r="E115" t="s" s="0">
        <v>3457</v>
      </c>
      <c r="F115" t="s" s="0">
        <v>3458</v>
      </c>
      <c r="G115" t="s" s="0">
        <v>3459</v>
      </c>
      <c r="H115" t="s" s="0">
        <v>84</v>
      </c>
      <c r="I115" t="s" s="0">
        <v>85</v>
      </c>
      <c r="J115" t="s" s="0">
        <v>3460</v>
      </c>
      <c r="K115" t="s" s="0">
        <v>3461</v>
      </c>
      <c r="L115" t="s" s="0">
        <v>84</v>
      </c>
      <c r="M115" t="s" s="0">
        <v>84</v>
      </c>
      <c r="N115" t="s" s="0">
        <v>84</v>
      </c>
      <c r="O115" t="s" s="0">
        <v>3462</v>
      </c>
      <c r="P115" t="s" s="0">
        <v>3463</v>
      </c>
      <c r="Q115" t="s" s="0">
        <v>93</v>
      </c>
      <c r="R115" t="s" s="0">
        <v>84</v>
      </c>
      <c r="S115" t="s" s="0">
        <v>84</v>
      </c>
      <c r="T115" t="s" s="0">
        <v>84</v>
      </c>
      <c r="U115" t="s" s="0">
        <v>84</v>
      </c>
      <c r="V115" t="s" s="0">
        <v>3464</v>
      </c>
      <c r="W115" t="s" s="0">
        <v>3465</v>
      </c>
      <c r="X115" t="s" s="0">
        <v>84</v>
      </c>
      <c r="Y115" t="s" s="0">
        <v>84</v>
      </c>
      <c r="Z115" t="s" s="0">
        <v>96</v>
      </c>
      <c r="AA115" t="s" s="0">
        <v>97</v>
      </c>
      <c r="AB115" t="s" s="0">
        <v>84</v>
      </c>
      <c r="AC115" t="s" s="0">
        <v>84</v>
      </c>
      <c r="AD115" t="s" s="0">
        <v>84</v>
      </c>
      <c r="AE115" t="s" s="0">
        <v>84</v>
      </c>
      <c r="AF115" t="s" s="0">
        <v>84</v>
      </c>
      <c r="AG115" t="s" s="0">
        <v>84</v>
      </c>
      <c r="AH115" t="s" s="0">
        <v>3466</v>
      </c>
      <c r="AI115" t="s" s="0">
        <v>3467</v>
      </c>
      <c r="AJ115" t="s" s="0">
        <v>3468</v>
      </c>
      <c r="AK115" t="s" s="0">
        <v>84</v>
      </c>
      <c r="AL115" t="s" s="0">
        <v>3264</v>
      </c>
      <c r="AM115" t="s" s="0">
        <v>1902</v>
      </c>
      <c r="AN115" t="s" s="0">
        <v>3469</v>
      </c>
      <c r="AO115" t="s" s="0">
        <v>160</v>
      </c>
      <c r="AP115" t="s" s="0">
        <v>3470</v>
      </c>
      <c r="AQ115" t="s" s="0">
        <v>703</v>
      </c>
      <c r="AR115" t="s" s="0">
        <v>704</v>
      </c>
      <c r="AS115" t="s" s="0">
        <v>705</v>
      </c>
      <c r="AT115" t="s" s="0">
        <v>3471</v>
      </c>
      <c r="AU115" t="s" s="0">
        <v>3472</v>
      </c>
      <c r="AV115" t="s" s="0">
        <v>84</v>
      </c>
      <c r="AW115" t="s" s="0">
        <v>3473</v>
      </c>
      <c r="AX115" t="s" s="0">
        <v>3474</v>
      </c>
      <c r="AY115" t="s" s="0">
        <v>2099</v>
      </c>
      <c r="AZ115" t="s" s="0">
        <v>351</v>
      </c>
      <c r="BA115" t="s" s="0">
        <v>160</v>
      </c>
      <c r="BB115" t="s" s="0">
        <v>202</v>
      </c>
      <c r="BC115" t="s" s="0">
        <v>84</v>
      </c>
      <c r="BD115" t="s" s="0">
        <v>84</v>
      </c>
      <c r="BE115" t="s" s="0">
        <v>84</v>
      </c>
      <c r="BF115" t="s" s="0">
        <v>84</v>
      </c>
      <c r="BG115" t="s" s="0">
        <v>3475</v>
      </c>
      <c r="BH115" t="s" s="0">
        <v>3476</v>
      </c>
      <c r="BI115" t="s" s="0">
        <v>84</v>
      </c>
      <c r="BJ115" t="s" s="0">
        <v>3477</v>
      </c>
      <c r="BK115" t="s" s="227">
        <f>HYPERLINK("http://dx.doi.org/10.1016/S2213-8587(19)30411-5","http://dx.doi.org/10.1016/S2213-8587(19)30411-5")</f>
        <v>3478</v>
      </c>
      <c r="BL115" t="s" s="0">
        <v>84</v>
      </c>
      <c r="BM115" t="s" s="0">
        <v>84</v>
      </c>
      <c r="BN115" t="s" s="0">
        <v>242</v>
      </c>
      <c r="BO115" t="s" s="0">
        <v>3479</v>
      </c>
      <c r="BP115" t="s" s="0">
        <v>3479</v>
      </c>
      <c r="BQ115" t="s" s="0">
        <v>3480</v>
      </c>
      <c r="BR115" t="s" s="0">
        <v>3481</v>
      </c>
      <c r="BS115" t="s" s="0">
        <v>3482</v>
      </c>
      <c r="BT115" t="s" s="228">
        <f>HYPERLINK("https://www.webofscience.com/wos/woscc/full-record/WOS:000520865400021","View Record in Web of Science")</f>
        <v>127</v>
      </c>
      <c r="BU115" t="s" s="0">
        <v>321</v>
      </c>
      <c r="BV115" t="s" s="0">
        <v>128</v>
      </c>
      <c r="BW115" t="s" s="0">
        <v>129</v>
      </c>
      <c r="BX115" t="s" s="0">
        <v>130</v>
      </c>
    </row>
    <row r="116">
      <c r="A116" t="s" s="0">
        <v>322</v>
      </c>
      <c r="B116" t="s" s="0">
        <v>78</v>
      </c>
      <c r="C116" t="s" s="0">
        <v>3483</v>
      </c>
      <c r="D116" t="s" s="0">
        <v>116</v>
      </c>
      <c r="E116" t="s" s="0">
        <v>3484</v>
      </c>
      <c r="F116" t="s" s="0">
        <v>3485</v>
      </c>
      <c r="G116" t="s" s="0">
        <v>3486</v>
      </c>
      <c r="H116" t="s" s="0">
        <v>84</v>
      </c>
      <c r="I116" t="s" s="0">
        <v>85</v>
      </c>
      <c r="J116" t="s" s="0">
        <v>3487</v>
      </c>
      <c r="K116" t="s" s="0">
        <v>3488</v>
      </c>
      <c r="L116" t="s" s="0">
        <v>3489</v>
      </c>
      <c r="M116" t="s" s="0">
        <v>3490</v>
      </c>
      <c r="N116" t="s" s="0">
        <v>3491</v>
      </c>
      <c r="O116" t="s" s="0">
        <v>3492</v>
      </c>
      <c r="P116" t="s" s="0">
        <v>3493</v>
      </c>
      <c r="Q116" t="s" s="0">
        <v>93</v>
      </c>
      <c r="R116" t="s" s="0">
        <v>84</v>
      </c>
      <c r="S116" t="s" s="0">
        <v>84</v>
      </c>
      <c r="T116" t="s" s="0">
        <v>84</v>
      </c>
      <c r="U116" t="s" s="0">
        <v>84</v>
      </c>
      <c r="V116" t="s" s="0">
        <v>3494</v>
      </c>
      <c r="W116" t="s" s="0">
        <v>3495</v>
      </c>
      <c r="X116" t="s" s="0">
        <v>84</v>
      </c>
      <c r="Y116" t="s" s="0">
        <v>84</v>
      </c>
      <c r="Z116" t="s" s="0">
        <v>96</v>
      </c>
      <c r="AA116" t="s" s="0">
        <v>97</v>
      </c>
      <c r="AB116" t="s" s="0">
        <v>84</v>
      </c>
      <c r="AC116" t="s" s="0">
        <v>84</v>
      </c>
      <c r="AD116" t="s" s="0">
        <v>84</v>
      </c>
      <c r="AE116" t="s" s="0">
        <v>84</v>
      </c>
      <c r="AF116" t="s" s="0">
        <v>84</v>
      </c>
      <c r="AG116" t="s" s="0">
        <v>84</v>
      </c>
      <c r="AH116" t="s" s="0">
        <v>3496</v>
      </c>
      <c r="AI116" t="s" s="0">
        <v>3497</v>
      </c>
      <c r="AJ116" t="s" s="0">
        <v>3498</v>
      </c>
      <c r="AK116" t="s" s="0">
        <v>84</v>
      </c>
      <c r="AL116" t="s" s="0">
        <v>131</v>
      </c>
      <c r="AM116" t="s" s="0">
        <v>1734</v>
      </c>
      <c r="AN116" t="s" s="0">
        <v>1641</v>
      </c>
      <c r="AO116" t="s" s="0">
        <v>604</v>
      </c>
      <c r="AP116" t="s" s="0">
        <v>3499</v>
      </c>
      <c r="AQ116" t="s" s="0">
        <v>1119</v>
      </c>
      <c r="AR116" t="s" s="0">
        <v>1120</v>
      </c>
      <c r="AS116" t="s" s="0">
        <v>1121</v>
      </c>
      <c r="AT116" t="s" s="0">
        <v>3500</v>
      </c>
      <c r="AU116" t="s" s="0">
        <v>3501</v>
      </c>
      <c r="AV116" t="s" s="0">
        <v>84</v>
      </c>
      <c r="AW116" t="s" s="0">
        <v>3495</v>
      </c>
      <c r="AX116" t="s" s="0">
        <v>3502</v>
      </c>
      <c r="AY116" t="s" s="0">
        <v>3503</v>
      </c>
      <c r="AZ116" t="s" s="0">
        <v>235</v>
      </c>
      <c r="BA116" t="s" s="0">
        <v>2960</v>
      </c>
      <c r="BB116" t="s" s="0">
        <v>160</v>
      </c>
      <c r="BC116" t="s" s="0">
        <v>84</v>
      </c>
      <c r="BD116" t="s" s="0">
        <v>84</v>
      </c>
      <c r="BE116" t="s" s="0">
        <v>84</v>
      </c>
      <c r="BF116" t="s" s="0">
        <v>84</v>
      </c>
      <c r="BG116" t="s" s="0">
        <v>556</v>
      </c>
      <c r="BH116" t="s" s="0">
        <v>3504</v>
      </c>
      <c r="BI116" t="s" s="0">
        <v>84</v>
      </c>
      <c r="BJ116" t="s" s="0">
        <v>3505</v>
      </c>
      <c r="BK116" t="s" s="229">
        <f>HYPERLINK("http://dx.doi.org/10.1016/j.cell.2023.01.035","http://dx.doi.org/10.1016/j.cell.2023.01.035")</f>
        <v>3506</v>
      </c>
      <c r="BL116" t="s" s="0">
        <v>84</v>
      </c>
      <c r="BM116" t="s" s="0">
        <v>3507</v>
      </c>
      <c r="BN116" t="s" s="0">
        <v>604</v>
      </c>
      <c r="BO116" t="s" s="0">
        <v>1554</v>
      </c>
      <c r="BP116" t="s" s="0">
        <v>1554</v>
      </c>
      <c r="BQ116" t="s" s="0">
        <v>3508</v>
      </c>
      <c r="BR116" t="s" s="0">
        <v>3509</v>
      </c>
      <c r="BS116" t="s" s="0">
        <v>3510</v>
      </c>
      <c r="BT116" t="s" s="230">
        <f>HYPERLINK("https://www.webofscience.com/wos/woscc/full-record/WOS:000987749100001","View Record in Web of Science")</f>
        <v>127</v>
      </c>
      <c r="BU116" t="s" s="0">
        <v>649</v>
      </c>
      <c r="BV116" t="s" s="0">
        <v>128</v>
      </c>
      <c r="BW116" t="s" s="0">
        <v>129</v>
      </c>
      <c r="BX116" t="s" s="0">
        <v>130</v>
      </c>
    </row>
    <row r="117">
      <c r="A117" t="s" s="0">
        <v>236</v>
      </c>
      <c r="B117" t="s" s="0">
        <v>78</v>
      </c>
      <c r="C117" t="s" s="0">
        <v>3000</v>
      </c>
      <c r="D117" t="s" s="0">
        <v>78</v>
      </c>
      <c r="E117" t="s" s="0">
        <v>3511</v>
      </c>
      <c r="F117" t="s" s="0">
        <v>3512</v>
      </c>
      <c r="G117" t="s" s="0">
        <v>3513</v>
      </c>
      <c r="H117" t="s" s="0">
        <v>84</v>
      </c>
      <c r="I117" t="s" s="0">
        <v>85</v>
      </c>
      <c r="J117" t="s" s="0">
        <v>3514</v>
      </c>
      <c r="K117" t="s" s="0">
        <v>3515</v>
      </c>
      <c r="L117" t="s" s="0">
        <v>3516</v>
      </c>
      <c r="M117" t="s" s="0">
        <v>3517</v>
      </c>
      <c r="N117" t="s" s="0">
        <v>3518</v>
      </c>
      <c r="O117" t="s" s="0">
        <v>3519</v>
      </c>
      <c r="P117" t="s" s="0">
        <v>3520</v>
      </c>
      <c r="Q117" t="s" s="0">
        <v>93</v>
      </c>
      <c r="R117" t="s" s="0">
        <v>84</v>
      </c>
      <c r="S117" t="s" s="0">
        <v>84</v>
      </c>
      <c r="T117" t="s" s="0">
        <v>84</v>
      </c>
      <c r="U117" t="s" s="0">
        <v>84</v>
      </c>
      <c r="V117" t="s" s="0">
        <v>3521</v>
      </c>
      <c r="W117" t="s" s="0">
        <v>299</v>
      </c>
      <c r="X117" t="s" s="0">
        <v>84</v>
      </c>
      <c r="Y117" t="s" s="0">
        <v>84</v>
      </c>
      <c r="Z117" t="s" s="0">
        <v>96</v>
      </c>
      <c r="AA117" t="s" s="0">
        <v>97</v>
      </c>
      <c r="AB117" t="s" s="0">
        <v>84</v>
      </c>
      <c r="AC117" t="s" s="0">
        <v>84</v>
      </c>
      <c r="AD117" t="s" s="0">
        <v>84</v>
      </c>
      <c r="AE117" t="s" s="0">
        <v>84</v>
      </c>
      <c r="AF117" t="s" s="0">
        <v>84</v>
      </c>
      <c r="AG117" t="s" s="0">
        <v>84</v>
      </c>
      <c r="AH117" t="s" s="0">
        <v>3522</v>
      </c>
      <c r="AI117" t="s" s="0">
        <v>3523</v>
      </c>
      <c r="AJ117" t="s" s="0">
        <v>3524</v>
      </c>
      <c r="AK117" t="s" s="0">
        <v>84</v>
      </c>
      <c r="AL117" t="s" s="0">
        <v>1498</v>
      </c>
      <c r="AM117" t="s" s="0">
        <v>3525</v>
      </c>
      <c r="AN117" t="s" s="0">
        <v>3526</v>
      </c>
      <c r="AO117" t="s" s="0">
        <v>172</v>
      </c>
      <c r="AP117" t="s" s="0">
        <v>1869</v>
      </c>
      <c r="AQ117" t="s" s="0">
        <v>106</v>
      </c>
      <c r="AR117" t="s" s="0">
        <v>107</v>
      </c>
      <c r="AS117" t="s" s="0">
        <v>108</v>
      </c>
      <c r="AT117" t="s" s="0">
        <v>308</v>
      </c>
      <c r="AU117" t="s" s="0">
        <v>309</v>
      </c>
      <c r="AV117" t="s" s="0">
        <v>84</v>
      </c>
      <c r="AW117" t="s" s="0">
        <v>310</v>
      </c>
      <c r="AX117" t="s" s="0">
        <v>311</v>
      </c>
      <c r="AY117" t="s" s="0">
        <v>3527</v>
      </c>
      <c r="AZ117" t="s" s="0">
        <v>3426</v>
      </c>
      <c r="BA117" t="s" s="0">
        <v>468</v>
      </c>
      <c r="BB117" t="s" s="0">
        <v>396</v>
      </c>
      <c r="BC117" t="s" s="0">
        <v>84</v>
      </c>
      <c r="BD117" t="s" s="0">
        <v>84</v>
      </c>
      <c r="BE117" t="s" s="0">
        <v>84</v>
      </c>
      <c r="BF117" t="s" s="0">
        <v>84</v>
      </c>
      <c r="BG117" t="s" s="0">
        <v>449</v>
      </c>
      <c r="BH117" t="s" s="0">
        <v>3528</v>
      </c>
      <c r="BI117" t="s" s="0">
        <v>84</v>
      </c>
      <c r="BJ117" t="s" s="0">
        <v>3529</v>
      </c>
      <c r="BK117" t="s" s="231">
        <f>HYPERLINK("http://dx.doi.org/10.1038/s41568-021-00408-3","http://dx.doi.org/10.1038/s41568-021-00408-3")</f>
        <v>3530</v>
      </c>
      <c r="BL117" t="s" s="0">
        <v>84</v>
      </c>
      <c r="BM117" t="s" s="0">
        <v>3531</v>
      </c>
      <c r="BN117" t="s" s="0">
        <v>121</v>
      </c>
      <c r="BO117" t="s" s="0">
        <v>317</v>
      </c>
      <c r="BP117" t="s" s="0">
        <v>317</v>
      </c>
      <c r="BQ117" t="s" s="0">
        <v>3532</v>
      </c>
      <c r="BR117" t="s" s="0">
        <v>3533</v>
      </c>
      <c r="BS117" t="s" s="0">
        <v>3534</v>
      </c>
      <c r="BT117" t="s" s="232">
        <f>HYPERLINK("https://www.webofscience.com/wos/woscc/full-record/WOS:000708347800001","View Record in Web of Science")</f>
        <v>127</v>
      </c>
      <c r="BU117" t="s" s="0">
        <v>321</v>
      </c>
      <c r="BV117" t="s" s="0">
        <v>128</v>
      </c>
      <c r="BW117" t="s" s="0">
        <v>129</v>
      </c>
      <c r="BX117" t="s" s="0">
        <v>130</v>
      </c>
    </row>
    <row r="118">
      <c r="A118" t="s" s="0">
        <v>207</v>
      </c>
      <c r="B118" t="s" s="0">
        <v>78</v>
      </c>
      <c r="C118" t="s" s="0">
        <v>927</v>
      </c>
      <c r="D118" t="s" s="0">
        <v>214</v>
      </c>
      <c r="E118" t="s" s="0">
        <v>3535</v>
      </c>
      <c r="F118" t="s" s="0">
        <v>3536</v>
      </c>
      <c r="G118" t="s" s="0">
        <v>3537</v>
      </c>
      <c r="H118" t="s" s="0">
        <v>84</v>
      </c>
      <c r="I118" t="s" s="0">
        <v>85</v>
      </c>
      <c r="J118" t="s" s="0">
        <v>3538</v>
      </c>
      <c r="K118" t="s" s="0">
        <v>3539</v>
      </c>
      <c r="L118" t="s" s="0">
        <v>3540</v>
      </c>
      <c r="M118" t="s" s="0">
        <v>3541</v>
      </c>
      <c r="N118" t="s" s="0">
        <v>3542</v>
      </c>
      <c r="O118" t="s" s="0">
        <v>3543</v>
      </c>
      <c r="P118" t="s" s="0">
        <v>3544</v>
      </c>
      <c r="Q118" t="s" s="0">
        <v>93</v>
      </c>
      <c r="R118" t="s" s="0">
        <v>84</v>
      </c>
      <c r="S118" t="s" s="0">
        <v>84</v>
      </c>
      <c r="T118" t="s" s="0">
        <v>84</v>
      </c>
      <c r="U118" t="s" s="0">
        <v>84</v>
      </c>
      <c r="V118" t="s" s="0">
        <v>3545</v>
      </c>
      <c r="W118" t="s" s="0">
        <v>3546</v>
      </c>
      <c r="X118" t="s" s="0">
        <v>84</v>
      </c>
      <c r="Y118" t="s" s="0">
        <v>84</v>
      </c>
      <c r="Z118" t="s" s="0">
        <v>96</v>
      </c>
      <c r="AA118" t="s" s="0">
        <v>97</v>
      </c>
      <c r="AB118" t="s" s="0">
        <v>84</v>
      </c>
      <c r="AC118" t="s" s="0">
        <v>84</v>
      </c>
      <c r="AD118" t="s" s="0">
        <v>84</v>
      </c>
      <c r="AE118" t="s" s="0">
        <v>84</v>
      </c>
      <c r="AF118" t="s" s="0">
        <v>84</v>
      </c>
      <c r="AG118" t="s" s="0">
        <v>3547</v>
      </c>
      <c r="AH118" t="s" s="0">
        <v>3548</v>
      </c>
      <c r="AI118" t="s" s="0">
        <v>3549</v>
      </c>
      <c r="AJ118" t="s" s="0">
        <v>3550</v>
      </c>
      <c r="AK118" t="s" s="0">
        <v>84</v>
      </c>
      <c r="AL118" t="s" s="0">
        <v>1899</v>
      </c>
      <c r="AM118" t="s" s="0">
        <v>3525</v>
      </c>
      <c r="AN118" t="s" s="0">
        <v>287</v>
      </c>
      <c r="AO118" t="s" s="0">
        <v>202</v>
      </c>
      <c r="AP118" t="s" s="0">
        <v>3551</v>
      </c>
      <c r="AQ118" t="s" s="0">
        <v>703</v>
      </c>
      <c r="AR118" t="s" s="0">
        <v>704</v>
      </c>
      <c r="AS118" t="s" s="0">
        <v>705</v>
      </c>
      <c r="AT118" t="s" s="0">
        <v>1838</v>
      </c>
      <c r="AU118" t="s" s="0">
        <v>1839</v>
      </c>
      <c r="AV118" t="s" s="0">
        <v>84</v>
      </c>
      <c r="AW118" t="s" s="0">
        <v>1840</v>
      </c>
      <c r="AX118" t="s" s="0">
        <v>1841</v>
      </c>
      <c r="AY118" t="s" s="0">
        <v>3552</v>
      </c>
      <c r="AZ118" t="s" s="0">
        <v>114</v>
      </c>
      <c r="BA118" t="s" s="0">
        <v>3553</v>
      </c>
      <c r="BB118" t="s" s="0">
        <v>242</v>
      </c>
      <c r="BC118" t="s" s="0">
        <v>84</v>
      </c>
      <c r="BD118" t="s" s="0">
        <v>84</v>
      </c>
      <c r="BE118" t="s" s="0">
        <v>84</v>
      </c>
      <c r="BF118" t="s" s="0">
        <v>84</v>
      </c>
      <c r="BG118" t="s" s="0">
        <v>3554</v>
      </c>
      <c r="BH118" t="s" s="0">
        <v>3555</v>
      </c>
      <c r="BI118" t="s" s="0">
        <v>84</v>
      </c>
      <c r="BJ118" t="s" s="0">
        <v>3556</v>
      </c>
      <c r="BK118" t="s" s="233">
        <f>HYPERLINK("http://dx.doi.org/10.1016/j.jacc.2018.12.054","http://dx.doi.org/10.1016/j.jacc.2018.12.054")</f>
        <v>3557</v>
      </c>
      <c r="BL118" t="s" s="0">
        <v>84</v>
      </c>
      <c r="BM118" t="s" s="0">
        <v>84</v>
      </c>
      <c r="BN118" t="s" s="0">
        <v>207</v>
      </c>
      <c r="BO118" t="s" s="0">
        <v>1846</v>
      </c>
      <c r="BP118" t="s" s="0">
        <v>1847</v>
      </c>
      <c r="BQ118" t="s" s="0">
        <v>3558</v>
      </c>
      <c r="BR118" t="s" s="0">
        <v>3559</v>
      </c>
      <c r="BS118" t="s" s="0">
        <v>3560</v>
      </c>
      <c r="BT118" t="s" s="234">
        <f>HYPERLINK("https://www.webofscience.com/wos/woscc/full-record/WOS:000461466500012","View Record in Web of Science")</f>
        <v>127</v>
      </c>
      <c r="BU118" t="s" s="0">
        <v>1916</v>
      </c>
      <c r="BV118" t="s" s="0">
        <v>128</v>
      </c>
      <c r="BW118" t="s" s="0">
        <v>129</v>
      </c>
      <c r="BX118" t="s" s="0">
        <v>130</v>
      </c>
    </row>
    <row r="119">
      <c r="A119" t="s" s="0">
        <v>172</v>
      </c>
      <c r="B119" t="s" s="0">
        <v>78</v>
      </c>
      <c r="C119" t="s" s="0">
        <v>3372</v>
      </c>
      <c r="D119" t="s" s="0">
        <v>78</v>
      </c>
      <c r="E119" t="s" s="0">
        <v>3561</v>
      </c>
      <c r="F119" t="s" s="0">
        <v>3562</v>
      </c>
      <c r="G119" t="s" s="0">
        <v>3563</v>
      </c>
      <c r="H119" t="s" s="0">
        <v>84</v>
      </c>
      <c r="I119" t="s" s="0">
        <v>1100</v>
      </c>
      <c r="J119" t="s" s="0">
        <v>3564</v>
      </c>
      <c r="K119" t="s" s="0">
        <v>3565</v>
      </c>
      <c r="L119" t="s" s="0">
        <v>3566</v>
      </c>
      <c r="M119" t="s" s="0">
        <v>3567</v>
      </c>
      <c r="N119" t="s" s="0">
        <v>3568</v>
      </c>
      <c r="O119" t="s" s="0">
        <v>3569</v>
      </c>
      <c r="P119" t="s" s="0">
        <v>3570</v>
      </c>
      <c r="Q119" t="s" s="0">
        <v>93</v>
      </c>
      <c r="R119" t="s" s="0">
        <v>84</v>
      </c>
      <c r="S119" t="s" s="0">
        <v>84</v>
      </c>
      <c r="T119" t="s" s="0">
        <v>84</v>
      </c>
      <c r="U119" t="s" s="0">
        <v>84</v>
      </c>
      <c r="V119" t="s" s="0">
        <v>3571</v>
      </c>
      <c r="W119" t="s" s="0">
        <v>3572</v>
      </c>
      <c r="X119" t="s" s="0">
        <v>84</v>
      </c>
      <c r="Y119" t="s" s="0">
        <v>84</v>
      </c>
      <c r="Z119" t="s" s="0">
        <v>96</v>
      </c>
      <c r="AA119" t="s" s="0">
        <v>97</v>
      </c>
      <c r="AB119" t="s" s="0">
        <v>84</v>
      </c>
      <c r="AC119" t="s" s="0">
        <v>84</v>
      </c>
      <c r="AD119" t="s" s="0">
        <v>84</v>
      </c>
      <c r="AE119" t="s" s="0">
        <v>84</v>
      </c>
      <c r="AF119" t="s" s="0">
        <v>84</v>
      </c>
      <c r="AG119" t="s" s="0">
        <v>3573</v>
      </c>
      <c r="AH119" t="s" s="0">
        <v>3574</v>
      </c>
      <c r="AI119" t="s" s="0">
        <v>3575</v>
      </c>
      <c r="AJ119" t="s" s="0">
        <v>3576</v>
      </c>
      <c r="AK119" t="s" s="0">
        <v>84</v>
      </c>
      <c r="AL119" t="s" s="0">
        <v>3553</v>
      </c>
      <c r="AM119" t="s" s="0">
        <v>3577</v>
      </c>
      <c r="AN119" t="s" s="0">
        <v>287</v>
      </c>
      <c r="AO119" t="s" s="0">
        <v>78</v>
      </c>
      <c r="AP119" t="s" s="0">
        <v>592</v>
      </c>
      <c r="AQ119" t="s" s="0">
        <v>379</v>
      </c>
      <c r="AR119" t="s" s="0">
        <v>380</v>
      </c>
      <c r="AS119" t="s" s="0">
        <v>381</v>
      </c>
      <c r="AT119" t="s" s="0">
        <v>84</v>
      </c>
      <c r="AU119" t="s" s="0">
        <v>3578</v>
      </c>
      <c r="AV119" t="s" s="0">
        <v>84</v>
      </c>
      <c r="AW119" t="s" s="0">
        <v>3579</v>
      </c>
      <c r="AX119" t="s" s="0">
        <v>3580</v>
      </c>
      <c r="AY119" t="s" s="0">
        <v>1320</v>
      </c>
      <c r="AZ119" t="s" s="0">
        <v>351</v>
      </c>
      <c r="BA119" t="s" s="0">
        <v>459</v>
      </c>
      <c r="BB119" t="s" s="0">
        <v>459</v>
      </c>
      <c r="BC119" t="s" s="0">
        <v>84</v>
      </c>
      <c r="BD119" t="s" s="0">
        <v>84</v>
      </c>
      <c r="BE119" t="s" s="0">
        <v>84</v>
      </c>
      <c r="BF119" t="s" s="0">
        <v>84</v>
      </c>
      <c r="BG119" t="s" s="0">
        <v>84</v>
      </c>
      <c r="BH119" t="s" s="0">
        <v>84</v>
      </c>
      <c r="BI119" t="s" s="0">
        <v>360</v>
      </c>
      <c r="BJ119" t="s" s="0">
        <v>3581</v>
      </c>
      <c r="BK119" t="s" s="235">
        <f>HYPERLINK("http://dx.doi.org/10.3390/jimaging6060052","http://dx.doi.org/10.3390/jimaging6060052")</f>
        <v>3582</v>
      </c>
      <c r="BL119" t="s" s="0">
        <v>84</v>
      </c>
      <c r="BM119" t="s" s="0">
        <v>84</v>
      </c>
      <c r="BN119" t="s" s="0">
        <v>207</v>
      </c>
      <c r="BO119" t="s" s="0">
        <v>3583</v>
      </c>
      <c r="BP119" t="s" s="0">
        <v>3583</v>
      </c>
      <c r="BQ119" t="s" s="0">
        <v>3584</v>
      </c>
      <c r="BR119" t="s" s="0">
        <v>3585</v>
      </c>
      <c r="BS119" t="s" s="0">
        <v>3586</v>
      </c>
      <c r="BT119" t="s" s="236">
        <f>HYPERLINK("https://www.webofscience.com/wos/woscc/full-record/WOS:000551247200019","View Record in Web of Science")</f>
        <v>127</v>
      </c>
      <c r="BU119" t="s" s="0">
        <v>170</v>
      </c>
      <c r="BV119" t="s" s="0">
        <v>84</v>
      </c>
      <c r="BW119" t="s" s="0">
        <v>84</v>
      </c>
      <c r="BX119" t="s" s="0">
        <v>130</v>
      </c>
    </row>
    <row r="120">
      <c r="A120" t="s" s="0">
        <v>116</v>
      </c>
      <c r="B120" t="s" s="0">
        <v>78</v>
      </c>
      <c r="C120" t="s" s="0">
        <v>339</v>
      </c>
      <c r="D120" t="s" s="0">
        <v>116</v>
      </c>
      <c r="E120" t="s" s="0">
        <v>3587</v>
      </c>
      <c r="F120" t="s" s="0">
        <v>3588</v>
      </c>
      <c r="G120" t="s" s="0">
        <v>3589</v>
      </c>
      <c r="H120" t="s" s="0">
        <v>84</v>
      </c>
      <c r="I120" t="s" s="0">
        <v>85</v>
      </c>
      <c r="J120" t="s" s="0">
        <v>3590</v>
      </c>
      <c r="K120" t="s" s="0">
        <v>3591</v>
      </c>
      <c r="L120" t="s" s="0">
        <v>84</v>
      </c>
      <c r="M120" t="s" s="0">
        <v>84</v>
      </c>
      <c r="N120" t="s" s="0">
        <v>84</v>
      </c>
      <c r="O120" t="s" s="0">
        <v>3592</v>
      </c>
      <c r="P120" t="s" s="0">
        <v>3593</v>
      </c>
      <c r="Q120" t="s" s="0">
        <v>93</v>
      </c>
      <c r="R120" t="s" s="0">
        <v>84</v>
      </c>
      <c r="S120" t="s" s="0">
        <v>84</v>
      </c>
      <c r="T120" t="s" s="0">
        <v>84</v>
      </c>
      <c r="U120" t="s" s="0">
        <v>84</v>
      </c>
      <c r="V120" t="s" s="0">
        <v>3594</v>
      </c>
      <c r="W120" t="s" s="0">
        <v>3595</v>
      </c>
      <c r="X120" t="s" s="0">
        <v>84</v>
      </c>
      <c r="Y120" t="s" s="0">
        <v>84</v>
      </c>
      <c r="Z120" t="s" s="0">
        <v>96</v>
      </c>
      <c r="AA120" t="s" s="0">
        <v>97</v>
      </c>
      <c r="AB120" t="s" s="0">
        <v>84</v>
      </c>
      <c r="AC120" t="s" s="0">
        <v>84</v>
      </c>
      <c r="AD120" t="s" s="0">
        <v>84</v>
      </c>
      <c r="AE120" t="s" s="0">
        <v>84</v>
      </c>
      <c r="AF120" t="s" s="0">
        <v>84</v>
      </c>
      <c r="AG120" t="s" s="0">
        <v>3596</v>
      </c>
      <c r="AH120" t="s" s="0">
        <v>84</v>
      </c>
      <c r="AI120" t="s" s="0">
        <v>3597</v>
      </c>
      <c r="AJ120" t="s" s="0">
        <v>3598</v>
      </c>
      <c r="AK120" t="s" s="0">
        <v>84</v>
      </c>
      <c r="AL120" t="s" s="0">
        <v>3483</v>
      </c>
      <c r="AM120" t="s" s="0">
        <v>3599</v>
      </c>
      <c r="AN120" t="s" s="0">
        <v>3600</v>
      </c>
      <c r="AO120" t="s" s="0">
        <v>189</v>
      </c>
      <c r="AP120" t="s" s="0">
        <v>3601</v>
      </c>
      <c r="AQ120" t="s" s="0">
        <v>379</v>
      </c>
      <c r="AR120" t="s" s="0">
        <v>380</v>
      </c>
      <c r="AS120" t="s" s="0">
        <v>381</v>
      </c>
      <c r="AT120" t="s" s="0">
        <v>84</v>
      </c>
      <c r="AU120" t="s" s="0">
        <v>3602</v>
      </c>
      <c r="AV120" t="s" s="0">
        <v>84</v>
      </c>
      <c r="AW120" t="s" s="0">
        <v>3595</v>
      </c>
      <c r="AX120" t="s" s="0">
        <v>3603</v>
      </c>
      <c r="AY120" t="s" s="0">
        <v>3604</v>
      </c>
      <c r="AZ120" t="s" s="0">
        <v>567</v>
      </c>
      <c r="BA120" t="s" s="0">
        <v>242</v>
      </c>
      <c r="BB120" t="s" s="0">
        <v>202</v>
      </c>
      <c r="BC120" t="s" s="0">
        <v>84</v>
      </c>
      <c r="BD120" t="s" s="0">
        <v>84</v>
      </c>
      <c r="BE120" t="s" s="0">
        <v>84</v>
      </c>
      <c r="BF120" t="s" s="0">
        <v>84</v>
      </c>
      <c r="BG120" t="s" s="0">
        <v>84</v>
      </c>
      <c r="BH120" t="s" s="0">
        <v>84</v>
      </c>
      <c r="BI120" t="s" s="0">
        <v>3475</v>
      </c>
      <c r="BJ120" t="s" s="0">
        <v>3605</v>
      </c>
      <c r="BK120" t="s" s="237">
        <f>HYPERLINK("http://dx.doi.org/10.3390/bioengineering11040337","http://dx.doi.org/10.3390/bioengineering11040337")</f>
        <v>3606</v>
      </c>
      <c r="BL120" t="s" s="0">
        <v>84</v>
      </c>
      <c r="BM120" t="s" s="0">
        <v>84</v>
      </c>
      <c r="BN120" t="s" s="0">
        <v>521</v>
      </c>
      <c r="BO120" t="s" s="0">
        <v>3607</v>
      </c>
      <c r="BP120" t="s" s="0">
        <v>3608</v>
      </c>
      <c r="BQ120" t="s" s="0">
        <v>3609</v>
      </c>
      <c r="BR120" t="s" s="0">
        <v>3610</v>
      </c>
      <c r="BS120" t="s" s="0">
        <v>3611</v>
      </c>
      <c r="BT120" t="s" s="238">
        <f>HYPERLINK("https://www.webofscience.com/wos/woscc/full-record/WOS:001210567500001","View Record in Web of Science")</f>
        <v>127</v>
      </c>
      <c r="BU120" t="s" s="0">
        <v>170</v>
      </c>
      <c r="BV120" t="s" s="0">
        <v>128</v>
      </c>
      <c r="BW120" t="s" s="0">
        <v>129</v>
      </c>
      <c r="BX120" t="s" s="0">
        <v>130</v>
      </c>
    </row>
    <row r="121">
      <c r="A121" t="s" s="0">
        <v>280</v>
      </c>
      <c r="B121" t="s" s="0">
        <v>78</v>
      </c>
      <c r="C121" t="s" s="0">
        <v>1269</v>
      </c>
      <c r="D121" t="s" s="0">
        <v>396</v>
      </c>
      <c r="E121" t="s" s="0">
        <v>3612</v>
      </c>
      <c r="F121" t="s" s="0">
        <v>3613</v>
      </c>
      <c r="G121" t="s" s="0">
        <v>3614</v>
      </c>
      <c r="H121" t="s" s="0">
        <v>84</v>
      </c>
      <c r="I121" t="s" s="0">
        <v>1100</v>
      </c>
      <c r="J121" t="s" s="0">
        <v>3615</v>
      </c>
      <c r="K121" t="s" s="0">
        <v>3616</v>
      </c>
      <c r="L121" t="s" s="0">
        <v>84</v>
      </c>
      <c r="M121" t="s" s="0">
        <v>84</v>
      </c>
      <c r="N121" t="s" s="0">
        <v>84</v>
      </c>
      <c r="O121" t="s" s="0">
        <v>3617</v>
      </c>
      <c r="P121" t="s" s="0">
        <v>3618</v>
      </c>
      <c r="Q121" t="s" s="0">
        <v>93</v>
      </c>
      <c r="R121" t="s" s="0">
        <v>84</v>
      </c>
      <c r="S121" t="s" s="0">
        <v>84</v>
      </c>
      <c r="T121" t="s" s="0">
        <v>84</v>
      </c>
      <c r="U121" t="s" s="0">
        <v>84</v>
      </c>
      <c r="V121" t="s" s="0">
        <v>3619</v>
      </c>
      <c r="W121" t="s" s="0">
        <v>3620</v>
      </c>
      <c r="X121" t="s" s="0">
        <v>84</v>
      </c>
      <c r="Y121" t="s" s="0">
        <v>84</v>
      </c>
      <c r="Z121" t="s" s="0">
        <v>96</v>
      </c>
      <c r="AA121" t="s" s="0">
        <v>97</v>
      </c>
      <c r="AB121" t="s" s="0">
        <v>84</v>
      </c>
      <c r="AC121" t="s" s="0">
        <v>84</v>
      </c>
      <c r="AD121" t="s" s="0">
        <v>84</v>
      </c>
      <c r="AE121" t="s" s="0">
        <v>84</v>
      </c>
      <c r="AF121" t="s" s="0">
        <v>84</v>
      </c>
      <c r="AG121" t="s" s="0">
        <v>3621</v>
      </c>
      <c r="AH121" t="s" s="0">
        <v>3622</v>
      </c>
      <c r="AI121" t="s" s="0">
        <v>84</v>
      </c>
      <c r="AJ121" t="s" s="0">
        <v>3623</v>
      </c>
      <c r="AK121" t="s" s="0">
        <v>84</v>
      </c>
      <c r="AL121" t="s" s="0">
        <v>1714</v>
      </c>
      <c r="AM121" t="s" s="0">
        <v>3624</v>
      </c>
      <c r="AN121" t="s" s="0">
        <v>735</v>
      </c>
      <c r="AO121" t="s" s="0">
        <v>78</v>
      </c>
      <c r="AP121" t="s" s="0">
        <v>242</v>
      </c>
      <c r="AQ121" t="s" s="0">
        <v>415</v>
      </c>
      <c r="AR121" t="s" s="0">
        <v>416</v>
      </c>
      <c r="AS121" t="s" s="0">
        <v>417</v>
      </c>
      <c r="AT121" t="s" s="0">
        <v>3625</v>
      </c>
      <c r="AU121" t="s" s="0">
        <v>84</v>
      </c>
      <c r="AV121" t="s" s="0">
        <v>84</v>
      </c>
      <c r="AW121" t="s" s="0">
        <v>3626</v>
      </c>
      <c r="AX121" t="s" s="0">
        <v>3627</v>
      </c>
      <c r="AY121" t="s" s="0">
        <v>3628</v>
      </c>
      <c r="AZ121" t="s" s="0">
        <v>114</v>
      </c>
      <c r="BA121" t="s" s="0">
        <v>3629</v>
      </c>
      <c r="BB121" t="s" s="0">
        <v>84</v>
      </c>
      <c r="BC121" t="s" s="0">
        <v>84</v>
      </c>
      <c r="BD121" t="s" s="0">
        <v>84</v>
      </c>
      <c r="BE121" t="s" s="0">
        <v>84</v>
      </c>
      <c r="BF121" t="s" s="0">
        <v>84</v>
      </c>
      <c r="BG121" t="s" s="0">
        <v>84</v>
      </c>
      <c r="BH121" t="s" s="0">
        <v>84</v>
      </c>
      <c r="BI121" t="s" s="0">
        <v>3630</v>
      </c>
      <c r="BJ121" t="s" s="0">
        <v>3631</v>
      </c>
      <c r="BK121" t="s" s="239">
        <f>HYPERLINK("http://dx.doi.org/10.1016/j.array.2019.100004","http://dx.doi.org/10.1016/j.array.2019.100004")</f>
        <v>3632</v>
      </c>
      <c r="BL121" t="s" s="0">
        <v>84</v>
      </c>
      <c r="BM121" t="s" s="0">
        <v>84</v>
      </c>
      <c r="BN121" t="s" s="0">
        <v>242</v>
      </c>
      <c r="BO121" t="s" s="0">
        <v>165</v>
      </c>
      <c r="BP121" t="s" s="0">
        <v>166</v>
      </c>
      <c r="BQ121" t="s" s="0">
        <v>3633</v>
      </c>
      <c r="BR121" t="s" s="0">
        <v>84</v>
      </c>
      <c r="BS121" t="s" s="0">
        <v>3634</v>
      </c>
      <c r="BT121" t="s" s="240">
        <f>HYPERLINK("https://www.webofscience.com/wos/woscc/full-record/WOS:001229380700001","View Record in Web of Science")</f>
        <v>127</v>
      </c>
      <c r="BU121" t="s" s="0">
        <v>170</v>
      </c>
      <c r="BV121" t="s" s="0">
        <v>84</v>
      </c>
      <c r="BW121" t="s" s="0">
        <v>84</v>
      </c>
      <c r="BX121" t="s" s="0">
        <v>130</v>
      </c>
    </row>
    <row r="122">
      <c r="A122" t="s" s="0">
        <v>121</v>
      </c>
      <c r="B122" t="s" s="0">
        <v>78</v>
      </c>
      <c r="C122" t="s" s="0">
        <v>1654</v>
      </c>
      <c r="D122" t="s" s="0">
        <v>116</v>
      </c>
      <c r="E122" t="s" s="0">
        <v>3635</v>
      </c>
      <c r="F122" t="s" s="0">
        <v>3636</v>
      </c>
      <c r="G122" t="s" s="0">
        <v>3637</v>
      </c>
      <c r="H122" t="s" s="0">
        <v>84</v>
      </c>
      <c r="I122" t="s" s="0">
        <v>85</v>
      </c>
      <c r="J122" t="s" s="0">
        <v>3638</v>
      </c>
      <c r="K122" t="s" s="0">
        <v>3639</v>
      </c>
      <c r="L122" t="s" s="0">
        <v>3640</v>
      </c>
      <c r="M122" t="s" s="0">
        <v>3640</v>
      </c>
      <c r="N122" t="s" s="0">
        <v>3640</v>
      </c>
      <c r="O122" t="s" s="0">
        <v>3641</v>
      </c>
      <c r="P122" t="s" s="0">
        <v>3642</v>
      </c>
      <c r="Q122" t="s" s="0">
        <v>93</v>
      </c>
      <c r="R122" t="s" s="0">
        <v>84</v>
      </c>
      <c r="S122" t="s" s="0">
        <v>84</v>
      </c>
      <c r="T122" t="s" s="0">
        <v>84</v>
      </c>
      <c r="U122" t="s" s="0">
        <v>84</v>
      </c>
      <c r="V122" t="s" s="0">
        <v>3643</v>
      </c>
      <c r="W122" t="s" s="0">
        <v>3644</v>
      </c>
      <c r="X122" t="s" s="0">
        <v>84</v>
      </c>
      <c r="Y122" t="s" s="0">
        <v>84</v>
      </c>
      <c r="Z122" t="s" s="0">
        <v>96</v>
      </c>
      <c r="AA122" t="s" s="0">
        <v>97</v>
      </c>
      <c r="AB122" t="s" s="0">
        <v>84</v>
      </c>
      <c r="AC122" t="s" s="0">
        <v>84</v>
      </c>
      <c r="AD122" t="s" s="0">
        <v>84</v>
      </c>
      <c r="AE122" t="s" s="0">
        <v>84</v>
      </c>
      <c r="AF122" t="s" s="0">
        <v>84</v>
      </c>
      <c r="AG122" t="s" s="0">
        <v>3645</v>
      </c>
      <c r="AH122" t="s" s="0">
        <v>3646</v>
      </c>
      <c r="AI122" t="s" s="0">
        <v>3647</v>
      </c>
      <c r="AJ122" t="s" s="0">
        <v>3648</v>
      </c>
      <c r="AK122" t="s" s="0">
        <v>84</v>
      </c>
      <c r="AL122" t="s" s="0">
        <v>1653</v>
      </c>
      <c r="AM122" t="s" s="0">
        <v>3649</v>
      </c>
      <c r="AN122" t="s" s="0">
        <v>2814</v>
      </c>
      <c r="AO122" t="s" s="0">
        <v>172</v>
      </c>
      <c r="AP122" t="s" s="0">
        <v>3650</v>
      </c>
      <c r="AQ122" t="s" s="0">
        <v>982</v>
      </c>
      <c r="AR122" t="s" s="0">
        <v>983</v>
      </c>
      <c r="AS122" t="s" s="0">
        <v>984</v>
      </c>
      <c r="AT122" t="s" s="0">
        <v>3651</v>
      </c>
      <c r="AU122" t="s" s="0">
        <v>3652</v>
      </c>
      <c r="AV122" t="s" s="0">
        <v>84</v>
      </c>
      <c r="AW122" t="s" s="0">
        <v>3653</v>
      </c>
      <c r="AX122" t="s" s="0">
        <v>3654</v>
      </c>
      <c r="AY122" t="s" s="0">
        <v>1151</v>
      </c>
      <c r="AZ122" t="s" s="0">
        <v>114</v>
      </c>
      <c r="BA122" t="s" s="0">
        <v>527</v>
      </c>
      <c r="BB122" t="s" s="0">
        <v>527</v>
      </c>
      <c r="BC122" t="s" s="0">
        <v>84</v>
      </c>
      <c r="BD122" t="s" s="0">
        <v>84</v>
      </c>
      <c r="BE122" t="s" s="0">
        <v>84</v>
      </c>
      <c r="BF122" t="s" s="0">
        <v>84</v>
      </c>
      <c r="BG122" t="s" s="0">
        <v>3655</v>
      </c>
      <c r="BH122" t="s" s="0">
        <v>3656</v>
      </c>
      <c r="BI122" t="s" s="0">
        <v>84</v>
      </c>
      <c r="BJ122" t="s" s="0">
        <v>3657</v>
      </c>
      <c r="BK122" t="s" s="241">
        <f>HYPERLINK("http://dx.doi.org/10.1111/2041-210X.13256","http://dx.doi.org/10.1111/2041-210X.13256")</f>
        <v>3658</v>
      </c>
      <c r="BL122" t="s" s="0">
        <v>84</v>
      </c>
      <c r="BM122" t="s" s="0">
        <v>989</v>
      </c>
      <c r="BN122" t="s" s="0">
        <v>121</v>
      </c>
      <c r="BO122" t="s" s="0">
        <v>3659</v>
      </c>
      <c r="BP122" t="s" s="0">
        <v>3660</v>
      </c>
      <c r="BQ122" t="s" s="0">
        <v>3661</v>
      </c>
      <c r="BR122" t="s" s="0">
        <v>84</v>
      </c>
      <c r="BS122" t="s" s="0">
        <v>3662</v>
      </c>
      <c r="BT122" t="s" s="242">
        <f>HYPERLINK("https://www.webofscience.com/wos/woscc/full-record/WOS:000488345800001","View Record in Web of Science")</f>
        <v>127</v>
      </c>
      <c r="BU122" t="s" s="0">
        <v>84</v>
      </c>
      <c r="BV122" t="s" s="0">
        <v>128</v>
      </c>
      <c r="BW122" t="s" s="0">
        <v>129</v>
      </c>
      <c r="BX122" t="s" s="0">
        <v>130</v>
      </c>
    </row>
    <row r="123">
      <c r="A123" t="s" s="0">
        <v>160</v>
      </c>
      <c r="B123" t="s" s="0">
        <v>78</v>
      </c>
      <c r="C123" t="s" s="0">
        <v>518</v>
      </c>
      <c r="D123" t="s" s="0">
        <v>78</v>
      </c>
      <c r="E123" t="s" s="0">
        <v>3663</v>
      </c>
      <c r="F123" t="s" s="0">
        <v>3664</v>
      </c>
      <c r="G123" t="s" s="0">
        <v>3665</v>
      </c>
      <c r="H123" t="s" s="0">
        <v>84</v>
      </c>
      <c r="I123" t="s" s="0">
        <v>85</v>
      </c>
      <c r="J123" t="s" s="0">
        <v>3666</v>
      </c>
      <c r="K123" t="s" s="0">
        <v>3667</v>
      </c>
      <c r="L123" t="s" s="0">
        <v>3668</v>
      </c>
      <c r="M123" t="s" s="0">
        <v>3669</v>
      </c>
      <c r="N123" t="s" s="0">
        <v>3670</v>
      </c>
      <c r="O123" t="s" s="0">
        <v>3671</v>
      </c>
      <c r="P123" t="s" s="0">
        <v>3672</v>
      </c>
      <c r="Q123" t="s" s="0">
        <v>93</v>
      </c>
      <c r="R123" t="s" s="0">
        <v>84</v>
      </c>
      <c r="S123" t="s" s="0">
        <v>84</v>
      </c>
      <c r="T123" t="s" s="0">
        <v>84</v>
      </c>
      <c r="U123" t="s" s="0">
        <v>84</v>
      </c>
      <c r="V123" t="s" s="0">
        <v>3673</v>
      </c>
      <c r="W123" t="s" s="0">
        <v>1507</v>
      </c>
      <c r="X123" t="s" s="0">
        <v>84</v>
      </c>
      <c r="Y123" t="s" s="0">
        <v>84</v>
      </c>
      <c r="Z123" t="s" s="0">
        <v>96</v>
      </c>
      <c r="AA123" t="s" s="0">
        <v>97</v>
      </c>
      <c r="AB123" t="s" s="0">
        <v>84</v>
      </c>
      <c r="AC123" t="s" s="0">
        <v>84</v>
      </c>
      <c r="AD123" t="s" s="0">
        <v>84</v>
      </c>
      <c r="AE123" t="s" s="0">
        <v>84</v>
      </c>
      <c r="AF123" t="s" s="0">
        <v>84</v>
      </c>
      <c r="AG123" t="s" s="0">
        <v>84</v>
      </c>
      <c r="AH123" t="s" s="0">
        <v>3674</v>
      </c>
      <c r="AI123" t="s" s="0">
        <v>3675</v>
      </c>
      <c r="AJ123" t="s" s="0">
        <v>3676</v>
      </c>
      <c r="AK123" t="s" s="0">
        <v>84</v>
      </c>
      <c r="AL123" t="s" s="0">
        <v>3677</v>
      </c>
      <c r="AM123" t="s" s="0">
        <v>3678</v>
      </c>
      <c r="AN123" t="s" s="0">
        <v>3016</v>
      </c>
      <c r="AO123" t="s" s="0">
        <v>280</v>
      </c>
      <c r="AP123" t="s" s="0">
        <v>2119</v>
      </c>
      <c r="AQ123" t="s" s="0">
        <v>106</v>
      </c>
      <c r="AR123" t="s" s="0">
        <v>107</v>
      </c>
      <c r="AS123" t="s" s="0">
        <v>108</v>
      </c>
      <c r="AT123" t="s" s="0">
        <v>1515</v>
      </c>
      <c r="AU123" t="s" s="0">
        <v>84</v>
      </c>
      <c r="AV123" t="s" s="0">
        <v>84</v>
      </c>
      <c r="AW123" t="s" s="0">
        <v>1516</v>
      </c>
      <c r="AX123" t="s" s="0">
        <v>1517</v>
      </c>
      <c r="AY123" t="s" s="0">
        <v>3679</v>
      </c>
      <c r="AZ123" t="s" s="0">
        <v>114</v>
      </c>
      <c r="BA123" t="s" s="0">
        <v>396</v>
      </c>
      <c r="BB123" t="s" s="0">
        <v>84</v>
      </c>
      <c r="BC123" t="s" s="0">
        <v>84</v>
      </c>
      <c r="BD123" t="s" s="0">
        <v>84</v>
      </c>
      <c r="BE123" t="s" s="0">
        <v>84</v>
      </c>
      <c r="BF123" t="s" s="0">
        <v>84</v>
      </c>
      <c r="BG123" t="s" s="0">
        <v>84</v>
      </c>
      <c r="BH123" t="s" s="0">
        <v>84</v>
      </c>
      <c r="BI123" t="s" s="0">
        <v>1147</v>
      </c>
      <c r="BJ123" t="s" s="0">
        <v>3680</v>
      </c>
      <c r="BK123" t="s" s="243">
        <f>HYPERLINK("http://dx.doi.org/10.1038/s41746-019-0193-y","http://dx.doi.org/10.1038/s41746-019-0193-y")</f>
        <v>3681</v>
      </c>
      <c r="BL123" t="s" s="0">
        <v>84</v>
      </c>
      <c r="BM123" t="s" s="0">
        <v>84</v>
      </c>
      <c r="BN123" t="s" s="0">
        <v>242</v>
      </c>
      <c r="BO123" t="s" s="0">
        <v>1298</v>
      </c>
      <c r="BP123" t="s" s="0">
        <v>1298</v>
      </c>
      <c r="BQ123" t="s" s="0">
        <v>3682</v>
      </c>
      <c r="BR123" t="s" s="0">
        <v>3683</v>
      </c>
      <c r="BS123" t="s" s="0">
        <v>3684</v>
      </c>
      <c r="BT123" t="s" s="244">
        <f>HYPERLINK("https://www.webofscience.com/wos/woscc/full-record/WOS:000503006300001","View Record in Web of Science")</f>
        <v>127</v>
      </c>
      <c r="BU123" t="s" s="0">
        <v>170</v>
      </c>
      <c r="BV123" t="s" s="0">
        <v>128</v>
      </c>
      <c r="BW123" t="s" s="0">
        <v>129</v>
      </c>
      <c r="BX123" t="s" s="0">
        <v>130</v>
      </c>
    </row>
    <row r="124">
      <c r="A124" t="s" s="0">
        <v>280</v>
      </c>
      <c r="B124" t="s" s="0">
        <v>78</v>
      </c>
      <c r="C124" t="s" s="0">
        <v>342</v>
      </c>
      <c r="D124" t="s" s="0">
        <v>116</v>
      </c>
      <c r="E124" t="s" s="0">
        <v>3685</v>
      </c>
      <c r="F124" t="s" s="0">
        <v>3686</v>
      </c>
      <c r="G124" t="s" s="0">
        <v>3687</v>
      </c>
      <c r="H124" t="s" s="0">
        <v>84</v>
      </c>
      <c r="I124" t="s" s="0">
        <v>85</v>
      </c>
      <c r="J124" t="s" s="0">
        <v>3688</v>
      </c>
      <c r="K124" t="s" s="0">
        <v>3689</v>
      </c>
      <c r="L124" t="s" s="0">
        <v>3690</v>
      </c>
      <c r="M124" t="s" s="0">
        <v>3691</v>
      </c>
      <c r="N124" t="s" s="0">
        <v>3692</v>
      </c>
      <c r="O124" t="s" s="0">
        <v>3693</v>
      </c>
      <c r="P124" t="s" s="0">
        <v>3694</v>
      </c>
      <c r="Q124" t="s" s="0">
        <v>93</v>
      </c>
      <c r="R124" t="s" s="0">
        <v>84</v>
      </c>
      <c r="S124" t="s" s="0">
        <v>84</v>
      </c>
      <c r="T124" t="s" s="0">
        <v>84</v>
      </c>
      <c r="U124" t="s" s="0">
        <v>84</v>
      </c>
      <c r="V124" t="s" s="0">
        <v>3695</v>
      </c>
      <c r="W124" t="s" s="0">
        <v>3696</v>
      </c>
      <c r="X124" t="s" s="0">
        <v>84</v>
      </c>
      <c r="Y124" t="s" s="0">
        <v>84</v>
      </c>
      <c r="Z124" t="s" s="0">
        <v>96</v>
      </c>
      <c r="AA124" t="s" s="0">
        <v>97</v>
      </c>
      <c r="AB124" t="s" s="0">
        <v>84</v>
      </c>
      <c r="AC124" t="s" s="0">
        <v>84</v>
      </c>
      <c r="AD124" t="s" s="0">
        <v>84</v>
      </c>
      <c r="AE124" t="s" s="0">
        <v>84</v>
      </c>
      <c r="AF124" t="s" s="0">
        <v>84</v>
      </c>
      <c r="AG124" t="s" s="0">
        <v>3697</v>
      </c>
      <c r="AH124" t="s" s="0">
        <v>3698</v>
      </c>
      <c r="AI124" t="s" s="0">
        <v>3699</v>
      </c>
      <c r="AJ124" t="s" s="0">
        <v>3700</v>
      </c>
      <c r="AK124" t="s" s="0">
        <v>84</v>
      </c>
      <c r="AL124" t="s" s="0">
        <v>804</v>
      </c>
      <c r="AM124" t="s" s="0">
        <v>3701</v>
      </c>
      <c r="AN124" t="s" s="0">
        <v>2790</v>
      </c>
      <c r="AO124" t="s" s="0">
        <v>339</v>
      </c>
      <c r="AP124" t="s" s="0">
        <v>3702</v>
      </c>
      <c r="AQ124" t="s" s="0">
        <v>3703</v>
      </c>
      <c r="AR124" t="s" s="0">
        <v>3704</v>
      </c>
      <c r="AS124" t="s" s="0">
        <v>3705</v>
      </c>
      <c r="AT124" t="s" s="0">
        <v>3706</v>
      </c>
      <c r="AU124" t="s" s="0">
        <v>84</v>
      </c>
      <c r="AV124" t="s" s="0">
        <v>84</v>
      </c>
      <c r="AW124" t="s" s="0">
        <v>3707</v>
      </c>
      <c r="AX124" t="s" s="0">
        <v>3708</v>
      </c>
      <c r="AY124" t="s" s="0">
        <v>3709</v>
      </c>
      <c r="AZ124" t="s" s="0">
        <v>114</v>
      </c>
      <c r="BA124" t="s" s="0">
        <v>538</v>
      </c>
      <c r="BB124" t="s" s="0">
        <v>396</v>
      </c>
      <c r="BC124" t="s" s="0">
        <v>84</v>
      </c>
      <c r="BD124" t="s" s="0">
        <v>84</v>
      </c>
      <c r="BE124" t="s" s="0">
        <v>84</v>
      </c>
      <c r="BF124" t="s" s="0">
        <v>84</v>
      </c>
      <c r="BG124" t="s" s="0">
        <v>84</v>
      </c>
      <c r="BH124" t="s" s="0">
        <v>84</v>
      </c>
      <c r="BI124" t="s" s="0">
        <v>3710</v>
      </c>
      <c r="BJ124" t="s" s="0">
        <v>3711</v>
      </c>
      <c r="BK124" t="s" s="245">
        <f>HYPERLINK("http://dx.doi.org/10.1177/1729881419839596","http://dx.doi.org/10.1177/1729881419839596")</f>
        <v>3712</v>
      </c>
      <c r="BL124" t="s" s="0">
        <v>84</v>
      </c>
      <c r="BM124" t="s" s="0">
        <v>84</v>
      </c>
      <c r="BN124" t="s" s="0">
        <v>468</v>
      </c>
      <c r="BO124" t="s" s="0">
        <v>3713</v>
      </c>
      <c r="BP124" t="s" s="0">
        <v>3713</v>
      </c>
      <c r="BQ124" t="s" s="0">
        <v>3714</v>
      </c>
      <c r="BR124" t="s" s="0">
        <v>84</v>
      </c>
      <c r="BS124" t="s" s="0">
        <v>3715</v>
      </c>
      <c r="BT124" t="s" s="246">
        <f>HYPERLINK("https://www.webofscience.com/wos/woscc/full-record/WOS:000465135800001","View Record in Web of Science")</f>
        <v>127</v>
      </c>
      <c r="BU124" t="s" s="0">
        <v>170</v>
      </c>
      <c r="BV124" t="s" s="0">
        <v>128</v>
      </c>
      <c r="BW124" t="s" s="0">
        <v>129</v>
      </c>
      <c r="BX124" t="s" s="0">
        <v>130</v>
      </c>
    </row>
    <row r="125">
      <c r="A125" t="s" s="0">
        <v>275</v>
      </c>
      <c r="B125" t="s" s="0">
        <v>78</v>
      </c>
      <c r="C125" t="s" s="0">
        <v>3716</v>
      </c>
      <c r="D125" t="s" s="0">
        <v>78</v>
      </c>
      <c r="E125" t="s" s="0">
        <v>3717</v>
      </c>
      <c r="F125" t="s" s="0">
        <v>3718</v>
      </c>
      <c r="G125" t="s" s="0">
        <v>3719</v>
      </c>
      <c r="H125" t="s" s="0">
        <v>84</v>
      </c>
      <c r="I125" t="s" s="0">
        <v>85</v>
      </c>
      <c r="J125" t="s" s="0">
        <v>3720</v>
      </c>
      <c r="K125" t="s" s="0">
        <v>3721</v>
      </c>
      <c r="L125" t="s" s="0">
        <v>3722</v>
      </c>
      <c r="M125" t="s" s="0">
        <v>3723</v>
      </c>
      <c r="N125" t="s" s="0">
        <v>3724</v>
      </c>
      <c r="O125" t="s" s="0">
        <v>3725</v>
      </c>
      <c r="P125" t="s" s="0">
        <v>3726</v>
      </c>
      <c r="Q125" t="s" s="0">
        <v>93</v>
      </c>
      <c r="R125" t="s" s="0">
        <v>84</v>
      </c>
      <c r="S125" t="s" s="0">
        <v>84</v>
      </c>
      <c r="T125" t="s" s="0">
        <v>84</v>
      </c>
      <c r="U125" t="s" s="0">
        <v>84</v>
      </c>
      <c r="V125" t="s" s="0">
        <v>3727</v>
      </c>
      <c r="W125" t="s" s="0">
        <v>3728</v>
      </c>
      <c r="X125" t="s" s="0">
        <v>84</v>
      </c>
      <c r="Y125" t="s" s="0">
        <v>84</v>
      </c>
      <c r="Z125" t="s" s="0">
        <v>96</v>
      </c>
      <c r="AA125" t="s" s="0">
        <v>97</v>
      </c>
      <c r="AB125" t="s" s="0">
        <v>84</v>
      </c>
      <c r="AC125" t="s" s="0">
        <v>84</v>
      </c>
      <c r="AD125" t="s" s="0">
        <v>84</v>
      </c>
      <c r="AE125" t="s" s="0">
        <v>84</v>
      </c>
      <c r="AF125" t="s" s="0">
        <v>84</v>
      </c>
      <c r="AG125" t="s" s="0">
        <v>3729</v>
      </c>
      <c r="AH125" t="s" s="0">
        <v>3730</v>
      </c>
      <c r="AI125" t="s" s="0">
        <v>3731</v>
      </c>
      <c r="AJ125" t="s" s="0">
        <v>3732</v>
      </c>
      <c r="AK125" t="s" s="0">
        <v>84</v>
      </c>
      <c r="AL125" t="s" s="0">
        <v>1942</v>
      </c>
      <c r="AM125" t="s" s="0">
        <v>3733</v>
      </c>
      <c r="AN125" t="s" s="0">
        <v>3734</v>
      </c>
      <c r="AO125" t="s" s="0">
        <v>202</v>
      </c>
      <c r="AP125" t="s" s="0">
        <v>1588</v>
      </c>
      <c r="AQ125" t="s" s="0">
        <v>379</v>
      </c>
      <c r="AR125" t="s" s="0">
        <v>380</v>
      </c>
      <c r="AS125" t="s" s="0">
        <v>381</v>
      </c>
      <c r="AT125" t="s" s="0">
        <v>3735</v>
      </c>
      <c r="AU125" t="s" s="0">
        <v>3736</v>
      </c>
      <c r="AV125" t="s" s="0">
        <v>84</v>
      </c>
      <c r="AW125" t="s" s="0">
        <v>3728</v>
      </c>
      <c r="AX125" t="s" s="0">
        <v>3737</v>
      </c>
      <c r="AY125" t="s" s="0">
        <v>2663</v>
      </c>
      <c r="AZ125" t="s" s="0">
        <v>351</v>
      </c>
      <c r="BA125" t="s" s="0">
        <v>118</v>
      </c>
      <c r="BB125" t="s" s="0">
        <v>172</v>
      </c>
      <c r="BC125" t="s" s="0">
        <v>84</v>
      </c>
      <c r="BD125" t="s" s="0">
        <v>84</v>
      </c>
      <c r="BE125" t="s" s="0">
        <v>84</v>
      </c>
      <c r="BF125" t="s" s="0">
        <v>84</v>
      </c>
      <c r="BG125" t="s" s="0">
        <v>84</v>
      </c>
      <c r="BH125" t="s" s="0">
        <v>84</v>
      </c>
      <c r="BI125" t="s" s="0">
        <v>1064</v>
      </c>
      <c r="BJ125" t="s" s="0">
        <v>3738</v>
      </c>
      <c r="BK125" t="s" s="247">
        <f>HYPERLINK("http://dx.doi.org/10.3390/medicina56090455","http://dx.doi.org/10.3390/medicina56090455")</f>
        <v>3739</v>
      </c>
      <c r="BL125" t="s" s="0">
        <v>84</v>
      </c>
      <c r="BM125" t="s" s="0">
        <v>84</v>
      </c>
      <c r="BN125" t="s" s="0">
        <v>527</v>
      </c>
      <c r="BO125" t="s" s="0">
        <v>281</v>
      </c>
      <c r="BP125" t="s" s="0">
        <v>282</v>
      </c>
      <c r="BQ125" t="s" s="0">
        <v>3740</v>
      </c>
      <c r="BR125" t="s" s="0">
        <v>3741</v>
      </c>
      <c r="BS125" t="s" s="0">
        <v>3742</v>
      </c>
      <c r="BT125" t="s" s="248">
        <f>HYPERLINK("https://www.webofscience.com/wos/woscc/full-record/WOS:000578236200001","View Record in Web of Science")</f>
        <v>127</v>
      </c>
      <c r="BU125" t="s" s="0">
        <v>170</v>
      </c>
      <c r="BV125" t="s" s="0">
        <v>128</v>
      </c>
      <c r="BW125" t="s" s="0">
        <v>129</v>
      </c>
      <c r="BX125" t="s" s="0">
        <v>130</v>
      </c>
    </row>
    <row r="126">
      <c r="A126" t="s" s="0">
        <v>538</v>
      </c>
      <c r="B126" t="s" s="0">
        <v>78</v>
      </c>
      <c r="C126" t="s" s="0">
        <v>3372</v>
      </c>
      <c r="D126" t="s" s="0">
        <v>78</v>
      </c>
      <c r="E126" t="s" s="0">
        <v>3743</v>
      </c>
      <c r="F126" t="s" s="0">
        <v>3744</v>
      </c>
      <c r="G126" t="s" s="0">
        <v>3745</v>
      </c>
      <c r="H126" t="s" s="0">
        <v>84</v>
      </c>
      <c r="I126" t="s" s="0">
        <v>85</v>
      </c>
      <c r="J126" t="s" s="0">
        <v>3746</v>
      </c>
      <c r="K126" t="s" s="0">
        <v>3747</v>
      </c>
      <c r="L126" t="s" s="0">
        <v>3748</v>
      </c>
      <c r="M126" t="s" s="0">
        <v>3749</v>
      </c>
      <c r="N126" t="s" s="0">
        <v>3750</v>
      </c>
      <c r="O126" t="s" s="0">
        <v>3751</v>
      </c>
      <c r="P126" t="s" s="0">
        <v>3752</v>
      </c>
      <c r="Q126" t="s" s="0">
        <v>93</v>
      </c>
      <c r="R126" t="s" s="0">
        <v>84</v>
      </c>
      <c r="S126" t="s" s="0">
        <v>84</v>
      </c>
      <c r="T126" t="s" s="0">
        <v>84</v>
      </c>
      <c r="U126" t="s" s="0">
        <v>84</v>
      </c>
      <c r="V126" t="s" s="0">
        <v>3753</v>
      </c>
      <c r="W126" t="s" s="0">
        <v>1507</v>
      </c>
      <c r="X126" t="s" s="0">
        <v>84</v>
      </c>
      <c r="Y126" t="s" s="0">
        <v>84</v>
      </c>
      <c r="Z126" t="s" s="0">
        <v>96</v>
      </c>
      <c r="AA126" t="s" s="0">
        <v>97</v>
      </c>
      <c r="AB126" t="s" s="0">
        <v>84</v>
      </c>
      <c r="AC126" t="s" s="0">
        <v>84</v>
      </c>
      <c r="AD126" t="s" s="0">
        <v>84</v>
      </c>
      <c r="AE126" t="s" s="0">
        <v>84</v>
      </c>
      <c r="AF126" t="s" s="0">
        <v>84</v>
      </c>
      <c r="AG126" t="s" s="0">
        <v>84</v>
      </c>
      <c r="AH126" t="s" s="0">
        <v>84</v>
      </c>
      <c r="AI126" t="s" s="0">
        <v>3754</v>
      </c>
      <c r="AJ126" t="s" s="0">
        <v>3755</v>
      </c>
      <c r="AK126" t="s" s="0">
        <v>84</v>
      </c>
      <c r="AL126" t="s" s="0">
        <v>978</v>
      </c>
      <c r="AM126" t="s" s="0">
        <v>461</v>
      </c>
      <c r="AN126" t="s" s="0">
        <v>1402</v>
      </c>
      <c r="AO126" t="s" s="0">
        <v>822</v>
      </c>
      <c r="AP126" t="s" s="0">
        <v>3315</v>
      </c>
      <c r="AQ126" t="s" s="0">
        <v>106</v>
      </c>
      <c r="AR126" t="s" s="0">
        <v>107</v>
      </c>
      <c r="AS126" t="s" s="0">
        <v>108</v>
      </c>
      <c r="AT126" t="s" s="0">
        <v>1515</v>
      </c>
      <c r="AU126" t="s" s="0">
        <v>84</v>
      </c>
      <c r="AV126" t="s" s="0">
        <v>84</v>
      </c>
      <c r="AW126" t="s" s="0">
        <v>1516</v>
      </c>
      <c r="AX126" t="s" s="0">
        <v>1517</v>
      </c>
      <c r="AY126" t="s" s="0">
        <v>3756</v>
      </c>
      <c r="AZ126" t="s" s="0">
        <v>567</v>
      </c>
      <c r="BA126" t="s" s="0">
        <v>342</v>
      </c>
      <c r="BB126" t="s" s="0">
        <v>116</v>
      </c>
      <c r="BC126" t="s" s="0">
        <v>84</v>
      </c>
      <c r="BD126" t="s" s="0">
        <v>84</v>
      </c>
      <c r="BE126" t="s" s="0">
        <v>84</v>
      </c>
      <c r="BF126" t="s" s="0">
        <v>84</v>
      </c>
      <c r="BG126" t="s" s="0">
        <v>84</v>
      </c>
      <c r="BH126" t="s" s="0">
        <v>84</v>
      </c>
      <c r="BI126" t="s" s="0">
        <v>3757</v>
      </c>
      <c r="BJ126" t="s" s="0">
        <v>3758</v>
      </c>
      <c r="BK126" t="s" s="249">
        <f>HYPERLINK("http://dx.doi.org/10.1038/s41746-024-01073-0","http://dx.doi.org/10.1038/s41746-024-01073-0")</f>
        <v>3759</v>
      </c>
      <c r="BL126" t="s" s="0">
        <v>84</v>
      </c>
      <c r="BM126" t="s" s="0">
        <v>84</v>
      </c>
      <c r="BN126" t="s" s="0">
        <v>242</v>
      </c>
      <c r="BO126" t="s" s="0">
        <v>1298</v>
      </c>
      <c r="BP126" t="s" s="0">
        <v>1298</v>
      </c>
      <c r="BQ126" t="s" s="0">
        <v>3760</v>
      </c>
      <c r="BR126" t="s" s="0">
        <v>3761</v>
      </c>
      <c r="BS126" t="s" s="0">
        <v>3762</v>
      </c>
      <c r="BT126" t="s" s="250">
        <f>HYPERLINK("https://www.webofscience.com/wos/woscc/full-record/WOS:001189226400001","View Record in Web of Science")</f>
        <v>127</v>
      </c>
      <c r="BU126" t="s" s="0">
        <v>170</v>
      </c>
      <c r="BV126" t="s" s="0">
        <v>128</v>
      </c>
      <c r="BW126" t="s" s="0">
        <v>129</v>
      </c>
      <c r="BX126" t="s" s="0">
        <v>130</v>
      </c>
    </row>
    <row r="127">
      <c r="A127" t="s" s="0">
        <v>133</v>
      </c>
      <c r="B127" t="s" s="0">
        <v>78</v>
      </c>
      <c r="C127" t="s" s="0">
        <v>1942</v>
      </c>
      <c r="D127" t="s" s="0">
        <v>78</v>
      </c>
      <c r="E127" t="s" s="0">
        <v>3763</v>
      </c>
      <c r="F127" t="s" s="0">
        <v>3764</v>
      </c>
      <c r="G127" t="s" s="0">
        <v>3765</v>
      </c>
      <c r="H127" t="s" s="0">
        <v>84</v>
      </c>
      <c r="I127" t="s" s="0">
        <v>1100</v>
      </c>
      <c r="J127" t="s" s="0">
        <v>3766</v>
      </c>
      <c r="K127" t="s" s="0">
        <v>3767</v>
      </c>
      <c r="L127" t="s" s="0">
        <v>3768</v>
      </c>
      <c r="M127" t="s" s="0">
        <v>3769</v>
      </c>
      <c r="N127" t="s" s="0">
        <v>3770</v>
      </c>
      <c r="O127" t="s" s="0">
        <v>3771</v>
      </c>
      <c r="P127" t="s" s="0">
        <v>3772</v>
      </c>
      <c r="Q127" t="s" s="0">
        <v>93</v>
      </c>
      <c r="R127" t="s" s="0">
        <v>84</v>
      </c>
      <c r="S127" t="s" s="0">
        <v>84</v>
      </c>
      <c r="T127" t="s" s="0">
        <v>84</v>
      </c>
      <c r="U127" t="s" s="0">
        <v>84</v>
      </c>
      <c r="V127" t="s" s="0">
        <v>3773</v>
      </c>
      <c r="W127" t="s" s="0">
        <v>3774</v>
      </c>
      <c r="X127" t="s" s="0">
        <v>84</v>
      </c>
      <c r="Y127" t="s" s="0">
        <v>84</v>
      </c>
      <c r="Z127" t="s" s="0">
        <v>96</v>
      </c>
      <c r="AA127" t="s" s="0">
        <v>97</v>
      </c>
      <c r="AB127" t="s" s="0">
        <v>84</v>
      </c>
      <c r="AC127" t="s" s="0">
        <v>84</v>
      </c>
      <c r="AD127" t="s" s="0">
        <v>84</v>
      </c>
      <c r="AE127" t="s" s="0">
        <v>84</v>
      </c>
      <c r="AF127" t="s" s="0">
        <v>84</v>
      </c>
      <c r="AG127" t="s" s="0">
        <v>84</v>
      </c>
      <c r="AH127" t="s" s="0">
        <v>3775</v>
      </c>
      <c r="AI127" t="s" s="0">
        <v>3776</v>
      </c>
      <c r="AJ127" t="s" s="0">
        <v>3777</v>
      </c>
      <c r="AK127" t="s" s="0">
        <v>84</v>
      </c>
      <c r="AL127" t="s" s="0">
        <v>978</v>
      </c>
      <c r="AM127" t="s" s="0">
        <v>3778</v>
      </c>
      <c r="AN127" t="s" s="0">
        <v>3779</v>
      </c>
      <c r="AO127" t="s" s="0">
        <v>264</v>
      </c>
      <c r="AP127" t="s" s="0">
        <v>1786</v>
      </c>
      <c r="AQ127" t="s" s="0">
        <v>152</v>
      </c>
      <c r="AR127" t="s" s="0">
        <v>153</v>
      </c>
      <c r="AS127" t="s" s="0">
        <v>154</v>
      </c>
      <c r="AT127" t="s" s="0">
        <v>84</v>
      </c>
      <c r="AU127" t="s" s="0">
        <v>3780</v>
      </c>
      <c r="AV127" t="s" s="0">
        <v>84</v>
      </c>
      <c r="AW127" t="s" s="0">
        <v>3781</v>
      </c>
      <c r="AX127" t="s" s="0">
        <v>3782</v>
      </c>
      <c r="AY127" t="s" s="0">
        <v>1680</v>
      </c>
      <c r="AZ127" t="s" s="0">
        <v>235</v>
      </c>
      <c r="BA127" t="s" s="0">
        <v>396</v>
      </c>
      <c r="BB127" t="s" s="0">
        <v>459</v>
      </c>
      <c r="BC127" t="s" s="0">
        <v>84</v>
      </c>
      <c r="BD127" t="s" s="0">
        <v>84</v>
      </c>
      <c r="BE127" t="s" s="0">
        <v>84</v>
      </c>
      <c r="BF127" t="s" s="0">
        <v>84</v>
      </c>
      <c r="BG127" t="s" s="0">
        <v>3701</v>
      </c>
      <c r="BH127" t="s" s="0">
        <v>3577</v>
      </c>
      <c r="BI127" t="s" s="0">
        <v>84</v>
      </c>
      <c r="BJ127" t="s" s="0">
        <v>3783</v>
      </c>
      <c r="BK127" t="s" s="251">
        <f>HYPERLINK("http://dx.doi.org/10.1038/s44160-022-00231-0","http://dx.doi.org/10.1038/s44160-022-00231-0")</f>
        <v>3784</v>
      </c>
      <c r="BL127" t="s" s="0">
        <v>84</v>
      </c>
      <c r="BM127" t="s" s="0">
        <v>84</v>
      </c>
      <c r="BN127" t="s" s="0">
        <v>527</v>
      </c>
      <c r="BO127" t="s" s="0">
        <v>2237</v>
      </c>
      <c r="BP127" t="s" s="0">
        <v>2238</v>
      </c>
      <c r="BQ127" t="s" s="0">
        <v>3785</v>
      </c>
      <c r="BR127" t="s" s="0">
        <v>84</v>
      </c>
      <c r="BS127" t="s" s="0">
        <v>3786</v>
      </c>
      <c r="BT127" t="s" s="252">
        <f>HYPERLINK("https://www.webofscience.com/wos/woscc/full-record/WOS:001126317200001","View Record in Web of Science")</f>
        <v>127</v>
      </c>
      <c r="BU127" t="s" s="0">
        <v>1851</v>
      </c>
      <c r="BV127" t="s" s="0">
        <v>84</v>
      </c>
      <c r="BW127" t="s" s="0">
        <v>84</v>
      </c>
      <c r="BX127" t="s" s="0">
        <v>130</v>
      </c>
    </row>
    <row r="128">
      <c r="A128" t="s" s="0">
        <v>468</v>
      </c>
      <c r="B128" t="s" s="0">
        <v>78</v>
      </c>
      <c r="C128" t="s" s="0">
        <v>3787</v>
      </c>
      <c r="D128" t="s" s="0">
        <v>78</v>
      </c>
      <c r="E128" t="s" s="0">
        <v>3788</v>
      </c>
      <c r="F128" t="s" s="0">
        <v>3789</v>
      </c>
      <c r="G128" t="s" s="0">
        <v>3790</v>
      </c>
      <c r="H128" t="s" s="0">
        <v>84</v>
      </c>
      <c r="I128" t="s" s="0">
        <v>85</v>
      </c>
      <c r="J128" t="s" s="0">
        <v>3791</v>
      </c>
      <c r="K128" t="s" s="0">
        <v>3792</v>
      </c>
      <c r="L128" t="s" s="0">
        <v>3793</v>
      </c>
      <c r="M128" t="s" s="0">
        <v>3794</v>
      </c>
      <c r="N128" t="s" s="0">
        <v>3795</v>
      </c>
      <c r="O128" t="s" s="0">
        <v>3796</v>
      </c>
      <c r="P128" t="s" s="0">
        <v>3797</v>
      </c>
      <c r="Q128" t="s" s="0">
        <v>93</v>
      </c>
      <c r="R128" t="s" s="0">
        <v>84</v>
      </c>
      <c r="S128" t="s" s="0">
        <v>84</v>
      </c>
      <c r="T128" t="s" s="0">
        <v>84</v>
      </c>
      <c r="U128" t="s" s="0">
        <v>84</v>
      </c>
      <c r="V128" t="s" s="0">
        <v>3798</v>
      </c>
      <c r="W128" t="s" s="0">
        <v>3119</v>
      </c>
      <c r="X128" t="s" s="0">
        <v>84</v>
      </c>
      <c r="Y128" t="s" s="0">
        <v>84</v>
      </c>
      <c r="Z128" t="s" s="0">
        <v>96</v>
      </c>
      <c r="AA128" t="s" s="0">
        <v>97</v>
      </c>
      <c r="AB128" t="s" s="0">
        <v>84</v>
      </c>
      <c r="AC128" t="s" s="0">
        <v>84</v>
      </c>
      <c r="AD128" t="s" s="0">
        <v>84</v>
      </c>
      <c r="AE128" t="s" s="0">
        <v>84</v>
      </c>
      <c r="AF128" t="s" s="0">
        <v>84</v>
      </c>
      <c r="AG128" t="s" s="0">
        <v>84</v>
      </c>
      <c r="AH128" t="s" s="0">
        <v>3799</v>
      </c>
      <c r="AI128" t="s" s="0">
        <v>3800</v>
      </c>
      <c r="AJ128" t="s" s="0">
        <v>3801</v>
      </c>
      <c r="AK128" t="s" s="0">
        <v>84</v>
      </c>
      <c r="AL128" t="s" s="0">
        <v>3107</v>
      </c>
      <c r="AM128" t="s" s="0">
        <v>3802</v>
      </c>
      <c r="AN128" t="s" s="0">
        <v>1382</v>
      </c>
      <c r="AO128" t="s" s="0">
        <v>521</v>
      </c>
      <c r="AP128" t="s" s="0">
        <v>2767</v>
      </c>
      <c r="AQ128" t="s" s="0">
        <v>106</v>
      </c>
      <c r="AR128" t="s" s="0">
        <v>107</v>
      </c>
      <c r="AS128" t="s" s="0">
        <v>108</v>
      </c>
      <c r="AT128" t="s" s="0">
        <v>3124</v>
      </c>
      <c r="AU128" t="s" s="0">
        <v>84</v>
      </c>
      <c r="AV128" t="s" s="0">
        <v>84</v>
      </c>
      <c r="AW128" t="s" s="0">
        <v>3125</v>
      </c>
      <c r="AX128" t="s" s="0">
        <v>3126</v>
      </c>
      <c r="AY128" t="s" s="0">
        <v>2034</v>
      </c>
      <c r="AZ128" t="s" s="0">
        <v>159</v>
      </c>
      <c r="BA128" t="s" s="0">
        <v>459</v>
      </c>
      <c r="BB128" t="s" s="0">
        <v>160</v>
      </c>
      <c r="BC128" t="s" s="0">
        <v>84</v>
      </c>
      <c r="BD128" t="s" s="0">
        <v>84</v>
      </c>
      <c r="BE128" t="s" s="0">
        <v>84</v>
      </c>
      <c r="BF128" t="s" s="0">
        <v>84</v>
      </c>
      <c r="BG128" t="s" s="0">
        <v>3803</v>
      </c>
      <c r="BH128" t="s" s="0">
        <v>410</v>
      </c>
      <c r="BI128" t="s" s="0">
        <v>84</v>
      </c>
      <c r="BJ128" t="s" s="0">
        <v>3804</v>
      </c>
      <c r="BK128" t="s" s="253">
        <f>HYPERLINK("http://dx.doi.org/10.1038/s41578-021-00337-5","http://dx.doi.org/10.1038/s41578-021-00337-5")</f>
        <v>3805</v>
      </c>
      <c r="BL128" t="s" s="0">
        <v>84</v>
      </c>
      <c r="BM128" t="s" s="0">
        <v>2359</v>
      </c>
      <c r="BN128" t="s" s="0">
        <v>538</v>
      </c>
      <c r="BO128" t="s" s="0">
        <v>3131</v>
      </c>
      <c r="BP128" t="s" s="0">
        <v>3132</v>
      </c>
      <c r="BQ128" t="s" s="0">
        <v>3806</v>
      </c>
      <c r="BR128" t="s" s="0">
        <v>84</v>
      </c>
      <c r="BS128" t="s" s="0">
        <v>3807</v>
      </c>
      <c r="BT128" t="s" s="254">
        <f>HYPERLINK("https://www.webofscience.com/wos/woscc/full-record/WOS:000673035600001","View Record in Web of Science")</f>
        <v>127</v>
      </c>
      <c r="BU128" t="s" s="0">
        <v>84</v>
      </c>
      <c r="BV128" t="s" s="0">
        <v>128</v>
      </c>
      <c r="BW128" t="s" s="0">
        <v>129</v>
      </c>
      <c r="BX128" t="s" s="0">
        <v>130</v>
      </c>
    </row>
    <row r="129">
      <c r="A129" t="s" s="0">
        <v>538</v>
      </c>
      <c r="B129" t="s" s="0">
        <v>78</v>
      </c>
      <c r="C129" t="s" s="0">
        <v>927</v>
      </c>
      <c r="D129" t="s" s="0">
        <v>116</v>
      </c>
      <c r="E129" t="s" s="0">
        <v>3808</v>
      </c>
      <c r="F129" t="s" s="0">
        <v>3809</v>
      </c>
      <c r="G129" t="s" s="0">
        <v>3810</v>
      </c>
      <c r="H129" t="s" s="0">
        <v>84</v>
      </c>
      <c r="I129" t="s" s="0">
        <v>85</v>
      </c>
      <c r="J129" t="s" s="0">
        <v>3811</v>
      </c>
      <c r="K129" t="s" s="0">
        <v>3812</v>
      </c>
      <c r="L129" t="s" s="0">
        <v>3813</v>
      </c>
      <c r="M129" t="s" s="0">
        <v>3814</v>
      </c>
      <c r="N129" t="s" s="0">
        <v>3815</v>
      </c>
      <c r="O129" t="s" s="0">
        <v>3816</v>
      </c>
      <c r="P129" t="s" s="0">
        <v>3817</v>
      </c>
      <c r="Q129" t="s" s="0">
        <v>93</v>
      </c>
      <c r="R129" t="s" s="0">
        <v>84</v>
      </c>
      <c r="S129" t="s" s="0">
        <v>84</v>
      </c>
      <c r="T129" t="s" s="0">
        <v>84</v>
      </c>
      <c r="U129" t="s" s="0">
        <v>84</v>
      </c>
      <c r="V129" t="s" s="0">
        <v>3818</v>
      </c>
      <c r="W129" t="s" s="0">
        <v>3819</v>
      </c>
      <c r="X129" t="s" s="0">
        <v>84</v>
      </c>
      <c r="Y129" t="s" s="0">
        <v>84</v>
      </c>
      <c r="Z129" t="s" s="0">
        <v>96</v>
      </c>
      <c r="AA129" t="s" s="0">
        <v>97</v>
      </c>
      <c r="AB129" t="s" s="0">
        <v>84</v>
      </c>
      <c r="AC129" t="s" s="0">
        <v>84</v>
      </c>
      <c r="AD129" t="s" s="0">
        <v>84</v>
      </c>
      <c r="AE129" t="s" s="0">
        <v>84</v>
      </c>
      <c r="AF129" t="s" s="0">
        <v>84</v>
      </c>
      <c r="AG129" t="s" s="0">
        <v>3820</v>
      </c>
      <c r="AH129" t="s" s="0">
        <v>3821</v>
      </c>
      <c r="AI129" t="s" s="0">
        <v>3822</v>
      </c>
      <c r="AJ129" t="s" s="0">
        <v>3823</v>
      </c>
      <c r="AK129" t="s" s="0">
        <v>84</v>
      </c>
      <c r="AL129" t="s" s="0">
        <v>3824</v>
      </c>
      <c r="AM129" t="s" s="0">
        <v>3825</v>
      </c>
      <c r="AN129" t="s" s="0">
        <v>3826</v>
      </c>
      <c r="AO129" t="s" s="0">
        <v>312</v>
      </c>
      <c r="AP129" t="s" s="0">
        <v>3827</v>
      </c>
      <c r="AQ129" t="s" s="0">
        <v>1261</v>
      </c>
      <c r="AR129" t="s" s="0">
        <v>1262</v>
      </c>
      <c r="AS129" t="s" s="0">
        <v>1263</v>
      </c>
      <c r="AT129" t="s" s="0">
        <v>3828</v>
      </c>
      <c r="AU129" t="s" s="0">
        <v>3829</v>
      </c>
      <c r="AV129" t="s" s="0">
        <v>84</v>
      </c>
      <c r="AW129" t="s" s="0">
        <v>3830</v>
      </c>
      <c r="AX129" t="s" s="0">
        <v>3831</v>
      </c>
      <c r="AY129" t="s" s="0">
        <v>1028</v>
      </c>
      <c r="AZ129" t="s" s="0">
        <v>159</v>
      </c>
      <c r="BA129" t="s" s="0">
        <v>3300</v>
      </c>
      <c r="BB129" t="s" s="0">
        <v>84</v>
      </c>
      <c r="BC129" t="s" s="0">
        <v>84</v>
      </c>
      <c r="BD129" t="s" s="0">
        <v>84</v>
      </c>
      <c r="BE129" t="s" s="0">
        <v>84</v>
      </c>
      <c r="BF129" t="s" s="0">
        <v>84</v>
      </c>
      <c r="BG129" t="s" s="0">
        <v>172</v>
      </c>
      <c r="BH129" t="s" s="0">
        <v>264</v>
      </c>
      <c r="BI129" t="s" s="0">
        <v>84</v>
      </c>
      <c r="BJ129" t="s" s="0">
        <v>3832</v>
      </c>
      <c r="BK129" t="s" s="255">
        <f>HYPERLINK("http://dx.doi.org/10.1016/j.ejmp.2021.02.006","http://dx.doi.org/10.1016/j.ejmp.2021.02.006")</f>
        <v>3833</v>
      </c>
      <c r="BL129" t="s" s="0">
        <v>84</v>
      </c>
      <c r="BM129" t="s" s="0">
        <v>1028</v>
      </c>
      <c r="BN129" t="s" s="0">
        <v>538</v>
      </c>
      <c r="BO129" t="s" s="0">
        <v>208</v>
      </c>
      <c r="BP129" t="s" s="0">
        <v>208</v>
      </c>
      <c r="BQ129" t="s" s="0">
        <v>3834</v>
      </c>
      <c r="BR129" t="s" s="0">
        <v>3835</v>
      </c>
      <c r="BS129" t="s" s="0">
        <v>3836</v>
      </c>
      <c r="BT129" t="s" s="256">
        <f>HYPERLINK("https://www.webofscience.com/wos/woscc/full-record/WOS:000657912000002","View Record in Web of Science")</f>
        <v>127</v>
      </c>
      <c r="BU129" t="s" s="0">
        <v>1851</v>
      </c>
      <c r="BV129" t="s" s="0">
        <v>128</v>
      </c>
      <c r="BW129" t="s" s="0">
        <v>129</v>
      </c>
      <c r="BX129" t="s" s="0">
        <v>130</v>
      </c>
    </row>
    <row r="130">
      <c r="A130" t="s" s="0">
        <v>116</v>
      </c>
      <c r="B130" t="s" s="0">
        <v>78</v>
      </c>
      <c r="C130" t="s" s="0">
        <v>161</v>
      </c>
      <c r="D130" t="s" s="0">
        <v>787</v>
      </c>
      <c r="E130" t="s" s="0">
        <v>3837</v>
      </c>
      <c r="F130" t="s" s="0">
        <v>3838</v>
      </c>
      <c r="G130" t="s" s="0">
        <v>3839</v>
      </c>
      <c r="H130" t="s" s="0">
        <v>84</v>
      </c>
      <c r="I130" t="s" s="0">
        <v>85</v>
      </c>
      <c r="J130" t="s" s="0">
        <v>3840</v>
      </c>
      <c r="K130" t="s" s="0">
        <v>3841</v>
      </c>
      <c r="L130" t="s" s="0">
        <v>84</v>
      </c>
      <c r="M130" t="s" s="0">
        <v>84</v>
      </c>
      <c r="N130" t="s" s="0">
        <v>84</v>
      </c>
      <c r="O130" t="s" s="0">
        <v>3842</v>
      </c>
      <c r="P130" t="s" s="0">
        <v>3843</v>
      </c>
      <c r="Q130" t="s" s="0">
        <v>93</v>
      </c>
      <c r="R130" t="s" s="0">
        <v>84</v>
      </c>
      <c r="S130" t="s" s="0">
        <v>84</v>
      </c>
      <c r="T130" t="s" s="0">
        <v>84</v>
      </c>
      <c r="U130" t="s" s="0">
        <v>84</v>
      </c>
      <c r="V130" t="s" s="0">
        <v>3844</v>
      </c>
      <c r="W130" t="s" s="0">
        <v>3845</v>
      </c>
      <c r="X130" t="s" s="0">
        <v>84</v>
      </c>
      <c r="Y130" t="s" s="0">
        <v>84</v>
      </c>
      <c r="Z130" t="s" s="0">
        <v>96</v>
      </c>
      <c r="AA130" t="s" s="0">
        <v>97</v>
      </c>
      <c r="AB130" t="s" s="0">
        <v>84</v>
      </c>
      <c r="AC130" t="s" s="0">
        <v>84</v>
      </c>
      <c r="AD130" t="s" s="0">
        <v>84</v>
      </c>
      <c r="AE130" t="s" s="0">
        <v>84</v>
      </c>
      <c r="AF130" t="s" s="0">
        <v>84</v>
      </c>
      <c r="AG130" t="s" s="0">
        <v>3846</v>
      </c>
      <c r="AH130" t="s" s="0">
        <v>3847</v>
      </c>
      <c r="AI130" t="s" s="0">
        <v>3848</v>
      </c>
      <c r="AJ130" t="s" s="0">
        <v>3849</v>
      </c>
      <c r="AK130" t="s" s="0">
        <v>84</v>
      </c>
      <c r="AL130" t="s" s="0">
        <v>77</v>
      </c>
      <c r="AM130" t="s" s="0">
        <v>460</v>
      </c>
      <c r="AN130" t="s" s="0">
        <v>3850</v>
      </c>
      <c r="AO130" t="s" s="0">
        <v>80</v>
      </c>
      <c r="AP130" t="s" s="0">
        <v>469</v>
      </c>
      <c r="AQ130" t="s" s="0">
        <v>379</v>
      </c>
      <c r="AR130" t="s" s="0">
        <v>380</v>
      </c>
      <c r="AS130" t="s" s="0">
        <v>381</v>
      </c>
      <c r="AT130" t="s" s="0">
        <v>84</v>
      </c>
      <c r="AU130" t="s" s="0">
        <v>3851</v>
      </c>
      <c r="AV130" t="s" s="0">
        <v>84</v>
      </c>
      <c r="AW130" t="s" s="0">
        <v>3852</v>
      </c>
      <c r="AX130" t="s" s="0">
        <v>3853</v>
      </c>
      <c r="AY130" t="s" s="0">
        <v>1680</v>
      </c>
      <c r="AZ130" t="s" s="0">
        <v>235</v>
      </c>
      <c r="BA130" t="s" s="0">
        <v>121</v>
      </c>
      <c r="BB130" t="s" s="0">
        <v>459</v>
      </c>
      <c r="BC130" t="s" s="0">
        <v>84</v>
      </c>
      <c r="BD130" t="s" s="0">
        <v>84</v>
      </c>
      <c r="BE130" t="s" s="0">
        <v>84</v>
      </c>
      <c r="BF130" t="s" s="0">
        <v>84</v>
      </c>
      <c r="BG130" t="s" s="0">
        <v>84</v>
      </c>
      <c r="BH130" t="s" s="0">
        <v>84</v>
      </c>
      <c r="BI130" t="s" s="0">
        <v>3854</v>
      </c>
      <c r="BJ130" t="s" s="0">
        <v>3855</v>
      </c>
      <c r="BK130" t="s" s="257">
        <f>HYPERLINK("http://dx.doi.org/10.3390/jpm13060951","http://dx.doi.org/10.3390/jpm13060951")</f>
        <v>3856</v>
      </c>
      <c r="BL130" t="s" s="0">
        <v>84</v>
      </c>
      <c r="BM130" t="s" s="0">
        <v>84</v>
      </c>
      <c r="BN130" t="s" s="0">
        <v>468</v>
      </c>
      <c r="BO130" t="s" s="0">
        <v>3857</v>
      </c>
      <c r="BP130" t="s" s="0">
        <v>3858</v>
      </c>
      <c r="BQ130" t="s" s="0">
        <v>3859</v>
      </c>
      <c r="BR130" t="s" s="0">
        <v>3860</v>
      </c>
      <c r="BS130" t="s" s="0">
        <v>3861</v>
      </c>
      <c r="BT130" t="s" s="258">
        <f>HYPERLINK("https://www.webofscience.com/wos/woscc/full-record/WOS:001015376300001","View Record in Web of Science")</f>
        <v>127</v>
      </c>
      <c r="BU130" t="s" s="0">
        <v>170</v>
      </c>
      <c r="BV130" t="s" s="0">
        <v>128</v>
      </c>
      <c r="BW130" t="s" s="0">
        <v>129</v>
      </c>
      <c r="BX130" t="s" s="0">
        <v>130</v>
      </c>
    </row>
    <row r="131">
      <c r="A131" t="s" s="0">
        <v>322</v>
      </c>
      <c r="B131" t="s" s="0">
        <v>78</v>
      </c>
      <c r="C131" t="s" s="0">
        <v>3862</v>
      </c>
      <c r="D131" t="s" s="0">
        <v>396</v>
      </c>
      <c r="E131" t="s" s="0">
        <v>3863</v>
      </c>
      <c r="F131" t="s" s="0">
        <v>3864</v>
      </c>
      <c r="G131" t="s" s="0">
        <v>3865</v>
      </c>
      <c r="H131" t="s" s="0">
        <v>84</v>
      </c>
      <c r="I131" t="s" s="0">
        <v>85</v>
      </c>
      <c r="J131" t="s" s="0">
        <v>3866</v>
      </c>
      <c r="K131" t="s" s="0">
        <v>3867</v>
      </c>
      <c r="L131" t="s" s="0">
        <v>3868</v>
      </c>
      <c r="M131" t="s" s="0">
        <v>3869</v>
      </c>
      <c r="N131" t="s" s="0">
        <v>3870</v>
      </c>
      <c r="O131" t="s" s="0">
        <v>3871</v>
      </c>
      <c r="P131" t="s" s="0">
        <v>3872</v>
      </c>
      <c r="Q131" t="s" s="0">
        <v>93</v>
      </c>
      <c r="R131" t="s" s="0">
        <v>84</v>
      </c>
      <c r="S131" t="s" s="0">
        <v>84</v>
      </c>
      <c r="T131" t="s" s="0">
        <v>84</v>
      </c>
      <c r="U131" t="s" s="0">
        <v>84</v>
      </c>
      <c r="V131" t="s" s="0">
        <v>3873</v>
      </c>
      <c r="W131" t="s" s="0">
        <v>1537</v>
      </c>
      <c r="X131" t="s" s="0">
        <v>84</v>
      </c>
      <c r="Y131" t="s" s="0">
        <v>84</v>
      </c>
      <c r="Z131" t="s" s="0">
        <v>96</v>
      </c>
      <c r="AA131" t="s" s="0">
        <v>97</v>
      </c>
      <c r="AB131" t="s" s="0">
        <v>84</v>
      </c>
      <c r="AC131" t="s" s="0">
        <v>84</v>
      </c>
      <c r="AD131" t="s" s="0">
        <v>84</v>
      </c>
      <c r="AE131" t="s" s="0">
        <v>84</v>
      </c>
      <c r="AF131" t="s" s="0">
        <v>84</v>
      </c>
      <c r="AG131" t="s" s="0">
        <v>84</v>
      </c>
      <c r="AH131" t="s" s="0">
        <v>3874</v>
      </c>
      <c r="AI131" t="s" s="0">
        <v>3875</v>
      </c>
      <c r="AJ131" t="s" s="0">
        <v>3876</v>
      </c>
      <c r="AK131" t="s" s="0">
        <v>84</v>
      </c>
      <c r="AL131" t="s" s="0">
        <v>3877</v>
      </c>
      <c r="AM131" t="s" s="0">
        <v>460</v>
      </c>
      <c r="AN131" t="s" s="0">
        <v>3878</v>
      </c>
      <c r="AO131" t="s" s="0">
        <v>2877</v>
      </c>
      <c r="AP131" t="s" s="0">
        <v>2354</v>
      </c>
      <c r="AQ131" t="s" s="0">
        <v>152</v>
      </c>
      <c r="AR131" t="s" s="0">
        <v>153</v>
      </c>
      <c r="AS131" t="s" s="0">
        <v>154</v>
      </c>
      <c r="AT131" t="s" s="0">
        <v>1546</v>
      </c>
      <c r="AU131" t="s" s="0">
        <v>1547</v>
      </c>
      <c r="AV131" t="s" s="0">
        <v>84</v>
      </c>
      <c r="AW131" t="s" s="0">
        <v>1548</v>
      </c>
      <c r="AX131" t="s" s="0">
        <v>1549</v>
      </c>
      <c r="AY131" t="s" s="0">
        <v>3879</v>
      </c>
      <c r="AZ131" t="s" s="0">
        <v>235</v>
      </c>
      <c r="BA131" t="s" s="0">
        <v>160</v>
      </c>
      <c r="BB131" t="s" s="0">
        <v>116</v>
      </c>
      <c r="BC131" t="s" s="0">
        <v>84</v>
      </c>
      <c r="BD131" t="s" s="0">
        <v>84</v>
      </c>
      <c r="BE131" t="s" s="0">
        <v>84</v>
      </c>
      <c r="BF131" t="s" s="0">
        <v>84</v>
      </c>
      <c r="BG131" t="s" s="0">
        <v>84</v>
      </c>
      <c r="BH131" t="s" s="0">
        <v>84</v>
      </c>
      <c r="BI131" t="s" s="0">
        <v>1147</v>
      </c>
      <c r="BJ131" t="s" s="0">
        <v>3880</v>
      </c>
      <c r="BK131" t="s" s="259">
        <f>HYPERLINK("http://dx.doi.org/10.1038/s41392-023-01381-z","http://dx.doi.org/10.1038/s41392-023-01381-z")</f>
        <v>3881</v>
      </c>
      <c r="BL131" t="s" s="0">
        <v>84</v>
      </c>
      <c r="BM131" t="s" s="0">
        <v>84</v>
      </c>
      <c r="BN131" t="s" s="0">
        <v>275</v>
      </c>
      <c r="BO131" t="s" s="0">
        <v>1554</v>
      </c>
      <c r="BP131" t="s" s="0">
        <v>1554</v>
      </c>
      <c r="BQ131" t="s" s="0">
        <v>3882</v>
      </c>
      <c r="BR131" t="s" s="0">
        <v>3883</v>
      </c>
      <c r="BS131" t="s" s="0">
        <v>3884</v>
      </c>
      <c r="BT131" t="s" s="260">
        <f>HYPERLINK("https://www.webofscience.com/wos/woscc/full-record/WOS:000953048300004","View Record in Web of Science")</f>
        <v>127</v>
      </c>
      <c r="BU131" t="s" s="0">
        <v>170</v>
      </c>
      <c r="BV131" t="s" s="0">
        <v>128</v>
      </c>
      <c r="BW131" t="s" s="0">
        <v>129</v>
      </c>
      <c r="BX131" t="s" s="0">
        <v>130</v>
      </c>
    </row>
    <row r="132">
      <c r="A132" t="s" s="0">
        <v>280</v>
      </c>
      <c r="B132" t="s" s="0">
        <v>78</v>
      </c>
      <c r="C132" t="s" s="0">
        <v>2129</v>
      </c>
      <c r="D132" t="s" s="0">
        <v>78</v>
      </c>
      <c r="E132" t="s" s="0">
        <v>3885</v>
      </c>
      <c r="F132" t="s" s="0">
        <v>3886</v>
      </c>
      <c r="G132" t="s" s="0">
        <v>3887</v>
      </c>
      <c r="H132" t="s" s="0">
        <v>84</v>
      </c>
      <c r="I132" t="s" s="0">
        <v>85</v>
      </c>
      <c r="J132" t="s" s="0">
        <v>3888</v>
      </c>
      <c r="K132" t="s" s="0">
        <v>3889</v>
      </c>
      <c r="L132" t="s" s="0">
        <v>3890</v>
      </c>
      <c r="M132" t="s" s="0">
        <v>3891</v>
      </c>
      <c r="N132" t="s" s="0">
        <v>3892</v>
      </c>
      <c r="O132" t="s" s="0">
        <v>3893</v>
      </c>
      <c r="P132" t="s" s="0">
        <v>3894</v>
      </c>
      <c r="Q132" t="s" s="0">
        <v>93</v>
      </c>
      <c r="R132" t="s" s="0">
        <v>84</v>
      </c>
      <c r="S132" t="s" s="0">
        <v>84</v>
      </c>
      <c r="T132" t="s" s="0">
        <v>84</v>
      </c>
      <c r="U132" t="s" s="0">
        <v>84</v>
      </c>
      <c r="V132" t="s" s="0">
        <v>3895</v>
      </c>
      <c r="W132" t="s" s="0">
        <v>3896</v>
      </c>
      <c r="X132" t="s" s="0">
        <v>84</v>
      </c>
      <c r="Y132" t="s" s="0">
        <v>84</v>
      </c>
      <c r="Z132" t="s" s="0">
        <v>96</v>
      </c>
      <c r="AA132" t="s" s="0">
        <v>97</v>
      </c>
      <c r="AB132" t="s" s="0">
        <v>84</v>
      </c>
      <c r="AC132" t="s" s="0">
        <v>84</v>
      </c>
      <c r="AD132" t="s" s="0">
        <v>84</v>
      </c>
      <c r="AE132" t="s" s="0">
        <v>84</v>
      </c>
      <c r="AF132" t="s" s="0">
        <v>84</v>
      </c>
      <c r="AG132" t="s" s="0">
        <v>3897</v>
      </c>
      <c r="AH132" t="s" s="0">
        <v>3898</v>
      </c>
      <c r="AI132" t="s" s="0">
        <v>3899</v>
      </c>
      <c r="AJ132" t="s" s="0">
        <v>3900</v>
      </c>
      <c r="AK132" t="s" s="0">
        <v>84</v>
      </c>
      <c r="AL132" t="s" s="0">
        <v>3901</v>
      </c>
      <c r="AM132" t="s" s="0">
        <v>460</v>
      </c>
      <c r="AN132" t="s" s="0">
        <v>1382</v>
      </c>
      <c r="AO132" t="s" s="0">
        <v>322</v>
      </c>
      <c r="AP132" t="s" s="0">
        <v>132</v>
      </c>
      <c r="AQ132" t="s" s="0">
        <v>379</v>
      </c>
      <c r="AR132" t="s" s="0">
        <v>380</v>
      </c>
      <c r="AS132" t="s" s="0">
        <v>381</v>
      </c>
      <c r="AT132" t="s" s="0">
        <v>84</v>
      </c>
      <c r="AU132" t="s" s="0">
        <v>3902</v>
      </c>
      <c r="AV132" t="s" s="0">
        <v>84</v>
      </c>
      <c r="AW132" t="s" s="0">
        <v>3896</v>
      </c>
      <c r="AX132" t="s" s="0">
        <v>3903</v>
      </c>
      <c r="AY132" t="s" s="0">
        <v>3244</v>
      </c>
      <c r="AZ132" t="s" s="0">
        <v>159</v>
      </c>
      <c r="BA132" t="s" s="0">
        <v>242</v>
      </c>
      <c r="BB132" t="s" s="0">
        <v>172</v>
      </c>
      <c r="BC132" t="s" s="0">
        <v>84</v>
      </c>
      <c r="BD132" t="s" s="0">
        <v>84</v>
      </c>
      <c r="BE132" t="s" s="0">
        <v>84</v>
      </c>
      <c r="BF132" t="s" s="0">
        <v>84</v>
      </c>
      <c r="BG132" t="s" s="0">
        <v>84</v>
      </c>
      <c r="BH132" t="s" s="0">
        <v>84</v>
      </c>
      <c r="BI132" t="s" s="0">
        <v>147</v>
      </c>
      <c r="BJ132" t="s" s="0">
        <v>3904</v>
      </c>
      <c r="BK132" t="s" s="261">
        <f>HYPERLINK("http://dx.doi.org/10.3390/bios11090336","http://dx.doi.org/10.3390/bios11090336")</f>
        <v>3905</v>
      </c>
      <c r="BL132" t="s" s="0">
        <v>84</v>
      </c>
      <c r="BM132" t="s" s="0">
        <v>84</v>
      </c>
      <c r="BN132" t="s" s="0">
        <v>1524</v>
      </c>
      <c r="BO132" t="s" s="0">
        <v>3906</v>
      </c>
      <c r="BP132" t="s" s="0">
        <v>3907</v>
      </c>
      <c r="BQ132" t="s" s="0">
        <v>3908</v>
      </c>
      <c r="BR132" t="s" s="0">
        <v>3909</v>
      </c>
      <c r="BS132" t="s" s="0">
        <v>3910</v>
      </c>
      <c r="BT132" t="s" s="262">
        <f>HYPERLINK("https://www.webofscience.com/wos/woscc/full-record/WOS:000699338900001","View Record in Web of Science")</f>
        <v>127</v>
      </c>
      <c r="BU132" t="s" s="0">
        <v>170</v>
      </c>
      <c r="BV132" t="s" s="0">
        <v>128</v>
      </c>
      <c r="BW132" t="s" s="0">
        <v>129</v>
      </c>
      <c r="BX132" t="s" s="0">
        <v>130</v>
      </c>
    </row>
    <row r="133">
      <c r="A133" t="s" s="0">
        <v>312</v>
      </c>
      <c r="B133" t="s" s="0">
        <v>78</v>
      </c>
      <c r="C133" t="s" s="0">
        <v>3911</v>
      </c>
      <c r="D133" t="s" s="0">
        <v>116</v>
      </c>
      <c r="E133" t="s" s="0">
        <v>3912</v>
      </c>
      <c r="F133" t="s" s="0">
        <v>3913</v>
      </c>
      <c r="G133" t="s" s="0">
        <v>3914</v>
      </c>
      <c r="H133" t="s" s="0">
        <v>84</v>
      </c>
      <c r="I133" t="s" s="0">
        <v>85</v>
      </c>
      <c r="J133" t="s" s="0">
        <v>3915</v>
      </c>
      <c r="K133" t="s" s="0">
        <v>3916</v>
      </c>
      <c r="L133" t="s" s="0">
        <v>3917</v>
      </c>
      <c r="M133" t="s" s="0">
        <v>3918</v>
      </c>
      <c r="N133" t="s" s="0">
        <v>3919</v>
      </c>
      <c r="O133" t="s" s="0">
        <v>3920</v>
      </c>
      <c r="P133" t="s" s="0">
        <v>3921</v>
      </c>
      <c r="Q133" t="s" s="0">
        <v>93</v>
      </c>
      <c r="R133" t="s" s="0">
        <v>84</v>
      </c>
      <c r="S133" t="s" s="0">
        <v>84</v>
      </c>
      <c r="T133" t="s" s="0">
        <v>84</v>
      </c>
      <c r="U133" t="s" s="0">
        <v>84</v>
      </c>
      <c r="V133" t="s" s="0">
        <v>3922</v>
      </c>
      <c r="W133" t="s" s="0">
        <v>3923</v>
      </c>
      <c r="X133" t="s" s="0">
        <v>84</v>
      </c>
      <c r="Y133" t="s" s="0">
        <v>84</v>
      </c>
      <c r="Z133" t="s" s="0">
        <v>96</v>
      </c>
      <c r="AA133" t="s" s="0">
        <v>97</v>
      </c>
      <c r="AB133" t="s" s="0">
        <v>84</v>
      </c>
      <c r="AC133" t="s" s="0">
        <v>84</v>
      </c>
      <c r="AD133" t="s" s="0">
        <v>84</v>
      </c>
      <c r="AE133" t="s" s="0">
        <v>84</v>
      </c>
      <c r="AF133" t="s" s="0">
        <v>84</v>
      </c>
      <c r="AG133" t="s" s="0">
        <v>84</v>
      </c>
      <c r="AH133" t="s" s="0">
        <v>3924</v>
      </c>
      <c r="AI133" t="s" s="0">
        <v>3925</v>
      </c>
      <c r="AJ133" t="s" s="0">
        <v>3926</v>
      </c>
      <c r="AK133" t="s" s="0">
        <v>84</v>
      </c>
      <c r="AL133" t="s" s="0">
        <v>77</v>
      </c>
      <c r="AM133" t="s" s="0">
        <v>460</v>
      </c>
      <c r="AN133" t="s" s="0">
        <v>3927</v>
      </c>
      <c r="AO133" t="s" s="0">
        <v>527</v>
      </c>
      <c r="AP133" t="s" s="0">
        <v>3928</v>
      </c>
      <c r="AQ133" t="s" s="0">
        <v>106</v>
      </c>
      <c r="AR133" t="s" s="0">
        <v>107</v>
      </c>
      <c r="AS133" t="s" s="0">
        <v>108</v>
      </c>
      <c r="AT133" t="s" s="0">
        <v>3929</v>
      </c>
      <c r="AU133" t="s" s="0">
        <v>3930</v>
      </c>
      <c r="AV133" t="s" s="0">
        <v>84</v>
      </c>
      <c r="AW133" t="s" s="0">
        <v>3931</v>
      </c>
      <c r="AX133" t="s" s="0">
        <v>3932</v>
      </c>
      <c r="AY133" t="s" s="0">
        <v>3933</v>
      </c>
      <c r="AZ133" t="s" s="0">
        <v>114</v>
      </c>
      <c r="BA133" t="s" s="0">
        <v>604</v>
      </c>
      <c r="BB133" t="s" s="0">
        <v>214</v>
      </c>
      <c r="BC133" t="s" s="0">
        <v>84</v>
      </c>
      <c r="BD133" t="s" s="0">
        <v>84</v>
      </c>
      <c r="BE133" t="s" s="0">
        <v>84</v>
      </c>
      <c r="BF133" t="s" s="0">
        <v>84</v>
      </c>
      <c r="BG133" t="s" s="0">
        <v>3911</v>
      </c>
      <c r="BH133" t="s" s="0">
        <v>3934</v>
      </c>
      <c r="BI133" t="s" s="0">
        <v>84</v>
      </c>
      <c r="BJ133" t="s" s="0">
        <v>3935</v>
      </c>
      <c r="BK133" t="s" s="263">
        <f>HYPERLINK("http://dx.doi.org/10.1038/s41580-018-0094-y","http://dx.doi.org/10.1038/s41580-018-0094-y")</f>
        <v>3936</v>
      </c>
      <c r="BL133" t="s" s="0">
        <v>84</v>
      </c>
      <c r="BM133" t="s" s="0">
        <v>84</v>
      </c>
      <c r="BN133" t="s" s="0">
        <v>312</v>
      </c>
      <c r="BO133" t="s" s="0">
        <v>3937</v>
      </c>
      <c r="BP133" t="s" s="0">
        <v>3937</v>
      </c>
      <c r="BQ133" t="s" s="0">
        <v>3938</v>
      </c>
      <c r="BR133" t="s" s="0">
        <v>3939</v>
      </c>
      <c r="BS133" t="s" s="0">
        <v>3940</v>
      </c>
      <c r="BT133" t="s" s="264">
        <f>HYPERLINK("https://www.webofscience.com/wos/woscc/full-record/WOS:000465500200008","View Record in Web of Science")</f>
        <v>127</v>
      </c>
      <c r="BU133" t="s" s="0">
        <v>84</v>
      </c>
      <c r="BV133" t="s" s="0">
        <v>128</v>
      </c>
      <c r="BW133" t="s" s="0">
        <v>129</v>
      </c>
      <c r="BX133" t="s" s="0">
        <v>130</v>
      </c>
    </row>
    <row r="134">
      <c r="A134" t="s" s="0">
        <v>459</v>
      </c>
      <c r="B134" t="s" s="0">
        <v>78</v>
      </c>
      <c r="C134" t="s" s="0">
        <v>997</v>
      </c>
      <c r="D134" t="s" s="0">
        <v>459</v>
      </c>
      <c r="E134" t="s" s="0">
        <v>3941</v>
      </c>
      <c r="F134" t="s" s="0">
        <v>3942</v>
      </c>
      <c r="G134" t="s" s="0">
        <v>3943</v>
      </c>
      <c r="H134" t="s" s="0">
        <v>84</v>
      </c>
      <c r="I134" t="s" s="0">
        <v>85</v>
      </c>
      <c r="J134" t="s" s="0">
        <v>3944</v>
      </c>
      <c r="K134" t="s" s="0">
        <v>3945</v>
      </c>
      <c r="L134" t="s" s="0">
        <v>84</v>
      </c>
      <c r="M134" t="s" s="0">
        <v>84</v>
      </c>
      <c r="N134" t="s" s="0">
        <v>84</v>
      </c>
      <c r="O134" t="s" s="0">
        <v>3946</v>
      </c>
      <c r="P134" t="s" s="0">
        <v>3947</v>
      </c>
      <c r="Q134" t="s" s="0">
        <v>93</v>
      </c>
      <c r="R134" t="s" s="0">
        <v>84</v>
      </c>
      <c r="S134" t="s" s="0">
        <v>84</v>
      </c>
      <c r="T134" t="s" s="0">
        <v>84</v>
      </c>
      <c r="U134" t="s" s="0">
        <v>84</v>
      </c>
      <c r="V134" t="s" s="0">
        <v>3948</v>
      </c>
      <c r="W134" t="s" s="0">
        <v>3949</v>
      </c>
      <c r="X134" t="s" s="0">
        <v>84</v>
      </c>
      <c r="Y134" t="s" s="0">
        <v>84</v>
      </c>
      <c r="Z134" t="s" s="0">
        <v>96</v>
      </c>
      <c r="AA134" t="s" s="0">
        <v>97</v>
      </c>
      <c r="AB134" t="s" s="0">
        <v>84</v>
      </c>
      <c r="AC134" t="s" s="0">
        <v>84</v>
      </c>
      <c r="AD134" t="s" s="0">
        <v>84</v>
      </c>
      <c r="AE134" t="s" s="0">
        <v>84</v>
      </c>
      <c r="AF134" t="s" s="0">
        <v>84</v>
      </c>
      <c r="AG134" t="s" s="0">
        <v>3950</v>
      </c>
      <c r="AH134" t="s" s="0">
        <v>84</v>
      </c>
      <c r="AI134" t="s" s="0">
        <v>3951</v>
      </c>
      <c r="AJ134" t="s" s="0">
        <v>3952</v>
      </c>
      <c r="AK134" t="s" s="0">
        <v>84</v>
      </c>
      <c r="AL134" t="s" s="0">
        <v>1942</v>
      </c>
      <c r="AM134" t="s" s="0">
        <v>1064</v>
      </c>
      <c r="AN134" t="s" s="0">
        <v>3067</v>
      </c>
      <c r="AO134" t="s" s="0">
        <v>459</v>
      </c>
      <c r="AP134" t="s" s="0">
        <v>3953</v>
      </c>
      <c r="AQ134" t="s" s="0">
        <v>2062</v>
      </c>
      <c r="AR134" t="s" s="0">
        <v>633</v>
      </c>
      <c r="AS134" t="s" s="0">
        <v>2063</v>
      </c>
      <c r="AT134" t="s" s="0">
        <v>3954</v>
      </c>
      <c r="AU134" t="s" s="0">
        <v>3955</v>
      </c>
      <c r="AV134" t="s" s="0">
        <v>84</v>
      </c>
      <c r="AW134" t="s" s="0">
        <v>3956</v>
      </c>
      <c r="AX134" t="s" s="0">
        <v>3957</v>
      </c>
      <c r="AY134" t="s" s="0">
        <v>931</v>
      </c>
      <c r="AZ134" t="s" s="0">
        <v>351</v>
      </c>
      <c r="BA134" t="s" s="0">
        <v>131</v>
      </c>
      <c r="BB134" t="s" s="0">
        <v>84</v>
      </c>
      <c r="BC134" t="s" s="0">
        <v>84</v>
      </c>
      <c r="BD134" t="s" s="0">
        <v>84</v>
      </c>
      <c r="BE134" t="s" s="0">
        <v>84</v>
      </c>
      <c r="BF134" t="s" s="0">
        <v>84</v>
      </c>
      <c r="BG134" t="s" s="0">
        <v>84</v>
      </c>
      <c r="BH134" t="s" s="0">
        <v>84</v>
      </c>
      <c r="BI134" t="s" s="0">
        <v>3958</v>
      </c>
      <c r="BJ134" t="s" s="0">
        <v>3959</v>
      </c>
      <c r="BK134" t="s" s="265">
        <f>HYPERLINK("http://dx.doi.org/10.1016/j.chaos.2020.110059","http://dx.doi.org/10.1016/j.chaos.2020.110059")</f>
        <v>3960</v>
      </c>
      <c r="BL134" t="s" s="0">
        <v>84</v>
      </c>
      <c r="BM134" t="s" s="0">
        <v>84</v>
      </c>
      <c r="BN134" t="s" s="0">
        <v>459</v>
      </c>
      <c r="BO134" t="s" s="0">
        <v>3961</v>
      </c>
      <c r="BP134" t="s" s="0">
        <v>3962</v>
      </c>
      <c r="BQ134" t="s" s="0">
        <v>3963</v>
      </c>
      <c r="BR134" t="s" s="0">
        <v>3964</v>
      </c>
      <c r="BS134" t="s" s="0">
        <v>3965</v>
      </c>
      <c r="BT134" t="s" s="266">
        <f>HYPERLINK("https://www.webofscience.com/wos/woscc/full-record/WOS:000588433800064","View Record in Web of Science")</f>
        <v>127</v>
      </c>
      <c r="BU134" t="s" s="0">
        <v>321</v>
      </c>
      <c r="BV134" t="s" s="0">
        <v>128</v>
      </c>
      <c r="BW134" t="s" s="0">
        <v>129</v>
      </c>
      <c r="BX134" t="s" s="0">
        <v>130</v>
      </c>
    </row>
    <row r="135">
      <c r="A135" t="s" s="0">
        <v>1050</v>
      </c>
      <c r="B135" t="s" s="0">
        <v>78</v>
      </c>
      <c r="C135" t="s" s="0">
        <v>192</v>
      </c>
      <c r="D135" t="s" s="0">
        <v>78</v>
      </c>
      <c r="E135" t="s" s="0">
        <v>3966</v>
      </c>
      <c r="F135" t="s" s="0">
        <v>3967</v>
      </c>
      <c r="G135" t="s" s="0">
        <v>3968</v>
      </c>
      <c r="H135" t="s" s="0">
        <v>84</v>
      </c>
      <c r="I135" t="s" s="0">
        <v>85</v>
      </c>
      <c r="J135" t="s" s="0">
        <v>3969</v>
      </c>
      <c r="K135" t="s" s="0">
        <v>3970</v>
      </c>
      <c r="L135" t="s" s="0">
        <v>3971</v>
      </c>
      <c r="M135" t="s" s="0">
        <v>3972</v>
      </c>
      <c r="N135" t="s" s="0">
        <v>3973</v>
      </c>
      <c r="O135" t="s" s="0">
        <v>3974</v>
      </c>
      <c r="P135" t="s" s="0">
        <v>3975</v>
      </c>
      <c r="Q135" t="s" s="0">
        <v>93</v>
      </c>
      <c r="R135" t="s" s="0">
        <v>84</v>
      </c>
      <c r="S135" t="s" s="0">
        <v>84</v>
      </c>
      <c r="T135" t="s" s="0">
        <v>84</v>
      </c>
      <c r="U135" t="s" s="0">
        <v>84</v>
      </c>
      <c r="V135" t="s" s="0">
        <v>3976</v>
      </c>
      <c r="W135" t="s" s="0">
        <v>405</v>
      </c>
      <c r="X135" t="s" s="0">
        <v>84</v>
      </c>
      <c r="Y135" t="s" s="0">
        <v>84</v>
      </c>
      <c r="Z135" t="s" s="0">
        <v>96</v>
      </c>
      <c r="AA135" t="s" s="0">
        <v>97</v>
      </c>
      <c r="AB135" t="s" s="0">
        <v>84</v>
      </c>
      <c r="AC135" t="s" s="0">
        <v>84</v>
      </c>
      <c r="AD135" t="s" s="0">
        <v>84</v>
      </c>
      <c r="AE135" t="s" s="0">
        <v>84</v>
      </c>
      <c r="AF135" t="s" s="0">
        <v>84</v>
      </c>
      <c r="AG135" t="s" s="0">
        <v>3977</v>
      </c>
      <c r="AH135" t="s" s="0">
        <v>3978</v>
      </c>
      <c r="AI135" t="s" s="0">
        <v>3979</v>
      </c>
      <c r="AJ135" t="s" s="0">
        <v>3980</v>
      </c>
      <c r="AK135" t="s" s="0">
        <v>84</v>
      </c>
      <c r="AL135" t="s" s="0">
        <v>343</v>
      </c>
      <c r="AM135" t="s" s="0">
        <v>3981</v>
      </c>
      <c r="AN135" t="s" s="0">
        <v>3450</v>
      </c>
      <c r="AO135" t="s" s="0">
        <v>264</v>
      </c>
      <c r="AP135" t="s" s="0">
        <v>3982</v>
      </c>
      <c r="AQ135" t="s" s="0">
        <v>415</v>
      </c>
      <c r="AR135" t="s" s="0">
        <v>416</v>
      </c>
      <c r="AS135" t="s" s="0">
        <v>417</v>
      </c>
      <c r="AT135" t="s" s="0">
        <v>418</v>
      </c>
      <c r="AU135" t="s" s="0">
        <v>419</v>
      </c>
      <c r="AV135" t="s" s="0">
        <v>84</v>
      </c>
      <c r="AW135" t="s" s="0">
        <v>420</v>
      </c>
      <c r="AX135" t="s" s="0">
        <v>421</v>
      </c>
      <c r="AY135" t="s" s="0">
        <v>3244</v>
      </c>
      <c r="AZ135" t="s" s="0">
        <v>159</v>
      </c>
      <c r="BA135" t="s" s="0">
        <v>3553</v>
      </c>
      <c r="BB135" t="s" s="0">
        <v>84</v>
      </c>
      <c r="BC135" t="s" s="0">
        <v>84</v>
      </c>
      <c r="BD135" t="s" s="0">
        <v>84</v>
      </c>
      <c r="BE135" t="s" s="0">
        <v>84</v>
      </c>
      <c r="BF135" t="s" s="0">
        <v>84</v>
      </c>
      <c r="BG135" t="s" s="0">
        <v>468</v>
      </c>
      <c r="BH135" t="s" s="0">
        <v>339</v>
      </c>
      <c r="BI135" t="s" s="0">
        <v>84</v>
      </c>
      <c r="BJ135" t="s" s="0">
        <v>3983</v>
      </c>
      <c r="BK135" t="s" s="267">
        <f>HYPERLINK("http://dx.doi.org/10.1016/j.inffus.2021.02.012","http://dx.doi.org/10.1016/j.inffus.2021.02.012")</f>
        <v>3984</v>
      </c>
      <c r="BL135" t="s" s="0">
        <v>84</v>
      </c>
      <c r="BM135" t="s" s="0">
        <v>1028</v>
      </c>
      <c r="BN135" t="s" s="0">
        <v>925</v>
      </c>
      <c r="BO135" t="s" s="0">
        <v>429</v>
      </c>
      <c r="BP135" t="s" s="0">
        <v>166</v>
      </c>
      <c r="BQ135" t="s" s="0">
        <v>3985</v>
      </c>
      <c r="BR135" t="s" s="0">
        <v>84</v>
      </c>
      <c r="BS135" t="s" s="0">
        <v>3986</v>
      </c>
      <c r="BT135" t="s" s="268">
        <f>HYPERLINK("https://www.webofscience.com/wos/woscc/full-record/WOS:000651146500003","View Record in Web of Science")</f>
        <v>127</v>
      </c>
      <c r="BU135" t="s" s="0">
        <v>84</v>
      </c>
      <c r="BV135" t="s" s="0">
        <v>128</v>
      </c>
      <c r="BW135" t="s" s="0">
        <v>129</v>
      </c>
      <c r="BX135" t="s" s="0">
        <v>130</v>
      </c>
    </row>
    <row r="136">
      <c r="A136" t="s" s="0">
        <v>202</v>
      </c>
      <c r="B136" t="s" s="0">
        <v>78</v>
      </c>
      <c r="C136" t="s" s="0">
        <v>207</v>
      </c>
      <c r="D136" t="s" s="0">
        <v>78</v>
      </c>
      <c r="E136" t="s" s="0">
        <v>3987</v>
      </c>
      <c r="F136" t="s" s="0">
        <v>3988</v>
      </c>
      <c r="G136" t="s" s="0">
        <v>3989</v>
      </c>
      <c r="H136" t="s" s="0">
        <v>84</v>
      </c>
      <c r="I136" t="s" s="0">
        <v>85</v>
      </c>
      <c r="J136" t="s" s="0">
        <v>3990</v>
      </c>
      <c r="K136" t="s" s="0">
        <v>3991</v>
      </c>
      <c r="L136" t="s" s="0">
        <v>3992</v>
      </c>
      <c r="M136" t="s" s="0">
        <v>3992</v>
      </c>
      <c r="N136" t="s" s="0">
        <v>3993</v>
      </c>
      <c r="O136" t="s" s="0">
        <v>3994</v>
      </c>
      <c r="P136" t="s" s="0">
        <v>3995</v>
      </c>
      <c r="Q136" t="s" s="0">
        <v>93</v>
      </c>
      <c r="R136" t="s" s="0">
        <v>84</v>
      </c>
      <c r="S136" t="s" s="0">
        <v>84</v>
      </c>
      <c r="T136" t="s" s="0">
        <v>84</v>
      </c>
      <c r="U136" t="s" s="0">
        <v>84</v>
      </c>
      <c r="V136" t="s" s="0">
        <v>3996</v>
      </c>
      <c r="W136" t="s" s="0">
        <v>2702</v>
      </c>
      <c r="X136" t="s" s="0">
        <v>84</v>
      </c>
      <c r="Y136" t="s" s="0">
        <v>84</v>
      </c>
      <c r="Z136" t="s" s="0">
        <v>96</v>
      </c>
      <c r="AA136" t="s" s="0">
        <v>97</v>
      </c>
      <c r="AB136" t="s" s="0">
        <v>84</v>
      </c>
      <c r="AC136" t="s" s="0">
        <v>84</v>
      </c>
      <c r="AD136" t="s" s="0">
        <v>84</v>
      </c>
      <c r="AE136" t="s" s="0">
        <v>84</v>
      </c>
      <c r="AF136" t="s" s="0">
        <v>84</v>
      </c>
      <c r="AG136" t="s" s="0">
        <v>3997</v>
      </c>
      <c r="AH136" t="s" s="0">
        <v>3998</v>
      </c>
      <c r="AI136" t="s" s="0">
        <v>3999</v>
      </c>
      <c r="AJ136" t="s" s="0">
        <v>84</v>
      </c>
      <c r="AK136" t="s" s="0">
        <v>84</v>
      </c>
      <c r="AL136" t="s" s="0">
        <v>4000</v>
      </c>
      <c r="AM136" t="s" s="0">
        <v>4001</v>
      </c>
      <c r="AN136" t="s" s="0">
        <v>4002</v>
      </c>
      <c r="AO136" t="s" s="0">
        <v>207</v>
      </c>
      <c r="AP136" t="s" s="0">
        <v>4003</v>
      </c>
      <c r="AQ136" t="s" s="0">
        <v>2708</v>
      </c>
      <c r="AR136" t="s" s="0">
        <v>704</v>
      </c>
      <c r="AS136" t="s" s="0">
        <v>2709</v>
      </c>
      <c r="AT136" t="s" s="0">
        <v>2710</v>
      </c>
      <c r="AU136" t="s" s="0">
        <v>2711</v>
      </c>
      <c r="AV136" t="s" s="0">
        <v>84</v>
      </c>
      <c r="AW136" t="s" s="0">
        <v>2712</v>
      </c>
      <c r="AX136" t="s" s="0">
        <v>2713</v>
      </c>
      <c r="AY136" t="s" s="0">
        <v>3507</v>
      </c>
      <c r="AZ136" t="s" s="0">
        <v>235</v>
      </c>
      <c r="BA136" t="s" s="0">
        <v>428</v>
      </c>
      <c r="BB136" t="s" s="0">
        <v>787</v>
      </c>
      <c r="BC136" t="s" s="0">
        <v>84</v>
      </c>
      <c r="BD136" t="s" s="0">
        <v>84</v>
      </c>
      <c r="BE136" t="s" s="0">
        <v>84</v>
      </c>
      <c r="BF136" t="s" s="0">
        <v>84</v>
      </c>
      <c r="BG136" t="s" s="0">
        <v>84</v>
      </c>
      <c r="BH136" t="s" s="0">
        <v>84</v>
      </c>
      <c r="BI136" t="s" s="0">
        <v>2736</v>
      </c>
      <c r="BJ136" t="s" s="0">
        <v>4004</v>
      </c>
      <c r="BK136" t="s" s="269">
        <f>HYPERLINK("http://dx.doi.org/10.1145/3494672","http://dx.doi.org/10.1145/3494672")</f>
        <v>4005</v>
      </c>
      <c r="BL136" t="s" s="0">
        <v>84</v>
      </c>
      <c r="BM136" t="s" s="0">
        <v>84</v>
      </c>
      <c r="BN136" t="s" s="0">
        <v>117</v>
      </c>
      <c r="BO136" t="s" s="0">
        <v>165</v>
      </c>
      <c r="BP136" t="s" s="0">
        <v>166</v>
      </c>
      <c r="BQ136" t="s" s="0">
        <v>4006</v>
      </c>
      <c r="BR136" t="s" s="0">
        <v>84</v>
      </c>
      <c r="BS136" t="s" s="0">
        <v>4007</v>
      </c>
      <c r="BT136" t="s" s="270">
        <f>HYPERLINK("https://www.webofscience.com/wos/woscc/full-record/WOS:000886932500002","View Record in Web of Science")</f>
        <v>127</v>
      </c>
      <c r="BU136" t="s" s="0">
        <v>84</v>
      </c>
      <c r="BV136" t="s" s="0">
        <v>128</v>
      </c>
      <c r="BW136" t="s" s="0">
        <v>129</v>
      </c>
      <c r="BX136" t="s" s="0">
        <v>130</v>
      </c>
    </row>
    <row r="137">
      <c r="A137" t="s" s="0">
        <v>280</v>
      </c>
      <c r="B137" t="s" s="0">
        <v>78</v>
      </c>
      <c r="C137" t="s" s="0">
        <v>1669</v>
      </c>
      <c r="D137" t="s" s="0">
        <v>78</v>
      </c>
      <c r="E137" t="s" s="0">
        <v>4008</v>
      </c>
      <c r="F137" t="s" s="0">
        <v>4009</v>
      </c>
      <c r="G137" t="s" s="0">
        <v>4010</v>
      </c>
      <c r="H137" t="s" s="0">
        <v>84</v>
      </c>
      <c r="I137" t="s" s="0">
        <v>85</v>
      </c>
      <c r="J137" t="s" s="0">
        <v>4011</v>
      </c>
      <c r="K137" t="s" s="0">
        <v>4012</v>
      </c>
      <c r="L137" t="s" s="0">
        <v>4013</v>
      </c>
      <c r="M137" t="s" s="0">
        <v>4014</v>
      </c>
      <c r="N137" t="s" s="0">
        <v>4015</v>
      </c>
      <c r="O137" t="s" s="0">
        <v>4016</v>
      </c>
      <c r="P137" t="s" s="0">
        <v>4017</v>
      </c>
      <c r="Q137" t="s" s="0">
        <v>93</v>
      </c>
      <c r="R137" t="s" s="0">
        <v>84</v>
      </c>
      <c r="S137" t="s" s="0">
        <v>84</v>
      </c>
      <c r="T137" t="s" s="0">
        <v>84</v>
      </c>
      <c r="U137" t="s" s="0">
        <v>84</v>
      </c>
      <c r="V137" t="s" s="0">
        <v>4018</v>
      </c>
      <c r="W137" t="s" s="0">
        <v>4019</v>
      </c>
      <c r="X137" t="s" s="0">
        <v>84</v>
      </c>
      <c r="Y137" t="s" s="0">
        <v>84</v>
      </c>
      <c r="Z137" t="s" s="0">
        <v>96</v>
      </c>
      <c r="AA137" t="s" s="0">
        <v>97</v>
      </c>
      <c r="AB137" t="s" s="0">
        <v>84</v>
      </c>
      <c r="AC137" t="s" s="0">
        <v>84</v>
      </c>
      <c r="AD137" t="s" s="0">
        <v>84</v>
      </c>
      <c r="AE137" t="s" s="0">
        <v>84</v>
      </c>
      <c r="AF137" t="s" s="0">
        <v>84</v>
      </c>
      <c r="AG137" t="s" s="0">
        <v>4020</v>
      </c>
      <c r="AH137" t="s" s="0">
        <v>4021</v>
      </c>
      <c r="AI137" t="s" s="0">
        <v>4022</v>
      </c>
      <c r="AJ137" t="s" s="0">
        <v>4023</v>
      </c>
      <c r="AK137" t="s" s="0">
        <v>84</v>
      </c>
      <c r="AL137" t="s" s="0">
        <v>1757</v>
      </c>
      <c r="AM137" t="s" s="0">
        <v>4024</v>
      </c>
      <c r="AN137" t="s" s="0">
        <v>4025</v>
      </c>
      <c r="AO137" t="s" s="0">
        <v>1117</v>
      </c>
      <c r="AP137" t="s" s="0">
        <v>1993</v>
      </c>
      <c r="AQ137" t="s" s="0">
        <v>4026</v>
      </c>
      <c r="AR137" t="s" s="0">
        <v>153</v>
      </c>
      <c r="AS137" t="s" s="0">
        <v>4027</v>
      </c>
      <c r="AT137" t="s" s="0">
        <v>4028</v>
      </c>
      <c r="AU137" t="s" s="0">
        <v>4029</v>
      </c>
      <c r="AV137" t="s" s="0">
        <v>84</v>
      </c>
      <c r="AW137" t="s" s="0">
        <v>4030</v>
      </c>
      <c r="AX137" t="s" s="0">
        <v>4031</v>
      </c>
      <c r="AY137" t="s" s="0">
        <v>241</v>
      </c>
      <c r="AZ137" t="s" s="0">
        <v>235</v>
      </c>
      <c r="BA137" t="s" s="0">
        <v>1588</v>
      </c>
      <c r="BB137" t="s" s="0">
        <v>604</v>
      </c>
      <c r="BC137" t="s" s="0">
        <v>778</v>
      </c>
      <c r="BD137" t="s" s="0">
        <v>84</v>
      </c>
      <c r="BE137" t="s" s="0">
        <v>84</v>
      </c>
      <c r="BF137" t="s" s="0">
        <v>84</v>
      </c>
      <c r="BG137" t="s" s="0">
        <v>4032</v>
      </c>
      <c r="BH137" t="s" s="0">
        <v>4033</v>
      </c>
      <c r="BI137" t="s" s="0">
        <v>84</v>
      </c>
      <c r="BJ137" t="s" s="0">
        <v>4034</v>
      </c>
      <c r="BK137" t="s" s="271">
        <f>HYPERLINK("http://dx.doi.org/10.1007/s00521-021-06352-5","http://dx.doi.org/10.1007/s00521-021-06352-5")</f>
        <v>4035</v>
      </c>
      <c r="BL137" t="s" s="0">
        <v>84</v>
      </c>
      <c r="BM137" t="s" s="0">
        <v>2034</v>
      </c>
      <c r="BN137" t="s" s="0">
        <v>610</v>
      </c>
      <c r="BO137" t="s" s="0">
        <v>2133</v>
      </c>
      <c r="BP137" t="s" s="0">
        <v>166</v>
      </c>
      <c r="BQ137" t="s" s="0">
        <v>4036</v>
      </c>
      <c r="BR137" t="s" s="0">
        <v>84</v>
      </c>
      <c r="BS137" t="s" s="0">
        <v>4037</v>
      </c>
      <c r="BT137" t="s" s="272">
        <f>HYPERLINK("https://www.webofscience.com/wos/woscc/full-record/WOS:000688393800001","View Record in Web of Science")</f>
        <v>127</v>
      </c>
      <c r="BU137" t="s" s="0">
        <v>84</v>
      </c>
      <c r="BV137" t="s" s="0">
        <v>128</v>
      </c>
      <c r="BW137" t="s" s="0">
        <v>129</v>
      </c>
      <c r="BX137" t="s" s="0">
        <v>130</v>
      </c>
    </row>
    <row r="138">
      <c r="A138" t="s" s="0">
        <v>701</v>
      </c>
      <c r="B138" t="s" s="0">
        <v>78</v>
      </c>
      <c r="C138" t="s" s="0">
        <v>1197</v>
      </c>
      <c r="D138" t="s" s="0">
        <v>78</v>
      </c>
      <c r="E138" t="s" s="0">
        <v>4038</v>
      </c>
      <c r="F138" t="s" s="0">
        <v>4039</v>
      </c>
      <c r="G138" t="s" s="0">
        <v>4040</v>
      </c>
      <c r="H138" t="s" s="0">
        <v>84</v>
      </c>
      <c r="I138" t="s" s="0">
        <v>85</v>
      </c>
      <c r="J138" t="s" s="0">
        <v>4041</v>
      </c>
      <c r="K138" t="s" s="0">
        <v>4042</v>
      </c>
      <c r="L138" t="s" s="0">
        <v>84</v>
      </c>
      <c r="M138" t="s" s="0">
        <v>84</v>
      </c>
      <c r="N138" t="s" s="0">
        <v>84</v>
      </c>
      <c r="O138" t="s" s="0">
        <v>4043</v>
      </c>
      <c r="P138" t="s" s="0">
        <v>4044</v>
      </c>
      <c r="Q138" t="s" s="0">
        <v>93</v>
      </c>
      <c r="R138" t="s" s="0">
        <v>84</v>
      </c>
      <c r="S138" t="s" s="0">
        <v>84</v>
      </c>
      <c r="T138" t="s" s="0">
        <v>84</v>
      </c>
      <c r="U138" t="s" s="0">
        <v>84</v>
      </c>
      <c r="V138" t="s" s="0">
        <v>4045</v>
      </c>
      <c r="W138" t="s" s="0">
        <v>1310</v>
      </c>
      <c r="X138" t="s" s="0">
        <v>84</v>
      </c>
      <c r="Y138" t="s" s="0">
        <v>84</v>
      </c>
      <c r="Z138" t="s" s="0">
        <v>96</v>
      </c>
      <c r="AA138" t="s" s="0">
        <v>97</v>
      </c>
      <c r="AB138" t="s" s="0">
        <v>84</v>
      </c>
      <c r="AC138" t="s" s="0">
        <v>84</v>
      </c>
      <c r="AD138" t="s" s="0">
        <v>84</v>
      </c>
      <c r="AE138" t="s" s="0">
        <v>84</v>
      </c>
      <c r="AF138" t="s" s="0">
        <v>84</v>
      </c>
      <c r="AG138" t="s" s="0">
        <v>84</v>
      </c>
      <c r="AH138" t="s" s="0">
        <v>4046</v>
      </c>
      <c r="AI138" t="s" s="0">
        <v>4047</v>
      </c>
      <c r="AJ138" t="s" s="0">
        <v>4048</v>
      </c>
      <c r="AK138" t="s" s="0">
        <v>84</v>
      </c>
      <c r="AL138" t="s" s="0">
        <v>1768</v>
      </c>
      <c r="AM138" t="s" s="0">
        <v>4049</v>
      </c>
      <c r="AN138" t="s" s="0">
        <v>1734</v>
      </c>
      <c r="AO138" t="s" s="0">
        <v>133</v>
      </c>
      <c r="AP138" t="s" s="0">
        <v>4050</v>
      </c>
      <c r="AQ138" t="s" s="0">
        <v>106</v>
      </c>
      <c r="AR138" t="s" s="0">
        <v>107</v>
      </c>
      <c r="AS138" t="s" s="0">
        <v>108</v>
      </c>
      <c r="AT138" t="s" s="0">
        <v>84</v>
      </c>
      <c r="AU138" t="s" s="0">
        <v>1317</v>
      </c>
      <c r="AV138" t="s" s="0">
        <v>84</v>
      </c>
      <c r="AW138" t="s" s="0">
        <v>1318</v>
      </c>
      <c r="AX138" t="s" s="0">
        <v>1319</v>
      </c>
      <c r="AY138" t="s" s="0">
        <v>2992</v>
      </c>
      <c r="AZ138" t="s" s="0">
        <v>351</v>
      </c>
      <c r="BA138" t="s" s="0">
        <v>396</v>
      </c>
      <c r="BB138" t="s" s="0">
        <v>280</v>
      </c>
      <c r="BC138" t="s" s="0">
        <v>84</v>
      </c>
      <c r="BD138" t="s" s="0">
        <v>84</v>
      </c>
      <c r="BE138" t="s" s="0">
        <v>84</v>
      </c>
      <c r="BF138" t="s" s="0">
        <v>84</v>
      </c>
      <c r="BG138" t="s" s="0">
        <v>4051</v>
      </c>
      <c r="BH138" t="s" s="0">
        <v>4052</v>
      </c>
      <c r="BI138" t="s" s="0">
        <v>84</v>
      </c>
      <c r="BJ138" t="s" s="0">
        <v>4053</v>
      </c>
      <c r="BK138" t="s" s="273">
        <f>HYPERLINK("http://dx.doi.org/10.1038/s42256-020-00273-z","http://dx.doi.org/10.1038/s42256-020-00273-z")</f>
        <v>4054</v>
      </c>
      <c r="BL138" t="s" s="0">
        <v>84</v>
      </c>
      <c r="BM138" t="s" s="0">
        <v>84</v>
      </c>
      <c r="BN138" t="s" s="0">
        <v>280</v>
      </c>
      <c r="BO138" t="s" s="0">
        <v>1325</v>
      </c>
      <c r="BP138" t="s" s="0">
        <v>166</v>
      </c>
      <c r="BQ138" t="s" s="0">
        <v>4055</v>
      </c>
      <c r="BR138" t="s" s="0">
        <v>84</v>
      </c>
      <c r="BS138" t="s" s="0">
        <v>4056</v>
      </c>
      <c r="BT138" t="s" s="274">
        <f>HYPERLINK("https://www.webofscience.com/wos/woscc/full-record/WOS:000600016400004","View Record in Web of Science")</f>
        <v>127</v>
      </c>
      <c r="BU138" t="s" s="0">
        <v>84</v>
      </c>
      <c r="BV138" t="s" s="0">
        <v>128</v>
      </c>
      <c r="BW138" t="s" s="0">
        <v>129</v>
      </c>
      <c r="BX138" t="s" s="0">
        <v>130</v>
      </c>
    </row>
    <row r="139">
      <c r="A139" t="s" s="0">
        <v>701</v>
      </c>
      <c r="B139" t="s" s="0">
        <v>78</v>
      </c>
      <c r="C139" t="s" s="0">
        <v>487</v>
      </c>
      <c r="D139" t="s" s="0">
        <v>116</v>
      </c>
      <c r="E139" t="s" s="0">
        <v>4057</v>
      </c>
      <c r="F139" t="s" s="0">
        <v>4058</v>
      </c>
      <c r="G139" t="s" s="0">
        <v>4059</v>
      </c>
      <c r="H139" t="s" s="0">
        <v>84</v>
      </c>
      <c r="I139" t="s" s="0">
        <v>85</v>
      </c>
      <c r="J139" t="s" s="0">
        <v>4060</v>
      </c>
      <c r="K139" t="s" s="0">
        <v>4061</v>
      </c>
      <c r="L139" t="s" s="0">
        <v>4062</v>
      </c>
      <c r="M139" t="s" s="0">
        <v>4063</v>
      </c>
      <c r="N139" t="s" s="0">
        <v>4064</v>
      </c>
      <c r="O139" t="s" s="0">
        <v>4065</v>
      </c>
      <c r="P139" t="s" s="0">
        <v>4066</v>
      </c>
      <c r="Q139" t="s" s="0">
        <v>93</v>
      </c>
      <c r="R139" t="s" s="0">
        <v>84</v>
      </c>
      <c r="S139" t="s" s="0">
        <v>84</v>
      </c>
      <c r="T139" t="s" s="0">
        <v>84</v>
      </c>
      <c r="U139" t="s" s="0">
        <v>84</v>
      </c>
      <c r="V139" t="s" s="0">
        <v>4067</v>
      </c>
      <c r="W139" t="s" s="0">
        <v>3495</v>
      </c>
      <c r="X139" t="s" s="0">
        <v>84</v>
      </c>
      <c r="Y139" t="s" s="0">
        <v>84</v>
      </c>
      <c r="Z139" t="s" s="0">
        <v>96</v>
      </c>
      <c r="AA139" t="s" s="0">
        <v>97</v>
      </c>
      <c r="AB139" t="s" s="0">
        <v>84</v>
      </c>
      <c r="AC139" t="s" s="0">
        <v>84</v>
      </c>
      <c r="AD139" t="s" s="0">
        <v>84</v>
      </c>
      <c r="AE139" t="s" s="0">
        <v>84</v>
      </c>
      <c r="AF139" t="s" s="0">
        <v>84</v>
      </c>
      <c r="AG139" t="s" s="0">
        <v>84</v>
      </c>
      <c r="AH139" t="s" s="0">
        <v>4068</v>
      </c>
      <c r="AI139" t="s" s="0">
        <v>4069</v>
      </c>
      <c r="AJ139" t="s" s="0">
        <v>4070</v>
      </c>
      <c r="AK139" t="s" s="0">
        <v>84</v>
      </c>
      <c r="AL139" t="s" s="0">
        <v>1714</v>
      </c>
      <c r="AM139" t="s" s="0">
        <v>2603</v>
      </c>
      <c r="AN139" t="s" s="0">
        <v>3525</v>
      </c>
      <c r="AO139" t="s" s="0">
        <v>342</v>
      </c>
      <c r="AP139" t="s" s="0">
        <v>4071</v>
      </c>
      <c r="AQ139" t="s" s="0">
        <v>1119</v>
      </c>
      <c r="AR139" t="s" s="0">
        <v>1120</v>
      </c>
      <c r="AS139" t="s" s="0">
        <v>1121</v>
      </c>
      <c r="AT139" t="s" s="0">
        <v>3500</v>
      </c>
      <c r="AU139" t="s" s="0">
        <v>3501</v>
      </c>
      <c r="AV139" t="s" s="0">
        <v>84</v>
      </c>
      <c r="AW139" t="s" s="0">
        <v>3495</v>
      </c>
      <c r="AX139" t="s" s="0">
        <v>3502</v>
      </c>
      <c r="AY139" t="s" s="0">
        <v>4072</v>
      </c>
      <c r="AZ139" t="s" s="0">
        <v>351</v>
      </c>
      <c r="BA139" t="s" s="0">
        <v>2685</v>
      </c>
      <c r="BB139" t="s" s="0">
        <v>116</v>
      </c>
      <c r="BC139" t="s" s="0">
        <v>84</v>
      </c>
      <c r="BD139" t="s" s="0">
        <v>84</v>
      </c>
      <c r="BE139" t="s" s="0">
        <v>84</v>
      </c>
      <c r="BF139" t="s" s="0">
        <v>84</v>
      </c>
      <c r="BG139" t="s" s="0">
        <v>1289</v>
      </c>
      <c r="BH139" t="s" s="0">
        <v>1669</v>
      </c>
      <c r="BI139" t="s" s="0">
        <v>84</v>
      </c>
      <c r="BJ139" t="s" s="0">
        <v>4073</v>
      </c>
      <c r="BK139" t="s" s="275">
        <f>HYPERLINK("http://dx.doi.org/10.1016/j.cell.2020.03.022","http://dx.doi.org/10.1016/j.cell.2020.03.022")</f>
        <v>4074</v>
      </c>
      <c r="BL139" t="s" s="0">
        <v>84</v>
      </c>
      <c r="BM139" t="s" s="0">
        <v>84</v>
      </c>
      <c r="BN139" t="s" s="0">
        <v>527</v>
      </c>
      <c r="BO139" t="s" s="0">
        <v>1554</v>
      </c>
      <c r="BP139" t="s" s="0">
        <v>1554</v>
      </c>
      <c r="BQ139" t="s" s="0">
        <v>4075</v>
      </c>
      <c r="BR139" t="s" s="0">
        <v>4076</v>
      </c>
      <c r="BS139" t="s" s="0">
        <v>4077</v>
      </c>
      <c r="BT139" t="s" s="276">
        <f>HYPERLINK("https://www.webofscience.com/wos/woscc/full-record/WOS:000523319000015","View Record in Web of Science")</f>
        <v>127</v>
      </c>
      <c r="BU139" t="s" s="0">
        <v>1916</v>
      </c>
      <c r="BV139" t="s" s="0">
        <v>128</v>
      </c>
      <c r="BW139" t="s" s="0">
        <v>129</v>
      </c>
      <c r="BX139" t="s" s="0">
        <v>130</v>
      </c>
    </row>
    <row r="140">
      <c r="A140" t="s" s="0">
        <v>207</v>
      </c>
      <c r="B140" t="s" s="0">
        <v>78</v>
      </c>
      <c r="C140" t="s" s="0">
        <v>1269</v>
      </c>
      <c r="D140" t="s" s="0">
        <v>78</v>
      </c>
      <c r="E140" t="s" s="0">
        <v>4078</v>
      </c>
      <c r="F140" t="s" s="0">
        <v>4079</v>
      </c>
      <c r="G140" t="s" s="0">
        <v>4080</v>
      </c>
      <c r="H140" t="s" s="0">
        <v>84</v>
      </c>
      <c r="I140" t="s" s="0">
        <v>85</v>
      </c>
      <c r="J140" t="s" s="0">
        <v>4081</v>
      </c>
      <c r="K140" t="s" s="0">
        <v>4082</v>
      </c>
      <c r="L140" t="s" s="0">
        <v>4083</v>
      </c>
      <c r="M140" t="s" s="0">
        <v>4084</v>
      </c>
      <c r="N140" t="s" s="0">
        <v>4085</v>
      </c>
      <c r="O140" t="s" s="0">
        <v>4086</v>
      </c>
      <c r="P140" t="s" s="0">
        <v>4087</v>
      </c>
      <c r="Q140" t="s" s="0">
        <v>93</v>
      </c>
      <c r="R140" t="s" s="0">
        <v>84</v>
      </c>
      <c r="S140" t="s" s="0">
        <v>84</v>
      </c>
      <c r="T140" t="s" s="0">
        <v>84</v>
      </c>
      <c r="U140" t="s" s="0">
        <v>84</v>
      </c>
      <c r="V140" t="s" s="0">
        <v>4088</v>
      </c>
      <c r="W140" t="s" s="0">
        <v>4089</v>
      </c>
      <c r="X140" t="s" s="0">
        <v>84</v>
      </c>
      <c r="Y140" t="s" s="0">
        <v>84</v>
      </c>
      <c r="Z140" t="s" s="0">
        <v>96</v>
      </c>
      <c r="AA140" t="s" s="0">
        <v>97</v>
      </c>
      <c r="AB140" t="s" s="0">
        <v>84</v>
      </c>
      <c r="AC140" t="s" s="0">
        <v>84</v>
      </c>
      <c r="AD140" t="s" s="0">
        <v>84</v>
      </c>
      <c r="AE140" t="s" s="0">
        <v>84</v>
      </c>
      <c r="AF140" t="s" s="0">
        <v>84</v>
      </c>
      <c r="AG140" t="s" s="0">
        <v>84</v>
      </c>
      <c r="AH140" t="s" s="0">
        <v>4090</v>
      </c>
      <c r="AI140" t="s" s="0">
        <v>4091</v>
      </c>
      <c r="AJ140" t="s" s="0">
        <v>4092</v>
      </c>
      <c r="AK140" t="s" s="0">
        <v>84</v>
      </c>
      <c r="AL140" t="s" s="0">
        <v>246</v>
      </c>
      <c r="AM140" t="s" s="0">
        <v>3095</v>
      </c>
      <c r="AN140" t="s" s="0">
        <v>4093</v>
      </c>
      <c r="AO140" t="s" s="0">
        <v>264</v>
      </c>
      <c r="AP140" t="s" s="0">
        <v>2792</v>
      </c>
      <c r="AQ140" t="s" s="0">
        <v>4094</v>
      </c>
      <c r="AR140" t="s" s="0">
        <v>4095</v>
      </c>
      <c r="AS140" t="s" s="0">
        <v>4096</v>
      </c>
      <c r="AT140" t="s" s="0">
        <v>4097</v>
      </c>
      <c r="AU140" t="s" s="0">
        <v>4098</v>
      </c>
      <c r="AV140" t="s" s="0">
        <v>84</v>
      </c>
      <c r="AW140" t="s" s="0">
        <v>4099</v>
      </c>
      <c r="AX140" t="s" s="0">
        <v>4100</v>
      </c>
      <c r="AY140" t="s" s="0">
        <v>3214</v>
      </c>
      <c r="AZ140" t="s" s="0">
        <v>351</v>
      </c>
      <c r="BA140" t="s" s="0">
        <v>568</v>
      </c>
      <c r="BB140" t="s" s="0">
        <v>396</v>
      </c>
      <c r="BC140" t="s" s="0">
        <v>84</v>
      </c>
      <c r="BD140" t="s" s="0">
        <v>84</v>
      </c>
      <c r="BE140" t="s" s="0">
        <v>84</v>
      </c>
      <c r="BF140" t="s" s="0">
        <v>84</v>
      </c>
      <c r="BG140" t="s" s="0">
        <v>84</v>
      </c>
      <c r="BH140" t="s" s="0">
        <v>84</v>
      </c>
      <c r="BI140" t="s" s="0">
        <v>4101</v>
      </c>
      <c r="BJ140" t="s" s="0">
        <v>4102</v>
      </c>
      <c r="BK140" t="s" s="277">
        <f>HYPERLINK("http://dx.doi.org/10.2352/J.ImagingSci.Technol.2020.64.2.020508","http://dx.doi.org/10.2352/J.ImagingSci.Technol.2020.64.2.020508")</f>
        <v>4103</v>
      </c>
      <c r="BL140" t="s" s="0">
        <v>84</v>
      </c>
      <c r="BM140" t="s" s="0">
        <v>84</v>
      </c>
      <c r="BN140" t="s" s="0">
        <v>280</v>
      </c>
      <c r="BO140" t="s" s="0">
        <v>3583</v>
      </c>
      <c r="BP140" t="s" s="0">
        <v>3583</v>
      </c>
      <c r="BQ140" t="s" s="0">
        <v>4104</v>
      </c>
      <c r="BR140" t="s" s="0">
        <v>84</v>
      </c>
      <c r="BS140" t="s" s="0">
        <v>4105</v>
      </c>
      <c r="BT140" t="s" s="278">
        <f>HYPERLINK("https://www.webofscience.com/wos/woscc/full-record/WOS:000534263600008","View Record in Web of Science")</f>
        <v>127</v>
      </c>
      <c r="BU140" t="s" s="0">
        <v>84</v>
      </c>
      <c r="BV140" t="s" s="0">
        <v>128</v>
      </c>
      <c r="BW140" t="s" s="0">
        <v>129</v>
      </c>
      <c r="BX140" t="s" s="0">
        <v>130</v>
      </c>
    </row>
    <row r="141">
      <c r="A141" t="s" s="0">
        <v>306</v>
      </c>
      <c r="B141" t="s" s="0">
        <v>78</v>
      </c>
      <c r="C141" t="s" s="0">
        <v>3470</v>
      </c>
      <c r="D141" t="s" s="0">
        <v>214</v>
      </c>
      <c r="E141" t="s" s="0">
        <v>4106</v>
      </c>
      <c r="F141" t="s" s="0">
        <v>4107</v>
      </c>
      <c r="G141" t="s" s="0">
        <v>4108</v>
      </c>
      <c r="H141" t="s" s="0">
        <v>84</v>
      </c>
      <c r="I141" t="s" s="0">
        <v>85</v>
      </c>
      <c r="J141" t="s" s="0">
        <v>4109</v>
      </c>
      <c r="K141" t="s" s="0">
        <v>4110</v>
      </c>
      <c r="L141" t="s" s="0">
        <v>4111</v>
      </c>
      <c r="M141" t="s" s="0">
        <v>4112</v>
      </c>
      <c r="N141" t="s" s="0">
        <v>4113</v>
      </c>
      <c r="O141" t="s" s="0">
        <v>4114</v>
      </c>
      <c r="P141" t="s" s="0">
        <v>4115</v>
      </c>
      <c r="Q141" t="s" s="0">
        <v>93</v>
      </c>
      <c r="R141" t="s" s="0">
        <v>84</v>
      </c>
      <c r="S141" t="s" s="0">
        <v>84</v>
      </c>
      <c r="T141" t="s" s="0">
        <v>84</v>
      </c>
      <c r="U141" t="s" s="0">
        <v>84</v>
      </c>
      <c r="V141" t="s" s="0">
        <v>4116</v>
      </c>
      <c r="W141" t="s" s="0">
        <v>4117</v>
      </c>
      <c r="X141" t="s" s="0">
        <v>84</v>
      </c>
      <c r="Y141" t="s" s="0">
        <v>84</v>
      </c>
      <c r="Z141" t="s" s="0">
        <v>96</v>
      </c>
      <c r="AA141" t="s" s="0">
        <v>97</v>
      </c>
      <c r="AB141" t="s" s="0">
        <v>84</v>
      </c>
      <c r="AC141" t="s" s="0">
        <v>84</v>
      </c>
      <c r="AD141" t="s" s="0">
        <v>84</v>
      </c>
      <c r="AE141" t="s" s="0">
        <v>84</v>
      </c>
      <c r="AF141" t="s" s="0">
        <v>84</v>
      </c>
      <c r="AG141" t="s" s="0">
        <v>4118</v>
      </c>
      <c r="AH141" t="s" s="0">
        <v>4119</v>
      </c>
      <c r="AI141" t="s" s="0">
        <v>4120</v>
      </c>
      <c r="AJ141" t="s" s="0">
        <v>4121</v>
      </c>
      <c r="AK141" t="s" s="0">
        <v>84</v>
      </c>
      <c r="AL141" t="s" s="0">
        <v>3193</v>
      </c>
      <c r="AM141" t="s" s="0">
        <v>4122</v>
      </c>
      <c r="AN141" t="s" s="0">
        <v>4123</v>
      </c>
      <c r="AO141" t="s" s="0">
        <v>214</v>
      </c>
      <c r="AP141" t="s" s="0">
        <v>4124</v>
      </c>
      <c r="AQ141" t="s" s="0">
        <v>703</v>
      </c>
      <c r="AR141" t="s" s="0">
        <v>704</v>
      </c>
      <c r="AS141" t="s" s="0">
        <v>705</v>
      </c>
      <c r="AT141" t="s" s="0">
        <v>4125</v>
      </c>
      <c r="AU141" t="s" s="0">
        <v>4126</v>
      </c>
      <c r="AV141" t="s" s="0">
        <v>84</v>
      </c>
      <c r="AW141" t="s" s="0">
        <v>4127</v>
      </c>
      <c r="AX141" t="s" s="0">
        <v>4128</v>
      </c>
      <c r="AY141" t="s" s="0">
        <v>2608</v>
      </c>
      <c r="AZ141" t="s" s="0">
        <v>114</v>
      </c>
      <c r="BA141" t="s" s="0">
        <v>275</v>
      </c>
      <c r="BB141" t="s" s="0">
        <v>787</v>
      </c>
      <c r="BC141" t="s" s="0">
        <v>84</v>
      </c>
      <c r="BD141" t="s" s="0">
        <v>84</v>
      </c>
      <c r="BE141" t="s" s="0">
        <v>84</v>
      </c>
      <c r="BF141" t="s" s="0">
        <v>84</v>
      </c>
      <c r="BG141" t="s" s="0">
        <v>1626</v>
      </c>
      <c r="BH141" t="s" s="0">
        <v>4129</v>
      </c>
      <c r="BI141" t="s" s="0">
        <v>84</v>
      </c>
      <c r="BJ141" t="s" s="0">
        <v>4130</v>
      </c>
      <c r="BK141" t="s" s="279">
        <f>HYPERLINK("http://dx.doi.org/10.1016/j.jtho.2018.11.023","http://dx.doi.org/10.1016/j.jtho.2018.11.023")</f>
        <v>4131</v>
      </c>
      <c r="BL141" t="s" s="0">
        <v>84</v>
      </c>
      <c r="BM141" t="s" s="0">
        <v>84</v>
      </c>
      <c r="BN141" t="s" s="0">
        <v>133</v>
      </c>
      <c r="BO141" t="s" s="0">
        <v>4132</v>
      </c>
      <c r="BP141" t="s" s="0">
        <v>4132</v>
      </c>
      <c r="BQ141" t="s" s="0">
        <v>4133</v>
      </c>
      <c r="BR141" t="s" s="0">
        <v>4134</v>
      </c>
      <c r="BS141" t="s" s="0">
        <v>4135</v>
      </c>
      <c r="BT141" t="s" s="280">
        <f>HYPERLINK("https://www.webofscience.com/wos/woscc/full-record/WOS:000459167100014","View Record in Web of Science")</f>
        <v>127</v>
      </c>
      <c r="BU141" t="s" s="0">
        <v>649</v>
      </c>
      <c r="BV141" t="s" s="0">
        <v>128</v>
      </c>
      <c r="BW141" t="s" s="0">
        <v>129</v>
      </c>
      <c r="BX141" t="s" s="0">
        <v>130</v>
      </c>
    </row>
    <row r="142">
      <c r="A142" t="s" s="0">
        <v>242</v>
      </c>
      <c r="B142" t="s" s="0">
        <v>78</v>
      </c>
      <c r="C142" t="s" s="0">
        <v>3716</v>
      </c>
      <c r="D142" t="s" s="0">
        <v>116</v>
      </c>
      <c r="E142" t="s" s="0">
        <v>4136</v>
      </c>
      <c r="F142" t="s" s="0">
        <v>4137</v>
      </c>
      <c r="G142" t="s" s="0">
        <v>4138</v>
      </c>
      <c r="H142" t="s" s="0">
        <v>84</v>
      </c>
      <c r="I142" t="s" s="0">
        <v>85</v>
      </c>
      <c r="J142" t="s" s="0">
        <v>4139</v>
      </c>
      <c r="K142" t="s" s="0">
        <v>4140</v>
      </c>
      <c r="L142" t="s" s="0">
        <v>4141</v>
      </c>
      <c r="M142" t="s" s="0">
        <v>4142</v>
      </c>
      <c r="N142" t="s" s="0">
        <v>4143</v>
      </c>
      <c r="O142" t="s" s="0">
        <v>4144</v>
      </c>
      <c r="P142" t="s" s="0">
        <v>4145</v>
      </c>
      <c r="Q142" t="s" s="0">
        <v>93</v>
      </c>
      <c r="R142" t="s" s="0">
        <v>84</v>
      </c>
      <c r="S142" t="s" s="0">
        <v>84</v>
      </c>
      <c r="T142" t="s" s="0">
        <v>84</v>
      </c>
      <c r="U142" t="s" s="0">
        <v>84</v>
      </c>
      <c r="V142" t="s" s="0">
        <v>4146</v>
      </c>
      <c r="W142" t="s" s="0">
        <v>4147</v>
      </c>
      <c r="X142" t="s" s="0">
        <v>84</v>
      </c>
      <c r="Y142" t="s" s="0">
        <v>84</v>
      </c>
      <c r="Z142" t="s" s="0">
        <v>96</v>
      </c>
      <c r="AA142" t="s" s="0">
        <v>97</v>
      </c>
      <c r="AB142" t="s" s="0">
        <v>84</v>
      </c>
      <c r="AC142" t="s" s="0">
        <v>84</v>
      </c>
      <c r="AD142" t="s" s="0">
        <v>84</v>
      </c>
      <c r="AE142" t="s" s="0">
        <v>84</v>
      </c>
      <c r="AF142" t="s" s="0">
        <v>84</v>
      </c>
      <c r="AG142" t="s" s="0">
        <v>4148</v>
      </c>
      <c r="AH142" t="s" s="0">
        <v>4149</v>
      </c>
      <c r="AI142" t="s" s="0">
        <v>4150</v>
      </c>
      <c r="AJ142" t="s" s="0">
        <v>4151</v>
      </c>
      <c r="AK142" t="s" s="0">
        <v>84</v>
      </c>
      <c r="AL142" t="s" s="0">
        <v>229</v>
      </c>
      <c r="AM142" t="s" s="0">
        <v>3128</v>
      </c>
      <c r="AN142" t="s" s="0">
        <v>1382</v>
      </c>
      <c r="AO142" t="s" s="0">
        <v>342</v>
      </c>
      <c r="AP142" t="s" s="0">
        <v>1654</v>
      </c>
      <c r="AQ142" t="s" s="0">
        <v>1995</v>
      </c>
      <c r="AR142" t="s" s="0">
        <v>1996</v>
      </c>
      <c r="AS142" t="s" s="0">
        <v>1997</v>
      </c>
      <c r="AT142" t="s" s="0">
        <v>4152</v>
      </c>
      <c r="AU142" t="s" s="0">
        <v>4153</v>
      </c>
      <c r="AV142" t="s" s="0">
        <v>84</v>
      </c>
      <c r="AW142" t="s" s="0">
        <v>4154</v>
      </c>
      <c r="AX142" t="s" s="0">
        <v>4155</v>
      </c>
      <c r="AY142" t="s" s="0">
        <v>4156</v>
      </c>
      <c r="AZ142" t="s" s="0">
        <v>351</v>
      </c>
      <c r="BA142" t="s" s="0">
        <v>4157</v>
      </c>
      <c r="BB142" t="s" s="0">
        <v>84</v>
      </c>
      <c r="BC142" t="s" s="0">
        <v>84</v>
      </c>
      <c r="BD142" t="s" s="0">
        <v>84</v>
      </c>
      <c r="BE142" t="s" s="0">
        <v>84</v>
      </c>
      <c r="BF142" t="s" s="0">
        <v>84</v>
      </c>
      <c r="BG142" t="s" s="0">
        <v>189</v>
      </c>
      <c r="BH142" t="s" s="0">
        <v>339</v>
      </c>
      <c r="BI142" t="s" s="0">
        <v>84</v>
      </c>
      <c r="BJ142" t="s" s="0">
        <v>4158</v>
      </c>
      <c r="BK142" t="s" s="281">
        <f>HYPERLINK("http://dx.doi.org/10.1016/j.canlet.2019.12.007","http://dx.doi.org/10.1016/j.canlet.2019.12.007")</f>
        <v>4159</v>
      </c>
      <c r="BL142" t="s" s="0">
        <v>84</v>
      </c>
      <c r="BM142" t="s" s="0">
        <v>84</v>
      </c>
      <c r="BN142" t="s" s="0">
        <v>242</v>
      </c>
      <c r="BO142" t="s" s="0">
        <v>317</v>
      </c>
      <c r="BP142" t="s" s="0">
        <v>317</v>
      </c>
      <c r="BQ142" t="s" s="0">
        <v>4160</v>
      </c>
      <c r="BR142" t="s" s="0">
        <v>4161</v>
      </c>
      <c r="BS142" t="s" s="0">
        <v>4162</v>
      </c>
      <c r="BT142" t="s" s="282">
        <f>HYPERLINK("https://www.webofscience.com/wos/woscc/full-record/WOS:000509630300006","View Record in Web of Science")</f>
        <v>127</v>
      </c>
      <c r="BU142" t="s" s="0">
        <v>84</v>
      </c>
      <c r="BV142" t="s" s="0">
        <v>128</v>
      </c>
      <c r="BW142" t="s" s="0">
        <v>129</v>
      </c>
      <c r="BX142" t="s" s="0">
        <v>130</v>
      </c>
    </row>
    <row r="143">
      <c r="A143" t="s" s="0">
        <v>1377</v>
      </c>
      <c r="B143" t="s" s="0">
        <v>78</v>
      </c>
      <c r="C143" t="s" s="0">
        <v>2100</v>
      </c>
      <c r="D143" t="s" s="0">
        <v>116</v>
      </c>
      <c r="E143" t="s" s="0">
        <v>4163</v>
      </c>
      <c r="F143" t="s" s="0">
        <v>4164</v>
      </c>
      <c r="G143" t="s" s="0">
        <v>4165</v>
      </c>
      <c r="H143" t="s" s="0">
        <v>84</v>
      </c>
      <c r="I143" t="s" s="0">
        <v>85</v>
      </c>
      <c r="J143" t="s" s="0">
        <v>4166</v>
      </c>
      <c r="K143" t="s" s="0">
        <v>4167</v>
      </c>
      <c r="L143" t="s" s="0">
        <v>4168</v>
      </c>
      <c r="M143" t="s" s="0">
        <v>4169</v>
      </c>
      <c r="N143" t="s" s="0">
        <v>4170</v>
      </c>
      <c r="O143" t="s" s="0">
        <v>4171</v>
      </c>
      <c r="P143" t="s" s="0">
        <v>4172</v>
      </c>
      <c r="Q143" t="s" s="0">
        <v>93</v>
      </c>
      <c r="R143" t="s" s="0">
        <v>84</v>
      </c>
      <c r="S143" t="s" s="0">
        <v>84</v>
      </c>
      <c r="T143" t="s" s="0">
        <v>84</v>
      </c>
      <c r="U143" t="s" s="0">
        <v>84</v>
      </c>
      <c r="V143" t="s" s="0">
        <v>4173</v>
      </c>
      <c r="W143" t="s" s="0">
        <v>4174</v>
      </c>
      <c r="X143" t="s" s="0">
        <v>84</v>
      </c>
      <c r="Y143" t="s" s="0">
        <v>84</v>
      </c>
      <c r="Z143" t="s" s="0">
        <v>96</v>
      </c>
      <c r="AA143" t="s" s="0">
        <v>97</v>
      </c>
      <c r="AB143" t="s" s="0">
        <v>84</v>
      </c>
      <c r="AC143" t="s" s="0">
        <v>84</v>
      </c>
      <c r="AD143" t="s" s="0">
        <v>84</v>
      </c>
      <c r="AE143" t="s" s="0">
        <v>84</v>
      </c>
      <c r="AF143" t="s" s="0">
        <v>84</v>
      </c>
      <c r="AG143" t="s" s="0">
        <v>84</v>
      </c>
      <c r="AH143" t="s" s="0">
        <v>4175</v>
      </c>
      <c r="AI143" t="s" s="0">
        <v>4176</v>
      </c>
      <c r="AJ143" t="s" s="0">
        <v>4177</v>
      </c>
      <c r="AK143" t="s" s="0">
        <v>84</v>
      </c>
      <c r="AL143" t="s" s="0">
        <v>3209</v>
      </c>
      <c r="AM143" t="s" s="0">
        <v>3128</v>
      </c>
      <c r="AN143" t="s" s="0">
        <v>4178</v>
      </c>
      <c r="AO143" t="s" s="0">
        <v>160</v>
      </c>
      <c r="AP143" t="s" s="0">
        <v>4179</v>
      </c>
      <c r="AQ143" t="s" s="0">
        <v>106</v>
      </c>
      <c r="AR143" t="s" s="0">
        <v>107</v>
      </c>
      <c r="AS143" t="s" s="0">
        <v>108</v>
      </c>
      <c r="AT143" t="s" s="0">
        <v>4180</v>
      </c>
      <c r="AU143" t="s" s="0">
        <v>4181</v>
      </c>
      <c r="AV143" t="s" s="0">
        <v>84</v>
      </c>
      <c r="AW143" t="s" s="0">
        <v>4182</v>
      </c>
      <c r="AX143" t="s" s="0">
        <v>4183</v>
      </c>
      <c r="AY143" t="s" s="0">
        <v>458</v>
      </c>
      <c r="AZ143" t="s" s="0">
        <v>114</v>
      </c>
      <c r="BA143" t="s" s="0">
        <v>604</v>
      </c>
      <c r="BB143" t="s" s="0">
        <v>459</v>
      </c>
      <c r="BC143" t="s" s="0">
        <v>84</v>
      </c>
      <c r="BD143" t="s" s="0">
        <v>84</v>
      </c>
      <c r="BE143" t="s" s="0">
        <v>84</v>
      </c>
      <c r="BF143" t="s" s="0">
        <v>84</v>
      </c>
      <c r="BG143" t="s" s="0">
        <v>4184</v>
      </c>
      <c r="BH143" t="s" s="0">
        <v>4185</v>
      </c>
      <c r="BI143" t="s" s="0">
        <v>84</v>
      </c>
      <c r="BJ143" t="s" s="0">
        <v>4186</v>
      </c>
      <c r="BK143" t="s" s="283">
        <f>HYPERLINK("http://dx.doi.org/10.1038/s41576-019-0108-4","http://dx.doi.org/10.1038/s41576-019-0108-4")</f>
        <v>4187</v>
      </c>
      <c r="BL143" t="s" s="0">
        <v>84</v>
      </c>
      <c r="BM143" t="s" s="0">
        <v>84</v>
      </c>
      <c r="BN143" t="s" s="0">
        <v>133</v>
      </c>
      <c r="BO143" t="s" s="0">
        <v>2202</v>
      </c>
      <c r="BP143" t="s" s="0">
        <v>2202</v>
      </c>
      <c r="BQ143" t="s" s="0">
        <v>4188</v>
      </c>
      <c r="BR143" t="s" s="0">
        <v>4189</v>
      </c>
      <c r="BS143" t="s" s="0">
        <v>4190</v>
      </c>
      <c r="BT143" t="s" s="284">
        <f>HYPERLINK("https://www.webofscience.com/wos/woscc/full-record/WOS:000468574800012","View Record in Web of Science")</f>
        <v>127</v>
      </c>
      <c r="BU143" t="s" s="0">
        <v>321</v>
      </c>
      <c r="BV143" t="s" s="0">
        <v>84</v>
      </c>
      <c r="BW143" t="s" s="0">
        <v>84</v>
      </c>
      <c r="BX143" t="s" s="0">
        <v>130</v>
      </c>
    </row>
    <row r="144">
      <c r="A144" t="s" s="0">
        <v>527</v>
      </c>
      <c r="B144" t="s" s="0">
        <v>78</v>
      </c>
      <c r="C144" t="s" s="0">
        <v>997</v>
      </c>
      <c r="D144" t="s" s="0">
        <v>78</v>
      </c>
      <c r="E144" t="s" s="0">
        <v>4191</v>
      </c>
      <c r="F144" t="s" s="0">
        <v>4192</v>
      </c>
      <c r="G144" t="s" s="0">
        <v>4193</v>
      </c>
      <c r="H144" t="s" s="0">
        <v>84</v>
      </c>
      <c r="I144" t="s" s="0">
        <v>85</v>
      </c>
      <c r="J144" t="s" s="0">
        <v>4194</v>
      </c>
      <c r="K144" t="s" s="0">
        <v>4195</v>
      </c>
      <c r="L144" t="s" s="0">
        <v>84</v>
      </c>
      <c r="M144" t="s" s="0">
        <v>84</v>
      </c>
      <c r="N144" t="s" s="0">
        <v>84</v>
      </c>
      <c r="O144" t="s" s="0">
        <v>4196</v>
      </c>
      <c r="P144" t="s" s="0">
        <v>4197</v>
      </c>
      <c r="Q144" t="s" s="0">
        <v>93</v>
      </c>
      <c r="R144" t="s" s="0">
        <v>84</v>
      </c>
      <c r="S144" t="s" s="0">
        <v>84</v>
      </c>
      <c r="T144" t="s" s="0">
        <v>84</v>
      </c>
      <c r="U144" t="s" s="0">
        <v>84</v>
      </c>
      <c r="V144" t="s" s="0">
        <v>4198</v>
      </c>
      <c r="W144" t="s" s="0">
        <v>1987</v>
      </c>
      <c r="X144" t="s" s="0">
        <v>84</v>
      </c>
      <c r="Y144" t="s" s="0">
        <v>84</v>
      </c>
      <c r="Z144" t="s" s="0">
        <v>96</v>
      </c>
      <c r="AA144" t="s" s="0">
        <v>97</v>
      </c>
      <c r="AB144" t="s" s="0">
        <v>84</v>
      </c>
      <c r="AC144" t="s" s="0">
        <v>84</v>
      </c>
      <c r="AD144" t="s" s="0">
        <v>84</v>
      </c>
      <c r="AE144" t="s" s="0">
        <v>84</v>
      </c>
      <c r="AF144" t="s" s="0">
        <v>84</v>
      </c>
      <c r="AG144" t="s" s="0">
        <v>4199</v>
      </c>
      <c r="AH144" t="s" s="0">
        <v>4200</v>
      </c>
      <c r="AI144" t="s" s="0">
        <v>4201</v>
      </c>
      <c r="AJ144" t="s" s="0">
        <v>4202</v>
      </c>
      <c r="AK144" t="s" s="0">
        <v>84</v>
      </c>
      <c r="AL144" t="s" s="0">
        <v>786</v>
      </c>
      <c r="AM144" t="s" s="0">
        <v>4203</v>
      </c>
      <c r="AN144" t="s" s="0">
        <v>3450</v>
      </c>
      <c r="AO144" t="s" s="0">
        <v>214</v>
      </c>
      <c r="AP144" t="s" s="0">
        <v>2382</v>
      </c>
      <c r="AQ144" t="s" s="0">
        <v>1995</v>
      </c>
      <c r="AR144" t="s" s="0">
        <v>1996</v>
      </c>
      <c r="AS144" t="s" s="0">
        <v>1997</v>
      </c>
      <c r="AT144" t="s" s="0">
        <v>1998</v>
      </c>
      <c r="AU144" t="s" s="0">
        <v>1999</v>
      </c>
      <c r="AV144" t="s" s="0">
        <v>84</v>
      </c>
      <c r="AW144" t="s" s="0">
        <v>2000</v>
      </c>
      <c r="AX144" t="s" s="0">
        <v>2001</v>
      </c>
      <c r="AY144" t="s" s="0">
        <v>4204</v>
      </c>
      <c r="AZ144" t="s" s="0">
        <v>201</v>
      </c>
      <c r="BA144" t="s" s="0">
        <v>4205</v>
      </c>
      <c r="BB144" t="s" s="0">
        <v>84</v>
      </c>
      <c r="BC144" t="s" s="0">
        <v>84</v>
      </c>
      <c r="BD144" t="s" s="0">
        <v>84</v>
      </c>
      <c r="BE144" t="s" s="0">
        <v>84</v>
      </c>
      <c r="BF144" t="s" s="0">
        <v>84</v>
      </c>
      <c r="BG144" t="s" s="0">
        <v>339</v>
      </c>
      <c r="BH144" t="s" s="0">
        <v>261</v>
      </c>
      <c r="BI144" t="s" s="0">
        <v>84</v>
      </c>
      <c r="BJ144" t="s" s="0">
        <v>4206</v>
      </c>
      <c r="BK144" t="s" s="285">
        <f>HYPERLINK("http://dx.doi.org/10.1016/j.cmpb.2018.02.001","http://dx.doi.org/10.1016/j.cmpb.2018.02.001")</f>
        <v>4207</v>
      </c>
      <c r="BL144" t="s" s="0">
        <v>84</v>
      </c>
      <c r="BM144" t="s" s="0">
        <v>84</v>
      </c>
      <c r="BN144" t="s" s="0">
        <v>1130</v>
      </c>
      <c r="BO144" t="s" s="0">
        <v>2005</v>
      </c>
      <c r="BP144" t="s" s="0">
        <v>2006</v>
      </c>
      <c r="BQ144" t="s" s="0">
        <v>4208</v>
      </c>
      <c r="BR144" t="s" s="0">
        <v>4209</v>
      </c>
      <c r="BS144" t="s" s="0">
        <v>4210</v>
      </c>
      <c r="BT144" t="s" s="286">
        <f>HYPERLINK("https://www.webofscience.com/wos/woscc/full-record/WOS:000427786400008","View Record in Web of Science")</f>
        <v>127</v>
      </c>
      <c r="BU144" t="s" s="0">
        <v>321</v>
      </c>
      <c r="BV144" t="s" s="0">
        <v>128</v>
      </c>
      <c r="BW144" t="s" s="0">
        <v>129</v>
      </c>
      <c r="BX144" t="s" s="0">
        <v>130</v>
      </c>
    </row>
    <row r="145">
      <c r="A145" t="s" s="0">
        <v>527</v>
      </c>
      <c r="B145" t="s" s="0">
        <v>78</v>
      </c>
      <c r="C145" t="s" s="0">
        <v>2035</v>
      </c>
      <c r="D145" t="s" s="0">
        <v>78</v>
      </c>
      <c r="E145" t="s" s="0">
        <v>4211</v>
      </c>
      <c r="F145" t="s" s="0">
        <v>4212</v>
      </c>
      <c r="G145" t="s" s="0">
        <v>4213</v>
      </c>
      <c r="H145" t="s" s="0">
        <v>84</v>
      </c>
      <c r="I145" t="s" s="0">
        <v>251</v>
      </c>
      <c r="J145" t="s" s="0">
        <v>4214</v>
      </c>
      <c r="K145" t="s" s="0">
        <v>4215</v>
      </c>
      <c r="L145" t="s" s="0">
        <v>4216</v>
      </c>
      <c r="M145" t="s" s="0">
        <v>4217</v>
      </c>
      <c r="N145" t="s" s="0">
        <v>4218</v>
      </c>
      <c r="O145" t="s" s="0">
        <v>4219</v>
      </c>
      <c r="P145" t="s" s="0">
        <v>4220</v>
      </c>
      <c r="Q145" t="s" s="0">
        <v>93</v>
      </c>
      <c r="R145" t="s" s="0">
        <v>84</v>
      </c>
      <c r="S145" t="s" s="0">
        <v>84</v>
      </c>
      <c r="T145" t="s" s="0">
        <v>84</v>
      </c>
      <c r="U145" t="s" s="0">
        <v>84</v>
      </c>
      <c r="V145" t="s" s="0">
        <v>4221</v>
      </c>
      <c r="W145" t="s" s="0">
        <v>1954</v>
      </c>
      <c r="X145" t="s" s="0">
        <v>84</v>
      </c>
      <c r="Y145" t="s" s="0">
        <v>84</v>
      </c>
      <c r="Z145" t="s" s="0">
        <v>96</v>
      </c>
      <c r="AA145" t="s" s="0">
        <v>97</v>
      </c>
      <c r="AB145" t="s" s="0">
        <v>84</v>
      </c>
      <c r="AC145" t="s" s="0">
        <v>84</v>
      </c>
      <c r="AD145" t="s" s="0">
        <v>84</v>
      </c>
      <c r="AE145" t="s" s="0">
        <v>84</v>
      </c>
      <c r="AF145" t="s" s="0">
        <v>84</v>
      </c>
      <c r="AG145" t="s" s="0">
        <v>4222</v>
      </c>
      <c r="AH145" t="s" s="0">
        <v>4223</v>
      </c>
      <c r="AI145" t="s" s="0">
        <v>4224</v>
      </c>
      <c r="AJ145" t="s" s="0">
        <v>4225</v>
      </c>
      <c r="AK145" t="s" s="0">
        <v>84</v>
      </c>
      <c r="AL145" t="s" s="0">
        <v>4226</v>
      </c>
      <c r="AM145" t="s" s="0">
        <v>213</v>
      </c>
      <c r="AN145" t="s" s="0">
        <v>3450</v>
      </c>
      <c r="AO145" t="s" s="0">
        <v>701</v>
      </c>
      <c r="AP145" t="s" s="0">
        <v>3779</v>
      </c>
      <c r="AQ145" t="s" s="0">
        <v>1962</v>
      </c>
      <c r="AR145" t="s" s="0">
        <v>1963</v>
      </c>
      <c r="AS145" t="s" s="0">
        <v>1964</v>
      </c>
      <c r="AT145" t="s" s="0">
        <v>1965</v>
      </c>
      <c r="AU145" t="s" s="0">
        <v>1966</v>
      </c>
      <c r="AV145" t="s" s="0">
        <v>84</v>
      </c>
      <c r="AW145" t="s" s="0">
        <v>1967</v>
      </c>
      <c r="AX145" t="s" s="0">
        <v>1968</v>
      </c>
      <c r="AY145" t="s" s="0">
        <v>4227</v>
      </c>
      <c r="AZ145" t="s" s="0">
        <v>201</v>
      </c>
      <c r="BA145" t="s" s="0">
        <v>452</v>
      </c>
      <c r="BB145" t="s" s="0">
        <v>1050</v>
      </c>
      <c r="BC145" t="s" s="0">
        <v>84</v>
      </c>
      <c r="BD145" t="s" s="0">
        <v>84</v>
      </c>
      <c r="BE145" t="s" s="0">
        <v>84</v>
      </c>
      <c r="BF145" t="s" s="0">
        <v>84</v>
      </c>
      <c r="BG145" t="s" s="0">
        <v>84</v>
      </c>
      <c r="BH145" t="s" s="0">
        <v>84</v>
      </c>
      <c r="BI145" t="s" s="0">
        <v>4228</v>
      </c>
      <c r="BJ145" t="s" s="0">
        <v>4229</v>
      </c>
      <c r="BK145" t="s" s="287">
        <f>HYPERLINK("http://dx.doi.org/10.1002/adma.201706910","http://dx.doi.org/10.1002/adma.201706910")</f>
        <v>4230</v>
      </c>
      <c r="BL145" t="s" s="0">
        <v>84</v>
      </c>
      <c r="BM145" t="s" s="0">
        <v>84</v>
      </c>
      <c r="BN145" t="s" s="0">
        <v>755</v>
      </c>
      <c r="BO145" t="s" s="0">
        <v>1973</v>
      </c>
      <c r="BP145" t="s" s="0">
        <v>1974</v>
      </c>
      <c r="BQ145" t="s" s="0">
        <v>4231</v>
      </c>
      <c r="BR145" t="s" s="0">
        <v>4232</v>
      </c>
      <c r="BS145" t="s" s="0">
        <v>4233</v>
      </c>
      <c r="BT145" t="s" s="288">
        <f>HYPERLINK("https://www.webofscience.com/wos/woscc/full-record/WOS:000441411500004","View Record in Web of Science")</f>
        <v>127</v>
      </c>
      <c r="BU145" t="s" s="0">
        <v>432</v>
      </c>
      <c r="BV145" t="s" s="0">
        <v>128</v>
      </c>
      <c r="BW145" t="s" s="0">
        <v>129</v>
      </c>
      <c r="BX145" t="s" s="0">
        <v>130</v>
      </c>
    </row>
    <row r="146">
      <c r="A146" t="s" s="0">
        <v>121</v>
      </c>
      <c r="B146" t="s" s="0">
        <v>78</v>
      </c>
      <c r="C146" t="s" s="0">
        <v>459</v>
      </c>
      <c r="D146" t="s" s="0">
        <v>396</v>
      </c>
      <c r="E146" t="s" s="0">
        <v>4234</v>
      </c>
      <c r="F146" t="s" s="0">
        <v>4235</v>
      </c>
      <c r="G146" t="s" s="0">
        <v>4236</v>
      </c>
      <c r="H146" t="s" s="0">
        <v>84</v>
      </c>
      <c r="I146" t="s" s="0">
        <v>85</v>
      </c>
      <c r="J146" t="s" s="0">
        <v>4237</v>
      </c>
      <c r="K146" t="s" s="0">
        <v>4238</v>
      </c>
      <c r="L146" t="s" s="0">
        <v>4239</v>
      </c>
      <c r="M146" t="s" s="0">
        <v>4239</v>
      </c>
      <c r="N146" t="s" s="0">
        <v>4240</v>
      </c>
      <c r="O146" t="s" s="0">
        <v>4241</v>
      </c>
      <c r="P146" t="s" s="0">
        <v>4239</v>
      </c>
      <c r="Q146" t="s" s="0">
        <v>93</v>
      </c>
      <c r="R146" t="s" s="0">
        <v>84</v>
      </c>
      <c r="S146" t="s" s="0">
        <v>84</v>
      </c>
      <c r="T146" t="s" s="0">
        <v>84</v>
      </c>
      <c r="U146" t="s" s="0">
        <v>84</v>
      </c>
      <c r="V146" t="s" s="0">
        <v>4242</v>
      </c>
      <c r="W146" t="s" s="0">
        <v>831</v>
      </c>
      <c r="X146" t="s" s="0">
        <v>84</v>
      </c>
      <c r="Y146" t="s" s="0">
        <v>84</v>
      </c>
      <c r="Z146" t="s" s="0">
        <v>96</v>
      </c>
      <c r="AA146" t="s" s="0">
        <v>97</v>
      </c>
      <c r="AB146" t="s" s="0">
        <v>84</v>
      </c>
      <c r="AC146" t="s" s="0">
        <v>84</v>
      </c>
      <c r="AD146" t="s" s="0">
        <v>84</v>
      </c>
      <c r="AE146" t="s" s="0">
        <v>84</v>
      </c>
      <c r="AF146" t="s" s="0">
        <v>84</v>
      </c>
      <c r="AG146" t="s" s="0">
        <v>4243</v>
      </c>
      <c r="AH146" t="s" s="0">
        <v>4244</v>
      </c>
      <c r="AI146" t="s" s="0">
        <v>4245</v>
      </c>
      <c r="AJ146" t="s" s="0">
        <v>4246</v>
      </c>
      <c r="AK146" t="s" s="0">
        <v>84</v>
      </c>
      <c r="AL146" t="s" s="0">
        <v>286</v>
      </c>
      <c r="AM146" t="s" s="0">
        <v>4247</v>
      </c>
      <c r="AN146" t="s" s="0">
        <v>4248</v>
      </c>
      <c r="AO146" t="s" s="0">
        <v>1702</v>
      </c>
      <c r="AP146" t="s" s="0">
        <v>4249</v>
      </c>
      <c r="AQ146" t="s" s="0">
        <v>841</v>
      </c>
      <c r="AR146" t="s" s="0">
        <v>842</v>
      </c>
      <c r="AS146" t="s" s="0">
        <v>843</v>
      </c>
      <c r="AT146" t="s" s="0">
        <v>844</v>
      </c>
      <c r="AU146" t="s" s="0">
        <v>84</v>
      </c>
      <c r="AV146" t="s" s="0">
        <v>84</v>
      </c>
      <c r="AW146" t="s" s="0">
        <v>831</v>
      </c>
      <c r="AX146" t="s" s="0">
        <v>845</v>
      </c>
      <c r="AY146" t="s" s="0">
        <v>351</v>
      </c>
      <c r="AZ146" t="s" s="0">
        <v>351</v>
      </c>
      <c r="BA146" t="s" s="0">
        <v>160</v>
      </c>
      <c r="BB146" t="s" s="0">
        <v>84</v>
      </c>
      <c r="BC146" t="s" s="0">
        <v>84</v>
      </c>
      <c r="BD146" t="s" s="0">
        <v>84</v>
      </c>
      <c r="BE146" t="s" s="0">
        <v>84</v>
      </c>
      <c r="BF146" t="s" s="0">
        <v>84</v>
      </c>
      <c r="BG146" t="s" s="0">
        <v>4250</v>
      </c>
      <c r="BH146" t="s" s="0">
        <v>4251</v>
      </c>
      <c r="BI146" t="s" s="0">
        <v>84</v>
      </c>
      <c r="BJ146" t="s" s="0">
        <v>4252</v>
      </c>
      <c r="BK146" t="s" s="289">
        <f>HYPERLINK("http://dx.doi.org/10.1109/ACCESS.2020.2990528","http://dx.doi.org/10.1109/ACCESS.2020.2990528")</f>
        <v>4253</v>
      </c>
      <c r="BL146" t="s" s="0">
        <v>84</v>
      </c>
      <c r="BM146" t="s" s="0">
        <v>84</v>
      </c>
      <c r="BN146" t="s" s="0">
        <v>264</v>
      </c>
      <c r="BO146" t="s" s="0">
        <v>851</v>
      </c>
      <c r="BP146" t="s" s="0">
        <v>852</v>
      </c>
      <c r="BQ146" t="s" s="0">
        <v>4254</v>
      </c>
      <c r="BR146" t="s" s="0">
        <v>84</v>
      </c>
      <c r="BS146" t="s" s="0">
        <v>4255</v>
      </c>
      <c r="BT146" t="s" s="290">
        <f>HYPERLINK("https://www.webofscience.com/wos/woscc/full-record/WOS:000541121800019","View Record in Web of Science")</f>
        <v>127</v>
      </c>
      <c r="BU146" t="s" s="0">
        <v>170</v>
      </c>
      <c r="BV146" t="s" s="0">
        <v>128</v>
      </c>
      <c r="BW146" t="s" s="0">
        <v>129</v>
      </c>
      <c r="BX146" t="s" s="0">
        <v>130</v>
      </c>
    </row>
    <row r="147">
      <c r="A147" t="s" s="0">
        <v>787</v>
      </c>
      <c r="B147" t="s" s="0">
        <v>78</v>
      </c>
      <c r="C147" t="s" s="0">
        <v>161</v>
      </c>
      <c r="D147" t="s" s="0">
        <v>78</v>
      </c>
      <c r="E147" t="s" s="0">
        <v>4256</v>
      </c>
      <c r="F147" t="s" s="0">
        <v>4257</v>
      </c>
      <c r="G147" t="s" s="0">
        <v>4258</v>
      </c>
      <c r="H147" t="s" s="0">
        <v>84</v>
      </c>
      <c r="I147" t="s" s="0">
        <v>85</v>
      </c>
      <c r="J147" t="s" s="0">
        <v>4259</v>
      </c>
      <c r="K147" t="s" s="0">
        <v>4260</v>
      </c>
      <c r="L147" t="s" s="0">
        <v>4261</v>
      </c>
      <c r="M147" t="s" s="0">
        <v>4262</v>
      </c>
      <c r="N147" t="s" s="0">
        <v>4263</v>
      </c>
      <c r="O147" t="s" s="0">
        <v>4264</v>
      </c>
      <c r="P147" t="s" s="0">
        <v>4265</v>
      </c>
      <c r="Q147" t="s" s="0">
        <v>93</v>
      </c>
      <c r="R147" t="s" s="0">
        <v>84</v>
      </c>
      <c r="S147" t="s" s="0">
        <v>84</v>
      </c>
      <c r="T147" t="s" s="0">
        <v>84</v>
      </c>
      <c r="U147" t="s" s="0">
        <v>84</v>
      </c>
      <c r="V147" t="s" s="0">
        <v>4266</v>
      </c>
      <c r="W147" t="s" s="0">
        <v>405</v>
      </c>
      <c r="X147" t="s" s="0">
        <v>84</v>
      </c>
      <c r="Y147" t="s" s="0">
        <v>84</v>
      </c>
      <c r="Z147" t="s" s="0">
        <v>96</v>
      </c>
      <c r="AA147" t="s" s="0">
        <v>97</v>
      </c>
      <c r="AB147" t="s" s="0">
        <v>84</v>
      </c>
      <c r="AC147" t="s" s="0">
        <v>84</v>
      </c>
      <c r="AD147" t="s" s="0">
        <v>84</v>
      </c>
      <c r="AE147" t="s" s="0">
        <v>84</v>
      </c>
      <c r="AF147" t="s" s="0">
        <v>84</v>
      </c>
      <c r="AG147" t="s" s="0">
        <v>4267</v>
      </c>
      <c r="AH147" t="s" s="0">
        <v>4268</v>
      </c>
      <c r="AI147" t="s" s="0">
        <v>4269</v>
      </c>
      <c r="AJ147" t="s" s="0">
        <v>4270</v>
      </c>
      <c r="AK147" t="s" s="0">
        <v>84</v>
      </c>
      <c r="AL147" t="s" s="0">
        <v>229</v>
      </c>
      <c r="AM147" t="s" s="0">
        <v>4271</v>
      </c>
      <c r="AN147" t="s" s="0">
        <v>4272</v>
      </c>
      <c r="AO147" t="s" s="0">
        <v>521</v>
      </c>
      <c r="AP147" t="s" s="0">
        <v>1579</v>
      </c>
      <c r="AQ147" t="s" s="0">
        <v>415</v>
      </c>
      <c r="AR147" t="s" s="0">
        <v>416</v>
      </c>
      <c r="AS147" t="s" s="0">
        <v>417</v>
      </c>
      <c r="AT147" t="s" s="0">
        <v>418</v>
      </c>
      <c r="AU147" t="s" s="0">
        <v>419</v>
      </c>
      <c r="AV147" t="s" s="0">
        <v>84</v>
      </c>
      <c r="AW147" t="s" s="0">
        <v>420</v>
      </c>
      <c r="AX147" t="s" s="0">
        <v>421</v>
      </c>
      <c r="AY147" t="s" s="0">
        <v>234</v>
      </c>
      <c r="AZ147" t="s" s="0">
        <v>235</v>
      </c>
      <c r="BA147" t="s" s="0">
        <v>592</v>
      </c>
      <c r="BB147" t="s" s="0">
        <v>84</v>
      </c>
      <c r="BC147" t="s" s="0">
        <v>84</v>
      </c>
      <c r="BD147" t="s" s="0">
        <v>84</v>
      </c>
      <c r="BE147" t="s" s="0">
        <v>84</v>
      </c>
      <c r="BF147" t="s" s="0">
        <v>84</v>
      </c>
      <c r="BG147" t="s" s="0">
        <v>104</v>
      </c>
      <c r="BH147" t="s" s="0">
        <v>1715</v>
      </c>
      <c r="BI147" t="s" s="0">
        <v>84</v>
      </c>
      <c r="BJ147" t="s" s="0">
        <v>4273</v>
      </c>
      <c r="BK147" t="s" s="291">
        <f>HYPERLINK("http://dx.doi.org/10.1016/j.inffus.2023.03.008","http://dx.doi.org/10.1016/j.inffus.2023.03.008")</f>
        <v>4274</v>
      </c>
      <c r="BL147" t="s" s="0">
        <v>84</v>
      </c>
      <c r="BM147" t="s" s="0">
        <v>600</v>
      </c>
      <c r="BN147" t="s" s="0">
        <v>855</v>
      </c>
      <c r="BO147" t="s" s="0">
        <v>429</v>
      </c>
      <c r="BP147" t="s" s="0">
        <v>166</v>
      </c>
      <c r="BQ147" t="s" s="0">
        <v>4275</v>
      </c>
      <c r="BR147" t="s" s="0">
        <v>84</v>
      </c>
      <c r="BS147" t="s" s="0">
        <v>4276</v>
      </c>
      <c r="BT147" t="s" s="292">
        <f>HYPERLINK("https://www.webofscience.com/wos/woscc/full-record/WOS:000992727400001","View Record in Web of Science")</f>
        <v>127</v>
      </c>
      <c r="BU147" t="s" s="0">
        <v>84</v>
      </c>
      <c r="BV147" t="s" s="0">
        <v>128</v>
      </c>
      <c r="BW147" t="s" s="0">
        <v>129</v>
      </c>
      <c r="BX147" t="s" s="0">
        <v>130</v>
      </c>
    </row>
    <row r="148">
      <c r="A148" t="s" s="0">
        <v>275</v>
      </c>
      <c r="B148" t="s" s="0">
        <v>78</v>
      </c>
      <c r="C148" t="s" s="0">
        <v>668</v>
      </c>
      <c r="D148" t="s" s="0">
        <v>78</v>
      </c>
      <c r="E148" t="s" s="0">
        <v>4277</v>
      </c>
      <c r="F148" t="s" s="0">
        <v>4278</v>
      </c>
      <c r="G148" t="s" s="0">
        <v>4279</v>
      </c>
      <c r="H148" t="s" s="0">
        <v>84</v>
      </c>
      <c r="I148" t="s" s="0">
        <v>85</v>
      </c>
      <c r="J148" t="s" s="0">
        <v>4280</v>
      </c>
      <c r="K148" t="s" s="0">
        <v>4281</v>
      </c>
      <c r="L148" t="s" s="0">
        <v>84</v>
      </c>
      <c r="M148" t="s" s="0">
        <v>84</v>
      </c>
      <c r="N148" t="s" s="0">
        <v>84</v>
      </c>
      <c r="O148" t="s" s="0">
        <v>4282</v>
      </c>
      <c r="P148" t="s" s="0">
        <v>4283</v>
      </c>
      <c r="Q148" t="s" s="0">
        <v>93</v>
      </c>
      <c r="R148" t="s" s="0">
        <v>84</v>
      </c>
      <c r="S148" t="s" s="0">
        <v>84</v>
      </c>
      <c r="T148" t="s" s="0">
        <v>84</v>
      </c>
      <c r="U148" t="s" s="0">
        <v>84</v>
      </c>
      <c r="V148" t="s" s="0">
        <v>4284</v>
      </c>
      <c r="W148" t="s" s="0">
        <v>4285</v>
      </c>
      <c r="X148" t="s" s="0">
        <v>84</v>
      </c>
      <c r="Y148" t="s" s="0">
        <v>84</v>
      </c>
      <c r="Z148" t="s" s="0">
        <v>96</v>
      </c>
      <c r="AA148" t="s" s="0">
        <v>97</v>
      </c>
      <c r="AB148" t="s" s="0">
        <v>84</v>
      </c>
      <c r="AC148" t="s" s="0">
        <v>84</v>
      </c>
      <c r="AD148" t="s" s="0">
        <v>84</v>
      </c>
      <c r="AE148" t="s" s="0">
        <v>84</v>
      </c>
      <c r="AF148" t="s" s="0">
        <v>84</v>
      </c>
      <c r="AG148" t="s" s="0">
        <v>4286</v>
      </c>
      <c r="AH148" t="s" s="0">
        <v>4287</v>
      </c>
      <c r="AI148" t="s" s="0">
        <v>84</v>
      </c>
      <c r="AJ148" t="s" s="0">
        <v>84</v>
      </c>
      <c r="AK148" t="s" s="0">
        <v>84</v>
      </c>
      <c r="AL148" t="s" s="0">
        <v>115</v>
      </c>
      <c r="AM148" t="s" s="0">
        <v>1346</v>
      </c>
      <c r="AN148" t="s" s="0">
        <v>4288</v>
      </c>
      <c r="AO148" t="s" s="0">
        <v>342</v>
      </c>
      <c r="AP148" t="s" s="0">
        <v>4289</v>
      </c>
      <c r="AQ148" t="s" s="0">
        <v>703</v>
      </c>
      <c r="AR148" t="s" s="0">
        <v>704</v>
      </c>
      <c r="AS148" t="s" s="0">
        <v>705</v>
      </c>
      <c r="AT148" t="s" s="0">
        <v>4290</v>
      </c>
      <c r="AU148" t="s" s="0">
        <v>4291</v>
      </c>
      <c r="AV148" t="s" s="0">
        <v>84</v>
      </c>
      <c r="AW148" t="s" s="0">
        <v>4292</v>
      </c>
      <c r="AX148" t="s" s="0">
        <v>4293</v>
      </c>
      <c r="AY148" t="s" s="0">
        <v>4294</v>
      </c>
      <c r="AZ148" t="s" s="0">
        <v>201</v>
      </c>
      <c r="BA148" t="s" s="0">
        <v>3193</v>
      </c>
      <c r="BB148" t="s" s="0">
        <v>396</v>
      </c>
      <c r="BC148" t="s" s="0">
        <v>84</v>
      </c>
      <c r="BD148" t="s" s="0">
        <v>84</v>
      </c>
      <c r="BE148" t="s" s="0">
        <v>84</v>
      </c>
      <c r="BF148" t="s" s="0">
        <v>84</v>
      </c>
      <c r="BG148" t="s" s="0">
        <v>2148</v>
      </c>
      <c r="BH148" t="s" s="0">
        <v>212</v>
      </c>
      <c r="BI148" t="s" s="0">
        <v>84</v>
      </c>
      <c r="BJ148" t="s" s="0">
        <v>4295</v>
      </c>
      <c r="BK148" t="s" s="293">
        <f>HYPERLINK("http://dx.doi.org/10.1016/j.amjmed.2017.10.035","http://dx.doi.org/10.1016/j.amjmed.2017.10.035")</f>
        <v>4296</v>
      </c>
      <c r="BL148" t="s" s="0">
        <v>84</v>
      </c>
      <c r="BM148" t="s" s="0">
        <v>84</v>
      </c>
      <c r="BN148" t="s" s="0">
        <v>214</v>
      </c>
      <c r="BO148" t="s" s="0">
        <v>281</v>
      </c>
      <c r="BP148" t="s" s="0">
        <v>282</v>
      </c>
      <c r="BQ148" t="s" s="0">
        <v>4297</v>
      </c>
      <c r="BR148" t="s" s="0">
        <v>4298</v>
      </c>
      <c r="BS148" t="s" s="0">
        <v>4299</v>
      </c>
      <c r="BT148" t="s" s="294">
        <f>HYPERLINK("https://www.webofscience.com/wos/woscc/full-record/WOS:000424408300025","View Record in Web of Science")</f>
        <v>127</v>
      </c>
      <c r="BU148" t="s" s="0">
        <v>84</v>
      </c>
      <c r="BV148" t="s" s="0">
        <v>128</v>
      </c>
      <c r="BW148" t="s" s="0">
        <v>129</v>
      </c>
      <c r="BX148" t="s" s="0">
        <v>130</v>
      </c>
    </row>
    <row r="149">
      <c r="A149" t="s" s="0">
        <v>468</v>
      </c>
      <c r="B149" t="s" s="0">
        <v>78</v>
      </c>
      <c r="C149" t="s" s="0">
        <v>807</v>
      </c>
      <c r="D149" t="s" s="0">
        <v>214</v>
      </c>
      <c r="E149" t="s" s="0">
        <v>4300</v>
      </c>
      <c r="F149" t="s" s="0">
        <v>4301</v>
      </c>
      <c r="G149" t="s" s="0">
        <v>4302</v>
      </c>
      <c r="H149" t="s" s="0">
        <v>84</v>
      </c>
      <c r="I149" t="s" s="0">
        <v>251</v>
      </c>
      <c r="J149" t="s" s="0">
        <v>4303</v>
      </c>
      <c r="K149" t="s" s="0">
        <v>1185</v>
      </c>
      <c r="L149" t="s" s="0">
        <v>4304</v>
      </c>
      <c r="M149" t="s" s="0">
        <v>4305</v>
      </c>
      <c r="N149" t="s" s="0">
        <v>84</v>
      </c>
      <c r="O149" t="s" s="0">
        <v>4306</v>
      </c>
      <c r="P149" t="s" s="0">
        <v>4307</v>
      </c>
      <c r="Q149" t="s" s="0">
        <v>93</v>
      </c>
      <c r="R149" t="s" s="0">
        <v>84</v>
      </c>
      <c r="S149" t="s" s="0">
        <v>84</v>
      </c>
      <c r="T149" t="s" s="0">
        <v>84</v>
      </c>
      <c r="U149" t="s" s="0">
        <v>84</v>
      </c>
      <c r="V149" t="s" s="0">
        <v>4308</v>
      </c>
      <c r="W149" t="s" s="0">
        <v>2760</v>
      </c>
      <c r="X149" t="s" s="0">
        <v>84</v>
      </c>
      <c r="Y149" t="s" s="0">
        <v>84</v>
      </c>
      <c r="Z149" t="s" s="0">
        <v>96</v>
      </c>
      <c r="AA149" t="s" s="0">
        <v>97</v>
      </c>
      <c r="AB149" t="s" s="0">
        <v>84</v>
      </c>
      <c r="AC149" t="s" s="0">
        <v>84</v>
      </c>
      <c r="AD149" t="s" s="0">
        <v>84</v>
      </c>
      <c r="AE149" t="s" s="0">
        <v>84</v>
      </c>
      <c r="AF149" t="s" s="0">
        <v>84</v>
      </c>
      <c r="AG149" t="s" s="0">
        <v>4309</v>
      </c>
      <c r="AH149" t="s" s="0">
        <v>4310</v>
      </c>
      <c r="AI149" t="s" s="0">
        <v>4311</v>
      </c>
      <c r="AJ149" t="s" s="0">
        <v>4312</v>
      </c>
      <c r="AK149" t="s" s="0">
        <v>84</v>
      </c>
      <c r="AL149" t="s" s="0">
        <v>4313</v>
      </c>
      <c r="AM149" t="s" s="0">
        <v>193</v>
      </c>
      <c r="AN149" t="s" s="0">
        <v>3878</v>
      </c>
      <c r="AO149" t="s" s="0">
        <v>214</v>
      </c>
      <c r="AP149" t="s" s="0">
        <v>4314</v>
      </c>
      <c r="AQ149" t="s" s="0">
        <v>2062</v>
      </c>
      <c r="AR149" t="s" s="0">
        <v>633</v>
      </c>
      <c r="AS149" t="s" s="0">
        <v>2063</v>
      </c>
      <c r="AT149" t="s" s="0">
        <v>2769</v>
      </c>
      <c r="AU149" t="s" s="0">
        <v>2770</v>
      </c>
      <c r="AV149" t="s" s="0">
        <v>84</v>
      </c>
      <c r="AW149" t="s" s="0">
        <v>2771</v>
      </c>
      <c r="AX149" t="s" s="0">
        <v>2772</v>
      </c>
      <c r="AY149" t="s" s="0">
        <v>1023</v>
      </c>
      <c r="AZ149" t="s" s="0">
        <v>159</v>
      </c>
      <c r="BA149" t="s" s="0">
        <v>3787</v>
      </c>
      <c r="BB149" t="s" s="0">
        <v>84</v>
      </c>
      <c r="BC149" t="s" s="0">
        <v>84</v>
      </c>
      <c r="BD149" t="s" s="0">
        <v>84</v>
      </c>
      <c r="BE149" t="s" s="0">
        <v>84</v>
      </c>
      <c r="BF149" t="s" s="0">
        <v>84</v>
      </c>
      <c r="BG149" t="s" s="0">
        <v>84</v>
      </c>
      <c r="BH149" t="s" s="0">
        <v>84</v>
      </c>
      <c r="BI149" t="s" s="0">
        <v>4315</v>
      </c>
      <c r="BJ149" t="s" s="0">
        <v>4316</v>
      </c>
      <c r="BK149" t="s" s="295">
        <f>HYPERLINK("http://dx.doi.org/10.1016/j.preteyeres.2020.100900","http://dx.doi.org/10.1016/j.preteyeres.2020.100900")</f>
        <v>4317</v>
      </c>
      <c r="BL149" t="s" s="0">
        <v>84</v>
      </c>
      <c r="BM149" t="s" s="0">
        <v>427</v>
      </c>
      <c r="BN149" t="s" s="0">
        <v>1117</v>
      </c>
      <c r="BO149" t="s" s="0">
        <v>1209</v>
      </c>
      <c r="BP149" t="s" s="0">
        <v>1209</v>
      </c>
      <c r="BQ149" t="s" s="0">
        <v>4318</v>
      </c>
      <c r="BR149" t="s" s="0">
        <v>4319</v>
      </c>
      <c r="BS149" t="s" s="0">
        <v>4320</v>
      </c>
      <c r="BT149" t="s" s="296">
        <f>HYPERLINK("https://www.webofscience.com/wos/woscc/full-record/WOS:000670077000003","View Record in Web of Science")</f>
        <v>127</v>
      </c>
      <c r="BU149" t="s" s="0">
        <v>321</v>
      </c>
      <c r="BV149" t="s" s="0">
        <v>128</v>
      </c>
      <c r="BW149" t="s" s="0">
        <v>129</v>
      </c>
      <c r="BX149" t="s" s="0">
        <v>130</v>
      </c>
    </row>
    <row r="150">
      <c r="A150" t="s" s="0">
        <v>280</v>
      </c>
      <c r="B150" t="s" s="0">
        <v>78</v>
      </c>
      <c r="C150" t="s" s="0">
        <v>822</v>
      </c>
      <c r="D150" t="s" s="0">
        <v>116</v>
      </c>
      <c r="E150" t="s" s="0">
        <v>4321</v>
      </c>
      <c r="F150" t="s" s="0">
        <v>4322</v>
      </c>
      <c r="G150" t="s" s="0">
        <v>4323</v>
      </c>
      <c r="H150" t="s" s="0">
        <v>84</v>
      </c>
      <c r="I150" t="s" s="0">
        <v>251</v>
      </c>
      <c r="J150" t="s" s="0">
        <v>4324</v>
      </c>
      <c r="K150" t="s" s="0">
        <v>4325</v>
      </c>
      <c r="L150" t="s" s="0">
        <v>4326</v>
      </c>
      <c r="M150" t="s" s="0">
        <v>4327</v>
      </c>
      <c r="N150" t="s" s="0">
        <v>4328</v>
      </c>
      <c r="O150" t="s" s="0">
        <v>4329</v>
      </c>
      <c r="P150" t="s" s="0">
        <v>4330</v>
      </c>
      <c r="Q150" t="s" s="0">
        <v>93</v>
      </c>
      <c r="R150" t="s" s="0">
        <v>84</v>
      </c>
      <c r="S150" t="s" s="0">
        <v>84</v>
      </c>
      <c r="T150" t="s" s="0">
        <v>84</v>
      </c>
      <c r="U150" t="s" s="0">
        <v>84</v>
      </c>
      <c r="V150" t="s" s="0">
        <v>4331</v>
      </c>
      <c r="W150" t="s" s="0">
        <v>4332</v>
      </c>
      <c r="X150" t="s" s="0">
        <v>84</v>
      </c>
      <c r="Y150" t="s" s="0">
        <v>84</v>
      </c>
      <c r="Z150" t="s" s="0">
        <v>96</v>
      </c>
      <c r="AA150" t="s" s="0">
        <v>97</v>
      </c>
      <c r="AB150" t="s" s="0">
        <v>84</v>
      </c>
      <c r="AC150" t="s" s="0">
        <v>84</v>
      </c>
      <c r="AD150" t="s" s="0">
        <v>84</v>
      </c>
      <c r="AE150" t="s" s="0">
        <v>84</v>
      </c>
      <c r="AF150" t="s" s="0">
        <v>84</v>
      </c>
      <c r="AG150" t="s" s="0">
        <v>84</v>
      </c>
      <c r="AH150" t="s" s="0">
        <v>4333</v>
      </c>
      <c r="AI150" t="s" s="0">
        <v>4334</v>
      </c>
      <c r="AJ150" t="s" s="0">
        <v>4335</v>
      </c>
      <c r="AK150" t="s" s="0">
        <v>84</v>
      </c>
      <c r="AL150" t="s" s="0">
        <v>4336</v>
      </c>
      <c r="AM150" t="s" s="0">
        <v>2658</v>
      </c>
      <c r="AN150" t="s" s="0">
        <v>4289</v>
      </c>
      <c r="AO150" t="s" s="0">
        <v>160</v>
      </c>
      <c r="AP150" t="s" s="0">
        <v>2685</v>
      </c>
      <c r="AQ150" t="s" s="0">
        <v>4337</v>
      </c>
      <c r="AR150" t="s" s="0">
        <v>4338</v>
      </c>
      <c r="AS150" t="s" s="0">
        <v>4339</v>
      </c>
      <c r="AT150" t="s" s="0">
        <v>4340</v>
      </c>
      <c r="AU150" t="s" s="0">
        <v>4341</v>
      </c>
      <c r="AV150" t="s" s="0">
        <v>84</v>
      </c>
      <c r="AW150" t="s" s="0">
        <v>4342</v>
      </c>
      <c r="AX150" t="s" s="0">
        <v>4343</v>
      </c>
      <c r="AY150" t="s" s="0">
        <v>1969</v>
      </c>
      <c r="AZ150" t="s" s="0">
        <v>351</v>
      </c>
      <c r="BA150" t="s" s="0">
        <v>1511</v>
      </c>
      <c r="BB150" t="s" s="0">
        <v>396</v>
      </c>
      <c r="BC150" t="s" s="0">
        <v>84</v>
      </c>
      <c r="BD150" t="s" s="0">
        <v>84</v>
      </c>
      <c r="BE150" t="s" s="0">
        <v>84</v>
      </c>
      <c r="BF150" t="s" s="0">
        <v>84</v>
      </c>
      <c r="BG150" t="s" s="0">
        <v>286</v>
      </c>
      <c r="BH150" t="s" s="0">
        <v>4205</v>
      </c>
      <c r="BI150" t="s" s="0">
        <v>84</v>
      </c>
      <c r="BJ150" t="s" s="0">
        <v>4344</v>
      </c>
      <c r="BK150" t="s" s="297">
        <f>HYPERLINK("http://dx.doi.org/10.1001/jamasurg.2019.4917","http://dx.doi.org/10.1001/jamasurg.2019.4917")</f>
        <v>4345</v>
      </c>
      <c r="BL150" t="s" s="0">
        <v>84</v>
      </c>
      <c r="BM150" t="s" s="0">
        <v>84</v>
      </c>
      <c r="BN150" t="s" s="0">
        <v>242</v>
      </c>
      <c r="BO150" t="s" s="0">
        <v>1358</v>
      </c>
      <c r="BP150" t="s" s="0">
        <v>1358</v>
      </c>
      <c r="BQ150" t="s" s="0">
        <v>4346</v>
      </c>
      <c r="BR150" t="s" s="0">
        <v>4347</v>
      </c>
      <c r="BS150" t="s" s="0">
        <v>4348</v>
      </c>
      <c r="BT150" t="s" s="298">
        <f>HYPERLINK("https://www.webofscience.com/wos/woscc/full-record/WOS:000517986100010","View Record in Web of Science")</f>
        <v>127</v>
      </c>
      <c r="BU150" t="s" s="0">
        <v>321</v>
      </c>
      <c r="BV150" t="s" s="0">
        <v>128</v>
      </c>
      <c r="BW150" t="s" s="0">
        <v>129</v>
      </c>
      <c r="BX150" t="s" s="0">
        <v>130</v>
      </c>
    </row>
    <row r="151">
      <c r="A151" t="s" s="0">
        <v>121</v>
      </c>
      <c r="B151" t="s" s="0">
        <v>78</v>
      </c>
      <c r="C151" t="s" s="0">
        <v>4349</v>
      </c>
      <c r="D151" t="s" s="0">
        <v>116</v>
      </c>
      <c r="E151" t="s" s="0">
        <v>4350</v>
      </c>
      <c r="F151" t="s" s="0">
        <v>4351</v>
      </c>
      <c r="G151" t="s" s="0">
        <v>4352</v>
      </c>
      <c r="H151" t="s" s="0">
        <v>84</v>
      </c>
      <c r="I151" t="s" s="0">
        <v>85</v>
      </c>
      <c r="J151" t="s" s="0">
        <v>4353</v>
      </c>
      <c r="K151" t="s" s="0">
        <v>4354</v>
      </c>
      <c r="L151" t="s" s="0">
        <v>4355</v>
      </c>
      <c r="M151" t="s" s="0">
        <v>4356</v>
      </c>
      <c r="N151" t="s" s="0">
        <v>4357</v>
      </c>
      <c r="O151" t="s" s="0">
        <v>4358</v>
      </c>
      <c r="P151" t="s" s="0">
        <v>4359</v>
      </c>
      <c r="Q151" t="s" s="0">
        <v>93</v>
      </c>
      <c r="R151" t="s" s="0">
        <v>84</v>
      </c>
      <c r="S151" t="s" s="0">
        <v>84</v>
      </c>
      <c r="T151" t="s" s="0">
        <v>84</v>
      </c>
      <c r="U151" t="s" s="0">
        <v>84</v>
      </c>
      <c r="V151" t="s" s="0">
        <v>4360</v>
      </c>
      <c r="W151" t="s" s="0">
        <v>4361</v>
      </c>
      <c r="X151" t="s" s="0">
        <v>84</v>
      </c>
      <c r="Y151" t="s" s="0">
        <v>84</v>
      </c>
      <c r="Z151" t="s" s="0">
        <v>96</v>
      </c>
      <c r="AA151" t="s" s="0">
        <v>97</v>
      </c>
      <c r="AB151" t="s" s="0">
        <v>84</v>
      </c>
      <c r="AC151" t="s" s="0">
        <v>84</v>
      </c>
      <c r="AD151" t="s" s="0">
        <v>84</v>
      </c>
      <c r="AE151" t="s" s="0">
        <v>84</v>
      </c>
      <c r="AF151" t="s" s="0">
        <v>84</v>
      </c>
      <c r="AG151" t="s" s="0">
        <v>84</v>
      </c>
      <c r="AH151" t="s" s="0">
        <v>4362</v>
      </c>
      <c r="AI151" t="s" s="0">
        <v>84</v>
      </c>
      <c r="AJ151" t="s" s="0">
        <v>84</v>
      </c>
      <c r="AK151" t="s" s="0">
        <v>84</v>
      </c>
      <c r="AL151" t="s" s="0">
        <v>2933</v>
      </c>
      <c r="AM151" t="s" s="0">
        <v>3123</v>
      </c>
      <c r="AN151" t="s" s="0">
        <v>4363</v>
      </c>
      <c r="AO151" t="s" s="0">
        <v>202</v>
      </c>
      <c r="AP151" t="s" s="0">
        <v>3264</v>
      </c>
      <c r="AQ151" t="s" s="0">
        <v>703</v>
      </c>
      <c r="AR151" t="s" s="0">
        <v>704</v>
      </c>
      <c r="AS151" t="s" s="0">
        <v>705</v>
      </c>
      <c r="AT151" t="s" s="0">
        <v>4364</v>
      </c>
      <c r="AU151" t="s" s="0">
        <v>4365</v>
      </c>
      <c r="AV151" t="s" s="0">
        <v>84</v>
      </c>
      <c r="AW151" t="s" s="0">
        <v>4366</v>
      </c>
      <c r="AX151" t="s" s="0">
        <v>4367</v>
      </c>
      <c r="AY151" t="s" s="0">
        <v>4368</v>
      </c>
      <c r="AZ151" t="s" s="0">
        <v>3426</v>
      </c>
      <c r="BA151" t="s" s="0">
        <v>1588</v>
      </c>
      <c r="BB151" t="s" s="0">
        <v>116</v>
      </c>
      <c r="BC151" t="s" s="0">
        <v>84</v>
      </c>
      <c r="BD151" t="s" s="0">
        <v>84</v>
      </c>
      <c r="BE151" t="s" s="0">
        <v>84</v>
      </c>
      <c r="BF151" t="s" s="0">
        <v>84</v>
      </c>
      <c r="BG151" t="s" s="0">
        <v>192</v>
      </c>
      <c r="BH151" t="s" s="0">
        <v>1117</v>
      </c>
      <c r="BI151" t="s" s="0">
        <v>84</v>
      </c>
      <c r="BJ151" t="s" s="0">
        <v>4369</v>
      </c>
      <c r="BK151" t="s" s="299">
        <f>HYPERLINK("http://dx.doi.org/10.1038/s41379-021-00919-2","http://dx.doi.org/10.1038/s41379-021-00919-2")</f>
        <v>4370</v>
      </c>
      <c r="BL151" t="s" s="0">
        <v>84</v>
      </c>
      <c r="BM151" t="s" s="0">
        <v>3531</v>
      </c>
      <c r="BN151" t="s" s="0">
        <v>527</v>
      </c>
      <c r="BO151" t="s" s="0">
        <v>4371</v>
      </c>
      <c r="BP151" t="s" s="0">
        <v>4371</v>
      </c>
      <c r="BQ151" t="s" s="0">
        <v>4372</v>
      </c>
      <c r="BR151" t="s" s="0">
        <v>4373</v>
      </c>
      <c r="BS151" t="s" s="0">
        <v>4374</v>
      </c>
      <c r="BT151" t="s" s="300">
        <f>HYPERLINK("https://www.webofscience.com/wos/woscc/full-record/WOS:000703819900001","View Record in Web of Science")</f>
        <v>127</v>
      </c>
      <c r="BU151" t="s" s="0">
        <v>432</v>
      </c>
      <c r="BV151" t="s" s="0">
        <v>128</v>
      </c>
      <c r="BW151" t="s" s="0">
        <v>129</v>
      </c>
      <c r="BX151" t="s" s="0">
        <v>130</v>
      </c>
    </row>
    <row r="152">
      <c r="A152" t="s" s="0">
        <v>121</v>
      </c>
      <c r="B152" t="s" s="0">
        <v>78</v>
      </c>
      <c r="C152" t="s" s="0">
        <v>1899</v>
      </c>
      <c r="D152" t="s" s="0">
        <v>78</v>
      </c>
      <c r="E152" t="s" s="0">
        <v>4375</v>
      </c>
      <c r="F152" t="s" s="0">
        <v>4376</v>
      </c>
      <c r="G152" t="s" s="0">
        <v>4377</v>
      </c>
      <c r="H152" t="s" s="0">
        <v>84</v>
      </c>
      <c r="I152" t="s" s="0">
        <v>85</v>
      </c>
      <c r="J152" t="s" s="0">
        <v>4378</v>
      </c>
      <c r="K152" t="s" s="0">
        <v>4379</v>
      </c>
      <c r="L152" t="s" s="0">
        <v>4380</v>
      </c>
      <c r="M152" t="s" s="0">
        <v>4381</v>
      </c>
      <c r="N152" t="s" s="0">
        <v>4382</v>
      </c>
      <c r="O152" t="s" s="0">
        <v>4383</v>
      </c>
      <c r="P152" t="s" s="0">
        <v>4384</v>
      </c>
      <c r="Q152" t="s" s="0">
        <v>93</v>
      </c>
      <c r="R152" t="s" s="0">
        <v>84</v>
      </c>
      <c r="S152" t="s" s="0">
        <v>84</v>
      </c>
      <c r="T152" t="s" s="0">
        <v>84</v>
      </c>
      <c r="U152" t="s" s="0">
        <v>84</v>
      </c>
      <c r="V152" t="s" s="0">
        <v>4385</v>
      </c>
      <c r="W152" t="s" s="0">
        <v>4386</v>
      </c>
      <c r="X152" t="s" s="0">
        <v>84</v>
      </c>
      <c r="Y152" t="s" s="0">
        <v>84</v>
      </c>
      <c r="Z152" t="s" s="0">
        <v>96</v>
      </c>
      <c r="AA152" t="s" s="0">
        <v>97</v>
      </c>
      <c r="AB152" t="s" s="0">
        <v>84</v>
      </c>
      <c r="AC152" t="s" s="0">
        <v>84</v>
      </c>
      <c r="AD152" t="s" s="0">
        <v>84</v>
      </c>
      <c r="AE152" t="s" s="0">
        <v>84</v>
      </c>
      <c r="AF152" t="s" s="0">
        <v>84</v>
      </c>
      <c r="AG152" t="s" s="0">
        <v>4387</v>
      </c>
      <c r="AH152" t="s" s="0">
        <v>4388</v>
      </c>
      <c r="AI152" t="s" s="0">
        <v>4389</v>
      </c>
      <c r="AJ152" t="s" s="0">
        <v>4390</v>
      </c>
      <c r="AK152" t="s" s="0">
        <v>84</v>
      </c>
      <c r="AL152" t="s" s="0">
        <v>3193</v>
      </c>
      <c r="AM152" t="s" s="0">
        <v>3123</v>
      </c>
      <c r="AN152" t="s" s="0">
        <v>313</v>
      </c>
      <c r="AO152" t="s" s="0">
        <v>133</v>
      </c>
      <c r="AP152" t="s" s="0">
        <v>4391</v>
      </c>
      <c r="AQ152" t="s" s="0">
        <v>379</v>
      </c>
      <c r="AR152" t="s" s="0">
        <v>380</v>
      </c>
      <c r="AS152" t="s" s="0">
        <v>381</v>
      </c>
      <c r="AT152" t="s" s="0">
        <v>84</v>
      </c>
      <c r="AU152" t="s" s="0">
        <v>4392</v>
      </c>
      <c r="AV152" t="s" s="0">
        <v>84</v>
      </c>
      <c r="AW152" t="s" s="0">
        <v>4393</v>
      </c>
      <c r="AX152" t="s" s="0">
        <v>4394</v>
      </c>
      <c r="AY152" t="s" s="0">
        <v>2663</v>
      </c>
      <c r="AZ152" t="s" s="0">
        <v>351</v>
      </c>
      <c r="BA152" t="s" s="0">
        <v>604</v>
      </c>
      <c r="BB152" t="s" s="0">
        <v>312</v>
      </c>
      <c r="BC152" t="s" s="0">
        <v>84</v>
      </c>
      <c r="BD152" t="s" s="0">
        <v>84</v>
      </c>
      <c r="BE152" t="s" s="0">
        <v>84</v>
      </c>
      <c r="BF152" t="s" s="0">
        <v>84</v>
      </c>
      <c r="BG152" t="s" s="0">
        <v>84</v>
      </c>
      <c r="BH152" t="s" s="0">
        <v>84</v>
      </c>
      <c r="BI152" t="s" s="0">
        <v>4395</v>
      </c>
      <c r="BJ152" t="s" s="0">
        <v>4396</v>
      </c>
      <c r="BK152" t="s" s="301">
        <f>HYPERLINK("http://dx.doi.org/10.3390/s20185097","http://dx.doi.org/10.3390/s20185097")</f>
        <v>4397</v>
      </c>
      <c r="BL152" t="s" s="0">
        <v>84</v>
      </c>
      <c r="BM152" t="s" s="0">
        <v>84</v>
      </c>
      <c r="BN152" t="s" s="0">
        <v>264</v>
      </c>
      <c r="BO152" t="s" s="0">
        <v>4398</v>
      </c>
      <c r="BP152" t="s" s="0">
        <v>4399</v>
      </c>
      <c r="BQ152" t="s" s="0">
        <v>4400</v>
      </c>
      <c r="BR152" t="s" s="0">
        <v>4401</v>
      </c>
      <c r="BS152" t="s" s="0">
        <v>4402</v>
      </c>
      <c r="BT152" t="s" s="302">
        <f>HYPERLINK("https://www.webofscience.com/wos/woscc/full-record/WOS:000579958100001","View Record in Web of Science")</f>
        <v>127</v>
      </c>
      <c r="BU152" t="s" s="0">
        <v>170</v>
      </c>
      <c r="BV152" t="s" s="0">
        <v>128</v>
      </c>
      <c r="BW152" t="s" s="0">
        <v>129</v>
      </c>
      <c r="BX152" t="s" s="0">
        <v>130</v>
      </c>
    </row>
    <row r="153">
      <c r="A153" t="s" s="0">
        <v>207</v>
      </c>
      <c r="B153" t="s" s="0">
        <v>78</v>
      </c>
      <c r="C153" t="s" s="0">
        <v>4403</v>
      </c>
      <c r="D153" t="s" s="0">
        <v>116</v>
      </c>
      <c r="E153" t="s" s="0">
        <v>4404</v>
      </c>
      <c r="F153" t="s" s="0">
        <v>4405</v>
      </c>
      <c r="G153" t="s" s="0">
        <v>4406</v>
      </c>
      <c r="H153" t="s" s="0">
        <v>84</v>
      </c>
      <c r="I153" t="s" s="0">
        <v>85</v>
      </c>
      <c r="J153" t="s" s="0">
        <v>4407</v>
      </c>
      <c r="K153" t="s" s="0">
        <v>4408</v>
      </c>
      <c r="L153" t="s" s="0">
        <v>4409</v>
      </c>
      <c r="M153" t="s" s="0">
        <v>4410</v>
      </c>
      <c r="N153" t="s" s="0">
        <v>4411</v>
      </c>
      <c r="O153" t="s" s="0">
        <v>4412</v>
      </c>
      <c r="P153" t="s" s="0">
        <v>4413</v>
      </c>
      <c r="Q153" t="s" s="0">
        <v>93</v>
      </c>
      <c r="R153" t="s" s="0">
        <v>84</v>
      </c>
      <c r="S153" t="s" s="0">
        <v>84</v>
      </c>
      <c r="T153" t="s" s="0">
        <v>84</v>
      </c>
      <c r="U153" t="s" s="0">
        <v>84</v>
      </c>
      <c r="V153" t="s" s="0">
        <v>4414</v>
      </c>
      <c r="W153" t="s" s="0">
        <v>4415</v>
      </c>
      <c r="X153" t="s" s="0">
        <v>84</v>
      </c>
      <c r="Y153" t="s" s="0">
        <v>84</v>
      </c>
      <c r="Z153" t="s" s="0">
        <v>96</v>
      </c>
      <c r="AA153" t="s" s="0">
        <v>97</v>
      </c>
      <c r="AB153" t="s" s="0">
        <v>84</v>
      </c>
      <c r="AC153" t="s" s="0">
        <v>84</v>
      </c>
      <c r="AD153" t="s" s="0">
        <v>84</v>
      </c>
      <c r="AE153" t="s" s="0">
        <v>84</v>
      </c>
      <c r="AF153" t="s" s="0">
        <v>84</v>
      </c>
      <c r="AG153" t="s" s="0">
        <v>84</v>
      </c>
      <c r="AH153" t="s" s="0">
        <v>4416</v>
      </c>
      <c r="AI153" t="s" s="0">
        <v>4417</v>
      </c>
      <c r="AJ153" t="s" s="0">
        <v>4418</v>
      </c>
      <c r="AK153" t="s" s="0">
        <v>84</v>
      </c>
      <c r="AL153" t="s" s="0">
        <v>2464</v>
      </c>
      <c r="AM153" t="s" s="0">
        <v>4419</v>
      </c>
      <c r="AN153" t="s" s="0">
        <v>4420</v>
      </c>
      <c r="AO153" t="s" s="0">
        <v>207</v>
      </c>
      <c r="AP153" t="s" s="0">
        <v>1852</v>
      </c>
      <c r="AQ153" t="s" s="0">
        <v>152</v>
      </c>
      <c r="AR153" t="s" s="0">
        <v>153</v>
      </c>
      <c r="AS153" t="s" s="0">
        <v>154</v>
      </c>
      <c r="AT153" t="s" s="0">
        <v>4421</v>
      </c>
      <c r="AU153" t="s" s="0">
        <v>4422</v>
      </c>
      <c r="AV153" t="s" s="0">
        <v>84</v>
      </c>
      <c r="AW153" t="s" s="0">
        <v>4423</v>
      </c>
      <c r="AX153" t="s" s="0">
        <v>4424</v>
      </c>
      <c r="AY153" t="s" s="0">
        <v>3604</v>
      </c>
      <c r="AZ153" t="s" s="0">
        <v>567</v>
      </c>
      <c r="BA153" t="s" s="0">
        <v>118</v>
      </c>
      <c r="BB153" t="s" s="0">
        <v>202</v>
      </c>
      <c r="BC153" t="s" s="0">
        <v>84</v>
      </c>
      <c r="BD153" t="s" s="0">
        <v>84</v>
      </c>
      <c r="BE153" t="s" s="0">
        <v>84</v>
      </c>
      <c r="BF153" t="s" s="0">
        <v>84</v>
      </c>
      <c r="BG153" t="s" s="0">
        <v>1614</v>
      </c>
      <c r="BH153" t="s" s="0">
        <v>4425</v>
      </c>
      <c r="BI153" t="s" s="0">
        <v>84</v>
      </c>
      <c r="BJ153" t="s" s="0">
        <v>4426</v>
      </c>
      <c r="BK153" t="s" s="303">
        <f>HYPERLINK("http://dx.doi.org/10.1038/s12276-024-01201-6","http://dx.doi.org/10.1038/s12276-024-01201-6")</f>
        <v>4427</v>
      </c>
      <c r="BL153" t="s" s="0">
        <v>84</v>
      </c>
      <c r="BM153" t="s" s="0">
        <v>3604</v>
      </c>
      <c r="BN153" t="s" s="0">
        <v>275</v>
      </c>
      <c r="BO153" t="s" s="0">
        <v>4428</v>
      </c>
      <c r="BP153" t="s" s="0">
        <v>4429</v>
      </c>
      <c r="BQ153" t="s" s="0">
        <v>4430</v>
      </c>
      <c r="BR153" t="s" s="0">
        <v>4431</v>
      </c>
      <c r="BS153" t="s" s="0">
        <v>4432</v>
      </c>
      <c r="BT153" t="s" s="304">
        <f>HYPERLINK("https://www.webofscience.com/wos/woscc/full-record/WOS:001194799500011","View Record in Web of Science")</f>
        <v>127</v>
      </c>
      <c r="BU153" t="s" s="0">
        <v>170</v>
      </c>
      <c r="BV153" t="s" s="0">
        <v>128</v>
      </c>
      <c r="BW153" t="s" s="0">
        <v>129</v>
      </c>
      <c r="BX153" t="s" s="0">
        <v>130</v>
      </c>
    </row>
    <row r="154">
      <c r="A154" t="s" s="0">
        <v>312</v>
      </c>
      <c r="B154" t="s" s="0">
        <v>78</v>
      </c>
      <c r="C154" t="s" s="0">
        <v>2077</v>
      </c>
      <c r="D154" t="s" s="0">
        <v>116</v>
      </c>
      <c r="E154" t="s" s="0">
        <v>4433</v>
      </c>
      <c r="F154" t="s" s="0">
        <v>4434</v>
      </c>
      <c r="G154" t="s" s="0">
        <v>4435</v>
      </c>
      <c r="H154" t="s" s="0">
        <v>84</v>
      </c>
      <c r="I154" t="s" s="0">
        <v>85</v>
      </c>
      <c r="J154" t="s" s="0">
        <v>4436</v>
      </c>
      <c r="K154" t="s" s="0">
        <v>4437</v>
      </c>
      <c r="L154" t="s" s="0">
        <v>4438</v>
      </c>
      <c r="M154" t="s" s="0">
        <v>4439</v>
      </c>
      <c r="N154" t="s" s="0">
        <v>4440</v>
      </c>
      <c r="O154" t="s" s="0">
        <v>4441</v>
      </c>
      <c r="P154" t="s" s="0">
        <v>4442</v>
      </c>
      <c r="Q154" t="s" s="0">
        <v>93</v>
      </c>
      <c r="R154" t="s" s="0">
        <v>84</v>
      </c>
      <c r="S154" t="s" s="0">
        <v>84</v>
      </c>
      <c r="T154" t="s" s="0">
        <v>84</v>
      </c>
      <c r="U154" t="s" s="0">
        <v>84</v>
      </c>
      <c r="V154" t="s" s="0">
        <v>4443</v>
      </c>
      <c r="W154" t="s" s="0">
        <v>4444</v>
      </c>
      <c r="X154" t="s" s="0">
        <v>84</v>
      </c>
      <c r="Y154" t="s" s="0">
        <v>84</v>
      </c>
      <c r="Z154" t="s" s="0">
        <v>96</v>
      </c>
      <c r="AA154" t="s" s="0">
        <v>97</v>
      </c>
      <c r="AB154" t="s" s="0">
        <v>84</v>
      </c>
      <c r="AC154" t="s" s="0">
        <v>84</v>
      </c>
      <c r="AD154" t="s" s="0">
        <v>84</v>
      </c>
      <c r="AE154" t="s" s="0">
        <v>84</v>
      </c>
      <c r="AF154" t="s" s="0">
        <v>84</v>
      </c>
      <c r="AG154" t="s" s="0">
        <v>4445</v>
      </c>
      <c r="AH154" t="s" s="0">
        <v>4446</v>
      </c>
      <c r="AI154" t="s" s="0">
        <v>4447</v>
      </c>
      <c r="AJ154" t="s" s="0">
        <v>4448</v>
      </c>
      <c r="AK154" t="s" s="0">
        <v>84</v>
      </c>
      <c r="AL154" t="s" s="0">
        <v>675</v>
      </c>
      <c r="AM154" t="s" s="0">
        <v>1551</v>
      </c>
      <c r="AN154" t="s" s="0">
        <v>1260</v>
      </c>
      <c r="AO154" t="s" s="0">
        <v>452</v>
      </c>
      <c r="AP154" t="s" s="0">
        <v>3624</v>
      </c>
      <c r="AQ154" t="s" s="0">
        <v>4449</v>
      </c>
      <c r="AR154" t="s" s="0">
        <v>4450</v>
      </c>
      <c r="AS154" t="s" s="0">
        <v>4451</v>
      </c>
      <c r="AT154" t="s" s="0">
        <v>4452</v>
      </c>
      <c r="AU154" t="s" s="0">
        <v>4453</v>
      </c>
      <c r="AV154" t="s" s="0">
        <v>84</v>
      </c>
      <c r="AW154" t="s" s="0">
        <v>4454</v>
      </c>
      <c r="AX154" t="s" s="0">
        <v>4455</v>
      </c>
      <c r="AY154" t="s" s="0">
        <v>4456</v>
      </c>
      <c r="AZ154" t="s" s="0">
        <v>159</v>
      </c>
      <c r="BA154" t="s" s="0">
        <v>160</v>
      </c>
      <c r="BB154" t="s" s="0">
        <v>116</v>
      </c>
      <c r="BC154" t="s" s="0">
        <v>84</v>
      </c>
      <c r="BD154" t="s" s="0">
        <v>84</v>
      </c>
      <c r="BE154" t="s" s="0">
        <v>84</v>
      </c>
      <c r="BF154" t="s" s="0">
        <v>84</v>
      </c>
      <c r="BG154" t="s" s="0">
        <v>84</v>
      </c>
      <c r="BH154" t="s" s="0">
        <v>84</v>
      </c>
      <c r="BI154" t="s" s="0">
        <v>117</v>
      </c>
      <c r="BJ154" t="s" s="0">
        <v>4457</v>
      </c>
      <c r="BK154" t="s" s="305">
        <f>HYPERLINK("http://dx.doi.org/10.1186/s40779-021-00338-z","http://dx.doi.org/10.1186/s40779-021-00338-z")</f>
        <v>4458</v>
      </c>
      <c r="BL154" t="s" s="0">
        <v>84</v>
      </c>
      <c r="BM154" t="s" s="0">
        <v>84</v>
      </c>
      <c r="BN154" t="s" s="0">
        <v>280</v>
      </c>
      <c r="BO154" t="s" s="0">
        <v>281</v>
      </c>
      <c r="BP154" t="s" s="0">
        <v>282</v>
      </c>
      <c r="BQ154" t="s" s="0">
        <v>4459</v>
      </c>
      <c r="BR154" t="s" s="0">
        <v>4460</v>
      </c>
      <c r="BS154" t="s" s="0">
        <v>4461</v>
      </c>
      <c r="BT154" t="s" s="306">
        <f>HYPERLINK("https://www.webofscience.com/wos/woscc/full-record/WOS:000684205600001","View Record in Web of Science")</f>
        <v>127</v>
      </c>
      <c r="BU154" t="s" s="0">
        <v>170</v>
      </c>
      <c r="BV154" t="s" s="0">
        <v>128</v>
      </c>
      <c r="BW154" t="s" s="0">
        <v>129</v>
      </c>
      <c r="BX154" t="s" s="0">
        <v>130</v>
      </c>
    </row>
    <row r="155">
      <c r="A155" t="s" s="0">
        <v>202</v>
      </c>
      <c r="B155" t="s" s="0">
        <v>78</v>
      </c>
      <c r="C155" t="s" s="0">
        <v>1810</v>
      </c>
      <c r="D155" t="s" s="0">
        <v>396</v>
      </c>
      <c r="E155" t="s" s="0">
        <v>4462</v>
      </c>
      <c r="F155" t="s" s="0">
        <v>4463</v>
      </c>
      <c r="G155" t="s" s="0">
        <v>4464</v>
      </c>
      <c r="H155" t="s" s="0">
        <v>84</v>
      </c>
      <c r="I155" t="s" s="0">
        <v>251</v>
      </c>
      <c r="J155" t="s" s="0">
        <v>4465</v>
      </c>
      <c r="K155" t="s" s="0">
        <v>4466</v>
      </c>
      <c r="L155" t="s" s="0">
        <v>4467</v>
      </c>
      <c r="M155" t="s" s="0">
        <v>4468</v>
      </c>
      <c r="N155" t="s" s="0">
        <v>4469</v>
      </c>
      <c r="O155" t="s" s="0">
        <v>4470</v>
      </c>
      <c r="P155" t="s" s="0">
        <v>4471</v>
      </c>
      <c r="Q155" t="s" s="0">
        <v>93</v>
      </c>
      <c r="R155" t="s" s="0">
        <v>84</v>
      </c>
      <c r="S155" t="s" s="0">
        <v>84</v>
      </c>
      <c r="T155" t="s" s="0">
        <v>84</v>
      </c>
      <c r="U155" t="s" s="0">
        <v>84</v>
      </c>
      <c r="V155" t="s" s="0">
        <v>4472</v>
      </c>
      <c r="W155" t="s" s="0">
        <v>4473</v>
      </c>
      <c r="X155" t="s" s="0">
        <v>84</v>
      </c>
      <c r="Y155" t="s" s="0">
        <v>84</v>
      </c>
      <c r="Z155" t="s" s="0">
        <v>96</v>
      </c>
      <c r="AA155" t="s" s="0">
        <v>97</v>
      </c>
      <c r="AB155" t="s" s="0">
        <v>84</v>
      </c>
      <c r="AC155" t="s" s="0">
        <v>84</v>
      </c>
      <c r="AD155" t="s" s="0">
        <v>84</v>
      </c>
      <c r="AE155" t="s" s="0">
        <v>84</v>
      </c>
      <c r="AF155" t="s" s="0">
        <v>84</v>
      </c>
      <c r="AG155" t="s" s="0">
        <v>4474</v>
      </c>
      <c r="AH155" t="s" s="0">
        <v>4475</v>
      </c>
      <c r="AI155" t="s" s="0">
        <v>4476</v>
      </c>
      <c r="AJ155" t="s" s="0">
        <v>4477</v>
      </c>
      <c r="AK155" t="s" s="0">
        <v>84</v>
      </c>
      <c r="AL155" t="s" s="0">
        <v>131</v>
      </c>
      <c r="AM155" t="s" s="0">
        <v>4478</v>
      </c>
      <c r="AN155" t="s" s="0">
        <v>1734</v>
      </c>
      <c r="AO155" t="s" s="0">
        <v>275</v>
      </c>
      <c r="AP155" t="s" s="0">
        <v>1150</v>
      </c>
      <c r="AQ155" t="s" s="0">
        <v>379</v>
      </c>
      <c r="AR155" t="s" s="0">
        <v>380</v>
      </c>
      <c r="AS155" t="s" s="0">
        <v>381</v>
      </c>
      <c r="AT155" t="s" s="0">
        <v>84</v>
      </c>
      <c r="AU155" t="s" s="0">
        <v>4479</v>
      </c>
      <c r="AV155" t="s" s="0">
        <v>84</v>
      </c>
      <c r="AW155" t="s" s="0">
        <v>4480</v>
      </c>
      <c r="AX155" t="s" s="0">
        <v>4481</v>
      </c>
      <c r="AY155" t="s" s="0">
        <v>427</v>
      </c>
      <c r="AZ155" t="s" s="0">
        <v>159</v>
      </c>
      <c r="BA155" t="s" s="0">
        <v>242</v>
      </c>
      <c r="BB155" t="s" s="0">
        <v>242</v>
      </c>
      <c r="BC155" t="s" s="0">
        <v>84</v>
      </c>
      <c r="BD155" t="s" s="0">
        <v>84</v>
      </c>
      <c r="BE155" t="s" s="0">
        <v>84</v>
      </c>
      <c r="BF155" t="s" s="0">
        <v>84</v>
      </c>
      <c r="BG155" t="s" s="0">
        <v>84</v>
      </c>
      <c r="BH155" t="s" s="0">
        <v>84</v>
      </c>
      <c r="BI155" t="s" s="0">
        <v>4482</v>
      </c>
      <c r="BJ155" t="s" s="0">
        <v>4483</v>
      </c>
      <c r="BK155" t="s" s="307">
        <f>HYPERLINK("http://dx.doi.org/10.3390/app11115088","http://dx.doi.org/10.3390/app11115088")</f>
        <v>4484</v>
      </c>
      <c r="BL155" t="s" s="0">
        <v>84</v>
      </c>
      <c r="BM155" t="s" s="0">
        <v>84</v>
      </c>
      <c r="BN155" t="s" s="0">
        <v>192</v>
      </c>
      <c r="BO155" t="s" s="0">
        <v>4485</v>
      </c>
      <c r="BP155" t="s" s="0">
        <v>4486</v>
      </c>
      <c r="BQ155" t="s" s="0">
        <v>4487</v>
      </c>
      <c r="BR155" t="s" s="0">
        <v>84</v>
      </c>
      <c r="BS155" t="s" s="0">
        <v>4488</v>
      </c>
      <c r="BT155" t="s" s="308">
        <f>HYPERLINK("https://www.webofscience.com/wos/woscc/full-record/WOS:000659606300001","View Record in Web of Science")</f>
        <v>127</v>
      </c>
      <c r="BU155" t="s" s="0">
        <v>170</v>
      </c>
      <c r="BV155" t="s" s="0">
        <v>128</v>
      </c>
      <c r="BW155" t="s" s="0">
        <v>129</v>
      </c>
      <c r="BX155" t="s" s="0">
        <v>130</v>
      </c>
    </row>
    <row r="156">
      <c r="A156" t="s" s="0">
        <v>115</v>
      </c>
      <c r="B156" t="s" s="0">
        <v>78</v>
      </c>
      <c r="C156" t="s" s="0">
        <v>1597</v>
      </c>
      <c r="D156" t="s" s="0">
        <v>78</v>
      </c>
      <c r="E156" t="s" s="0">
        <v>4489</v>
      </c>
      <c r="F156" t="s" s="0">
        <v>4490</v>
      </c>
      <c r="G156" t="s" s="0">
        <v>4491</v>
      </c>
      <c r="H156" t="s" s="0">
        <v>84</v>
      </c>
      <c r="I156" t="s" s="0">
        <v>85</v>
      </c>
      <c r="J156" t="s" s="0">
        <v>4492</v>
      </c>
      <c r="K156" t="s" s="0">
        <v>4493</v>
      </c>
      <c r="L156" t="s" s="0">
        <v>4494</v>
      </c>
      <c r="M156" t="s" s="0">
        <v>4495</v>
      </c>
      <c r="N156" t="s" s="0">
        <v>4496</v>
      </c>
      <c r="O156" t="s" s="0">
        <v>4497</v>
      </c>
      <c r="P156" t="s" s="0">
        <v>4498</v>
      </c>
      <c r="Q156" t="s" s="0">
        <v>93</v>
      </c>
      <c r="R156" t="s" s="0">
        <v>84</v>
      </c>
      <c r="S156" t="s" s="0">
        <v>84</v>
      </c>
      <c r="T156" t="s" s="0">
        <v>84</v>
      </c>
      <c r="U156" t="s" s="0">
        <v>84</v>
      </c>
      <c r="V156" t="s" s="0">
        <v>4499</v>
      </c>
      <c r="W156" t="s" s="0">
        <v>4500</v>
      </c>
      <c r="X156" t="s" s="0">
        <v>84</v>
      </c>
      <c r="Y156" t="s" s="0">
        <v>84</v>
      </c>
      <c r="Z156" t="s" s="0">
        <v>96</v>
      </c>
      <c r="AA156" t="s" s="0">
        <v>97</v>
      </c>
      <c r="AB156" t="s" s="0">
        <v>84</v>
      </c>
      <c r="AC156" t="s" s="0">
        <v>84</v>
      </c>
      <c r="AD156" t="s" s="0">
        <v>84</v>
      </c>
      <c r="AE156" t="s" s="0">
        <v>84</v>
      </c>
      <c r="AF156" t="s" s="0">
        <v>84</v>
      </c>
      <c r="AG156" t="s" s="0">
        <v>4501</v>
      </c>
      <c r="AH156" t="s" s="0">
        <v>4502</v>
      </c>
      <c r="AI156" t="s" s="0">
        <v>4503</v>
      </c>
      <c r="AJ156" t="s" s="0">
        <v>4504</v>
      </c>
      <c r="AK156" t="s" s="0">
        <v>84</v>
      </c>
      <c r="AL156" t="s" s="0">
        <v>578</v>
      </c>
      <c r="AM156" t="s" s="0">
        <v>4478</v>
      </c>
      <c r="AN156" t="s" s="0">
        <v>3599</v>
      </c>
      <c r="AO156" t="s" s="0">
        <v>396</v>
      </c>
      <c r="AP156" t="s" s="0">
        <v>104</v>
      </c>
      <c r="AQ156" t="s" s="0">
        <v>632</v>
      </c>
      <c r="AR156" t="s" s="0">
        <v>633</v>
      </c>
      <c r="AS156" t="s" s="0">
        <v>634</v>
      </c>
      <c r="AT156" t="s" s="0">
        <v>4505</v>
      </c>
      <c r="AU156" t="s" s="0">
        <v>4506</v>
      </c>
      <c r="AV156" t="s" s="0">
        <v>84</v>
      </c>
      <c r="AW156" t="s" s="0">
        <v>4507</v>
      </c>
      <c r="AX156" t="s" s="0">
        <v>4508</v>
      </c>
      <c r="AY156" t="s" s="0">
        <v>4294</v>
      </c>
      <c r="AZ156" t="s" s="0">
        <v>201</v>
      </c>
      <c r="BA156" t="s" s="0">
        <v>538</v>
      </c>
      <c r="BB156" t="s" s="0">
        <v>116</v>
      </c>
      <c r="BC156" t="s" s="0">
        <v>84</v>
      </c>
      <c r="BD156" t="s" s="0">
        <v>84</v>
      </c>
      <c r="BE156" t="s" s="0">
        <v>84</v>
      </c>
      <c r="BF156" t="s" s="0">
        <v>84</v>
      </c>
      <c r="BG156" t="s" s="0">
        <v>701</v>
      </c>
      <c r="BH156" t="s" s="0">
        <v>1117</v>
      </c>
      <c r="BI156" t="s" s="0">
        <v>84</v>
      </c>
      <c r="BJ156" t="s" s="0">
        <v>4509</v>
      </c>
      <c r="BK156" t="s" s="309">
        <f>HYPERLINK("http://dx.doi.org/10.1016/j.gpb.2017.07.003","http://dx.doi.org/10.1016/j.gpb.2017.07.003")</f>
        <v>4510</v>
      </c>
      <c r="BL156" t="s" s="0">
        <v>84</v>
      </c>
      <c r="BM156" t="s" s="0">
        <v>84</v>
      </c>
      <c r="BN156" t="s" s="0">
        <v>538</v>
      </c>
      <c r="BO156" t="s" s="0">
        <v>2202</v>
      </c>
      <c r="BP156" t="s" s="0">
        <v>2202</v>
      </c>
      <c r="BQ156" t="s" s="0">
        <v>4511</v>
      </c>
      <c r="BR156" t="s" s="0">
        <v>4512</v>
      </c>
      <c r="BS156" t="s" s="0">
        <v>4513</v>
      </c>
      <c r="BT156" t="s" s="310">
        <f>HYPERLINK("https://www.webofscience.com/wos/woscc/full-record/WOS:000428133100003","View Record in Web of Science")</f>
        <v>127</v>
      </c>
      <c r="BU156" t="s" s="0">
        <v>170</v>
      </c>
      <c r="BV156" t="s" s="0">
        <v>84</v>
      </c>
      <c r="BW156" t="s" s="0">
        <v>84</v>
      </c>
      <c r="BX156" t="s" s="0">
        <v>130</v>
      </c>
    </row>
    <row r="157">
      <c r="A157" t="s" s="0">
        <v>242</v>
      </c>
      <c r="B157" t="s" s="0">
        <v>78</v>
      </c>
      <c r="C157" t="s" s="0">
        <v>2035</v>
      </c>
      <c r="D157" t="s" s="0">
        <v>116</v>
      </c>
      <c r="E157" t="s" s="0">
        <v>4514</v>
      </c>
      <c r="F157" t="s" s="0">
        <v>4515</v>
      </c>
      <c r="G157" t="s" s="0">
        <v>4516</v>
      </c>
      <c r="H157" t="s" s="0">
        <v>84</v>
      </c>
      <c r="I157" t="s" s="0">
        <v>85</v>
      </c>
      <c r="J157" t="s" s="0">
        <v>4517</v>
      </c>
      <c r="K157" t="s" s="0">
        <v>4518</v>
      </c>
      <c r="L157" t="s" s="0">
        <v>84</v>
      </c>
      <c r="M157" t="s" s="0">
        <v>84</v>
      </c>
      <c r="N157" t="s" s="0">
        <v>84</v>
      </c>
      <c r="O157" t="s" s="0">
        <v>4519</v>
      </c>
      <c r="P157" t="s" s="0">
        <v>84</v>
      </c>
      <c r="Q157" t="s" s="0">
        <v>93</v>
      </c>
      <c r="R157" t="s" s="0">
        <v>84</v>
      </c>
      <c r="S157" t="s" s="0">
        <v>84</v>
      </c>
      <c r="T157" t="s" s="0">
        <v>84</v>
      </c>
      <c r="U157" t="s" s="0">
        <v>84</v>
      </c>
      <c r="V157" t="s" s="0">
        <v>4520</v>
      </c>
      <c r="W157" t="s" s="0">
        <v>2296</v>
      </c>
      <c r="X157" t="s" s="0">
        <v>84</v>
      </c>
      <c r="Y157" t="s" s="0">
        <v>84</v>
      </c>
      <c r="Z157" t="s" s="0">
        <v>96</v>
      </c>
      <c r="AA157" t="s" s="0">
        <v>97</v>
      </c>
      <c r="AB157" t="s" s="0">
        <v>84</v>
      </c>
      <c r="AC157" t="s" s="0">
        <v>84</v>
      </c>
      <c r="AD157" t="s" s="0">
        <v>84</v>
      </c>
      <c r="AE157" t="s" s="0">
        <v>84</v>
      </c>
      <c r="AF157" t="s" s="0">
        <v>84</v>
      </c>
      <c r="AG157" t="s" s="0">
        <v>4521</v>
      </c>
      <c r="AH157" t="s" s="0">
        <v>4522</v>
      </c>
      <c r="AI157" t="s" s="0">
        <v>4523</v>
      </c>
      <c r="AJ157" t="s" s="0">
        <v>4524</v>
      </c>
      <c r="AK157" t="s" s="0">
        <v>84</v>
      </c>
      <c r="AL157" t="s" s="0">
        <v>1786</v>
      </c>
      <c r="AM157" t="s" s="0">
        <v>4525</v>
      </c>
      <c r="AN157" t="s" s="0">
        <v>4526</v>
      </c>
      <c r="AO157" t="s" s="0">
        <v>160</v>
      </c>
      <c r="AP157" t="s" s="0">
        <v>2986</v>
      </c>
      <c r="AQ157" t="s" s="0">
        <v>809</v>
      </c>
      <c r="AR157" t="s" s="0">
        <v>704</v>
      </c>
      <c r="AS157" t="s" s="0">
        <v>810</v>
      </c>
      <c r="AT157" t="s" s="0">
        <v>2301</v>
      </c>
      <c r="AU157" t="s" s="0">
        <v>2302</v>
      </c>
      <c r="AV157" t="s" s="0">
        <v>84</v>
      </c>
      <c r="AW157" t="s" s="0">
        <v>2303</v>
      </c>
      <c r="AX157" t="s" s="0">
        <v>2304</v>
      </c>
      <c r="AY157" t="s" s="0">
        <v>3425</v>
      </c>
      <c r="AZ157" t="s" s="0">
        <v>3426</v>
      </c>
      <c r="BA157" t="s" s="0">
        <v>242</v>
      </c>
      <c r="BB157" t="s" s="0">
        <v>116</v>
      </c>
      <c r="BC157" t="s" s="0">
        <v>84</v>
      </c>
      <c r="BD157" t="s" s="0">
        <v>84</v>
      </c>
      <c r="BE157" t="s" s="0">
        <v>84</v>
      </c>
      <c r="BF157" t="s" s="0">
        <v>84</v>
      </c>
      <c r="BG157" t="s" s="0">
        <v>207</v>
      </c>
      <c r="BH157" t="s" s="0">
        <v>521</v>
      </c>
      <c r="BI157" t="s" s="0">
        <v>84</v>
      </c>
      <c r="BJ157" t="s" s="0">
        <v>4527</v>
      </c>
      <c r="BK157" t="s" s="311">
        <f>HYPERLINK("http://dx.doi.org/10.1007/s13735-021-00218-1","http://dx.doi.org/10.1007/s13735-021-00218-1")</f>
        <v>4528</v>
      </c>
      <c r="BL157" t="s" s="0">
        <v>84</v>
      </c>
      <c r="BM157" t="s" s="0">
        <v>3244</v>
      </c>
      <c r="BN157" t="s" s="0">
        <v>604</v>
      </c>
      <c r="BO157" t="s" s="0">
        <v>2308</v>
      </c>
      <c r="BP157" t="s" s="0">
        <v>166</v>
      </c>
      <c r="BQ157" t="s" s="0">
        <v>4529</v>
      </c>
      <c r="BR157" t="s" s="0">
        <v>4530</v>
      </c>
      <c r="BS157" t="s" s="0">
        <v>4531</v>
      </c>
      <c r="BT157" t="s" s="312">
        <f>HYPERLINK("https://www.webofscience.com/wos/woscc/full-record/WOS:000692438200001","View Record in Web of Science")</f>
        <v>127</v>
      </c>
      <c r="BU157" t="s" s="0">
        <v>1916</v>
      </c>
      <c r="BV157" t="s" s="0">
        <v>128</v>
      </c>
      <c r="BW157" t="s" s="0">
        <v>129</v>
      </c>
      <c r="BX157" t="s" s="0">
        <v>130</v>
      </c>
    </row>
    <row r="158">
      <c r="A158" t="s" s="0">
        <v>133</v>
      </c>
      <c r="B158" t="s" s="0">
        <v>78</v>
      </c>
      <c r="C158" t="s" s="0">
        <v>4532</v>
      </c>
      <c r="D158" t="s" s="0">
        <v>78</v>
      </c>
      <c r="E158" t="s" s="0">
        <v>4533</v>
      </c>
      <c r="F158" t="s" s="0">
        <v>4534</v>
      </c>
      <c r="G158" t="s" s="0">
        <v>4535</v>
      </c>
      <c r="H158" t="s" s="0">
        <v>84</v>
      </c>
      <c r="I158" t="s" s="0">
        <v>85</v>
      </c>
      <c r="J158" t="s" s="0">
        <v>4536</v>
      </c>
      <c r="K158" t="s" s="0">
        <v>4537</v>
      </c>
      <c r="L158" t="s" s="0">
        <v>4538</v>
      </c>
      <c r="M158" t="s" s="0">
        <v>4539</v>
      </c>
      <c r="N158" t="s" s="0">
        <v>4540</v>
      </c>
      <c r="O158" t="s" s="0">
        <v>4541</v>
      </c>
      <c r="P158" t="s" s="0">
        <v>3995</v>
      </c>
      <c r="Q158" t="s" s="0">
        <v>93</v>
      </c>
      <c r="R158" t="s" s="0">
        <v>84</v>
      </c>
      <c r="S158" t="s" s="0">
        <v>84</v>
      </c>
      <c r="T158" t="s" s="0">
        <v>84</v>
      </c>
      <c r="U158" t="s" s="0">
        <v>84</v>
      </c>
      <c r="V158" t="s" s="0">
        <v>4542</v>
      </c>
      <c r="W158" t="s" s="0">
        <v>4543</v>
      </c>
      <c r="X158" t="s" s="0">
        <v>84</v>
      </c>
      <c r="Y158" t="s" s="0">
        <v>84</v>
      </c>
      <c r="Z158" t="s" s="0">
        <v>96</v>
      </c>
      <c r="AA158" t="s" s="0">
        <v>97</v>
      </c>
      <c r="AB158" t="s" s="0">
        <v>84</v>
      </c>
      <c r="AC158" t="s" s="0">
        <v>84</v>
      </c>
      <c r="AD158" t="s" s="0">
        <v>84</v>
      </c>
      <c r="AE158" t="s" s="0">
        <v>84</v>
      </c>
      <c r="AF158" t="s" s="0">
        <v>84</v>
      </c>
      <c r="AG158" t="s" s="0">
        <v>84</v>
      </c>
      <c r="AH158" t="s" s="0">
        <v>4544</v>
      </c>
      <c r="AI158" t="s" s="0">
        <v>4545</v>
      </c>
      <c r="AJ158" t="s" s="0">
        <v>4546</v>
      </c>
      <c r="AK158" t="s" s="0">
        <v>84</v>
      </c>
      <c r="AL158" t="s" s="0">
        <v>1876</v>
      </c>
      <c r="AM158" t="s" s="0">
        <v>4525</v>
      </c>
      <c r="AN158" t="s" s="0">
        <v>4526</v>
      </c>
      <c r="AO158" t="s" s="0">
        <v>214</v>
      </c>
      <c r="AP158" t="s" s="0">
        <v>1687</v>
      </c>
      <c r="AQ158" t="s" s="0">
        <v>632</v>
      </c>
      <c r="AR158" t="s" s="0">
        <v>633</v>
      </c>
      <c r="AS158" t="s" s="0">
        <v>634</v>
      </c>
      <c r="AT158" t="s" s="0">
        <v>4547</v>
      </c>
      <c r="AU158" t="s" s="0">
        <v>4548</v>
      </c>
      <c r="AV158" t="s" s="0">
        <v>84</v>
      </c>
      <c r="AW158" t="s" s="0">
        <v>4549</v>
      </c>
      <c r="AX158" t="s" s="0">
        <v>4550</v>
      </c>
      <c r="AY158" t="s" s="0">
        <v>4551</v>
      </c>
      <c r="AZ158" t="s" s="0">
        <v>201</v>
      </c>
      <c r="BA158" t="s" s="0">
        <v>1942</v>
      </c>
      <c r="BB158" t="s" s="0">
        <v>604</v>
      </c>
      <c r="BC158" t="s" s="0">
        <v>84</v>
      </c>
      <c r="BD158" t="s" s="0">
        <v>84</v>
      </c>
      <c r="BE158" t="s" s="0">
        <v>84</v>
      </c>
      <c r="BF158" t="s" s="0">
        <v>84</v>
      </c>
      <c r="BG158" t="s" s="0">
        <v>4552</v>
      </c>
      <c r="BH158" t="s" s="0">
        <v>4553</v>
      </c>
      <c r="BI158" t="s" s="0">
        <v>84</v>
      </c>
      <c r="BJ158" t="s" s="0">
        <v>4554</v>
      </c>
      <c r="BK158" t="s" s="313">
        <f>HYPERLINK("http://dx.doi.org/10.1093/nar/gky889","http://dx.doi.org/10.1093/nar/gky889")</f>
        <v>4555</v>
      </c>
      <c r="BL158" t="s" s="0">
        <v>84</v>
      </c>
      <c r="BM158" t="s" s="0">
        <v>84</v>
      </c>
      <c r="BN158" t="s" s="0">
        <v>701</v>
      </c>
      <c r="BO158" t="s" s="0">
        <v>4556</v>
      </c>
      <c r="BP158" t="s" s="0">
        <v>4556</v>
      </c>
      <c r="BQ158" t="s" s="0">
        <v>4557</v>
      </c>
      <c r="BR158" t="s" s="0">
        <v>4558</v>
      </c>
      <c r="BS158" t="s" s="0">
        <v>4559</v>
      </c>
      <c r="BT158" t="s" s="314">
        <f>HYPERLINK("https://www.webofscience.com/wos/woscc/full-record/WOS:000456709700008","View Record in Web of Science")</f>
        <v>127</v>
      </c>
      <c r="BU158" t="s" s="0">
        <v>170</v>
      </c>
      <c r="BV158" t="s" s="0">
        <v>128</v>
      </c>
      <c r="BW158" t="s" s="0">
        <v>129</v>
      </c>
      <c r="BX158" t="s" s="0">
        <v>130</v>
      </c>
    </row>
    <row r="159">
      <c r="A159" t="s" s="0">
        <v>280</v>
      </c>
      <c r="B159" t="s" s="0">
        <v>78</v>
      </c>
      <c r="C159" t="s" s="0">
        <v>4560</v>
      </c>
      <c r="D159" t="s" s="0">
        <v>116</v>
      </c>
      <c r="E159" t="s" s="0">
        <v>4561</v>
      </c>
      <c r="F159" t="s" s="0">
        <v>4562</v>
      </c>
      <c r="G159" t="s" s="0">
        <v>4563</v>
      </c>
      <c r="H159" t="s" s="0">
        <v>84</v>
      </c>
      <c r="I159" t="s" s="0">
        <v>1100</v>
      </c>
      <c r="J159" t="s" s="0">
        <v>4564</v>
      </c>
      <c r="K159" t="s" s="0">
        <v>4565</v>
      </c>
      <c r="L159" t="s" s="0">
        <v>4566</v>
      </c>
      <c r="M159" t="s" s="0">
        <v>4567</v>
      </c>
      <c r="N159" t="s" s="0">
        <v>4568</v>
      </c>
      <c r="O159" t="s" s="0">
        <v>4569</v>
      </c>
      <c r="P159" t="s" s="0">
        <v>4570</v>
      </c>
      <c r="Q159" t="s" s="0">
        <v>93</v>
      </c>
      <c r="R159" t="s" s="0">
        <v>84</v>
      </c>
      <c r="S159" t="s" s="0">
        <v>84</v>
      </c>
      <c r="T159" t="s" s="0">
        <v>84</v>
      </c>
      <c r="U159" t="s" s="0">
        <v>84</v>
      </c>
      <c r="V159" t="s" s="0">
        <v>4571</v>
      </c>
      <c r="W159" t="s" s="0">
        <v>4572</v>
      </c>
      <c r="X159" t="s" s="0">
        <v>84</v>
      </c>
      <c r="Y159" t="s" s="0">
        <v>84</v>
      </c>
      <c r="Z159" t="s" s="0">
        <v>96</v>
      </c>
      <c r="AA159" t="s" s="0">
        <v>97</v>
      </c>
      <c r="AB159" t="s" s="0">
        <v>84</v>
      </c>
      <c r="AC159" t="s" s="0">
        <v>84</v>
      </c>
      <c r="AD159" t="s" s="0">
        <v>84</v>
      </c>
      <c r="AE159" t="s" s="0">
        <v>84</v>
      </c>
      <c r="AF159" t="s" s="0">
        <v>84</v>
      </c>
      <c r="AG159" t="s" s="0">
        <v>4573</v>
      </c>
      <c r="AH159" t="s" s="0">
        <v>4574</v>
      </c>
      <c r="AI159" t="s" s="0">
        <v>4575</v>
      </c>
      <c r="AJ159" t="s" s="0">
        <v>4576</v>
      </c>
      <c r="AK159" t="s" s="0">
        <v>84</v>
      </c>
      <c r="AL159" t="s" s="0">
        <v>1399</v>
      </c>
      <c r="AM159" t="s" s="0">
        <v>4577</v>
      </c>
      <c r="AN159" t="s" s="0">
        <v>2360</v>
      </c>
      <c r="AO159" t="s" s="0">
        <v>312</v>
      </c>
      <c r="AP159" t="s" s="0">
        <v>4578</v>
      </c>
      <c r="AQ159" t="s" s="0">
        <v>982</v>
      </c>
      <c r="AR159" t="s" s="0">
        <v>983</v>
      </c>
      <c r="AS159" t="s" s="0">
        <v>984</v>
      </c>
      <c r="AT159" t="s" s="0">
        <v>84</v>
      </c>
      <c r="AU159" t="s" s="0">
        <v>4579</v>
      </c>
      <c r="AV159" t="s" s="0">
        <v>84</v>
      </c>
      <c r="AW159" t="s" s="0">
        <v>4572</v>
      </c>
      <c r="AX159" t="s" s="0">
        <v>4580</v>
      </c>
      <c r="AY159" t="s" s="0">
        <v>234</v>
      </c>
      <c r="AZ159" t="s" s="0">
        <v>235</v>
      </c>
      <c r="BA159" t="s" s="0">
        <v>202</v>
      </c>
      <c r="BB159" t="s" s="0">
        <v>202</v>
      </c>
      <c r="BC159" t="s" s="0">
        <v>84</v>
      </c>
      <c r="BD159" t="s" s="0">
        <v>84</v>
      </c>
      <c r="BE159" t="s" s="0">
        <v>84</v>
      </c>
      <c r="BF159" t="s" s="0">
        <v>84</v>
      </c>
      <c r="BG159" t="s" s="0">
        <v>84</v>
      </c>
      <c r="BH159" t="s" s="0">
        <v>84</v>
      </c>
      <c r="BI159" t="s" s="0">
        <v>4581</v>
      </c>
      <c r="BJ159" t="s" s="0">
        <v>4582</v>
      </c>
      <c r="BK159" t="s" s="315">
        <f>HYPERLINK("http://dx.doi.org/10.1002/mco2.315","http://dx.doi.org/10.1002/mco2.315")</f>
        <v>4583</v>
      </c>
      <c r="BL159" t="s" s="0">
        <v>84</v>
      </c>
      <c r="BM159" t="s" s="0">
        <v>84</v>
      </c>
      <c r="BN159" t="s" s="0">
        <v>1117</v>
      </c>
      <c r="BO159" t="s" s="0">
        <v>1238</v>
      </c>
      <c r="BP159" t="s" s="0">
        <v>1239</v>
      </c>
      <c r="BQ159" t="s" s="0">
        <v>4584</v>
      </c>
      <c r="BR159" t="s" s="0">
        <v>4585</v>
      </c>
      <c r="BS159" t="s" s="0">
        <v>4586</v>
      </c>
      <c r="BT159" t="s" s="316">
        <f>HYPERLINK("https://www.webofscience.com/wos/woscc/full-record/WOS:001040080600001","View Record in Web of Science")</f>
        <v>127</v>
      </c>
      <c r="BU159" t="s" s="0">
        <v>170</v>
      </c>
      <c r="BV159" t="s" s="0">
        <v>84</v>
      </c>
      <c r="BW159" t="s" s="0">
        <v>84</v>
      </c>
      <c r="BX159" t="s" s="0">
        <v>130</v>
      </c>
    </row>
    <row r="160">
      <c r="A160" t="s" s="0">
        <v>701</v>
      </c>
      <c r="B160" t="s" s="0">
        <v>78</v>
      </c>
      <c r="C160" t="s" s="0">
        <v>1768</v>
      </c>
      <c r="D160" t="s" s="0">
        <v>396</v>
      </c>
      <c r="E160" t="s" s="0">
        <v>4587</v>
      </c>
      <c r="F160" t="s" s="0">
        <v>4588</v>
      </c>
      <c r="G160" t="s" s="0">
        <v>4589</v>
      </c>
      <c r="H160" t="s" s="0">
        <v>84</v>
      </c>
      <c r="I160" t="s" s="0">
        <v>251</v>
      </c>
      <c r="J160" t="s" s="0">
        <v>4590</v>
      </c>
      <c r="K160" t="s" s="0">
        <v>4591</v>
      </c>
      <c r="L160" t="s" s="0">
        <v>4592</v>
      </c>
      <c r="M160" t="s" s="0">
        <v>4593</v>
      </c>
      <c r="N160" t="s" s="0">
        <v>84</v>
      </c>
      <c r="O160" t="s" s="0">
        <v>4594</v>
      </c>
      <c r="P160" t="s" s="0">
        <v>4595</v>
      </c>
      <c r="Q160" t="s" s="0">
        <v>93</v>
      </c>
      <c r="R160" t="s" s="0">
        <v>84</v>
      </c>
      <c r="S160" t="s" s="0">
        <v>84</v>
      </c>
      <c r="T160" t="s" s="0">
        <v>84</v>
      </c>
      <c r="U160" t="s" s="0">
        <v>84</v>
      </c>
      <c r="V160" t="s" s="0">
        <v>4596</v>
      </c>
      <c r="W160" t="s" s="0">
        <v>4597</v>
      </c>
      <c r="X160" t="s" s="0">
        <v>84</v>
      </c>
      <c r="Y160" t="s" s="0">
        <v>84</v>
      </c>
      <c r="Z160" t="s" s="0">
        <v>96</v>
      </c>
      <c r="AA160" t="s" s="0">
        <v>97</v>
      </c>
      <c r="AB160" t="s" s="0">
        <v>84</v>
      </c>
      <c r="AC160" t="s" s="0">
        <v>84</v>
      </c>
      <c r="AD160" t="s" s="0">
        <v>84</v>
      </c>
      <c r="AE160" t="s" s="0">
        <v>84</v>
      </c>
      <c r="AF160" t="s" s="0">
        <v>84</v>
      </c>
      <c r="AG160" t="s" s="0">
        <v>84</v>
      </c>
      <c r="AH160" t="s" s="0">
        <v>4598</v>
      </c>
      <c r="AI160" t="s" s="0">
        <v>4599</v>
      </c>
      <c r="AJ160" t="s" s="0">
        <v>4600</v>
      </c>
      <c r="AK160" t="s" s="0">
        <v>84</v>
      </c>
      <c r="AL160" t="s" s="0">
        <v>2256</v>
      </c>
      <c r="AM160" t="s" s="0">
        <v>1483</v>
      </c>
      <c r="AN160" t="s" s="0">
        <v>4420</v>
      </c>
      <c r="AO160" t="s" s="0">
        <v>214</v>
      </c>
      <c r="AP160" t="s" s="0">
        <v>286</v>
      </c>
      <c r="AQ160" t="s" s="0">
        <v>106</v>
      </c>
      <c r="AR160" t="s" s="0">
        <v>107</v>
      </c>
      <c r="AS160" t="s" s="0">
        <v>108</v>
      </c>
      <c r="AT160" t="s" s="0">
        <v>4601</v>
      </c>
      <c r="AU160" t="s" s="0">
        <v>4602</v>
      </c>
      <c r="AV160" t="s" s="0">
        <v>84</v>
      </c>
      <c r="AW160" t="s" s="0">
        <v>4603</v>
      </c>
      <c r="AX160" t="s" s="0">
        <v>4604</v>
      </c>
      <c r="AY160" t="s" s="0">
        <v>4605</v>
      </c>
      <c r="AZ160" t="s" s="0">
        <v>351</v>
      </c>
      <c r="BA160" t="s" s="0">
        <v>538</v>
      </c>
      <c r="BB160" t="s" s="0">
        <v>160</v>
      </c>
      <c r="BC160" t="s" s="0">
        <v>84</v>
      </c>
      <c r="BD160" t="s" s="0">
        <v>84</v>
      </c>
      <c r="BE160" t="s" s="0">
        <v>84</v>
      </c>
      <c r="BF160" t="s" s="0">
        <v>84</v>
      </c>
      <c r="BG160" t="s" s="0">
        <v>4606</v>
      </c>
      <c r="BH160" t="s" s="0">
        <v>1243</v>
      </c>
      <c r="BI160" t="s" s="0">
        <v>84</v>
      </c>
      <c r="BJ160" t="s" s="0">
        <v>4607</v>
      </c>
      <c r="BK160" t="s" s="317">
        <f>HYPERLINK("http://dx.doi.org/10.1038/s41582-020-0377-8","http://dx.doi.org/10.1038/s41582-020-0377-8")</f>
        <v>4608</v>
      </c>
      <c r="BL160" t="s" s="0">
        <v>84</v>
      </c>
      <c r="BM160" t="s" s="0">
        <v>1761</v>
      </c>
      <c r="BN160" t="s" s="0">
        <v>701</v>
      </c>
      <c r="BO160" t="s" s="0">
        <v>1681</v>
      </c>
      <c r="BP160" t="s" s="0">
        <v>1682</v>
      </c>
      <c r="BQ160" t="s" s="0">
        <v>4609</v>
      </c>
      <c r="BR160" t="s" s="0">
        <v>4610</v>
      </c>
      <c r="BS160" t="s" s="0">
        <v>4611</v>
      </c>
      <c r="BT160" t="s" s="318">
        <f>HYPERLINK("https://www.webofscience.com/wos/woscc/full-record/WOS:000548827900001","View Record in Web of Science")</f>
        <v>127</v>
      </c>
      <c r="BU160" t="s" s="0">
        <v>84</v>
      </c>
      <c r="BV160" t="s" s="0">
        <v>128</v>
      </c>
      <c r="BW160" t="s" s="0">
        <v>129</v>
      </c>
      <c r="BX160" t="s" s="0">
        <v>130</v>
      </c>
    </row>
    <row r="161">
      <c r="A161" t="s" s="0">
        <v>192</v>
      </c>
      <c r="B161" t="s" s="0">
        <v>78</v>
      </c>
      <c r="C161" t="s" s="0">
        <v>2325</v>
      </c>
      <c r="D161" t="s" s="0">
        <v>396</v>
      </c>
      <c r="E161" t="s" s="0">
        <v>4612</v>
      </c>
      <c r="F161" t="s" s="0">
        <v>4613</v>
      </c>
      <c r="G161" t="s" s="0">
        <v>4614</v>
      </c>
      <c r="H161" t="s" s="0">
        <v>84</v>
      </c>
      <c r="I161" t="s" s="0">
        <v>85</v>
      </c>
      <c r="J161" t="s" s="0">
        <v>4615</v>
      </c>
      <c r="K161" t="s" s="0">
        <v>1185</v>
      </c>
      <c r="L161" t="s" s="0">
        <v>4616</v>
      </c>
      <c r="M161" t="s" s="0">
        <v>4617</v>
      </c>
      <c r="N161" t="s" s="0">
        <v>4618</v>
      </c>
      <c r="O161" t="s" s="0">
        <v>4619</v>
      </c>
      <c r="P161" t="s" s="0">
        <v>4620</v>
      </c>
      <c r="Q161" t="s" s="0">
        <v>93</v>
      </c>
      <c r="R161" t="s" s="0">
        <v>84</v>
      </c>
      <c r="S161" t="s" s="0">
        <v>84</v>
      </c>
      <c r="T161" t="s" s="0">
        <v>84</v>
      </c>
      <c r="U161" t="s" s="0">
        <v>84</v>
      </c>
      <c r="V161" t="s" s="0">
        <v>4621</v>
      </c>
      <c r="W161" t="s" s="0">
        <v>2760</v>
      </c>
      <c r="X161" t="s" s="0">
        <v>84</v>
      </c>
      <c r="Y161" t="s" s="0">
        <v>84</v>
      </c>
      <c r="Z161" t="s" s="0">
        <v>96</v>
      </c>
      <c r="AA161" t="s" s="0">
        <v>97</v>
      </c>
      <c r="AB161" t="s" s="0">
        <v>84</v>
      </c>
      <c r="AC161" t="s" s="0">
        <v>84</v>
      </c>
      <c r="AD161" t="s" s="0">
        <v>84</v>
      </c>
      <c r="AE161" t="s" s="0">
        <v>84</v>
      </c>
      <c r="AF161" t="s" s="0">
        <v>84</v>
      </c>
      <c r="AG161" t="s" s="0">
        <v>84</v>
      </c>
      <c r="AH161" t="s" s="0">
        <v>4622</v>
      </c>
      <c r="AI161" t="s" s="0">
        <v>4623</v>
      </c>
      <c r="AJ161" t="s" s="0">
        <v>4624</v>
      </c>
      <c r="AK161" t="s" s="0">
        <v>84</v>
      </c>
      <c r="AL161" t="s" s="0">
        <v>518</v>
      </c>
      <c r="AM161" t="s" s="0">
        <v>1483</v>
      </c>
      <c r="AN161" t="s" s="0">
        <v>4625</v>
      </c>
      <c r="AO161" t="s" s="0">
        <v>242</v>
      </c>
      <c r="AP161" t="s" s="0">
        <v>4626</v>
      </c>
      <c r="AQ161" t="s" s="0">
        <v>2062</v>
      </c>
      <c r="AR161" t="s" s="0">
        <v>633</v>
      </c>
      <c r="AS161" t="s" s="0">
        <v>2063</v>
      </c>
      <c r="AT161" t="s" s="0">
        <v>2769</v>
      </c>
      <c r="AU161" t="s" s="0">
        <v>2770</v>
      </c>
      <c r="AV161" t="s" s="0">
        <v>84</v>
      </c>
      <c r="AW161" t="s" s="0">
        <v>2771</v>
      </c>
      <c r="AX161" t="s" s="0">
        <v>2772</v>
      </c>
      <c r="AY161" t="s" s="0">
        <v>2714</v>
      </c>
      <c r="AZ161" t="s" s="0">
        <v>114</v>
      </c>
      <c r="BA161" t="s" s="0">
        <v>1197</v>
      </c>
      <c r="BB161" t="s" s="0">
        <v>84</v>
      </c>
      <c r="BC161" t="s" s="0">
        <v>84</v>
      </c>
      <c r="BD161" t="s" s="0">
        <v>84</v>
      </c>
      <c r="BE161" t="s" s="0">
        <v>84</v>
      </c>
      <c r="BF161" t="s" s="0">
        <v>84</v>
      </c>
      <c r="BG161" t="s" s="0">
        <v>84</v>
      </c>
      <c r="BH161" t="s" s="0">
        <v>84</v>
      </c>
      <c r="BI161" t="s" s="0">
        <v>4627</v>
      </c>
      <c r="BJ161" t="s" s="0">
        <v>4628</v>
      </c>
      <c r="BK161" t="s" s="319">
        <f>HYPERLINK("http://dx.doi.org/10.1016/j.preteyeres.2019.04.003","http://dx.doi.org/10.1016/j.preteyeres.2019.04.003")</f>
        <v>4629</v>
      </c>
      <c r="BL161" t="s" s="0">
        <v>84</v>
      </c>
      <c r="BM161" t="s" s="0">
        <v>84</v>
      </c>
      <c r="BN161" t="s" s="0">
        <v>264</v>
      </c>
      <c r="BO161" t="s" s="0">
        <v>1209</v>
      </c>
      <c r="BP161" t="s" s="0">
        <v>1209</v>
      </c>
      <c r="BQ161" t="s" s="0">
        <v>4630</v>
      </c>
      <c r="BR161" t="s" s="0">
        <v>4631</v>
      </c>
      <c r="BS161" t="s" s="0">
        <v>4632</v>
      </c>
      <c r="BT161" t="s" s="320">
        <f>HYPERLINK("https://www.webofscience.com/wos/woscc/full-record/WOS:000488311400001","View Record in Web of Science")</f>
        <v>127</v>
      </c>
      <c r="BU161" t="s" s="0">
        <v>321</v>
      </c>
      <c r="BV161" t="s" s="0">
        <v>128</v>
      </c>
      <c r="BW161" t="s" s="0">
        <v>129</v>
      </c>
      <c r="BX161" t="s" s="0">
        <v>130</v>
      </c>
    </row>
    <row r="162">
      <c r="A162" t="s" s="0">
        <v>604</v>
      </c>
      <c r="B162" t="s" s="0">
        <v>78</v>
      </c>
      <c r="C162" t="s" s="0">
        <v>3193</v>
      </c>
      <c r="D162" t="s" s="0">
        <v>787</v>
      </c>
      <c r="E162" t="s" s="0">
        <v>4633</v>
      </c>
      <c r="F162" t="s" s="0">
        <v>4634</v>
      </c>
      <c r="G162" t="s" s="0">
        <v>4635</v>
      </c>
      <c r="H162" t="s" s="0">
        <v>84</v>
      </c>
      <c r="I162" t="s" s="0">
        <v>251</v>
      </c>
      <c r="J162" t="s" s="0">
        <v>4636</v>
      </c>
      <c r="K162" t="s" s="0">
        <v>4637</v>
      </c>
      <c r="L162" t="s" s="0">
        <v>4638</v>
      </c>
      <c r="M162" t="s" s="0">
        <v>4639</v>
      </c>
      <c r="N162" t="s" s="0">
        <v>4640</v>
      </c>
      <c r="O162" t="s" s="0">
        <v>4641</v>
      </c>
      <c r="P162" t="s" s="0">
        <v>4642</v>
      </c>
      <c r="Q162" t="s" s="0">
        <v>93</v>
      </c>
      <c r="R162" t="s" s="0">
        <v>84</v>
      </c>
      <c r="S162" t="s" s="0">
        <v>84</v>
      </c>
      <c r="T162" t="s" s="0">
        <v>84</v>
      </c>
      <c r="U162" t="s" s="0">
        <v>84</v>
      </c>
      <c r="V162" t="s" s="0">
        <v>4643</v>
      </c>
      <c r="W162" t="s" s="0">
        <v>4644</v>
      </c>
      <c r="X162" t="s" s="0">
        <v>84</v>
      </c>
      <c r="Y162" t="s" s="0">
        <v>84</v>
      </c>
      <c r="Z162" t="s" s="0">
        <v>96</v>
      </c>
      <c r="AA162" t="s" s="0">
        <v>97</v>
      </c>
      <c r="AB162" t="s" s="0">
        <v>84</v>
      </c>
      <c r="AC162" t="s" s="0">
        <v>84</v>
      </c>
      <c r="AD162" t="s" s="0">
        <v>84</v>
      </c>
      <c r="AE162" t="s" s="0">
        <v>84</v>
      </c>
      <c r="AF162" t="s" s="0">
        <v>84</v>
      </c>
      <c r="AG162" t="s" s="0">
        <v>4645</v>
      </c>
      <c r="AH162" t="s" s="0">
        <v>4646</v>
      </c>
      <c r="AI162" t="s" s="0">
        <v>4647</v>
      </c>
      <c r="AJ162" t="s" s="0">
        <v>4648</v>
      </c>
      <c r="AK162" t="s" s="0">
        <v>84</v>
      </c>
      <c r="AL162" t="s" s="0">
        <v>3264</v>
      </c>
      <c r="AM162" t="s" s="0">
        <v>4649</v>
      </c>
      <c r="AN162" t="s" s="0">
        <v>4650</v>
      </c>
      <c r="AO162" t="s" s="0">
        <v>787</v>
      </c>
      <c r="AP162" t="s" s="0">
        <v>710</v>
      </c>
      <c r="AQ162" t="s" s="0">
        <v>1261</v>
      </c>
      <c r="AR162" t="s" s="0">
        <v>1262</v>
      </c>
      <c r="AS162" t="s" s="0">
        <v>1263</v>
      </c>
      <c r="AT162" t="s" s="0">
        <v>4651</v>
      </c>
      <c r="AU162" t="s" s="0">
        <v>4652</v>
      </c>
      <c r="AV162" t="s" s="0">
        <v>84</v>
      </c>
      <c r="AW162" t="s" s="0">
        <v>4653</v>
      </c>
      <c r="AX162" t="s" s="0">
        <v>4654</v>
      </c>
      <c r="AY162" t="s" s="0">
        <v>2687</v>
      </c>
      <c r="AZ162" t="s" s="0">
        <v>351</v>
      </c>
      <c r="BA162" t="s" s="0">
        <v>755</v>
      </c>
      <c r="BB162" t="s" s="0">
        <v>214</v>
      </c>
      <c r="BC162" t="s" s="0">
        <v>84</v>
      </c>
      <c r="BD162" t="s" s="0">
        <v>84</v>
      </c>
      <c r="BE162" t="s" s="0">
        <v>84</v>
      </c>
      <c r="BF162" t="s" s="0">
        <v>84</v>
      </c>
      <c r="BG162" t="s" s="0">
        <v>2790</v>
      </c>
      <c r="BH162" t="s" s="0">
        <v>2656</v>
      </c>
      <c r="BI162" t="s" s="0">
        <v>84</v>
      </c>
      <c r="BJ162" t="s" s="0">
        <v>4655</v>
      </c>
      <c r="BK162" t="s" s="321">
        <f>HYPERLINK("http://dx.doi.org/10.1016/j.cmi.2019.09.009","http://dx.doi.org/10.1016/j.cmi.2019.09.009")</f>
        <v>4656</v>
      </c>
      <c r="BL162" t="s" s="0">
        <v>84</v>
      </c>
      <c r="BM162" t="s" s="0">
        <v>84</v>
      </c>
      <c r="BN162" t="s" s="0">
        <v>280</v>
      </c>
      <c r="BO162" t="s" s="0">
        <v>4657</v>
      </c>
      <c r="BP162" t="s" s="0">
        <v>4657</v>
      </c>
      <c r="BQ162" t="s" s="0">
        <v>4658</v>
      </c>
      <c r="BR162" t="s" s="0">
        <v>4659</v>
      </c>
      <c r="BS162" t="s" s="0">
        <v>4660</v>
      </c>
      <c r="BT162" t="s" s="322">
        <f>HYPERLINK("https://www.webofscience.com/wos/woscc/full-record/WOS:000532069100011","View Record in Web of Science")</f>
        <v>127</v>
      </c>
      <c r="BU162" t="s" s="0">
        <v>1851</v>
      </c>
      <c r="BV162" t="s" s="0">
        <v>84</v>
      </c>
      <c r="BW162" t="s" s="0">
        <v>84</v>
      </c>
      <c r="BX162" t="s" s="0">
        <v>130</v>
      </c>
    </row>
    <row r="163">
      <c r="A163" t="s" s="0">
        <v>280</v>
      </c>
      <c r="B163" t="s" s="0">
        <v>78</v>
      </c>
      <c r="C163" t="s" s="0">
        <v>1377</v>
      </c>
      <c r="D163" t="s" s="0">
        <v>459</v>
      </c>
      <c r="E163" t="s" s="0">
        <v>4661</v>
      </c>
      <c r="F163" t="s" s="0">
        <v>4662</v>
      </c>
      <c r="G163" t="s" s="0">
        <v>4663</v>
      </c>
      <c r="H163" t="s" s="0">
        <v>84</v>
      </c>
      <c r="I163" t="s" s="0">
        <v>85</v>
      </c>
      <c r="J163" t="s" s="0">
        <v>4664</v>
      </c>
      <c r="K163" t="s" s="0">
        <v>4665</v>
      </c>
      <c r="L163" t="s" s="0">
        <v>84</v>
      </c>
      <c r="M163" t="s" s="0">
        <v>84</v>
      </c>
      <c r="N163" t="s" s="0">
        <v>84</v>
      </c>
      <c r="O163" t="s" s="0">
        <v>4666</v>
      </c>
      <c r="P163" t="s" s="0">
        <v>4667</v>
      </c>
      <c r="Q163" t="s" s="0">
        <v>93</v>
      </c>
      <c r="R163" t="s" s="0">
        <v>84</v>
      </c>
      <c r="S163" t="s" s="0">
        <v>84</v>
      </c>
      <c r="T163" t="s" s="0">
        <v>84</v>
      </c>
      <c r="U163" t="s" s="0">
        <v>84</v>
      </c>
      <c r="V163" t="s" s="0">
        <v>4668</v>
      </c>
      <c r="W163" t="s" s="0">
        <v>4669</v>
      </c>
      <c r="X163" t="s" s="0">
        <v>84</v>
      </c>
      <c r="Y163" t="s" s="0">
        <v>84</v>
      </c>
      <c r="Z163" t="s" s="0">
        <v>96</v>
      </c>
      <c r="AA163" t="s" s="0">
        <v>97</v>
      </c>
      <c r="AB163" t="s" s="0">
        <v>84</v>
      </c>
      <c r="AC163" t="s" s="0">
        <v>84</v>
      </c>
      <c r="AD163" t="s" s="0">
        <v>84</v>
      </c>
      <c r="AE163" t="s" s="0">
        <v>84</v>
      </c>
      <c r="AF163" t="s" s="0">
        <v>84</v>
      </c>
      <c r="AG163" t="s" s="0">
        <v>4670</v>
      </c>
      <c r="AH163" t="s" s="0">
        <v>4671</v>
      </c>
      <c r="AI163" t="s" s="0">
        <v>4672</v>
      </c>
      <c r="AJ163" t="s" s="0">
        <v>4673</v>
      </c>
      <c r="AK163" t="s" s="0">
        <v>84</v>
      </c>
      <c r="AL163" t="s" s="0">
        <v>568</v>
      </c>
      <c r="AM163" t="s" s="0">
        <v>4674</v>
      </c>
      <c r="AN163" t="s" s="0">
        <v>1382</v>
      </c>
      <c r="AO163" t="s" s="0">
        <v>121</v>
      </c>
      <c r="AP163" t="s" s="0">
        <v>1322</v>
      </c>
      <c r="AQ163" t="s" s="0">
        <v>4675</v>
      </c>
      <c r="AR163" t="s" s="0">
        <v>4676</v>
      </c>
      <c r="AS163" t="s" s="0">
        <v>4677</v>
      </c>
      <c r="AT163" t="s" s="0">
        <v>4678</v>
      </c>
      <c r="AU163" t="s" s="0">
        <v>4679</v>
      </c>
      <c r="AV163" t="s" s="0">
        <v>84</v>
      </c>
      <c r="AW163" t="s" s="0">
        <v>4680</v>
      </c>
      <c r="AX163" t="s" s="0">
        <v>4681</v>
      </c>
      <c r="AY163" t="s" s="0">
        <v>385</v>
      </c>
      <c r="AZ163" t="s" s="0">
        <v>159</v>
      </c>
      <c r="BA163" t="s" s="0">
        <v>538</v>
      </c>
      <c r="BB163" t="s" s="0">
        <v>116</v>
      </c>
      <c r="BC163" t="s" s="0">
        <v>84</v>
      </c>
      <c r="BD163" t="s" s="0">
        <v>84</v>
      </c>
      <c r="BE163" t="s" s="0">
        <v>84</v>
      </c>
      <c r="BF163" t="s" s="0">
        <v>84</v>
      </c>
      <c r="BG163" t="s" s="0">
        <v>3423</v>
      </c>
      <c r="BH163" t="s" s="0">
        <v>343</v>
      </c>
      <c r="BI163" t="s" s="0">
        <v>84</v>
      </c>
      <c r="BJ163" t="s" s="0">
        <v>4682</v>
      </c>
      <c r="BK163" t="s" s="323">
        <f>HYPERLINK("http://dx.doi.org/10.1016/j.jds.2020.06.019","http://dx.doi.org/10.1016/j.jds.2020.06.019")</f>
        <v>4683</v>
      </c>
      <c r="BL163" t="s" s="0">
        <v>84</v>
      </c>
      <c r="BM163" t="s" s="0">
        <v>84</v>
      </c>
      <c r="BN163" t="s" s="0">
        <v>133</v>
      </c>
      <c r="BO163" t="s" s="0">
        <v>4684</v>
      </c>
      <c r="BP163" t="s" s="0">
        <v>4684</v>
      </c>
      <c r="BQ163" t="s" s="0">
        <v>4685</v>
      </c>
      <c r="BR163" t="s" s="0">
        <v>4686</v>
      </c>
      <c r="BS163" t="s" s="0">
        <v>4687</v>
      </c>
      <c r="BT163" t="s" s="324">
        <f>HYPERLINK("https://www.webofscience.com/wos/woscc/full-record/WOS:000604780000026","View Record in Web of Science")</f>
        <v>127</v>
      </c>
      <c r="BU163" t="s" s="0">
        <v>170</v>
      </c>
      <c r="BV163" t="s" s="0">
        <v>128</v>
      </c>
      <c r="BW163" t="s" s="0">
        <v>129</v>
      </c>
      <c r="BX163" t="s" s="0">
        <v>130</v>
      </c>
    </row>
    <row r="164">
      <c r="A164" t="s" s="0">
        <v>202</v>
      </c>
      <c r="B164" t="s" s="0">
        <v>78</v>
      </c>
      <c r="C164" t="s" s="0">
        <v>4688</v>
      </c>
      <c r="D164" t="s" s="0">
        <v>78</v>
      </c>
      <c r="E164" t="s" s="0">
        <v>4689</v>
      </c>
      <c r="F164" t="s" s="0">
        <v>4690</v>
      </c>
      <c r="G164" t="s" s="0">
        <v>4691</v>
      </c>
      <c r="H164" t="s" s="0">
        <v>84</v>
      </c>
      <c r="I164" t="s" s="0">
        <v>85</v>
      </c>
      <c r="J164" t="s" s="0">
        <v>4692</v>
      </c>
      <c r="K164" t="s" s="0">
        <v>4693</v>
      </c>
      <c r="L164" t="s" s="0">
        <v>4694</v>
      </c>
      <c r="M164" t="s" s="0">
        <v>4695</v>
      </c>
      <c r="N164" t="s" s="0">
        <v>4696</v>
      </c>
      <c r="O164" t="s" s="0">
        <v>4697</v>
      </c>
      <c r="P164" t="s" s="0">
        <v>4698</v>
      </c>
      <c r="Q164" t="s" s="0">
        <v>93</v>
      </c>
      <c r="R164" t="s" s="0">
        <v>84</v>
      </c>
      <c r="S164" t="s" s="0">
        <v>84</v>
      </c>
      <c r="T164" t="s" s="0">
        <v>84</v>
      </c>
      <c r="U164" t="s" s="0">
        <v>84</v>
      </c>
      <c r="V164" t="s" s="0">
        <v>4699</v>
      </c>
      <c r="W164" t="s" s="0">
        <v>973</v>
      </c>
      <c r="X164" t="s" s="0">
        <v>84</v>
      </c>
      <c r="Y164" t="s" s="0">
        <v>84</v>
      </c>
      <c r="Z164" t="s" s="0">
        <v>96</v>
      </c>
      <c r="AA164" t="s" s="0">
        <v>97</v>
      </c>
      <c r="AB164" t="s" s="0">
        <v>84</v>
      </c>
      <c r="AC164" t="s" s="0">
        <v>84</v>
      </c>
      <c r="AD164" t="s" s="0">
        <v>84</v>
      </c>
      <c r="AE164" t="s" s="0">
        <v>84</v>
      </c>
      <c r="AF164" t="s" s="0">
        <v>84</v>
      </c>
      <c r="AG164" t="s" s="0">
        <v>4700</v>
      </c>
      <c r="AH164" t="s" s="0">
        <v>4701</v>
      </c>
      <c r="AI164" t="s" s="0">
        <v>4702</v>
      </c>
      <c r="AJ164" t="s" s="0">
        <v>4703</v>
      </c>
      <c r="AK164" t="s" s="0">
        <v>84</v>
      </c>
      <c r="AL164" t="s" s="0">
        <v>1235</v>
      </c>
      <c r="AM164" t="s" s="0">
        <v>3650</v>
      </c>
      <c r="AN164" t="s" s="0">
        <v>3678</v>
      </c>
      <c r="AO164" t="s" s="0">
        <v>459</v>
      </c>
      <c r="AP164" t="s" s="0">
        <v>578</v>
      </c>
      <c r="AQ164" t="s" s="0">
        <v>982</v>
      </c>
      <c r="AR164" t="s" s="0">
        <v>983</v>
      </c>
      <c r="AS164" t="s" s="0">
        <v>984</v>
      </c>
      <c r="AT164" t="s" s="0">
        <v>985</v>
      </c>
      <c r="AU164" t="s" s="0">
        <v>986</v>
      </c>
      <c r="AV164" t="s" s="0">
        <v>84</v>
      </c>
      <c r="AW164" t="s" s="0">
        <v>987</v>
      </c>
      <c r="AX164" t="s" s="0">
        <v>988</v>
      </c>
      <c r="AY164" t="s" s="0">
        <v>2663</v>
      </c>
      <c r="AZ164" t="s" s="0">
        <v>351</v>
      </c>
      <c r="BA164" t="s" s="0">
        <v>527</v>
      </c>
      <c r="BB164" t="s" s="0">
        <v>214</v>
      </c>
      <c r="BC164" t="s" s="0">
        <v>84</v>
      </c>
      <c r="BD164" t="s" s="0">
        <v>84</v>
      </c>
      <c r="BE164" t="s" s="0">
        <v>84</v>
      </c>
      <c r="BF164" t="s" s="0">
        <v>84</v>
      </c>
      <c r="BG164" t="s" s="0">
        <v>84</v>
      </c>
      <c r="BH164" t="s" s="0">
        <v>84</v>
      </c>
      <c r="BI164" t="s" s="0">
        <v>4704</v>
      </c>
      <c r="BJ164" t="s" s="0">
        <v>4705</v>
      </c>
      <c r="BK164" t="s" s="325">
        <f>HYPERLINK("http://dx.doi.org/10.1002/widm.1379","http://dx.doi.org/10.1002/widm.1379")</f>
        <v>4706</v>
      </c>
      <c r="BL164" t="s" s="0">
        <v>84</v>
      </c>
      <c r="BM164" t="s" s="0">
        <v>1320</v>
      </c>
      <c r="BN164" t="s" s="0">
        <v>121</v>
      </c>
      <c r="BO164" t="s" s="0">
        <v>429</v>
      </c>
      <c r="BP164" t="s" s="0">
        <v>166</v>
      </c>
      <c r="BQ164" t="s" s="0">
        <v>4707</v>
      </c>
      <c r="BR164" t="s" s="0">
        <v>84</v>
      </c>
      <c r="BS164" t="s" s="0">
        <v>4708</v>
      </c>
      <c r="BT164" t="s" s="326">
        <f>HYPERLINK("https://www.webofscience.com/wos/woscc/full-record/WOS:000543919100001","View Record in Web of Science")</f>
        <v>127</v>
      </c>
      <c r="BU164" t="s" s="0">
        <v>321</v>
      </c>
      <c r="BV164" t="s" s="0">
        <v>128</v>
      </c>
      <c r="BW164" t="s" s="0">
        <v>129</v>
      </c>
      <c r="BX164" t="s" s="0">
        <v>130</v>
      </c>
    </row>
    <row r="165">
      <c r="A165" t="s" s="0">
        <v>527</v>
      </c>
      <c r="B165" t="s" s="0">
        <v>78</v>
      </c>
      <c r="C165" t="s" s="0">
        <v>927</v>
      </c>
      <c r="D165" t="s" s="0">
        <v>116</v>
      </c>
      <c r="E165" t="s" s="0">
        <v>4709</v>
      </c>
      <c r="F165" t="s" s="0">
        <v>4710</v>
      </c>
      <c r="G165" t="s" s="0">
        <v>4711</v>
      </c>
      <c r="H165" t="s" s="0">
        <v>84</v>
      </c>
      <c r="I165" t="s" s="0">
        <v>85</v>
      </c>
      <c r="J165" t="s" s="0">
        <v>4712</v>
      </c>
      <c r="K165" t="s" s="0">
        <v>4713</v>
      </c>
      <c r="L165" t="s" s="0">
        <v>84</v>
      </c>
      <c r="M165" t="s" s="0">
        <v>84</v>
      </c>
      <c r="N165" t="s" s="0">
        <v>84</v>
      </c>
      <c r="O165" t="s" s="0">
        <v>4714</v>
      </c>
      <c r="P165" t="s" s="0">
        <v>4715</v>
      </c>
      <c r="Q165" t="s" s="0">
        <v>93</v>
      </c>
      <c r="R165" t="s" s="0">
        <v>84</v>
      </c>
      <c r="S165" t="s" s="0">
        <v>84</v>
      </c>
      <c r="T165" t="s" s="0">
        <v>84</v>
      </c>
      <c r="U165" t="s" s="0">
        <v>84</v>
      </c>
      <c r="V165" t="s" s="0">
        <v>4716</v>
      </c>
      <c r="W165" t="s" s="0">
        <v>4717</v>
      </c>
      <c r="X165" t="s" s="0">
        <v>84</v>
      </c>
      <c r="Y165" t="s" s="0">
        <v>84</v>
      </c>
      <c r="Z165" t="s" s="0">
        <v>96</v>
      </c>
      <c r="AA165" t="s" s="0">
        <v>97</v>
      </c>
      <c r="AB165" t="s" s="0">
        <v>84</v>
      </c>
      <c r="AC165" t="s" s="0">
        <v>84</v>
      </c>
      <c r="AD165" t="s" s="0">
        <v>84</v>
      </c>
      <c r="AE165" t="s" s="0">
        <v>84</v>
      </c>
      <c r="AF165" t="s" s="0">
        <v>84</v>
      </c>
      <c r="AG165" t="s" s="0">
        <v>4718</v>
      </c>
      <c r="AH165" t="s" s="0">
        <v>4719</v>
      </c>
      <c r="AI165" t="s" s="0">
        <v>84</v>
      </c>
      <c r="AJ165" t="s" s="0">
        <v>84</v>
      </c>
      <c r="AK165" t="s" s="0">
        <v>84</v>
      </c>
      <c r="AL165" t="s" s="0">
        <v>1942</v>
      </c>
      <c r="AM165" t="s" s="0">
        <v>682</v>
      </c>
      <c r="AN165" t="s" s="0">
        <v>4720</v>
      </c>
      <c r="AO165" t="s" s="0">
        <v>172</v>
      </c>
      <c r="AP165" t="s" s="0">
        <v>1525</v>
      </c>
      <c r="AQ165" t="s" s="0">
        <v>4721</v>
      </c>
      <c r="AR165" t="s" s="0">
        <v>4722</v>
      </c>
      <c r="AS165" t="s" s="0">
        <v>4723</v>
      </c>
      <c r="AT165" t="s" s="0">
        <v>4724</v>
      </c>
      <c r="AU165" t="s" s="0">
        <v>4725</v>
      </c>
      <c r="AV165" t="s" s="0">
        <v>84</v>
      </c>
      <c r="AW165" t="s" s="0">
        <v>4726</v>
      </c>
      <c r="AX165" t="s" s="0">
        <v>4727</v>
      </c>
      <c r="AY165" t="s" s="0">
        <v>1320</v>
      </c>
      <c r="AZ165" t="s" s="0">
        <v>351</v>
      </c>
      <c r="BA165" t="s" s="0">
        <v>160</v>
      </c>
      <c r="BB165" t="s" s="0">
        <v>242</v>
      </c>
      <c r="BC165" t="s" s="0">
        <v>84</v>
      </c>
      <c r="BD165" t="s" s="0">
        <v>84</v>
      </c>
      <c r="BE165" t="s" s="0">
        <v>84</v>
      </c>
      <c r="BF165" t="s" s="0">
        <v>84</v>
      </c>
      <c r="BG165" t="s" s="0">
        <v>84</v>
      </c>
      <c r="BH165" t="s" s="0">
        <v>84</v>
      </c>
      <c r="BI165" t="s" s="0">
        <v>4728</v>
      </c>
      <c r="BJ165" t="s" s="0">
        <v>4729</v>
      </c>
      <c r="BK165" t="s" s="327">
        <f>HYPERLINK("http://dx.doi.org/10.21037/atm.2020.02.44","http://dx.doi.org/10.21037/atm.2020.02.44")</f>
        <v>4730</v>
      </c>
      <c r="BL165" t="s" s="0">
        <v>84</v>
      </c>
      <c r="BM165" t="s" s="0">
        <v>84</v>
      </c>
      <c r="BN165" t="s" s="0">
        <v>133</v>
      </c>
      <c r="BO165" t="s" s="0">
        <v>4731</v>
      </c>
      <c r="BP165" t="s" s="0">
        <v>4732</v>
      </c>
      <c r="BQ165" t="s" s="0">
        <v>4733</v>
      </c>
      <c r="BR165" t="s" s="0">
        <v>4734</v>
      </c>
      <c r="BS165" t="s" s="0">
        <v>4735</v>
      </c>
      <c r="BT165" t="s" s="328">
        <f>HYPERLINK("https://www.webofscience.com/wos/woscc/full-record/WOS:000541834200053","View Record in Web of Science")</f>
        <v>127</v>
      </c>
      <c r="BU165" t="s" s="0">
        <v>170</v>
      </c>
      <c r="BV165" t="s" s="0">
        <v>128</v>
      </c>
      <c r="BW165" t="s" s="0">
        <v>129</v>
      </c>
      <c r="BX165" t="s" s="0">
        <v>130</v>
      </c>
    </row>
    <row r="166">
      <c r="A166" t="s" s="0">
        <v>604</v>
      </c>
      <c r="B166" t="s" s="0">
        <v>78</v>
      </c>
      <c r="C166" t="s" s="0">
        <v>4736</v>
      </c>
      <c r="D166" t="s" s="0">
        <v>396</v>
      </c>
      <c r="E166" t="s" s="0">
        <v>4737</v>
      </c>
      <c r="F166" t="s" s="0">
        <v>4738</v>
      </c>
      <c r="G166" t="s" s="0">
        <v>4739</v>
      </c>
      <c r="H166" t="s" s="0">
        <v>84</v>
      </c>
      <c r="I166" t="s" s="0">
        <v>85</v>
      </c>
      <c r="J166" t="s" s="0">
        <v>4740</v>
      </c>
      <c r="K166" t="s" s="0">
        <v>4741</v>
      </c>
      <c r="L166" t="s" s="0">
        <v>84</v>
      </c>
      <c r="M166" t="s" s="0">
        <v>84</v>
      </c>
      <c r="N166" t="s" s="0">
        <v>84</v>
      </c>
      <c r="O166" t="s" s="0">
        <v>4742</v>
      </c>
      <c r="P166" t="s" s="0">
        <v>4743</v>
      </c>
      <c r="Q166" t="s" s="0">
        <v>93</v>
      </c>
      <c r="R166" t="s" s="0">
        <v>84</v>
      </c>
      <c r="S166" t="s" s="0">
        <v>84</v>
      </c>
      <c r="T166" t="s" s="0">
        <v>84</v>
      </c>
      <c r="U166" t="s" s="0">
        <v>84</v>
      </c>
      <c r="V166" t="s" s="0">
        <v>4744</v>
      </c>
      <c r="W166" t="s" s="0">
        <v>4745</v>
      </c>
      <c r="X166" t="s" s="0">
        <v>84</v>
      </c>
      <c r="Y166" t="s" s="0">
        <v>84</v>
      </c>
      <c r="Z166" t="s" s="0">
        <v>96</v>
      </c>
      <c r="AA166" t="s" s="0">
        <v>97</v>
      </c>
      <c r="AB166" t="s" s="0">
        <v>84</v>
      </c>
      <c r="AC166" t="s" s="0">
        <v>84</v>
      </c>
      <c r="AD166" t="s" s="0">
        <v>84</v>
      </c>
      <c r="AE166" t="s" s="0">
        <v>84</v>
      </c>
      <c r="AF166" t="s" s="0">
        <v>84</v>
      </c>
      <c r="AG166" t="s" s="0">
        <v>84</v>
      </c>
      <c r="AH166" t="s" s="0">
        <v>4746</v>
      </c>
      <c r="AI166" t="s" s="0">
        <v>4747</v>
      </c>
      <c r="AJ166" t="s" s="0">
        <v>4748</v>
      </c>
      <c r="AK166" t="s" s="0">
        <v>84</v>
      </c>
      <c r="AL166" t="s" s="0">
        <v>568</v>
      </c>
      <c r="AM166" t="s" s="0">
        <v>682</v>
      </c>
      <c r="AN166" t="s" s="0">
        <v>1959</v>
      </c>
      <c r="AO166" t="s" s="0">
        <v>172</v>
      </c>
      <c r="AP166" t="s" s="0">
        <v>1314</v>
      </c>
      <c r="AQ166" t="s" s="0">
        <v>1119</v>
      </c>
      <c r="AR166" t="s" s="0">
        <v>1120</v>
      </c>
      <c r="AS166" t="s" s="0">
        <v>1121</v>
      </c>
      <c r="AT166" t="s" s="0">
        <v>4749</v>
      </c>
      <c r="AU166" t="s" s="0">
        <v>4750</v>
      </c>
      <c r="AV166" t="s" s="0">
        <v>84</v>
      </c>
      <c r="AW166" t="s" s="0">
        <v>4751</v>
      </c>
      <c r="AX166" t="s" s="0">
        <v>4752</v>
      </c>
      <c r="AY166" t="s" s="0">
        <v>4753</v>
      </c>
      <c r="AZ166" t="s" s="0">
        <v>114</v>
      </c>
      <c r="BA166" t="s" s="0">
        <v>1024</v>
      </c>
      <c r="BB166" t="s" s="0">
        <v>160</v>
      </c>
      <c r="BC166" t="s" s="0">
        <v>778</v>
      </c>
      <c r="BD166" t="s" s="0">
        <v>84</v>
      </c>
      <c r="BE166" t="s" s="0">
        <v>84</v>
      </c>
      <c r="BF166" t="s" s="0">
        <v>84</v>
      </c>
      <c r="BG166" t="s" s="0">
        <v>4754</v>
      </c>
      <c r="BH166" t="s" s="0">
        <v>2705</v>
      </c>
      <c r="BI166" t="s" s="0">
        <v>84</v>
      </c>
      <c r="BJ166" t="s" s="0">
        <v>4755</v>
      </c>
      <c r="BK166" t="s" s="329">
        <f>HYPERLINK("http://dx.doi.org/10.1016/j.tips.2019.05.005","http://dx.doi.org/10.1016/j.tips.2019.05.005")</f>
        <v>4756</v>
      </c>
      <c r="BL166" t="s" s="0">
        <v>84</v>
      </c>
      <c r="BM166" t="s" s="0">
        <v>84</v>
      </c>
      <c r="BN166" t="s" s="0">
        <v>133</v>
      </c>
      <c r="BO166" t="s" s="0">
        <v>1272</v>
      </c>
      <c r="BP166" t="s" s="0">
        <v>1272</v>
      </c>
      <c r="BQ166" t="s" s="0">
        <v>4757</v>
      </c>
      <c r="BR166" t="s" s="0">
        <v>4758</v>
      </c>
      <c r="BS166" t="s" s="0">
        <v>4759</v>
      </c>
      <c r="BT166" t="s" s="330">
        <f>HYPERLINK("https://www.webofscience.com/wos/woscc/full-record/WOS:000476996500008","View Record in Web of Science")</f>
        <v>127</v>
      </c>
      <c r="BU166" t="s" s="0">
        <v>1851</v>
      </c>
      <c r="BV166" t="s" s="0">
        <v>128</v>
      </c>
      <c r="BW166" t="s" s="0">
        <v>129</v>
      </c>
      <c r="BX166" t="s" s="0">
        <v>130</v>
      </c>
    </row>
    <row r="167">
      <c r="A167" t="s" s="0">
        <v>133</v>
      </c>
      <c r="B167" t="s" s="0">
        <v>78</v>
      </c>
      <c r="C167" t="s" s="0">
        <v>3716</v>
      </c>
      <c r="D167" t="s" s="0">
        <v>396</v>
      </c>
      <c r="E167" t="s" s="0">
        <v>4760</v>
      </c>
      <c r="F167" t="s" s="0">
        <v>4761</v>
      </c>
      <c r="G167" t="s" s="0">
        <v>4762</v>
      </c>
      <c r="H167" t="s" s="0">
        <v>84</v>
      </c>
      <c r="I167" t="s" s="0">
        <v>85</v>
      </c>
      <c r="J167" t="s" s="0">
        <v>4763</v>
      </c>
      <c r="K167" t="s" s="0">
        <v>4764</v>
      </c>
      <c r="L167" t="s" s="0">
        <v>4765</v>
      </c>
      <c r="M167" t="s" s="0">
        <v>4766</v>
      </c>
      <c r="N167" t="s" s="0">
        <v>84</v>
      </c>
      <c r="O167" t="s" s="0">
        <v>4767</v>
      </c>
      <c r="P167" t="s" s="0">
        <v>4768</v>
      </c>
      <c r="Q167" t="s" s="0">
        <v>93</v>
      </c>
      <c r="R167" t="s" s="0">
        <v>84</v>
      </c>
      <c r="S167" t="s" s="0">
        <v>84</v>
      </c>
      <c r="T167" t="s" s="0">
        <v>84</v>
      </c>
      <c r="U167" t="s" s="0">
        <v>84</v>
      </c>
      <c r="V167" t="s" s="0">
        <v>4769</v>
      </c>
      <c r="W167" t="s" s="0">
        <v>1954</v>
      </c>
      <c r="X167" t="s" s="0">
        <v>84</v>
      </c>
      <c r="Y167" t="s" s="0">
        <v>84</v>
      </c>
      <c r="Z167" t="s" s="0">
        <v>96</v>
      </c>
      <c r="AA167" t="s" s="0">
        <v>97</v>
      </c>
      <c r="AB167" t="s" s="0">
        <v>84</v>
      </c>
      <c r="AC167" t="s" s="0">
        <v>84</v>
      </c>
      <c r="AD167" t="s" s="0">
        <v>84</v>
      </c>
      <c r="AE167" t="s" s="0">
        <v>84</v>
      </c>
      <c r="AF167" t="s" s="0">
        <v>84</v>
      </c>
      <c r="AG167" t="s" s="0">
        <v>4770</v>
      </c>
      <c r="AH167" t="s" s="0">
        <v>4771</v>
      </c>
      <c r="AI167" t="s" s="0">
        <v>4772</v>
      </c>
      <c r="AJ167" t="s" s="0">
        <v>4773</v>
      </c>
      <c r="AK167" t="s" s="0">
        <v>84</v>
      </c>
      <c r="AL167" t="s" s="0">
        <v>3901</v>
      </c>
      <c r="AM167" t="s" s="0">
        <v>4774</v>
      </c>
      <c r="AN167" t="s" s="0">
        <v>4001</v>
      </c>
      <c r="AO167" t="s" s="0">
        <v>121</v>
      </c>
      <c r="AP167" t="s" s="0">
        <v>4775</v>
      </c>
      <c r="AQ167" t="s" s="0">
        <v>1962</v>
      </c>
      <c r="AR167" t="s" s="0">
        <v>1963</v>
      </c>
      <c r="AS167" t="s" s="0">
        <v>1964</v>
      </c>
      <c r="AT167" t="s" s="0">
        <v>1965</v>
      </c>
      <c r="AU167" t="s" s="0">
        <v>1966</v>
      </c>
      <c r="AV167" t="s" s="0">
        <v>84</v>
      </c>
      <c r="AW167" t="s" s="0">
        <v>1967</v>
      </c>
      <c r="AX167" t="s" s="0">
        <v>1968</v>
      </c>
      <c r="AY167" t="s" s="0">
        <v>2099</v>
      </c>
      <c r="AZ167" t="s" s="0">
        <v>351</v>
      </c>
      <c r="BA167" t="s" s="0">
        <v>1117</v>
      </c>
      <c r="BB167" t="s" s="0">
        <v>121</v>
      </c>
      <c r="BC167" t="s" s="0">
        <v>778</v>
      </c>
      <c r="BD167" t="s" s="0">
        <v>84</v>
      </c>
      <c r="BE167" t="s" s="0">
        <v>84</v>
      </c>
      <c r="BF167" t="s" s="0">
        <v>84</v>
      </c>
      <c r="BG167" t="s" s="0">
        <v>84</v>
      </c>
      <c r="BH167" t="s" s="0">
        <v>84</v>
      </c>
      <c r="BI167" t="s" s="0">
        <v>4776</v>
      </c>
      <c r="BJ167" t="s" s="0">
        <v>4777</v>
      </c>
      <c r="BK167" t="s" s="331">
        <f>HYPERLINK("http://dx.doi.org/10.1002/adma.201901989","http://dx.doi.org/10.1002/adma.201901989")</f>
        <v>4778</v>
      </c>
      <c r="BL167" t="s" s="0">
        <v>84</v>
      </c>
      <c r="BM167" t="s" s="0">
        <v>84</v>
      </c>
      <c r="BN167" t="s" s="0">
        <v>133</v>
      </c>
      <c r="BO167" t="s" s="0">
        <v>1973</v>
      </c>
      <c r="BP167" t="s" s="0">
        <v>1974</v>
      </c>
      <c r="BQ167" t="s" s="0">
        <v>4779</v>
      </c>
      <c r="BR167" t="s" s="0">
        <v>4780</v>
      </c>
      <c r="BS167" t="s" s="0">
        <v>4781</v>
      </c>
      <c r="BT167" t="s" s="332">
        <f>HYPERLINK("https://www.webofscience.com/wos/woscc/full-record/WOS:000524500400006","View Record in Web of Science")</f>
        <v>127</v>
      </c>
      <c r="BU167" t="s" s="0">
        <v>321</v>
      </c>
      <c r="BV167" t="s" s="0">
        <v>128</v>
      </c>
      <c r="BW167" t="s" s="0">
        <v>129</v>
      </c>
      <c r="BX167" t="s" s="0">
        <v>130</v>
      </c>
    </row>
    <row r="168">
      <c r="A168" t="s" s="0">
        <v>78</v>
      </c>
      <c r="B168" t="s" s="0">
        <v>78</v>
      </c>
      <c r="C168" t="s" s="0">
        <v>214</v>
      </c>
      <c r="D168" t="s" s="0">
        <v>202</v>
      </c>
      <c r="E168" t="s" s="0">
        <v>4782</v>
      </c>
      <c r="F168" t="s" s="0">
        <v>4783</v>
      </c>
      <c r="G168" t="s" s="0">
        <v>4784</v>
      </c>
      <c r="H168" t="s" s="0">
        <v>84</v>
      </c>
      <c r="I168" t="s" s="0">
        <v>251</v>
      </c>
      <c r="J168" t="s" s="0">
        <v>4785</v>
      </c>
      <c r="K168" t="s" s="0">
        <v>4786</v>
      </c>
      <c r="L168" t="s" s="0">
        <v>4787</v>
      </c>
      <c r="M168" t="s" s="0">
        <v>4787</v>
      </c>
      <c r="N168" t="s" s="0">
        <v>4787</v>
      </c>
      <c r="O168" t="s" s="0">
        <v>4788</v>
      </c>
      <c r="P168" t="s" s="0">
        <v>4789</v>
      </c>
      <c r="Q168" t="s" s="0">
        <v>93</v>
      </c>
      <c r="R168" t="s" s="0">
        <v>84</v>
      </c>
      <c r="S168" t="s" s="0">
        <v>84</v>
      </c>
      <c r="T168" t="s" s="0">
        <v>84</v>
      </c>
      <c r="U168" t="s" s="0">
        <v>84</v>
      </c>
      <c r="V168" t="s" s="0">
        <v>4790</v>
      </c>
      <c r="W168" t="s" s="0">
        <v>2568</v>
      </c>
      <c r="X168" t="s" s="0">
        <v>84</v>
      </c>
      <c r="Y168" t="s" s="0">
        <v>84</v>
      </c>
      <c r="Z168" t="s" s="0">
        <v>96</v>
      </c>
      <c r="AA168" t="s" s="0">
        <v>97</v>
      </c>
      <c r="AB168" t="s" s="0">
        <v>84</v>
      </c>
      <c r="AC168" t="s" s="0">
        <v>84</v>
      </c>
      <c r="AD168" t="s" s="0">
        <v>84</v>
      </c>
      <c r="AE168" t="s" s="0">
        <v>84</v>
      </c>
      <c r="AF168" t="s" s="0">
        <v>84</v>
      </c>
      <c r="AG168" t="s" s="0">
        <v>4791</v>
      </c>
      <c r="AH168" t="s" s="0">
        <v>4792</v>
      </c>
      <c r="AI168" t="s" s="0">
        <v>4793</v>
      </c>
      <c r="AJ168" t="s" s="0">
        <v>4794</v>
      </c>
      <c r="AK168" t="s" s="0">
        <v>84</v>
      </c>
      <c r="AL168" t="s" s="0">
        <v>4795</v>
      </c>
      <c r="AM168" t="s" s="0">
        <v>4796</v>
      </c>
      <c r="AN168" t="s" s="0">
        <v>4093</v>
      </c>
      <c r="AO168" t="s" s="0">
        <v>212</v>
      </c>
      <c r="AP168" t="s" s="0">
        <v>4797</v>
      </c>
      <c r="AQ168" t="s" s="0">
        <v>379</v>
      </c>
      <c r="AR168" t="s" s="0">
        <v>380</v>
      </c>
      <c r="AS168" t="s" s="0">
        <v>381</v>
      </c>
      <c r="AT168" t="s" s="0">
        <v>84</v>
      </c>
      <c r="AU168" t="s" s="0">
        <v>2577</v>
      </c>
      <c r="AV168" t="s" s="0">
        <v>84</v>
      </c>
      <c r="AW168" t="s" s="0">
        <v>2578</v>
      </c>
      <c r="AX168" t="s" s="0">
        <v>2579</v>
      </c>
      <c r="AY168" t="s" s="0">
        <v>3318</v>
      </c>
      <c r="AZ168" t="s" s="0">
        <v>235</v>
      </c>
      <c r="BA168" t="s" s="0">
        <v>133</v>
      </c>
      <c r="BB168" t="s" s="0">
        <v>701</v>
      </c>
      <c r="BC168" t="s" s="0">
        <v>84</v>
      </c>
      <c r="BD168" t="s" s="0">
        <v>84</v>
      </c>
      <c r="BE168" t="s" s="0">
        <v>84</v>
      </c>
      <c r="BF168" t="s" s="0">
        <v>84</v>
      </c>
      <c r="BG168" t="s" s="0">
        <v>84</v>
      </c>
      <c r="BH168" t="s" s="0">
        <v>84</v>
      </c>
      <c r="BI168" t="s" s="0">
        <v>4798</v>
      </c>
      <c r="BJ168" t="s" s="0">
        <v>4799</v>
      </c>
      <c r="BK168" t="s" s="333">
        <f>HYPERLINK("http://dx.doi.org/10.3390/su151712983","http://dx.doi.org/10.3390/su151712983")</f>
        <v>4800</v>
      </c>
      <c r="BL168" t="s" s="0">
        <v>84</v>
      </c>
      <c r="BM168" t="s" s="0">
        <v>84</v>
      </c>
      <c r="BN168" t="s" s="0">
        <v>1024</v>
      </c>
      <c r="BO168" t="s" s="0">
        <v>2583</v>
      </c>
      <c r="BP168" t="s" s="0">
        <v>2584</v>
      </c>
      <c r="BQ168" t="s" s="0">
        <v>4801</v>
      </c>
      <c r="BR168" t="s" s="0">
        <v>84</v>
      </c>
      <c r="BS168" t="s" s="0">
        <v>4802</v>
      </c>
      <c r="BT168" t="s" s="334">
        <f>HYPERLINK("https://www.webofscience.com/wos/woscc/full-record/WOS:001061927300001","View Record in Web of Science")</f>
        <v>127</v>
      </c>
      <c r="BU168" t="s" s="0">
        <v>170</v>
      </c>
      <c r="BV168" t="s" s="0">
        <v>128</v>
      </c>
      <c r="BW168" t="s" s="0">
        <v>129</v>
      </c>
      <c r="BX168" t="s" s="0">
        <v>130</v>
      </c>
    </row>
    <row r="169">
      <c r="A169" t="s" s="0">
        <v>527</v>
      </c>
      <c r="B169" t="s" s="0">
        <v>78</v>
      </c>
      <c r="C169" t="s" s="0">
        <v>3877</v>
      </c>
      <c r="D169" t="s" s="0">
        <v>116</v>
      </c>
      <c r="E169" t="s" s="0">
        <v>4803</v>
      </c>
      <c r="F169" t="s" s="0">
        <v>4804</v>
      </c>
      <c r="G169" t="s" s="0">
        <v>4805</v>
      </c>
      <c r="H169" t="s" s="0">
        <v>84</v>
      </c>
      <c r="I169" t="s" s="0">
        <v>85</v>
      </c>
      <c r="J169" t="s" s="0">
        <v>4806</v>
      </c>
      <c r="K169" t="s" s="0">
        <v>4807</v>
      </c>
      <c r="L169" t="s" s="0">
        <v>4808</v>
      </c>
      <c r="M169" t="s" s="0">
        <v>4809</v>
      </c>
      <c r="N169" t="s" s="0">
        <v>4810</v>
      </c>
      <c r="O169" t="s" s="0">
        <v>4811</v>
      </c>
      <c r="P169" t="s" s="0">
        <v>4812</v>
      </c>
      <c r="Q169" t="s" s="0">
        <v>93</v>
      </c>
      <c r="R169" t="s" s="0">
        <v>84</v>
      </c>
      <c r="S169" t="s" s="0">
        <v>84</v>
      </c>
      <c r="T169" t="s" s="0">
        <v>84</v>
      </c>
      <c r="U169" t="s" s="0">
        <v>84</v>
      </c>
      <c r="V169" t="s" s="0">
        <v>4813</v>
      </c>
      <c r="W169" t="s" s="0">
        <v>4814</v>
      </c>
      <c r="X169" t="s" s="0">
        <v>84</v>
      </c>
      <c r="Y169" t="s" s="0">
        <v>84</v>
      </c>
      <c r="Z169" t="s" s="0">
        <v>96</v>
      </c>
      <c r="AA169" t="s" s="0">
        <v>97</v>
      </c>
      <c r="AB169" t="s" s="0">
        <v>84</v>
      </c>
      <c r="AC169" t="s" s="0">
        <v>84</v>
      </c>
      <c r="AD169" t="s" s="0">
        <v>84</v>
      </c>
      <c r="AE169" t="s" s="0">
        <v>84</v>
      </c>
      <c r="AF169" t="s" s="0">
        <v>84</v>
      </c>
      <c r="AG169" t="s" s="0">
        <v>4815</v>
      </c>
      <c r="AH169" t="s" s="0">
        <v>4816</v>
      </c>
      <c r="AI169" t="s" s="0">
        <v>4817</v>
      </c>
      <c r="AJ169" t="s" s="0">
        <v>4818</v>
      </c>
      <c r="AK169" t="s" s="0">
        <v>84</v>
      </c>
      <c r="AL169" t="s" s="0">
        <v>1014</v>
      </c>
      <c r="AM169" t="s" s="0">
        <v>4796</v>
      </c>
      <c r="AN169" t="s" s="0">
        <v>4289</v>
      </c>
      <c r="AO169" t="s" s="0">
        <v>396</v>
      </c>
      <c r="AP169" t="s" s="0">
        <v>2305</v>
      </c>
      <c r="AQ169" t="s" s="0">
        <v>4819</v>
      </c>
      <c r="AR169" t="s" s="0">
        <v>4820</v>
      </c>
      <c r="AS169" t="s" s="0">
        <v>4821</v>
      </c>
      <c r="AT169" t="s" s="0">
        <v>4822</v>
      </c>
      <c r="AU169" t="s" s="0">
        <v>4823</v>
      </c>
      <c r="AV169" t="s" s="0">
        <v>84</v>
      </c>
      <c r="AW169" t="s" s="0">
        <v>4824</v>
      </c>
      <c r="AX169" t="s" s="0">
        <v>4825</v>
      </c>
      <c r="AY169" t="s" s="0">
        <v>1969</v>
      </c>
      <c r="AZ169" t="s" s="0">
        <v>351</v>
      </c>
      <c r="BA169" t="s" s="0">
        <v>839</v>
      </c>
      <c r="BB169" t="s" s="0">
        <v>396</v>
      </c>
      <c r="BC169" t="s" s="0">
        <v>84</v>
      </c>
      <c r="BD169" t="s" s="0">
        <v>84</v>
      </c>
      <c r="BE169" t="s" s="0">
        <v>84</v>
      </c>
      <c r="BF169" t="s" s="0">
        <v>84</v>
      </c>
      <c r="BG169" t="s" s="0">
        <v>2002</v>
      </c>
      <c r="BH169" t="s" s="0">
        <v>3824</v>
      </c>
      <c r="BI169" t="s" s="0">
        <v>84</v>
      </c>
      <c r="BJ169" t="s" s="0">
        <v>4826</v>
      </c>
      <c r="BK169" t="s" s="335">
        <f>HYPERLINK("http://dx.doi.org/10.1007/s00109-020-01874-2","http://dx.doi.org/10.1007/s00109-020-01874-2")</f>
        <v>4827</v>
      </c>
      <c r="BL169" t="s" s="0">
        <v>84</v>
      </c>
      <c r="BM169" t="s" s="0">
        <v>1268</v>
      </c>
      <c r="BN169" t="s" s="0">
        <v>701</v>
      </c>
      <c r="BO169" t="s" s="0">
        <v>4828</v>
      </c>
      <c r="BP169" t="s" s="0">
        <v>4829</v>
      </c>
      <c r="BQ169" t="s" s="0">
        <v>4830</v>
      </c>
      <c r="BR169" t="s" s="0">
        <v>4831</v>
      </c>
      <c r="BS169" t="s" s="0">
        <v>4832</v>
      </c>
      <c r="BT169" t="s" s="336">
        <f>HYPERLINK("https://www.webofscience.com/wos/woscc/full-record/WOS:000508697200001","View Record in Web of Science")</f>
        <v>127</v>
      </c>
      <c r="BU169" t="s" s="0">
        <v>432</v>
      </c>
      <c r="BV169" t="s" s="0">
        <v>128</v>
      </c>
      <c r="BW169" t="s" s="0">
        <v>129</v>
      </c>
      <c r="BX169" t="s" s="0">
        <v>130</v>
      </c>
    </row>
    <row r="170">
      <c r="A170" t="s" s="0">
        <v>538</v>
      </c>
      <c r="B170" t="s" s="0">
        <v>78</v>
      </c>
      <c r="C170" t="s" s="0">
        <v>1558</v>
      </c>
      <c r="D170" t="s" s="0">
        <v>116</v>
      </c>
      <c r="E170" t="s" s="0">
        <v>4833</v>
      </c>
      <c r="F170" t="s" s="0">
        <v>4834</v>
      </c>
      <c r="G170" t="s" s="0">
        <v>4835</v>
      </c>
      <c r="H170" t="s" s="0">
        <v>84</v>
      </c>
      <c r="I170" t="s" s="0">
        <v>85</v>
      </c>
      <c r="J170" t="s" s="0">
        <v>4836</v>
      </c>
      <c r="K170" t="s" s="0">
        <v>4837</v>
      </c>
      <c r="L170" t="s" s="0">
        <v>4838</v>
      </c>
      <c r="M170" t="s" s="0">
        <v>4839</v>
      </c>
      <c r="N170" t="s" s="0">
        <v>4840</v>
      </c>
      <c r="O170" t="s" s="0">
        <v>4841</v>
      </c>
      <c r="P170" t="s" s="0">
        <v>4842</v>
      </c>
      <c r="Q170" t="s" s="0">
        <v>93</v>
      </c>
      <c r="R170" t="s" s="0">
        <v>84</v>
      </c>
      <c r="S170" t="s" s="0">
        <v>84</v>
      </c>
      <c r="T170" t="s" s="0">
        <v>84</v>
      </c>
      <c r="U170" t="s" s="0">
        <v>84</v>
      </c>
      <c r="V170" t="s" s="0">
        <v>4843</v>
      </c>
      <c r="W170" t="s" s="0">
        <v>4844</v>
      </c>
      <c r="X170" t="s" s="0">
        <v>84</v>
      </c>
      <c r="Y170" t="s" s="0">
        <v>84</v>
      </c>
      <c r="Z170" t="s" s="0">
        <v>96</v>
      </c>
      <c r="AA170" t="s" s="0">
        <v>97</v>
      </c>
      <c r="AB170" t="s" s="0">
        <v>84</v>
      </c>
      <c r="AC170" t="s" s="0">
        <v>84</v>
      </c>
      <c r="AD170" t="s" s="0">
        <v>84</v>
      </c>
      <c r="AE170" t="s" s="0">
        <v>84</v>
      </c>
      <c r="AF170" t="s" s="0">
        <v>84</v>
      </c>
      <c r="AG170" t="s" s="0">
        <v>4845</v>
      </c>
      <c r="AH170" t="s" s="0">
        <v>4846</v>
      </c>
      <c r="AI170" t="s" s="0">
        <v>4847</v>
      </c>
      <c r="AJ170" t="s" s="0">
        <v>4848</v>
      </c>
      <c r="AK170" t="s" s="0">
        <v>84</v>
      </c>
      <c r="AL170" t="s" s="0">
        <v>856</v>
      </c>
      <c r="AM170" t="s" s="0">
        <v>4796</v>
      </c>
      <c r="AN170" t="s" s="0">
        <v>171</v>
      </c>
      <c r="AO170" t="s" s="0">
        <v>202</v>
      </c>
      <c r="AP170" t="s" s="0">
        <v>3934</v>
      </c>
      <c r="AQ170" t="s" s="0">
        <v>982</v>
      </c>
      <c r="AR170" t="s" s="0">
        <v>983</v>
      </c>
      <c r="AS170" t="s" s="0">
        <v>984</v>
      </c>
      <c r="AT170" t="s" s="0">
        <v>4849</v>
      </c>
      <c r="AU170" t="s" s="0">
        <v>4850</v>
      </c>
      <c r="AV170" t="s" s="0">
        <v>84</v>
      </c>
      <c r="AW170" t="s" s="0">
        <v>4851</v>
      </c>
      <c r="AX170" t="s" s="0">
        <v>4852</v>
      </c>
      <c r="AY170" t="s" s="0">
        <v>2550</v>
      </c>
      <c r="AZ170" t="s" s="0">
        <v>114</v>
      </c>
      <c r="BA170" t="s" s="0">
        <v>1647</v>
      </c>
      <c r="BB170" t="s" s="0">
        <v>202</v>
      </c>
      <c r="BC170" t="s" s="0">
        <v>84</v>
      </c>
      <c r="BD170" t="s" s="0">
        <v>84</v>
      </c>
      <c r="BE170" t="s" s="0">
        <v>84</v>
      </c>
      <c r="BF170" t="s" s="0">
        <v>84</v>
      </c>
      <c r="BG170" t="s" s="0">
        <v>4853</v>
      </c>
      <c r="BH170" t="s" s="0">
        <v>2122</v>
      </c>
      <c r="BI170" t="s" s="0">
        <v>84</v>
      </c>
      <c r="BJ170" t="s" s="0">
        <v>4854</v>
      </c>
      <c r="BK170" t="s" s="337">
        <f>HYPERLINK("http://dx.doi.org/10.1002/jmri.26534","http://dx.doi.org/10.1002/jmri.26534")</f>
        <v>4855</v>
      </c>
      <c r="BL170" t="s" s="0">
        <v>84</v>
      </c>
      <c r="BM170" t="s" s="0">
        <v>84</v>
      </c>
      <c r="BN170" t="s" s="0">
        <v>538</v>
      </c>
      <c r="BO170" t="s" s="0">
        <v>208</v>
      </c>
      <c r="BP170" t="s" s="0">
        <v>208</v>
      </c>
      <c r="BQ170" t="s" s="0">
        <v>4856</v>
      </c>
      <c r="BR170" t="s" s="0">
        <v>4857</v>
      </c>
      <c r="BS170" t="s" s="0">
        <v>4858</v>
      </c>
      <c r="BT170" t="s" s="338">
        <f>HYPERLINK("https://www.webofscience.com/wos/woscc/full-record/WOS:000461233600003","View Record in Web of Science")</f>
        <v>127</v>
      </c>
      <c r="BU170" t="s" s="0">
        <v>321</v>
      </c>
      <c r="BV170" t="s" s="0">
        <v>128</v>
      </c>
      <c r="BW170" t="s" s="0">
        <v>129</v>
      </c>
      <c r="BX170" t="s" s="0">
        <v>130</v>
      </c>
    </row>
    <row r="171">
      <c r="A171" t="s" s="0">
        <v>459</v>
      </c>
      <c r="B171" t="s" s="0">
        <v>78</v>
      </c>
      <c r="C171" t="s" s="0">
        <v>1059</v>
      </c>
      <c r="D171" t="s" s="0">
        <v>78</v>
      </c>
      <c r="E171" t="s" s="0">
        <v>4859</v>
      </c>
      <c r="F171" t="s" s="0">
        <v>4860</v>
      </c>
      <c r="G171" t="s" s="0">
        <v>4861</v>
      </c>
      <c r="H171" t="s" s="0">
        <v>84</v>
      </c>
      <c r="I171" t="s" s="0">
        <v>85</v>
      </c>
      <c r="J171" t="s" s="0">
        <v>4862</v>
      </c>
      <c r="K171" t="s" s="0">
        <v>4863</v>
      </c>
      <c r="L171" t="s" s="0">
        <v>4864</v>
      </c>
      <c r="M171" t="s" s="0">
        <v>4865</v>
      </c>
      <c r="N171" t="s" s="0">
        <v>4866</v>
      </c>
      <c r="O171" t="s" s="0">
        <v>4867</v>
      </c>
      <c r="P171" t="s" s="0">
        <v>4868</v>
      </c>
      <c r="Q171" t="s" s="0">
        <v>93</v>
      </c>
      <c r="R171" t="s" s="0">
        <v>84</v>
      </c>
      <c r="S171" t="s" s="0">
        <v>84</v>
      </c>
      <c r="T171" t="s" s="0">
        <v>84</v>
      </c>
      <c r="U171" t="s" s="0">
        <v>84</v>
      </c>
      <c r="V171" t="s" s="0">
        <v>4869</v>
      </c>
      <c r="W171" t="s" s="0">
        <v>1310</v>
      </c>
      <c r="X171" t="s" s="0">
        <v>84</v>
      </c>
      <c r="Y171" t="s" s="0">
        <v>84</v>
      </c>
      <c r="Z171" t="s" s="0">
        <v>96</v>
      </c>
      <c r="AA171" t="s" s="0">
        <v>97</v>
      </c>
      <c r="AB171" t="s" s="0">
        <v>84</v>
      </c>
      <c r="AC171" t="s" s="0">
        <v>84</v>
      </c>
      <c r="AD171" t="s" s="0">
        <v>84</v>
      </c>
      <c r="AE171" t="s" s="0">
        <v>84</v>
      </c>
      <c r="AF171" t="s" s="0">
        <v>84</v>
      </c>
      <c r="AG171" t="s" s="0">
        <v>84</v>
      </c>
      <c r="AH171" t="s" s="0">
        <v>4870</v>
      </c>
      <c r="AI171" t="s" s="0">
        <v>4871</v>
      </c>
      <c r="AJ171" t="s" s="0">
        <v>4872</v>
      </c>
      <c r="AK171" t="s" s="0">
        <v>84</v>
      </c>
      <c r="AL171" t="s" s="0">
        <v>755</v>
      </c>
      <c r="AM171" t="s" s="0">
        <v>1760</v>
      </c>
      <c r="AN171" t="s" s="0">
        <v>3701</v>
      </c>
      <c r="AO171" t="s" s="0">
        <v>242</v>
      </c>
      <c r="AP171" t="s" s="0">
        <v>3300</v>
      </c>
      <c r="AQ171" t="s" s="0">
        <v>152</v>
      </c>
      <c r="AR171" t="s" s="0">
        <v>153</v>
      </c>
      <c r="AS171" t="s" s="0">
        <v>154</v>
      </c>
      <c r="AT171" t="s" s="0">
        <v>84</v>
      </c>
      <c r="AU171" t="s" s="0">
        <v>1317</v>
      </c>
      <c r="AV171" t="s" s="0">
        <v>84</v>
      </c>
      <c r="AW171" t="s" s="0">
        <v>1318</v>
      </c>
      <c r="AX171" t="s" s="0">
        <v>1319</v>
      </c>
      <c r="AY171" t="s" s="0">
        <v>113</v>
      </c>
      <c r="AZ171" t="s" s="0">
        <v>114</v>
      </c>
      <c r="BA171" t="s" s="0">
        <v>116</v>
      </c>
      <c r="BB171" t="s" s="0">
        <v>116</v>
      </c>
      <c r="BC171" t="s" s="0">
        <v>84</v>
      </c>
      <c r="BD171" t="s" s="0">
        <v>84</v>
      </c>
      <c r="BE171" t="s" s="0">
        <v>84</v>
      </c>
      <c r="BF171" t="s" s="0">
        <v>84</v>
      </c>
      <c r="BG171" t="s" s="0">
        <v>604</v>
      </c>
      <c r="BH171" t="s" s="0">
        <v>192</v>
      </c>
      <c r="BI171" t="s" s="0">
        <v>84</v>
      </c>
      <c r="BJ171" t="s" s="0">
        <v>4873</v>
      </c>
      <c r="BK171" t="s" s="339">
        <f>HYPERLINK("http://dx.doi.org/10.1038/s42256-018-0004-1","http://dx.doi.org/10.1038/s42256-018-0004-1")</f>
        <v>4874</v>
      </c>
      <c r="BL171" t="s" s="0">
        <v>84</v>
      </c>
      <c r="BM171" t="s" s="0">
        <v>84</v>
      </c>
      <c r="BN171" t="s" s="0">
        <v>202</v>
      </c>
      <c r="BO171" t="s" s="0">
        <v>1325</v>
      </c>
      <c r="BP171" t="s" s="0">
        <v>166</v>
      </c>
      <c r="BQ171" t="s" s="0">
        <v>4875</v>
      </c>
      <c r="BR171" t="s" s="0">
        <v>84</v>
      </c>
      <c r="BS171" t="s" s="0">
        <v>4876</v>
      </c>
      <c r="BT171" t="s" s="340">
        <f>HYPERLINK("https://www.webofscience.com/wos/woscc/full-record/WOS:000566947600008","View Record in Web of Science")</f>
        <v>127</v>
      </c>
      <c r="BU171" t="s" s="0">
        <v>321</v>
      </c>
      <c r="BV171" t="s" s="0">
        <v>128</v>
      </c>
      <c r="BW171" t="s" s="0">
        <v>129</v>
      </c>
      <c r="BX171" t="s" s="0">
        <v>130</v>
      </c>
    </row>
    <row r="172">
      <c r="A172" t="s" s="0">
        <v>242</v>
      </c>
      <c r="B172" t="s" s="0">
        <v>78</v>
      </c>
      <c r="C172" t="s" s="0">
        <v>2305</v>
      </c>
      <c r="D172" t="s" s="0">
        <v>214</v>
      </c>
      <c r="E172" t="s" s="0">
        <v>4877</v>
      </c>
      <c r="F172" t="s" s="0">
        <v>4878</v>
      </c>
      <c r="G172" t="s" s="0">
        <v>4879</v>
      </c>
      <c r="H172" t="s" s="0">
        <v>84</v>
      </c>
      <c r="I172" t="s" s="0">
        <v>85</v>
      </c>
      <c r="J172" t="s" s="0">
        <v>4880</v>
      </c>
      <c r="K172" t="s" s="0">
        <v>4881</v>
      </c>
      <c r="L172" t="s" s="0">
        <v>84</v>
      </c>
      <c r="M172" t="s" s="0">
        <v>84</v>
      </c>
      <c r="N172" t="s" s="0">
        <v>84</v>
      </c>
      <c r="O172" t="s" s="0">
        <v>4882</v>
      </c>
      <c r="P172" t="s" s="0">
        <v>4883</v>
      </c>
      <c r="Q172" t="s" s="0">
        <v>93</v>
      </c>
      <c r="R172" t="s" s="0">
        <v>84</v>
      </c>
      <c r="S172" t="s" s="0">
        <v>84</v>
      </c>
      <c r="T172" t="s" s="0">
        <v>84</v>
      </c>
      <c r="U172" t="s" s="0">
        <v>84</v>
      </c>
      <c r="V172" t="s" s="0">
        <v>4884</v>
      </c>
      <c r="W172" t="s" s="0">
        <v>2929</v>
      </c>
      <c r="X172" t="s" s="0">
        <v>84</v>
      </c>
      <c r="Y172" t="s" s="0">
        <v>84</v>
      </c>
      <c r="Z172" t="s" s="0">
        <v>96</v>
      </c>
      <c r="AA172" t="s" s="0">
        <v>97</v>
      </c>
      <c r="AB172" t="s" s="0">
        <v>84</v>
      </c>
      <c r="AC172" t="s" s="0">
        <v>84</v>
      </c>
      <c r="AD172" t="s" s="0">
        <v>84</v>
      </c>
      <c r="AE172" t="s" s="0">
        <v>84</v>
      </c>
      <c r="AF172" t="s" s="0">
        <v>84</v>
      </c>
      <c r="AG172" t="s" s="0">
        <v>84</v>
      </c>
      <c r="AH172" t="s" s="0">
        <v>4885</v>
      </c>
      <c r="AI172" t="s" s="0">
        <v>4886</v>
      </c>
      <c r="AJ172" t="s" s="0">
        <v>4887</v>
      </c>
      <c r="AK172" t="s" s="0">
        <v>84</v>
      </c>
      <c r="AL172" t="s" s="0">
        <v>264</v>
      </c>
      <c r="AM172" t="s" s="0">
        <v>503</v>
      </c>
      <c r="AN172" t="s" s="0">
        <v>4625</v>
      </c>
      <c r="AO172" t="s" s="0">
        <v>78</v>
      </c>
      <c r="AP172" t="s" s="0">
        <v>339</v>
      </c>
      <c r="AQ172" t="s" s="0">
        <v>2934</v>
      </c>
      <c r="AR172" t="s" s="0">
        <v>704</v>
      </c>
      <c r="AS172" t="s" s="0">
        <v>2935</v>
      </c>
      <c r="AT172" t="s" s="0">
        <v>2936</v>
      </c>
      <c r="AU172" t="s" s="0">
        <v>2937</v>
      </c>
      <c r="AV172" t="s" s="0">
        <v>84</v>
      </c>
      <c r="AW172" t="s" s="0">
        <v>2938</v>
      </c>
      <c r="AX172" t="s" s="0">
        <v>2939</v>
      </c>
      <c r="AY172" t="s" s="0">
        <v>385</v>
      </c>
      <c r="AZ172" t="s" s="0">
        <v>159</v>
      </c>
      <c r="BA172" t="s" s="0">
        <v>1235</v>
      </c>
      <c r="BB172" t="s" s="0">
        <v>116</v>
      </c>
      <c r="BC172" t="s" s="0">
        <v>84</v>
      </c>
      <c r="BD172" t="s" s="0">
        <v>84</v>
      </c>
      <c r="BE172" t="s" s="0">
        <v>84</v>
      </c>
      <c r="BF172" t="s" s="0">
        <v>84</v>
      </c>
      <c r="BG172" t="s" s="0">
        <v>3757</v>
      </c>
      <c r="BH172" t="s" s="0">
        <v>2852</v>
      </c>
      <c r="BI172" t="s" s="0">
        <v>84</v>
      </c>
      <c r="BJ172" t="s" s="0">
        <v>4888</v>
      </c>
      <c r="BK172" t="s" s="341">
        <f>HYPERLINK("http://dx.doi.org/10.1016/j.gie.2020.06.059","http://dx.doi.org/10.1016/j.gie.2020.06.059")</f>
        <v>4889</v>
      </c>
      <c r="BL172" t="s" s="0">
        <v>84</v>
      </c>
      <c r="BM172" t="s" s="0">
        <v>84</v>
      </c>
      <c r="BN172" t="s" s="0">
        <v>133</v>
      </c>
      <c r="BO172" t="s" s="0">
        <v>2942</v>
      </c>
      <c r="BP172" t="s" s="0">
        <v>2942</v>
      </c>
      <c r="BQ172" t="s" s="0">
        <v>4890</v>
      </c>
      <c r="BR172" t="s" s="0">
        <v>4891</v>
      </c>
      <c r="BS172" t="s" s="0">
        <v>4892</v>
      </c>
      <c r="BT172" t="s" s="342">
        <f>HYPERLINK("https://www.webofscience.com/wos/woscc/full-record/WOS:000600548600008","View Record in Web of Science")</f>
        <v>127</v>
      </c>
      <c r="BU172" t="s" s="0">
        <v>84</v>
      </c>
      <c r="BV172" t="s" s="0">
        <v>128</v>
      </c>
      <c r="BW172" t="s" s="0">
        <v>129</v>
      </c>
      <c r="BX172" t="s" s="0">
        <v>130</v>
      </c>
    </row>
    <row r="173">
      <c r="A173" t="s" s="0">
        <v>1050</v>
      </c>
      <c r="B173" t="s" s="0">
        <v>78</v>
      </c>
      <c r="C173" t="s" s="0">
        <v>1978</v>
      </c>
      <c r="D173" t="s" s="0">
        <v>116</v>
      </c>
      <c r="E173" t="s" s="0">
        <v>4893</v>
      </c>
      <c r="F173" t="s" s="0">
        <v>4894</v>
      </c>
      <c r="G173" t="s" s="0">
        <v>4895</v>
      </c>
      <c r="H173" t="s" s="0">
        <v>84</v>
      </c>
      <c r="I173" t="s" s="0">
        <v>85</v>
      </c>
      <c r="J173" t="s" s="0">
        <v>4896</v>
      </c>
      <c r="K173" t="s" s="0">
        <v>4897</v>
      </c>
      <c r="L173" t="s" s="0">
        <v>84</v>
      </c>
      <c r="M173" t="s" s="0">
        <v>84</v>
      </c>
      <c r="N173" t="s" s="0">
        <v>84</v>
      </c>
      <c r="O173" t="s" s="0">
        <v>4898</v>
      </c>
      <c r="P173" t="s" s="0">
        <v>4899</v>
      </c>
      <c r="Q173" t="s" s="0">
        <v>93</v>
      </c>
      <c r="R173" t="s" s="0">
        <v>84</v>
      </c>
      <c r="S173" t="s" s="0">
        <v>84</v>
      </c>
      <c r="T173" t="s" s="0">
        <v>84</v>
      </c>
      <c r="U173" t="s" s="0">
        <v>84</v>
      </c>
      <c r="V173" t="s" s="0">
        <v>4900</v>
      </c>
      <c r="W173" t="s" s="0">
        <v>4901</v>
      </c>
      <c r="X173" t="s" s="0">
        <v>84</v>
      </c>
      <c r="Y173" t="s" s="0">
        <v>84</v>
      </c>
      <c r="Z173" t="s" s="0">
        <v>96</v>
      </c>
      <c r="AA173" t="s" s="0">
        <v>97</v>
      </c>
      <c r="AB173" t="s" s="0">
        <v>84</v>
      </c>
      <c r="AC173" t="s" s="0">
        <v>84</v>
      </c>
      <c r="AD173" t="s" s="0">
        <v>84</v>
      </c>
      <c r="AE173" t="s" s="0">
        <v>84</v>
      </c>
      <c r="AF173" t="s" s="0">
        <v>84</v>
      </c>
      <c r="AG173" t="s" s="0">
        <v>84</v>
      </c>
      <c r="AH173" t="s" s="0">
        <v>4902</v>
      </c>
      <c r="AI173" t="s" s="0">
        <v>4903</v>
      </c>
      <c r="AJ173" t="s" s="0">
        <v>4904</v>
      </c>
      <c r="AK173" t="s" s="0">
        <v>84</v>
      </c>
      <c r="AL173" t="s" s="0">
        <v>4905</v>
      </c>
      <c r="AM173" t="s" s="0">
        <v>1429</v>
      </c>
      <c r="AN173" t="s" s="0">
        <v>4001</v>
      </c>
      <c r="AO173" t="s" s="0">
        <v>192</v>
      </c>
      <c r="AP173" t="s" s="0">
        <v>702</v>
      </c>
      <c r="AQ173" t="s" s="0">
        <v>703</v>
      </c>
      <c r="AR173" t="s" s="0">
        <v>704</v>
      </c>
      <c r="AS173" t="s" s="0">
        <v>705</v>
      </c>
      <c r="AT173" t="s" s="0">
        <v>4906</v>
      </c>
      <c r="AU173" t="s" s="0">
        <v>4907</v>
      </c>
      <c r="AV173" t="s" s="0">
        <v>84</v>
      </c>
      <c r="AW173" t="s" s="0">
        <v>4901</v>
      </c>
      <c r="AX173" t="s" s="0">
        <v>4908</v>
      </c>
      <c r="AY173" t="s" s="0">
        <v>4909</v>
      </c>
      <c r="AZ173" t="s" s="0">
        <v>235</v>
      </c>
      <c r="BA173" t="s" s="0">
        <v>4674</v>
      </c>
      <c r="BB173" t="s" s="0">
        <v>4910</v>
      </c>
      <c r="BC173" t="s" s="0">
        <v>84</v>
      </c>
      <c r="BD173" t="s" s="0">
        <v>84</v>
      </c>
      <c r="BE173" t="s" s="0">
        <v>84</v>
      </c>
      <c r="BF173" t="s" s="0">
        <v>84</v>
      </c>
      <c r="BG173" t="s" s="0">
        <v>3342</v>
      </c>
      <c r="BH173" t="s" s="0">
        <v>4911</v>
      </c>
      <c r="BI173" t="s" s="0">
        <v>84</v>
      </c>
      <c r="BJ173" t="s" s="0">
        <v>4912</v>
      </c>
      <c r="BK173" t="s" s="343">
        <f>HYPERLINK("http://dx.doi.org/10.1016/S0140-6736(22)01694-4","http://dx.doi.org/10.1016/S0140-6736(22)01694-4")</f>
        <v>4913</v>
      </c>
      <c r="BL173" t="s" s="0">
        <v>84</v>
      </c>
      <c r="BM173" t="s" s="0">
        <v>573</v>
      </c>
      <c r="BN173" t="s" s="0">
        <v>207</v>
      </c>
      <c r="BO173" t="s" s="0">
        <v>281</v>
      </c>
      <c r="BP173" t="s" s="0">
        <v>282</v>
      </c>
      <c r="BQ173" t="s" s="0">
        <v>4914</v>
      </c>
      <c r="BR173" t="s" s="0">
        <v>4915</v>
      </c>
      <c r="BS173" t="s" s="0">
        <v>4916</v>
      </c>
      <c r="BT173" t="s" s="344">
        <f>HYPERLINK("https://www.webofscience.com/wos/woscc/full-record/WOS:000964691200001","View Record in Web of Science")</f>
        <v>127</v>
      </c>
      <c r="BU173" t="s" s="0">
        <v>4917</v>
      </c>
      <c r="BV173" t="s" s="0">
        <v>128</v>
      </c>
      <c r="BW173" t="s" s="0">
        <v>129</v>
      </c>
      <c r="BX173" t="s" s="0">
        <v>130</v>
      </c>
    </row>
    <row r="174">
      <c r="A174" t="s" s="0">
        <v>604</v>
      </c>
      <c r="B174" t="s" s="0">
        <v>78</v>
      </c>
      <c r="C174" t="s" s="0">
        <v>2850</v>
      </c>
      <c r="D174" t="s" s="0">
        <v>78</v>
      </c>
      <c r="E174" t="s" s="0">
        <v>4918</v>
      </c>
      <c r="F174" t="s" s="0">
        <v>4919</v>
      </c>
      <c r="G174" t="s" s="0">
        <v>4920</v>
      </c>
      <c r="H174" t="s" s="0">
        <v>84</v>
      </c>
      <c r="I174" t="s" s="0">
        <v>85</v>
      </c>
      <c r="J174" t="s" s="0">
        <v>4921</v>
      </c>
      <c r="K174" t="s" s="0">
        <v>4922</v>
      </c>
      <c r="L174" t="s" s="0">
        <v>4923</v>
      </c>
      <c r="M174" t="s" s="0">
        <v>4924</v>
      </c>
      <c r="N174" t="s" s="0">
        <v>4925</v>
      </c>
      <c r="O174" t="s" s="0">
        <v>4926</v>
      </c>
      <c r="P174" t="s" s="0">
        <v>4927</v>
      </c>
      <c r="Q174" t="s" s="0">
        <v>93</v>
      </c>
      <c r="R174" t="s" s="0">
        <v>84</v>
      </c>
      <c r="S174" t="s" s="0">
        <v>84</v>
      </c>
      <c r="T174" t="s" s="0">
        <v>84</v>
      </c>
      <c r="U174" t="s" s="0">
        <v>84</v>
      </c>
      <c r="V174" t="s" s="0">
        <v>4928</v>
      </c>
      <c r="W174" t="s" s="0">
        <v>1954</v>
      </c>
      <c r="X174" t="s" s="0">
        <v>84</v>
      </c>
      <c r="Y174" t="s" s="0">
        <v>84</v>
      </c>
      <c r="Z174" t="s" s="0">
        <v>96</v>
      </c>
      <c r="AA174" t="s" s="0">
        <v>97</v>
      </c>
      <c r="AB174" t="s" s="0">
        <v>84</v>
      </c>
      <c r="AC174" t="s" s="0">
        <v>84</v>
      </c>
      <c r="AD174" t="s" s="0">
        <v>84</v>
      </c>
      <c r="AE174" t="s" s="0">
        <v>84</v>
      </c>
      <c r="AF174" t="s" s="0">
        <v>84</v>
      </c>
      <c r="AG174" t="s" s="0">
        <v>4929</v>
      </c>
      <c r="AH174" t="s" s="0">
        <v>4930</v>
      </c>
      <c r="AI174" t="s" s="0">
        <v>4931</v>
      </c>
      <c r="AJ174" t="s" s="0">
        <v>4932</v>
      </c>
      <c r="AK174" t="s" s="0">
        <v>84</v>
      </c>
      <c r="AL174" t="s" s="0">
        <v>3456</v>
      </c>
      <c r="AM174" t="s" s="0">
        <v>1429</v>
      </c>
      <c r="AN174" t="s" s="0">
        <v>4933</v>
      </c>
      <c r="AO174" t="s" s="0">
        <v>394</v>
      </c>
      <c r="AP174" t="s" s="0">
        <v>4934</v>
      </c>
      <c r="AQ174" t="s" s="0">
        <v>1962</v>
      </c>
      <c r="AR174" t="s" s="0">
        <v>1963</v>
      </c>
      <c r="AS174" t="s" s="0">
        <v>1964</v>
      </c>
      <c r="AT174" t="s" s="0">
        <v>1965</v>
      </c>
      <c r="AU174" t="s" s="0">
        <v>1966</v>
      </c>
      <c r="AV174" t="s" s="0">
        <v>84</v>
      </c>
      <c r="AW174" t="s" s="0">
        <v>1967</v>
      </c>
      <c r="AX174" t="s" s="0">
        <v>1968</v>
      </c>
      <c r="AY174" t="s" s="0">
        <v>2992</v>
      </c>
      <c r="AZ174" t="s" s="0">
        <v>351</v>
      </c>
      <c r="BA174" t="s" s="0">
        <v>1117</v>
      </c>
      <c r="BB174" t="s" s="0">
        <v>360</v>
      </c>
      <c r="BC174" t="s" s="0">
        <v>84</v>
      </c>
      <c r="BD174" t="s" s="0">
        <v>84</v>
      </c>
      <c r="BE174" t="s" s="0">
        <v>84</v>
      </c>
      <c r="BF174" t="s" s="0">
        <v>84</v>
      </c>
      <c r="BG174" t="s" s="0">
        <v>84</v>
      </c>
      <c r="BH174" t="s" s="0">
        <v>84</v>
      </c>
      <c r="BI174" t="s" s="0">
        <v>4935</v>
      </c>
      <c r="BJ174" t="s" s="0">
        <v>4936</v>
      </c>
      <c r="BK174" t="s" s="345">
        <f>HYPERLINK("http://dx.doi.org/10.1002/adma.202003722","http://dx.doi.org/10.1002/adma.202003722")</f>
        <v>4937</v>
      </c>
      <c r="BL174" t="s" s="0">
        <v>84</v>
      </c>
      <c r="BM174" t="s" s="0">
        <v>2881</v>
      </c>
      <c r="BN174" t="s" s="0">
        <v>1524</v>
      </c>
      <c r="BO174" t="s" s="0">
        <v>1973</v>
      </c>
      <c r="BP174" t="s" s="0">
        <v>1974</v>
      </c>
      <c r="BQ174" t="s" s="0">
        <v>4938</v>
      </c>
      <c r="BR174" t="s" s="0">
        <v>4939</v>
      </c>
      <c r="BS174" t="s" s="0">
        <v>4940</v>
      </c>
      <c r="BT174" t="s" s="346">
        <f>HYPERLINK("https://www.webofscience.com/wos/woscc/full-record/WOS:000588810800001","View Record in Web of Science")</f>
        <v>127</v>
      </c>
      <c r="BU174" t="s" s="0">
        <v>84</v>
      </c>
      <c r="BV174" t="s" s="0">
        <v>128</v>
      </c>
      <c r="BW174" t="s" s="0">
        <v>129</v>
      </c>
      <c r="BX174" t="s" s="0">
        <v>130</v>
      </c>
    </row>
    <row r="175">
      <c r="A175" t="s" s="0">
        <v>396</v>
      </c>
      <c r="B175" t="s" s="0">
        <v>78</v>
      </c>
      <c r="C175" t="s" s="0">
        <v>468</v>
      </c>
      <c r="D175" t="s" s="0">
        <v>116</v>
      </c>
      <c r="E175" t="s" s="0">
        <v>4941</v>
      </c>
      <c r="F175" t="s" s="0">
        <v>4942</v>
      </c>
      <c r="G175" t="s" s="0">
        <v>4943</v>
      </c>
      <c r="H175" t="s" s="0">
        <v>84</v>
      </c>
      <c r="I175" t="s" s="0">
        <v>251</v>
      </c>
      <c r="J175" t="s" s="0">
        <v>4944</v>
      </c>
      <c r="K175" t="s" s="0">
        <v>4945</v>
      </c>
      <c r="L175" t="s" s="0">
        <v>4946</v>
      </c>
      <c r="M175" t="s" s="0">
        <v>4947</v>
      </c>
      <c r="N175" t="s" s="0">
        <v>4948</v>
      </c>
      <c r="O175" t="s" s="0">
        <v>4949</v>
      </c>
      <c r="P175" t="s" s="0">
        <v>4950</v>
      </c>
      <c r="Q175" t="s" s="0">
        <v>93</v>
      </c>
      <c r="R175" t="s" s="0">
        <v>84</v>
      </c>
      <c r="S175" t="s" s="0">
        <v>84</v>
      </c>
      <c r="T175" t="s" s="0">
        <v>84</v>
      </c>
      <c r="U175" t="s" s="0">
        <v>84</v>
      </c>
      <c r="V175" t="s" s="0">
        <v>4951</v>
      </c>
      <c r="W175" t="s" s="0">
        <v>4952</v>
      </c>
      <c r="X175" t="s" s="0">
        <v>84</v>
      </c>
      <c r="Y175" t="s" s="0">
        <v>84</v>
      </c>
      <c r="Z175" t="s" s="0">
        <v>96</v>
      </c>
      <c r="AA175" t="s" s="0">
        <v>97</v>
      </c>
      <c r="AB175" t="s" s="0">
        <v>84</v>
      </c>
      <c r="AC175" t="s" s="0">
        <v>84</v>
      </c>
      <c r="AD175" t="s" s="0">
        <v>84</v>
      </c>
      <c r="AE175" t="s" s="0">
        <v>84</v>
      </c>
      <c r="AF175" t="s" s="0">
        <v>84</v>
      </c>
      <c r="AG175" t="s" s="0">
        <v>4953</v>
      </c>
      <c r="AH175" t="s" s="0">
        <v>4954</v>
      </c>
      <c r="AI175" t="s" s="0">
        <v>4955</v>
      </c>
      <c r="AJ175" t="s" s="0">
        <v>4956</v>
      </c>
      <c r="AK175" t="s" s="0">
        <v>84</v>
      </c>
      <c r="AL175" t="s" s="0">
        <v>518</v>
      </c>
      <c r="AM175" t="s" s="0">
        <v>4957</v>
      </c>
      <c r="AN175" t="s" s="0">
        <v>4958</v>
      </c>
      <c r="AO175" t="s" s="0">
        <v>604</v>
      </c>
      <c r="AP175" t="s" s="0">
        <v>4560</v>
      </c>
      <c r="AQ175" t="s" s="0">
        <v>4959</v>
      </c>
      <c r="AR175" t="s" s="0">
        <v>4960</v>
      </c>
      <c r="AS175" t="s" s="0">
        <v>4961</v>
      </c>
      <c r="AT175" t="s" s="0">
        <v>4962</v>
      </c>
      <c r="AU175" t="s" s="0">
        <v>4963</v>
      </c>
      <c r="AV175" t="s" s="0">
        <v>84</v>
      </c>
      <c r="AW175" t="s" s="0">
        <v>4964</v>
      </c>
      <c r="AX175" t="s" s="0">
        <v>4965</v>
      </c>
      <c r="AY175" t="s" s="0">
        <v>4966</v>
      </c>
      <c r="AZ175" t="s" s="0">
        <v>351</v>
      </c>
      <c r="BA175" t="s" s="0">
        <v>468</v>
      </c>
      <c r="BB175" t="s" s="0">
        <v>160</v>
      </c>
      <c r="BC175" t="s" s="0">
        <v>84</v>
      </c>
      <c r="BD175" t="s" s="0">
        <v>84</v>
      </c>
      <c r="BE175" t="s" s="0">
        <v>84</v>
      </c>
      <c r="BF175" t="s" s="0">
        <v>84</v>
      </c>
      <c r="BG175" t="s" s="0">
        <v>84</v>
      </c>
      <c r="BH175" t="s" s="0">
        <v>84</v>
      </c>
      <c r="BI175" t="s" s="0">
        <v>4967</v>
      </c>
      <c r="BJ175" t="s" s="0">
        <v>4968</v>
      </c>
      <c r="BK175" t="s" s="347">
        <f>HYPERLINK("http://dx.doi.org/10.2196/17158","http://dx.doi.org/10.2196/17158")</f>
        <v>4969</v>
      </c>
      <c r="BL175" t="s" s="0">
        <v>84</v>
      </c>
      <c r="BM175" t="s" s="0">
        <v>84</v>
      </c>
      <c r="BN175" t="s" s="0">
        <v>1130</v>
      </c>
      <c r="BO175" t="s" s="0">
        <v>1298</v>
      </c>
      <c r="BP175" t="s" s="0">
        <v>1298</v>
      </c>
      <c r="BQ175" t="s" s="0">
        <v>4970</v>
      </c>
      <c r="BR175" t="s" s="0">
        <v>4971</v>
      </c>
      <c r="BS175" t="s" s="0">
        <v>4972</v>
      </c>
      <c r="BT175" t="s" s="348">
        <f>HYPERLINK("https://www.webofscience.com/wos/woscc/full-record/WOS:000575058600004","View Record in Web of Science")</f>
        <v>127</v>
      </c>
      <c r="BU175" t="s" s="0">
        <v>170</v>
      </c>
      <c r="BV175" t="s" s="0">
        <v>128</v>
      </c>
      <c r="BW175" t="s" s="0">
        <v>129</v>
      </c>
      <c r="BX175" t="s" s="0">
        <v>130</v>
      </c>
    </row>
    <row r="176">
      <c r="A176" t="s" s="0">
        <v>787</v>
      </c>
      <c r="B176" t="s" s="0">
        <v>78</v>
      </c>
      <c r="C176" t="s" s="0">
        <v>1942</v>
      </c>
      <c r="D176" t="s" s="0">
        <v>78</v>
      </c>
      <c r="E176" t="s" s="0">
        <v>4973</v>
      </c>
      <c r="F176" t="s" s="0">
        <v>4974</v>
      </c>
      <c r="G176" t="s" s="0">
        <v>4975</v>
      </c>
      <c r="H176" t="s" s="0">
        <v>84</v>
      </c>
      <c r="I176" t="s" s="0">
        <v>85</v>
      </c>
      <c r="J176" t="s" s="0">
        <v>4976</v>
      </c>
      <c r="K176" t="s" s="0">
        <v>4977</v>
      </c>
      <c r="L176" t="s" s="0">
        <v>4978</v>
      </c>
      <c r="M176" t="s" s="0">
        <v>4979</v>
      </c>
      <c r="N176" t="s" s="0">
        <v>4980</v>
      </c>
      <c r="O176" t="s" s="0">
        <v>4981</v>
      </c>
      <c r="P176" t="s" s="0">
        <v>4982</v>
      </c>
      <c r="Q176" t="s" s="0">
        <v>93</v>
      </c>
      <c r="R176" t="s" s="0">
        <v>84</v>
      </c>
      <c r="S176" t="s" s="0">
        <v>84</v>
      </c>
      <c r="T176" t="s" s="0">
        <v>84</v>
      </c>
      <c r="U176" t="s" s="0">
        <v>84</v>
      </c>
      <c r="V176" t="s" s="0">
        <v>4983</v>
      </c>
      <c r="W176" t="s" s="0">
        <v>4473</v>
      </c>
      <c r="X176" t="s" s="0">
        <v>84</v>
      </c>
      <c r="Y176" t="s" s="0">
        <v>84</v>
      </c>
      <c r="Z176" t="s" s="0">
        <v>96</v>
      </c>
      <c r="AA176" t="s" s="0">
        <v>97</v>
      </c>
      <c r="AB176" t="s" s="0">
        <v>84</v>
      </c>
      <c r="AC176" t="s" s="0">
        <v>84</v>
      </c>
      <c r="AD176" t="s" s="0">
        <v>84</v>
      </c>
      <c r="AE176" t="s" s="0">
        <v>84</v>
      </c>
      <c r="AF176" t="s" s="0">
        <v>84</v>
      </c>
      <c r="AG176" t="s" s="0">
        <v>4984</v>
      </c>
      <c r="AH176" t="s" s="0">
        <v>4985</v>
      </c>
      <c r="AI176" t="s" s="0">
        <v>4986</v>
      </c>
      <c r="AJ176" t="s" s="0">
        <v>4987</v>
      </c>
      <c r="AK176" t="s" s="0">
        <v>84</v>
      </c>
      <c r="AL176" t="s" s="0">
        <v>558</v>
      </c>
      <c r="AM176" t="s" s="0">
        <v>3093</v>
      </c>
      <c r="AN176" t="s" s="0">
        <v>1760</v>
      </c>
      <c r="AO176" t="s" s="0">
        <v>527</v>
      </c>
      <c r="AP176" t="s" s="0">
        <v>4988</v>
      </c>
      <c r="AQ176" t="s" s="0">
        <v>379</v>
      </c>
      <c r="AR176" t="s" s="0">
        <v>380</v>
      </c>
      <c r="AS176" t="s" s="0">
        <v>381</v>
      </c>
      <c r="AT176" t="s" s="0">
        <v>84</v>
      </c>
      <c r="AU176" t="s" s="0">
        <v>4479</v>
      </c>
      <c r="AV176" t="s" s="0">
        <v>84</v>
      </c>
      <c r="AW176" t="s" s="0">
        <v>4480</v>
      </c>
      <c r="AX176" t="s" s="0">
        <v>4481</v>
      </c>
      <c r="AY176" t="s" s="0">
        <v>4989</v>
      </c>
      <c r="AZ176" t="s" s="0">
        <v>114</v>
      </c>
      <c r="BA176" t="s" s="0">
        <v>172</v>
      </c>
      <c r="BB176" t="s" s="0">
        <v>342</v>
      </c>
      <c r="BC176" t="s" s="0">
        <v>84</v>
      </c>
      <c r="BD176" t="s" s="0">
        <v>84</v>
      </c>
      <c r="BE176" t="s" s="0">
        <v>84</v>
      </c>
      <c r="BF176" t="s" s="0">
        <v>84</v>
      </c>
      <c r="BG176" t="s" s="0">
        <v>84</v>
      </c>
      <c r="BH176" t="s" s="0">
        <v>84</v>
      </c>
      <c r="BI176" t="s" s="0">
        <v>4990</v>
      </c>
      <c r="BJ176" t="s" s="0">
        <v>4991</v>
      </c>
      <c r="BK176" t="s" s="349">
        <f>HYPERLINK("http://dx.doi.org/10.3390/app9071345","http://dx.doi.org/10.3390/app9071345")</f>
        <v>4992</v>
      </c>
      <c r="BL176" t="s" s="0">
        <v>84</v>
      </c>
      <c r="BM176" t="s" s="0">
        <v>84</v>
      </c>
      <c r="BN176" t="s" s="0">
        <v>468</v>
      </c>
      <c r="BO176" t="s" s="0">
        <v>4485</v>
      </c>
      <c r="BP176" t="s" s="0">
        <v>4486</v>
      </c>
      <c r="BQ176" t="s" s="0">
        <v>4993</v>
      </c>
      <c r="BR176" t="s" s="0">
        <v>84</v>
      </c>
      <c r="BS176" t="s" s="0">
        <v>4994</v>
      </c>
      <c r="BT176" t="s" s="350">
        <f>HYPERLINK("https://www.webofscience.com/wos/woscc/full-record/WOS:000466547500080","View Record in Web of Science")</f>
        <v>127</v>
      </c>
      <c r="BU176" t="s" s="0">
        <v>170</v>
      </c>
      <c r="BV176" t="s" s="0">
        <v>128</v>
      </c>
      <c r="BW176" t="s" s="0">
        <v>129</v>
      </c>
      <c r="BX176" t="s" s="0">
        <v>130</v>
      </c>
    </row>
    <row r="177">
      <c r="A177" t="s" s="0">
        <v>202</v>
      </c>
      <c r="B177" t="s" s="0">
        <v>78</v>
      </c>
      <c r="C177" t="s" s="0">
        <v>433</v>
      </c>
      <c r="D177" t="s" s="0">
        <v>116</v>
      </c>
      <c r="E177" t="s" s="0">
        <v>4995</v>
      </c>
      <c r="F177" t="s" s="0">
        <v>4996</v>
      </c>
      <c r="G177" t="s" s="0">
        <v>4997</v>
      </c>
      <c r="H177" t="s" s="0">
        <v>84</v>
      </c>
      <c r="I177" t="s" s="0">
        <v>1100</v>
      </c>
      <c r="J177" t="s" s="0">
        <v>4998</v>
      </c>
      <c r="K177" t="s" s="0">
        <v>4999</v>
      </c>
      <c r="L177" t="s" s="0">
        <v>84</v>
      </c>
      <c r="M177" t="s" s="0">
        <v>84</v>
      </c>
      <c r="N177" t="s" s="0">
        <v>84</v>
      </c>
      <c r="O177" t="s" s="0">
        <v>5000</v>
      </c>
      <c r="P177" t="s" s="0">
        <v>5001</v>
      </c>
      <c r="Q177" t="s" s="0">
        <v>93</v>
      </c>
      <c r="R177" t="s" s="0">
        <v>84</v>
      </c>
      <c r="S177" t="s" s="0">
        <v>84</v>
      </c>
      <c r="T177" t="s" s="0">
        <v>84</v>
      </c>
      <c r="U177" t="s" s="0">
        <v>84</v>
      </c>
      <c r="V177" t="s" s="0">
        <v>5002</v>
      </c>
      <c r="W177" t="s" s="0">
        <v>5003</v>
      </c>
      <c r="X177" t="s" s="0">
        <v>84</v>
      </c>
      <c r="Y177" t="s" s="0">
        <v>84</v>
      </c>
      <c r="Z177" t="s" s="0">
        <v>96</v>
      </c>
      <c r="AA177" t="s" s="0">
        <v>97</v>
      </c>
      <c r="AB177" t="s" s="0">
        <v>84</v>
      </c>
      <c r="AC177" t="s" s="0">
        <v>84</v>
      </c>
      <c r="AD177" t="s" s="0">
        <v>84</v>
      </c>
      <c r="AE177" t="s" s="0">
        <v>84</v>
      </c>
      <c r="AF177" t="s" s="0">
        <v>84</v>
      </c>
      <c r="AG177" t="s" s="0">
        <v>84</v>
      </c>
      <c r="AH177" t="s" s="0">
        <v>5004</v>
      </c>
      <c r="AI177" t="s" s="0">
        <v>5005</v>
      </c>
      <c r="AJ177" t="s" s="0">
        <v>5006</v>
      </c>
      <c r="AK177" t="s" s="0">
        <v>84</v>
      </c>
      <c r="AL177" t="s" s="0">
        <v>822</v>
      </c>
      <c r="AM177" t="s" s="0">
        <v>5007</v>
      </c>
      <c r="AN177" t="s" s="0">
        <v>3981</v>
      </c>
      <c r="AO177" t="s" s="0">
        <v>527</v>
      </c>
      <c r="AP177" t="s" s="0">
        <v>115</v>
      </c>
      <c r="AQ177" t="s" s="0">
        <v>5008</v>
      </c>
      <c r="AR177" t="s" s="0">
        <v>5009</v>
      </c>
      <c r="AS177" t="s" s="0">
        <v>5010</v>
      </c>
      <c r="AT177" t="s" s="0">
        <v>84</v>
      </c>
      <c r="AU177" t="s" s="0">
        <v>5011</v>
      </c>
      <c r="AV177" t="s" s="0">
        <v>84</v>
      </c>
      <c r="AW177" t="s" s="0">
        <v>5012</v>
      </c>
      <c r="AX177" t="s" s="0">
        <v>5013</v>
      </c>
      <c r="AY177" t="s" s="0">
        <v>1680</v>
      </c>
      <c r="AZ177" t="s" s="0">
        <v>235</v>
      </c>
      <c r="BA177" t="s" s="0">
        <v>396</v>
      </c>
      <c r="BB177" t="s" s="0">
        <v>459</v>
      </c>
      <c r="BC177" t="s" s="0">
        <v>84</v>
      </c>
      <c r="BD177" t="s" s="0">
        <v>84</v>
      </c>
      <c r="BE177" t="s" s="0">
        <v>84</v>
      </c>
      <c r="BF177" t="s" s="0">
        <v>84</v>
      </c>
      <c r="BG177" t="s" s="0">
        <v>84</v>
      </c>
      <c r="BH177" t="s" s="0">
        <v>84</v>
      </c>
      <c r="BI177" t="s" s="0">
        <v>5014</v>
      </c>
      <c r="BJ177" t="s" s="0">
        <v>5015</v>
      </c>
      <c r="BK177" t="s" s="351">
        <f>HYPERLINK("http://dx.doi.org/10.1371/journal.pdig.0000278","http://dx.doi.org/10.1371/journal.pdig.0000278")</f>
        <v>5016</v>
      </c>
      <c r="BL177" t="s" s="0">
        <v>84</v>
      </c>
      <c r="BM177" t="s" s="0">
        <v>84</v>
      </c>
      <c r="BN177" t="s" s="0">
        <v>275</v>
      </c>
      <c r="BO177" t="s" s="0">
        <v>1298</v>
      </c>
      <c r="BP177" t="s" s="0">
        <v>1298</v>
      </c>
      <c r="BQ177" t="s" s="0">
        <v>5017</v>
      </c>
      <c r="BR177" t="s" s="0">
        <v>5018</v>
      </c>
      <c r="BS177" t="s" s="0">
        <v>5019</v>
      </c>
      <c r="BT177" t="s" s="352">
        <f>HYPERLINK("https://www.webofscience.com/wos/woscc/full-record/WOS:001416689900001","View Record in Web of Science")</f>
        <v>127</v>
      </c>
      <c r="BU177" t="s" s="0">
        <v>170</v>
      </c>
      <c r="BV177" t="s" s="0">
        <v>84</v>
      </c>
      <c r="BW177" t="s" s="0">
        <v>84</v>
      </c>
      <c r="BX177" t="s" s="0">
        <v>130</v>
      </c>
    </row>
    <row r="178">
      <c r="A178" t="s" s="0">
        <v>2877</v>
      </c>
      <c r="B178" t="s" s="0">
        <v>78</v>
      </c>
      <c r="C178" t="s" s="0">
        <v>3877</v>
      </c>
      <c r="D178" t="s" s="0">
        <v>78</v>
      </c>
      <c r="E178" t="s" s="0">
        <v>5020</v>
      </c>
      <c r="F178" t="s" s="0">
        <v>5021</v>
      </c>
      <c r="G178" t="s" s="0">
        <v>5022</v>
      </c>
      <c r="H178" t="s" s="0">
        <v>84</v>
      </c>
      <c r="I178" t="s" s="0">
        <v>85</v>
      </c>
      <c r="J178" t="s" s="0">
        <v>5023</v>
      </c>
      <c r="K178" t="s" s="0">
        <v>5024</v>
      </c>
      <c r="L178" t="s" s="0">
        <v>5025</v>
      </c>
      <c r="M178" t="s" s="0">
        <v>5026</v>
      </c>
      <c r="N178" t="s" s="0">
        <v>5027</v>
      </c>
      <c r="O178" t="s" s="0">
        <v>5028</v>
      </c>
      <c r="P178" t="s" s="0">
        <v>5029</v>
      </c>
      <c r="Q178" t="s" s="0">
        <v>93</v>
      </c>
      <c r="R178" t="s" s="0">
        <v>84</v>
      </c>
      <c r="S178" t="s" s="0">
        <v>84</v>
      </c>
      <c r="T178" t="s" s="0">
        <v>84</v>
      </c>
      <c r="U178" t="s" s="0">
        <v>84</v>
      </c>
      <c r="V178" t="s" s="0">
        <v>5030</v>
      </c>
      <c r="W178" t="s" s="0">
        <v>5031</v>
      </c>
      <c r="X178" t="s" s="0">
        <v>84</v>
      </c>
      <c r="Y178" t="s" s="0">
        <v>84</v>
      </c>
      <c r="Z178" t="s" s="0">
        <v>96</v>
      </c>
      <c r="AA178" t="s" s="0">
        <v>97</v>
      </c>
      <c r="AB178" t="s" s="0">
        <v>84</v>
      </c>
      <c r="AC178" t="s" s="0">
        <v>84</v>
      </c>
      <c r="AD178" t="s" s="0">
        <v>84</v>
      </c>
      <c r="AE178" t="s" s="0">
        <v>84</v>
      </c>
      <c r="AF178" t="s" s="0">
        <v>84</v>
      </c>
      <c r="AG178" t="s" s="0">
        <v>5032</v>
      </c>
      <c r="AH178" t="s" s="0">
        <v>5033</v>
      </c>
      <c r="AI178" t="s" s="0">
        <v>5034</v>
      </c>
      <c r="AJ178" t="s" s="0">
        <v>84</v>
      </c>
      <c r="AK178" t="s" s="0">
        <v>84</v>
      </c>
      <c r="AL178" t="s" s="0">
        <v>1235</v>
      </c>
      <c r="AM178" t="s" s="0">
        <v>5007</v>
      </c>
      <c r="AN178" t="s" s="0">
        <v>3127</v>
      </c>
      <c r="AO178" t="s" s="0">
        <v>192</v>
      </c>
      <c r="AP178" t="s" s="0">
        <v>5035</v>
      </c>
      <c r="AQ178" t="s" s="0">
        <v>5036</v>
      </c>
      <c r="AR178" t="s" s="0">
        <v>5037</v>
      </c>
      <c r="AS178" t="s" s="0">
        <v>5038</v>
      </c>
      <c r="AT178" t="s" s="0">
        <v>5039</v>
      </c>
      <c r="AU178" t="s" s="0">
        <v>5040</v>
      </c>
      <c r="AV178" t="s" s="0">
        <v>84</v>
      </c>
      <c r="AW178" t="s" s="0">
        <v>5041</v>
      </c>
      <c r="AX178" t="s" s="0">
        <v>5042</v>
      </c>
      <c r="AY178" t="s" s="0">
        <v>5043</v>
      </c>
      <c r="AZ178" t="s" s="0">
        <v>235</v>
      </c>
      <c r="BA178" t="s" s="0">
        <v>1130</v>
      </c>
      <c r="BB178" t="s" s="0">
        <v>214</v>
      </c>
      <c r="BC178" t="s" s="0">
        <v>84</v>
      </c>
      <c r="BD178" t="s" s="0">
        <v>84</v>
      </c>
      <c r="BE178" t="s" s="0">
        <v>84</v>
      </c>
      <c r="BF178" t="s" s="0">
        <v>84</v>
      </c>
      <c r="BG178" t="s" s="0">
        <v>361</v>
      </c>
      <c r="BH178" t="s" s="0">
        <v>2195</v>
      </c>
      <c r="BI178" t="s" s="0">
        <v>84</v>
      </c>
      <c r="BJ178" t="s" s="0">
        <v>5044</v>
      </c>
      <c r="BK178" t="s" s="353">
        <f>HYPERLINK("http://dx.doi.org/10.1016/S1875-5364(23)60429-7","http://dx.doi.org/10.1016/S1875-5364(23)60429-7")</f>
        <v>5045</v>
      </c>
      <c r="BL178" t="s" s="0">
        <v>84</v>
      </c>
      <c r="BM178" t="s" s="0">
        <v>5043</v>
      </c>
      <c r="BN178" t="s" s="0">
        <v>527</v>
      </c>
      <c r="BO178" t="s" s="0">
        <v>5046</v>
      </c>
      <c r="BP178" t="s" s="0">
        <v>5046</v>
      </c>
      <c r="BQ178" t="s" s="0">
        <v>5047</v>
      </c>
      <c r="BR178" t="s" s="0">
        <v>5048</v>
      </c>
      <c r="BS178" t="s" s="0">
        <v>5049</v>
      </c>
      <c r="BT178" t="s" s="354">
        <f>HYPERLINK("https://www.webofscience.com/wos/woscc/full-record/WOS:001019459500001","View Record in Web of Science")</f>
        <v>127</v>
      </c>
      <c r="BU178" t="s" s="0">
        <v>84</v>
      </c>
      <c r="BV178" t="s" s="0">
        <v>128</v>
      </c>
      <c r="BW178" t="s" s="0">
        <v>129</v>
      </c>
      <c r="BX178" t="s" s="0">
        <v>130</v>
      </c>
    </row>
    <row r="179">
      <c r="A179" t="s" s="0">
        <v>396</v>
      </c>
      <c r="B179" t="s" s="0">
        <v>78</v>
      </c>
      <c r="C179" t="s" s="0">
        <v>1017</v>
      </c>
      <c r="D179" t="s" s="0">
        <v>396</v>
      </c>
      <c r="E179" t="s" s="0">
        <v>5050</v>
      </c>
      <c r="F179" t="s" s="0">
        <v>5051</v>
      </c>
      <c r="G179" t="s" s="0">
        <v>5052</v>
      </c>
      <c r="H179" t="s" s="0">
        <v>84</v>
      </c>
      <c r="I179" t="s" s="0">
        <v>85</v>
      </c>
      <c r="J179" t="s" s="0">
        <v>5053</v>
      </c>
      <c r="K179" t="s" s="0">
        <v>5054</v>
      </c>
      <c r="L179" t="s" s="0">
        <v>5055</v>
      </c>
      <c r="M179" t="s" s="0">
        <v>5056</v>
      </c>
      <c r="N179" t="s" s="0">
        <v>5057</v>
      </c>
      <c r="O179" t="s" s="0">
        <v>5058</v>
      </c>
      <c r="P179" t="s" s="0">
        <v>5059</v>
      </c>
      <c r="Q179" t="s" s="0">
        <v>93</v>
      </c>
      <c r="R179" t="s" s="0">
        <v>84</v>
      </c>
      <c r="S179" t="s" s="0">
        <v>84</v>
      </c>
      <c r="T179" t="s" s="0">
        <v>84</v>
      </c>
      <c r="U179" t="s" s="0">
        <v>84</v>
      </c>
      <c r="V179" t="s" s="0">
        <v>5060</v>
      </c>
      <c r="W179" t="s" s="0">
        <v>5061</v>
      </c>
      <c r="X179" t="s" s="0">
        <v>84</v>
      </c>
      <c r="Y179" t="s" s="0">
        <v>84</v>
      </c>
      <c r="Z179" t="s" s="0">
        <v>96</v>
      </c>
      <c r="AA179" t="s" s="0">
        <v>97</v>
      </c>
      <c r="AB179" t="s" s="0">
        <v>84</v>
      </c>
      <c r="AC179" t="s" s="0">
        <v>84</v>
      </c>
      <c r="AD179" t="s" s="0">
        <v>84</v>
      </c>
      <c r="AE179" t="s" s="0">
        <v>84</v>
      </c>
      <c r="AF179" t="s" s="0">
        <v>84</v>
      </c>
      <c r="AG179" t="s" s="0">
        <v>5062</v>
      </c>
      <c r="AH179" t="s" s="0">
        <v>5063</v>
      </c>
      <c r="AI179" t="s" s="0">
        <v>84</v>
      </c>
      <c r="AJ179" t="s" s="0">
        <v>5064</v>
      </c>
      <c r="AK179" t="s" s="0">
        <v>84</v>
      </c>
      <c r="AL179" t="s" s="0">
        <v>77</v>
      </c>
      <c r="AM179" t="s" s="0">
        <v>5007</v>
      </c>
      <c r="AN179" t="s" s="0">
        <v>5065</v>
      </c>
      <c r="AO179" t="s" s="0">
        <v>202</v>
      </c>
      <c r="AP179" t="s" s="0">
        <v>927</v>
      </c>
      <c r="AQ179" t="s" s="0">
        <v>982</v>
      </c>
      <c r="AR179" t="s" s="0">
        <v>983</v>
      </c>
      <c r="AS179" t="s" s="0">
        <v>984</v>
      </c>
      <c r="AT179" t="s" s="0">
        <v>5066</v>
      </c>
      <c r="AU179" t="s" s="0">
        <v>84</v>
      </c>
      <c r="AV179" t="s" s="0">
        <v>84</v>
      </c>
      <c r="AW179" t="s" s="0">
        <v>5067</v>
      </c>
      <c r="AX179" t="s" s="0">
        <v>5068</v>
      </c>
      <c r="AY179" t="s" s="0">
        <v>1969</v>
      </c>
      <c r="AZ179" t="s" s="0">
        <v>351</v>
      </c>
      <c r="BA179" t="s" s="0">
        <v>214</v>
      </c>
      <c r="BB179" t="s" s="0">
        <v>116</v>
      </c>
      <c r="BC179" t="s" s="0">
        <v>84</v>
      </c>
      <c r="BD179" t="s" s="0">
        <v>84</v>
      </c>
      <c r="BE179" t="s" s="0">
        <v>84</v>
      </c>
      <c r="BF179" t="s" s="0">
        <v>84</v>
      </c>
      <c r="BG179" t="s" s="0">
        <v>592</v>
      </c>
      <c r="BH179" t="s" s="0">
        <v>2512</v>
      </c>
      <c r="BI179" t="s" s="0">
        <v>84</v>
      </c>
      <c r="BJ179" t="s" s="0">
        <v>5069</v>
      </c>
      <c r="BK179" t="s" s="355">
        <f>HYPERLINK("http://dx.doi.org/10.1002/lio2.354","http://dx.doi.org/10.1002/lio2.354")</f>
        <v>5070</v>
      </c>
      <c r="BL179" t="s" s="0">
        <v>84</v>
      </c>
      <c r="BM179" t="s" s="0">
        <v>1268</v>
      </c>
      <c r="BN179" t="s" s="0">
        <v>1130</v>
      </c>
      <c r="BO179" t="s" s="0">
        <v>5071</v>
      </c>
      <c r="BP179" t="s" s="0">
        <v>5071</v>
      </c>
      <c r="BQ179" t="s" s="0">
        <v>5072</v>
      </c>
      <c r="BR179" t="s" s="0">
        <v>5073</v>
      </c>
      <c r="BS179" t="s" s="0">
        <v>5074</v>
      </c>
      <c r="BT179" t="s" s="356">
        <f>HYPERLINK("https://www.webofscience.com/wos/woscc/full-record/WOS:000510253000001","View Record in Web of Science")</f>
        <v>127</v>
      </c>
      <c r="BU179" t="s" s="0">
        <v>170</v>
      </c>
      <c r="BV179" t="s" s="0">
        <v>128</v>
      </c>
      <c r="BW179" t="s" s="0">
        <v>129</v>
      </c>
      <c r="BX179" t="s" s="0">
        <v>130</v>
      </c>
    </row>
    <row r="180">
      <c r="A180" t="s" s="0">
        <v>236</v>
      </c>
      <c r="B180" t="s" s="0">
        <v>78</v>
      </c>
      <c r="C180" t="s" s="0">
        <v>1714</v>
      </c>
      <c r="D180" t="s" s="0">
        <v>787</v>
      </c>
      <c r="E180" t="s" s="0">
        <v>5075</v>
      </c>
      <c r="F180" t="s" s="0">
        <v>5076</v>
      </c>
      <c r="G180" t="s" s="0">
        <v>5077</v>
      </c>
      <c r="H180" t="s" s="0">
        <v>84</v>
      </c>
      <c r="I180" t="s" s="0">
        <v>85</v>
      </c>
      <c r="J180" t="s" s="0">
        <v>5078</v>
      </c>
      <c r="K180" t="s" s="0">
        <v>1333</v>
      </c>
      <c r="L180" t="s" s="0">
        <v>5079</v>
      </c>
      <c r="M180" t="s" s="0">
        <v>5080</v>
      </c>
      <c r="N180" t="s" s="0">
        <v>84</v>
      </c>
      <c r="O180" t="s" s="0">
        <v>5081</v>
      </c>
      <c r="P180" t="s" s="0">
        <v>5082</v>
      </c>
      <c r="Q180" t="s" s="0">
        <v>93</v>
      </c>
      <c r="R180" t="s" s="0">
        <v>84</v>
      </c>
      <c r="S180" t="s" s="0">
        <v>84</v>
      </c>
      <c r="T180" t="s" s="0">
        <v>84</v>
      </c>
      <c r="U180" t="s" s="0">
        <v>84</v>
      </c>
      <c r="V180" t="s" s="0">
        <v>5083</v>
      </c>
      <c r="W180" t="s" s="0">
        <v>5084</v>
      </c>
      <c r="X180" t="s" s="0">
        <v>84</v>
      </c>
      <c r="Y180" t="s" s="0">
        <v>84</v>
      </c>
      <c r="Z180" t="s" s="0">
        <v>96</v>
      </c>
      <c r="AA180" t="s" s="0">
        <v>97</v>
      </c>
      <c r="AB180" t="s" s="0">
        <v>84</v>
      </c>
      <c r="AC180" t="s" s="0">
        <v>84</v>
      </c>
      <c r="AD180" t="s" s="0">
        <v>84</v>
      </c>
      <c r="AE180" t="s" s="0">
        <v>84</v>
      </c>
      <c r="AF180" t="s" s="0">
        <v>84</v>
      </c>
      <c r="AG180" t="s" s="0">
        <v>84</v>
      </c>
      <c r="AH180" t="s" s="0">
        <v>5085</v>
      </c>
      <c r="AI180" t="s" s="0">
        <v>5086</v>
      </c>
      <c r="AJ180" t="s" s="0">
        <v>5087</v>
      </c>
      <c r="AK180" t="s" s="0">
        <v>84</v>
      </c>
      <c r="AL180" t="s" s="0">
        <v>5088</v>
      </c>
      <c r="AM180" t="s" s="0">
        <v>5089</v>
      </c>
      <c r="AN180" t="s" s="0">
        <v>4526</v>
      </c>
      <c r="AO180" t="s" s="0">
        <v>312</v>
      </c>
      <c r="AP180" t="s" s="0">
        <v>5090</v>
      </c>
      <c r="AQ180" t="s" s="0">
        <v>1347</v>
      </c>
      <c r="AR180" t="s" s="0">
        <v>560</v>
      </c>
      <c r="AS180" t="s" s="0">
        <v>1348</v>
      </c>
      <c r="AT180" t="s" s="0">
        <v>5091</v>
      </c>
      <c r="AU180" t="s" s="0">
        <v>5092</v>
      </c>
      <c r="AV180" t="s" s="0">
        <v>84</v>
      </c>
      <c r="AW180" t="s" s="0">
        <v>5084</v>
      </c>
      <c r="AX180" t="s" s="0">
        <v>5093</v>
      </c>
      <c r="AY180" t="s" s="0">
        <v>1969</v>
      </c>
      <c r="AZ180" t="s" s="0">
        <v>351</v>
      </c>
      <c r="BA180" t="s" s="0">
        <v>5094</v>
      </c>
      <c r="BB180" t="s" s="0">
        <v>396</v>
      </c>
      <c r="BC180" t="s" s="0">
        <v>84</v>
      </c>
      <c r="BD180" t="s" s="0">
        <v>84</v>
      </c>
      <c r="BE180" t="s" s="0">
        <v>84</v>
      </c>
      <c r="BF180" t="s" s="0">
        <v>84</v>
      </c>
      <c r="BG180" t="s" s="0">
        <v>5095</v>
      </c>
      <c r="BH180" t="s" s="0">
        <v>1760</v>
      </c>
      <c r="BI180" t="s" s="0">
        <v>84</v>
      </c>
      <c r="BJ180" t="s" s="0">
        <v>5096</v>
      </c>
      <c r="BK180" t="s" s="357">
        <f>HYPERLINK("http://dx.doi.org/10.1097/ALN.0000000000002960","http://dx.doi.org/10.1097/ALN.0000000000002960")</f>
        <v>5097</v>
      </c>
      <c r="BL180" t="s" s="0">
        <v>84</v>
      </c>
      <c r="BM180" t="s" s="0">
        <v>84</v>
      </c>
      <c r="BN180" t="s" s="0">
        <v>538</v>
      </c>
      <c r="BO180" t="s" s="0">
        <v>5093</v>
      </c>
      <c r="BP180" t="s" s="0">
        <v>5093</v>
      </c>
      <c r="BQ180" t="s" s="0">
        <v>5098</v>
      </c>
      <c r="BR180" t="s" s="0">
        <v>5099</v>
      </c>
      <c r="BS180" t="s" s="0">
        <v>5100</v>
      </c>
      <c r="BT180" t="s" s="358">
        <f>HYPERLINK("https://www.webofscience.com/wos/woscc/full-record/WOS:000510662400021","View Record in Web of Science")</f>
        <v>127</v>
      </c>
      <c r="BU180" t="s" s="0">
        <v>321</v>
      </c>
      <c r="BV180" t="s" s="0">
        <v>128</v>
      </c>
      <c r="BW180" t="s" s="0">
        <v>129</v>
      </c>
      <c r="BX180" t="s" s="0">
        <v>130</v>
      </c>
    </row>
    <row r="181">
      <c r="A181" t="s" s="0">
        <v>2877</v>
      </c>
      <c r="B181" t="s" s="0">
        <v>78</v>
      </c>
      <c r="C181" t="s" s="0">
        <v>5101</v>
      </c>
      <c r="D181" t="s" s="0">
        <v>78</v>
      </c>
      <c r="E181" t="s" s="0">
        <v>5102</v>
      </c>
      <c r="F181" t="s" s="0">
        <v>5103</v>
      </c>
      <c r="G181" t="s" s="0">
        <v>5104</v>
      </c>
      <c r="H181" t="s" s="0">
        <v>84</v>
      </c>
      <c r="I181" t="s" s="0">
        <v>5105</v>
      </c>
      <c r="J181" t="s" s="0">
        <v>5106</v>
      </c>
      <c r="K181" t="s" s="0">
        <v>5107</v>
      </c>
      <c r="L181" t="s" s="0">
        <v>5108</v>
      </c>
      <c r="M181" t="s" s="0">
        <v>5109</v>
      </c>
      <c r="N181" t="s" s="0">
        <v>5110</v>
      </c>
      <c r="O181" t="s" s="0">
        <v>5111</v>
      </c>
      <c r="P181" t="s" s="0">
        <v>5112</v>
      </c>
      <c r="Q181" t="s" s="0">
        <v>93</v>
      </c>
      <c r="R181" t="s" s="0">
        <v>84</v>
      </c>
      <c r="S181" t="s" s="0">
        <v>84</v>
      </c>
      <c r="T181" t="s" s="0">
        <v>84</v>
      </c>
      <c r="U181" t="s" s="0">
        <v>84</v>
      </c>
      <c r="V181" t="s" s="0">
        <v>5113</v>
      </c>
      <c r="W181" t="s" s="0">
        <v>95</v>
      </c>
      <c r="X181" t="s" s="0">
        <v>84</v>
      </c>
      <c r="Y181" t="s" s="0">
        <v>84</v>
      </c>
      <c r="Z181" t="s" s="0">
        <v>96</v>
      </c>
      <c r="AA181" t="s" s="0">
        <v>97</v>
      </c>
      <c r="AB181" t="s" s="0">
        <v>84</v>
      </c>
      <c r="AC181" t="s" s="0">
        <v>84</v>
      </c>
      <c r="AD181" t="s" s="0">
        <v>84</v>
      </c>
      <c r="AE181" t="s" s="0">
        <v>84</v>
      </c>
      <c r="AF181" t="s" s="0">
        <v>84</v>
      </c>
      <c r="AG181" t="s" s="0">
        <v>84</v>
      </c>
      <c r="AH181" t="s" s="0">
        <v>5114</v>
      </c>
      <c r="AI181" t="s" s="0">
        <v>5115</v>
      </c>
      <c r="AJ181" t="s" s="0">
        <v>5116</v>
      </c>
      <c r="AK181" t="s" s="0">
        <v>84</v>
      </c>
      <c r="AL181" t="s" s="0">
        <v>3265</v>
      </c>
      <c r="AM181" t="s" s="0">
        <v>2494</v>
      </c>
      <c r="AN181" t="s" s="0">
        <v>4049</v>
      </c>
      <c r="AO181" t="s" s="0">
        <v>2130</v>
      </c>
      <c r="AP181" t="s" s="0">
        <v>2061</v>
      </c>
      <c r="AQ181" t="s" s="0">
        <v>106</v>
      </c>
      <c r="AR181" t="s" s="0">
        <v>107</v>
      </c>
      <c r="AS181" t="s" s="0">
        <v>108</v>
      </c>
      <c r="AT181" t="s" s="0">
        <v>109</v>
      </c>
      <c r="AU181" t="s" s="0">
        <v>110</v>
      </c>
      <c r="AV181" t="s" s="0">
        <v>84</v>
      </c>
      <c r="AW181" t="s" s="0">
        <v>111</v>
      </c>
      <c r="AX181" t="s" s="0">
        <v>112</v>
      </c>
      <c r="AY181" t="s" s="0">
        <v>5117</v>
      </c>
      <c r="AZ181" t="s" s="0">
        <v>1646</v>
      </c>
      <c r="BA181" t="s" s="0">
        <v>1524</v>
      </c>
      <c r="BB181" t="s" s="0">
        <v>116</v>
      </c>
      <c r="BC181" t="s" s="0">
        <v>84</v>
      </c>
      <c r="BD181" t="s" s="0">
        <v>84</v>
      </c>
      <c r="BE181" t="s" s="0">
        <v>84</v>
      </c>
      <c r="BF181" t="s" s="0">
        <v>84</v>
      </c>
      <c r="BG181" t="s" s="0">
        <v>388</v>
      </c>
      <c r="BH181" t="s" s="0">
        <v>996</v>
      </c>
      <c r="BI181" t="s" s="0">
        <v>84</v>
      </c>
      <c r="BJ181" t="s" s="0">
        <v>5118</v>
      </c>
      <c r="BK181" t="s" s="359">
        <f>HYPERLINK("http://dx.doi.org/10.1038/s41591-024-03434-4","http://dx.doi.org/10.1038/s41591-024-03434-4")</f>
        <v>5119</v>
      </c>
      <c r="BL181" t="s" s="0">
        <v>84</v>
      </c>
      <c r="BM181" t="s" s="0">
        <v>5117</v>
      </c>
      <c r="BN181" t="s" s="0">
        <v>133</v>
      </c>
      <c r="BO181" t="s" s="0">
        <v>122</v>
      </c>
      <c r="BP181" t="s" s="0">
        <v>123</v>
      </c>
      <c r="BQ181" t="s" s="0">
        <v>5120</v>
      </c>
      <c r="BR181" t="s" s="0">
        <v>5121</v>
      </c>
      <c r="BS181" t="s" s="0">
        <v>5122</v>
      </c>
      <c r="BT181" t="s" s="360">
        <f>HYPERLINK("https://www.webofscience.com/wos/woscc/full-record/WOS:001400818700001","View Record in Web of Science")</f>
        <v>127</v>
      </c>
      <c r="BU181" t="s" s="0">
        <v>84</v>
      </c>
      <c r="BV181" t="s" s="0">
        <v>129</v>
      </c>
      <c r="BW181" t="s" s="0">
        <v>129</v>
      </c>
      <c r="BX181" t="s" s="0">
        <v>130</v>
      </c>
    </row>
    <row r="182">
      <c r="A182" t="s" s="0">
        <v>396</v>
      </c>
      <c r="B182" t="s" s="0">
        <v>78</v>
      </c>
      <c r="C182" t="s" s="0">
        <v>306</v>
      </c>
      <c r="D182" t="s" s="0">
        <v>116</v>
      </c>
      <c r="E182" t="s" s="0">
        <v>5123</v>
      </c>
      <c r="F182" t="s" s="0">
        <v>5124</v>
      </c>
      <c r="G182" t="s" s="0">
        <v>5125</v>
      </c>
      <c r="H182" t="s" s="0">
        <v>84</v>
      </c>
      <c r="I182" t="s" s="0">
        <v>85</v>
      </c>
      <c r="J182" t="s" s="0">
        <v>5126</v>
      </c>
      <c r="K182" t="s" s="0">
        <v>5127</v>
      </c>
      <c r="L182" t="s" s="0">
        <v>5128</v>
      </c>
      <c r="M182" t="s" s="0">
        <v>5129</v>
      </c>
      <c r="N182" t="s" s="0">
        <v>5130</v>
      </c>
      <c r="O182" t="s" s="0">
        <v>5131</v>
      </c>
      <c r="P182" t="s" s="0">
        <v>5132</v>
      </c>
      <c r="Q182" t="s" s="0">
        <v>93</v>
      </c>
      <c r="R182" t="s" s="0">
        <v>84</v>
      </c>
      <c r="S182" t="s" s="0">
        <v>84</v>
      </c>
      <c r="T182" t="s" s="0">
        <v>84</v>
      </c>
      <c r="U182" t="s" s="0">
        <v>84</v>
      </c>
      <c r="V182" t="s" s="0">
        <v>5133</v>
      </c>
      <c r="W182" t="s" s="0">
        <v>1507</v>
      </c>
      <c r="X182" t="s" s="0">
        <v>84</v>
      </c>
      <c r="Y182" t="s" s="0">
        <v>84</v>
      </c>
      <c r="Z182" t="s" s="0">
        <v>96</v>
      </c>
      <c r="AA182" t="s" s="0">
        <v>97</v>
      </c>
      <c r="AB182" t="s" s="0">
        <v>84</v>
      </c>
      <c r="AC182" t="s" s="0">
        <v>84</v>
      </c>
      <c r="AD182" t="s" s="0">
        <v>84</v>
      </c>
      <c r="AE182" t="s" s="0">
        <v>84</v>
      </c>
      <c r="AF182" t="s" s="0">
        <v>84</v>
      </c>
      <c r="AG182" t="s" s="0">
        <v>84</v>
      </c>
      <c r="AH182" t="s" s="0">
        <v>5134</v>
      </c>
      <c r="AI182" t="s" s="0">
        <v>5135</v>
      </c>
      <c r="AJ182" t="s" s="0">
        <v>5136</v>
      </c>
      <c r="AK182" t="s" s="0">
        <v>84</v>
      </c>
      <c r="AL182" t="s" s="0">
        <v>4336</v>
      </c>
      <c r="AM182" t="s" s="0">
        <v>2494</v>
      </c>
      <c r="AN182" t="s" s="0">
        <v>193</v>
      </c>
      <c r="AO182" t="s" s="0">
        <v>927</v>
      </c>
      <c r="AP182" t="s" s="0">
        <v>1959</v>
      </c>
      <c r="AQ182" t="s" s="0">
        <v>106</v>
      </c>
      <c r="AR182" t="s" s="0">
        <v>107</v>
      </c>
      <c r="AS182" t="s" s="0">
        <v>108</v>
      </c>
      <c r="AT182" t="s" s="0">
        <v>1515</v>
      </c>
      <c r="AU182" t="s" s="0">
        <v>84</v>
      </c>
      <c r="AV182" t="s" s="0">
        <v>84</v>
      </c>
      <c r="AW182" t="s" s="0">
        <v>1516</v>
      </c>
      <c r="AX182" t="s" s="0">
        <v>1517</v>
      </c>
      <c r="AY182" t="s" s="0">
        <v>5137</v>
      </c>
      <c r="AZ182" t="s" s="0">
        <v>235</v>
      </c>
      <c r="BA182" t="s" s="0">
        <v>459</v>
      </c>
      <c r="BB182" t="s" s="0">
        <v>116</v>
      </c>
      <c r="BC182" t="s" s="0">
        <v>84</v>
      </c>
      <c r="BD182" t="s" s="0">
        <v>84</v>
      </c>
      <c r="BE182" t="s" s="0">
        <v>84</v>
      </c>
      <c r="BF182" t="s" s="0">
        <v>84</v>
      </c>
      <c r="BG182" t="s" s="0">
        <v>84</v>
      </c>
      <c r="BH182" t="s" s="0">
        <v>84</v>
      </c>
      <c r="BI182" t="s" s="0">
        <v>5138</v>
      </c>
      <c r="BJ182" t="s" s="0">
        <v>5139</v>
      </c>
      <c r="BK182" t="s" s="361">
        <f>HYPERLINK("http://dx.doi.org/10.1038/s41746-023-00979-5","http://dx.doi.org/10.1038/s41746-023-00979-5")</f>
        <v>5140</v>
      </c>
      <c r="BL182" t="s" s="0">
        <v>84</v>
      </c>
      <c r="BM182" t="s" s="0">
        <v>84</v>
      </c>
      <c r="BN182" t="s" s="0">
        <v>275</v>
      </c>
      <c r="BO182" t="s" s="0">
        <v>1298</v>
      </c>
      <c r="BP182" t="s" s="0">
        <v>1298</v>
      </c>
      <c r="BQ182" t="s" s="0">
        <v>5141</v>
      </c>
      <c r="BR182" t="s" s="0">
        <v>5142</v>
      </c>
      <c r="BS182" t="s" s="0">
        <v>5143</v>
      </c>
      <c r="BT182" t="s" s="362">
        <f>HYPERLINK("https://www.webofscience.com/wos/woscc/full-record/WOS:001129970300001","View Record in Web of Science")</f>
        <v>127</v>
      </c>
      <c r="BU182" t="s" s="0">
        <v>170</v>
      </c>
      <c r="BV182" t="s" s="0">
        <v>128</v>
      </c>
      <c r="BW182" t="s" s="0">
        <v>129</v>
      </c>
      <c r="BX182" t="s" s="0">
        <v>130</v>
      </c>
    </row>
    <row r="183">
      <c r="A183" t="s" s="0">
        <v>538</v>
      </c>
      <c r="B183" t="s" s="0">
        <v>78</v>
      </c>
      <c r="C183" t="s" s="0">
        <v>5088</v>
      </c>
      <c r="D183" t="s" s="0">
        <v>787</v>
      </c>
      <c r="E183" t="s" s="0">
        <v>5144</v>
      </c>
      <c r="F183" t="s" s="0">
        <v>5145</v>
      </c>
      <c r="G183" t="s" s="0">
        <v>5146</v>
      </c>
      <c r="H183" t="s" s="0">
        <v>84</v>
      </c>
      <c r="I183" t="s" s="0">
        <v>85</v>
      </c>
      <c r="J183" t="s" s="0">
        <v>5147</v>
      </c>
      <c r="K183" t="s" s="0">
        <v>5148</v>
      </c>
      <c r="L183" t="s" s="0">
        <v>5149</v>
      </c>
      <c r="M183" t="s" s="0">
        <v>5150</v>
      </c>
      <c r="N183" t="s" s="0">
        <v>5151</v>
      </c>
      <c r="O183" t="s" s="0">
        <v>5152</v>
      </c>
      <c r="P183" t="s" s="0">
        <v>5153</v>
      </c>
      <c r="Q183" t="s" s="0">
        <v>93</v>
      </c>
      <c r="R183" t="s" s="0">
        <v>84</v>
      </c>
      <c r="S183" t="s" s="0">
        <v>84</v>
      </c>
      <c r="T183" t="s" s="0">
        <v>84</v>
      </c>
      <c r="U183" t="s" s="0">
        <v>84</v>
      </c>
      <c r="V183" t="s" s="0">
        <v>5154</v>
      </c>
      <c r="W183" t="s" s="0">
        <v>5155</v>
      </c>
      <c r="X183" t="s" s="0">
        <v>84</v>
      </c>
      <c r="Y183" t="s" s="0">
        <v>84</v>
      </c>
      <c r="Z183" t="s" s="0">
        <v>96</v>
      </c>
      <c r="AA183" t="s" s="0">
        <v>97</v>
      </c>
      <c r="AB183" t="s" s="0">
        <v>84</v>
      </c>
      <c r="AC183" t="s" s="0">
        <v>84</v>
      </c>
      <c r="AD183" t="s" s="0">
        <v>84</v>
      </c>
      <c r="AE183" t="s" s="0">
        <v>84</v>
      </c>
      <c r="AF183" t="s" s="0">
        <v>84</v>
      </c>
      <c r="AG183" t="s" s="0">
        <v>5156</v>
      </c>
      <c r="AH183" t="s" s="0">
        <v>5157</v>
      </c>
      <c r="AI183" t="s" s="0">
        <v>5158</v>
      </c>
      <c r="AJ183" t="s" s="0">
        <v>5159</v>
      </c>
      <c r="AK183" t="s" s="0">
        <v>84</v>
      </c>
      <c r="AL183" t="s" s="0">
        <v>4336</v>
      </c>
      <c r="AM183" t="s" s="0">
        <v>2494</v>
      </c>
      <c r="AN183" t="s" s="0">
        <v>1551</v>
      </c>
      <c r="AO183" t="s" s="0">
        <v>396</v>
      </c>
      <c r="AP183" t="s" s="0">
        <v>4905</v>
      </c>
      <c r="AQ183" t="s" s="0">
        <v>1995</v>
      </c>
      <c r="AR183" t="s" s="0">
        <v>1996</v>
      </c>
      <c r="AS183" t="s" s="0">
        <v>1997</v>
      </c>
      <c r="AT183" t="s" s="0">
        <v>5160</v>
      </c>
      <c r="AU183" t="s" s="0">
        <v>5161</v>
      </c>
      <c r="AV183" t="s" s="0">
        <v>84</v>
      </c>
      <c r="AW183" t="s" s="0">
        <v>5155</v>
      </c>
      <c r="AX183" t="s" s="0">
        <v>5162</v>
      </c>
      <c r="AY183" t="s" s="0">
        <v>5163</v>
      </c>
      <c r="AZ183" t="s" s="0">
        <v>201</v>
      </c>
      <c r="BA183" t="s" s="0">
        <v>1147</v>
      </c>
      <c r="BB183" t="s" s="0">
        <v>84</v>
      </c>
      <c r="BC183" t="s" s="0">
        <v>84</v>
      </c>
      <c r="BD183" t="s" s="0">
        <v>84</v>
      </c>
      <c r="BE183" t="s" s="0">
        <v>84</v>
      </c>
      <c r="BF183" t="s" s="0">
        <v>84</v>
      </c>
      <c r="BG183" t="s" s="0">
        <v>80</v>
      </c>
      <c r="BH183" t="s" s="0">
        <v>1702</v>
      </c>
      <c r="BI183" t="s" s="0">
        <v>84</v>
      </c>
      <c r="BJ183" t="s" s="0">
        <v>5164</v>
      </c>
      <c r="BK183" t="s" s="363">
        <f>HYPERLINK("http://dx.doi.org/10.1016/j.lungcan.2017.10.015","http://dx.doi.org/10.1016/j.lungcan.2017.10.015")</f>
        <v>5165</v>
      </c>
      <c r="BL183" t="s" s="0">
        <v>84</v>
      </c>
      <c r="BM183" t="s" s="0">
        <v>84</v>
      </c>
      <c r="BN183" t="s" s="0">
        <v>160</v>
      </c>
      <c r="BO183" t="s" s="0">
        <v>4132</v>
      </c>
      <c r="BP183" t="s" s="0">
        <v>4132</v>
      </c>
      <c r="BQ183" t="s" s="0">
        <v>5166</v>
      </c>
      <c r="BR183" t="s" s="0">
        <v>5167</v>
      </c>
      <c r="BS183" t="s" s="0">
        <v>5168</v>
      </c>
      <c r="BT183" t="s" s="364">
        <f>HYPERLINK("https://www.webofscience.com/wos/woscc/full-record/WOS:000424181800006","View Record in Web of Science")</f>
        <v>127</v>
      </c>
      <c r="BU183" t="s" s="0">
        <v>84</v>
      </c>
      <c r="BV183" t="s" s="0">
        <v>128</v>
      </c>
      <c r="BW183" t="s" s="0">
        <v>129</v>
      </c>
      <c r="BX183" t="s" s="0">
        <v>130</v>
      </c>
    </row>
    <row r="184">
      <c r="A184" t="s" s="0">
        <v>172</v>
      </c>
      <c r="B184" t="s" s="0">
        <v>78</v>
      </c>
      <c r="C184" t="s" s="0">
        <v>5169</v>
      </c>
      <c r="D184" t="s" s="0">
        <v>78</v>
      </c>
      <c r="E184" t="s" s="0">
        <v>5170</v>
      </c>
      <c r="F184" t="s" s="0">
        <v>5171</v>
      </c>
      <c r="G184" t="s" s="0">
        <v>5172</v>
      </c>
      <c r="H184" t="s" s="0">
        <v>84</v>
      </c>
      <c r="I184" t="s" s="0">
        <v>85</v>
      </c>
      <c r="J184" t="s" s="0">
        <v>5173</v>
      </c>
      <c r="K184" t="s" s="0">
        <v>5174</v>
      </c>
      <c r="L184" t="s" s="0">
        <v>5175</v>
      </c>
      <c r="M184" t="s" s="0">
        <v>5176</v>
      </c>
      <c r="N184" t="s" s="0">
        <v>5177</v>
      </c>
      <c r="O184" t="s" s="0">
        <v>5178</v>
      </c>
      <c r="P184" t="s" s="0">
        <v>5179</v>
      </c>
      <c r="Q184" t="s" s="0">
        <v>93</v>
      </c>
      <c r="R184" t="s" s="0">
        <v>84</v>
      </c>
      <c r="S184" t="s" s="0">
        <v>84</v>
      </c>
      <c r="T184" t="s" s="0">
        <v>84</v>
      </c>
      <c r="U184" t="s" s="0">
        <v>84</v>
      </c>
      <c r="V184" t="s" s="0">
        <v>5180</v>
      </c>
      <c r="W184" t="s" s="0">
        <v>5181</v>
      </c>
      <c r="X184" t="s" s="0">
        <v>84</v>
      </c>
      <c r="Y184" t="s" s="0">
        <v>84</v>
      </c>
      <c r="Z184" t="s" s="0">
        <v>96</v>
      </c>
      <c r="AA184" t="s" s="0">
        <v>97</v>
      </c>
      <c r="AB184" t="s" s="0">
        <v>84</v>
      </c>
      <c r="AC184" t="s" s="0">
        <v>84</v>
      </c>
      <c r="AD184" t="s" s="0">
        <v>84</v>
      </c>
      <c r="AE184" t="s" s="0">
        <v>84</v>
      </c>
      <c r="AF184" t="s" s="0">
        <v>84</v>
      </c>
      <c r="AG184" t="s" s="0">
        <v>5182</v>
      </c>
      <c r="AH184" t="s" s="0">
        <v>5183</v>
      </c>
      <c r="AI184" t="s" s="0">
        <v>5184</v>
      </c>
      <c r="AJ184" t="s" s="0">
        <v>5185</v>
      </c>
      <c r="AK184" t="s" s="0">
        <v>84</v>
      </c>
      <c r="AL184" t="s" s="0">
        <v>2305</v>
      </c>
      <c r="AM184" t="s" s="0">
        <v>2029</v>
      </c>
      <c r="AN184" t="s" s="0">
        <v>4271</v>
      </c>
      <c r="AO184" t="s" s="0">
        <v>396</v>
      </c>
      <c r="AP184" t="s" s="0">
        <v>484</v>
      </c>
      <c r="AQ184" t="s" s="0">
        <v>379</v>
      </c>
      <c r="AR184" t="s" s="0">
        <v>380</v>
      </c>
      <c r="AS184" t="s" s="0">
        <v>5186</v>
      </c>
      <c r="AT184" t="s" s="0">
        <v>84</v>
      </c>
      <c r="AU184" t="s" s="0">
        <v>5187</v>
      </c>
      <c r="AV184" t="s" s="0">
        <v>84</v>
      </c>
      <c r="AW184" t="s" s="0">
        <v>5181</v>
      </c>
      <c r="AX184" t="s" s="0">
        <v>5188</v>
      </c>
      <c r="AY184" t="s" s="0">
        <v>3214</v>
      </c>
      <c r="AZ184" t="s" s="0">
        <v>351</v>
      </c>
      <c r="BA184" t="s" s="0">
        <v>280</v>
      </c>
      <c r="BB184" t="s" s="0">
        <v>787</v>
      </c>
      <c r="BC184" t="s" s="0">
        <v>84</v>
      </c>
      <c r="BD184" t="s" s="0">
        <v>84</v>
      </c>
      <c r="BE184" t="s" s="0">
        <v>84</v>
      </c>
      <c r="BF184" t="s" s="0">
        <v>84</v>
      </c>
      <c r="BG184" t="s" s="0">
        <v>84</v>
      </c>
      <c r="BH184" t="s" s="0">
        <v>84</v>
      </c>
      <c r="BI184" t="s" s="0">
        <v>529</v>
      </c>
      <c r="BJ184" t="s" s="0">
        <v>5189</v>
      </c>
      <c r="BK184" t="s" s="365">
        <f>HYPERLINK("http://dx.doi.org/10.3390/cancers12030731","http://dx.doi.org/10.3390/cancers12030731")</f>
        <v>5190</v>
      </c>
      <c r="BL184" t="s" s="0">
        <v>84</v>
      </c>
      <c r="BM184" t="s" s="0">
        <v>84</v>
      </c>
      <c r="BN184" t="s" s="0">
        <v>701</v>
      </c>
      <c r="BO184" t="s" s="0">
        <v>317</v>
      </c>
      <c r="BP184" t="s" s="0">
        <v>317</v>
      </c>
      <c r="BQ184" t="s" s="0">
        <v>5191</v>
      </c>
      <c r="BR184" t="s" s="0">
        <v>5192</v>
      </c>
      <c r="BS184" t="s" s="0">
        <v>5193</v>
      </c>
      <c r="BT184" t="s" s="366">
        <f>HYPERLINK("https://www.webofscience.com/wos/woscc/full-record/WOS:000530232300207","View Record in Web of Science")</f>
        <v>127</v>
      </c>
      <c r="BU184" t="s" s="0">
        <v>170</v>
      </c>
      <c r="BV184" t="s" s="0">
        <v>128</v>
      </c>
      <c r="BW184" t="s" s="0">
        <v>129</v>
      </c>
      <c r="BX184" t="s" s="0">
        <v>130</v>
      </c>
    </row>
    <row r="185">
      <c r="A185" t="s" s="0">
        <v>116</v>
      </c>
      <c r="B185" t="s" s="0">
        <v>78</v>
      </c>
      <c r="C185" t="s" s="0">
        <v>807</v>
      </c>
      <c r="D185" t="s" s="0">
        <v>202</v>
      </c>
      <c r="E185" t="s" s="0">
        <v>5194</v>
      </c>
      <c r="F185" t="s" s="0">
        <v>84</v>
      </c>
      <c r="G185" t="s" s="0">
        <v>5195</v>
      </c>
      <c r="H185" t="s" s="0">
        <v>84</v>
      </c>
      <c r="I185" t="s" s="0">
        <v>251</v>
      </c>
      <c r="J185" t="s" s="0">
        <v>5196</v>
      </c>
      <c r="K185" t="s" s="0">
        <v>5197</v>
      </c>
      <c r="L185" t="s" s="0">
        <v>5198</v>
      </c>
      <c r="M185" t="s" s="0">
        <v>5199</v>
      </c>
      <c r="N185" t="s" s="0">
        <v>5200</v>
      </c>
      <c r="O185" t="s" s="0">
        <v>5201</v>
      </c>
      <c r="P185" t="s" s="0">
        <v>5202</v>
      </c>
      <c r="Q185" t="s" s="0">
        <v>93</v>
      </c>
      <c r="R185" t="s" s="0">
        <v>84</v>
      </c>
      <c r="S185" t="s" s="0">
        <v>84</v>
      </c>
      <c r="T185" t="s" s="0">
        <v>84</v>
      </c>
      <c r="U185" t="s" s="0">
        <v>84</v>
      </c>
      <c r="V185" t="s" s="0">
        <v>5203</v>
      </c>
      <c r="W185" t="s" s="0">
        <v>4901</v>
      </c>
      <c r="X185" t="s" s="0">
        <v>84</v>
      </c>
      <c r="Y185" t="s" s="0">
        <v>84</v>
      </c>
      <c r="Z185" t="s" s="0">
        <v>96</v>
      </c>
      <c r="AA185" t="s" s="0">
        <v>97</v>
      </c>
      <c r="AB185" t="s" s="0">
        <v>84</v>
      </c>
      <c r="AC185" t="s" s="0">
        <v>84</v>
      </c>
      <c r="AD185" t="s" s="0">
        <v>84</v>
      </c>
      <c r="AE185" t="s" s="0">
        <v>84</v>
      </c>
      <c r="AF185" t="s" s="0">
        <v>84</v>
      </c>
      <c r="AG185" t="s" s="0">
        <v>84</v>
      </c>
      <c r="AH185" t="s" s="0">
        <v>5204</v>
      </c>
      <c r="AI185" t="s" s="0">
        <v>5205</v>
      </c>
      <c r="AJ185" t="s" s="0">
        <v>5206</v>
      </c>
      <c r="AK185" t="s" s="0">
        <v>84</v>
      </c>
      <c r="AL185" t="s" s="0">
        <v>1541</v>
      </c>
      <c r="AM185" t="s" s="0">
        <v>4185</v>
      </c>
      <c r="AN185" t="s" s="0">
        <v>1483</v>
      </c>
      <c r="AO185" t="s" s="0">
        <v>787</v>
      </c>
      <c r="AP185" t="s" s="0">
        <v>1269</v>
      </c>
      <c r="AQ185" t="s" s="0">
        <v>703</v>
      </c>
      <c r="AR185" t="s" s="0">
        <v>704</v>
      </c>
      <c r="AS185" t="s" s="0">
        <v>705</v>
      </c>
      <c r="AT185" t="s" s="0">
        <v>4906</v>
      </c>
      <c r="AU185" t="s" s="0">
        <v>4907</v>
      </c>
      <c r="AV185" t="s" s="0">
        <v>84</v>
      </c>
      <c r="AW185" t="s" s="0">
        <v>4901</v>
      </c>
      <c r="AX185" t="s" s="0">
        <v>4908</v>
      </c>
      <c r="AY185" t="s" s="0">
        <v>5207</v>
      </c>
      <c r="AZ185" t="s" s="0">
        <v>159</v>
      </c>
      <c r="BA185" t="s" s="0">
        <v>3650</v>
      </c>
      <c r="BB185" t="s" s="0">
        <v>5208</v>
      </c>
      <c r="BC185" t="s" s="0">
        <v>84</v>
      </c>
      <c r="BD185" t="s" s="0">
        <v>84</v>
      </c>
      <c r="BE185" t="s" s="0">
        <v>84</v>
      </c>
      <c r="BF185" t="s" s="0">
        <v>84</v>
      </c>
      <c r="BG185" t="s" s="0">
        <v>5209</v>
      </c>
      <c r="BH185" t="s" s="0">
        <v>5210</v>
      </c>
      <c r="BI185" t="s" s="0">
        <v>84</v>
      </c>
      <c r="BJ185" t="s" s="0">
        <v>5211</v>
      </c>
      <c r="BK185" t="s" s="367">
        <f>HYPERLINK("http://dx.doi.org/10.1016/S0140-6736(21)00673-5","http://dx.doi.org/10.1016/S0140-6736(21)00673-5")</f>
        <v>5212</v>
      </c>
      <c r="BL185" t="s" s="0">
        <v>84</v>
      </c>
      <c r="BM185" t="s" s="0">
        <v>1129</v>
      </c>
      <c r="BN185" t="s" s="0">
        <v>1810</v>
      </c>
      <c r="BO185" t="s" s="0">
        <v>281</v>
      </c>
      <c r="BP185" t="s" s="0">
        <v>282</v>
      </c>
      <c r="BQ185" t="s" s="0">
        <v>5213</v>
      </c>
      <c r="BR185" t="s" s="0">
        <v>5214</v>
      </c>
      <c r="BS185" t="s" s="0">
        <v>5215</v>
      </c>
      <c r="BT185" t="s" s="368">
        <f>HYPERLINK("https://www.webofscience.com/wos/woscc/full-record/WOS:000722897200032","View Record in Web of Science")</f>
        <v>127</v>
      </c>
      <c r="BU185" t="s" s="0">
        <v>4917</v>
      </c>
      <c r="BV185" t="s" s="0">
        <v>128</v>
      </c>
      <c r="BW185" t="s" s="0">
        <v>129</v>
      </c>
      <c r="BX185" t="s" s="0">
        <v>130</v>
      </c>
    </row>
    <row r="186">
      <c r="A186" t="s" s="0">
        <v>214</v>
      </c>
      <c r="B186" t="s" s="0">
        <v>78</v>
      </c>
      <c r="C186" t="s" s="0">
        <v>394</v>
      </c>
      <c r="D186" t="s" s="0">
        <v>78</v>
      </c>
      <c r="E186" t="s" s="0">
        <v>5216</v>
      </c>
      <c r="F186" t="s" s="0">
        <v>5217</v>
      </c>
      <c r="G186" t="s" s="0">
        <v>5218</v>
      </c>
      <c r="H186" t="s" s="0">
        <v>84</v>
      </c>
      <c r="I186" t="s" s="0">
        <v>85</v>
      </c>
      <c r="J186" t="s" s="0">
        <v>5219</v>
      </c>
      <c r="K186" t="s" s="0">
        <v>5220</v>
      </c>
      <c r="L186" t="s" s="0">
        <v>84</v>
      </c>
      <c r="M186" t="s" s="0">
        <v>84</v>
      </c>
      <c r="N186" t="s" s="0">
        <v>84</v>
      </c>
      <c r="O186" t="s" s="0">
        <v>5221</v>
      </c>
      <c r="P186" t="s" s="0">
        <v>5222</v>
      </c>
      <c r="Q186" t="s" s="0">
        <v>93</v>
      </c>
      <c r="R186" t="s" s="0">
        <v>84</v>
      </c>
      <c r="S186" t="s" s="0">
        <v>84</v>
      </c>
      <c r="T186" t="s" s="0">
        <v>84</v>
      </c>
      <c r="U186" t="s" s="0">
        <v>84</v>
      </c>
      <c r="V186" t="s" s="0">
        <v>5223</v>
      </c>
      <c r="W186" t="s" s="0">
        <v>5224</v>
      </c>
      <c r="X186" t="s" s="0">
        <v>84</v>
      </c>
      <c r="Y186" t="s" s="0">
        <v>84</v>
      </c>
      <c r="Z186" t="s" s="0">
        <v>96</v>
      </c>
      <c r="AA186" t="s" s="0">
        <v>97</v>
      </c>
      <c r="AB186" t="s" s="0">
        <v>84</v>
      </c>
      <c r="AC186" t="s" s="0">
        <v>84</v>
      </c>
      <c r="AD186" t="s" s="0">
        <v>84</v>
      </c>
      <c r="AE186" t="s" s="0">
        <v>84</v>
      </c>
      <c r="AF186" t="s" s="0">
        <v>84</v>
      </c>
      <c r="AG186" t="s" s="0">
        <v>5225</v>
      </c>
      <c r="AH186" t="s" s="0">
        <v>5226</v>
      </c>
      <c r="AI186" t="s" s="0">
        <v>5227</v>
      </c>
      <c r="AJ186" t="s" s="0">
        <v>5228</v>
      </c>
      <c r="AK186" t="s" s="0">
        <v>84</v>
      </c>
      <c r="AL186" t="s" s="0">
        <v>3528</v>
      </c>
      <c r="AM186" t="s" s="0">
        <v>1706</v>
      </c>
      <c r="AN186" t="s" s="0">
        <v>2707</v>
      </c>
      <c r="AO186" t="s" s="0">
        <v>312</v>
      </c>
      <c r="AP186" t="s" s="0">
        <v>5229</v>
      </c>
      <c r="AQ186" t="s" s="0">
        <v>809</v>
      </c>
      <c r="AR186" t="s" s="0">
        <v>704</v>
      </c>
      <c r="AS186" t="s" s="0">
        <v>810</v>
      </c>
      <c r="AT186" t="s" s="0">
        <v>5230</v>
      </c>
      <c r="AU186" t="s" s="0">
        <v>5231</v>
      </c>
      <c r="AV186" t="s" s="0">
        <v>84</v>
      </c>
      <c r="AW186" t="s" s="0">
        <v>5232</v>
      </c>
      <c r="AX186" t="s" s="0">
        <v>5233</v>
      </c>
      <c r="AY186" t="s" s="0">
        <v>815</v>
      </c>
      <c r="AZ186" t="s" s="0">
        <v>567</v>
      </c>
      <c r="BA186" t="s" s="0">
        <v>610</v>
      </c>
      <c r="BB186" t="s" s="0">
        <v>116</v>
      </c>
      <c r="BC186" t="s" s="0">
        <v>84</v>
      </c>
      <c r="BD186" t="s" s="0">
        <v>84</v>
      </c>
      <c r="BE186" t="s" s="0">
        <v>84</v>
      </c>
      <c r="BF186" t="s" s="0">
        <v>84</v>
      </c>
      <c r="BG186" t="s" s="0">
        <v>787</v>
      </c>
      <c r="BH186" t="s" s="0">
        <v>133</v>
      </c>
      <c r="BI186" t="s" s="0">
        <v>84</v>
      </c>
      <c r="BJ186" t="s" s="0">
        <v>5234</v>
      </c>
      <c r="BK186" t="s" s="369">
        <f>HYPERLINK("http://dx.doi.org/10.1007/s11604-023-01474-3","http://dx.doi.org/10.1007/s11604-023-01474-3")</f>
        <v>5235</v>
      </c>
      <c r="BL186" t="s" s="0">
        <v>84</v>
      </c>
      <c r="BM186" t="s" s="0">
        <v>234</v>
      </c>
      <c r="BN186" t="s" s="0">
        <v>121</v>
      </c>
      <c r="BO186" t="s" s="0">
        <v>208</v>
      </c>
      <c r="BP186" t="s" s="0">
        <v>208</v>
      </c>
      <c r="BQ186" t="s" s="0">
        <v>5236</v>
      </c>
      <c r="BR186" t="s" s="0">
        <v>5237</v>
      </c>
      <c r="BS186" t="s" s="0">
        <v>5238</v>
      </c>
      <c r="BT186" t="s" s="370">
        <f>HYPERLINK("https://www.webofscience.com/wos/woscc/full-record/WOS:001043049800002","View Record in Web of Science")</f>
        <v>127</v>
      </c>
      <c r="BU186" t="s" s="0">
        <v>1713</v>
      </c>
      <c r="BV186" t="s" s="0">
        <v>128</v>
      </c>
      <c r="BW186" t="s" s="0">
        <v>129</v>
      </c>
      <c r="BX186" t="s" s="0">
        <v>130</v>
      </c>
    </row>
    <row r="187">
      <c r="A187" t="s" s="0">
        <v>116</v>
      </c>
      <c r="B187" t="s" s="0">
        <v>78</v>
      </c>
      <c r="C187" t="s" s="0">
        <v>996</v>
      </c>
      <c r="D187" t="s" s="0">
        <v>78</v>
      </c>
      <c r="E187" t="s" s="0">
        <v>5239</v>
      </c>
      <c r="F187" t="s" s="0">
        <v>5240</v>
      </c>
      <c r="G187" t="s" s="0">
        <v>5241</v>
      </c>
      <c r="H187" t="s" s="0">
        <v>84</v>
      </c>
      <c r="I187" t="s" s="0">
        <v>1100</v>
      </c>
      <c r="J187" t="s" s="0">
        <v>5242</v>
      </c>
      <c r="K187" t="s" s="0">
        <v>5243</v>
      </c>
      <c r="L187" t="s" s="0">
        <v>84</v>
      </c>
      <c r="M187" t="s" s="0">
        <v>84</v>
      </c>
      <c r="N187" t="s" s="0">
        <v>84</v>
      </c>
      <c r="O187" t="s" s="0">
        <v>5244</v>
      </c>
      <c r="P187" t="s" s="0">
        <v>5245</v>
      </c>
      <c r="Q187" t="s" s="0">
        <v>93</v>
      </c>
      <c r="R187" t="s" s="0">
        <v>84</v>
      </c>
      <c r="S187" t="s" s="0">
        <v>84</v>
      </c>
      <c r="T187" t="s" s="0">
        <v>84</v>
      </c>
      <c r="U187" t="s" s="0">
        <v>84</v>
      </c>
      <c r="V187" t="s" s="0">
        <v>5246</v>
      </c>
      <c r="W187" t="s" s="0">
        <v>5003</v>
      </c>
      <c r="X187" t="s" s="0">
        <v>84</v>
      </c>
      <c r="Y187" t="s" s="0">
        <v>84</v>
      </c>
      <c r="Z187" t="s" s="0">
        <v>96</v>
      </c>
      <c r="AA187" t="s" s="0">
        <v>97</v>
      </c>
      <c r="AB187" t="s" s="0">
        <v>84</v>
      </c>
      <c r="AC187" t="s" s="0">
        <v>84</v>
      </c>
      <c r="AD187" t="s" s="0">
        <v>84</v>
      </c>
      <c r="AE187" t="s" s="0">
        <v>84</v>
      </c>
      <c r="AF187" t="s" s="0">
        <v>84</v>
      </c>
      <c r="AG187" t="s" s="0">
        <v>84</v>
      </c>
      <c r="AH187" t="s" s="0">
        <v>5247</v>
      </c>
      <c r="AI187" t="s" s="0">
        <v>5248</v>
      </c>
      <c r="AJ187" t="s" s="0">
        <v>5249</v>
      </c>
      <c r="AK187" t="s" s="0">
        <v>84</v>
      </c>
      <c r="AL187" t="s" s="0">
        <v>5094</v>
      </c>
      <c r="AM187" t="s" s="0">
        <v>5250</v>
      </c>
      <c r="AN187" t="s" s="0">
        <v>5251</v>
      </c>
      <c r="AO187" t="s" s="0">
        <v>160</v>
      </c>
      <c r="AP187" t="s" s="0">
        <v>701</v>
      </c>
      <c r="AQ187" t="s" s="0">
        <v>5008</v>
      </c>
      <c r="AR187" t="s" s="0">
        <v>5009</v>
      </c>
      <c r="AS187" t="s" s="0">
        <v>5010</v>
      </c>
      <c r="AT187" t="s" s="0">
        <v>84</v>
      </c>
      <c r="AU187" t="s" s="0">
        <v>5011</v>
      </c>
      <c r="AV187" t="s" s="0">
        <v>84</v>
      </c>
      <c r="AW187" t="s" s="0">
        <v>5012</v>
      </c>
      <c r="AX187" t="s" s="0">
        <v>5013</v>
      </c>
      <c r="AY187" t="s" s="0">
        <v>5252</v>
      </c>
      <c r="AZ187" t="s" s="0">
        <v>567</v>
      </c>
      <c r="BA187" t="s" s="0">
        <v>787</v>
      </c>
      <c r="BB187" t="s" s="0">
        <v>242</v>
      </c>
      <c r="BC187" t="s" s="0">
        <v>84</v>
      </c>
      <c r="BD187" t="s" s="0">
        <v>84</v>
      </c>
      <c r="BE187" t="s" s="0">
        <v>84</v>
      </c>
      <c r="BF187" t="s" s="0">
        <v>84</v>
      </c>
      <c r="BG187" t="s" s="0">
        <v>84</v>
      </c>
      <c r="BH187" t="s" s="0">
        <v>84</v>
      </c>
      <c r="BI187" t="s" s="0">
        <v>5253</v>
      </c>
      <c r="BJ187" t="s" s="0">
        <v>5254</v>
      </c>
      <c r="BK187" t="s" s="371">
        <f>HYPERLINK("http://dx.doi.org/10.1371/journal.pdig.0000651","http://dx.doi.org/10.1371/journal.pdig.0000651")</f>
        <v>5255</v>
      </c>
      <c r="BL187" t="s" s="0">
        <v>84</v>
      </c>
      <c r="BM187" t="s" s="0">
        <v>84</v>
      </c>
      <c r="BN187" t="s" s="0">
        <v>207</v>
      </c>
      <c r="BO187" t="s" s="0">
        <v>1298</v>
      </c>
      <c r="BP187" t="s" s="0">
        <v>1298</v>
      </c>
      <c r="BQ187" t="s" s="0">
        <v>5256</v>
      </c>
      <c r="BR187" t="s" s="0">
        <v>5257</v>
      </c>
      <c r="BS187" t="s" s="0">
        <v>5258</v>
      </c>
      <c r="BT187" t="s" s="372">
        <f>HYPERLINK("https://www.webofscience.com/wos/woscc/full-record/WOS:001416955700001","View Record in Web of Science")</f>
        <v>127</v>
      </c>
      <c r="BU187" t="s" s="0">
        <v>170</v>
      </c>
      <c r="BV187" t="s" s="0">
        <v>84</v>
      </c>
      <c r="BW187" t="s" s="0">
        <v>84</v>
      </c>
      <c r="BX187" t="s" s="0">
        <v>130</v>
      </c>
    </row>
    <row r="188">
      <c r="A188" t="s" s="0">
        <v>192</v>
      </c>
      <c r="B188" t="s" s="0">
        <v>78</v>
      </c>
      <c r="C188" t="s" s="0">
        <v>996</v>
      </c>
      <c r="D188" t="s" s="0">
        <v>78</v>
      </c>
      <c r="E188" t="s" s="0">
        <v>5259</v>
      </c>
      <c r="F188" t="s" s="0">
        <v>5260</v>
      </c>
      <c r="G188" t="s" s="0">
        <v>5261</v>
      </c>
      <c r="H188" t="s" s="0">
        <v>84</v>
      </c>
      <c r="I188" t="s" s="0">
        <v>85</v>
      </c>
      <c r="J188" t="s" s="0">
        <v>5262</v>
      </c>
      <c r="K188" t="s" s="0">
        <v>5263</v>
      </c>
      <c r="L188" t="s" s="0">
        <v>5264</v>
      </c>
      <c r="M188" t="s" s="0">
        <v>5265</v>
      </c>
      <c r="N188" t="s" s="0">
        <v>5266</v>
      </c>
      <c r="O188" t="s" s="0">
        <v>5267</v>
      </c>
      <c r="P188" t="s" s="0">
        <v>5268</v>
      </c>
      <c r="Q188" t="s" s="0">
        <v>93</v>
      </c>
      <c r="R188" t="s" s="0">
        <v>84</v>
      </c>
      <c r="S188" t="s" s="0">
        <v>84</v>
      </c>
      <c r="T188" t="s" s="0">
        <v>84</v>
      </c>
      <c r="U188" t="s" s="0">
        <v>84</v>
      </c>
      <c r="V188" t="s" s="0">
        <v>5269</v>
      </c>
      <c r="W188" t="s" s="0">
        <v>5270</v>
      </c>
      <c r="X188" t="s" s="0">
        <v>84</v>
      </c>
      <c r="Y188" t="s" s="0">
        <v>84</v>
      </c>
      <c r="Z188" t="s" s="0">
        <v>96</v>
      </c>
      <c r="AA188" t="s" s="0">
        <v>97</v>
      </c>
      <c r="AB188" t="s" s="0">
        <v>84</v>
      </c>
      <c r="AC188" t="s" s="0">
        <v>84</v>
      </c>
      <c r="AD188" t="s" s="0">
        <v>84</v>
      </c>
      <c r="AE188" t="s" s="0">
        <v>84</v>
      </c>
      <c r="AF188" t="s" s="0">
        <v>84</v>
      </c>
      <c r="AG188" t="s" s="0">
        <v>84</v>
      </c>
      <c r="AH188" t="s" s="0">
        <v>5271</v>
      </c>
      <c r="AI188" t="s" s="0">
        <v>5272</v>
      </c>
      <c r="AJ188" t="s" s="0">
        <v>5273</v>
      </c>
      <c r="AK188" t="s" s="0">
        <v>84</v>
      </c>
      <c r="AL188" t="s" s="0">
        <v>5274</v>
      </c>
      <c r="AM188" t="s" s="0">
        <v>5250</v>
      </c>
      <c r="AN188" t="s" s="0">
        <v>4774</v>
      </c>
      <c r="AO188" t="s" s="0">
        <v>978</v>
      </c>
      <c r="AP188" t="s" s="0">
        <v>5275</v>
      </c>
      <c r="AQ188" t="s" s="0">
        <v>5276</v>
      </c>
      <c r="AR188" t="s" s="0">
        <v>5277</v>
      </c>
      <c r="AS188" t="s" s="0">
        <v>5278</v>
      </c>
      <c r="AT188" t="s" s="0">
        <v>5279</v>
      </c>
      <c r="AU188" t="s" s="0">
        <v>5280</v>
      </c>
      <c r="AV188" t="s" s="0">
        <v>84</v>
      </c>
      <c r="AW188" t="s" s="0">
        <v>5281</v>
      </c>
      <c r="AX188" t="s" s="0">
        <v>5282</v>
      </c>
      <c r="AY188" t="s" s="0">
        <v>5283</v>
      </c>
      <c r="AZ188" t="s" s="0">
        <v>567</v>
      </c>
      <c r="BA188" t="s" s="0">
        <v>484</v>
      </c>
      <c r="BB188" t="s" s="0">
        <v>396</v>
      </c>
      <c r="BC188" t="s" s="0">
        <v>84</v>
      </c>
      <c r="BD188" t="s" s="0">
        <v>84</v>
      </c>
      <c r="BE188" t="s" s="0">
        <v>84</v>
      </c>
      <c r="BF188" t="s" s="0">
        <v>84</v>
      </c>
      <c r="BG188" t="s" s="0">
        <v>1064</v>
      </c>
      <c r="BH188" t="s" s="0">
        <v>5284</v>
      </c>
      <c r="BI188" t="s" s="0">
        <v>84</v>
      </c>
      <c r="BJ188" t="s" s="0">
        <v>5285</v>
      </c>
      <c r="BK188" t="s" s="373">
        <f>HYPERLINK("http://dx.doi.org/10.1021/acs.chemrev.3c00502","http://dx.doi.org/10.1021/acs.chemrev.3c00502")</f>
        <v>5286</v>
      </c>
      <c r="BL188" t="s" s="0">
        <v>84</v>
      </c>
      <c r="BM188" t="s" s="0">
        <v>84</v>
      </c>
      <c r="BN188" t="s" s="0">
        <v>1314</v>
      </c>
      <c r="BO188" t="s" s="0">
        <v>2237</v>
      </c>
      <c r="BP188" t="s" s="0">
        <v>2238</v>
      </c>
      <c r="BQ188" t="s" s="0">
        <v>5287</v>
      </c>
      <c r="BR188" t="s" s="0">
        <v>5288</v>
      </c>
      <c r="BS188" t="s" s="0">
        <v>5289</v>
      </c>
      <c r="BT188" t="s" s="374">
        <f>HYPERLINK("https://www.webofscience.com/wos/woscc/full-record/WOS:001150740300001","View Record in Web of Science")</f>
        <v>127</v>
      </c>
      <c r="BU188" t="s" s="0">
        <v>84</v>
      </c>
      <c r="BV188" t="s" s="0">
        <v>128</v>
      </c>
      <c r="BW188" t="s" s="0">
        <v>129</v>
      </c>
      <c r="BX188" t="s" s="0">
        <v>130</v>
      </c>
    </row>
    <row r="189">
      <c r="A189" t="s" s="0">
        <v>202</v>
      </c>
      <c r="B189" t="s" s="0">
        <v>78</v>
      </c>
      <c r="C189" t="s" s="0">
        <v>423</v>
      </c>
      <c r="D189" t="s" s="0">
        <v>396</v>
      </c>
      <c r="E189" t="s" s="0">
        <v>5290</v>
      </c>
      <c r="F189" t="s" s="0">
        <v>5291</v>
      </c>
      <c r="G189" t="s" s="0">
        <v>5292</v>
      </c>
      <c r="H189" t="s" s="0">
        <v>84</v>
      </c>
      <c r="I189" t="s" s="0">
        <v>85</v>
      </c>
      <c r="J189" t="s" s="0">
        <v>5293</v>
      </c>
      <c r="K189" t="s" s="0">
        <v>5294</v>
      </c>
      <c r="L189" t="s" s="0">
        <v>84</v>
      </c>
      <c r="M189" t="s" s="0">
        <v>84</v>
      </c>
      <c r="N189" t="s" s="0">
        <v>84</v>
      </c>
      <c r="O189" t="s" s="0">
        <v>5295</v>
      </c>
      <c r="P189" t="s" s="0">
        <v>5296</v>
      </c>
      <c r="Q189" t="s" s="0">
        <v>93</v>
      </c>
      <c r="R189" t="s" s="0">
        <v>84</v>
      </c>
      <c r="S189" t="s" s="0">
        <v>84</v>
      </c>
      <c r="T189" t="s" s="0">
        <v>84</v>
      </c>
      <c r="U189" t="s" s="0">
        <v>84</v>
      </c>
      <c r="V189" t="s" s="0">
        <v>5297</v>
      </c>
      <c r="W189" t="s" s="0">
        <v>3595</v>
      </c>
      <c r="X189" t="s" s="0">
        <v>84</v>
      </c>
      <c r="Y189" t="s" s="0">
        <v>84</v>
      </c>
      <c r="Z189" t="s" s="0">
        <v>96</v>
      </c>
      <c r="AA189" t="s" s="0">
        <v>97</v>
      </c>
      <c r="AB189" t="s" s="0">
        <v>84</v>
      </c>
      <c r="AC189" t="s" s="0">
        <v>84</v>
      </c>
      <c r="AD189" t="s" s="0">
        <v>84</v>
      </c>
      <c r="AE189" t="s" s="0">
        <v>84</v>
      </c>
      <c r="AF189" t="s" s="0">
        <v>84</v>
      </c>
      <c r="AG189" t="s" s="0">
        <v>5298</v>
      </c>
      <c r="AH189" t="s" s="0">
        <v>84</v>
      </c>
      <c r="AI189" t="s" s="0">
        <v>5299</v>
      </c>
      <c r="AJ189" t="s" s="0">
        <v>5300</v>
      </c>
      <c r="AK189" t="s" s="0">
        <v>84</v>
      </c>
      <c r="AL189" t="s" s="0">
        <v>303</v>
      </c>
      <c r="AM189" t="s" s="0">
        <v>5301</v>
      </c>
      <c r="AN189" t="s" s="0">
        <v>5302</v>
      </c>
      <c r="AO189" t="s" s="0">
        <v>1130</v>
      </c>
      <c r="AP189" t="s" s="0">
        <v>3877</v>
      </c>
      <c r="AQ189" t="s" s="0">
        <v>379</v>
      </c>
      <c r="AR189" t="s" s="0">
        <v>380</v>
      </c>
      <c r="AS189" t="s" s="0">
        <v>381</v>
      </c>
      <c r="AT189" t="s" s="0">
        <v>84</v>
      </c>
      <c r="AU189" t="s" s="0">
        <v>3602</v>
      </c>
      <c r="AV189" t="s" s="0">
        <v>84</v>
      </c>
      <c r="AW189" t="s" s="0">
        <v>3595</v>
      </c>
      <c r="AX189" t="s" s="0">
        <v>3603</v>
      </c>
      <c r="AY189" t="s" s="0">
        <v>5303</v>
      </c>
      <c r="AZ189" t="s" s="0">
        <v>235</v>
      </c>
      <c r="BA189" t="s" s="0">
        <v>527</v>
      </c>
      <c r="BB189" t="s" s="0">
        <v>280</v>
      </c>
      <c r="BC189" t="s" s="0">
        <v>84</v>
      </c>
      <c r="BD189" t="s" s="0">
        <v>84</v>
      </c>
      <c r="BE189" t="s" s="0">
        <v>84</v>
      </c>
      <c r="BF189" t="s" s="0">
        <v>84</v>
      </c>
      <c r="BG189" t="s" s="0">
        <v>84</v>
      </c>
      <c r="BH189" t="s" s="0">
        <v>84</v>
      </c>
      <c r="BI189" t="s" s="0">
        <v>5304</v>
      </c>
      <c r="BJ189" t="s" s="0">
        <v>5305</v>
      </c>
      <c r="BK189" t="s" s="375">
        <f>HYPERLINK("http://dx.doi.org/10.3390/bioengineering10121435","http://dx.doi.org/10.3390/bioengineering10121435")</f>
        <v>5306</v>
      </c>
      <c r="BL189" t="s" s="0">
        <v>84</v>
      </c>
      <c r="BM189" t="s" s="0">
        <v>84</v>
      </c>
      <c r="BN189" t="s" s="0">
        <v>1130</v>
      </c>
      <c r="BO189" t="s" s="0">
        <v>3607</v>
      </c>
      <c r="BP189" t="s" s="0">
        <v>3608</v>
      </c>
      <c r="BQ189" t="s" s="0">
        <v>5307</v>
      </c>
      <c r="BR189" t="s" s="0">
        <v>5308</v>
      </c>
      <c r="BS189" t="s" s="0">
        <v>5309</v>
      </c>
      <c r="BT189" t="s" s="376">
        <f>HYPERLINK("https://www.webofscience.com/wos/woscc/full-record/WOS:001130543200001","View Record in Web of Science")</f>
        <v>127</v>
      </c>
      <c r="BU189" t="s" s="0">
        <v>170</v>
      </c>
      <c r="BV189" t="s" s="0">
        <v>128</v>
      </c>
      <c r="BW189" t="s" s="0">
        <v>129</v>
      </c>
      <c r="BX189" t="s" s="0">
        <v>130</v>
      </c>
    </row>
    <row r="190">
      <c r="A190" t="s" s="0">
        <v>160</v>
      </c>
      <c r="B190" t="s" s="0">
        <v>78</v>
      </c>
      <c r="C190" t="s" s="0">
        <v>568</v>
      </c>
      <c r="D190" t="s" s="0">
        <v>214</v>
      </c>
      <c r="E190" t="s" s="0">
        <v>5310</v>
      </c>
      <c r="F190" t="s" s="0">
        <v>5311</v>
      </c>
      <c r="G190" t="s" s="0">
        <v>5312</v>
      </c>
      <c r="H190" t="s" s="0">
        <v>84</v>
      </c>
      <c r="I190" t="s" s="0">
        <v>85</v>
      </c>
      <c r="J190" t="s" s="0">
        <v>5313</v>
      </c>
      <c r="K190" t="s" s="0">
        <v>5314</v>
      </c>
      <c r="L190" t="s" s="0">
        <v>5315</v>
      </c>
      <c r="M190" t="s" s="0">
        <v>5316</v>
      </c>
      <c r="N190" t="s" s="0">
        <v>5317</v>
      </c>
      <c r="O190" t="s" s="0">
        <v>5318</v>
      </c>
      <c r="P190" t="s" s="0">
        <v>5319</v>
      </c>
      <c r="Q190" t="s" s="0">
        <v>93</v>
      </c>
      <c r="R190" t="s" s="0">
        <v>84</v>
      </c>
      <c r="S190" t="s" s="0">
        <v>84</v>
      </c>
      <c r="T190" t="s" s="0">
        <v>84</v>
      </c>
      <c r="U190" t="s" s="0">
        <v>84</v>
      </c>
      <c r="V190" t="s" s="0">
        <v>5320</v>
      </c>
      <c r="W190" t="s" s="0">
        <v>4285</v>
      </c>
      <c r="X190" t="s" s="0">
        <v>84</v>
      </c>
      <c r="Y190" t="s" s="0">
        <v>84</v>
      </c>
      <c r="Z190" t="s" s="0">
        <v>96</v>
      </c>
      <c r="AA190" t="s" s="0">
        <v>97</v>
      </c>
      <c r="AB190" t="s" s="0">
        <v>84</v>
      </c>
      <c r="AC190" t="s" s="0">
        <v>84</v>
      </c>
      <c r="AD190" t="s" s="0">
        <v>84</v>
      </c>
      <c r="AE190" t="s" s="0">
        <v>84</v>
      </c>
      <c r="AF190" t="s" s="0">
        <v>84</v>
      </c>
      <c r="AG190" t="s" s="0">
        <v>5321</v>
      </c>
      <c r="AH190" t="s" s="0">
        <v>5322</v>
      </c>
      <c r="AI190" t="s" s="0">
        <v>5323</v>
      </c>
      <c r="AJ190" t="s" s="0">
        <v>5324</v>
      </c>
      <c r="AK190" t="s" s="0">
        <v>84</v>
      </c>
      <c r="AL190" t="s" s="0">
        <v>2351</v>
      </c>
      <c r="AM190" t="s" s="0">
        <v>5301</v>
      </c>
      <c r="AN190" t="s" s="0">
        <v>3981</v>
      </c>
      <c r="AO190" t="s" s="0">
        <v>342</v>
      </c>
      <c r="AP190" t="s" s="0">
        <v>5229</v>
      </c>
      <c r="AQ190" t="s" s="0">
        <v>703</v>
      </c>
      <c r="AR190" t="s" s="0">
        <v>704</v>
      </c>
      <c r="AS190" t="s" s="0">
        <v>705</v>
      </c>
      <c r="AT190" t="s" s="0">
        <v>4290</v>
      </c>
      <c r="AU190" t="s" s="0">
        <v>4291</v>
      </c>
      <c r="AV190" t="s" s="0">
        <v>84</v>
      </c>
      <c r="AW190" t="s" s="0">
        <v>4292</v>
      </c>
      <c r="AX190" t="s" s="0">
        <v>4293</v>
      </c>
      <c r="AY190" t="s" s="0">
        <v>989</v>
      </c>
      <c r="AZ190" t="s" s="0">
        <v>114</v>
      </c>
      <c r="BA190" t="s" s="0">
        <v>5094</v>
      </c>
      <c r="BB190" t="s" s="0">
        <v>342</v>
      </c>
      <c r="BC190" t="s" s="0">
        <v>84</v>
      </c>
      <c r="BD190" t="s" s="0">
        <v>84</v>
      </c>
      <c r="BE190" t="s" s="0">
        <v>84</v>
      </c>
      <c r="BF190" t="s" s="0">
        <v>84</v>
      </c>
      <c r="BG190" t="s" s="0">
        <v>5325</v>
      </c>
      <c r="BH190" t="s" s="0">
        <v>5326</v>
      </c>
      <c r="BI190" t="s" s="0">
        <v>84</v>
      </c>
      <c r="BJ190" t="s" s="0">
        <v>5327</v>
      </c>
      <c r="BK190" t="s" s="377">
        <f>HYPERLINK("http://dx.doi.org/10.1016/j.amjmed.2019.01.017","http://dx.doi.org/10.1016/j.amjmed.2019.01.017")</f>
        <v>5328</v>
      </c>
      <c r="BL190" t="s" s="0">
        <v>84</v>
      </c>
      <c r="BM190" t="s" s="0">
        <v>84</v>
      </c>
      <c r="BN190" t="s" s="0">
        <v>342</v>
      </c>
      <c r="BO190" t="s" s="0">
        <v>281</v>
      </c>
      <c r="BP190" t="s" s="0">
        <v>282</v>
      </c>
      <c r="BQ190" t="s" s="0">
        <v>5329</v>
      </c>
      <c r="BR190" t="s" s="0">
        <v>5330</v>
      </c>
      <c r="BS190" t="s" s="0">
        <v>5331</v>
      </c>
      <c r="BT190" t="s" s="378">
        <f>HYPERLINK("https://www.webofscience.com/wos/woscc/full-record/WOS:000479120000023","View Record in Web of Science")</f>
        <v>127</v>
      </c>
      <c r="BU190" t="s" s="0">
        <v>321</v>
      </c>
      <c r="BV190" t="s" s="0">
        <v>128</v>
      </c>
      <c r="BW190" t="s" s="0">
        <v>129</v>
      </c>
      <c r="BX190" t="s" s="0">
        <v>130</v>
      </c>
    </row>
    <row r="191">
      <c r="A191" t="s" s="0">
        <v>121</v>
      </c>
      <c r="B191" t="s" s="0">
        <v>78</v>
      </c>
      <c r="C191" t="s" s="0">
        <v>1213</v>
      </c>
      <c r="D191" t="s" s="0">
        <v>116</v>
      </c>
      <c r="E191" t="s" s="0">
        <v>5332</v>
      </c>
      <c r="F191" t="s" s="0">
        <v>5333</v>
      </c>
      <c r="G191" t="s" s="0">
        <v>5334</v>
      </c>
      <c r="H191" t="s" s="0">
        <v>84</v>
      </c>
      <c r="I191" t="s" s="0">
        <v>85</v>
      </c>
      <c r="J191" t="s" s="0">
        <v>5335</v>
      </c>
      <c r="K191" t="s" s="0">
        <v>5336</v>
      </c>
      <c r="L191" t="s" s="0">
        <v>5337</v>
      </c>
      <c r="M191" t="s" s="0">
        <v>5338</v>
      </c>
      <c r="N191" t="s" s="0">
        <v>5339</v>
      </c>
      <c r="O191" t="s" s="0">
        <v>5340</v>
      </c>
      <c r="P191" t="s" s="0">
        <v>5341</v>
      </c>
      <c r="Q191" t="s" s="0">
        <v>93</v>
      </c>
      <c r="R191" t="s" s="0">
        <v>84</v>
      </c>
      <c r="S191" t="s" s="0">
        <v>84</v>
      </c>
      <c r="T191" t="s" s="0">
        <v>84</v>
      </c>
      <c r="U191" t="s" s="0">
        <v>84</v>
      </c>
      <c r="V191" t="s" s="0">
        <v>5342</v>
      </c>
      <c r="W191" t="s" s="0">
        <v>5343</v>
      </c>
      <c r="X191" t="s" s="0">
        <v>84</v>
      </c>
      <c r="Y191" t="s" s="0">
        <v>84</v>
      </c>
      <c r="Z191" t="s" s="0">
        <v>96</v>
      </c>
      <c r="AA191" t="s" s="0">
        <v>97</v>
      </c>
      <c r="AB191" t="s" s="0">
        <v>84</v>
      </c>
      <c r="AC191" t="s" s="0">
        <v>84</v>
      </c>
      <c r="AD191" t="s" s="0">
        <v>84</v>
      </c>
      <c r="AE191" t="s" s="0">
        <v>84</v>
      </c>
      <c r="AF191" t="s" s="0">
        <v>84</v>
      </c>
      <c r="AG191" t="s" s="0">
        <v>5344</v>
      </c>
      <c r="AH191" t="s" s="0">
        <v>5345</v>
      </c>
      <c r="AI191" t="s" s="0">
        <v>5346</v>
      </c>
      <c r="AJ191" t="s" s="0">
        <v>5347</v>
      </c>
      <c r="AK191" t="s" s="0">
        <v>84</v>
      </c>
      <c r="AL191" t="s" s="0">
        <v>2512</v>
      </c>
      <c r="AM191" t="s" s="0">
        <v>3187</v>
      </c>
      <c r="AN191" t="s" s="0">
        <v>5348</v>
      </c>
      <c r="AO191" t="s" s="0">
        <v>787</v>
      </c>
      <c r="AP191" t="s" s="0">
        <v>77</v>
      </c>
      <c r="AQ191" t="s" s="0">
        <v>379</v>
      </c>
      <c r="AR191" t="s" s="0">
        <v>380</v>
      </c>
      <c r="AS191" t="s" s="0">
        <v>381</v>
      </c>
      <c r="AT191" t="s" s="0">
        <v>84</v>
      </c>
      <c r="AU191" t="s" s="0">
        <v>5349</v>
      </c>
      <c r="AV191" t="s" s="0">
        <v>84</v>
      </c>
      <c r="AW191" t="s" s="0">
        <v>5350</v>
      </c>
      <c r="AX191" t="s" s="0">
        <v>5351</v>
      </c>
      <c r="AY191" t="s" s="0">
        <v>3933</v>
      </c>
      <c r="AZ191" t="s" s="0">
        <v>114</v>
      </c>
      <c r="BA191" t="s" s="0">
        <v>160</v>
      </c>
      <c r="BB191" t="s" s="0">
        <v>214</v>
      </c>
      <c r="BC191" t="s" s="0">
        <v>84</v>
      </c>
      <c r="BD191" t="s" s="0">
        <v>84</v>
      </c>
      <c r="BE191" t="s" s="0">
        <v>84</v>
      </c>
      <c r="BF191" t="s" s="0">
        <v>84</v>
      </c>
      <c r="BG191" t="s" s="0">
        <v>84</v>
      </c>
      <c r="BH191" t="s" s="0">
        <v>84</v>
      </c>
      <c r="BI191" t="s" s="0">
        <v>1483</v>
      </c>
      <c r="BJ191" t="s" s="0">
        <v>5352</v>
      </c>
      <c r="BK191" t="s" s="379">
        <f>HYPERLINK("http://dx.doi.org/10.3390/cells8050403","http://dx.doi.org/10.3390/cells8050403")</f>
        <v>5353</v>
      </c>
      <c r="BL191" t="s" s="0">
        <v>84</v>
      </c>
      <c r="BM191" t="s" s="0">
        <v>84</v>
      </c>
      <c r="BN191" t="s" s="0">
        <v>538</v>
      </c>
      <c r="BO191" t="s" s="0">
        <v>3937</v>
      </c>
      <c r="BP191" t="s" s="0">
        <v>3937</v>
      </c>
      <c r="BQ191" t="s" s="0">
        <v>5354</v>
      </c>
      <c r="BR191" t="s" s="0">
        <v>5355</v>
      </c>
      <c r="BS191" t="s" s="0">
        <v>5356</v>
      </c>
      <c r="BT191" t="s" s="380">
        <f>HYPERLINK("https://www.webofscience.com/wos/woscc/full-record/WOS:000470994400023","View Record in Web of Science")</f>
        <v>127</v>
      </c>
      <c r="BU191" t="s" s="0">
        <v>170</v>
      </c>
      <c r="BV191" t="s" s="0">
        <v>128</v>
      </c>
      <c r="BW191" t="s" s="0">
        <v>129</v>
      </c>
      <c r="BX191" t="s" s="0">
        <v>130</v>
      </c>
    </row>
    <row r="192">
      <c r="A192" t="s" s="0">
        <v>116</v>
      </c>
      <c r="B192" t="s" s="0">
        <v>78</v>
      </c>
      <c r="C192" t="s" s="0">
        <v>807</v>
      </c>
      <c r="D192" t="s" s="0">
        <v>116</v>
      </c>
      <c r="E192" t="s" s="0">
        <v>5357</v>
      </c>
      <c r="F192" t="s" s="0">
        <v>5358</v>
      </c>
      <c r="G192" t="s" s="0">
        <v>5359</v>
      </c>
      <c r="H192" t="s" s="0">
        <v>84</v>
      </c>
      <c r="I192" t="s" s="0">
        <v>85</v>
      </c>
      <c r="J192" t="s" s="0">
        <v>5360</v>
      </c>
      <c r="K192" t="s" s="0">
        <v>5361</v>
      </c>
      <c r="L192" t="s" s="0">
        <v>84</v>
      </c>
      <c r="M192" t="s" s="0">
        <v>84</v>
      </c>
      <c r="N192" t="s" s="0">
        <v>84</v>
      </c>
      <c r="O192" t="s" s="0">
        <v>5362</v>
      </c>
      <c r="P192" t="s" s="0">
        <v>5363</v>
      </c>
      <c r="Q192" t="s" s="0">
        <v>93</v>
      </c>
      <c r="R192" t="s" s="0">
        <v>84</v>
      </c>
      <c r="S192" t="s" s="0">
        <v>84</v>
      </c>
      <c r="T192" t="s" s="0">
        <v>84</v>
      </c>
      <c r="U192" t="s" s="0">
        <v>84</v>
      </c>
      <c r="V192" t="s" s="0">
        <v>5364</v>
      </c>
      <c r="W192" t="s" s="0">
        <v>5365</v>
      </c>
      <c r="X192" t="s" s="0">
        <v>84</v>
      </c>
      <c r="Y192" t="s" s="0">
        <v>84</v>
      </c>
      <c r="Z192" t="s" s="0">
        <v>96</v>
      </c>
      <c r="AA192" t="s" s="0">
        <v>97</v>
      </c>
      <c r="AB192" t="s" s="0">
        <v>84</v>
      </c>
      <c r="AC192" t="s" s="0">
        <v>84</v>
      </c>
      <c r="AD192" t="s" s="0">
        <v>84</v>
      </c>
      <c r="AE192" t="s" s="0">
        <v>84</v>
      </c>
      <c r="AF192" t="s" s="0">
        <v>84</v>
      </c>
      <c r="AG192" t="s" s="0">
        <v>5366</v>
      </c>
      <c r="AH192" t="s" s="0">
        <v>5367</v>
      </c>
      <c r="AI192" t="s" s="0">
        <v>5368</v>
      </c>
      <c r="AJ192" t="s" s="0">
        <v>5369</v>
      </c>
      <c r="AK192" t="s" s="0">
        <v>84</v>
      </c>
      <c r="AL192" t="s" s="0">
        <v>1704</v>
      </c>
      <c r="AM192" t="s" s="0">
        <v>5370</v>
      </c>
      <c r="AN192" t="s" s="0">
        <v>4179</v>
      </c>
      <c r="AO192" t="s" s="0">
        <v>202</v>
      </c>
      <c r="AP192" t="s" s="0">
        <v>5371</v>
      </c>
      <c r="AQ192" t="s" s="0">
        <v>5372</v>
      </c>
      <c r="AR192" t="s" s="0">
        <v>560</v>
      </c>
      <c r="AS192" t="s" s="0">
        <v>5373</v>
      </c>
      <c r="AT192" t="s" s="0">
        <v>5374</v>
      </c>
      <c r="AU192" t="s" s="0">
        <v>5375</v>
      </c>
      <c r="AV192" t="s" s="0">
        <v>84</v>
      </c>
      <c r="AW192" t="s" s="0">
        <v>5365</v>
      </c>
      <c r="AX192" t="s" s="0">
        <v>5376</v>
      </c>
      <c r="AY192" t="s" s="0">
        <v>1268</v>
      </c>
      <c r="AZ192" t="s" s="0">
        <v>351</v>
      </c>
      <c r="BA192" t="s" s="0">
        <v>4205</v>
      </c>
      <c r="BB192" t="s" s="0">
        <v>116</v>
      </c>
      <c r="BC192" t="s" s="0">
        <v>84</v>
      </c>
      <c r="BD192" t="s" s="0">
        <v>84</v>
      </c>
      <c r="BE192" t="s" s="0">
        <v>84</v>
      </c>
      <c r="BF192" t="s" s="0">
        <v>84</v>
      </c>
      <c r="BG192" t="s" s="0">
        <v>423</v>
      </c>
      <c r="BH192" t="s" s="0">
        <v>2852</v>
      </c>
      <c r="BI192" t="s" s="0">
        <v>84</v>
      </c>
      <c r="BJ192" t="s" s="0">
        <v>5377</v>
      </c>
      <c r="BK192" t="s" s="381">
        <f>HYPERLINK("http://dx.doi.org/10.1053/j.gastro.2019.08.058","http://dx.doi.org/10.1053/j.gastro.2019.08.058")</f>
        <v>5378</v>
      </c>
      <c r="BL192" t="s" s="0">
        <v>84</v>
      </c>
      <c r="BM192" t="s" s="0">
        <v>84</v>
      </c>
      <c r="BN192" t="s" s="0">
        <v>1130</v>
      </c>
      <c r="BO192" t="s" s="0">
        <v>2942</v>
      </c>
      <c r="BP192" t="s" s="0">
        <v>2942</v>
      </c>
      <c r="BQ192" t="s" s="0">
        <v>5379</v>
      </c>
      <c r="BR192" t="s" s="0">
        <v>5380</v>
      </c>
      <c r="BS192" t="s" s="0">
        <v>5381</v>
      </c>
      <c r="BT192" t="s" s="382">
        <f>HYPERLINK("https://www.webofscience.com/wos/woscc/full-record/WOS:000502549500029","View Record in Web of Science")</f>
        <v>127</v>
      </c>
      <c r="BU192" t="s" s="0">
        <v>649</v>
      </c>
      <c r="BV192" t="s" s="0">
        <v>128</v>
      </c>
      <c r="BW192" t="s" s="0">
        <v>129</v>
      </c>
      <c r="BX192" t="s" s="0">
        <v>130</v>
      </c>
    </row>
    <row r="193">
      <c r="A193" t="s" s="0">
        <v>202</v>
      </c>
      <c r="B193" t="s" s="0">
        <v>78</v>
      </c>
      <c r="C193" t="s" s="0">
        <v>164</v>
      </c>
      <c r="D193" t="s" s="0">
        <v>78</v>
      </c>
      <c r="E193" t="s" s="0">
        <v>5382</v>
      </c>
      <c r="F193" t="s" s="0">
        <v>5383</v>
      </c>
      <c r="G193" t="s" s="0">
        <v>5384</v>
      </c>
      <c r="H193" t="s" s="0">
        <v>84</v>
      </c>
      <c r="I193" t="s" s="0">
        <v>251</v>
      </c>
      <c r="J193" t="s" s="0">
        <v>5385</v>
      </c>
      <c r="K193" t="s" s="0">
        <v>5386</v>
      </c>
      <c r="L193" t="s" s="0">
        <v>5387</v>
      </c>
      <c r="M193" t="s" s="0">
        <v>5388</v>
      </c>
      <c r="N193" t="s" s="0">
        <v>5389</v>
      </c>
      <c r="O193" t="s" s="0">
        <v>5390</v>
      </c>
      <c r="P193" t="s" s="0">
        <v>5391</v>
      </c>
      <c r="Q193" t="s" s="0">
        <v>93</v>
      </c>
      <c r="R193" t="s" s="0">
        <v>84</v>
      </c>
      <c r="S193" t="s" s="0">
        <v>84</v>
      </c>
      <c r="T193" t="s" s="0">
        <v>84</v>
      </c>
      <c r="U193" t="s" s="0">
        <v>84</v>
      </c>
      <c r="V193" t="s" s="0">
        <v>5392</v>
      </c>
      <c r="W193" t="s" s="0">
        <v>5393</v>
      </c>
      <c r="X193" t="s" s="0">
        <v>84</v>
      </c>
      <c r="Y193" t="s" s="0">
        <v>84</v>
      </c>
      <c r="Z193" t="s" s="0">
        <v>96</v>
      </c>
      <c r="AA193" t="s" s="0">
        <v>97</v>
      </c>
      <c r="AB193" t="s" s="0">
        <v>84</v>
      </c>
      <c r="AC193" t="s" s="0">
        <v>84</v>
      </c>
      <c r="AD193" t="s" s="0">
        <v>84</v>
      </c>
      <c r="AE193" t="s" s="0">
        <v>84</v>
      </c>
      <c r="AF193" t="s" s="0">
        <v>84</v>
      </c>
      <c r="AG193" t="s" s="0">
        <v>5394</v>
      </c>
      <c r="AH193" t="s" s="0">
        <v>5395</v>
      </c>
      <c r="AI193" t="s" s="0">
        <v>5396</v>
      </c>
      <c r="AJ193" t="s" s="0">
        <v>5397</v>
      </c>
      <c r="AK193" t="s" s="0">
        <v>84</v>
      </c>
      <c r="AL193" t="s" s="0">
        <v>1786</v>
      </c>
      <c r="AM193" t="s" s="0">
        <v>5370</v>
      </c>
      <c r="AN193" t="s" s="0">
        <v>3127</v>
      </c>
      <c r="AO193" t="s" s="0">
        <v>342</v>
      </c>
      <c r="AP193" t="s" s="0">
        <v>2129</v>
      </c>
      <c r="AQ193" t="s" s="0">
        <v>4959</v>
      </c>
      <c r="AR193" t="s" s="0">
        <v>4960</v>
      </c>
      <c r="AS193" t="s" s="0">
        <v>4961</v>
      </c>
      <c r="AT193" t="s" s="0">
        <v>84</v>
      </c>
      <c r="AU193" t="s" s="0">
        <v>5398</v>
      </c>
      <c r="AV193" t="s" s="0">
        <v>84</v>
      </c>
      <c r="AW193" t="s" s="0">
        <v>5399</v>
      </c>
      <c r="AX193" t="s" s="0">
        <v>5400</v>
      </c>
      <c r="AY193" t="s" s="0">
        <v>5401</v>
      </c>
      <c r="AZ193" t="s" s="0">
        <v>114</v>
      </c>
      <c r="BA193" t="s" s="0">
        <v>342</v>
      </c>
      <c r="BB193" t="s" s="0">
        <v>396</v>
      </c>
      <c r="BC193" t="s" s="0">
        <v>84</v>
      </c>
      <c r="BD193" t="s" s="0">
        <v>84</v>
      </c>
      <c r="BE193" t="s" s="0">
        <v>84</v>
      </c>
      <c r="BF193" t="s" s="0">
        <v>84</v>
      </c>
      <c r="BG193" t="s" s="0">
        <v>133</v>
      </c>
      <c r="BH193" t="s" s="0">
        <v>1117</v>
      </c>
      <c r="BI193" t="s" s="0">
        <v>5402</v>
      </c>
      <c r="BJ193" t="s" s="0">
        <v>5403</v>
      </c>
      <c r="BK193" t="s" s="383">
        <f>HYPERLINK("http://dx.doi.org/10.2196/12239","http://dx.doi.org/10.2196/12239")</f>
        <v>5404</v>
      </c>
      <c r="BL193" t="s" s="0">
        <v>84</v>
      </c>
      <c r="BM193" t="s" s="0">
        <v>84</v>
      </c>
      <c r="BN193" t="s" s="0">
        <v>312</v>
      </c>
      <c r="BO193" t="s" s="0">
        <v>2823</v>
      </c>
      <c r="BP193" t="s" s="0">
        <v>2823</v>
      </c>
      <c r="BQ193" t="s" s="0">
        <v>5405</v>
      </c>
      <c r="BR193" t="s" s="0">
        <v>5406</v>
      </c>
      <c r="BS193" t="s" s="0">
        <v>5407</v>
      </c>
      <c r="BT193" t="s" s="384">
        <f>HYPERLINK("https://www.webofscience.com/wos/woscc/full-record/WOS:000473777800002","View Record in Web of Science")</f>
        <v>127</v>
      </c>
      <c r="BU193" t="s" s="0">
        <v>170</v>
      </c>
      <c r="BV193" t="s" s="0">
        <v>128</v>
      </c>
      <c r="BW193" t="s" s="0">
        <v>129</v>
      </c>
      <c r="BX193" t="s" s="0">
        <v>130</v>
      </c>
    </row>
    <row r="194">
      <c r="A194" t="s" s="0">
        <v>202</v>
      </c>
      <c r="B194" t="s" s="0">
        <v>78</v>
      </c>
      <c r="C194" t="s" s="0">
        <v>2575</v>
      </c>
      <c r="D194" t="s" s="0">
        <v>78</v>
      </c>
      <c r="E194" t="s" s="0">
        <v>5408</v>
      </c>
      <c r="F194" t="s" s="0">
        <v>5409</v>
      </c>
      <c r="G194" t="s" s="0">
        <v>5410</v>
      </c>
      <c r="H194" t="s" s="0">
        <v>84</v>
      </c>
      <c r="I194" t="s" s="0">
        <v>85</v>
      </c>
      <c r="J194" t="s" s="0">
        <v>5411</v>
      </c>
      <c r="K194" t="s" s="0">
        <v>5412</v>
      </c>
      <c r="L194" t="s" s="0">
        <v>5413</v>
      </c>
      <c r="M194" t="s" s="0">
        <v>5414</v>
      </c>
      <c r="N194" t="s" s="0">
        <v>5415</v>
      </c>
      <c r="O194" t="s" s="0">
        <v>5416</v>
      </c>
      <c r="P194" t="s" s="0">
        <v>5417</v>
      </c>
      <c r="Q194" t="s" s="0">
        <v>93</v>
      </c>
      <c r="R194" t="s" s="0">
        <v>84</v>
      </c>
      <c r="S194" t="s" s="0">
        <v>84</v>
      </c>
      <c r="T194" t="s" s="0">
        <v>84</v>
      </c>
      <c r="U194" t="s" s="0">
        <v>84</v>
      </c>
      <c r="V194" t="s" s="0">
        <v>5418</v>
      </c>
      <c r="W194" t="s" s="0">
        <v>4386</v>
      </c>
      <c r="X194" t="s" s="0">
        <v>84</v>
      </c>
      <c r="Y194" t="s" s="0">
        <v>84</v>
      </c>
      <c r="Z194" t="s" s="0">
        <v>96</v>
      </c>
      <c r="AA194" t="s" s="0">
        <v>97</v>
      </c>
      <c r="AB194" t="s" s="0">
        <v>84</v>
      </c>
      <c r="AC194" t="s" s="0">
        <v>84</v>
      </c>
      <c r="AD194" t="s" s="0">
        <v>84</v>
      </c>
      <c r="AE194" t="s" s="0">
        <v>84</v>
      </c>
      <c r="AF194" t="s" s="0">
        <v>84</v>
      </c>
      <c r="AG194" t="s" s="0">
        <v>5419</v>
      </c>
      <c r="AH194" t="s" s="0">
        <v>5420</v>
      </c>
      <c r="AI194" t="s" s="0">
        <v>5421</v>
      </c>
      <c r="AJ194" t="s" s="0">
        <v>5422</v>
      </c>
      <c r="AK194" t="s" s="0">
        <v>84</v>
      </c>
      <c r="AL194" t="s" s="0">
        <v>1786</v>
      </c>
      <c r="AM194" t="s" s="0">
        <v>2354</v>
      </c>
      <c r="AN194" t="s" s="0">
        <v>4271</v>
      </c>
      <c r="AO194" t="s" s="0">
        <v>275</v>
      </c>
      <c r="AP194" t="s" s="0">
        <v>2382</v>
      </c>
      <c r="AQ194" t="s" s="0">
        <v>379</v>
      </c>
      <c r="AR194" t="s" s="0">
        <v>380</v>
      </c>
      <c r="AS194" t="s" s="0">
        <v>381</v>
      </c>
      <c r="AT194" t="s" s="0">
        <v>84</v>
      </c>
      <c r="AU194" t="s" s="0">
        <v>4392</v>
      </c>
      <c r="AV194" t="s" s="0">
        <v>84</v>
      </c>
      <c r="AW194" t="s" s="0">
        <v>4393</v>
      </c>
      <c r="AX194" t="s" s="0">
        <v>4394</v>
      </c>
      <c r="AY194" t="s" s="0">
        <v>3021</v>
      </c>
      <c r="AZ194" t="s" s="0">
        <v>235</v>
      </c>
      <c r="BA194" t="s" s="0">
        <v>192</v>
      </c>
      <c r="BB194" t="s" s="0">
        <v>396</v>
      </c>
      <c r="BC194" t="s" s="0">
        <v>84</v>
      </c>
      <c r="BD194" t="s" s="0">
        <v>84</v>
      </c>
      <c r="BE194" t="s" s="0">
        <v>84</v>
      </c>
      <c r="BF194" t="s" s="0">
        <v>84</v>
      </c>
      <c r="BG194" t="s" s="0">
        <v>84</v>
      </c>
      <c r="BH194" t="s" s="0">
        <v>84</v>
      </c>
      <c r="BI194" t="s" s="0">
        <v>323</v>
      </c>
      <c r="BJ194" t="s" s="0">
        <v>5423</v>
      </c>
      <c r="BK194" t="s" s="385">
        <f>HYPERLINK("http://dx.doi.org/10.3390/s23020634","http://dx.doi.org/10.3390/s23020634")</f>
        <v>5424</v>
      </c>
      <c r="BL194" t="s" s="0">
        <v>84</v>
      </c>
      <c r="BM194" t="s" s="0">
        <v>84</v>
      </c>
      <c r="BN194" t="s" s="0">
        <v>207</v>
      </c>
      <c r="BO194" t="s" s="0">
        <v>4398</v>
      </c>
      <c r="BP194" t="s" s="0">
        <v>4399</v>
      </c>
      <c r="BQ194" t="s" s="0">
        <v>5425</v>
      </c>
      <c r="BR194" t="s" s="0">
        <v>5426</v>
      </c>
      <c r="BS194" t="s" s="0">
        <v>5427</v>
      </c>
      <c r="BT194" t="s" s="386">
        <f>HYPERLINK("https://www.webofscience.com/wos/woscc/full-record/WOS:000927224000001","View Record in Web of Science")</f>
        <v>127</v>
      </c>
      <c r="BU194" t="s" s="0">
        <v>170</v>
      </c>
      <c r="BV194" t="s" s="0">
        <v>128</v>
      </c>
      <c r="BW194" t="s" s="0">
        <v>129</v>
      </c>
      <c r="BX194" t="s" s="0">
        <v>130</v>
      </c>
    </row>
    <row r="195">
      <c r="A195" t="s" s="0">
        <v>207</v>
      </c>
      <c r="B195" t="s" s="0">
        <v>78</v>
      </c>
      <c r="C195" t="s" s="0">
        <v>5428</v>
      </c>
      <c r="D195" t="s" s="0">
        <v>78</v>
      </c>
      <c r="E195" t="s" s="0">
        <v>5429</v>
      </c>
      <c r="F195" t="s" s="0">
        <v>5430</v>
      </c>
      <c r="G195" t="s" s="0">
        <v>5431</v>
      </c>
      <c r="H195" t="s" s="0">
        <v>84</v>
      </c>
      <c r="I195" t="s" s="0">
        <v>85</v>
      </c>
      <c r="J195" t="s" s="0">
        <v>5432</v>
      </c>
      <c r="K195" t="s" s="0">
        <v>5433</v>
      </c>
      <c r="L195" t="s" s="0">
        <v>5434</v>
      </c>
      <c r="M195" t="s" s="0">
        <v>5435</v>
      </c>
      <c r="N195" t="s" s="0">
        <v>5436</v>
      </c>
      <c r="O195" t="s" s="0">
        <v>5437</v>
      </c>
      <c r="P195" t="s" s="0">
        <v>5438</v>
      </c>
      <c r="Q195" t="s" s="0">
        <v>93</v>
      </c>
      <c r="R195" t="s" s="0">
        <v>84</v>
      </c>
      <c r="S195" t="s" s="0">
        <v>84</v>
      </c>
      <c r="T195" t="s" s="0">
        <v>84</v>
      </c>
      <c r="U195" t="s" s="0">
        <v>84</v>
      </c>
      <c r="V195" t="s" s="0">
        <v>5439</v>
      </c>
      <c r="W195" t="s" s="0">
        <v>5440</v>
      </c>
      <c r="X195" t="s" s="0">
        <v>84</v>
      </c>
      <c r="Y195" t="s" s="0">
        <v>84</v>
      </c>
      <c r="Z195" t="s" s="0">
        <v>96</v>
      </c>
      <c r="AA195" t="s" s="0">
        <v>97</v>
      </c>
      <c r="AB195" t="s" s="0">
        <v>84</v>
      </c>
      <c r="AC195" t="s" s="0">
        <v>84</v>
      </c>
      <c r="AD195" t="s" s="0">
        <v>84</v>
      </c>
      <c r="AE195" t="s" s="0">
        <v>84</v>
      </c>
      <c r="AF195" t="s" s="0">
        <v>84</v>
      </c>
      <c r="AG195" t="s" s="0">
        <v>5441</v>
      </c>
      <c r="AH195" t="s" s="0">
        <v>5442</v>
      </c>
      <c r="AI195" t="s" s="0">
        <v>84</v>
      </c>
      <c r="AJ195" t="s" s="0">
        <v>5443</v>
      </c>
      <c r="AK195" t="s" s="0">
        <v>84</v>
      </c>
      <c r="AL195" t="s" s="0">
        <v>5444</v>
      </c>
      <c r="AM195" t="s" s="0">
        <v>702</v>
      </c>
      <c r="AN195" t="s" s="0">
        <v>2816</v>
      </c>
      <c r="AO195" t="s" s="0">
        <v>527</v>
      </c>
      <c r="AP195" t="s" s="0">
        <v>5445</v>
      </c>
      <c r="AQ195" t="s" s="0">
        <v>5446</v>
      </c>
      <c r="AR195" t="s" s="0">
        <v>5447</v>
      </c>
      <c r="AS195" t="s" s="0">
        <v>5448</v>
      </c>
      <c r="AT195" t="s" s="0">
        <v>5449</v>
      </c>
      <c r="AU195" t="s" s="0">
        <v>5450</v>
      </c>
      <c r="AV195" t="s" s="0">
        <v>84</v>
      </c>
      <c r="AW195" t="s" s="0">
        <v>5451</v>
      </c>
      <c r="AX195" t="s" s="0">
        <v>5452</v>
      </c>
      <c r="AY195" t="s" s="0">
        <v>422</v>
      </c>
      <c r="AZ195" t="s" s="0">
        <v>159</v>
      </c>
      <c r="BA195" t="s" s="0">
        <v>996</v>
      </c>
      <c r="BB195" t="s" s="0">
        <v>84</v>
      </c>
      <c r="BC195" t="s" s="0">
        <v>84</v>
      </c>
      <c r="BD195" t="s" s="0">
        <v>84</v>
      </c>
      <c r="BE195" t="s" s="0">
        <v>84</v>
      </c>
      <c r="BF195" t="s" s="0">
        <v>84</v>
      </c>
      <c r="BG195" t="s" s="0">
        <v>84</v>
      </c>
      <c r="BH195" t="s" s="0">
        <v>84</v>
      </c>
      <c r="BI195" t="s" s="0">
        <v>5453</v>
      </c>
      <c r="BJ195" t="s" s="0">
        <v>5454</v>
      </c>
      <c r="BK195" t="s" s="387">
        <f>HYPERLINK("http://dx.doi.org/10.1016/j.drup.2021.100796","http://dx.doi.org/10.1016/j.drup.2021.100796")</f>
        <v>5455</v>
      </c>
      <c r="BL195" t="s" s="0">
        <v>84</v>
      </c>
      <c r="BM195" t="s" s="0">
        <v>84</v>
      </c>
      <c r="BN195" t="s" s="0">
        <v>280</v>
      </c>
      <c r="BO195" t="s" s="0">
        <v>1272</v>
      </c>
      <c r="BP195" t="s" s="0">
        <v>1272</v>
      </c>
      <c r="BQ195" t="s" s="0">
        <v>5456</v>
      </c>
      <c r="BR195" t="s" s="0">
        <v>5457</v>
      </c>
      <c r="BS195" t="s" s="0">
        <v>5458</v>
      </c>
      <c r="BT195" t="s" s="388">
        <f>HYPERLINK("https://www.webofscience.com/wos/woscc/full-record/WOS:000750035200006","View Record in Web of Science")</f>
        <v>127</v>
      </c>
      <c r="BU195" t="s" s="0">
        <v>321</v>
      </c>
      <c r="BV195" t="s" s="0">
        <v>128</v>
      </c>
      <c r="BW195" t="s" s="0">
        <v>129</v>
      </c>
      <c r="BX195" t="s" s="0">
        <v>130</v>
      </c>
    </row>
    <row r="196">
      <c r="A196" t="s" s="0">
        <v>459</v>
      </c>
      <c r="B196" t="s" s="0">
        <v>78</v>
      </c>
      <c r="C196" t="s" s="0">
        <v>4736</v>
      </c>
      <c r="D196" t="s" s="0">
        <v>78</v>
      </c>
      <c r="E196" t="s" s="0">
        <v>5459</v>
      </c>
      <c r="F196" t="s" s="0">
        <v>5460</v>
      </c>
      <c r="G196" t="s" s="0">
        <v>5461</v>
      </c>
      <c r="H196" t="s" s="0">
        <v>84</v>
      </c>
      <c r="I196" t="s" s="0">
        <v>85</v>
      </c>
      <c r="J196" t="s" s="0">
        <v>5462</v>
      </c>
      <c r="K196" t="s" s="0">
        <v>5463</v>
      </c>
      <c r="L196" t="s" s="0">
        <v>5464</v>
      </c>
      <c r="M196" t="s" s="0">
        <v>5465</v>
      </c>
      <c r="N196" t="s" s="0">
        <v>5466</v>
      </c>
      <c r="O196" t="s" s="0">
        <v>5467</v>
      </c>
      <c r="P196" t="s" s="0">
        <v>5468</v>
      </c>
      <c r="Q196" t="s" s="0">
        <v>93</v>
      </c>
      <c r="R196" t="s" s="0">
        <v>84</v>
      </c>
      <c r="S196" t="s" s="0">
        <v>84</v>
      </c>
      <c r="T196" t="s" s="0">
        <v>84</v>
      </c>
      <c r="U196" t="s" s="0">
        <v>84</v>
      </c>
      <c r="V196" t="s" s="0">
        <v>5469</v>
      </c>
      <c r="W196" t="s" s="0">
        <v>1537</v>
      </c>
      <c r="X196" t="s" s="0">
        <v>84</v>
      </c>
      <c r="Y196" t="s" s="0">
        <v>84</v>
      </c>
      <c r="Z196" t="s" s="0">
        <v>96</v>
      </c>
      <c r="AA196" t="s" s="0">
        <v>97</v>
      </c>
      <c r="AB196" t="s" s="0">
        <v>84</v>
      </c>
      <c r="AC196" t="s" s="0">
        <v>84</v>
      </c>
      <c r="AD196" t="s" s="0">
        <v>84</v>
      </c>
      <c r="AE196" t="s" s="0">
        <v>84</v>
      </c>
      <c r="AF196" t="s" s="0">
        <v>84</v>
      </c>
      <c r="AG196" t="s" s="0">
        <v>84</v>
      </c>
      <c r="AH196" t="s" s="0">
        <v>5470</v>
      </c>
      <c r="AI196" t="s" s="0">
        <v>5471</v>
      </c>
      <c r="AJ196" t="s" s="0">
        <v>5472</v>
      </c>
      <c r="AK196" t="s" s="0">
        <v>84</v>
      </c>
      <c r="AL196" t="s" s="0">
        <v>2963</v>
      </c>
      <c r="AM196" t="s" s="0">
        <v>4129</v>
      </c>
      <c r="AN196" t="s" s="0">
        <v>836</v>
      </c>
      <c r="AO196" t="s" s="0">
        <v>2512</v>
      </c>
      <c r="AP196" t="s" s="0">
        <v>4988</v>
      </c>
      <c r="AQ196" t="s" s="0">
        <v>152</v>
      </c>
      <c r="AR196" t="s" s="0">
        <v>153</v>
      </c>
      <c r="AS196" t="s" s="0">
        <v>1545</v>
      </c>
      <c r="AT196" t="s" s="0">
        <v>1546</v>
      </c>
      <c r="AU196" t="s" s="0">
        <v>1547</v>
      </c>
      <c r="AV196" t="s" s="0">
        <v>84</v>
      </c>
      <c r="AW196" t="s" s="0">
        <v>1548</v>
      </c>
      <c r="AX196" t="s" s="0">
        <v>1549</v>
      </c>
      <c r="AY196" t="s" s="0">
        <v>5473</v>
      </c>
      <c r="AZ196" t="s" s="0">
        <v>1646</v>
      </c>
      <c r="BA196" t="s" s="0">
        <v>527</v>
      </c>
      <c r="BB196" t="s" s="0">
        <v>116</v>
      </c>
      <c r="BC196" t="s" s="0">
        <v>84</v>
      </c>
      <c r="BD196" t="s" s="0">
        <v>84</v>
      </c>
      <c r="BE196" t="s" s="0">
        <v>84</v>
      </c>
      <c r="BF196" t="s" s="0">
        <v>84</v>
      </c>
      <c r="BG196" t="s" s="0">
        <v>84</v>
      </c>
      <c r="BH196" t="s" s="0">
        <v>84</v>
      </c>
      <c r="BI196" t="s" s="0">
        <v>164</v>
      </c>
      <c r="BJ196" t="s" s="0">
        <v>5474</v>
      </c>
      <c r="BK196" t="s" s="389">
        <f>HYPERLINK("http://dx.doi.org/10.1038/s41392-024-02107-5","http://dx.doi.org/10.1038/s41392-024-02107-5")</f>
        <v>5475</v>
      </c>
      <c r="BL196" t="s" s="0">
        <v>84</v>
      </c>
      <c r="BM196" t="s" s="0">
        <v>84</v>
      </c>
      <c r="BN196" t="s" s="0">
        <v>118</v>
      </c>
      <c r="BO196" t="s" s="0">
        <v>1554</v>
      </c>
      <c r="BP196" t="s" s="0">
        <v>1554</v>
      </c>
      <c r="BQ196" t="s" s="0">
        <v>5476</v>
      </c>
      <c r="BR196" t="s" s="0">
        <v>5477</v>
      </c>
      <c r="BS196" t="s" s="0">
        <v>5478</v>
      </c>
      <c r="BT196" t="s" s="390">
        <f>HYPERLINK("https://www.webofscience.com/wos/woscc/full-record/WOS:001439728500001","View Record in Web of Science")</f>
        <v>127</v>
      </c>
      <c r="BU196" t="s" s="0">
        <v>170</v>
      </c>
      <c r="BV196" t="s" s="0">
        <v>129</v>
      </c>
      <c r="BW196" t="s" s="0">
        <v>129</v>
      </c>
      <c r="BX196" t="s" s="0">
        <v>130</v>
      </c>
    </row>
    <row r="197">
      <c r="A197" t="s" s="0">
        <v>172</v>
      </c>
      <c r="B197" t="s" s="0">
        <v>78</v>
      </c>
      <c r="C197" t="s" s="0">
        <v>423</v>
      </c>
      <c r="D197" t="s" s="0">
        <v>78</v>
      </c>
      <c r="E197" t="s" s="0">
        <v>5479</v>
      </c>
      <c r="F197" t="s" s="0">
        <v>5480</v>
      </c>
      <c r="G197" t="s" s="0">
        <v>5481</v>
      </c>
      <c r="H197" t="s" s="0">
        <v>84</v>
      </c>
      <c r="I197" t="s" s="0">
        <v>85</v>
      </c>
      <c r="J197" t="s" s="0">
        <v>5482</v>
      </c>
      <c r="K197" t="s" s="0">
        <v>5483</v>
      </c>
      <c r="L197" t="s" s="0">
        <v>5484</v>
      </c>
      <c r="M197" t="s" s="0">
        <v>5485</v>
      </c>
      <c r="N197" t="s" s="0">
        <v>5486</v>
      </c>
      <c r="O197" t="s" s="0">
        <v>5487</v>
      </c>
      <c r="P197" t="s" s="0">
        <v>5488</v>
      </c>
      <c r="Q197" t="s" s="0">
        <v>93</v>
      </c>
      <c r="R197" t="s" s="0">
        <v>84</v>
      </c>
      <c r="S197" t="s" s="0">
        <v>84</v>
      </c>
      <c r="T197" t="s" s="0">
        <v>84</v>
      </c>
      <c r="U197" t="s" s="0">
        <v>84</v>
      </c>
      <c r="V197" t="s" s="0">
        <v>5489</v>
      </c>
      <c r="W197" t="s" s="0">
        <v>5490</v>
      </c>
      <c r="X197" t="s" s="0">
        <v>84</v>
      </c>
      <c r="Y197" t="s" s="0">
        <v>84</v>
      </c>
      <c r="Z197" t="s" s="0">
        <v>96</v>
      </c>
      <c r="AA197" t="s" s="0">
        <v>97</v>
      </c>
      <c r="AB197" t="s" s="0">
        <v>84</v>
      </c>
      <c r="AC197" t="s" s="0">
        <v>84</v>
      </c>
      <c r="AD197" t="s" s="0">
        <v>84</v>
      </c>
      <c r="AE197" t="s" s="0">
        <v>84</v>
      </c>
      <c r="AF197" t="s" s="0">
        <v>84</v>
      </c>
      <c r="AG197" t="s" s="0">
        <v>5491</v>
      </c>
      <c r="AH197" t="s" s="0">
        <v>5492</v>
      </c>
      <c r="AI197" t="s" s="0">
        <v>5493</v>
      </c>
      <c r="AJ197" t="s" s="0">
        <v>5494</v>
      </c>
      <c r="AK197" t="s" s="0">
        <v>84</v>
      </c>
      <c r="AL197" t="s" s="0">
        <v>3470</v>
      </c>
      <c r="AM197" t="s" s="0">
        <v>4129</v>
      </c>
      <c r="AN197" t="s" s="0">
        <v>3127</v>
      </c>
      <c r="AO197" t="s" s="0">
        <v>342</v>
      </c>
      <c r="AP197" t="s" s="0">
        <v>2411</v>
      </c>
      <c r="AQ197" t="s" s="0">
        <v>2062</v>
      </c>
      <c r="AR197" t="s" s="0">
        <v>633</v>
      </c>
      <c r="AS197" t="s" s="0">
        <v>2063</v>
      </c>
      <c r="AT197" t="s" s="0">
        <v>5495</v>
      </c>
      <c r="AU197" t="s" s="0">
        <v>5496</v>
      </c>
      <c r="AV197" t="s" s="0">
        <v>84</v>
      </c>
      <c r="AW197" t="s" s="0">
        <v>5497</v>
      </c>
      <c r="AX197" t="s" s="0">
        <v>5498</v>
      </c>
      <c r="AY197" t="s" s="0">
        <v>4368</v>
      </c>
      <c r="AZ197" t="s" s="0">
        <v>3426</v>
      </c>
      <c r="BA197" t="s" s="0">
        <v>1852</v>
      </c>
      <c r="BB197" t="s" s="0">
        <v>84</v>
      </c>
      <c r="BC197" t="s" s="0">
        <v>84</v>
      </c>
      <c r="BD197" t="s" s="0">
        <v>84</v>
      </c>
      <c r="BE197" t="s" s="0">
        <v>84</v>
      </c>
      <c r="BF197" t="s" s="0">
        <v>84</v>
      </c>
      <c r="BG197" t="s" s="0">
        <v>84</v>
      </c>
      <c r="BH197" t="s" s="0">
        <v>84</v>
      </c>
      <c r="BI197" t="s" s="0">
        <v>5499</v>
      </c>
      <c r="BJ197" t="s" s="0">
        <v>5500</v>
      </c>
      <c r="BK197" t="s" s="391">
        <f>HYPERLINK("http://dx.doi.org/10.1016/j.compbiomed.2021.105111","http://dx.doi.org/10.1016/j.compbiomed.2021.105111")</f>
        <v>5501</v>
      </c>
      <c r="BL197" t="s" s="0">
        <v>84</v>
      </c>
      <c r="BM197" t="s" s="0">
        <v>422</v>
      </c>
      <c r="BN197" t="s" s="0">
        <v>312</v>
      </c>
      <c r="BO197" t="s" s="0">
        <v>5502</v>
      </c>
      <c r="BP197" t="s" s="0">
        <v>5503</v>
      </c>
      <c r="BQ197" t="s" s="0">
        <v>5504</v>
      </c>
      <c r="BR197" t="s" s="0">
        <v>5505</v>
      </c>
      <c r="BS197" t="s" s="0">
        <v>5506</v>
      </c>
      <c r="BT197" t="s" s="392">
        <f>HYPERLINK("https://www.webofscience.com/wos/woscc/full-record/WOS:000744208900006","View Record in Web of Science")</f>
        <v>127</v>
      </c>
      <c r="BU197" t="s" s="0">
        <v>5507</v>
      </c>
      <c r="BV197" t="s" s="0">
        <v>128</v>
      </c>
      <c r="BW197" t="s" s="0">
        <v>129</v>
      </c>
      <c r="BX197" t="s" s="0">
        <v>130</v>
      </c>
    </row>
    <row r="198">
      <c r="A198" t="s" s="0">
        <v>172</v>
      </c>
      <c r="B198" t="s" s="0">
        <v>78</v>
      </c>
      <c r="C198" t="s" s="0">
        <v>2843</v>
      </c>
      <c r="D198" t="s" s="0">
        <v>116</v>
      </c>
      <c r="E198" t="s" s="0">
        <v>5508</v>
      </c>
      <c r="F198" t="s" s="0">
        <v>5509</v>
      </c>
      <c r="G198" t="s" s="0">
        <v>5510</v>
      </c>
      <c r="H198" t="s" s="0">
        <v>84</v>
      </c>
      <c r="I198" t="s" s="0">
        <v>85</v>
      </c>
      <c r="J198" t="s" s="0">
        <v>5511</v>
      </c>
      <c r="K198" t="s" s="0">
        <v>5512</v>
      </c>
      <c r="L198" t="s" s="0">
        <v>84</v>
      </c>
      <c r="M198" t="s" s="0">
        <v>84</v>
      </c>
      <c r="N198" t="s" s="0">
        <v>84</v>
      </c>
      <c r="O198" t="s" s="0">
        <v>5513</v>
      </c>
      <c r="P198" t="s" s="0">
        <v>5514</v>
      </c>
      <c r="Q198" t="s" s="0">
        <v>93</v>
      </c>
      <c r="R198" t="s" s="0">
        <v>84</v>
      </c>
      <c r="S198" t="s" s="0">
        <v>84</v>
      </c>
      <c r="T198" t="s" s="0">
        <v>84</v>
      </c>
      <c r="U198" t="s" s="0">
        <v>84</v>
      </c>
      <c r="V198" t="s" s="0">
        <v>5515</v>
      </c>
      <c r="W198" t="s" s="0">
        <v>5516</v>
      </c>
      <c r="X198" t="s" s="0">
        <v>84</v>
      </c>
      <c r="Y198" t="s" s="0">
        <v>84</v>
      </c>
      <c r="Z198" t="s" s="0">
        <v>96</v>
      </c>
      <c r="AA198" t="s" s="0">
        <v>97</v>
      </c>
      <c r="AB198" t="s" s="0">
        <v>84</v>
      </c>
      <c r="AC198" t="s" s="0">
        <v>84</v>
      </c>
      <c r="AD198" t="s" s="0">
        <v>84</v>
      </c>
      <c r="AE198" t="s" s="0">
        <v>84</v>
      </c>
      <c r="AF198" t="s" s="0">
        <v>84</v>
      </c>
      <c r="AG198" t="s" s="0">
        <v>5517</v>
      </c>
      <c r="AH198" t="s" s="0">
        <v>5518</v>
      </c>
      <c r="AI198" t="s" s="0">
        <v>5519</v>
      </c>
      <c r="AJ198" t="s" s="0">
        <v>84</v>
      </c>
      <c r="AK198" t="s" s="0">
        <v>84</v>
      </c>
      <c r="AL198" t="s" s="0">
        <v>1942</v>
      </c>
      <c r="AM198" t="s" s="0">
        <v>4129</v>
      </c>
      <c r="AN198" t="s" s="0">
        <v>4577</v>
      </c>
      <c r="AO198" t="s" s="0">
        <v>396</v>
      </c>
      <c r="AP198" t="s" s="0">
        <v>628</v>
      </c>
      <c r="AQ198" t="s" s="0">
        <v>703</v>
      </c>
      <c r="AR198" t="s" s="0">
        <v>704</v>
      </c>
      <c r="AS198" t="s" s="0">
        <v>705</v>
      </c>
      <c r="AT198" t="s" s="0">
        <v>5520</v>
      </c>
      <c r="AU198" t="s" s="0">
        <v>5521</v>
      </c>
      <c r="AV198" t="s" s="0">
        <v>84</v>
      </c>
      <c r="AW198" t="s" s="0">
        <v>5522</v>
      </c>
      <c r="AX198" t="s" s="0">
        <v>5523</v>
      </c>
      <c r="AY198" t="s" s="0">
        <v>5163</v>
      </c>
      <c r="AZ198" t="s" s="0">
        <v>201</v>
      </c>
      <c r="BA198" t="s" s="0">
        <v>1876</v>
      </c>
      <c r="BB198" t="s" s="0">
        <v>84</v>
      </c>
      <c r="BC198" t="s" s="0">
        <v>84</v>
      </c>
      <c r="BD198" t="s" s="0">
        <v>84</v>
      </c>
      <c r="BE198" t="s" s="0">
        <v>84</v>
      </c>
      <c r="BF198" t="s" s="0">
        <v>84</v>
      </c>
      <c r="BG198" t="s" s="0">
        <v>3778</v>
      </c>
      <c r="BH198" t="s" s="0">
        <v>2852</v>
      </c>
      <c r="BI198" t="s" s="0">
        <v>84</v>
      </c>
      <c r="BJ198" t="s" s="0">
        <v>5524</v>
      </c>
      <c r="BK198" t="s" s="393">
        <f>HYPERLINK("http://dx.doi.org/10.1016/j.wneu.2017.09.149","http://dx.doi.org/10.1016/j.wneu.2017.09.149")</f>
        <v>5525</v>
      </c>
      <c r="BL198" t="s" s="0">
        <v>84</v>
      </c>
      <c r="BM198" t="s" s="0">
        <v>84</v>
      </c>
      <c r="BN198" t="s" s="0">
        <v>280</v>
      </c>
      <c r="BO198" t="s" s="0">
        <v>5526</v>
      </c>
      <c r="BP198" t="s" s="0">
        <v>5527</v>
      </c>
      <c r="BQ198" t="s" s="0">
        <v>5528</v>
      </c>
      <c r="BR198" t="s" s="0">
        <v>5529</v>
      </c>
      <c r="BS198" t="s" s="0">
        <v>5530</v>
      </c>
      <c r="BT198" t="s" s="394">
        <f>HYPERLINK("https://www.webofscience.com/wos/woscc/full-record/WOS:000419015000194","View Record in Web of Science")</f>
        <v>127</v>
      </c>
      <c r="BU198" t="s" s="0">
        <v>321</v>
      </c>
      <c r="BV198" t="s" s="0">
        <v>128</v>
      </c>
      <c r="BW198" t="s" s="0">
        <v>129</v>
      </c>
      <c r="BX198" t="s" s="0">
        <v>130</v>
      </c>
    </row>
    <row r="199">
      <c r="A199" t="s" s="0">
        <v>312</v>
      </c>
      <c r="B199" t="s" s="0">
        <v>78</v>
      </c>
      <c r="C199" t="s" s="0">
        <v>2002</v>
      </c>
      <c r="D199" t="s" s="0">
        <v>116</v>
      </c>
      <c r="E199" t="s" s="0">
        <v>5531</v>
      </c>
      <c r="F199" t="s" s="0">
        <v>5532</v>
      </c>
      <c r="G199" t="s" s="0">
        <v>5533</v>
      </c>
      <c r="H199" t="s" s="0">
        <v>84</v>
      </c>
      <c r="I199" t="s" s="0">
        <v>85</v>
      </c>
      <c r="J199" t="s" s="0">
        <v>5534</v>
      </c>
      <c r="K199" t="s" s="0">
        <v>5535</v>
      </c>
      <c r="L199" t="s" s="0">
        <v>84</v>
      </c>
      <c r="M199" t="s" s="0">
        <v>84</v>
      </c>
      <c r="N199" t="s" s="0">
        <v>84</v>
      </c>
      <c r="O199" t="s" s="0">
        <v>5536</v>
      </c>
      <c r="P199" t="s" s="0">
        <v>84</v>
      </c>
      <c r="Q199" t="s" s="0">
        <v>93</v>
      </c>
      <c r="R199" t="s" s="0">
        <v>84</v>
      </c>
      <c r="S199" t="s" s="0">
        <v>84</v>
      </c>
      <c r="T199" t="s" s="0">
        <v>84</v>
      </c>
      <c r="U199" t="s" s="0">
        <v>84</v>
      </c>
      <c r="V199" t="s" s="0">
        <v>5537</v>
      </c>
      <c r="W199" t="s" s="0">
        <v>5538</v>
      </c>
      <c r="X199" t="s" s="0">
        <v>84</v>
      </c>
      <c r="Y199" t="s" s="0">
        <v>84</v>
      </c>
      <c r="Z199" t="s" s="0">
        <v>96</v>
      </c>
      <c r="AA199" t="s" s="0">
        <v>97</v>
      </c>
      <c r="AB199" t="s" s="0">
        <v>84</v>
      </c>
      <c r="AC199" t="s" s="0">
        <v>84</v>
      </c>
      <c r="AD199" t="s" s="0">
        <v>84</v>
      </c>
      <c r="AE199" t="s" s="0">
        <v>84</v>
      </c>
      <c r="AF199" t="s" s="0">
        <v>84</v>
      </c>
      <c r="AG199" t="s" s="0">
        <v>5539</v>
      </c>
      <c r="AH199" t="s" s="0">
        <v>5540</v>
      </c>
      <c r="AI199" t="s" s="0">
        <v>84</v>
      </c>
      <c r="AJ199" t="s" s="0">
        <v>5541</v>
      </c>
      <c r="AK199" t="s" s="0">
        <v>84</v>
      </c>
      <c r="AL199" t="s" s="0">
        <v>236</v>
      </c>
      <c r="AM199" t="s" s="0">
        <v>4184</v>
      </c>
      <c r="AN199" t="s" s="0">
        <v>4271</v>
      </c>
      <c r="AO199" t="s" s="0">
        <v>78</v>
      </c>
      <c r="AP199" t="s" s="0">
        <v>484</v>
      </c>
      <c r="AQ199" t="s" s="0">
        <v>1347</v>
      </c>
      <c r="AR199" t="s" s="0">
        <v>560</v>
      </c>
      <c r="AS199" t="s" s="0">
        <v>1348</v>
      </c>
      <c r="AT199" t="s" s="0">
        <v>5542</v>
      </c>
      <c r="AU199" t="s" s="0">
        <v>5543</v>
      </c>
      <c r="AV199" t="s" s="0">
        <v>84</v>
      </c>
      <c r="AW199" t="s" s="0">
        <v>5544</v>
      </c>
      <c r="AX199" t="s" s="0">
        <v>5545</v>
      </c>
      <c r="AY199" t="s" s="0">
        <v>1907</v>
      </c>
      <c r="AZ199" t="s" s="0">
        <v>201</v>
      </c>
      <c r="BA199" t="s" s="0">
        <v>610</v>
      </c>
      <c r="BB199" t="s" s="0">
        <v>280</v>
      </c>
      <c r="BC199" t="s" s="0">
        <v>84</v>
      </c>
      <c r="BD199" t="s" s="0">
        <v>84</v>
      </c>
      <c r="BE199" t="s" s="0">
        <v>84</v>
      </c>
      <c r="BF199" t="s" s="0">
        <v>84</v>
      </c>
      <c r="BG199" t="s" s="0">
        <v>5546</v>
      </c>
      <c r="BH199" t="s" s="0">
        <v>5547</v>
      </c>
      <c r="BI199" t="s" s="0">
        <v>84</v>
      </c>
      <c r="BJ199" t="s" s="0">
        <v>5548</v>
      </c>
      <c r="BK199" t="s" s="395">
        <f>HYPERLINK("http://dx.doi.org/10.1097/PAS.0000000000001151","http://dx.doi.org/10.1097/PAS.0000000000001151")</f>
        <v>5549</v>
      </c>
      <c r="BL199" t="s" s="0">
        <v>84</v>
      </c>
      <c r="BM199" t="s" s="0">
        <v>84</v>
      </c>
      <c r="BN199" t="s" s="0">
        <v>242</v>
      </c>
      <c r="BO199" t="s" s="0">
        <v>5550</v>
      </c>
      <c r="BP199" t="s" s="0">
        <v>5550</v>
      </c>
      <c r="BQ199" t="s" s="0">
        <v>5551</v>
      </c>
      <c r="BR199" t="s" s="0">
        <v>5552</v>
      </c>
      <c r="BS199" t="s" s="0">
        <v>5553</v>
      </c>
      <c r="BT199" t="s" s="396">
        <f>HYPERLINK("https://www.webofscience.com/wos/woscc/full-record/WOS:000450434700007","View Record in Web of Science")</f>
        <v>127</v>
      </c>
      <c r="BU199" t="s" s="0">
        <v>1851</v>
      </c>
      <c r="BV199" t="s" s="0">
        <v>128</v>
      </c>
      <c r="BW199" t="s" s="0">
        <v>129</v>
      </c>
      <c r="BX199" t="s" s="0">
        <v>130</v>
      </c>
    </row>
    <row r="200">
      <c r="A200" t="s" s="0">
        <v>207</v>
      </c>
      <c r="B200" t="s" s="0">
        <v>78</v>
      </c>
      <c r="C200" t="s" s="0">
        <v>1669</v>
      </c>
      <c r="D200" t="s" s="0">
        <v>396</v>
      </c>
      <c r="E200" t="s" s="0">
        <v>5554</v>
      </c>
      <c r="F200" t="s" s="0">
        <v>5555</v>
      </c>
      <c r="G200" t="s" s="0">
        <v>5556</v>
      </c>
      <c r="H200" t="s" s="0">
        <v>84</v>
      </c>
      <c r="I200" t="s" s="0">
        <v>85</v>
      </c>
      <c r="J200" t="s" s="0">
        <v>5557</v>
      </c>
      <c r="K200" t="s" s="0">
        <v>5558</v>
      </c>
      <c r="L200" t="s" s="0">
        <v>5559</v>
      </c>
      <c r="M200" t="s" s="0">
        <v>5560</v>
      </c>
      <c r="N200" t="s" s="0">
        <v>5561</v>
      </c>
      <c r="O200" t="s" s="0">
        <v>5562</v>
      </c>
      <c r="P200" t="s" s="0">
        <v>5563</v>
      </c>
      <c r="Q200" t="s" s="0">
        <v>93</v>
      </c>
      <c r="R200" t="s" s="0">
        <v>84</v>
      </c>
      <c r="S200" t="s" s="0">
        <v>84</v>
      </c>
      <c r="T200" t="s" s="0">
        <v>84</v>
      </c>
      <c r="U200" t="s" s="0">
        <v>84</v>
      </c>
      <c r="V200" t="s" s="0">
        <v>5564</v>
      </c>
      <c r="W200" t="s" s="0">
        <v>5565</v>
      </c>
      <c r="X200" t="s" s="0">
        <v>84</v>
      </c>
      <c r="Y200" t="s" s="0">
        <v>84</v>
      </c>
      <c r="Z200" t="s" s="0">
        <v>96</v>
      </c>
      <c r="AA200" t="s" s="0">
        <v>97</v>
      </c>
      <c r="AB200" t="s" s="0">
        <v>84</v>
      </c>
      <c r="AC200" t="s" s="0">
        <v>84</v>
      </c>
      <c r="AD200" t="s" s="0">
        <v>84</v>
      </c>
      <c r="AE200" t="s" s="0">
        <v>84</v>
      </c>
      <c r="AF200" t="s" s="0">
        <v>84</v>
      </c>
      <c r="AG200" t="s" s="0">
        <v>84</v>
      </c>
      <c r="AH200" t="s" s="0">
        <v>5566</v>
      </c>
      <c r="AI200" t="s" s="0">
        <v>84</v>
      </c>
      <c r="AJ200" t="s" s="0">
        <v>5567</v>
      </c>
      <c r="AK200" t="s" s="0">
        <v>84</v>
      </c>
      <c r="AL200" t="s" s="0">
        <v>4688</v>
      </c>
      <c r="AM200" t="s" s="0">
        <v>5568</v>
      </c>
      <c r="AN200" t="s" s="0">
        <v>2707</v>
      </c>
      <c r="AO200" t="s" s="0">
        <v>396</v>
      </c>
      <c r="AP200" t="s" s="0">
        <v>1213</v>
      </c>
      <c r="AQ200" t="s" s="0">
        <v>106</v>
      </c>
      <c r="AR200" t="s" s="0">
        <v>107</v>
      </c>
      <c r="AS200" t="s" s="0">
        <v>108</v>
      </c>
      <c r="AT200" t="s" s="0">
        <v>5569</v>
      </c>
      <c r="AU200" t="s" s="0">
        <v>5570</v>
      </c>
      <c r="AV200" t="s" s="0">
        <v>84</v>
      </c>
      <c r="AW200" t="s" s="0">
        <v>5571</v>
      </c>
      <c r="AX200" t="s" s="0">
        <v>5572</v>
      </c>
      <c r="AY200" t="s" s="0">
        <v>989</v>
      </c>
      <c r="AZ200" t="s" s="0">
        <v>114</v>
      </c>
      <c r="BA200" t="s" s="0">
        <v>538</v>
      </c>
      <c r="BB200" t="s" s="0">
        <v>342</v>
      </c>
      <c r="BC200" t="s" s="0">
        <v>84</v>
      </c>
      <c r="BD200" t="s" s="0">
        <v>84</v>
      </c>
      <c r="BE200" t="s" s="0">
        <v>84</v>
      </c>
      <c r="BF200" t="s" s="0">
        <v>84</v>
      </c>
      <c r="BG200" t="s" s="0">
        <v>5573</v>
      </c>
      <c r="BH200" t="s" s="0">
        <v>1483</v>
      </c>
      <c r="BI200" t="s" s="0">
        <v>84</v>
      </c>
      <c r="BJ200" t="s" s="0">
        <v>5574</v>
      </c>
      <c r="BK200" t="s" s="397">
        <f>HYPERLINK("http://dx.doi.org/10.1038/s41585-019-0193-3","http://dx.doi.org/10.1038/s41585-019-0193-3")</f>
        <v>5575</v>
      </c>
      <c r="BL200" t="s" s="0">
        <v>84</v>
      </c>
      <c r="BM200" t="s" s="0">
        <v>84</v>
      </c>
      <c r="BN200" t="s" s="0">
        <v>121</v>
      </c>
      <c r="BO200" t="s" s="0">
        <v>5576</v>
      </c>
      <c r="BP200" t="s" s="0">
        <v>5576</v>
      </c>
      <c r="BQ200" t="s" s="0">
        <v>5577</v>
      </c>
      <c r="BR200" t="s" s="0">
        <v>5578</v>
      </c>
      <c r="BS200" t="s" s="0">
        <v>5579</v>
      </c>
      <c r="BT200" t="s" s="398">
        <f>HYPERLINK("https://www.webofscience.com/wos/woscc/full-record/WOS:000473767200006","View Record in Web of Science")</f>
        <v>127</v>
      </c>
      <c r="BU200" t="s" s="0">
        <v>84</v>
      </c>
      <c r="BV200" t="s" s="0">
        <v>128</v>
      </c>
      <c r="BW200" t="s" s="0">
        <v>129</v>
      </c>
      <c r="BX200" t="s" s="0">
        <v>130</v>
      </c>
    </row>
    <row r="201">
      <c r="A201" t="s" s="0">
        <v>116</v>
      </c>
      <c r="B201" t="s" s="0">
        <v>78</v>
      </c>
      <c r="C201" t="s" s="0">
        <v>118</v>
      </c>
      <c r="D201" t="s" s="0">
        <v>78</v>
      </c>
      <c r="E201" t="s" s="0">
        <v>5580</v>
      </c>
      <c r="F201" t="s" s="0">
        <v>5581</v>
      </c>
      <c r="G201" t="s" s="0">
        <v>5582</v>
      </c>
      <c r="H201" t="s" s="0">
        <v>84</v>
      </c>
      <c r="I201" t="s" s="0">
        <v>85</v>
      </c>
      <c r="J201" t="s" s="0">
        <v>5583</v>
      </c>
      <c r="K201" t="s" s="0">
        <v>5584</v>
      </c>
      <c r="L201" t="s" s="0">
        <v>5585</v>
      </c>
      <c r="M201" t="s" s="0">
        <v>5586</v>
      </c>
      <c r="N201" t="s" s="0">
        <v>5587</v>
      </c>
      <c r="O201" t="s" s="0">
        <v>5588</v>
      </c>
      <c r="P201" t="s" s="0">
        <v>5589</v>
      </c>
      <c r="Q201" t="s" s="0">
        <v>93</v>
      </c>
      <c r="R201" t="s" s="0">
        <v>84</v>
      </c>
      <c r="S201" t="s" s="0">
        <v>84</v>
      </c>
      <c r="T201" t="s" s="0">
        <v>84</v>
      </c>
      <c r="U201" t="s" s="0">
        <v>84</v>
      </c>
      <c r="V201" t="s" s="0">
        <v>5590</v>
      </c>
      <c r="W201" t="s" s="0">
        <v>5591</v>
      </c>
      <c r="X201" t="s" s="0">
        <v>84</v>
      </c>
      <c r="Y201" t="s" s="0">
        <v>84</v>
      </c>
      <c r="Z201" t="s" s="0">
        <v>96</v>
      </c>
      <c r="AA201" t="s" s="0">
        <v>97</v>
      </c>
      <c r="AB201" t="s" s="0">
        <v>84</v>
      </c>
      <c r="AC201" t="s" s="0">
        <v>84</v>
      </c>
      <c r="AD201" t="s" s="0">
        <v>84</v>
      </c>
      <c r="AE201" t="s" s="0">
        <v>84</v>
      </c>
      <c r="AF201" t="s" s="0">
        <v>84</v>
      </c>
      <c r="AG201" t="s" s="0">
        <v>5592</v>
      </c>
      <c r="AH201" t="s" s="0">
        <v>5593</v>
      </c>
      <c r="AI201" t="s" s="0">
        <v>5594</v>
      </c>
      <c r="AJ201" t="s" s="0">
        <v>5595</v>
      </c>
      <c r="AK201" t="s" s="0">
        <v>84</v>
      </c>
      <c r="AL201" t="s" s="0">
        <v>1083</v>
      </c>
      <c r="AM201" t="s" s="0">
        <v>5596</v>
      </c>
      <c r="AN201" t="s" s="0">
        <v>5597</v>
      </c>
      <c r="AO201" t="s" s="0">
        <v>192</v>
      </c>
      <c r="AP201" t="s" s="0">
        <v>2148</v>
      </c>
      <c r="AQ201" t="s" s="0">
        <v>2062</v>
      </c>
      <c r="AR201" t="s" s="0">
        <v>633</v>
      </c>
      <c r="AS201" t="s" s="0">
        <v>2063</v>
      </c>
      <c r="AT201" t="s" s="0">
        <v>5598</v>
      </c>
      <c r="AU201" t="s" s="0">
        <v>5599</v>
      </c>
      <c r="AV201" t="s" s="0">
        <v>84</v>
      </c>
      <c r="AW201" t="s" s="0">
        <v>5600</v>
      </c>
      <c r="AX201" t="s" s="0">
        <v>5601</v>
      </c>
      <c r="AY201" t="s" s="0">
        <v>5602</v>
      </c>
      <c r="AZ201" t="s" s="0">
        <v>567</v>
      </c>
      <c r="BA201" t="s" s="0">
        <v>229</v>
      </c>
      <c r="BB201" t="s" s="0">
        <v>84</v>
      </c>
      <c r="BC201" t="s" s="0">
        <v>84</v>
      </c>
      <c r="BD201" t="s" s="0">
        <v>5603</v>
      </c>
      <c r="BE201" t="s" s="0">
        <v>84</v>
      </c>
      <c r="BF201" t="s" s="0">
        <v>84</v>
      </c>
      <c r="BG201" t="s" s="0">
        <v>84</v>
      </c>
      <c r="BH201" t="s" s="0">
        <v>84</v>
      </c>
      <c r="BI201" t="s" s="0">
        <v>5604</v>
      </c>
      <c r="BJ201" t="s" s="0">
        <v>5605</v>
      </c>
      <c r="BK201" t="s" s="399">
        <f>HYPERLINK("http://dx.doi.org/10.1016/j.compeleceng.2024.109370","http://dx.doi.org/10.1016/j.compeleceng.2024.109370")</f>
        <v>5606</v>
      </c>
      <c r="BL201" t="s" s="0">
        <v>84</v>
      </c>
      <c r="BM201" t="s" s="0">
        <v>5607</v>
      </c>
      <c r="BN201" t="s" s="0">
        <v>604</v>
      </c>
      <c r="BO201" t="s" s="0">
        <v>5608</v>
      </c>
      <c r="BP201" t="s" s="0">
        <v>1594</v>
      </c>
      <c r="BQ201" t="s" s="0">
        <v>5609</v>
      </c>
      <c r="BR201" t="s" s="0">
        <v>84</v>
      </c>
      <c r="BS201" t="s" s="0">
        <v>5610</v>
      </c>
      <c r="BT201" t="s" s="400">
        <f>HYPERLINK("https://www.webofscience.com/wos/woscc/full-record/WOS:001252113300001","View Record in Web of Science")</f>
        <v>127</v>
      </c>
      <c r="BU201" t="s" s="0">
        <v>432</v>
      </c>
      <c r="BV201" t="s" s="0">
        <v>129</v>
      </c>
      <c r="BW201" t="s" s="0">
        <v>129</v>
      </c>
      <c r="BX201" t="s" s="0">
        <v>130</v>
      </c>
    </row>
    <row r="202"/>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 ref="BK102" r:id="rId201"/>
    <hyperlink ref="BT102" r:id="rId202"/>
    <hyperlink ref="BK103" r:id="rId203"/>
    <hyperlink ref="BT103" r:id="rId204"/>
    <hyperlink ref="BK104" r:id="rId205"/>
    <hyperlink ref="BT104" r:id="rId206"/>
    <hyperlink ref="BK105" r:id="rId207"/>
    <hyperlink ref="BT105" r:id="rId208"/>
    <hyperlink ref="BK106" r:id="rId209"/>
    <hyperlink ref="BT106" r:id="rId210"/>
    <hyperlink ref="BK107" r:id="rId211"/>
    <hyperlink ref="BT107" r:id="rId212"/>
    <hyperlink ref="BK108" r:id="rId213"/>
    <hyperlink ref="BT108" r:id="rId214"/>
    <hyperlink ref="BK109" r:id="rId215"/>
    <hyperlink ref="BT109" r:id="rId216"/>
    <hyperlink ref="BK110" r:id="rId217"/>
    <hyperlink ref="BT110" r:id="rId218"/>
    <hyperlink ref="BK111" r:id="rId219"/>
    <hyperlink ref="BT111" r:id="rId220"/>
    <hyperlink ref="BK112" r:id="rId221"/>
    <hyperlink ref="BT112" r:id="rId222"/>
    <hyperlink ref="BK113" r:id="rId223"/>
    <hyperlink ref="BT113" r:id="rId224"/>
    <hyperlink ref="BK114" r:id="rId225"/>
    <hyperlink ref="BT114" r:id="rId226"/>
    <hyperlink ref="BK115" r:id="rId227"/>
    <hyperlink ref="BT115" r:id="rId228"/>
    <hyperlink ref="BK116" r:id="rId229"/>
    <hyperlink ref="BT116" r:id="rId230"/>
    <hyperlink ref="BK117" r:id="rId231"/>
    <hyperlink ref="BT117" r:id="rId232"/>
    <hyperlink ref="BK118" r:id="rId233"/>
    <hyperlink ref="BT118" r:id="rId234"/>
    <hyperlink ref="BK119" r:id="rId235"/>
    <hyperlink ref="BT119" r:id="rId236"/>
    <hyperlink ref="BK120" r:id="rId237"/>
    <hyperlink ref="BT120" r:id="rId238"/>
    <hyperlink ref="BK121" r:id="rId239"/>
    <hyperlink ref="BT121" r:id="rId240"/>
    <hyperlink ref="BK122" r:id="rId241"/>
    <hyperlink ref="BT122" r:id="rId242"/>
    <hyperlink ref="BK123" r:id="rId243"/>
    <hyperlink ref="BT123" r:id="rId244"/>
    <hyperlink ref="BK124" r:id="rId245"/>
    <hyperlink ref="BT124" r:id="rId246"/>
    <hyperlink ref="BK125" r:id="rId247"/>
    <hyperlink ref="BT125" r:id="rId248"/>
    <hyperlink ref="BK126" r:id="rId249"/>
    <hyperlink ref="BT126" r:id="rId250"/>
    <hyperlink ref="BK127" r:id="rId251"/>
    <hyperlink ref="BT127" r:id="rId252"/>
    <hyperlink ref="BK128" r:id="rId253"/>
    <hyperlink ref="BT128" r:id="rId254"/>
    <hyperlink ref="BK129" r:id="rId255"/>
    <hyperlink ref="BT129" r:id="rId256"/>
    <hyperlink ref="BK130" r:id="rId257"/>
    <hyperlink ref="BT130" r:id="rId258"/>
    <hyperlink ref="BK131" r:id="rId259"/>
    <hyperlink ref="BT131" r:id="rId260"/>
    <hyperlink ref="BK132" r:id="rId261"/>
    <hyperlink ref="BT132" r:id="rId262"/>
    <hyperlink ref="BK133" r:id="rId263"/>
    <hyperlink ref="BT133" r:id="rId264"/>
    <hyperlink ref="BK134" r:id="rId265"/>
    <hyperlink ref="BT134" r:id="rId266"/>
    <hyperlink ref="BK135" r:id="rId267"/>
    <hyperlink ref="BT135" r:id="rId268"/>
    <hyperlink ref="BK136" r:id="rId269"/>
    <hyperlink ref="BT136" r:id="rId270"/>
    <hyperlink ref="BK137" r:id="rId271"/>
    <hyperlink ref="BT137" r:id="rId272"/>
    <hyperlink ref="BK138" r:id="rId273"/>
    <hyperlink ref="BT138" r:id="rId274"/>
    <hyperlink ref="BK139" r:id="rId275"/>
    <hyperlink ref="BT139" r:id="rId276"/>
    <hyperlink ref="BK140" r:id="rId277"/>
    <hyperlink ref="BT140" r:id="rId278"/>
    <hyperlink ref="BK141" r:id="rId279"/>
    <hyperlink ref="BT141" r:id="rId280"/>
    <hyperlink ref="BK142" r:id="rId281"/>
    <hyperlink ref="BT142" r:id="rId282"/>
    <hyperlink ref="BK143" r:id="rId283"/>
    <hyperlink ref="BT143" r:id="rId284"/>
    <hyperlink ref="BK144" r:id="rId285"/>
    <hyperlink ref="BT144" r:id="rId286"/>
    <hyperlink ref="BK145" r:id="rId287"/>
    <hyperlink ref="BT145" r:id="rId288"/>
    <hyperlink ref="BK146" r:id="rId289"/>
    <hyperlink ref="BT146" r:id="rId290"/>
    <hyperlink ref="BK147" r:id="rId291"/>
    <hyperlink ref="BT147" r:id="rId292"/>
    <hyperlink ref="BK148" r:id="rId293"/>
    <hyperlink ref="BT148" r:id="rId294"/>
    <hyperlink ref="BK149" r:id="rId295"/>
    <hyperlink ref="BT149" r:id="rId296"/>
    <hyperlink ref="BK150" r:id="rId297"/>
    <hyperlink ref="BT150" r:id="rId298"/>
    <hyperlink ref="BK151" r:id="rId299"/>
    <hyperlink ref="BT151" r:id="rId300"/>
    <hyperlink ref="BK152" r:id="rId301"/>
    <hyperlink ref="BT152" r:id="rId302"/>
    <hyperlink ref="BK153" r:id="rId303"/>
    <hyperlink ref="BT153" r:id="rId304"/>
    <hyperlink ref="BK154" r:id="rId305"/>
    <hyperlink ref="BT154" r:id="rId306"/>
    <hyperlink ref="BK155" r:id="rId307"/>
    <hyperlink ref="BT155" r:id="rId308"/>
    <hyperlink ref="BK156" r:id="rId309"/>
    <hyperlink ref="BT156" r:id="rId310"/>
    <hyperlink ref="BK157" r:id="rId311"/>
    <hyperlink ref="BT157" r:id="rId312"/>
    <hyperlink ref="BK158" r:id="rId313"/>
    <hyperlink ref="BT158" r:id="rId314"/>
    <hyperlink ref="BK159" r:id="rId315"/>
    <hyperlink ref="BT159" r:id="rId316"/>
    <hyperlink ref="BK160" r:id="rId317"/>
    <hyperlink ref="BT160" r:id="rId318"/>
    <hyperlink ref="BK161" r:id="rId319"/>
    <hyperlink ref="BT161" r:id="rId320"/>
    <hyperlink ref="BK162" r:id="rId321"/>
    <hyperlink ref="BT162" r:id="rId322"/>
    <hyperlink ref="BK163" r:id="rId323"/>
    <hyperlink ref="BT163" r:id="rId324"/>
    <hyperlink ref="BK164" r:id="rId325"/>
    <hyperlink ref="BT164" r:id="rId326"/>
    <hyperlink ref="BK165" r:id="rId327"/>
    <hyperlink ref="BT165" r:id="rId328"/>
    <hyperlink ref="BK166" r:id="rId329"/>
    <hyperlink ref="BT166" r:id="rId330"/>
    <hyperlink ref="BK167" r:id="rId331"/>
    <hyperlink ref="BT167" r:id="rId332"/>
    <hyperlink ref="BK168" r:id="rId333"/>
    <hyperlink ref="BT168" r:id="rId334"/>
    <hyperlink ref="BK169" r:id="rId335"/>
    <hyperlink ref="BT169" r:id="rId336"/>
    <hyperlink ref="BK170" r:id="rId337"/>
    <hyperlink ref="BT170" r:id="rId338"/>
    <hyperlink ref="BK171" r:id="rId339"/>
    <hyperlink ref="BT171" r:id="rId340"/>
    <hyperlink ref="BK172" r:id="rId341"/>
    <hyperlink ref="BT172" r:id="rId342"/>
    <hyperlink ref="BK173" r:id="rId343"/>
    <hyperlink ref="BT173" r:id="rId344"/>
    <hyperlink ref="BK174" r:id="rId345"/>
    <hyperlink ref="BT174" r:id="rId346"/>
    <hyperlink ref="BK175" r:id="rId347"/>
    <hyperlink ref="BT175" r:id="rId348"/>
    <hyperlink ref="BK176" r:id="rId349"/>
    <hyperlink ref="BT176" r:id="rId350"/>
    <hyperlink ref="BK177" r:id="rId351"/>
    <hyperlink ref="BT177" r:id="rId352"/>
    <hyperlink ref="BK178" r:id="rId353"/>
    <hyperlink ref="BT178" r:id="rId354"/>
    <hyperlink ref="BK179" r:id="rId355"/>
    <hyperlink ref="BT179" r:id="rId356"/>
    <hyperlink ref="BK180" r:id="rId357"/>
    <hyperlink ref="BT180" r:id="rId358"/>
    <hyperlink ref="BK181" r:id="rId359"/>
    <hyperlink ref="BT181" r:id="rId360"/>
    <hyperlink ref="BK182" r:id="rId361"/>
    <hyperlink ref="BT182" r:id="rId362"/>
    <hyperlink ref="BK183" r:id="rId363"/>
    <hyperlink ref="BT183" r:id="rId364"/>
    <hyperlink ref="BK184" r:id="rId365"/>
    <hyperlink ref="BT184" r:id="rId366"/>
    <hyperlink ref="BK185" r:id="rId367"/>
    <hyperlink ref="BT185" r:id="rId368"/>
    <hyperlink ref="BK186" r:id="rId369"/>
    <hyperlink ref="BT186" r:id="rId370"/>
    <hyperlink ref="BK187" r:id="rId371"/>
    <hyperlink ref="BT187" r:id="rId372"/>
    <hyperlink ref="BK188" r:id="rId373"/>
    <hyperlink ref="BT188" r:id="rId374"/>
    <hyperlink ref="BK189" r:id="rId375"/>
    <hyperlink ref="BT189" r:id="rId376"/>
    <hyperlink ref="BK190" r:id="rId377"/>
    <hyperlink ref="BT190" r:id="rId378"/>
    <hyperlink ref="BK191" r:id="rId379"/>
    <hyperlink ref="BT191" r:id="rId380"/>
    <hyperlink ref="BK192" r:id="rId381"/>
    <hyperlink ref="BT192" r:id="rId382"/>
    <hyperlink ref="BK193" r:id="rId383"/>
    <hyperlink ref="BT193" r:id="rId384"/>
    <hyperlink ref="BK194" r:id="rId385"/>
    <hyperlink ref="BT194" r:id="rId386"/>
    <hyperlink ref="BK195" r:id="rId387"/>
    <hyperlink ref="BT195" r:id="rId388"/>
    <hyperlink ref="BK196" r:id="rId389"/>
    <hyperlink ref="BT196" r:id="rId390"/>
    <hyperlink ref="BK197" r:id="rId391"/>
    <hyperlink ref="BT197" r:id="rId392"/>
    <hyperlink ref="BK198" r:id="rId393"/>
    <hyperlink ref="BT198" r:id="rId394"/>
    <hyperlink ref="BK199" r:id="rId395"/>
    <hyperlink ref="BT199" r:id="rId396"/>
    <hyperlink ref="BK200" r:id="rId397"/>
    <hyperlink ref="BT200" r:id="rId398"/>
    <hyperlink ref="BK201" r:id="rId399"/>
    <hyperlink ref="BT201" r:id="rId400"/>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2026-08-25T21:38:09Z</dcterms:created>
  <dc:creator>Apache POI</dc:creator>
</cp:coreProperties>
</file>
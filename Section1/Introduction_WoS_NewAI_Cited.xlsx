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<sst xmlns="http://schemas.openxmlformats.org/spreadsheetml/2006/main" count="7754" uniqueCount="2799">
  <si>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</si>
  <si>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</si>
  <si>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</si>
  <si>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</si>
  <si>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</si>
  <si>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</si>
  <si>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</si>
  <si>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</si>
  <si>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</si>
  <si>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</si>
  <si>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</si>
  <si>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</si>
  <si>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</si>
  <si>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</si>
  <si>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</si>
  <si>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</si>
  <si>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</si>
  <si>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</si>
  <si>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</si>
  <si>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</si>
  <si>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</si>
  <si>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</si>
  <si>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</si>
  <si>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</si>
  <si>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</si>
  <si>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</si>
  <si>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</si>
  <si>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</si>
  <si>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</si>
  <si>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</si>
  <si>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</si>
  <si>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</si>
  <si>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</si>
  <si>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</si>
  <si>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</si>
  <si>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</si>
  <si>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</si>
  <si>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</si>
  <si>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</si>
  <si>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</si>
  <si>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</si>
  <si>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</si>
  <si>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</si>
  <si>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</si>
  <si>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</si>
  <si>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</si>
  <si>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</si>
  <si>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</si>
  <si>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</si>
  <si>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</si>
  <si>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</si>
  <si>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</si>
  <si>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</si>
  <si>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</si>
  <si>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</si>
  <si>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</si>
  <si>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</si>
  <si>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</si>
  <si>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</si>
  <si>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</si>
  <si>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</si>
  <si>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</si>
  <si>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</si>
  <si>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</si>
  <si>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</si>
  <si>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</si>
  <si>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</si>
  <si>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</si>
  <si>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</si>
  <si>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</si>
  <si>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</si>
  <si>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</si>
  <si>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</si>
  <si>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</si>
  <si>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</si>
  <si>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</si>
  <si>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</si>
  <si>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133</t>
  </si>
  <si>
    <t>0</t>
  </si>
  <si>
    <t>433</t>
  </si>
  <si>
    <t>5</t>
  </si>
  <si>
    <t>Thirunavukarasu, AJ; Ting, DSJ; Elangovan, K; Gutierrez, L; Tan, TF; Ting, DSW</t>
  </si>
  <si>
    <t>This review explains how large language models (LLMs), such as ChatGPT, are developed and discusses their strengths and limitations in the context of potential clinical applications.Large language models (LLMs) can respond to free-text queries without being specifically trained in the task in question, causing excitement and concern about their use in healthcare settings. ChatGPT is a generative artificial intelligence (AI) chatbot produced through sophisticated fine-tuning of an LLM, and other tools are emerging through similar developmental processes. Here we outline how LLM applications such as ChatGPT are developed, and we discuss how they are being leveraged in clinical settings. We consider the strengths and limitations of LLMs and their potential to improve the efficiency and effectiveness of clinical, educational and research work in medicine. LLM chatbots have already been deployed in a range of biomedical contexts, with impressive but mixed results. This review acts as a primer for interested clinicians, who will determine if and how LLM technology is used in healthcare for the benefit of patients and practitioners.</t>
  </si>
  <si>
    <t>Thirunavukarasu, Arun James; Ting, Darren Shu Jeng; Elangovan, Kabilan; Gutierrez, Laura; Tan, Ting Fang; Ting, Daniel Shu Wei</t>
  </si>
  <si>
    <t/>
  </si>
  <si>
    <t>Science Citation Index Expanded (SCI-EXPANDED)</t>
  </si>
  <si>
    <t>Ting, DSW (corresponding author), Singapore Eye Res Inst, Singapore Natl Eye Ctr, Artificial Intelligence &amp; Digital Innovat Res Grp, Singapore, Singapore.; Ting, DSW (corresponding author), Duke Natl Univ Singapore, Dept Ophthalmol &amp; Visual Sci, Med Sch, Singapore, Singapore.; Ting, DSW (corresponding author), Stanford Univ, Byers Eye Inst, Palo Alto, CA 94303 USA.</t>
  </si>
  <si>
    <t>daniel.ting@duke-nus.edu.sg</t>
  </si>
  <si>
    <t>National Medical Research Council, Singapore [NMCR/HSRG/0087/2018, MOH-000655-00, MOH-001014-00]; Duke-NUS Medical School [Duke-NUS/RSF/2021/0018, 05/FY2020/EX/15-A58]; Agency for Science, Technology and Research [A20H4g2141, H20C6a0032]; Singapore Ministry of Health (MOH) [MOH-001014-00] Funding Source: Singapore Ministry of Health (MOH)</t>
  </si>
  <si>
    <t>National Medical Research Council, Singapore (National Medical Research Council, Singapore); Duke-NUS Medical School; Agency for Science, Technology and Research; Singapore Ministry of Health (MOH) (Ministry of Education, Singapore, Ministry of Health - Singapore)</t>
  </si>
  <si>
    <t>D.S.W.T. is supported by the National Medical Research Council, Singapore (NMCR/HSRG/0087/2018, MOH-000655-00 and MOH-001014-00), the Duke-NUS Medical School (Duke-NUS/RSF/2021/0018 and 05/FY2020/EX/15-A58) and the Agency for Science, Technology and Research (A20H4g2141 and H20C6a0032). These funders were not involved in the conception, execution or reporting of this review.</t>
  </si>
  <si>
    <t>[Thirunavukarasu, Arun James] Univ Cambridge, Sch Clin Med, Cambridge, England; [Thirunavukarasu, Arun James] Univ Cambridge, Corpus Christi Coll, Cambridge, England; [Ting, Darren Shu Jeng] Univ Birmingham, Inst Inflammat &amp; Ageing, Acad Unit Ophthalmol, Birmingham, England; [Ting, Darren Shu Jeng] Birmingham &amp; Midland Eye Ctr, Birmingham, England; [Ting, Darren Shu Jeng] Univ Nottingham, Sch Med, Acad Ophthalmol, Nottingham, England; [Elangovan, Kabilan; Gutierrez, Laura; Tan, Ting Fang; Ting, Daniel Shu Wei] Singapore Eye Res Inst, Singapore Natl Eye Ctr, Artificial Intelligence &amp; Digital Innovat Res Grp, Singapore, Singapore; [Tan, Ting Fang; Ting, Daniel Shu Wei] Duke Natl Univ Singapore, Dept Ophthalmol &amp; Visual Sci, Med Sch, Singapore, Singapore; [Ting, Daniel Shu Wei] Stanford Univ, Byers Eye Inst, Palo Alto, CA 94303 USA</t>
  </si>
  <si>
    <t>University of Cambridge; University of Cambridge; University of Birmingham; University of Nottingham; Singapore National Eye Center; National University of Singapore; National University of Singapore; Stanford University</t>
  </si>
  <si>
    <t>J</t>
  </si>
  <si>
    <t>Large language models in medicine</t>
  </si>
  <si>
    <t>NATURE MEDICINE</t>
  </si>
  <si>
    <t>English</t>
  </si>
  <si>
    <t>Review</t>
  </si>
  <si>
    <t>CHATGPT</t>
  </si>
  <si>
    <t>Thirunavukarasu, Arun/ABC-0806-2022; Gutierrez-Sinisterra, Laura/IYJ-6582-2023; Ting, Daniel/QOC-0597-2026</t>
  </si>
  <si>
    <t>Thirunavukarasu, Arun/0000-0001-8968-4768; Gutierrez-Sinisterra, Laura/0000-0001-7416-2350; Elangovan, Kabilan/0000-0002-7711-7368</t>
  </si>
  <si>
    <t>118</t>
  </si>
  <si>
    <t>2816</t>
  </si>
  <si>
    <t>3231</t>
  </si>
  <si>
    <t>175</t>
  </si>
  <si>
    <t>1724</t>
  </si>
  <si>
    <t>NATURE PORTFOLIO</t>
  </si>
  <si>
    <t>BERLIN</t>
  </si>
  <si>
    <t>HEIDELBERGER PLATZ 3, BERLIN, 14197, GERMANY</t>
  </si>
  <si>
    <t>1078-8956</t>
  </si>
  <si>
    <t>1546-170X</t>
  </si>
  <si>
    <t>NAT MED</t>
  </si>
  <si>
    <t>Nat. Med.</t>
  </si>
  <si>
    <t>AUG 2023</t>
  </si>
  <si>
    <t>2023</t>
  </si>
  <si>
    <t>29</t>
  </si>
  <si>
    <t>8</t>
  </si>
  <si>
    <t>1930</t>
  </si>
  <si>
    <t>1940</t>
  </si>
  <si>
    <t>10.1038/s41591-023-02448-8</t>
  </si>
  <si>
    <t>http://dx.doi.org/10.1038/s41591-023-02448-8</t>
  </si>
  <si>
    <t>JUL 2023</t>
  </si>
  <si>
    <t>11</t>
  </si>
  <si>
    <t>Biochemistry &amp; Molecular Biology; Cell Biology; Medicine, Research &amp; Experimental</t>
  </si>
  <si>
    <t>Biochemistry &amp; Molecular Biology; Cell Biology; Research &amp; Experimental Medicine</t>
  </si>
  <si>
    <t>P2ZO9</t>
  </si>
  <si>
    <t>37460753</t>
  </si>
  <si>
    <t>WOS:001032505800003</t>
  </si>
  <si>
    <t>View Record in Web of Science</t>
  </si>
  <si>
    <t>N</t>
  </si>
  <si>
    <t>Y</t>
  </si>
  <si>
    <t>2026-08-25</t>
  </si>
  <si>
    <t>18</t>
  </si>
  <si>
    <t>192</t>
  </si>
  <si>
    <t>28</t>
  </si>
  <si>
    <t>Sallam, M</t>
  </si>
  <si>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A total of 60 records were eligible for inclusion.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 Concerns regarding ChatGPT use were stated in 58/60 (96.7%) records including ethical, copyright, transparency, and legal issues, the risk of bias, plagiarism, lack of originality, inaccurate content with risk of hallucination, limited knowledge, incorrect citations, cybersecurity issues, and risk of infodemics. The promising applications of ChatGPT can induce paradigm shifts in health care education, research, and practice. However, the embrace of this AI chatbot should be conducted with extreme caution considering its potential limitations. As it currently stands, ChatGPT does not qualify to be listed as an author in scientific articles unless the ICMJE/COPE guidelines are revised or amended. An initiative involving all stakeholders in health care education, research, and practice is urgently needed. This will help to set a code of ethics to guide the responsible use of ChatGPT among other LLMs in health care and academia.</t>
  </si>
  <si>
    <t>Sallam, Malik</t>
  </si>
  <si>
    <t>Science Citation Index Expanded (SCI-EXPANDED); Social Science Citation Index (SSCI)</t>
  </si>
  <si>
    <t>Sallam, M (corresponding author), Univ Jordan, Sch Med, Dept Pathol Microbiol &amp; Forens Med, Amman 11942, Jordan.; Sallam, M (corresponding author), Jordan Univ Hosp, Dept Clin Labs &amp; Forens Med, Amman 11942, Jordan.</t>
  </si>
  <si>
    <t>malik.sallam@ju.edu.jo</t>
  </si>
  <si>
    <t>[Sallam, Malik] Univ Jordan, Sch Med, Dept Pathol Microbiol &amp; Forens Med, Amman 11942, Jordan; [Sallam, Malik] Jordan Univ Hosp, Dept Clin Labs &amp; Forens Med, Amman 11942, Jordan</t>
  </si>
  <si>
    <t>University of Jordan; University of Jordan</t>
  </si>
  <si>
    <t>ChatGPT Utility in Healthcare Education, Research, and Practice: Systematic Review on the Promising Perspectives and Valid Concerns</t>
  </si>
  <si>
    <t>HEALTHCARE</t>
  </si>
  <si>
    <t>machine learning; digital health; artificial intelligence; healthcare; ethics</t>
  </si>
  <si>
    <t>ARTIFICIAL-INTELLIGENCE; SCIENCE; MEDICINE; FUTURE</t>
  </si>
  <si>
    <t>Sallam, Malik/O-5021-2014</t>
  </si>
  <si>
    <t>Sallam, Malik/0000-0002-0165-9670</t>
  </si>
  <si>
    <t>96</t>
  </si>
  <si>
    <t>1769</t>
  </si>
  <si>
    <t>2176</t>
  </si>
  <si>
    <t>235</t>
  </si>
  <si>
    <t>2507</t>
  </si>
  <si>
    <t>MDPI</t>
  </si>
  <si>
    <t>BASEL</t>
  </si>
  <si>
    <t>MDPI AG, Grosspeteranlage 5, CH-4052 BASEL, SWITZERLAND</t>
  </si>
  <si>
    <t>2227-9032</t>
  </si>
  <si>
    <t>HEALTHCARE-BASEL</t>
  </si>
  <si>
    <t>Healthcare</t>
  </si>
  <si>
    <t>MAR 2023</t>
  </si>
  <si>
    <t>6</t>
  </si>
  <si>
    <t>887</t>
  </si>
  <si>
    <t>10.3390/healthcare11060887</t>
  </si>
  <si>
    <t>http://dx.doi.org/10.3390/healthcare11060887</t>
  </si>
  <si>
    <t>20</t>
  </si>
  <si>
    <t>Health Care Sciences &amp; Services; Health Policy &amp; Services</t>
  </si>
  <si>
    <t>Health Care Sciences &amp; Services</t>
  </si>
  <si>
    <t>A7AM3</t>
  </si>
  <si>
    <t>36981544</t>
  </si>
  <si>
    <t>WOS:000956609200001</t>
  </si>
  <si>
    <t>gold; Green Submitted</t>
  </si>
  <si>
    <t>54</t>
  </si>
  <si>
    <t>256</t>
  </si>
  <si>
    <t>3</t>
  </si>
  <si>
    <t>Acosta, JN; Falcone, GJ; Rajpurkar, P; Topol, EJ</t>
  </si>
  <si>
    <t>Multimodal artificial intelligence models could unlock many exciting applications in health and medicine; this Review outlines the most promising uses and the technical pitfalls to avoid.The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t>
  </si>
  <si>
    <t>Acosta, Julian N.; Falcone, Guido J.; Rajpurkar, Pranav; Topol, Eric J.</t>
  </si>
  <si>
    <t>Rajpurkar, P (corresponding author), Harvard Med Sch, Dept Biomed Informat, Boston, MA 02115 USA.; Topol, EJ (corresponding author), Scripps Res, Scripps Res Translat Inst, La Jolla, CA 92037 USA.</t>
  </si>
  <si>
    <t>pranav_rajpurkar@hms.harvard.edu; etopol@scripps.edu</t>
  </si>
  <si>
    <t>NIH [UL1TR002550]; National Center for Advancing Translational Sciences [UL1TR002550] Funding Source: NIH RePORTER</t>
  </si>
  <si>
    <t>NIH (United States Department of Health &amp; Human Services, National Institutes of Health (NIH) - USA); National Center for Advancing Translational Sciences (United States Department of Health &amp; Human Services, National Institutes of Health (NIH) - USA, NIH National Center for Advancing Translational Sciences (NCATS))</t>
  </si>
  <si>
    <t>We thank A. Tamkin for invaluable feedback. NIH grant UL1TR002550 (to E.J.T.) supported this work.</t>
  </si>
  <si>
    <t>[Acosta, Julian N.; Falcone, Guido J.] Yale Sch Med, Dept Neurol, New Haven, CT USA; [Rajpurkar, Pranav] Harvard Med Sch, Dept Biomed Informat, Boston, MA 02115 USA; [Topol, Eric J.] Scripps Res, Scripps Res Translat Inst, La Jolla, CA 92037 USA</t>
  </si>
  <si>
    <t>Yale University; Harvard University; Harvard Medical School; Scripps Research Institute</t>
  </si>
  <si>
    <t>Multimodal biomedical AI</t>
  </si>
  <si>
    <t>UK BIOBANK; HEALTH-CARE; BIG DATA; CLINICAL-TRIALS; COVID-19; PLATFORM; FUSION; TECHNOLOGY; PREDICTION; MEDICINE</t>
  </si>
  <si>
    <t>Topol, Eric/JOZ-4372-2023; Falcone, Guido/L-2287-2016</t>
  </si>
  <si>
    <t>Acosta, Julián/0000-0001-6497-5454; Rajpurkar, Pranav/0000-0002-8030-3727; Topol, Eric/0000-0002-1478-4729</t>
  </si>
  <si>
    <t>177</t>
  </si>
  <si>
    <t>921</t>
  </si>
  <si>
    <t>1091</t>
  </si>
  <si>
    <t>70</t>
  </si>
  <si>
    <t>633</t>
  </si>
  <si>
    <t>SEP 2022</t>
  </si>
  <si>
    <t>2022</t>
  </si>
  <si>
    <t>9</t>
  </si>
  <si>
    <t>1773</t>
  </si>
  <si>
    <t>1784</t>
  </si>
  <si>
    <t>10.1038/s41591-022-01981-2</t>
  </si>
  <si>
    <t>http://dx.doi.org/10.1038/s41591-022-01981-2</t>
  </si>
  <si>
    <t>12</t>
  </si>
  <si>
    <t>4S0LI</t>
  </si>
  <si>
    <t>36109635</t>
  </si>
  <si>
    <t>WOS:000854720900010</t>
  </si>
  <si>
    <t>hybrid</t>
  </si>
  <si>
    <t>13</t>
  </si>
  <si>
    <t>146</t>
  </si>
  <si>
    <t>2</t>
  </si>
  <si>
    <t>Clusmann, J; Kolbinger, FR; Muti, HS; Carrero, ZI; Eckardt, JN; Laleh, NG; Löffler, CML; Schwarzkopf, SC; Unger, M; Veldhuizen, GP; Wagner, SJ; Kather, JN</t>
  </si>
  <si>
    <t>Large language models (LLMs) are artificial intelligence (AI) tools specifically trained to process and generate text. LLMs attracted substantial public attention after OpenAI's ChatGPT was made publicly available in November 2022. LLMs can often answer questions, summarize, paraphrase and translate text on a level that is nearly indistinguishable from human capabilities. The possibility to actively interact with models like ChatGPT makes LLMs attractive tools in various fields, including medicine. While these models have the potential to democratize medical knowledge and facilitate access to healthcare, they could equally distribute misinformation and exacerbate scientific misconduct due to a lack of accountability and transparency. In this article, we provide a systematic and comprehensive overview of the potentials and limitations of LLMs in clinical practice, medical research and medical education.Clusmann et al. describe how large language models such as ChatGPT could be used in medical practice, research and education. These models could democratize medical knowledge and facilitate access to healthcare, but there are also potential limitations to be considered.</t>
  </si>
  <si>
    <t>Clusmann, Jan; Kolbinger, Fiona R.; Muti, Hannah Sophie; Carrero, Zunamys I.; Eckardt, Jan-Niklas; Laleh, Narmin Ghaffari; Loeffler, Chiara Maria Lavinia; Schwarzkopf, Sophie-Caroline; Unger, Michaela; Veldhuizen, Gregory P.; Wagner, Sophia J.; Kather, Jakob Nikolas</t>
  </si>
  <si>
    <t>Emerging Sources Citation Index (ESCI)</t>
  </si>
  <si>
    <t>Kather, JN (corresponding author), TUD Dresden Univ Technol, Else Kroener Fresenius Ctr Digital Hlth, Dresden, Germany.; Kather, JN (corresponding author), Univ Hosp RWTH Aachen, Dept Med 3, Aachen, Germany.; Kather, JN (corresponding author), Univ Hosp Dresden, Dept Med 1, Dresden, Germany.; Kather, JN (corresponding author), Univ Hosp Heidelberg, Natl Ctr Tumor Dis NCT, Med Oncol, Heidelberg, Germany.</t>
  </si>
  <si>
    <t>jakob-nikolas.kather@alumni.dkfz.de</t>
  </si>
  <si>
    <t>Add-on Fellowship of the Joachim Herz Foundation; Helmholtz Association under the joint research school "Munich School for Data Science-MUDS"; BMBF (Federal Ministry of Education and Research) in DAAD project as part of the program Konrad Zuse Schools of Excellence in Artificial Intelligence [57616814]; German Federal Ministry of Health (DEEP LIVER) [ZMVI1-2520DAT111]; Max-Eder-Programme of the German Cancer Aid [70113864]; German Federal Ministry of Education and Research (PEARL) [01KD2104C]; German Academic Exchange Service (SECAI) [57616814]</t>
  </si>
  <si>
    <t>Add-on Fellowship of the Joachim Herz Foundation; Helmholtz Association under the joint research school "Munich School for Data Science-MUDS"; BMBF (Federal Ministry of Education and Research) in DAAD project as part of the program Konrad Zuse Schools of Excellence in Artificial Intelligence; German Federal Ministry of Health (DEEP LIVER); Max-Eder-Programme of the German Cancer Aid; German Federal Ministry of Education and Research (PEARL); German Academic Exchange Service (SECAI)</t>
  </si>
  <si>
    <t>F.R.K. and S.J.W. were supported by the Add-on Fellowship of the Joachim Herz Foundation. S.J.W. was supported by the Helmholtz Association under the joint research school "Munich School for Data Science-MUDS". G.P.V. was supported by BMBF (Federal Ministry of Education and Research) in DAAD project 57616814 (SECAI, School of Embedded Composite AI, https://secai.org/) as part of the program Konrad Zuse Schools of Excellence in Artificial Intelligence. J.N.K. is supported by the German Federal Ministry of Health (DEEP LIVER, ZMVI1-2520DAT111) and the Max-Eder-Programme of the German Cancer Aid (grant #70113864), the German Federal Ministry of Education and Research (PEARL, 01KD2104C), and the German Academic Exchange Service (SECAI, 57616814).</t>
  </si>
  <si>
    <t>[Clusmann, Jan; Kolbinger, Fiona R.; Muti, Hannah Sophie; Carrero, Zunamys I.; Eckardt, Jan-Niklas; Laleh, Narmin Ghaffari; Loeffler, Chiara Maria Lavinia; Unger, Michaela; Veldhuizen, Gregory P.; Kather, Jakob Nikolas] TUD Dresden Univ Technol, Else Kroener Fresenius Ctr Digital Hlth, Dresden, Germany; [Clusmann, Jan; Laleh, Narmin Ghaffari; Kather, Jakob Nikolas] Univ Hosp RWTH Aachen, Dept Med 3, Aachen, Germany; [Kolbinger, Fiona R.; Muti, Hannah Sophie; Schwarzkopf, Sophie-Caroline] TUD Dresden Univ Technol, Univ Hosp, Dept Visceral Thorac &amp; Vasc Surg, Dresden, Germany; [Kolbinger, Fiona R.; Muti, Hannah Sophie; Schwarzkopf, Sophie-Caroline] TUD Dresden Univ Technol, Fac Med Carl Gustav Carus, Dresden, Germany; [Eckardt, Jan-Niklas; Loeffler, Chiara Maria Lavinia; Kather, Jakob Nikolas] Univ Hosp Dresden, Dept Med 1, Dresden, Germany; [Wagner, Sophia J.] German Res Ctr Environm &amp; Hlth, Helmholtz Munich, Munich, Germany; [Wagner, Sophia J.] Tech Univ Munich, Sch Computat Informat &amp; Technol, Munich, Germany; [Kather, Jakob Nikolas] Univ Hosp Heidelberg, Natl Ctr Tumor Dis NCT, Med Oncol, Heidelberg, Germany</t>
  </si>
  <si>
    <t>RWTH Aachen University; RWTH Aachen University Hospital; Technische Universitat Dresden; Carl Gustav Carus University Hospital; Technische Universitat Dresden; Technische Universitat Dresden; Carl Gustav Carus University Hospital; Helmholtz Association; Helmholtz-Center Munich - German Research Center for Environmental Health; Technical University of Munich; Ruprecht Karls University Heidelberg; Helmholtz Association; National Center for Tumor Diseases; German Cancer Research Center (DKFZ)</t>
  </si>
  <si>
    <t>The future landscape of large language models in medicine</t>
  </si>
  <si>
    <t>COMMUNICATIONS MEDICINE</t>
  </si>
  <si>
    <t>PATIENT SAFETY; COMMUNICATION; IMPACT; CARE</t>
  </si>
  <si>
    <t>Kolbinger, Fiona R/ABG-4194-2020; Clusmann, Jan/LSK-6626-2024; Kather, Jakob Nikolas/D-4279-2015; Wagner, Sophia/HII-6467-2022</t>
  </si>
  <si>
    <t>Kolbinger, Fiona R/0000-0003-2265-4809; Unger, Michaela/0000-0001-5811-0200; Carrero, Zunamys/0000-0001-8501-1566; Clusmann, Jan/0000-0003-2925-8438; Kather, Jakob Nikolas/0000-0002-3730-5348; Eckardt, Jan-Niklas/0000-0002-3649-2823; Veldhuizen, Gregory/0000-0001-7364-8498</t>
  </si>
  <si>
    <t>74</t>
  </si>
  <si>
    <t>772</t>
  </si>
  <si>
    <t>870</t>
  </si>
  <si>
    <t>14</t>
  </si>
  <si>
    <t>119</t>
  </si>
  <si>
    <t>SPRINGERNATURE</t>
  </si>
  <si>
    <t>LONDON</t>
  </si>
  <si>
    <t>THE CAMPUS, 4 CRINAN ST, LONDON, N1 9XW, ENGLAND</t>
  </si>
  <si>
    <t>2730-664X</t>
  </si>
  <si>
    <t>COMMUN MED-LONDON</t>
  </si>
  <si>
    <t>Commun. Med.</t>
  </si>
  <si>
    <t>OCT 10 2023</t>
  </si>
  <si>
    <t>1</t>
  </si>
  <si>
    <t>141</t>
  </si>
  <si>
    <t>10.1038/s43856-023-00370-1</t>
  </si>
  <si>
    <t>http://dx.doi.org/10.1038/s43856-023-00370-1</t>
  </si>
  <si>
    <t>Medicine, Research &amp; Experimental</t>
  </si>
  <si>
    <t>Research &amp; Experimental Medicine</t>
  </si>
  <si>
    <t>T5TE1</t>
  </si>
  <si>
    <t>37816837</t>
  </si>
  <si>
    <t>WOS:001078603900001</t>
  </si>
  <si>
    <t>17</t>
  </si>
  <si>
    <t>38</t>
  </si>
  <si>
    <t>Raiaan, MAK; Mukta, MSH; Fatema, K; Fahad, NM; Sakib, S; Mim, MMJ; Ahmad, J; Ali, ME; Azam, S</t>
  </si>
  <si>
    <t>Large Language Models (LLMs) recently demonstrated extraordinary capability in various natural language processing (NLP) tasks including language translation, text generation, question answering, etc. Moreover, LLMs are new and essential part of computerized language processing, having the ability to understand complex verbal patterns and generate coherent and appropriate replies in a given context. Though this success of LLMs has prompted a substantial increase in research contributions, rapid growth has made it difficult to understand the overall impact of these improvements. Since a plethora of research on LLMs have been appeared within a short time, it is quite impossible to track all of these and get an overview of the current state of research in this area.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Then the paper provides an overview of the existing works, the history of LLMs, their evolution over time, the architecture of transformers in LLMs, the different resources of LLMs, and the different training methods that have been used to train them. The paper also demonstrates the datasets utilized in the studies. After that, the paper discusses the wide range of applications of LLMs, including biomedical and healthcare, education, social, business, and agriculture. The study also illustrates how LLMs create an impact on society and shape the future of AI and how they can be used to solve real-world problems. Finally, the paper also explores open issues and challenges to deploy LLMs in real-world scenario. Our review paper aims to help practitioners, researchers, and experts thoroughly understand the evolution of LLMs, pre-trained architectures, applications, challenges, and future goals.</t>
  </si>
  <si>
    <t>Raiaan, Mohaimenul Azam Khan; Mukta, Md. Saddam Hossain; Fatema, Kaniz; Fahad, Nur Mohammad; Sakib, Sadman; Mim, Most Marufatul Jannat; Ahmad, Jubaer; Ali, Mohammed Eunus; Azam, Sami</t>
  </si>
  <si>
    <t>Mukta, MSH (corresponding author), Lappeenranta Lahti Univ Technol, LUT Sch Engn Sci, Lappeenranta 53850, Finland.</t>
  </si>
  <si>
    <t>Saddam.Mukta@lut.fi</t>
  </si>
  <si>
    <t>Institute of Advance Research, United International University</t>
  </si>
  <si>
    <t>No Statement Available</t>
  </si>
  <si>
    <t>[Raiaan, Mohaimenul Azam Khan; Fahad, Nur Mohammad; Sakib, Sadman; Mim, Most Marufatul Jannat; Ahmad, Jubaer] United Int Univ, Dept Comp Sci &amp; Engn, Dhaka 1212, Bangladesh; [Mukta, Md. Saddam Hossain] Lappeenranta Lahti Univ Technol, LUT Sch Engn Sci, Lappeenranta 53850, Finland; [Fatema, Kaniz; Azam, Sami] Charles Darwin Univ, Fac Sci &amp; Technol, Casuarina, NT 0909, Australia; [Ali, Mohammed Eunus] Bangladesh Univ Engn &amp; Technol BUET, Dept CSE, Dhaka 1000, Bangladesh</t>
  </si>
  <si>
    <t>United International University (UIU); Lappeenranta-Lahti University of Technology LUT; Charles Darwin University; Bangladesh University of Engineering &amp; Technology (BUET)</t>
  </si>
  <si>
    <t>A Review on Large Language Models: Architectures, Applications, Taxonomies, Open Issues and Challenges</t>
  </si>
  <si>
    <t>IEEE ACCESS</t>
  </si>
  <si>
    <t>Cognition; Artificial intelligence; Transformers; Training; Taxonomy; Task analysis; Surveys; Natural language processing; Question answering (information retrieval); Information analysis; Linguistics; Large language models (LLM); natural language processing (NLP); artificial intelligence; transformer; pre-trained models; taxonomy; application</t>
  </si>
  <si>
    <t>GPT-4; BIAS</t>
  </si>
  <si>
    <t>Ahmed, Jubaer/Y-9306-2019; Mukta, Saddam/GOE-6033-2022; Azam, Sami/AAK-3846-2021; Ali, Mohammed Eunus/R-3686-2019</t>
  </si>
  <si>
    <t>Raiaan, Mohaimenul Azam Khan/0009-0006-4793-5382; , Most Marufatul Jannat Mim/0009-0000-7138-2331; Fatema, Kaniz/0000-0002-0787-5403; Azam, Sami/0000-0001-7572-9750; Ali, Mohammed Eunus/0000-0002-0384-7616</t>
  </si>
  <si>
    <t>186</t>
  </si>
  <si>
    <t>564</t>
  </si>
  <si>
    <t>652</t>
  </si>
  <si>
    <t>122</t>
  </si>
  <si>
    <t>826</t>
  </si>
  <si>
    <t>IEEE-INST ELECTRICAL ELECTRONICS ENGINEERS INC</t>
  </si>
  <si>
    <t>PISCATAWAY</t>
  </si>
  <si>
    <t>445 HOES LANE, PISCATAWAY, NJ 08855-4141 USA</t>
  </si>
  <si>
    <t>2169-3536</t>
  </si>
  <si>
    <t>IEEE Access</t>
  </si>
  <si>
    <t>2024</t>
  </si>
  <si>
    <t>26839</t>
  </si>
  <si>
    <t>26874</t>
  </si>
  <si>
    <t>10.1109/ACCESS.2024.3365742</t>
  </si>
  <si>
    <t>http://dx.doi.org/10.1109/ACCESS.2024.3365742</t>
  </si>
  <si>
    <t>36</t>
  </si>
  <si>
    <t>Computer Science, Information Systems; Engineering, Electrical &amp; Electronic; Telecommunications</t>
  </si>
  <si>
    <t>Computer Science; Engineering; Telecommunications</t>
  </si>
  <si>
    <t>JK8N3</t>
  </si>
  <si>
    <t>WOS:001173153100001</t>
  </si>
  <si>
    <t>4</t>
  </si>
  <si>
    <t>Bahroun, Z; Anane, C; Ahmed, V; Zacca, A</t>
  </si>
  <si>
    <t>In the ever-evolving era of technological advancements, generative artificial intelligence (GAI) emerges as a transformative force, revolutionizing education. This review paper, guided by the PRISMA framework, presents a comprehensive analysis of GAI in education, synthesizing key insights from a selection of 207 research papers to identify research gaps and future directions in the field. This study begins with a content analysis that explores GAI's transformative impact in specific educational domains, including medical education and engineering education. The versatile applications of GAI encompass assessment, personalized learning support, and intelligent tutoring systems. Ethical considerations, interdisciplinary collaboration, and responsible technology use are highlighted, emphasizing the need for transparent GAI models and addressing biases. Subsequently, a bibliometric analysis of GAI in education is conducted, examining prominent AI tools, research focus, geographic distribution, and interdisciplinary collaboration. ChatGPT emerges as a dominant GAI tool, and the analysis reveals significant and exponential growth in GAI research in 2023. Moreover, this paper identifies promising future research directions, such as GAI-enhanced curriculum design and longitudinal studies tracking its long-term impact on learning outcomes. These findings provide a comprehensive understanding of GAI's potential in reshaping education and offer valuable insights to researchers, educators, and policymakers interested in the intersection of GAI and education.</t>
  </si>
  <si>
    <t>Bahroun, Zied; Anane, Chiraz; Ahmed, Vian; Zacca, Andrew</t>
  </si>
  <si>
    <t>Bahroun, Z (corresponding author), Amer Univ Sharjah, Coll Engn, Dept Ind Engn, POB 26666, Sharjah, U Arab Emirates.</t>
  </si>
  <si>
    <t>zbahroun@aus.edu; vahmed@aus.edu; canane@sharjah.ac.ae; b00084411@aus.edu</t>
  </si>
  <si>
    <t>The authors express their gratitude to Melvern Moras, an undergraduate student, for his assistance in conducting the bibliometric analysis.</t>
  </si>
  <si>
    <t>[Bahroun, Zied; Ahmed, Vian; Zacca, Andrew] Amer Univ Sharjah, Coll Engn, Dept Ind Engn, POB 26666, Sharjah, U Arab Emirates; [Anane, Chiraz] Univ Sharjah, Coll Arts Humanities &amp; Social Sci, Dept Foreign Languages, POB 27272, Sharjah, U Arab Emirates</t>
  </si>
  <si>
    <t>American University of Sharjah; University of Sharjah</t>
  </si>
  <si>
    <t>Transforming Education: A Comprehensive Review of Generative Artificial Intelligence in Educational Settings through Bibliometric and Content Analysis</t>
  </si>
  <si>
    <t>SUSTAINABILITY</t>
  </si>
  <si>
    <t>education; generative artificial intelligence; educational technology; ChatGPT; ethics; review</t>
  </si>
  <si>
    <t>LANGUAGE MODELS; CHATGPT; AI; OPPORTUNITIES; THREATS; GPT-4</t>
  </si>
  <si>
    <t>Bahroun, Zied/F-6863-2019</t>
  </si>
  <si>
    <t>Bahroun, Zied/0000-0003-2832-3672</t>
  </si>
  <si>
    <t>154</t>
  </si>
  <si>
    <t>395</t>
  </si>
  <si>
    <t>512</t>
  </si>
  <si>
    <t>1316</t>
  </si>
  <si>
    <t>2071-1050</t>
  </si>
  <si>
    <t>SUSTAINABILITY-BASEL</t>
  </si>
  <si>
    <t>Sustainability</t>
  </si>
  <si>
    <t>SEP 2023</t>
  </si>
  <si>
    <t>15</t>
  </si>
  <si>
    <t>12983</t>
  </si>
  <si>
    <t>10.3390/su151712983</t>
  </si>
  <si>
    <t>http://dx.doi.org/10.3390/su151712983</t>
  </si>
  <si>
    <t>40</t>
  </si>
  <si>
    <t>Green &amp; Sustainable Science &amp; Technology; Environmental Sciences; Environmental Studies</t>
  </si>
  <si>
    <t>Science &amp; Technology - Other Topics; Environmental Sciences &amp; Ecology</t>
  </si>
  <si>
    <t>R1HS3</t>
  </si>
  <si>
    <t>WOS:001061927300001</t>
  </si>
  <si>
    <t>39</t>
  </si>
  <si>
    <t>153</t>
  </si>
  <si>
    <t>Zhang, K; Yang, X; Wang, YF; Yu, YF; Huang, N; Li, G; Li, XK; Wu, JC; Yang, SY</t>
  </si>
  <si>
    <t>Drug development is a complex and time-consuming endeavor that traditionally relies on the experience of drug developers and trial-and-error experimentation. The advent of artificial intelligence (AI) technologies, particularly emerging large language models and generative AI, is poised to redefine this paradigm. The integration of AI-driven methodologies into the drug development pipeline has already heralded subtle yet meaningful enhancements in both the efficiency and effectiveness of this process. Here we present an overview of recent advancements in AI applications across the entire drug development workflow, encompassing the identification of disease targets, drug discovery, preclinical and clinical studies, and post-market surveillance. Lastly, we critically examine the prevailing challenges to highlight promising future research directions in AI-augmented drug development.</t>
  </si>
  <si>
    <t>Zhang, Kang; Yang, Xin; Wang, Yifei; Yu, Yunfang; Huang, Niu; Li, Gen; Li, Xiaokun; Wu, Joseph C.; Yang, Shengyong</t>
  </si>
  <si>
    <t>Science Citation Index Expanded (SCI-EXPANDED); Science Citation Index Expanded (SCI-EXPANDED)</t>
  </si>
  <si>
    <t>Zhang, K (corresponding author), Wenzhou Med Univ, Eye Hosp, Wenzhou, Peoples R China.; Zhang, K (corresponding author), Wenzhou Med Univ, Inst Adv Study Eye Hlth &amp; Dis, Inst Clin Data Sci, Wenzhou, Peoples R China.; Zhang, K (corresponding author), Wenzhou Med Univ, State Key Lab Macromol Drugs &amp; Large Scale Prepara, Wenzhou, Peoples R China.; Yang, SY (corresponding author), Sichuan Univ, West China Hosp, Canc Ctr, Dept Biotherapy, Chengdu, Peoples R China.; Yang, SY (corresponding author), Sichuan Univ, West China Hosp, State Key Lab Biotherapy, Chengdu, Peoples R China.</t>
  </si>
  <si>
    <t>yangsy@scu.edu.cn; kang.zhang@gmail.com</t>
  </si>
  <si>
    <t>Wenzhou Eye Hospital, Institute for Advanced Study on Eye Health and Disease, Wenzhou Medical University; National Natural Science Foundation of China [W2431057, T2221004, 22277085, 82404087, YW-SLJC0201, GZNL2024A01005]; National Key R&amp;D Program of China [2023YFF1204905]; Tianfu Jincheng Laboratory Foundation [TFJC2023010009]; Guangzhou Science and Technology Project [2023A03J0722]; New Cornerstone Science Foundation; National Institutes of Health [R01-GM129325]; Office of Cyber Infrastructure and Computational Biology, National Institute of Allergy and Infectious Diseases</t>
  </si>
  <si>
    <t>Wenzhou Eye Hospital, Institute for Advanced Study on Eye Health and Disease, Wenzhou Medical University; National Natural Science Foundation of China (National Natural Science Foundation of China (NSFC)); National Key R&amp;D Program of China (National Key Research &amp; Development Program of China); Tianfu Jincheng Laboratory Foundation; Guangzhou Science and Technology Project; New Cornerstone Science Foundation; National Institutes of Health (United States Department of Health &amp; Human Services, National Institutes of Health (NIH) - USA); Office of Cyber Infrastructure and Computational Biology, National Institute of Allergy and Infectious Diseases</t>
  </si>
  <si>
    <t>This research was supported by Wenzhou Eye Hospital, Institute for Advanced Study on Eye Health and Disease, Wenzhou Medical University; Eye Valley, Wenzhou; the National Natural Science Foundation of China (W2431057, T2221004, 22277085, 82404087); Guangzhou National Laboratory (YW-SLJC0201, GZNL2024A01005); the National Key R&amp;D Program of China (2023YFF1204905); Tianfu Jincheng Laboratory Foundation (TFJC2023010009); Guangzhou Science and Technology Project (2023A03J0722); and the New Cornerstone Science Foundation. Molecular graphics and analyses performed with UCSF ChimeraX were developed by the Resource for Biocomputing, Visualization, and Informatics at the University of California, San Francisco, with support from National Institutes of Health R01-GM129325 and the Office of Cyber Infrastructure and Computational Biology, National Institute of Allergy and Infectious Diseases.</t>
  </si>
  <si>
    <t>[Zhang, Kang; Li, Gen] Wenzhou Med Univ, Eye Hosp, Wenzhou, Peoples R China; [Zhang, Kang; Li, Gen] Wenzhou Med Univ, Inst Adv Study Eye Hlth &amp; Dis, Inst Clin Data Sci, Wenzhou, Peoples R China; [Zhang, Kang; Li, Xiaokun] Wenzhou Med Univ, State Key Lab Macromol Drugs &amp; Large Scale Prepara, Wenzhou, Peoples R China; [Yang, Xin; Wang, Yifei; Yang, Shengyong] Sichuan Univ, West China Hosp, Canc Ctr, Dept Biotherapy, Chengdu, Peoples R China; [Yang, Xin; Wang, Yifei; Yang, Shengyong] Sichuan Univ, West China Hosp, State Key Lab Biotherapy, Chengdu, Peoples R China; [Yu, Yunfang] Sun Yat Sen Univ, Sun Yat Sen Mem Hosp, Guangzhou, Peoples R China; [Yu, Yunfang] Macau Univ Sci &amp; Technol, Inst AI Med, Macau, Peoples R China; [Yu, Yunfang] Macau Univ Sci &amp; Technol, Fac Med, Macau, Peoples R China; [Yu, Yunfang; Li, Gen] Guangzhou Natl Lab, Guangzhou, Peoples R China; [Huang, Niu] Natl Inst Biol Sci, Beijing, Peoples R China; [Li, Gen] Eye Valley, Eye &amp; Vis Innovat Ctr, Wenzhou, Peoples R China; [Wu, Joseph C.] Stanford Univ, Cardiovasc Res Inst, Stanford, CA USA</t>
  </si>
  <si>
    <t>Wenzhou Medical University; Wenzhou Medical University; Wenzhou Medical University; Sichuan University; Sichuan University; Sun Yat Sen University; Macau University of Science and Technology; Macau University of Science and Technology; Guangzhou Laboratory; National Institute of Biological Sciences, Beijing; Stanford University</t>
  </si>
  <si>
    <t>Artificial intelligence in drug development</t>
  </si>
  <si>
    <t>NOVO MOLECULAR DESIGN; COLORECTAL-CANCER; DEEP; DISCOVERY; PREDICTION; BIOMARKERS; GENERATION; MODEL</t>
  </si>
  <si>
    <t>Lin, Qibin/AAI-6977-2020; Huang, Niu/J-9656-2012; Wu, Joseph/H-1067-2013</t>
  </si>
  <si>
    <t>Huang, Niu/0000-0002-6912-033X; Yang, Shengyong/0000-0001-5147-3746; Wang, Yifei/0000-0002-8873-613X</t>
  </si>
  <si>
    <t>248</t>
  </si>
  <si>
    <t>374</t>
  </si>
  <si>
    <t>449</t>
  </si>
  <si>
    <t>178</t>
  </si>
  <si>
    <t>662</t>
  </si>
  <si>
    <t>JAN 2025</t>
  </si>
  <si>
    <t>2025</t>
  </si>
  <si>
    <t>31</t>
  </si>
  <si>
    <t>45</t>
  </si>
  <si>
    <t>59</t>
  </si>
  <si>
    <t>10.1038/s41591-024-03434-4</t>
  </si>
  <si>
    <t>http://dx.doi.org/10.1038/s41591-024-03434-4</t>
  </si>
  <si>
    <t>W2Q0R</t>
  </si>
  <si>
    <t>39833407</t>
  </si>
  <si>
    <t>WOS:001400818700001</t>
  </si>
  <si>
    <t>37</t>
  </si>
  <si>
    <t>Li, H; Zhang, RW; Lee, YC; Kraut, RE; Mohr, DC</t>
  </si>
  <si>
    <t>Conversational artificial intelligence (AI), particularly AI-based conversational agents (CAs), is gaining traction in mental health care. Despite their growing usage, there is a scarcity of comprehensive evaluations of their impact on mental health and well-being. This systematic review and meta-analysis aims to fill this gap by synthesizing evidence on the effectiveness of AI-based CAs in improving mental health and factors influencing their effectiveness and user experience. Twelve databases were searched for experimental studies of AI-based CAs' effects on mental illnesses and psychological well-being published before May 26, 2023. Out of 7834 records, 35 eligible studies were identified for systematic review, out of which 15 randomized controlled trials were included for meta-analysis. The meta-analysis revealed that AI-based CAs significantly reduce symptoms of depression (Hedge's g 0.64 [95% CI 0.17-1.12]) and distress (Hedge's g 0.7 [95% CI 0.18-1.22]). These effects were more pronounced in CAs that are multimodal, generative AI-based, integrated with mobile/instant messaging apps, and targeting clinical/subclinical and elderly populations. However, CA-based interventions showed no significant improvement in overall psychological well-being (Hedge's g 0.32 [95% CI -0.13 to 0.78]). User experience with AI-based CAs was largely shaped by the quality of human-AI therapeutic relationships, content engagement, and effective communication. These findings underscore the potential of AI-based CAs in addressing mental health issues. Future research should investigate the underlying mechanisms of their effectiveness, assess long-term effects across various mental health outcomes, and evaluate the safe integration of large language models (LLMs) in mental health care.</t>
  </si>
  <si>
    <t>Li, Han; Zhang, Renwen; Lee, Yi-Chieh; Kraut, Robert E.; Mohr, David C.</t>
  </si>
  <si>
    <t>Zhang, RW (corresponding author), Natl Univ Singapore, Dept Commun &amp; New Media, Singapore 117416, Singapore.</t>
  </si>
  <si>
    <t>r.zhang@nus.edu.sg</t>
  </si>
  <si>
    <t>U.S. Department of Health &amp; Human Services | NIH | National Institute of Mental Health (NIMH) [Tier 1 A-8000877-00-00]; Singapore Ministry of Education Academic Research Fund [A-8000936-01-00]; National University of Singapore [P50 MH119029]; NIMH; National Institute of Mental Health [P50MH119029] Funding Source: NIH RePORTER</t>
  </si>
  <si>
    <t>U.S. Department of Health &amp; Human Services | NIH | National Institute of Mental Health (NIMH); Singapore Ministry of Education Academic Research Fund (Ministry of Education, Singapore); National University of Singapore (National University of Singapore); NIMH (United States Department of Health &amp; Human Services, National Institutes of Health (NIH) - USA, NIH National Institute of Mental Health (NIMH)); National Institute of Mental Health (United States Department of Health &amp; Human Services, National Institutes of Health (NIH) - USA, NIH National Institute of Mental Health (NIMH))</t>
  </si>
  <si>
    <t>The present study is supported by the Singapore Ministry of Education Academic Research Fund Tier 1 A-8000877-00-00, National University of Singapore Start-up Grant A-8000936-01-00, and NIMH grant P50 MH119029. The funders of the study had no role in the study design, data collection, data analysis, data interpretation, or writing of the manuscript.</t>
  </si>
  <si>
    <t>[Li, Han; Zhang, Renwen] Natl Univ Singapore, Dept Commun &amp; New Media, Singapore 117416, Singapore; [Lee, Yi-Chieh] Natl Univ Singapore, Dept Comp Sci, Singapore 117416, Singapore; [Kraut, Robert E.] Carnegie Mellon Univ, Human Comp Interact Inst, Pittsburgh, PA 15213 USA; [Mohr, David C.] Northwestern Univ, Ctr Behav Intervent Technol, Dept Prevent Med, Chicago, IL 60611 USA</t>
  </si>
  <si>
    <t>National University of Singapore; National University of Singapore; Carnegie Mellon University; Northwestern University; Feinberg School of Medicine</t>
  </si>
  <si>
    <t>Systematic review and meta-analysis of AI-based conversational agents for promoting mental health and well-being</t>
  </si>
  <si>
    <t>NPJ DIGITAL MEDICINE</t>
  </si>
  <si>
    <t>EFFICACY; CHATBOT; INTERVENTIONS; MODELS; ROBOT</t>
  </si>
  <si>
    <t>Lee, Yi-Chieh/AAG-8954-2021; LI, HAN/KIA-8718-2024</t>
  </si>
  <si>
    <t>Mohr, David/0000-0002-5443-7596; Zhang, Renwen/0000-0002-7636-9598; LI, HAN/0000-0002-9050-715X</t>
  </si>
  <si>
    <t>75</t>
  </si>
  <si>
    <t>426</t>
  </si>
  <si>
    <t>94</t>
  </si>
  <si>
    <t>521</t>
  </si>
  <si>
    <t>2398-6352</t>
  </si>
  <si>
    <t>NPJ DIGIT MED</t>
  </si>
  <si>
    <t>npj Digit. Med.</t>
  </si>
  <si>
    <t>DEC 19 2023</t>
  </si>
  <si>
    <t>236</t>
  </si>
  <si>
    <t>10.1038/s41746-023-00979-5</t>
  </si>
  <si>
    <t>http://dx.doi.org/10.1038/s41746-023-00979-5</t>
  </si>
  <si>
    <t>Health Care Sciences &amp; Services; Medical Informatics</t>
  </si>
  <si>
    <t>DD0G4</t>
  </si>
  <si>
    <t>38114588</t>
  </si>
  <si>
    <t>WOS:001129970300001</t>
  </si>
  <si>
    <t>82</t>
  </si>
  <si>
    <t>Shah, NH; Entwistle, D; Pfeffer, MA</t>
  </si>
  <si>
    <t>IMPORTANCE There is increased interest in and potential benefits from using large language models (LLMs) in medicine. However, by simply wondering how the LLMs and the applications powered by them will reshape medicine instead of getting actively involved, the agency in shaping how these tools can be used in medicine is lost.OBSERVATIONS Applications powered by LLMs are increasingly used to perform medical tasks without the underlying language model being trained on medical records and without verifying their purported benefit in performing those tasks.CONCLUSIONS AND RELEVANCE The creation and use of LLMs in medicine need to be actively shaped by provisioning relevant training data, specifying the desired benefits, and evaluating the benefits via testing in real-world deployments.</t>
  </si>
  <si>
    <t>Shah, Nigam H.; Entwistle, David; Pfeffer, Michael A.</t>
  </si>
  <si>
    <t>Shah, NH (corresponding author), Stanford Univ, Ctr Biomed Informat Res, 3180 Porter Dr, Palo Alto, CA 94305 USA.</t>
  </si>
  <si>
    <t>nigam@stanford.edu</t>
  </si>
  <si>
    <t>[Shah, Nigam H.] Stanford Univ, Ctr Biomed Informat Res, 3180 Porter Dr, Palo Alto, CA 94305 USA; [Shah, Nigam H.; Entwistle, David; Pfeffer, Michael A.] Stanford Hlth Care, Palo Alto, CA USA; [Shah, Nigam H.; Pfeffer, Michael A.] Stanford Univ, Sch Med, Dept Med, Stanford, CA USA; [Shah, Nigam H.] Stanford Univ, Clin Excellence Res Ctr, Sch Med, Stanford, CA USA</t>
  </si>
  <si>
    <t>Stanford University; Stanford University; Stanford Medicine; Stanford University; Stanford Medicine; Stanford University; Stanford Medicine</t>
  </si>
  <si>
    <t>Creation and Adoption of Large Language Models in Medicine</t>
  </si>
  <si>
    <t>JAMA-JOURNAL OF THE AMERICAN MEDICAL ASSOCIATION</t>
  </si>
  <si>
    <t>Pfeffer, Michael/0000-0002-8958-0843</t>
  </si>
  <si>
    <t>346</t>
  </si>
  <si>
    <t>391</t>
  </si>
  <si>
    <t>AMER MEDICAL ASSOC</t>
  </si>
  <si>
    <t>CHICAGO</t>
  </si>
  <si>
    <t>330 N WABASH AVE, STE 39300, CHICAGO, IL 60611-5885 USA</t>
  </si>
  <si>
    <t>0098-7484</t>
  </si>
  <si>
    <t>1538-3598</t>
  </si>
  <si>
    <t>JAMA-J AM MED ASSOC</t>
  </si>
  <si>
    <t>JAMA-J. Am. Med. Assoc.</t>
  </si>
  <si>
    <t>SEP 5 2023</t>
  </si>
  <si>
    <t>330</t>
  </si>
  <si>
    <t>866</t>
  </si>
  <si>
    <t>869</t>
  </si>
  <si>
    <t>10.1001/jama.2023.14217</t>
  </si>
  <si>
    <t>http://dx.doi.org/10.1001/jama.2023.14217</t>
  </si>
  <si>
    <t>Medicine, General &amp; Internal</t>
  </si>
  <si>
    <t>General &amp; Internal Medicine</t>
  </si>
  <si>
    <t>W9PB5</t>
  </si>
  <si>
    <t>37548965</t>
  </si>
  <si>
    <t>WOS:001046738800002</t>
  </si>
  <si>
    <t>76</t>
  </si>
  <si>
    <t>Rajpurkar, P; Lungren, MP</t>
  </si>
  <si>
    <t>Using AI to Interpret Medical ImagesThe authors examine the advantages and limitations of current clinical radiologic AI systems, new clinical workflows, and the potential effect of generative AI and large multimodal foundation models.</t>
  </si>
  <si>
    <t>Rajpurkar, Pranav; Lungren, Matthew P.</t>
  </si>
  <si>
    <t>Rajpurkar, P (corresponding author), Harvard Med Sch, Dept Biomed Informat, Boston, MA 02115 USA.</t>
  </si>
  <si>
    <t>pranav_rajpurkar@hms.harvard.edu</t>
  </si>
  <si>
    <t>[Rajpurkar, Pranav] Harvard Med Sch, Dept Biomed Informat, Boston, MA 02115 USA; [Lungren, Matthew P.] Stanford Univ, Ctr Artificial Intelligence Med &amp; Imaging, Stanford, CA USA; [Lungren, Matthew P.] Univ Calif San Francisco, Dept Radiol &amp; Biomed Imaging, San Francisco, CA USA; [Lungren, Matthew P.] Microsoft, Redmond, WA USA</t>
  </si>
  <si>
    <t>Harvard University; Harvard Medical School; Stanford University; University of California System; University of California San Francisco; Microsoft</t>
  </si>
  <si>
    <t>The Current and Future State of AI Interpretation of Medical Images</t>
  </si>
  <si>
    <t>NEW ENGLAND JOURNAL OF MEDICINE</t>
  </si>
  <si>
    <t>ARTIFICIAL-INTELLIGENCE; DOMAIN ADAPTATION; LEARNING-MODEL; RADIOLOGY; CANCER; GENERATION</t>
  </si>
  <si>
    <t>Rajpurkar, Pranav/0000-0002-8030-3727</t>
  </si>
  <si>
    <t>98</t>
  </si>
  <si>
    <t>340</t>
  </si>
  <si>
    <t>419</t>
  </si>
  <si>
    <t>21</t>
  </si>
  <si>
    <t>375</t>
  </si>
  <si>
    <t>MASSACHUSETTS MEDICAL SOC</t>
  </si>
  <si>
    <t>WALTHAM</t>
  </si>
  <si>
    <t>WALTHAM WOODS CENTER, 860 WINTER ST,, WALTHAM, MA 02451-1413 USA</t>
  </si>
  <si>
    <t>0028-4793</t>
  </si>
  <si>
    <t>1533-4406</t>
  </si>
  <si>
    <t>NEW ENGL J MED</t>
  </si>
  <si>
    <t>N. Engl. J. Med.</t>
  </si>
  <si>
    <t>MAY 25 2023</t>
  </si>
  <si>
    <t>388</t>
  </si>
  <si>
    <t>1981</t>
  </si>
  <si>
    <t>1990</t>
  </si>
  <si>
    <t>10.1056/NEJMra2301725</t>
  </si>
  <si>
    <t>http://dx.doi.org/10.1056/NEJMra2301725</t>
  </si>
  <si>
    <t>10</t>
  </si>
  <si>
    <t>I6NG4</t>
  </si>
  <si>
    <t>37224199</t>
  </si>
  <si>
    <t>WOS:001003925600007</t>
  </si>
  <si>
    <t>Kanbach, DK; Heiduk, L; Blueher, G; Schreiter, M; Lahmann, A</t>
  </si>
  <si>
    <t>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</si>
  <si>
    <t>Kanbach, Dominik K.; Heiduk, Louisa; Blueher, Georg; Schreiter, Maximilian; Lahmann, Alexander</t>
  </si>
  <si>
    <t>Social Science Citation Index (SSCI)</t>
  </si>
  <si>
    <t>Kanbach, DK (corresponding author), HHL Leipzig Grad Sch Management, Jahnallee 59, D-04109 Leipzig, Germany.; Kanbach, DK (corresponding author), Woxsen Univ, Sch Business, Hyderabad, India.</t>
  </si>
  <si>
    <t>georg.blueher@hhl.de; alexander.lahmann@hhl.de; louisa.heiduk@hhl.de; dominik.kanbach@hhl.de; maximilian.schreiter@hhl.de</t>
  </si>
  <si>
    <t>HHL Leipzig Graduate School of Management gGmbH (5141)</t>
  </si>
  <si>
    <t>[Kanbach, Dominik K.; Heiduk, Louisa; Blueher, Georg; Schreiter, Maximilian; Lahmann, Alexander] HHL Leipzig Grad Sch Management, Jahnallee 59, D-04109 Leipzig, Germany; [Kanbach, Dominik K.] Woxsen Univ, Sch Business, Hyderabad, India</t>
  </si>
  <si>
    <t>HHL Leipzig Graduate School of Management; Woxsen University</t>
  </si>
  <si>
    <t>The GenAI is out of the bottle: generative artificial intelligence from a business model innovation perspective</t>
  </si>
  <si>
    <t>REVIEW OF MANAGERIAL SCIENCE</t>
  </si>
  <si>
    <t>Artificial intelligence; Generative AI; ChatGPT; Business model innovation; Large language models; M10; M13; M15; M19</t>
  </si>
  <si>
    <t>CHATGPT; AI</t>
  </si>
  <si>
    <t>Kanbach, Dominik K/AAW-8271-2021</t>
  </si>
  <si>
    <t>Heiduk, Louisa/0000-0002-2106-7111; Kanbach, Dominik K/0000-0003-0956-8009; Schreiter, Maximilian/0000-0003-4429-5747; VALERA, FERNANDA/0009-0006-8635-357X</t>
  </si>
  <si>
    <t>150</t>
  </si>
  <si>
    <t>305</t>
  </si>
  <si>
    <t>384</t>
  </si>
  <si>
    <t>103</t>
  </si>
  <si>
    <t>947</t>
  </si>
  <si>
    <t>SPRINGER HEIDELBERG</t>
  </si>
  <si>
    <t>HEIDELBERG</t>
  </si>
  <si>
    <t>Europaplatz 3, HEIDELBERG, GERMANY</t>
  </si>
  <si>
    <t>1863-6683</t>
  </si>
  <si>
    <t>1863-6691</t>
  </si>
  <si>
    <t>REV MANAG SCI</t>
  </si>
  <si>
    <t>Rev. Manag. Sci.</t>
  </si>
  <si>
    <t>APR 2024</t>
  </si>
  <si>
    <t>1189</t>
  </si>
  <si>
    <t>1220</t>
  </si>
  <si>
    <t>10.1007/s11846-023-00696-z</t>
  </si>
  <si>
    <t>http://dx.doi.org/10.1007/s11846-023-00696-z</t>
  </si>
  <si>
    <t>32</t>
  </si>
  <si>
    <t>Management</t>
  </si>
  <si>
    <t>Business &amp; Economics</t>
  </si>
  <si>
    <t>MQ5Z9</t>
  </si>
  <si>
    <t>WOS:001079655700001</t>
  </si>
  <si>
    <t>hybrid; Green Submitted</t>
  </si>
  <si>
    <t>Preiksaitis, C; Rose, C</t>
  </si>
  <si>
    <t>Background: Generative artificial intelligence (AI) technologies are increasingly being utilized across various fields, with considerable interest and concern regarding their potential application in medical education. These technologies, such as Chat GPT and Bard, can generate new content and have a wide range of possible applications.Objective: This study aimed to synthesize the potential opportunities and limitations of generative AI in medical education. It sought to identify prevalent themes within recent literature regarding potential applications and challenges of generative AI in medical education and use these to guide future areas for exploration.Methods: We conducted a scoping review, following the framework by Arksey and O'Malley, of English language articles published from 2022 onward that discussed generative AI in the context of medical education. A literature search was performed using PubMed, Web of Science, and Google Scholar databases. We screened articles for inclusion, extracted data from relevant studies, and completed a quantitative and qualitative synthesis of the data.Results: Thematic analysis revealed diverse potential applications for generative AI in medical education, including self-directed learning, simulation scenarios, and writing assistance. However, the literature also highlighted significant challenges, such as issues with academic integrity, data accuracy, and potential detriments to learning. Based on these themes and the current state of the literature, we propose the following 3 key areas for investigation: developing learners' skills to evaluate AI critically, rethinking assessment methodology, and studying human-AI interactions. Conclusions: The integration of generative AI in medical education presents exciting opportunities, alongside considerable challenges. There is a need to develop new skills and competencies related to AI as well as thoughtful, nuanced approaches to examine the growing use of generative AI in Medical education.</t>
  </si>
  <si>
    <t>Preiksaitis, Carl; Rose, Christian</t>
  </si>
  <si>
    <t>Preiksaitis, C (corresponding author), Stanford Univ, Sch Med, Dept Emergency Med, 900 Welch Rd,Suite 350, Palo Alto, CA 94304 USA.</t>
  </si>
  <si>
    <t>cpreiksaitis@stanford.edu</t>
  </si>
  <si>
    <t>[Preiksaitis, Carl] Stanford Univ, Sch Med, Dept Emergency Med, 900 Welch Rd,Suite 350, Palo Alto, CA 94304 USA</t>
  </si>
  <si>
    <t>Stanford University; Stanford Medicine</t>
  </si>
  <si>
    <t>Opportunities, Challenges, and Future Directions of Generative Artificial Intelligence in Medical Education: Scoping Review</t>
  </si>
  <si>
    <t>JMIR MEDICAL EDUCATION</t>
  </si>
  <si>
    <t>medical education; artificial intelligence; ChatGPT; Bard; AI; educator; scoping; review; learner; generative</t>
  </si>
  <si>
    <t>CHATGPT; PERFORMANCE; AI</t>
  </si>
  <si>
    <t>Preiksaitis, Carl/GRY-6854-2022; Rose, Christian/AAP-2569-2021</t>
  </si>
  <si>
    <t>Preiksaitis, Carl/0000-0002-3856-0068; Rose, Christian/0000-0002-5115-649X</t>
  </si>
  <si>
    <t>69</t>
  </si>
  <si>
    <t>301</t>
  </si>
  <si>
    <t>362</t>
  </si>
  <si>
    <t>368</t>
  </si>
  <si>
    <t>JMIR PUBLICATIONS, INC</t>
  </si>
  <si>
    <t>TORONTO</t>
  </si>
  <si>
    <t>130 QUEENS QUAY East, Unit 1100, TORONTO, ON M5A 0P6, CANADA</t>
  </si>
  <si>
    <t>2369-3762</t>
  </si>
  <si>
    <t>JMIR MED EDUC</t>
  </si>
  <si>
    <t>JMIR Med. Educ.</t>
  </si>
  <si>
    <t>e48785</t>
  </si>
  <si>
    <t>10.2196/48785</t>
  </si>
  <si>
    <t>http://dx.doi.org/10.2196/48785</t>
  </si>
  <si>
    <t>Education, Scientific Disciplines</t>
  </si>
  <si>
    <t>Education &amp; Educational Research</t>
  </si>
  <si>
    <t>Y3WR3</t>
  </si>
  <si>
    <t>37862079</t>
  </si>
  <si>
    <t>WOS:001104608100001</t>
  </si>
  <si>
    <t>49</t>
  </si>
  <si>
    <t>Meng, XB; Yan, XY; Zhang, K; Liu, D; Cui, XJ; Yang, YD; Zhang, MH; Cao, CX; Wang, JJ; Wang, XL; Gao, J; Wang, YGS; Ji, JM; Qiu, ZF; Li, MZ; Qian, C; Guo, TZ; Ma, SQ; Wang, ZY; Guo, ZX; Lei, YL; Shao, CL; Wang, WY; Fan, HJ; Tang, YD</t>
  </si>
  <si>
    <t>This study systematically reviewed the application of large language models (LLMs) in medicine, analyzing 550 selected studies from a vast literature search. LLMs like ChatGPT transformed healthcare by enhancing diagnostics, medical writing, education, and project management. They assisted in drafting medical documents, creating training simulations, and streamlining research processes. Despite their growing utility in assisted diagnosis and improving doctor -patient communication, challenges persisted, including limitations in contextual understanding and the risk of over -reliance. The surge in LLM-related research indicated a focus on medical writing, diagnostics, and patient communication, but highlighted the need for careful integration, considering validation, ethical concerns, and the balance with traditional medical practice. Future research directions suggested a focus on multimodal LLMs, deeper algorithmic understanding, and ensuring responsible, effective use in healthcare.</t>
  </si>
  <si>
    <t>Meng, Xiangbin; Yan, Xiangyu; Zhang, Kuo; Liu, Da; Cui, Xiaojuan; Yang, Yaodong; Zhang, Muhan; Cao, Chunxia; Wang, Jingjia; Wang, Xuliang; Gao, Jun; Wang, Yuan-Geng-Shuo; Ji, Jia-ming; Qiu, Zifeng; Li, Muzi; Qian, Cheng; Guo, Tianze; Ma, Shuangquan; Wang, Zeying; Guo, Zexuan; Lei, Youlan; Shao, Chunli; Wang, Wenyao; Fan, Haojun; Tang, Yi-Da</t>
  </si>
  <si>
    <t>Tang, YD (corresponding author), Peking Univ Third Hosp, Inst Vasc Med, Dept Cardiol, Beijing, Peoples R China.; Tang, YD (corresponding author), Peking Univ, State Key Lab Vasc Homeostasis &amp; Remodeling, Beijing, Peoples R China.; Fan, HJ (corresponding author), Tianjin Univ, Inst Disaster &amp; Emergency Med, Tianjin, Peoples R China.</t>
  </si>
  <si>
    <t>fanhj@tju.edu.cn; tangyida@bjmu.edu.cn</t>
  </si>
  <si>
    <t>National Key R&amp;D Program of China [2020YFC2004705]; National Natural Science Foundation of China [81825003, 91957123, 82270376]; CAMS Innovation Fund for Medical Sciences [2022-I2M-CT-B-119, 2021-I2M-5-003]; Beijing Nova Program from Beijing Municipal Science &amp; Technology Commission [Z201100006820002]; CSC Special Fund for Clinical Research [CSCF2021A04]</t>
  </si>
  <si>
    <t>National Key R&amp;D Program of China (National Key Research &amp; Development Program of China); National Natural Science Foundation of China (National Natural Science Foundation of China (NSFC)); CAMS Innovation Fund for Medical Sciences (CAMS Innovation Fund for Medical Sciences (CIFMS)); Beijing Nova Program from Beijing Municipal Science &amp; Technology Commission; CSC Special Fund for Clinical Research</t>
  </si>
  <si>
    <t>This study was funded by the National Key R&amp;D Program of China (2020YFC2004705) , National Natural Science Foundation of China (81825003, 91957123, and 82270376) , CAMS Innovation Fund for Medical Sciences (2022-I2M-C&amp;T-B-119 and 2021-I2M-5-003) , Beijing Nova Program (Z201100006820002) from Beijing Municipal Science &amp; Technology Commission, and CSC Special Fund for Clinical Research (CSCF2021A04) .</t>
  </si>
  <si>
    <t>[Meng, Xiangbin; Wang, Jingjia; Wang, Xuliang; Gao, Jun; Wang, Yuan-Geng-Shuo; Qian, Cheng; Shao, Chunli; Wang, Wenyao; Tang, Yi-Da] Peking Univ Third Hosp, Inst Vasc Med, Dept Cardiol, Beijing, Peoples R China; [Meng, Xiangbin; Tang, Yi-Da] Peking Univ, State Key Lab Vasc Homeostasis &amp; Remodeling, Beijing, Peoples R China; [Yan, Xiangyu; Cao, Chunxia; Fan, Haojun] Tianjin Univ, Inst Disaster &amp; Emergency Med, Tianjin, Peoples R China; [Zhang, Kuo] Chinese Acad Med Sci &amp; Peking Union Med Coll, Fuwai Hosp, Natl Ctr Cardiovasc Dis, Dept Cardiol,State Key Lab Cardiovasc Dis, Beijing, Peoples R China; [Liu, Da] Hebei Med Univ, Hosp 1, Grad Sch, Dept Cardiol, Shijiazhuang, Hebei, Peoples R China; [Cui, Xiaojuan] Peking Univ, Sch Software &amp; Microelect, Beijing, Peoples R China; [Yang, Yaodong; Zhang, Muhan; Ji, Jia-ming] Peking Univ, Inst Artificial Intelligence, Beijing, Peoples R China; [Qiu, Zifeng] Peking Univ, Peking Univ First Hosp, Hlth Sci Ctr, Beijing, Peoples R China; [Li, Muzi] Peking Univ, Peoples Hosp, Hlth Sci Ctr, Beijing, Peoples R China; [Guo, Tianze; Guo, Zexuan; Lei, Youlan] Peking Univ, Hlth Sci Ctr, Beijing, Peoples R China; [Ma, Shuangquan] Beihang Univ, Key Lab Biomech &amp; Mechanobiol, Minist Educ, Sch Biol Sci Med &amp; Engn,Beijing Adv Innovat Ctr Bi, Beijing, Peoples R China; [Wang, Zeying] Peking Univ, Sch &amp; Hosp Stomatol, Natl Engn Lab Digital &amp; Mat Technol Stomatol, Dept Prosthodont,Beijing Key Lab Digital Stomatol,, Beijing, Peoples R China</t>
  </si>
  <si>
    <t>Peking University; Peking University; Tianjin University; Chinese Academy of Medical Sciences - Peking Union Medical College; Fu Wai Hospital - CAMS; Peking Union Medical College; Hebei Medical University; Peking University; Peking University; Peking University; Peking University; Peking University; Beihang University; Peking University</t>
  </si>
  <si>
    <t>The application of large language models in medicine: A scoping review</t>
  </si>
  <si>
    <t>ISCIENCE</t>
  </si>
  <si>
    <t>ARTIFICIAL-INTELLIGENCE; HEALTH-CARE; CHATGPT; RECOMMENDATIONS; FUTURE</t>
  </si>
  <si>
    <t>Wang, Jingjia/ACU-5400-2022; 周, 斌/IYS-4666-2023; Liu, Da/PFZ-6774-2026; Meng, Xiangbin/HSI-0945-2023; Cao, Chunxia/MFI-2414-2025; Qiu, Zifeng/KII-0009-2024</t>
  </si>
  <si>
    <t>Qiu, Zifeng/0000-0002-2384-560X</t>
  </si>
  <si>
    <t>112</t>
  </si>
  <si>
    <t>290</t>
  </si>
  <si>
    <t>336</t>
  </si>
  <si>
    <t>228</t>
  </si>
  <si>
    <t>CELL PRESS</t>
  </si>
  <si>
    <t>CAMBRIDGE</t>
  </si>
  <si>
    <t>50 HAMPSHIRE ST, FLOOR 5, CAMBRIDGE, MA 02139 USA</t>
  </si>
  <si>
    <t>2589-0042</t>
  </si>
  <si>
    <t>iScience</t>
  </si>
  <si>
    <t>MAY 17 2024</t>
  </si>
  <si>
    <t>27</t>
  </si>
  <si>
    <t>109713</t>
  </si>
  <si>
    <t>10.1016/j.isci.2024.109713</t>
  </si>
  <si>
    <t>http://dx.doi.org/10.1016/j.isci.2024.109713</t>
  </si>
  <si>
    <t>MAY 2024</t>
  </si>
  <si>
    <t>16</t>
  </si>
  <si>
    <t>Multidisciplinary Sciences</t>
  </si>
  <si>
    <t>Science &amp; Technology - Other Topics</t>
  </si>
  <si>
    <t>TI6P0</t>
  </si>
  <si>
    <t>38746668</t>
  </si>
  <si>
    <t>WOS:001240677700001</t>
  </si>
  <si>
    <t>7</t>
  </si>
  <si>
    <t>Nazi, ZA; Peng, W</t>
  </si>
  <si>
    <t>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</si>
  <si>
    <t>Nazi, Zabir Al; Peng, Wei</t>
  </si>
  <si>
    <t>Peng, W (corresponding author), Stanford Univ, Dept Psychiat &amp; Behav Sci, 1070 Arastradero Rd, Palo Alto, CA 94303 USA.</t>
  </si>
  <si>
    <t>znazi002@ucr.edu; wepeng@stanford.edu</t>
  </si>
  <si>
    <t>[Nazi, Zabir Al] Univ Calif Riverside, Dept Comp Sci &amp; Engn, Riverside, CA 92521 USA; [Peng, Wei] Stanford Univ, Dept Psychiat &amp; Behav Sci, 1070 Arastradero Rd, Palo Alto, CA 94303 USA</t>
  </si>
  <si>
    <t>University of California Riverside; University of California System; University of California Riverside; Stanford University; Stanford Medicine</t>
  </si>
  <si>
    <t>Large Language Models in Healthcare and Medical Domain: A Review</t>
  </si>
  <si>
    <t>INFORMATICS-BASEL</t>
  </si>
  <si>
    <t>large language model; healthcare; medicine; natural language generation; natural language processing; machine learning applications; ChatGPT; generative AI; medical AI</t>
  </si>
  <si>
    <t>Peng, Wei/IQW-7233-2023; Al Nazi, Zabir/LBI-2180-2024</t>
  </si>
  <si>
    <t>Peng, Wei/0000-0002-2892-5764; Al Nazi, Zabir/0009-0007-2775-0732</t>
  </si>
  <si>
    <t>131</t>
  </si>
  <si>
    <t>284</t>
  </si>
  <si>
    <t>333</t>
  </si>
  <si>
    <t>71</t>
  </si>
  <si>
    <t>2227-9709</t>
  </si>
  <si>
    <t>Informatics-Basel</t>
  </si>
  <si>
    <t>SEP 2024</t>
  </si>
  <si>
    <t>57</t>
  </si>
  <si>
    <t>10.3390/informatics11030057</t>
  </si>
  <si>
    <t>http://dx.doi.org/10.3390/informatics11030057</t>
  </si>
  <si>
    <t>23</t>
  </si>
  <si>
    <t>Computer Science, Interdisciplinary Applications</t>
  </si>
  <si>
    <t>Computer Science</t>
  </si>
  <si>
    <t>H5C3X</t>
  </si>
  <si>
    <t>WOS:001323615500001</t>
  </si>
  <si>
    <t>gold</t>
  </si>
  <si>
    <t>Bhayana, R</t>
  </si>
  <si>
    <t>Although chatbots have existed for decades, the emergence of transformer -based large language models (LLMs) has captivated the world through the most recent wave of artificial intelligence chatbots, including ChatGPT. Transformers are a type of neural network architecture that enables better contextual understanding of language and efficient training on massive amounts of unlabeled data, such as unstructured text from the internet. As LLMs have increased in size, their improved performance and emergent abilities have revolutionized natural language processing. Since language is integral to human thought, applications based on LLMs have transformative potential in many industries. In fact, LLM-based chatbots have demonstrated human -level performance on many professional benchmarks, including in radiology. LLMs offer numerous clinical and research applications in radiology, several of which have been explored in the literature with encouraging results. Multimodal LLMs can simultaneously interpret text and images to generate reports, closely mimicking current diagnostic pathways in radiology. Thus, from requisition to report, LLMs have the opportunity to positively impact nearly every step of the radiology journey. Yet, these impressive models are not without limitations. This article reviews the limitations of LLMs and mitigation strategies, as well as potential uses of LLMs, including multimodal models. Also reviewed are existing LLM-based applications that can enhance efficiency in supervised settings. (c) RSNA, 2024</t>
  </si>
  <si>
    <t>Bhayana, Rajesh</t>
  </si>
  <si>
    <t>Bhayana, R (corresponding author), Univ Toronto, Toronto Gen Hosp, Univ Med Imaging Toronto, Joint Dept Med Imaging Univ Hlth Network Mt Sinai, 200 Elizabeth St,Peter Munk Bldg,1st Fl, Toronto, ON M5G 2C4, Canada.</t>
  </si>
  <si>
    <t>rajesh.bhayana@uhn.ca</t>
  </si>
  <si>
    <t>[Bhayana, Rajesh] Univ Toronto, Toronto Gen Hosp, Univ Med Imaging Toronto, Joint Dept Med Imaging Univ Hlth Network Mt Sinai, 200 Elizabeth St,Peter Munk Bldg,1st Fl, Toronto, ON M5G 2C4, Canada</t>
  </si>
  <si>
    <t>University of Toronto; University Health Network Toronto; Toronto General Hospital</t>
  </si>
  <si>
    <t>Chatbots and Large Language Models in Radiology: A Practical Primer for Clinical and Research Applications</t>
  </si>
  <si>
    <t>RADIOLOGY</t>
  </si>
  <si>
    <t>APPROPRIATENESS CRITERIA; AI</t>
  </si>
  <si>
    <t>Bhayana, Rajesh/LGY-4446-2024</t>
  </si>
  <si>
    <t>Bhayana, Rajesh/0000-0002-8352-7953</t>
  </si>
  <si>
    <t>72</t>
  </si>
  <si>
    <t>279</t>
  </si>
  <si>
    <t>307</t>
  </si>
  <si>
    <t>164</t>
  </si>
  <si>
    <t>RADIOLOGICAL SOC NORTH AMERICA (RSNA)</t>
  </si>
  <si>
    <t>OAK BROOK</t>
  </si>
  <si>
    <t>820 JORIE BLVD, SUITE 200, OAK BROOK, ILLINOIS, UNITED STATES</t>
  </si>
  <si>
    <t>0033-8419</t>
  </si>
  <si>
    <t>1527-1315</t>
  </si>
  <si>
    <t>Radiology</t>
  </si>
  <si>
    <t>JAN 2024</t>
  </si>
  <si>
    <t>310</t>
  </si>
  <si>
    <t>e232756</t>
  </si>
  <si>
    <t>10.1148/radiol.232756</t>
  </si>
  <si>
    <t>http://dx.doi.org/10.1148/radiol.232756</t>
  </si>
  <si>
    <t>Radiology, Nuclear Medicine &amp; Medical Imaging</t>
  </si>
  <si>
    <t>LL0R4</t>
  </si>
  <si>
    <t>38226883</t>
  </si>
  <si>
    <t>WOS:001186842800006</t>
  </si>
  <si>
    <t>30</t>
  </si>
  <si>
    <t>Haltaufderheide, J; Ranisch, R</t>
  </si>
  <si>
    <t>With the introduction of ChatGPT, Large Language Models (LLMs) have received enormous attention in healthcare. Despite potential benefits, researchers have underscored various ethical implications. While individual instances have garnered attention, a systematic and comprehensive overview of practical applications currently researched and ethical issues connected to them is lacking. Against this background, this work maps the ethical landscape surrounding the current deployment of LLMs in medicine and healthcare through a systematic review. Electronic databases and preprint servers were queried using a comprehensive search strategy which generated 796 records. Studies were screened and extracted following a modified rapid review approach. Methodological quality was assessed using a hybrid approach. For 53 records, a meta-aggregative synthesis was performed. Four general fields of applications emerged showcasing a dynamic exploration phase. Advantages of using LLMs are attributed to their capacity in data analysis, information provisioning, support in decision-making or mitigating information loss and enhancing information accessibility. However, our study also identifies recurrent ethical concerns connected to fairness, bias, non-maleficence, transparency, and privacy. A distinctive concern is the tendency to produce harmful or convincing but inaccurate content. Calls for ethical guidance and human oversight are recurrent. We suggest that the ethical guidance debate should be reframed to focus on defining what constitutes acceptable human oversight across the spectrum of applications. This involves considering the diversity of settings, varying potentials for harm, and different acceptable thresholds for performance and certainty in healthcare. Additionally, critical inquiry is needed to evaluate the necessity and justification of LLMs' current experimental use.</t>
  </si>
  <si>
    <t>Haltaufderheide, Joschka; Ranisch, Robert</t>
  </si>
  <si>
    <t>Ranisch, R (corresponding author), Univ Potsdam, Fac Hlth Sci Brandenburg, Muhlenberg 9, D-14476 Potsdam, Germany.</t>
  </si>
  <si>
    <t>ranisch@uni-potsdam.de</t>
  </si>
  <si>
    <t>Volkswagen Foundation (VolkswagenStiftung) [9B233]; VolkswagenStiftung as part of the Digital Medical Ethics Network</t>
  </si>
  <si>
    <t>Volkswagen Foundation (VolkswagenStiftung); VolkswagenStiftung as part of the Digital Medical Ethics Network</t>
  </si>
  <si>
    <t>This study was funded by the VolkswagenStiftung as part of the Digital Medical Ethics Network (grant number 9B233). The funder played no role in study design, data collection, analysis and interpretation of data, or the writing of this manuscript. Figure 1 and Fig. 2 created with BioRender.com</t>
  </si>
  <si>
    <t>[Haltaufderheide, Joschka; Ranisch, Robert] Univ Potsdam, Fac Hlth Sci Brandenburg, Muhlenberg 9, D-14476 Potsdam, Germany</t>
  </si>
  <si>
    <t>University of Potsdam</t>
  </si>
  <si>
    <t>The ethics of ChatGPT in medicine and healthcare: a systematic review on Large Language Models (LLMs)</t>
  </si>
  <si>
    <t>ARTIFICIAL-INTELLIGENCE; FUTURE</t>
  </si>
  <si>
    <t>Haltaufderheide, Joschka/AAZ-5661-2021; Ranisch, Robert/HGE-5304-2022</t>
  </si>
  <si>
    <t>Haltaufderheide, Joschka/0000-0002-5014-4593; Ranisch, Robert/0000-0002-1676-1694</t>
  </si>
  <si>
    <t>100</t>
  </si>
  <si>
    <t>273</t>
  </si>
  <si>
    <t>321</t>
  </si>
  <si>
    <t>87</t>
  </si>
  <si>
    <t>JUL 8 2024</t>
  </si>
  <si>
    <t>183</t>
  </si>
  <si>
    <t>10.1038/s41746-024-01157-x</t>
  </si>
  <si>
    <t>http://dx.doi.org/10.1038/s41746-024-01157-x</t>
  </si>
  <si>
    <t>XW7G1</t>
  </si>
  <si>
    <t>38977771</t>
  </si>
  <si>
    <t>WOS:001264773400001</t>
  </si>
  <si>
    <t>58</t>
  </si>
  <si>
    <t>Tian, SB; Jin, Q; Yeganova, L; Lai, PT; Zhu, QQ; Chen, XY; Yang, YF; Chen, QY; Kim, W; Comeau, DC; Islamaj, R; Kapoor, A; Gao, X; Lu, ZY</t>
  </si>
  <si>
    <t>ChatGPT has drawn considerable attention from both the general public and domain experts with its remarkable text generation capabilities. This has subsequently led to the emergence of diverse applications in the field of biomedicine and health. In this work, we examine the diverse applications of large language models (LLMs), such as ChatGPT, in biomedicine and health. Specifically, we explore the areas of biomedical information retrieval, question answering, medical text summarization, information extraction and medical education and investigate whether LLMs possess the transformative power to revolutionize these tasks or whether the distinct complexities of biomedical domain presents unique challenges. Following an extensive literature survey, we find that significant advances have been made in the field of text generation tasks, surpassing the previous state-of-the-art methods. For other applications, the advances have been modest. Overall, LLMs have not yet revolutionized biomedicine, but recent rapid progress indicates that such methods hold great potential to provide valuable means for accelerating discovery and improving health. We also find that the use of LLMs, like ChatGPT, in the fields of biomedicine and health entails various risks and challenges, including fabricated information in its generated responses, as well as legal and privacy concerns associated with sensitive patient data. We believe this survey can provide a comprehensive and timely overview to biomedical researchers and healthcare practitioners on the opportunities and challenges associated with using ChatGPT and other LLMs for transforming biomedicine and health.</t>
  </si>
  <si>
    <t>Tian, Shubo; Jin, Qiao; Yeganova, Lana; Lai, Po-Ting; Zhu, Qingqing; Chen, Xiuying; Yang, Yifan; Chen, Qingyu; Kim, Won; Comeau, Donald C.; Islamaj, Rezarta; Kapoor, Aadit; Gao, Xin; Lu, Zhiyong</t>
  </si>
  <si>
    <t>Lu, ZY (corresponding author), Natl Ctr Biotechnol Informat, NIH, Natl Lib Med, Bethesda, MD 20894 USA.</t>
  </si>
  <si>
    <t>qiao.jin@nih.gov; zhiyong.lu@nih.gov; Rezarta.Islamaj@nih.gov; po-ting.lai@nih.gov; yifan.yang3@nih.gov; yeganova@ncbi.nlm.nih.gov; xin.gao@kaust.edu.sa; qingqing.zhu@nih.gov; qingyu.chen@nih.gov; aadit.kapoor@nih.gov; shubo.tian@nih.gov; xiuying.chen@kaust.edu.sa; comeau@ncbi.nlm.nih.gov; wonkim@ncbi.nlm.nih.gov</t>
  </si>
  <si>
    <t>NIH Intramural Research Program (IRP), National Library of Medicine; National Library of Medicine of the National Institutes of Health [1K99LM014024]</t>
  </si>
  <si>
    <t>NIH Intramural Research Program (IRP), National Library of Medicine; National Library of Medicine of the National Institutes of Health</t>
  </si>
  <si>
    <t>This research was supported by the NIH Intramural Research Program (IRP), National Library of Medicine. Q.C. was also supported by the National Library of Medicine of the National Institutes of Health [under grant number 1K99LM014024].</t>
  </si>
  <si>
    <t>[Lu, Zhiyong] Natl Ctr Biotechnol Informat, NIH, Natl Lib Med, Bethesda, MD 20894 USA; [Tian, Shubo; Jin, Qiao; Lai, Po-Ting; Yang, Yifan; Chen, Qingyu] Natl Ctr Biotechnol Informat, Bethesda, MD USA; [Yeganova, Lana] NLM, NIH, Bethesda, MD USA; [Zhu, Qingqing] NIH, Bethesda, MD USA; [Chen, Xiuying; Gao, Xin] King Abdullah Univ Sci &amp; Technol KAUST, Thuwal, Saudi Arabia; [Kim, Won; Comeau, Donald C.; Islamaj, Rezarta] Natl Lib Med, Bethesda, MD USA; [Kapoor, Aadit] NIH IPR, Bethesda, MD USA; [Lu, Zhiyong] NCBI NL, Literature Search, text Min &amp; machine learning Res, Bethesda, MD USA; [Lu, Zhiyong] NCBI NL, Literature Search, R&amp;D efforts improve informat access literature dat, Bethesda, MD USA</t>
  </si>
  <si>
    <t>National Institutes of Health (NIH) - USA; NIH National Library of Medicine (NLM); National Institutes of Health (NIH) - USA; NIH National Library of Medicine (NLM); National Institutes of Health (NIH) - USA; King Abdullah University of Science &amp; Technology; National Institutes of Health (NIH) - USA; NIH National Library of Medicine (NLM)</t>
  </si>
  <si>
    <t>Opportunities and challenges for ChatGPT and large language models in biomedicine and health</t>
  </si>
  <si>
    <t>BRIEFINGS IN BIOINFORMATICS</t>
  </si>
  <si>
    <t>ChatGPT; large language model; generative AI; biomedicine and health; opportunities and challenges</t>
  </si>
  <si>
    <t>CORPUS; BIAS</t>
  </si>
  <si>
    <t>Lu, Zhiyong/H-3622-2016; Lai, Po-Ting/JGM-5295-2023; Gao, Xin/D-5487-2013; Tian, Shubo/IUM-9379-2023; Chen, Xiuying/ISU-7033-2023</t>
  </si>
  <si>
    <t>Lai, Po-Ting/0000-0003-2025-318X; Gao, Xin/0000-0002-7108-3574; Jin, Qiao/0000-0002-1268-7239; Tian, Shubo/0000-0001-6415-1439</t>
  </si>
  <si>
    <t>265</t>
  </si>
  <si>
    <t>303</t>
  </si>
  <si>
    <t>281</t>
  </si>
  <si>
    <t>OXFORD UNIV PRESS</t>
  </si>
  <si>
    <t>OXFORD</t>
  </si>
  <si>
    <t>GREAT CLARENDON ST, OXFORD OX2 6DP, ENGLAND</t>
  </si>
  <si>
    <t>1467-5463</t>
  </si>
  <si>
    <t>1477-4054</t>
  </si>
  <si>
    <t>BRIEF BIOINFORM</t>
  </si>
  <si>
    <t>Brief. Bioinform.</t>
  </si>
  <si>
    <t>25</t>
  </si>
  <si>
    <t>bbad493</t>
  </si>
  <si>
    <t>10.1093/bib/bbad493</t>
  </si>
  <si>
    <t>http://dx.doi.org/10.1093/bib/bbad493</t>
  </si>
  <si>
    <t>Biochemical Research Methods; Mathematical &amp; Computational Biology</t>
  </si>
  <si>
    <t>Biochemistry &amp; Molecular Biology; Mathematical &amp; Computational Biology</t>
  </si>
  <si>
    <t>JL6Y9</t>
  </si>
  <si>
    <t>38168838</t>
  </si>
  <si>
    <t>WOS:001173375300024</t>
  </si>
  <si>
    <t>24</t>
  </si>
  <si>
    <t>Yang, R; Tan, TF; Lu, W; Thirunavukarasu, AJ; Ting, DSW; Liu, N</t>
  </si>
  <si>
    <t>Recently, the emergence of ChatGPT, an artificial intelligence chatbot developed by OpenAI, has attracted significant attention due to its exceptional language comprehension and content generation capabilities, highlighting the immense potential of large language models (LLMs). LLMs have become a burgeoning hotspot across many fields, including health care. Within health care, LLMs may be classified into LLMs for the biomedical domain and LLMs for the clinical domain based on the corpora used for pre-training. In the last 3 years, these domain-specific LLMs have demonstrated exceptional performance on multiple natural language processing tasks, surpassing the performance of general LLMs as well. This not only emphasizes the significance of developing dedicated LLMs for the specific domains, but also raises expectations for their applications in health care. We believe that LLMs may be used widely in preconsultation, diagnosis, and management, with appropriate development and supervision. Additionally, LLMs hold tremendous promise in assisting with medical education, medical writing and other related applications. Likewise, health care systems must recognize and address the challenges posed by LLMs.The advancement of large language models (LLMs) promises to bring significant changes in health care, with extensive applications spanning pre-consultation, diagnostic, and management phases. Moreover, LLMs hold potential utility in medical education and medical writing. Concurrently, it is imperative to recognize the limitations of LLMs, strengthen review measures and enhance supervision system, thereby facilitating more effective collaboration between related personnel and LLMs. image</t>
  </si>
  <si>
    <t>Yang, Rui; Tan, Ting Fang; Lu, Wei; Thirunavukarasu, Arun James; Ting, Daniel Shu Wei; Liu, Nan</t>
  </si>
  <si>
    <t>Liu, N (corresponding author), Duke NUS Med Sch, Ctr Quantitat Med, 8 Coll Rd, Singapore 169857, Singapore.</t>
  </si>
  <si>
    <t>liu.nan@duke-nus.edu.sg</t>
  </si>
  <si>
    <t>Not applicable.</t>
  </si>
  <si>
    <t>[Yang, Rui] Natl Univ Singapore, Yong Loo Lin Sch Med, Dept Biomed Informat, Singapore, Singapore; [Tan, Ting Fang; Ting, Daniel Shu Wei] Singapore Natl Eye Ctr, Singapore Eye Res Inst, Singapore Hlth Serv, Singapore, Singapore; [Lu, Wei] Singapore Univ Technol &amp; Design, StatNLP Res Grp, Singapore, Singapore; [Thirunavukarasu, Arun James] Univ Cambridge, Sch Clin Med, Cambridge, England; [Ting, Daniel Shu Wei; Liu, Nan] Duke NUS Med Sch, Ctr Quantitat Med, 8 Coll Rd, Singapore 169857, Singapore; [Liu, Nan] Duke NUS Med Sch, Programme Hlth Serv &amp; Syst Res, Singapore, Singapore</t>
  </si>
  <si>
    <t>National University of Singapore; Singapore National Eye Center; National University of Singapore; Singapore University of Technology &amp; Design; University of Cambridge; National University of Singapore; National University of Singapore</t>
  </si>
  <si>
    <t>Large language models in health care: Development, applications, and challenges</t>
  </si>
  <si>
    <t>HEALTH CARE SCIENCE</t>
  </si>
  <si>
    <t>Large language model; AI; Health care</t>
  </si>
  <si>
    <t>STUDENT; CHATGPT</t>
  </si>
  <si>
    <t>Ting, Daniel/QOC-0597-2026; Liu, Nan/HCS-2632-2022; Thirunavukarasu, Arun/ABC-0806-2022; Lu, Wei/AHA-5606-2022</t>
  </si>
  <si>
    <t>Liu, Nan/0000-0003-3610-4883; YANG, RUI/0009-0006-0597-7197; Thirunavukarasu, Arun/0000-0001-8968-4768; Lu, Wei/0000-0003-0827-0382</t>
  </si>
  <si>
    <t>64</t>
  </si>
  <si>
    <t>261</t>
  </si>
  <si>
    <t>298</t>
  </si>
  <si>
    <t>68</t>
  </si>
  <si>
    <t>WILEY</t>
  </si>
  <si>
    <t>HOBOKEN</t>
  </si>
  <si>
    <t>111 RIVER ST, HOBOKEN 07030-5774, NJ USA</t>
  </si>
  <si>
    <t>2771-1749</t>
  </si>
  <si>
    <t>2771-1757</t>
  </si>
  <si>
    <t>HEALTH CARE SCI</t>
  </si>
  <si>
    <t>Health Care Sci.</t>
  </si>
  <si>
    <t>255</t>
  </si>
  <si>
    <t>263</t>
  </si>
  <si>
    <t>10.1002/hcs2.61</t>
  </si>
  <si>
    <t>http://dx.doi.org/10.1002/hcs2.61</t>
  </si>
  <si>
    <t>C9V8E</t>
  </si>
  <si>
    <t>38939520</t>
  </si>
  <si>
    <t>WOS:001292774500007</t>
  </si>
  <si>
    <t>41</t>
  </si>
  <si>
    <t>Omiye, JA; Gui, HW; Rezaei, SJ; Zou, J; Daneshjou, R</t>
  </si>
  <si>
    <t>Large language models (LLMs) are artificial intelligence models trained on vast text data to generate humanlike outputs. They have been applied to various tasks in health care, ranging from answering medical examination questions to generating clinical reports. With increasing institutional partnerships between companies producing LLMs and health systems, the real-world clinical application of these models is nearing realization. As these models gain traction, health care practitioners must understand what LLMs are, their development, their current and potential applications, and the associated pitfalls in a medical setting. This review, coupled with a tutorial, provides a comprehensive yet accessible overview of these areas with the aim of familiarizing health care professionals with the rapidly changing landscape of LLMs in medicine. Furthermore, the authors highlight active research areas in the field that promise to improve LLMs' usability in health care contexts.</t>
  </si>
  <si>
    <t>Omiye, Jesutofunmi A.; Gui, Haiwen; Rezaei, Shawheen J.; Zou, James; Daneshjou, Roxana</t>
  </si>
  <si>
    <t>Daneshjou, R (corresponding author), 1265 Welch Rd,MSOB West Wing,Third Floor, Stanford, CA 94305 USA.</t>
  </si>
  <si>
    <t>roxanad@stanford.edu</t>
  </si>
  <si>
    <t>NIA NIH HHS [P30 AG059307] Funding Source: Medline</t>
  </si>
  <si>
    <t>NIA NIH HHS (United States Department of Health &amp; Human Services, National Institutes of Health (NIH) - USA, NIH National Institute on Aging (NIA))</t>
  </si>
  <si>
    <t>[Omiye, Jesutofunmi A.; Gui, Haiwen; Rezaei, Shawheen J.; Daneshjou, Roxana] Stanford Univ, Dept Dermatol, Stanford, CA USA; [Omiye, Jesutofunmi A.; Zou, James; Daneshjou, Roxana] Stanford Univ, Dept Biomed Data Sci, Stanford, CA USA; [Daneshjou, Roxana] 1265 Welch Rd,MSOB West Wing,Third Floor, Stanford, CA 94305 USA</t>
  </si>
  <si>
    <t>Stanford University; Stanford Medicine; Stanford University</t>
  </si>
  <si>
    <t>Large Language Models in Medicine: The Potentials and Pitfalls A Narrative Review</t>
  </si>
  <si>
    <t>ANNALS OF INTERNAL MEDICINE</t>
  </si>
  <si>
    <t>Daneshjou, Roxana/ABE-7764-2021</t>
  </si>
  <si>
    <t>Daneshjou, Roxana/0000-0001-7988-9356; Rezaei, Shawheen/0000-0002-4394-7371; Gui, Haiwen/0000-0003-0564-940X</t>
  </si>
  <si>
    <t>73</t>
  </si>
  <si>
    <t>254</t>
  </si>
  <si>
    <t>304</t>
  </si>
  <si>
    <t>142</t>
  </si>
  <si>
    <t>AMER COLL PHYSICIANS</t>
  </si>
  <si>
    <t>PHILADELPHIA</t>
  </si>
  <si>
    <t>INDEPENDENCE MALL WEST 6TH AND RACE ST, PHILADELPHIA, PA 19106-1572, UNITED STATES</t>
  </si>
  <si>
    <t>0003-4819</t>
  </si>
  <si>
    <t>1539-3704</t>
  </si>
  <si>
    <t>ANN INTERN MED</t>
  </si>
  <si>
    <t>Ann. Intern. Med.</t>
  </si>
  <si>
    <t>FEB 2024</t>
  </si>
  <si>
    <t>10.7326/M23-2772</t>
  </si>
  <si>
    <t>http://dx.doi.org/10.7326/M23-2772</t>
  </si>
  <si>
    <t>JR7X4</t>
  </si>
  <si>
    <t>38285984</t>
  </si>
  <si>
    <t>WOS:001156408300001</t>
  </si>
  <si>
    <t>34</t>
  </si>
  <si>
    <t>Ullah, E; Parwani, A; Baig, MM; Singh, R</t>
  </si>
  <si>
    <t>BackgroundThe integration of large language models (LLMs) like ChatGPT in diagnostic medicine, with a focus on digital pathology, has garnered significant attention. However, understanding the challenges and barriers associated with the use of LLMs in this context is crucial for their successful implementation.MethodsA scoping review was conducted to explore the challenges and barriers of using LLMs, in diagnostic medicine with a focus on digital pathology. A comprehensive search was conducted using electronic databases, including PubMed and Google Scholar, for relevant articles published within the past four years. The selected articles were critically analyzed to identify and summarize the challenges and barriers reported in the literature.ResultsThe scoping review identified several challenges and barriers associated with the use of LLMs in diagnostic medicine. These included limitations in contextual understanding and interpretability, biases in training data, ethical considerations, impact on healthcare professionals, and regulatory concerns. Contextual understanding and interpretability challenges arise due to the lack of true understanding of medical concepts and lack of these models being explicitly trained on medical records selected by trained professionals, and the black-box nature of LLMs. Biases in training data pose a risk of perpetuating disparities and inaccuracies in diagnoses. Ethical considerations include patient privacy, data security, and responsible AI use. The integration of LLMs may impact healthcare professionals' autonomy and decision-making abilities. Regulatory concerns surround the need for guidelines and frameworks to ensure safe and ethical implementation.ConclusionThe scoping review highlights the challenges and barriers of using LLMs in diagnostic medicine with a focus on digital pathology. Understanding these challenges is essential for addressing the limitations and developing strategies to overcome barriers. It is critical for health professionals to be involved in the selection of data and fine tuning of the models. Further research, validation, and collaboration between AI developers, healthcare professionals, and regulatory bodies are necessary to ensure the responsible and effective integration of LLMs in diagnostic medicine.</t>
  </si>
  <si>
    <t>Ullah, Ehsan; Parwani, Anil; Baig, Mirza Mansoor; Singh, Rajendra</t>
  </si>
  <si>
    <t>Singh, R (corresponding author), Summit Hlth, Dermatopathol &amp; Digital Pathol, Woodland Pk, NJ 07424 USA.</t>
  </si>
  <si>
    <t>skinpathology@gmail.com</t>
  </si>
  <si>
    <t>[Ullah, Ehsan] Whatu Ora Hlth New Zealand, Toka Tumai Auckland, Dept Pathol &amp; Lab Med, Anat Pathol, Auckland, New Zealand; [Parwani, Anil] Ohio State Univ, Wexner Med Ctr, Dept Pathol, Columbus, OH USA; [Baig, Mirza Mansoor] Orion Hlth, Hlth Intelligence, Auckland, New Zealand; [Singh, Rajendra] Summit Hlth, Dermatopathol &amp; Digital Pathol, Woodland Pk, NJ 07424 USA</t>
  </si>
  <si>
    <t>University System of Ohio; Ohio State University</t>
  </si>
  <si>
    <t>Challenges and barriers of using large language models (LLM) such as ChatGPT for diagnostic medicine with a focus on digital pathology - a recent scoping review</t>
  </si>
  <si>
    <t>DIAGNOSTIC PATHOLOGY</t>
  </si>
  <si>
    <t>Large learning models; LLMs; ChatGPT; Challenges and barriers of using LLMs; AI; ML; Diagnostic medicine; Pathology; Digital pathology</t>
  </si>
  <si>
    <t>Baig, Mirza/AAY-4555-2020; Ullah, Ehsan/J-3669-2019; Parwani, Anil/AAH-5464-2020</t>
  </si>
  <si>
    <t>SINGH, RAJENDRA/0000-0003-4420-5561; Ullah, Ehsan/0000-0001-6470-3731; Parwani, Anil/0009-0007-7224-6682</t>
  </si>
  <si>
    <t>231</t>
  </si>
  <si>
    <t>262</t>
  </si>
  <si>
    <t>19</t>
  </si>
  <si>
    <t>134</t>
  </si>
  <si>
    <t>BMC</t>
  </si>
  <si>
    <t>CAMPUS, 4 CRINAN ST, LONDON N1 9XW, ENGLAND</t>
  </si>
  <si>
    <t>1746-1596</t>
  </si>
  <si>
    <t>DIAGN PATHOL</t>
  </si>
  <si>
    <t>Diagn. Pathol.</t>
  </si>
  <si>
    <t>FEB 27 2024</t>
  </si>
  <si>
    <t>43</t>
  </si>
  <si>
    <t>10.1186/s13000-024-01464-7</t>
  </si>
  <si>
    <t>http://dx.doi.org/10.1186/s13000-024-01464-7</t>
  </si>
  <si>
    <t>Pathology</t>
  </si>
  <si>
    <t>JP0X0</t>
  </si>
  <si>
    <t>38414074</t>
  </si>
  <si>
    <t>WOS:001174262700001</t>
  </si>
  <si>
    <t>Shool, S; Adimi, S; Amleshi, RS; Bitaraf, E; Golpira, R; Tara, M</t>
  </si>
  <si>
    <t>BackgroundLarge Language Models (LLMs), advanced AI tools based on transformer architectures, demonstrate significant potential in clinical medicine by enhancing decision support, diagnostics, and medical education. However, their integration into clinical workflows requires rigorous evaluation to ensure reliability, safety, and ethical alignment.ObjectiveThis systematic review examines the evaluation parameters and methodologies applied to LLMs in clinical medicine, highlighting their capabilities, limitations, and application trends.MethodsA comprehensive review of the literature was conducted across PubMed, Scopus, Web of Science, IEEE Xplore, and arXiv databases, encompassing both peer-reviewed and preprint studies. Studies were screened against predefined inclusion and exclusion criteria to identify original research evaluating LLM performance in medical contexts.ResultsThe results reveal a growing interest in leveraging LLM tools in clinical settings, with 761 studies meeting the inclusion criteria. While general-domain LLMs, particularly ChatGPT and GPT-4, dominated evaluations (93.55%), medical-domain LLMs accounted for only 6.45%. Accuracy emerged as the most commonly assessed parameter (21.78%). Despite these advancements, the evidence base highlights certain limitations and biases across the included studies, emphasizing the need for careful interpretation and robust evaluation frameworks.ConclusionsThe exponential growth in LLM research underscores their transformative potential in healthcare. However, addressing challenges such as ethical risks, evaluation variability, and underrepresentation of critical specialties will be essential. Future efforts should prioritize standardized frameworks to ensure safe, effective, and equitable LLM integration in clinical practice.</t>
  </si>
  <si>
    <t>Shool, Sina; Adimi, Sara; Amleshi, Reza Saboori; Bitaraf, Ehsan; Golpira, Reza; Tara, Mahmood</t>
  </si>
  <si>
    <t>Tara, M (corresponding author), Iran Univ Med Sci, Ctr Technol &amp; Innovat Cardiovasc Informat, Rajaie Cardiovasc Med &amp; Res Ctr, Tehran, Iran.; Tara, M (corresponding author), Iran Univ Med Sci, Rajaie Cardiovasc Med &amp; Res Ctr, Tehran 1995614331, Iran.</t>
  </si>
  <si>
    <t>Golpira@gmail.com; sara_adimi@yahoo.com; Reza74rsa@gmail.com; shoolsina@gmail.com; smtara@gmail.com; ehsan.bitaraf@gmail.com</t>
  </si>
  <si>
    <t>[Shool, Sina; Amleshi, Reza Saboori; Bitaraf, Ehsan; Tara, Mahmood] Iran Univ Med Sci, Ctr Technol &amp; Innovat Cardiovasc Informat, Rajaie Cardiovasc Med &amp; Res Ctr, Tehran, Iran; [Adimi, Sara; Golpira, Reza; Tara, Mahmood] Iran Univ Med Sci, Rajaie Cardiovasc Med &amp; Res Ctr, Tehran 1995614331, Iran</t>
  </si>
  <si>
    <t>Iran University of Medical Sciences; Iran University of Medical Sciences</t>
  </si>
  <si>
    <t>A systematic review of large language model (LLM) evaluations in clinical medicine</t>
  </si>
  <si>
    <t>BMC MEDICAL INFORMATICS AND DECISION MAKING</t>
  </si>
  <si>
    <t>Systematic review; Large language models; LLM evaluation; Clinical medicine; Artificial intelligence in medicine; Deep learning in healthcare; Natural language processing</t>
  </si>
  <si>
    <t>Bitaraf, Ehsan/JHU-6829-2023; Shool, Sina/GLS-3747-2022</t>
  </si>
  <si>
    <t>226</t>
  </si>
  <si>
    <t>252</t>
  </si>
  <si>
    <t>244</t>
  </si>
  <si>
    <t>1472-6947</t>
  </si>
  <si>
    <t>BMC MED INFORM DECIS</t>
  </si>
  <si>
    <t>BMC Med. Inform. Decis. Mak.</t>
  </si>
  <si>
    <t>MAR 7 2025</t>
  </si>
  <si>
    <t>117</t>
  </si>
  <si>
    <t>10.1186/s12911-025-02954-4</t>
  </si>
  <si>
    <t>http://dx.doi.org/10.1186/s12911-025-02954-4</t>
  </si>
  <si>
    <t>Medical Informatics</t>
  </si>
  <si>
    <t>1CF6M</t>
  </si>
  <si>
    <t>40055694</t>
  </si>
  <si>
    <t>WOS:001461570300001</t>
  </si>
  <si>
    <t>gold; Green Submitted; Green Accepted</t>
  </si>
  <si>
    <t>56</t>
  </si>
  <si>
    <t>Wornow, M; Xu, YZ; Thapa, R; Patel, B; Steinberg, E; Fleming, S; Pfeffer, MA; Fries, J; Shah, NH</t>
  </si>
  <si>
    <t>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</si>
  <si>
    <t>Wornow, Michael; Xu, Yizhe; Thapa, Rahul; Patel, Birju; Steinberg, Ethan; Fleming, Scott; Pfeffer, Michael A.; Fries, Jason; Shah, Nigam H.</t>
  </si>
  <si>
    <t>Wornow, M (corresponding author), Stanford Univ, Dept Comp Sci, Stanford, CA 94305 USA.</t>
  </si>
  <si>
    <t>mwornow@stanford.edu</t>
  </si>
  <si>
    <t>NSF Graduate Research Fellowship; Stanford Medicine</t>
  </si>
  <si>
    <t>NSF Graduate Research Fellowship (National Science Foundation (NSF)); Stanford Medicine (Stanford University)</t>
  </si>
  <si>
    <t>M.W. is supported by an NSF Graduate Research Fellowship. M.W., Y.X., R.T., J.F., E.S., S.F., M.A.P., and N.H.S. also acknowledge support from Stanford Medicine for this research.</t>
  </si>
  <si>
    <t>[Wornow, Michael; Steinberg, Ethan] Stanford Univ, Dept Comp Sci, Stanford, CA 94305 USA; [Xu, Yizhe; Thapa, Rahul; Patel, Birju; Fleming, Scott; Pfeffer, Michael A.; Fries, Jason; Shah, Nigam H.] Stanford Univ, Ctr Biomed Informat Res, Sch Med, Stanford, CA USA; [Pfeffer, Michael A.; Shah, Nigam H.] Stanford Hlth Care, Technol &amp; Digital Serv, Palo Alto, CA USA; [Shah, Nigam H.] Stanford Univ, Dept Med, Sch Med, Stanford, CA USA; [Shah, Nigam H.] Stanford Univ, Clin Excellence Res Ctr, Sch Med, Stanford, CA USA</t>
  </si>
  <si>
    <t>Stanford University; Stanford University; Stanford Medicine; Stanford University; Stanford Medicine; Stanford Medicine; Stanford University; Stanford Medicine; Stanford University</t>
  </si>
  <si>
    <t>The shaky foundations of large language models and foundation models for electronic health records</t>
  </si>
  <si>
    <t>BIAS</t>
  </si>
  <si>
    <t>Fries, Jason/AAN-4224-2020; Shah, Nigam/A-9752-2008</t>
  </si>
  <si>
    <t>Fleming, Scott/0000-0002-6047-7877; Fries, Jason/0000-0001-9316-5768; Shah, Nigam/0000-0001-9385-7158; Patel, Birju/0000-0001-7673-6143; Wornow, Michael/0000-0003-2215-6527; Steinberg, Ethan/0000-0001-7166-5032; Pfeffer, Michael/0000-0002-8958-0843</t>
  </si>
  <si>
    <t>106</t>
  </si>
  <si>
    <t>222</t>
  </si>
  <si>
    <t>268</t>
  </si>
  <si>
    <t>JUL 29 2023</t>
  </si>
  <si>
    <t>135</t>
  </si>
  <si>
    <t>10.1038/s41746-023-00879-8</t>
  </si>
  <si>
    <t>http://dx.doi.org/10.1038/s41746-023-00879-8</t>
  </si>
  <si>
    <t>N7WI7</t>
  </si>
  <si>
    <t>37516790</t>
  </si>
  <si>
    <t>WOS:001039067300001</t>
  </si>
  <si>
    <t>Huang, HY; Zheng, O; Wang, DD; Yin, JY; Wang, ZJ; Ding, SX; Yin, H; Xu, C; Yang, RJ; Zheng, Q; Shi, B</t>
  </si>
  <si>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</si>
  <si>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Huang, Hanyao; Zheng, Ou; Wang, Dongdong; Yin, Jiayi; Wang, Zijin; Ding, Shengxuan; Yin, Heng; Xu, Chuan; Yang, Renjie; Zheng, Qian; Shi, Bing</t>
  </si>
  <si>
    <t>Huang, HY (corresponding author), Sichuan Univ, West China Hosp Stomatol, State Key Lab Oral Dis, Chengdu, Peoples R China.; Huang, HY (corresponding author), Sichuan Univ, West China Hosp Stomatol, Natl Clin Res Ctr Oral Dis, Chengdu, Peoples R China.; Huang, HY (corresponding author), Sichuan Univ, West China Hosp Stomatol, Dept Oral &amp; Maxillofacial Surg, Chengdu, Peoples R China.; Zheng, O (corresponding author), Univ Cent Florida, Dept Civil Environm &amp; Construct Engn, Orlando, FL 32816 USA.</t>
  </si>
  <si>
    <t>huanghanyao_cn@scu.edu.cn; ouzheng1993@knights.ucf.edu</t>
  </si>
  <si>
    <t>Research and Development Program; West China Hospital of Stomatology; Sichuan University [RD-02-202107]; Sichuan Province Science and Technology Support Program [2022NSFSC0743]; Sichuan Post-doctoral Science Foundation [TB2022005]</t>
  </si>
  <si>
    <t>Research and Development Program; West China Hospital of Stomatology; Sichuan University (Sichuan University); Sichuan Province Science and Technology Support Program; Sichuan Post-doctoral Science Foundation</t>
  </si>
  <si>
    <t>This work was supported by the Research and Development Program, West China Hospital of Stomatology, Sichuan University (RD-02-202107), Sichuan Province Science and Technology Support Program (2022NSFSC0743), and Sichuan Post-doctoral Science Foundation (TB2022005) grant to H. Huang.</t>
  </si>
  <si>
    <t>[Huang, Hanyao; Yin, Jiayi; Yin, Heng; Zheng, Qian; Shi, Bing] Sichuan Univ, West China Hosp Stomatol, State Key Lab Oral Dis, Chengdu, Peoples R China; [Huang, Hanyao; Yin, Jiayi; Yin, Heng; Zheng, Qian; Shi, Bing] Sichuan Univ, West China Hosp Stomatol, Natl Clin Res Ctr Oral Dis, Chengdu, Peoples R China; [Huang, Hanyao; Yin, Jiayi; Yin, Heng; Zheng, Qian; Shi, Bing] Sichuan Univ, West China Hosp Stomatol, Dept Oral &amp; Maxillofacial Surg, Chengdu, Peoples R China; [Zheng, Ou; Wang, Dongdong; Wang, Zijin] Univ Cent Florida, Dept Civil Environm &amp; Construct Engn, Orlando, FL 32816 USA; [Ding, Shengxuan] Univ Cent Florida, Coll Transportat Engn, Orlando, FL USA; [Xu, Chuan] Southwest Jiaotong Univ, Sch Transportat &amp; Logist, Chengdu, Peoples R China; [Xu, Chuan] NYU, Ctr C2SMART, Tandon Sch Engn, Brooklyn, NY USA; [Yang, Renjie] Sichuan Univ, West China Hosp Stomatol, State Key Lab Oral Dis, Chengdu, Peoples R China; [Yang, Renjie] Sichuan Univ, West China Hosp Stomatol, Natl Clin Res Ctr Oral Dis, Chengdu, Peoples R China; [Yang, Renjie] Sichuan Univ, West China Hosp Stomatol, Eastern Clin, Chengdu, Peoples R China</t>
  </si>
  <si>
    <t>Sichuan University; Sichuan University; Sichuan University; State University System of Florida; University of Central Florida; State University System of Florida; University of Central Florida; Southwest Jiaotong University; New York University; New York University Tandon School of Engineering; Sichuan University; Sichuan University; Sichuan University</t>
  </si>
  <si>
    <t>ChatGPT for shaping the future of dentistry: the potential of multi-modal large language model</t>
  </si>
  <si>
    <t>INTERNATIONAL JOURNAL OF ORAL SCIENCE</t>
  </si>
  <si>
    <t>DIAGNOSIS; OUTCOMES; RECORDS; CANCER</t>
  </si>
  <si>
    <t>ou, zheng/KFB-4644-2024; Huang, Hanyao/AAX-9478-2020; Xu, Xue/ISV-5954-2023; Wang, Zijin/GSN-3315-2022; Xu, C/A-5551-2013; ding, shengxuan/PLD-2086-2026; Wang, Dongdong/HNP-6923-2023; yin, jiayi/JTS-9726-2023</t>
  </si>
  <si>
    <t>Huang, Hanyao/0000-0002-6805-0157; Wang, Dongdong/0000-0001-7278-5415</t>
  </si>
  <si>
    <t>108</t>
  </si>
  <si>
    <t>280</t>
  </si>
  <si>
    <t>230</t>
  </si>
  <si>
    <t>1674-2818</t>
  </si>
  <si>
    <t>2049-3169</t>
  </si>
  <si>
    <t>INT J ORAL SCI</t>
  </si>
  <si>
    <t>Int. J. Oral Sci.</t>
  </si>
  <si>
    <t>JUL 28 2023</t>
  </si>
  <si>
    <t>10.1038/s41368-023-00239-y</t>
  </si>
  <si>
    <t>http://dx.doi.org/10.1038/s41368-023-00239-y</t>
  </si>
  <si>
    <t>Dentistry, Oral Surgery &amp; Medicine</t>
  </si>
  <si>
    <t>N8QY5</t>
  </si>
  <si>
    <t>37507396</t>
  </si>
  <si>
    <t>WOS:001039606900001</t>
  </si>
  <si>
    <t>Zhang, P; Boulos, MNK</t>
  </si>
  <si>
    <t>Generative AI (artificial intelligence) refers to algorithms and models, such as OpenAI's ChatGPT, that can be prompted to generate various types of content. In this narrative review, we present a selection of representative examples of generative AI applications in medicine and healthcare. We then briefly discuss some associated issues, such as trust, veracity, clinical safety and reliability, privacy, copyrights, ownership, and opportunities, e.g., AI-driven conversational user interfaces for friendlier human-computer interaction. We conclude that generative AI will play an increasingly important role in medicine and healthcare as it further evolves and gets better tailored to the unique settings and requirements of the medical domain and as the laws, policies and regulatory frameworks surrounding its use start taking shape.</t>
  </si>
  <si>
    <t>Zhang, Peng; Kamel Boulos, Maged N.</t>
  </si>
  <si>
    <t>Boulos, MNK (corresponding author), Univ Lisbon, Sch Med, P-1649028 Lisbon, Portugal.</t>
  </si>
  <si>
    <t>mnkboulos@ieee.org</t>
  </si>
  <si>
    <t>[Zhang, Peng] Vanderbilt Univ, Dept Comp Sci, Nashville, TN 37240 USA; [Zhang, Peng] Vanderbilt Univ, Data Sci Inst, Nashville, TN 37240 USA; [Kamel Boulos, Maged N.] Univ Lisbon, Sch Med, P-1649028 Lisbon, Portugal</t>
  </si>
  <si>
    <t>Vanderbilt University; Vanderbilt University; Universidade de Lisboa</t>
  </si>
  <si>
    <t>Generative AI in Medicine and Healthcare: Promises, Opportunities and Challenges</t>
  </si>
  <si>
    <t>FUTURE INTERNET</t>
  </si>
  <si>
    <t>generative AI; large language models; ChatGPT; artificial intelligence; medicine; healthcare; human health</t>
  </si>
  <si>
    <t>Kamel Boulos, Maged N/B-3728-2013; Zhang, Peng/LCD-8214-2024</t>
  </si>
  <si>
    <t>Kamel Boulos, Maged N/0000-0003-2400-6303</t>
  </si>
  <si>
    <t>93</t>
  </si>
  <si>
    <t>219</t>
  </si>
  <si>
    <t>247</t>
  </si>
  <si>
    <t>ST ALBAN-ANLAGE 66, CH-4052 BASEL, SWITZERLAND</t>
  </si>
  <si>
    <t>1999-5903</t>
  </si>
  <si>
    <t>Future Internet</t>
  </si>
  <si>
    <t>286</t>
  </si>
  <si>
    <t>10.3390/fi15090286</t>
  </si>
  <si>
    <t>http://dx.doi.org/10.3390/fi15090286</t>
  </si>
  <si>
    <t>Computer Science, Information Systems</t>
  </si>
  <si>
    <t>S9BG4</t>
  </si>
  <si>
    <t>WOS:001074041500001</t>
  </si>
  <si>
    <t>Capraro, V; Lentsch, A; Acemoglu, D; Akgun, S; Akhmedova, A; Bilancini, E; Bonnefon, JF; Branas-Garza, P; Butera, L; Douglas, KM; Everett, JAC; Gigerenzer, G; Greenhow, C; Hashimoto, DA; Holt-Lunstad, J; Jetten, J; Johnson, S; Kunz, WH; Longoni, C; Lunn, P; Natale, S; Paluch, S; Rahwan, I; Selwyn, N; Singh, V; Suri, S; Sutcliffe, J; Tomlinson, J; van der Linden, S; Van Lange, PAM; Wall, F; Van Bavel, JJ; Viale, R</t>
  </si>
  <si>
    <t>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</si>
  <si>
    <t>Capraro, Valerio; Lentsch, Austin; Acemoglu, Daron; Akgun, Selin; Akhmedova, Aisel; Bilancini, Ennio; Bonnefon, Jean-Francois; Branas-Garza, Pablo; Butera, Luigi; Douglas, Karen M.; Everett, Jim A. C.; Gigerenzer, Gerd; Greenhow, Christine; Hashimoto, Daniel A.; Holt-Lunstad, Julianne; Jetten, Jolanda; Johnson, Simon; Kunz, Werner H.; Longoni, Chiara; Lunn, Pete; Natale, Simone; Paluch, Stefanie; Rahwan, Iyad; Selwyn, Neil; Singh, Vivek; Suri, Siddharth; Sutcliffe, Jennifer; Tomlinson, Joe; van der Linden, Sander; Van Lange, Paul A. M.; Wall, Friederike; Van Bavel, Jay J.; Viale, Riccardo</t>
  </si>
  <si>
    <t>Capraro, V (corresponding author), Univ Milano Bicocca, Dept Psychol, I-20126 Milan, Italy.</t>
  </si>
  <si>
    <t>valerio.capraro@unimib.it</t>
  </si>
  <si>
    <t>Hewlett Foundation; US National Science Foundation; Schmidt Sciences; Google; Sloan Foundation; Smith Richardson Foundation; Washington Center for Equitable Growth; Research foundation TSE-Partnership; Spanish Ministry of Science and Innovation [PID2021-126892NB-I00]; ERC [101018262]; ESRC [ES/V015176/1]; Leverhulme Trust [PLP-2021-095]; Australian Research Council Laureate Fellowship [FL180100094]; MIT Sloan School, MIT; University of Turin, Italy, Grant "Human-Machine Communication Cultures: Artificial Intelligence, Media and Cultures in a Global Context" [NATS_GFI_22_01_F]; Royal Netherlands Academy of Arts and Sciences; Trust in generative AI; Google Jigsaw; Center for Conflict and Cooperation; Templeton World Charity Foundation; Templeton World Charity Foundation [TWCF-2022-30561]; European Research Council (ERC) [101018262] Funding Source: European Research Council (ERC)</t>
  </si>
  <si>
    <t>Hewlett Foundation; US National Science Foundation; Schmidt Sciences; Google (Google Incorporated); Sloan Foundation; Smith Richardson Foundation; Washington Center for Equitable Growth; Research foundation TSE-Partnership; Spanish Ministry of Science and Innovation; ERC; ESRC (UK Research &amp; Innovation (UKRI), Economic &amp; Social Research Council (ESRC)); Leverhulme Trust (Leverhulme Trust); Australian Research Council Laureate Fellowship (Australian Research Council, Macquarie University); MIT Sloan School, MIT; University of Turin, Italy, Grant "Human-Machine Communication Cultures: Artificial Intelligence, Media and Cultures in a Global Context"; Royal Netherlands Academy of Arts and Sciences; Trust in generative AI; Google Jigsaw (Google Incorporated); Center for Conflict and Cooperation; Templeton World Charity Foundation (Templeton World Charity Foundation); Templeton World Charity Foundation (Templeton World Charity Foundation); European Research Council (ERC) (European Research Council (ERC))</t>
  </si>
  <si>
    <t>D.A. acknowledges support from the Hewlett Foundation, the US National Science Foundation, Schmidt Sciences, Google, the Sloan Foundation, the Smith Richardson Foundation, and the Washington Center for Equitable Growth. J.F.B. acknowledges support from grant ANR-19-PI3A-0004, grant ANR-17-EURE-0010, and the research foundation TSE-Partnership. P.B.G. acknowledges support from the Spanish Ministry of Science and Innovation (PID2021-126892NB-I00). K.D. acknowledges support from the ERC Advanced Grant "Consequences of conspiracy theories- CONSPIRACY_FX" Number: 101018262. J.A.C.E. acknowledges support by the ESRC (ES/V015176/1) and Leverhulme Trust (PLP-2021-095). J.J. acknowledges support from the Australian Research Council Laureate Fellowship (FL180100094). S.J. acknowledges support from the Hewlett Foundation and the MIT Sloan School, MIT. S.N. acknowledges support from the University of Turin, Italy, Grant "Human-Machine Communication Cultures: Artificial Intelligence, Media and Cultures in a Global Context", reference number NATS_GFI_22_01_F. P.V.L. acknowledges support from an Ammodo science award (2020) provided by the Royal Netherlands Academy of Arts and Sciences. J.V.B. acknowledges support from the Trust in generative AI, Google Jigsaw, and from the Center for Conflict and Cooperation, Templeton World Charity Foundation, Templeton World Charity Foundation (TWCF-2022-30561). This manuscript was posted on a preprint server: https://papers.ssrn. com/sol3/papers.cfm?abstract_id=4666103</t>
  </si>
  <si>
    <t>[Capraro, Valerio] Univ Milano Bicocca, Dept Psychol, I-20126 Milan, Italy; [Lentsch, Austin] MIT, Dept Econ, Cambridge, MA 02142 USA; [Acemoglu, Daron] MIT, Inst Prof &amp; Dept Econ, Cambridge, MA 02142 USA; [Akgun, Selin; Akhmedova, Aisel; Greenhow, Christine; Sutcliffe, Jennifer] Michigan State Univ, Coll Educ, E Lansing, MI 48824 USA; [Bilancini, Ennio] IMT Sch Adv Studies Lucca, I-55100 Lucca, Italy; [Bonnefon, Jean-Francois] Toulouse Sch Econ, F-31000 Toulouse, France; [Branas-Garza, Pablo] Loyola Andalucia Univ, Loyola Behav Lab, Cordoba 41740, Spain; [Butera, Luigi] Copenhagen Business Sch, Dept Econ, DK-2000 Frederiksberg, Denmark; [Douglas, Karen M.] Univ Kent, Sch Psychol, Canterbury CT27NP, England; [Everett, Jim A. C.] Max Planck Inst Human Dev, D-14195 Berlin, Germany; [Gigerenzer, Gerd] Univ Penn, Perelman Sch Med, Dept Surg, Penn Comp Assisted Surg &amp; Outcomes Lab, Philadelphia, PA 19104 USA; [Hashimoto, Daniel A.] Univ Penn, Sch Engn &amp; Appl Sci, Dept Comp &amp; Informat Sci, Philadelphia, PA 19104 USA; [Hashimoto, Daniel A.; Singh, Vivek] Brigham Young Univ, Dept Psychol &amp; Neurosci, Provo, UT 84602 USA; [Holt-Lunstad, Julianne] Univ Queensland, Sch Psychol, St Lucia, Qld 4067, Australia; [Jetten, Jolanda] MIT Sloan Sch Management, Sch Management, Cambridge, MA 02142 USA; [Johnson, Simon] Univ Massachusetts, Dept Mkt, Boston, MA 02125 USA; [Kunz, Werner H.] Bocconi Univ, Dept Mkt, I-20136 Milan, Italy; [Longoni, Chiara] Econ &amp; Social Res Inst, Behav Res Unit, Dublin D02 K138, Ireland; [Lunn, Pete] Univ Turin, Dept Humanities, I-10125 Turin, Italy; [Natale, Simone] Aarhus Univ, Dept Serv &amp; Technol Mkt, DK-8000 Aarhus, Denmark; [Paluch, Stefanie] Max Planck Inst Human Dev, Ctr Humans &amp; Machines, D-14195 Berlin, Germany; [Rahwan, Iyad] Monash Univ, Fac Educ, Clayton, VIC 3168, Australia; [Selwyn, Neil] Microsoft Res, Redmond, WA 98502 USA; [Suri, Siddharth] Univ York, York Law Sch, York YO10 5DD, England; [Tomlinson, Joe] Univ Cambridge, Dept Psychol, Cambridge CB2 1TN, England; [van der Linden, Sander] Vrije Univ, Dept Expt &amp; Appl Psychol, NL-1081HV Amsterdam, Netherlands; [Van Lange, Paul A. M.] Univ Klagenfurt, Dept Management Control &amp; Strateg Management, A-9020 Klagenfurt Worthersee, Austria; [Wall, Friederike] NYU, Ctr Neural Sci, Dept Psychol, New York, NY 10012 USA; [Van Bavel, Jay J.] Norwegian Sch Econ, N-5045 Bergen, Norway; [Van Bavel, Jay J.] Univ Milano Bicocca, CISEPS, Piazza Ateneo Nuovo 1, I-20126 Milan, Italy; [Viale, Riccardo] Herbert Simon Soc, I-10122 Turin, Italy</t>
  </si>
  <si>
    <t>University of Milano-Bicocca; Massachusetts Institute of Technology (MIT); Massachusetts Institute of Technology (MIT); Michigan State University; IMT School for Advanced Studies Lucca; Communaute d'universites et etablissements de Toulouse (Comue); Universite Toulouse 1 Capitole; Toulouse School of Economics; Universidad Loyola Andalucia; Copenhagen Business School; University of Kent; Max Planck Society; University of Pennsylvania; Pennsylvania Medicine; University of Pennsylvania; Brigham Young University; University of Queensland; Massachusetts Institute of Technology (MIT); University of Massachusetts System; University of Massachusetts Boston; Bocconi University; Economic &amp; Social Research Institute (ESRI); University of Turin; Aarhus University; Max Planck Society; Monash University; Microsoft; University of York - UK; University of Cambridge; Vrije Universiteit Amsterdam; New York University; Norwegian School of Economics (NHH); University of Milano-Bicocca</t>
  </si>
  <si>
    <t>The impact of generative artificial intelligence on socioeconomic inequalities and policy making</t>
  </si>
  <si>
    <t>PNAS NEXUS</t>
  </si>
  <si>
    <t>HEALTH-CARE; MODEL; AI; DISPARITIES; TECHNOLOGY; AUTOMATION; CHALLENGES; MEDICINE; IDENTITY; TASKS</t>
  </si>
  <si>
    <t>Holt-Lunstad, Julianne/R-2437-2019; Everett, Jim/L-4109-2019; Kunz, Werner/KRQ-9193-2024; LONGONI, CHIARA/GVS-8858-2022; Butera, Luigi/LJK-6211-2024; Bavel, Jay/I-6748-2015; Branas-Garza, Pablo/Q-1532-2018; Wall, Friederike/I-2415-2019; Hashimoto, Daniel/H-3473-2019; Jetten, Jolanda/H-3285-2014; Gigerenzer, Gerd/A-6250-2012; Rahwan, Iyad/ABB-2422-2020; Linden, Sander/ABC-4926-2022; Bilancini, Ennio/J-6405-2019; Viale, Riccardo/AAC-1839-2021; 教育學系博士班, 810851205/AAK-5281-2020; Acemoglu, Daron/JQW-5242-2023; Akgun, Selin/ODJ-8088-2025; Douglas, Karen/JOZ-1002-2023</t>
  </si>
  <si>
    <t>Lentsch, Austin/0000-0002-6558-9106; LONGONI, CHIARA/0000-0002-4945-4957; Branas-Garza, Pablo/0000-0001-8456-6009; Van Lange, Paul/0000-0001-7774-6984; Capraro, Valerio/0000-0002-0579-0166; Bilancini, Ennio/0000-0002-2027-3992</t>
  </si>
  <si>
    <t>158</t>
  </si>
  <si>
    <t>217</t>
  </si>
  <si>
    <t>269</t>
  </si>
  <si>
    <t>355</t>
  </si>
  <si>
    <t>2752-6542</t>
  </si>
  <si>
    <t>PNAS Nexus</t>
  </si>
  <si>
    <t>JUN 11 2024</t>
  </si>
  <si>
    <t>pgae191</t>
  </si>
  <si>
    <t>10.1093/pnasnexus/pgae191</t>
  </si>
  <si>
    <t>http://dx.doi.org/10.1093/pnasnexus/pgae191</t>
  </si>
  <si>
    <t>JUN 2024</t>
  </si>
  <si>
    <t>Multidisciplinary Sciences; Social Sciences, Interdisciplinary</t>
  </si>
  <si>
    <t>Science &amp; Technology - Other Topics; Social Sciences - Other Topics</t>
  </si>
  <si>
    <t>TW0T5</t>
  </si>
  <si>
    <t>38864006</t>
  </si>
  <si>
    <t>WOS:001244186000002</t>
  </si>
  <si>
    <t>gold; Green Submitted; Green Published</t>
  </si>
  <si>
    <t>Eggmann, F; Weiger, R; Zitzmann, NU; Blatz, MB</t>
  </si>
  <si>
    <t>ObjectiveThis article provides an overview of the implications of ChatGPT and other large language models (LLMs) for dental medicine. OverviewChatGPT, a LLM trained on massive amounts of textual data, is adept at fulfilling various language-related tasks. Despite its impressive capabilities, ChatGPT has serious limitations, such as occasionally giving incorrect answers, producing nonsensical content, and presenting misinformation as fact. Dental practitioners, assistants, and hygienists are not likely to be significantly impacted by LLMs. However, LLMs could affect the work of administrative personnel and the provision of dental telemedicine. LLMs offer potential for clinical decision support, text summarization, efficient writing, and multilingual communication. As more people seek health information from LLMs, it is crucial to safeguard against inaccurate, outdated, and biased responses to health-related queries. LLMs pose challenges for patient data confidentiality and cybersecurity that must be tackled. In dental education, LLMs present fewer challenges than in other academic fields. LLMs can enhance academic writing fluency, but acceptable usage boundaries in science need to be established. ConclusionsWhile LLMs such as ChatGPT may have various useful applications in dental medicine, they come with risks of malicious use and serious limitations, including the potential for misinformation. Clinical SignificanceAlong with the potential benefits of using LLMs as an additional tool in dental medicine, it is crucial to carefully consider the limitations and potential risks inherent in such artificial intelligence technologies.</t>
  </si>
  <si>
    <t>Eggmann, Florin; Weiger, Roland; Zitzmann, Nicola U.; Blatz, Markus B.</t>
  </si>
  <si>
    <t>Eggmann, F (corresponding author), Univ Basel, Univ Ctr Dent Med Basel UZB, Dept Periodontol Endodontol &amp; Cariol, Mattenstr 40, CH-4058 Basel, Switzerland.</t>
  </si>
  <si>
    <t>florin.eggmann@unibas.ch</t>
  </si>
  <si>
    <t>Freiwillige Akademische Gesellschaft; Gottfried und Julia Bangerter-Rhyner-Stiftung</t>
  </si>
  <si>
    <t>[Eggmann, Florin; Blatz, Markus B.] Univ Penn, Robert Schattner Ctr, Dept Prevent &amp; Restorat Sci, Penn Dent Med, Philadelphia, PA USA; [Eggmann, Florin; Weiger, Roland] Univ Basel, Univ Ctr Dent Med Basel UZB, Dept Periodontol Endodontol &amp; Cariol, Mattenstr 40, CH-4058 Basel, Switzerland; [Zitzmann, Nicola U.] Univ Basel, Univ Ctr Dent Med Basel UZB, Dept Reconstruct Dent, Basel, Switzerland</t>
  </si>
  <si>
    <t>University of Pennsylvania; University of Basel; University of Basel</t>
  </si>
  <si>
    <t>Implications of large language models such as ChatGPT for dental medicine</t>
  </si>
  <si>
    <t>JOURNAL OF ESTHETIC AND RESTORATIVE DENTISTRY</t>
  </si>
  <si>
    <t>artificial intelligence; dental care; dental education; evidence-based dentistry; machine learning</t>
  </si>
  <si>
    <t>B Blatz, Markus/KIK-5323-2024</t>
  </si>
  <si>
    <t>B Blatz, Markus/0000-0001-6341-7047</t>
  </si>
  <si>
    <t>245</t>
  </si>
  <si>
    <t>1496-4155</t>
  </si>
  <si>
    <t>1708-8240</t>
  </si>
  <si>
    <t>J ESTHET RESTOR DENT</t>
  </si>
  <si>
    <t>J. Esthet. Restor. Dent.</t>
  </si>
  <si>
    <t>OCT 2023</t>
  </si>
  <si>
    <t>35</t>
  </si>
  <si>
    <t>1098</t>
  </si>
  <si>
    <t>1102</t>
  </si>
  <si>
    <t>10.1111/jerd.13046</t>
  </si>
  <si>
    <t>http://dx.doi.org/10.1111/jerd.13046</t>
  </si>
  <si>
    <t>APR 2023</t>
  </si>
  <si>
    <t>U7DJ7</t>
  </si>
  <si>
    <t>37017291</t>
  </si>
  <si>
    <t>WOS:000963062700001</t>
  </si>
  <si>
    <t>Lucas, HC; Upperman, JS; Robinson, JR</t>
  </si>
  <si>
    <t>IntroductionIn the past year, the use of large language models (LLMs) has generated significant interest and excitement because of their potential to revolutionise various fields, including medical education for aspiring physicians. Although medical students undergo a demanding educational process to become competent health care professionals, the emergence of LLMs presents a promising solution to challenges like information overload, time constraints and pressure on clinical educators. However, integrating LLMs into medical education raises critical concerns and challenges for educators, professionals and students. This systematic review aims to explore LLM applications in medical education, specifically their impact on medical students' learning experiences.MethodsA systematic search was performed in PubMed, Web of Science and Embase for articles discussing the applications of LLMs in medical education using selected keywords related to LLMs and medical education, from the time of ChatGPT's debut until February 2024. Only articles available in full text or English were reviewed. The credibility of each study was critically appraised by two independent reviewers.ResultsThe systematic review identified 166 studies, of which 40 were found by review to be relevant to the study. Among the 40 relevant studies, key themes included LLM capabilities, benefits such as personalised learning and challenges regarding content accuracy. Importantly, 42.5% of these studies specifically evaluated LLMs in a novel way, including ChatGPT, in contexts such as medical exams and clinical/biomedical information, highlighting their potential in replicating human-level performance in medical knowledge. The remaining studies broadly discussed the prospective role of LLMs in medical education, reflecting a keen interest in their future potential despite current constraints.ConclusionsThe responsible implementation of LLMs in medical education offers a promising opportunity to enhance learning experiences. However, ensuring information accuracy, emphasising skill-building and maintaining ethical safeguards are crucial. Continuous critical evaluation and interdisciplinary collaboration are essential for the appropriate integration of LLMs in medical education.</t>
  </si>
  <si>
    <t>Lucas, Harrison C.; Upperman, Jeffrey S.; Robinson, Jamie R.</t>
  </si>
  <si>
    <t>Robinson, JR (corresponding author), Vanderbilt Univ, Med Ctr, Dept Biomed Informat, 2200 Childrens Way,7th Floor DOT,Suite 7100, Nashville, TN 37232 USA.</t>
  </si>
  <si>
    <t>jamie.robinson@vumc.org</t>
  </si>
  <si>
    <t>[Lucas, Harrison C.] Brandeis Univ, Waltham, MA USA; [Upperman, Jeffrey S.; Robinson, Jamie R.] Vanderbilt Univ, Med Ctr, Dept Pediat Surg, Nashville, TN USA; [Robinson, Jamie R.] Vanderbilt Univ, Med Ctr, Dept Biomed Informat, 2200 Childrens Way,7th Floor DOT,Suite 7100, Nashville, TN 37232 USA</t>
  </si>
  <si>
    <t>Brandeis University; Vanderbilt University; Vanderbilt University</t>
  </si>
  <si>
    <t>A systematic review of large language models and their implications in medical education</t>
  </si>
  <si>
    <t>MEDICAL EDUCATION</t>
  </si>
  <si>
    <t>Upperman, Jeffrey/KLC-3516-2024; Robinson, Jamie/KUD-0232-2024</t>
  </si>
  <si>
    <t>Upperman, Jeffrey/0000-0002-8037-6985; Robinson, Jamie/0000-0003-0888-0156</t>
  </si>
  <si>
    <t>46</t>
  </si>
  <si>
    <t>210</t>
  </si>
  <si>
    <t>218</t>
  </si>
  <si>
    <t>0308-0110</t>
  </si>
  <si>
    <t>1365-2923</t>
  </si>
  <si>
    <t>MED EDUC</t>
  </si>
  <si>
    <t>Med. Educ.</t>
  </si>
  <si>
    <t>NOV 2024</t>
  </si>
  <si>
    <t>1276</t>
  </si>
  <si>
    <t>1285</t>
  </si>
  <si>
    <t>10.1111/medu.15402</t>
  </si>
  <si>
    <t>http://dx.doi.org/10.1111/medu.15402</t>
  </si>
  <si>
    <t>Education, Scientific Disciplines; Health Care Sciences &amp; Services</t>
  </si>
  <si>
    <t>Education &amp; Educational Research; Health Care Sciences &amp; Services</t>
  </si>
  <si>
    <t>J9Q4L</t>
  </si>
  <si>
    <t>38639098</t>
  </si>
  <si>
    <t>WOS:001205086700001</t>
  </si>
  <si>
    <t>Notin, P; Rollins, N; Gal, Y; Sander, C; Marks, D</t>
  </si>
  <si>
    <t>Recent breakthroughs in AI coupled with the rapid accumulation of protein sequence and structure data have radically transformed computational protein design. New methods promise to escape the constraints of natural and laboratory evolution, accelerating the generation of proteins for applications in biotechnology and medicine. To make sense of the exploding diversity of machine learning approaches, we introduce a unifying framework that classifies models on the basis of their use of three core data modalities: sequences, structures and functional labels. We discuss the new capabilities and outstanding challenges for the practical design of enzymes, antibodies, vaccines, nanomachines and more. We then highlight trends shaping the future of this field, from large-scale assays to more robust benchmarks, multimodal foundation models, enhanced sampling strategies and laboratory automation.Notin, Rollins and colleagues discuss advances in computational protein design with a focus on redesign of existing proteins.</t>
  </si>
  <si>
    <t>Notin, Pascal; Rollins, Nathan; Gal, Yarin; Sander, Chris; Marks, Debora</t>
  </si>
  <si>
    <t>Notin, P; Marks, D (corresponding author), Harvard Med Sch, Dept Syst Biol, Boston, MA 02115 USA.; Notin, P (corresponding author), Univ Oxford, Dept Comp Sci, Oxford, England.; Rollins, N (corresponding author), Seism Therapeut, Cambridge, MA 02142 USA.; Marks, D (corresponding author), Broad Inst Harvard &amp; MIT, Cambridge, MA 02142 USA.</t>
  </si>
  <si>
    <t>debbie@hms.harvard.edu; pascal_notin@hms.harvard.edu; nrollins.home@gmail.com</t>
  </si>
  <si>
    <t>U.S. Department of Health &amp; Human Services | National Institutes of Health (NIH) [18000077]; UK Engineering and Physical Sciences Research Council [CZI2018-191853]; Chan Zuckerberg Initiative Award (Neurodegeneration Challenge Network); Turing AI Fellowship (Phase 1) at the Alan Turing Institute [V030302/1]; EPSRC [P41GM103504]; National Resource for Network Biology (NRNB) [CZI2018-191853]; D.S.M. holds a Ben Barres Early Career Award from the Chan Zuckerberg Initiative as part of the Neurodegeneration Challenge Network [TR01 1R01CA260415]; NIH Transformational Research Award</t>
  </si>
  <si>
    <t>U.S. Department of Health &amp; Human Services | National Institutes of Health (NIH) (United States Department of Health &amp; Human Services, National Institutes of Health (NIH) - USA, Office of the Administrator (NIH)); UK Engineering and Physical Sciences Research Council (UK Research &amp; Innovation (UKRI), Engineering &amp; Physical Sciences Research Council (EPSRC)); Chan Zuckerberg Initiative Award (Neurodegeneration Challenge Network); Turing AI Fellowship (Phase 1) at the Alan Turing Institute; EPSRC (UK Research &amp; Innovation (UKRI), Engineering &amp; Physical Sciences Research Council (EPSRC)); National Resource for Network Biology (NRNB); D.S.M. holds a Ben Barres Early Career Award from the Chan Zuckerberg Initiative as part of the Neurodegeneration Challenge Network; NIH Transformational Research Award (United States Department of Health &amp; Human Services, National Institutes of Health (NIH) - USA)</t>
  </si>
  <si>
    <t>We thank members of the Marks lab for valuable discussions. P.N. was supported by GSK, the UK Engineering and Physical Sciences Research Council (EPSRC ICASE award no. 18000077) and a Chan Zuckerberg Initiative Award (Neurodegeneration Challenge Network, CZI2018-191853). Y.G. holds a Turing AI Fellowship (Phase 1) at the Alan Turing Institute, which is supported by EPSRC grant reference V030302/1. C.S. is supported by the National Resource for Network Biology (NRNB, P41GM103504). D.S.M. holds a Ben Barres Early Career Award from the Chan Zuckerberg Initiative as part of the Neurodegeneration Challenge Network (CZI2018-191853) and is supported by a NIH Transformational Research Award (TR01 1R01CA260415).</t>
  </si>
  <si>
    <t>[Notin, Pascal; Sander, Chris; Marks, Debora] Harvard Med Sch, Dept Syst Biol, Boston, MA 02115 USA; [Notin, Pascal; Gal, Yarin] Univ Oxford, Dept Comp Sci, Oxford, England; [Rollins, Nathan] Seism Therapeut, Cambridge, MA 02142 USA; [Sander, Chris; Marks, Debora] Broad Inst Harvard &amp; MIT, Cambridge, MA 02142 USA</t>
  </si>
  <si>
    <t>Harvard University; Harvard Medical School; University of Oxford; Harvard University; Massachusetts Institute of Technology (MIT); Broad Institute</t>
  </si>
  <si>
    <t>Machine learning for functional protein design</t>
  </si>
  <si>
    <t>NATURE BIOTECHNOLOGY</t>
  </si>
  <si>
    <t>DE-NOVO DESIGN; COMPUTATIONAL DESIGN; DIRECTED EVOLUTION; ENZYME; PREDICTION; LANGUAGE; GENERATION; ANTIBODIES; LANDSCAPE; STABILITY</t>
  </si>
  <si>
    <t>marks, debora/0000-0001-9388-2281</t>
  </si>
  <si>
    <t>202</t>
  </si>
  <si>
    <t>209</t>
  </si>
  <si>
    <t>246</t>
  </si>
  <si>
    <t>540</t>
  </si>
  <si>
    <t>1087-0156</t>
  </si>
  <si>
    <t>1546-1696</t>
  </si>
  <si>
    <t>NAT BIOTECHNOL</t>
  </si>
  <si>
    <t>Nat. Biotechnol.</t>
  </si>
  <si>
    <t>42</t>
  </si>
  <si>
    <t>216</t>
  </si>
  <si>
    <t>10.1038/s41587-024-02127-0</t>
  </si>
  <si>
    <t>http://dx.doi.org/10.1038/s41587-024-02127-0</t>
  </si>
  <si>
    <t>Biotechnology &amp; Applied Microbiology</t>
  </si>
  <si>
    <t>IC1Z6</t>
  </si>
  <si>
    <t>38361074</t>
  </si>
  <si>
    <t>WOS:001164046000030</t>
  </si>
  <si>
    <t>Green Submitted</t>
  </si>
  <si>
    <t>Khalighi, S; Reddy, K; Midya, A; Pandav, KB; Madabhushi, A; Abedalthagafi, M</t>
  </si>
  <si>
    <t>This review delves into the most recent advancements in applying artificial intelligence (AI) within neuro-oncology, specifically emphasizing work on gliomas, a class of brain tumors that represent a significant global health issue. AI has brought transformative innovations to brain tumor management, utilizing imaging, histopathological, and genomic tools for efficient detection, categorization, outcome prediction, and treatment planning. Assessing its influence across all facets of malignant brain tumor management- diagnosis, prognosis, and therapy- AI models outperform human evaluations in terms of accuracy and specificity. Their ability to discern molecular aspects from imaging may reduce reliance on invasive diagnostics and may accelerate the time to molecular diagnoses. The review covers AI techniques, from classical machine learning to deep learning, highlighting current applications and challenges. Promising directions for future research include multimodal data integration, generative AI, large medical language models, precise tumor delineation and characterization, and addressing racial and gender disparities. Adaptive personalized treatment strategies are also emphasized for optimizing clinical outcomes. Ethical, legal, and social implications are discussed, advocating for transparency and fairness in AI integration for neuro-oncology and providing a holistic understanding of its transformative impact on patient care.</t>
  </si>
  <si>
    <t>Khalighi, Sirvan; Reddy, Kartik; Midya, Abhishek; Pandav, Krunal Balvantbhai; Madabhushi, Anant; Abedalthagafi, Malak</t>
  </si>
  <si>
    <t>Madabhushi, A (corresponding author), Georgia Inst Technol, Wallace H Coulter Dept Biomed Engn, Atlanta, GA 30322 USA.; Madabhushi, A (corresponding author), Emory Univ, Atlanta, GA 30322 USA.; Madabhushi, A (corresponding author), Atlanta Vet Adm Med Ctr, Atlanta, GA 30033 USA.; Abedalthagafi, M (corresponding author), Emory Univ, Dept Pathol &amp; Lab Med, Atlanta, GA 30322 USA.; Abedalthagafi, M (corresponding author), Winship Canc Inst, Cell &amp; Mol Biol Program, Atlanta, GA 30322 USA.</t>
  </si>
  <si>
    <t>Malak.althgafi@emory.edu; Anant.Madabhushi@emory.edu</t>
  </si>
  <si>
    <t>Emory University [00128909, 00131546]; National Cancer Institute [R01CA249992-01A1, R01CA202752-01A1, R01CA208236-01A1, R01CA216579-01A1, R01CA220581-01A1, R01CA257612-01A1, 1U01CA239055-01, 1U01CA248226-01, 1U54CA254566-01, 1R01HL15127701A1, R01HL15807101A1]; National Institute of Biomedical Imaging and Bioengineering [1R43EB028736-01]; National Center for Research Resources [1 C06 RR12463-01]; VA Merit Review Award [IBX004121A]; United States Department of Veterans Affairs Biomedical Laboratory Research and Development Service the Office of the Assistant Secretary of Defense for Health Affairs, through the Breast Cancer Research Program [W81XWH-19-1-0668]; Prostate Cancer Research Program [W81XWH-15-1-0558, W81XWH-20-1-0851]; Lung Cancer Research Program [W81XWH-18-1-0440, W81XWH-20-1-0595, W81XWH-18-1-0404, W81XWH-21-1-0345, W81XWH-21-1-0160]; Mayo Clinic Breast Cancer SPORE [P50 CA116201]; NIH; Kidney Precision Medicine Project (KPMP) Glue Grant; Bristol Myers-Squibb; Boehringer-Ingelheim; Eli-Lilly; AstraZeneca; U.S. Department of Veterans Affairs</t>
  </si>
  <si>
    <t>Emory University; National Cancer Institute (United States Department of Health &amp; Human Services, National Institutes of Health (NIH) - USA, NIH National Cancer Institute (NCI)); National Institute of Biomedical Imaging and Bioengineering (United States Department of Health &amp; Human Services, National Institutes of Health (NIH) - USA, NIH National Institute of Biomedical Imaging &amp; Bioengineering (NIBIB)); National Center for Research Resources (United States Department of Health &amp; Human Services, National Institutes of Health (NIH) - USA, NIH National Center for Research Resources (NCRR)); VA Merit Review Award (US Department of Veterans Affairs); United States Department of Veterans Affairs Biomedical Laboratory Research and Development Service the Office of the Assistant Secretary of Defense for Health Affairs, through the Breast Cancer Research Program; Prostate Cancer Research Program; Lung Cancer Research Program; Mayo Clinic Breast Cancer SPORE (Mayo Clinic); NIH (United States Department of Health &amp; Human Services, National Institutes of Health (NIH) - USA); Kidney Precision Medicine Project (KPMP) Glue Grant; Bristol Myers-Squibb (Bristol-Myers Squibb); Boehringer-Ingelheim (Boehringer Ingelheim); Eli-Lilly (Eli Lilly); AstraZeneca (AstraZeneca); U.S. Department of Veterans Affairs (US Department of Veterans Affairs)</t>
  </si>
  <si>
    <t>Research reported in this publication was supported by Emory Radiology-Pathology-Informatics Seed Grant Award Project 00128909, and Project 00131546 (M.A), the National Cancer Institute under award numbers R01CA249992-01A1, R01CA202752-01A1, R01CA208236-01A1, R01CA216579-01A1, R01CA220581-01A1, R01CA257612-01A1, 1U01CA239055-01, 1U01CA248226-01, 1U54CA254566-01, National Heart, Lung and Blood Institute 1R01HL15127701A1, R01HL15807101A1, National Institute of Biomedical Imaging and Bioengineering 1R43EB028736-01, National Center for Research Resources under award number 1 C06 RR12463-01, VA Merit Review Award IBX004121A (A.M) from the United States Department of Veterans Affairs Biomedical Laboratory Research and Development Service the Office of the Assistant Secretary of Defense for Health Affairs, through the Breast Cancer Research Program (W81XWH-19-1-0668), the Prostate Cancer Research Program (W81XWH-15-1-0558, W81XWH-20-1-0851), the Lung Cancer Research Program (W81XWH-18-1-0440, W81XWH-20-1-0595), the Peer-Reviewed Cancer Research Program (W81XWH-18-1-0404, W81XWH-21-1-0345, W81XWH-21-1-0160), the Mayo Clinic Breast Cancer SPORE grant P50 CA116201 from the NIH, the Kidney Precision Medicine Project (KPMP) Glue Grant, and sponsored research agreements from Bristol Myers-Squibb, Boehringer-Ingelheim, Eli-Lilly and AstraZeneca. The content is solely the responsibility of the authors and does not necessarily represent the official views of the National Institutes of Health, the U.S. Department of Veterans Affairs, the Department of Defense, or the United States Government.</t>
  </si>
  <si>
    <t>[Khalighi, Sirvan; Midya, Abhishek; Pandav, Krunal Balvantbhai; Madabhushi, Anant] Georgia Inst Technol, Wallace H Coulter Dept Biomed Engn, Atlanta, GA 30322 USA; [Khalighi, Sirvan; Midya, Abhishek; Pandav, Krunal Balvantbhai; Madabhushi, Anant] Emory Univ, Atlanta, GA 30322 USA; [Reddy, Kartik] Emory Univ, Dept Radiol, Atlanta, GA USA; [Madabhushi, Anant] Atlanta Vet Adm Med Ctr, Atlanta, GA 30033 USA; [Abedalthagafi, Malak] Emory Univ, Dept Pathol &amp; Lab Med, Atlanta, GA 30322 USA; [Abedalthagafi, Malak] Winship Canc Inst, Cell &amp; Mol Biol Program, Atlanta, GA 30322 USA</t>
  </si>
  <si>
    <t>University System of Georgia; Georgia Institute of Technology; Emory University; Emory University; Emory University</t>
  </si>
  <si>
    <t>Artificial intelligence in neuro-oncology: advances and challenges in brain tumor diagnosis, prognosis, and precision treatment</t>
  </si>
  <si>
    <t>NPJ PRECISION ONCOLOGY</t>
  </si>
  <si>
    <t>CONVOLUTIONAL NEURAL-NETWORKS; CENTRAL-NERVOUS-SYSTEM; RADIOMICS; DISCOVERY; DIFFUSION; SURVIVAL; BIOPSY; AI</t>
  </si>
  <si>
    <t>Midya, Abhishek/K-7603-2015; Khalighi, Sirvan/G-2451-2014; Madabhushi, Anant/AAG-2908-2019; Pandav, Krunal/W-9395-2019</t>
  </si>
  <si>
    <t>Abedalthagafi, Malak/0000-0003-1786-3366; Midya, Abhishek/0000-0003-2149-7098; Khalighi, Sirvan/0000-0002-5563-1446; Madabhushi, Anant/0000-0002-5741-0399; Pandav, Krunal/0000-0002-5451-7115; Reddy, Kartik/0000-0001-7435-1864</t>
  </si>
  <si>
    <t>206</t>
  </si>
  <si>
    <t>233</t>
  </si>
  <si>
    <t>144</t>
  </si>
  <si>
    <t>2397-768X</t>
  </si>
  <si>
    <t>NPJ PRECIS ONCOL</t>
  </si>
  <si>
    <t>npj Precis. Oncol.</t>
  </si>
  <si>
    <t>MAR 29 2024</t>
  </si>
  <si>
    <t>80</t>
  </si>
  <si>
    <t>10.1038/s41698-024-00575-0</t>
  </si>
  <si>
    <t>http://dx.doi.org/10.1038/s41698-024-00575-0</t>
  </si>
  <si>
    <t>Oncology</t>
  </si>
  <si>
    <t>MQ7C1</t>
  </si>
  <si>
    <t>38553633</t>
  </si>
  <si>
    <t>WOS:001195148700001</t>
  </si>
  <si>
    <t>Varghese, C; Harrison, EM; O'Grady, G; Topol, EJ</t>
  </si>
  <si>
    <t>Artificial intelligence (AI) is rapidly emerging in healthcare, yet applications in surgery remain relatively nascent. Here we review the integration of AI in the field of surgery, centering our discussion on multifaceted improvements in surgical care in the preoperative, intraoperative and postoperative space. The emergence of foundation model architectures, wearable technologies and improving surgical data infrastructures is enabling rapid advances in AI interventions and utility. We discuss how maturing AI methods hold the potential to improve patient outcomes, facilitate surgical education and optimize surgical care. We review the current applications of deep learning approaches and outline a vision for future advances through multimodal foundation models.</t>
  </si>
  <si>
    <t>Varghese, Chris; Harrison, Ewen M.; O'Grady, Greg; Topol, Eric J.</t>
  </si>
  <si>
    <t>Topol, EJ (corresponding author), Scripps Res Translat Inst, La Jolla, CA 92037 USA.</t>
  </si>
  <si>
    <t>etopol@scripps.edu</t>
  </si>
  <si>
    <t>U.S. Department of Health &amp;amp; Human Services | National Institutes of Health (NIH) [UM1TR004407] Funding Source: Medline</t>
  </si>
  <si>
    <t>U.S. Department of Health &amp;amp; Human Services | National Institutes of Health (NIH) (United States Department of Health &amp; Human Services, National Institutes of Health (NIH) - USA, Office of the Administrator (NIH))</t>
  </si>
  <si>
    <t>[Varghese, Chris; O'Grady, Greg] Univ Auckland, Dept Surg, Auckland, New Zealand; [Harrison, Ewen M.] Univ Edinburgh, Usher Inst, Med Informat Ctr, Edinburgh, Midlothian, Scotland; [O'Grady, Greg] Univ Auckland, Auckland Bioengn Inst, Auckland, New Zealand; [Topol, Eric J.] Scripps Res Translat Inst, La Jolla, CA 92037 USA</t>
  </si>
  <si>
    <t>University of Auckland; University of Edinburgh; University of Auckland</t>
  </si>
  <si>
    <t>Artificial intelligence in surgery</t>
  </si>
  <si>
    <t>REPORTING GUIDELINES; NEURAL-NETWORKS; SURGICAL SKILL; HEALTH; INTERVENTIONS; SYSTEM; TRIAL; RISK; TIME</t>
  </si>
  <si>
    <t>Varghese, Chris/AAL-5156-2020; Topol, Eric/JOZ-4372-2023; Harrison, Ewen Munro/LZH-1527-2025</t>
  </si>
  <si>
    <t>Varghese, Chris/0000-0001-7369-8639; Topol, Eric/0000-0002-1478-4729; Harrison, Ewen Munro/0000-0002-5018-3066</t>
  </si>
  <si>
    <t>167</t>
  </si>
  <si>
    <t>197</t>
  </si>
  <si>
    <t>257</t>
  </si>
  <si>
    <t>115</t>
  </si>
  <si>
    <t>1257</t>
  </si>
  <si>
    <t>1268</t>
  </si>
  <si>
    <t>10.1038/s41591-024-02970-3</t>
  </si>
  <si>
    <t>http://dx.doi.org/10.1038/s41591-024-02970-3</t>
  </si>
  <si>
    <t>U2I7A</t>
  </si>
  <si>
    <t>38740998</t>
  </si>
  <si>
    <t>WOS:001221557100005</t>
  </si>
  <si>
    <t>Aydin, S; Karabacak, M; Vlachos, V; Margetis, K</t>
  </si>
  <si>
    <t>Introduction Large Language Models (LLMs) are sophisticated algorithms that analyze and generate vast amounts of textual data, mimicking human communication. Notable LLMs include GPT-4o by Open AI, Claude 3.5 Sonnet by Anthropic, and Gemini by Google. This scoping review aims to synthesize the current applications and potential uses of LLMs in patient education and engagement.Materials and methods Following the PRISMA-ScR checklist and methodologies by Arksey, O'Malley, and Levac, we conducted a scoping review. We searched PubMed in June 2024, using keywords and MeSH terms related to LLMs and patient education. Two authors conducted the initial screening, and discrepancies were resolved by consensus. We employed thematic analysis to address our primary research question.Results The review identified 201 studies, predominantly from the United States (58.2%). Six themes emerged: generating patient education materials, interpreting medical information, providing lifestyle recommendations, supporting customized medication use, offering perioperative care instructions, and optimizing doctor-patient interaction. LLMs were found to provide accurate responses to patient queries, enhance existing educational materials, and translate medical information into patient-friendly language. However, challenges such as readability, accuracy, and potential biases were noted.Discussion LLMs demonstrate significant potential in patient education and engagement by creating accessible educational materials, interpreting complex medical information, and enhancing communication between patients and healthcare providers. Nonetheless, issues related to the accuracy and readability of LLM-generated content, as well as ethical concerns, require further research and development. Future studies should focus on improving LLMs and ensuring content reliability while addressing ethical considerations.</t>
  </si>
  <si>
    <t>Aydin, Serhat; Karabacak, Mert; Vlachos, Victoria; Margetis, Konstantinos</t>
  </si>
  <si>
    <t>Margetis, K (corresponding author), Mt Sinai Hlth Syst, Dept Neurosurg, New York, NY 10017 USA.</t>
  </si>
  <si>
    <t>Konstantinos.Margetis@mountsinai.org</t>
  </si>
  <si>
    <t>[Aydin, Serhat] Koc Univ, Sch Med, Istanbul, Turkiye; [Karabacak, Mert; Margetis, Konstantinos] Mt Sinai Hlth Syst, Dept Neurosurg, New York, NY 10017 USA; [Vlachos, Victoria] Cornell Univ, Coll Human Ecol, Ithaca, NY USA</t>
  </si>
  <si>
    <t>Koc University; Icahn School of Medicine at Mount Sinai; Cornell University</t>
  </si>
  <si>
    <t>Large language models in patient education: a scoping review of applications in medicine</t>
  </si>
  <si>
    <t>FRONTIERS IN MEDICINE</t>
  </si>
  <si>
    <t>large language models; ChatGPT; patient education; artificial intelligence; machine learning; deep learning</t>
  </si>
  <si>
    <t>ARTIFICIAL-INTELLIGENCE; CHATGPT; INFORMATION; READABILITY; QUESTIONS; APPLICABILITY; TRANSFORMER; PERFORMANCE; CHATBOT; ABILITY</t>
  </si>
  <si>
    <t>Aydin, Serhat/PQA-5345-2026; Karabacak, Mert/HMW-1735-2023; Margetis, Konstantinos/M-1104-2019</t>
  </si>
  <si>
    <t>212</t>
  </si>
  <si>
    <t>190</t>
  </si>
  <si>
    <t>FRONTIERS MEDIA SA</t>
  </si>
  <si>
    <t>LAUSANNE</t>
  </si>
  <si>
    <t>AVENUE DU TRIBUNAL FEDERAL 34, LAUSANNE, CH-1015, SWITZERLAND</t>
  </si>
  <si>
    <t>2296-858X</t>
  </si>
  <si>
    <t>FRONT MED-LAUSANNE</t>
  </si>
  <si>
    <t>Front. Med.</t>
  </si>
  <si>
    <t>OCT 29 2024</t>
  </si>
  <si>
    <t>1477898</t>
  </si>
  <si>
    <t>10.3389/fmed.2024.1477898</t>
  </si>
  <si>
    <t>http://dx.doi.org/10.3389/fmed.2024.1477898</t>
  </si>
  <si>
    <t>L6T2S</t>
  </si>
  <si>
    <t>39534227</t>
  </si>
  <si>
    <t>WOS:001352014800001</t>
  </si>
  <si>
    <t>Al-kfairy, M; Mustafa, D; Kshetri, N; Insiew, M; Alfandi, O</t>
  </si>
  <si>
    <t>This paper conducts a systematic review and interdisciplinary analysis of the ethical challenges of generative AI technologies (N = 37), highlighting significant concerns such as privacy, data protection, copyright infringement, misinformation, biases, and societal inequalities. The ability of generative AI to produce convincing deepfakes and synthetic media, which threaten the foundations of truth, trust, and democratic values, exacerbates these problems. The paper combines perspectives from various disciplines, including education, media, and healthcare, underscoring the need for AI systems that promote equity and do not perpetuate social inequalities. It advocates for a proactive approach to the ethical development of AI, emphasizing the necessity of establishing policies, guidelines, and frameworks that prioritize human rights, fairness, and transparency. The paper calls for a multidisciplinary dialogue among policymakers, technologists, and researchers to ensure responsible AI development that conforms to societal values and ethical standards. It stresses the urgency of addressing these ethical concerns and advocates for the development of generative AI in a socially beneficial and ethically sound manner, contributing significantly to the discourse on managing AI's ethical implications in the modern digital era. The study highlights the theoretical and practical implications of these challenges and suggests a number of future research directions.</t>
  </si>
  <si>
    <t>Al-kfairy, Mousa; Mustafa, Dheya; Kshetri, Nir; Insiew, Mazen; Alfandi, Omar</t>
  </si>
  <si>
    <t>Al-kfairy, M (corresponding author), Zayed Univ, Coll Technol Innovat, POB 144534, Abu Dhabi, U Arab Emirates.</t>
  </si>
  <si>
    <t>mousa.al-kfairy@zu.ac.ae; dheya@hu.edu.jo; inseiw@gmail.com; nbkshetr@uncg.edu; omar.alfandi@zu.ac.ae</t>
  </si>
  <si>
    <t>Zayed University RIF [R22085]</t>
  </si>
  <si>
    <t>Zayed University RIF (Zayed University)</t>
  </si>
  <si>
    <t>This research was supported by the Zayed University RIF grant activity code R22085.</t>
  </si>
  <si>
    <t>[Al-kfairy, Mousa; Insiew, Mazen; Alfandi, Omar] Zayed Univ, Coll Technol Innovat, POB 144534, Abu Dhabi, U Arab Emirates; [Mustafa, Dheya] Hashemite Univ, Fac Engn, Dept Comp Engn, Zarqa 13133, Jordan; [Kshetri, Nir] Univ North Carolina, Bryan Sch Business &amp; Econ, Greensboro, NC 27402 USA</t>
  </si>
  <si>
    <t>Zayed University; Hashemite University; University of North Carolina; University of North Carolina Greensboro</t>
  </si>
  <si>
    <t>Ethical Challenges and Solutions of Generative AI: An Interdisciplinary Perspective</t>
  </si>
  <si>
    <t>ethical challenges; privacy; data protection; copyright; bias in AI; deepfakes</t>
  </si>
  <si>
    <t>Al-kfairy, Mousa/AFP-6034-2022; Alfandi, Omar/S-7011-2019; Mustafa, Dheya/AHC-7282-2022</t>
  </si>
  <si>
    <t>Al-kfairy, Mousa/0000-0003-3180-3861; Kshetri, Nir/0000-0002-1408-4212; Mustafa, Dheya/0000-0003-1456-7377</t>
  </si>
  <si>
    <t>48</t>
  </si>
  <si>
    <t>189</t>
  </si>
  <si>
    <t>239</t>
  </si>
  <si>
    <t>137</t>
  </si>
  <si>
    <t>10.3390/informatics11030058</t>
  </si>
  <si>
    <t>http://dx.doi.org/10.3390/informatics11030058</t>
  </si>
  <si>
    <t>H4P1P</t>
  </si>
  <si>
    <t>WOS:001323267400001</t>
  </si>
  <si>
    <t>D'Antonoli, TA; Stanzione, A; Bluethgen, C; Vernuccio, F; Ugga, L; Klontzas, ME; Cuocolo, R; Cannella, R; Kocak, B</t>
  </si>
  <si>
    <t>With the advent of large language models (LLMs), the artificial intelligence revolution in medicine and radiology is now more tangible than ever. Every day, an increasingly large number of articles are published that utilize LLMs in radiology. To adopt and safely implement this new technology in the field, radiologists should be familiar with its key concepts, understand at least the technical basics, and be aware of the potential risks and ethical considerations that come with it. In this review article, the authors provide an overview of the LLMs that might be relevant to the radiology community and include a brief discussion of their short history, technical basics, ChatGPT, prompt engineering, potential applications in medicine and radiology, advantages, disadvantages and risks, ethical and regulatory considerations, and future directions.</t>
  </si>
  <si>
    <t>D'Antonoli, Tugba Akinci; Stanzione, Arnaldo; Bluethgen, Christian; Vernuccio, Federica; Ugga, Lorenzo; Klontzas, Michail E.; Cuocolo, Renato; Cannella, Roberto; Kocak, Burak</t>
  </si>
  <si>
    <t>D'Antonoli, TA (corresponding author), Cantonal Hosp Baselland, Inst Radiol &amp; Nucl Med, Liestal, Switzerland.</t>
  </si>
  <si>
    <t>akincidantonoli@unibas.ch</t>
  </si>
  <si>
    <t>Bracco Imaging S.r.l; GE Healthcare; Bayer; Bracco; European Union-FESR or FSE</t>
  </si>
  <si>
    <t>Bracco Imaging S.r.l; GE Healthcare (General Electric, GE Healthcare); Bayer (Bayer AG); Bracco; European Union-FESR or FSE</t>
  </si>
  <si>
    <t>F.V.; none related to this study; received support to attend meetings from Bracco Imaging S.r.l., and GE Healthcare. M.E.K.; meeting attendance support from Bayer. Ro.C.; support for attending meetings from Bracco and Bayer; research collaboration with Siemens Healthcare; co-funding by the European Union-FESR or FSE, PON Research and Innovation 2014-2020-DM 1062/2021. Burak Kocak, MD, is Section Editor in Diagnostic and Interventional Radiology. He had no involvement in the peer-review of this article and had no access to information regarding its peer-review. Other authors have nothing to disclose.</t>
  </si>
  <si>
    <t>[D'Antonoli, Tugba Akinci] Cantonal Hosp Baselland, Inst Radiol &amp; Nucl Med, Liestal, Switzerland; [Stanzione, Arnaldo; Ugga, Lorenzo] Univ Naples Federico II, Dept Adv Biomed Sci, Naples, Italy; [Bluethgen, Christian] Univ Zurich, Univ Hosp Zurich, Inst Diagnost &amp; Intervent Radiol, Zurich, Switzerland; [Vernuccio, Federica] Univ Hosp Padova, Dept Radiol, Padua, Italy; [Klontzas, Michail E.] Univ Hosp Heraklion, Dept Med Imaging, Iraklion, Greece; [Klontzas, Michail E.] Univ Crete, Dept Radiol, Iraklion, Greece; [Klontzas, Michail E.] FORTH, Inst Comp Sci, Computat Biomed Lab, Iraklion, Greece; [Cuocolo, Renato] Univ Salerno, Dept Med Surg &amp; Dent, Baronissi, Italy; [Cannella, Roberto] Univ Palermo, Sect Neurosurg, Dept Biomed Neurosci &amp; Adv Diagnost, Palermo, Italy; [Kocak, Burak] Univ Hlth Sci, Basaksehir Cam &amp; Sakura City Hosp, Clin Radiol, Istanbul, Turkiye</t>
  </si>
  <si>
    <t>Kantonsspital Baselland; University of Naples Federico II; University of Zurich; University Zurich Hospital; University of Padua; Azienda Ospedaliera - Universita di Padova; University Hospital of Heraklion; University of Crete; Foundation for Research &amp; Technology - Hellas (FORTH); University of Salerno; University of Palermo; University of Health Sciences Turkey</t>
  </si>
  <si>
    <t>Large language models in radiology: fundamentals, applications, ethical considerations, risks, and future directions</t>
  </si>
  <si>
    <t>DIAGNOSTIC AND INTERVENTIONAL RADIOLOGY</t>
  </si>
  <si>
    <t>Large language models; natural language processing; artificial intelligence; ChatGPT; deep learning</t>
  </si>
  <si>
    <t>Ugga, Lorenzo/AAI-2644-2019; Kocak, Burak/A-4749-2012; Cuocolo, Renato/G-3147-2018; Akinci D'Antonoli, Tugba/I-5766-2019; Vernuccio, Federica/JVE-2108-2024; Cannella, Roberto/U-7501-2019; Blüthgen, Christian/I-3050-2019; Klontzas, Michail/I-5671-2019</t>
  </si>
  <si>
    <t>Kocak, Burak/0000-0002-7307-396X; Cuocolo, Renato/0000-0002-1452-1574; Akinci D'Antonoli, Tugba/0000-0002-7237-711X; Vernuccio, Federica/0000-0003-0350-1794; Cannella, Roberto/0000-0002-3808-0785; Blüthgen, Christian/0000-0001-7321-5676; Klontzas, Michail/0000-0003-2731-933X</t>
  </si>
  <si>
    <t>204</t>
  </si>
  <si>
    <t>TURKISH SOC RADIOLOGY</t>
  </si>
  <si>
    <t>ANKARA</t>
  </si>
  <si>
    <t>Hosdere Caddesi, Guzelkent Sokak, Cankaya Evleri, F Blok, No:2 , Cankaya PK, ANKARA, TURKEY</t>
  </si>
  <si>
    <t>1305-3612</t>
  </si>
  <si>
    <t>DIAGN INTERV RADIOL</t>
  </si>
  <si>
    <t>Diagn. Interv. Radiol.</t>
  </si>
  <si>
    <t>MAR 2024</t>
  </si>
  <si>
    <t>90</t>
  </si>
  <si>
    <t>10.4274/dir.2023.232417</t>
  </si>
  <si>
    <t>http://dx.doi.org/10.4274/dir.2023.232417</t>
  </si>
  <si>
    <t>QP4N6</t>
  </si>
  <si>
    <t>37789676</t>
  </si>
  <si>
    <t>WOS:001222062400006</t>
  </si>
  <si>
    <t>Thurzo, A; Strunga, M; Urban, R; Surovková, J; Afrashtehfar, KI</t>
  </si>
  <si>
    <t>In this intellectual work, the clinical and educational aspects of dentistry were confronted with practical applications of artificial intelligence (AI). The aim was to provide an up-to-date overview of the upcoming changes and a brief analysis of the influential advancements in the use of AI in dental education since 2020. In addition, this review provides a guide for a dental curriculum update for undergraduate and postgraduate education in the context of advances in AI applications and their impact on dentistry. Unsurprisingly, most dental educators have limited knowledge and skills to assess AI applications, as they were not trained to do so. Also, AI technology has evolved exponentially in recent years. Factual reliability and opportunities with OpenAI Inc.'s ChatGPT are considered critical inflection points in the era of generative AI. Updating curricula at dental institutions is inevitable as advanced deep-learning approaches take over the clinical areas of dentistry and reshape diagnostics, treatment planning, management, and telemedicine screening. With recent advances in AI language models, communication with patients will change, and the foundations of dental education, including essay, thesis, or scientific paper writing, will need to adapt. However, there is a growing concern about its ethical and legal implications, and further consensus is needed for the safe and responsible implementation of AI in dental education.</t>
  </si>
  <si>
    <t>Thurzo, Andrej; Strunga, Martin; Urban, Renata; Surovkova, Jana; Afrashtehfar, Kelvin I. I.</t>
  </si>
  <si>
    <t>Thurzo, A (corresponding author), Comenius Univ, Fac Med, Dept Orthodont Regenerat &amp; Forens Dent, Bratislava 81250, Slovakia.; Afrashtehfar, KI (corresponding author), Ajman Univ, Coll Dent, Clin Sci Dept, Evidence Based Practice Unit, Box 346, Ajman City, U Arab Emirates.; Afrashtehfar, KI (corresponding author), Univ Bern, Sch Dent Med, Dept Reconstruct Dent &amp; Gerodontol, CH-3010 Bern, Switzerland.</t>
  </si>
  <si>
    <t>thurzo3@uniba.sk; kelvin.afrashtehfar@unibe.ch</t>
  </si>
  <si>
    <t>[Thurzo, Andrej; Strunga, Martin; Urban, Renata; Surovkova, Jana] Comenius Univ, Fac Med, Dept Orthodont Regenerat &amp; Forens Dent, Bratislava 81250, Slovakia; [Afrashtehfar, Kelvin I. I.] Ajman Univ, Coll Dent, Clin Sci Dept, Evidence Based Practice Unit, Box 346, Ajman City, U Arab Emirates; [Afrashtehfar, Kelvin I. I.] Univ Bern, Sch Dent Med, Dept Reconstruct Dent &amp; Gerodontol, CH-3010 Bern, Switzerland</t>
  </si>
  <si>
    <t>Comenius University Bratislava; Ajman University; University of Bern</t>
  </si>
  <si>
    <t>Impact of Artificial Intelligence on Dental Education: A Review and Guide for Curriculum Update</t>
  </si>
  <si>
    <t>EDUCATION SCIENCES</t>
  </si>
  <si>
    <t>AI; generative AI; AI academic implementation; dentistry; AI plagiarism; ChatGPT; Midjourney; health professions; AI detectors; education curriculum</t>
  </si>
  <si>
    <t>DENTISTRY; 3D</t>
  </si>
  <si>
    <t>Strunga, Martin/GSN-9221-2022; Thurzo, Andrej/AAX-7034-2021; Afrashtehfar, Kelvin Ian/G-1938-2017; Urban, Renata/GVU-0842-2022</t>
  </si>
  <si>
    <t>Thurzo, Andrej/0000-0002-7810-5721; Afrashtehfar, Kelvin Ian/0000-0002-6053-8967</t>
  </si>
  <si>
    <t>50</t>
  </si>
  <si>
    <t>184</t>
  </si>
  <si>
    <t>253</t>
  </si>
  <si>
    <t>2227-7102</t>
  </si>
  <si>
    <t>EDUC SCI</t>
  </si>
  <si>
    <t>Educ. Sci.</t>
  </si>
  <si>
    <t>FEB 2023</t>
  </si>
  <si>
    <t>10.3390/educsci13020150</t>
  </si>
  <si>
    <t>http://dx.doi.org/10.3390/educsci13020150</t>
  </si>
  <si>
    <t>9H1LQ</t>
  </si>
  <si>
    <t>WOS:000938601500001</t>
  </si>
  <si>
    <t>Samaranayake, L; Tuygunov, N; Schwendicke, F; Osathanon, T; Khurshid, Z; Boymuradov, SA; Cahyanto, A</t>
  </si>
  <si>
    <t>Artificial intelligence (AI) holds immense promise in revolutionising dentistry, spanning, diagnostics, treatment planning and educational realms. This narrative review, in two parts, explores the fundamentals and the multifaceted potential of AI in dentistry. The current article explores the profound impact of AI in dentistry, encompassing diagnostic tools, treatment planning, and patient care. The Part 2 of the article delves into the potential of AI in patient education, ethics and the FDI communique on AI in dentistry. The review begins by elucidating the historical context of AI, outlining its recent widespread use in various sectors, including medicine and dentistry. The narrative delves into the fundamental concepts of AI, which entails developing machines capable of executing tasks that typically necessitate human intellect. In the biomedical realm, AI has evolved from exploring computational models to constructing systems for clinical data processing and interpretation, aiming to enhance medical/dental decision-making. The discussion delves into the pivotal role of AI models in dentistry, such as Large Language Models (LLM), Large Vision Models (LVM), and Multimodality Models (MM), revolutionizing processes from clinical documentation to treatment planning. The narrative extends to the applications of AI in dental specialties such as periodontics, endodontics, oral medicine and pathology, restorative dentistry, prosthodontics, paediatric dentistry, forensic odontology, oral and maxillofacial surgery, orthodontics, and orofacial pain management. AI's role in improving treatment outcomes, diagnostic accuracy, and decision-making processes is evident across these specialties, showcasing its potential in transforming dental care. The review concludes by highlighting the need for continued validation, interdisciplinary collaboration, and regulatory</t>
  </si>
  <si>
    <t>Samaranayake, Lakshman; Tuygunov, Nozimjon; Schwendicke, Falk; Osathanon, Thanaphum; Khurshid, Zohaib; Boymuradov, Shukhrat A.; Cahyanto, Arief</t>
  </si>
  <si>
    <t>Samaranayake, L (corresponding author), Chulalongkorn Univ, Fac Dent, Ctr Excellence Dent Stem Cell Biol, Bangkok, Thailand.; Samaranayake, L (corresponding author), Univ Hong Kong, Fac Dent, Sai Ying Pun, Hong Kong, Peoples R China.; Samaranayake, L (corresponding author), Dr DY Patil Vidyapeeth, Dr DY Patil Dental Coll &amp; Hosp, Pune, India.; Tuygunov, N (corresponding author), Kimyo Int Univ Tashkent, Fac Dent, Tashkent, Uzbekistan.</t>
  </si>
  <si>
    <t>lakshman@hku.hk; nozimtuygunov@gmail.com</t>
  </si>
  <si>
    <t>Chulalongkorn University, Thailand</t>
  </si>
  <si>
    <t>Chulalongkorn University, Thailand (Chulalongkorn University)</t>
  </si>
  <si>
    <t>This research received no specific grant from funding agen-cies in the public, commercial, or not-for-profit sectors. L.S. is partially supported by the Second Century High Potential Pro-fessoriate by Chulalongkorn University, Thailand.</t>
  </si>
  <si>
    <t>[Samaranayake, Lakshman; Osathanon, Thanaphum; Khurshid, Zohaib] Chulalongkorn Univ, Fac Dent, Ctr Excellence Dent Stem Cell Biol, Bangkok, Thailand; [Samaranayake, Lakshman] Univ Hong Kong, Fac Dent, Sai Ying Pun, Hong Kong, Peoples R China; [Samaranayake, Lakshman] Dr DY Patil Vidyapeeth, Dr DY Patil Dental Coll &amp; Hosp, Pune, India; [Tuygunov, Nozimjon] Kimyo Int Univ Tashkent, Fac Dent, Tashkent, Uzbekistan; [Schwendicke, Falk] Univ Munich, Univ Hosp Ludwig Maximilians, Clin Conservat Dent &amp; Periodontol, Munich, Germany; [Khurshid, Zohaib] King Faisal Univ, Coll Dent, Dept Prosthodont &amp; Dent Implantol, Al Hasa, Saudi Arabia; [Boymuradov, Shukhrat A.] Tashkent Med Acad, Fac Dent, Dept Oral &amp; maxillofacial Surg, Tashkent, Uzbekistan; [Cahyanto, Arief] Ajman Univ, Coll Dent, Dept Restorat Dent, Ajman, U Arab Emirates; [Cahyanto, Arief] Ajman Univ, Ctr Med &amp; Bioallied Hlth Sci Res, Ajman, U Arab Emirates</t>
  </si>
  <si>
    <t>Chulalongkorn University; University of Hong Kong; Dr DY Patil Vidyapeeth Pune; Kimyo International University in Tashkent; University of Munich; King Faisal University; Tashkent State Medical University; Ajman University; Ajman University</t>
  </si>
  <si>
    <t>The Transformative Role of Artificial Intelligence in Dentistry: A Comprehensive Overview. Part 1: Fundamentals of AI, and its Contemporary Applications in Dentistry</t>
  </si>
  <si>
    <t>INTERNATIONAL DENTAL JOURNAL</t>
  </si>
  <si>
    <t>Artificial intelligence; Dentistry; Challenge; Literacy; Oral health; AI; Petient care</t>
  </si>
  <si>
    <t>CONVOLUTIONAL NEURAL-NETWORK; SQUAMOUS-CELL CARCINOMA; COMPROMISED TEETH; DEEP; CLASSIFICATION; LESIONS; PERIODONTITIS; SEGMENTATION; PREDICTION; ACCURACY</t>
  </si>
  <si>
    <t>Tuygunov, Nozimjon/MTA-5829-2025; Cahyanto, Arief/L-2410-2016; Khurshid, Zohaib/K-9314-2015</t>
  </si>
  <si>
    <t>Tuygunov, Nozimjon/0009-0000-9781-1755; Cahyanto, Arief/0000-0003-2222-5895; Khurshid, Zohaib/0000-0001-7998-7335; Osathanon, Thanaphum/0000-0003-1649-6357</t>
  </si>
  <si>
    <t>121</t>
  </si>
  <si>
    <t>181</t>
  </si>
  <si>
    <t>191</t>
  </si>
  <si>
    <t>166</t>
  </si>
  <si>
    <t>259</t>
  </si>
  <si>
    <t>ELSEVIER</t>
  </si>
  <si>
    <t>AMSTERDAM</t>
  </si>
  <si>
    <t>RADARWEG 29, 1043 NX AMSTERDAM, NETHERLANDS</t>
  </si>
  <si>
    <t>0020-6539</t>
  </si>
  <si>
    <t>1875-595X</t>
  </si>
  <si>
    <t>INT DENT J</t>
  </si>
  <si>
    <t>Int. Dent. J.</t>
  </si>
  <si>
    <t>APR 2025</t>
  </si>
  <si>
    <t>383</t>
  </si>
  <si>
    <t>396</t>
  </si>
  <si>
    <t>10.1016/j.identj.2025.02.005</t>
  </si>
  <si>
    <t>http://dx.doi.org/10.1016/j.identj.2025.02.005</t>
  </si>
  <si>
    <t>1LZ6D</t>
  </si>
  <si>
    <t>40074616</t>
  </si>
  <si>
    <t>WOS:001468197900001</t>
  </si>
  <si>
    <t>33</t>
  </si>
  <si>
    <t>Yu, P; Xu, H; Hu, X; Deng, C</t>
  </si>
  <si>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</si>
  <si>
    <t>Yu, Ping; Xu, Hua; Hu, Xia; Deng, Chao</t>
  </si>
  <si>
    <t>Yu, P (corresponding author), Univ Wollongong, Sch Comp &amp; Informat Technol, Wollongong, NSW 2522, Australia.</t>
  </si>
  <si>
    <t>xia.hu@rice.edu; ping@uow.edu.au; chao@uow.edu.au; hua.xu@yale.edu</t>
  </si>
  <si>
    <t>[Yu, Ping] Univ Wollongong, Sch Comp &amp; Informat Technol, Wollongong, NSW 2522, Australia; [Xu, Hua] Yale Sch Med, Sect Biomed Informat &amp; Data Sci, 100 Coll St,Fl 9, New Haven, CT 06510 USA; [Hu, Xia] Rice Univ, Dept Comp Sci, POB 1892, Houston, TX 77251 USA; [Deng, Chao] Univ Wollongong, Sch Med Indigenous &amp; Hlth Sci, Wollongong, NSW 2522, Australia</t>
  </si>
  <si>
    <t>University of Wollongong; Yale University; Rice University; University of Wollongong</t>
  </si>
  <si>
    <t>Leveraging Generative AI and Large Language Models: A Comprehensive Roadmap for Healthcare Integration</t>
  </si>
  <si>
    <t>generative artificial intelligence; generative AI; large language models; LLM; ethics; healthcare; medicine</t>
  </si>
  <si>
    <t>Yu, Ping/B-1205-2008; Deng, Chao/F-4417-2016</t>
  </si>
  <si>
    <t>Yu, Ping/0000-0002-7910-9396; Deng, Chao/0000-0003-1147-5741</t>
  </si>
  <si>
    <t>60</t>
  </si>
  <si>
    <t>26</t>
  </si>
  <si>
    <t>436</t>
  </si>
  <si>
    <t>2776</t>
  </si>
  <si>
    <t>10.3390/healthcare11202776</t>
  </si>
  <si>
    <t>http://dx.doi.org/10.3390/healthcare11202776</t>
  </si>
  <si>
    <t>W2FH4</t>
  </si>
  <si>
    <t>37893850</t>
  </si>
  <si>
    <t>WOS:001089835500001</t>
  </si>
  <si>
    <t>Kim, JK; Chua, M; Rickard, M; Lorenzo, A</t>
  </si>
  <si>
    <t>IntroductionThere is currently no clear consensus on the standards for using large language models such as ChatGPT in academic medicine. Hence, we performed a scoping review of available literature to understand the current state of LLM use in medicine and to provide a guideline for future utilization in academia.Materials and methodsA scoping review of the literature was performed through a Medline search on February 16, 2023 using a combination of keywords including artificial intelligence, machine learning, natural language processing, generative pretrained transformer, ChatGPT, and large language model. There were no restrictions to language or date of publication. Records not pertaining to LLMs were excluded. Records pertaining to LLM ChatBots and ChatGPT were identified and evaluated separately. Among the records pertaining to LLM ChatBots and ChatGPT, those that suggest recommendations for ChatGPT use in academia were utilized to create guideline statements for ChatGPT and LLM use in academic medicine.ResultsA total of 87 records were identified. 30 records were not pertaining to large language models and were excluded. 54 records underwent a full-text review for evaluation. There were 33 records related to LLM ChatBots or ChatGPT.DiscussionFrom assessing these texts, five guideline state-ments for LLM use was developed: (1) ChatGPT/LLM cannot be cited as an author in scientific manu -scripts; (2) If use of ChatGPT/LLM are considered for use in academic work, author(s) should have at least a basic understanding of what ChatGPT/LLM is; (3) Do not use ChatGPT/LLM to produce entirety of text in manuscripts; humans must be held accountable for use of ChatGPT/LLM and contents created by ChatGPT/LLM should be meticulously verified by humans; (4) ChatGPT/LLMs may be used for editing and refining of text; (5) Any use of ChatGPT/LLM should be transparent and should be clearly outlined in scientific manuscripts and acknowledged.ConclusionFuture authors should remain mindful of the po-tential impact their academic work may have on healthcare and continue to uphold the highest ethical standards and integrity when utilizing ChatGPT/LLM.</t>
  </si>
  <si>
    <t>Kim, Jin K.; Chua, Michael; Rickard, Mandy; Lorenzo, Armando</t>
  </si>
  <si>
    <t>Kim, JK (corresponding author), Hosp Sick Children, Div Urol, 555 Univ Ave, Toronto, ON M5G 1X8, Canada.</t>
  </si>
  <si>
    <t>jjk.kim@mail.utoronto.ca</t>
  </si>
  <si>
    <t>[Kim, Jin K.; Chua, Michael; Rickard, Mandy; Lorenzo, Armando] Hosp Sick Children, Dept Surg, Div Urol, Toronto, ON, Canada; [Kim, Jin K.; Chua, Michael; Lorenzo, Armando] Univ Toronto, Dept Surg, Div Urol, Toronto, ON, Canada; [Chua, Michael] St Lukes Med Ctr, Inst Urol, Quezon City, Philippines; [Kim, Jin K.] Hosp Sick Children, Div Urol, 555 Univ Ave, Toronto, ON M5G 1X8, Canada</t>
  </si>
  <si>
    <t>University of Toronto; Hospital for Sick Children (SickKids); University of Toronto; Saint Lukes Medical Center - Philippines; University of Toronto; Hospital for Sick Children (SickKids)</t>
  </si>
  <si>
    <t>ChatGPT and large language model (LLM) chatbots: The current state of acceptability and a proposal for guidelines on utilization in academic medicine</t>
  </si>
  <si>
    <t>JOURNAL OF PEDIATRIC UROLOGY</t>
  </si>
  <si>
    <t>Large language model; ChatGPT; Generative pre-trained transformer; Artificial intelligence</t>
  </si>
  <si>
    <t>172</t>
  </si>
  <si>
    <t>179</t>
  </si>
  <si>
    <t>594</t>
  </si>
  <si>
    <t>ELSEVIER SCI LTD</t>
  </si>
  <si>
    <t>London</t>
  </si>
  <si>
    <t>125 London Wall, London, ENGLAND</t>
  </si>
  <si>
    <t>1477-5131</t>
  </si>
  <si>
    <t>1873-4898</t>
  </si>
  <si>
    <t>J PEDIATR UROL</t>
  </si>
  <si>
    <t>J. Pediatr. Urol</t>
  </si>
  <si>
    <t>598</t>
  </si>
  <si>
    <t>604</t>
  </si>
  <si>
    <t>10.1016/j.jpurol.2023.05.018</t>
  </si>
  <si>
    <t>http://dx.doi.org/10.1016/j.jpurol.2023.05.018</t>
  </si>
  <si>
    <t>Pediatrics; Urology &amp; Nephrology</t>
  </si>
  <si>
    <t>U6XB4</t>
  </si>
  <si>
    <t>37328321</t>
  </si>
  <si>
    <t>WOS:001086204600001</t>
  </si>
  <si>
    <t>Guo, ZJ; Lai, A; Thygesen, JH; Farrington, J; Keen, T; Li, KZ</t>
  </si>
  <si>
    <t>Background: Large language models (LLMs) are advanced artificial neural networks trained on extensive datasets to accurately understand and generate natural language. While they have received much attention and demonstrated potential in digital health, their application in mental health, particularly in clinical settings, has generated considerable debate. Objective: This systematic review aims to critically assess the use of LLMs in mental health, specifically focusing on theirapplicability and efficacy in early screening, digital interventions, and clinical settings. By systematically collating and assessingthe evidence from current studies, our work analyzes models, methodologies, data sources, and outcomes, thereby highlightingthe potential of LLMs in mental health, the challenges they present, and the prospects for their clinical use. Methods: Adhering to the PRISMA (Preferred Reporting Items for Systematic Reviews and Meta-Analyses) guidelines, thisreview searched 5 open-access databases: MEDLINE (accessed by PubMed), IEEE Xplore, Scopus, JMIR, and ACM DigitalLibrary. Keywords used were (mental healthOR mental illnessOR mental disorderOR psychiatry) AND (large languagemodels). This study included articles published between January 1, 2017, and April 30, 2024, and excluded articles published inlanguages other than English. Results: In total, 40 articles were evaluated, including 15 (38%) articles on mental health conditions and suicidal ideationdetection through text analysis, 7 (18%) on the use of LLMs as mental health conversational agents, and 18 (45%) on otherapplications and evaluations of LLMs in mental health. LLMs show good effectiveness in detecting mental health issues andproviding accessible, destigmatized eHealth services. However, assessments also indicate that the current risks associated withclinical use might surpass their benefits. These risks include inconsistencies in generated text; the production of hallucinations;and the absence of a comprehensive, benchmarked ethical framework. Conclusions: This systematic review examines the clinical applications of LLMs in mental health, highlighting their potentialand inherent risks. The study identifies several issues: the lack of multilingual datasets annotated by experts, concerns regardingthe accuracy and reliability of generated content, challenges in interpretability due to the "black box" nature of LLMs, and ongoingethical dilemmas. These ethical concerns include the absence of a clear, benchmarked ethical framework; data privacy issues; and the potential for overreliance on LLMs by both physicians and patients, which could compromise traditional medical practices. As a result, LLMs should not be considered substitutes for professional mental health services. However, the rapid development of LLMs underscores their potential as valuable clinical aids, emphasizing the need for continued research and development inthis area.</t>
  </si>
  <si>
    <t>Guo, Zhijun; Lai, Alvina; Thygesen, Johan H.; Farrington, Joseph; Keen, Thomas; Li, Kezhi</t>
  </si>
  <si>
    <t>Li, KZ (corresponding author), UCL, Inst Hlth Informat, 222 Euston Rd, London NW1 2DA, England.</t>
  </si>
  <si>
    <t>ken.li@ucl.ac.uk</t>
  </si>
  <si>
    <t>[Guo, Zhijun; Lai, Alvina; Thygesen, Johan H.; Farrington, Joseph; Keen, Thomas; Li, Kezhi] UCL, Inst Hlth Informat, 222 Euston Rd, London NW1 2DA, England; [Keen, Thomas] UCL, Great Ormond St Inst Child Hlth, London, England</t>
  </si>
  <si>
    <t>University of London; University College London; University of London; University College London</t>
  </si>
  <si>
    <t>Large Language Models for Mental Health Applications:Systematic Review</t>
  </si>
  <si>
    <t>JMIR MENTAL HEALTH</t>
  </si>
  <si>
    <t>large language models; mental health; digital health care; ChatGPT; Bidirectional Encoder Representations from Transformers; BERT</t>
  </si>
  <si>
    <t>Lai, Alvina/T-6851-2019; /AFS-4973-2022</t>
  </si>
  <si>
    <t>Li, Kezhi/0000-0003-3073-3128; Farrington, Joseph/0000-0003-4156-3419; Lai, Alvina/0000-0001-8960-8095; guo, zhijun/0009-0006-1901-5191</t>
  </si>
  <si>
    <t>105</t>
  </si>
  <si>
    <t>2368-7959</t>
  </si>
  <si>
    <t>JMIR MENT HEALTH</t>
  </si>
  <si>
    <t>JMIR Ment. Health</t>
  </si>
  <si>
    <t>e57400</t>
  </si>
  <si>
    <t>10.2196/57400</t>
  </si>
  <si>
    <t>http://dx.doi.org/10.2196/57400</t>
  </si>
  <si>
    <t>Psychiatry</t>
  </si>
  <si>
    <t>K5Y7W</t>
  </si>
  <si>
    <t>39423368</t>
  </si>
  <si>
    <t>WOS:001344635600002</t>
  </si>
  <si>
    <t>Theodosiou, AA; Read, RC</t>
  </si>
  <si>
    <t>Background: Artificial intelligence (AI), machine learning and deep learning (including generative AI) are increasingly being investigated in the context of research and management of human infection. Objectives: We summarise recent and potential future applications of AI and its relevance to clinical infection practice.Methods: 1617 PubMed results were screened, with priority given to clinical trials, systematic reviews and meta-analyses. This narrative review focusses on studies using prospectively collected real-world data with clinical validation, and on research with translational potential, such as novel drug discovery and micro-biome-based interventions. Results: There is some evidence of clinical utility of AI applied to laboratory diagnostics (e.g. digital culture plate reading, malaria diagnosis, antimicrobial resistance profiling), clinical imaging analysis (e.g. pul-monary tuberculosis diagnosis), clinical decision support tools (e.g. sepsis prediction, antimicrobial pre-scribing) and public health outbreak management (e.g. COVID-19). Most studies to date lack any real-world validation or clinical utility metrics. Significant heterogeneity in study design and reporting limits com-parability. Many practical and ethical issues exist, including algorithm transparency and risk of bias.Conclusions: Interest in and development of AI-based tools for infection research and management are undoubtedly gaining pace, although the real-world clinical utility to date appears much more modest.&amp; COPY; 2023 The Author(s). Published by Elsevier Ltd on behalf of The British Infection Association. This is an open access article under the CC BY license (http://creativecommons.org/licenses/by/4.0/).</t>
  </si>
  <si>
    <t>Theodosiou, Anastasia A.; Read, Robert C.</t>
  </si>
  <si>
    <t>Theodosiou, AA (corresponding author), Univ Hosp Southampton, Clin &amp; Expt Sci &amp; NIHR Southampton Biomed Res Ctr, Tremona Rd, Southampton SO166YD, England.</t>
  </si>
  <si>
    <t>at1u17@soton.ac.uk</t>
  </si>
  <si>
    <t>Medical Research Council Clinical Research Training Fellowship [MR/V002015/1]; MRC [MR/V002015/1] Funding Source: UKRI</t>
  </si>
  <si>
    <t>Medical Research Council Clinical Research Training Fellowship (UK Research &amp; Innovation (UKRI), Medical Research Council UK (MRC)); MRC (UK Research &amp; Innovation (UKRI), Medical Research Council UK (MRC))</t>
  </si>
  <si>
    <t>Figures are original and were produced using Mindthegraph.com and Microsoft Office. AT is funded by a Medical Research Council Clinical Research Training Fellowship (MR/V002015/1) .</t>
  </si>
  <si>
    <t>[Theodosiou, Anastasia A.; Read, Robert C.] Univ Hosp Southampton, Clin &amp; Expt Sci &amp; NIHR Southampton Biomed Res Ctr, Tremona Rd, Southampton SO166YD, England</t>
  </si>
  <si>
    <t>Artificial intelligence, machine learning and deep learning: Potential resources for the infection clinician</t>
  </si>
  <si>
    <t>JOURNAL OF INFECTION</t>
  </si>
  <si>
    <t>Artificial intelligence; Machine learning; Deep learning; Clinical decision support systems</t>
  </si>
  <si>
    <t>HEALTHMAP</t>
  </si>
  <si>
    <t>Theodosiou, Anastasia A/HNC-3282-2023</t>
  </si>
  <si>
    <t>Read, Robert/0000-0002-4297-6728; Theodosiou, Anastasia A/0000-0002-0096-4825</t>
  </si>
  <si>
    <t>200</t>
  </si>
  <si>
    <t>W B SAUNDERS CO LTD</t>
  </si>
  <si>
    <t>32 JAMESTOWN RD, LONDON NW1 7BY, ENGLAND</t>
  </si>
  <si>
    <t>0163-4453</t>
  </si>
  <si>
    <t>1532-2742</t>
  </si>
  <si>
    <t>J INFECTION</t>
  </si>
  <si>
    <t>J. Infect.</t>
  </si>
  <si>
    <t>287</t>
  </si>
  <si>
    <t>294</t>
  </si>
  <si>
    <t>10.1016/j.jinf.2023.07.006</t>
  </si>
  <si>
    <t>http://dx.doi.org/10.1016/j.jinf.2023.07.006</t>
  </si>
  <si>
    <t>Infectious Diseases</t>
  </si>
  <si>
    <t>S6RY4</t>
  </si>
  <si>
    <t>37468046</t>
  </si>
  <si>
    <t>WOS:001072431400001</t>
  </si>
  <si>
    <t>hybrid; Green Accepted</t>
  </si>
  <si>
    <t>Cascella, M; Semeraro, F; Montomoli, J; Bellini, V; Piazza, O; Bignami, E</t>
  </si>
  <si>
    <t>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</si>
  <si>
    <t>Cascella, Marco; Semeraro, Federico; Montomoli, Jonathan; Bellini, Valentina; Piazza, Ornella; Bignami, Elena</t>
  </si>
  <si>
    <t>Bellini, V (corresponding author), Univ Parma, Dept Med &amp; Surg, Anesthesiol Crit Care &amp; Pain Med Div, Viale Gramsci 14, I-43126 Parma, Italy.</t>
  </si>
  <si>
    <t>valentina.bellini@unipr.it</t>
  </si>
  <si>
    <t>Universit degli Studi di Parma</t>
  </si>
  <si>
    <t>[Cascella, Marco; Piazza, Ornella] Univ Salerno, Dept Med Surg &amp; Dent Scuola Med Salernitana, Anesthesia &amp; Pain Med, Via S Allende, I-84081 Baronissi, Italy; [Semeraro, Federico] Maggiore Hosp Carlo Alberto Pizzardi, Dept Anesthesia Intens Care &amp; Prehosp Emergency, Bologna, Italy; [Montomoli, Jonathan] Infermi Hosp, Dept Anesthesia &amp; Intens Care, AUSL Romagna, Viale Settembrini 2, I-47923 Rimini, Italy; [Bellini, Valentina; Bignami, Elena] Univ Parma, Dept Med &amp; Surg, Anesthesiol Crit Care &amp; Pain Med Div, Viale Gramsci 14, I-43126 Parma, Italy</t>
  </si>
  <si>
    <t>University of Salerno; AUSL della Romagna; Hospital of Rimini; University of Parma</t>
  </si>
  <si>
    <t>The Breakthrough of Large Language Models Release for Medical Applications: 1-Year Timeline and Perspectives</t>
  </si>
  <si>
    <t>JOURNAL OF MEDICAL SYSTEMS</t>
  </si>
  <si>
    <t>Large Language Models; Chatbot; Natural Language Processing; Artificial Intelligence; ChatGPT; Clinical Decision Support; Generative AI</t>
  </si>
  <si>
    <t>Piazza, Ornella/G-5339-2012; montomoli, jonathan/H-2997-2019; Cascella, Marco/N-1316-2018</t>
  </si>
  <si>
    <t>Cascella, Marco/0000-0002-5236-3132</t>
  </si>
  <si>
    <t>161</t>
  </si>
  <si>
    <t>234</t>
  </si>
  <si>
    <t>SPRINGER</t>
  </si>
  <si>
    <t>NEW YORK</t>
  </si>
  <si>
    <t>ONE NEW YORK PLAZA, SUITE 4600, NEW YORK, NY, UNITED STATES</t>
  </si>
  <si>
    <t>0148-5598</t>
  </si>
  <si>
    <t>1573-689X</t>
  </si>
  <si>
    <t>J MED SYST</t>
  </si>
  <si>
    <t>J. Med. Syst.</t>
  </si>
  <si>
    <t>FEB 17 2024</t>
  </si>
  <si>
    <t>22</t>
  </si>
  <si>
    <t>10.1007/s10916-024-02045-3</t>
  </si>
  <si>
    <t>http://dx.doi.org/10.1007/s10916-024-02045-3</t>
  </si>
  <si>
    <t>HX5W5</t>
  </si>
  <si>
    <t>38366043</t>
  </si>
  <si>
    <t>WOS:001162831400001</t>
  </si>
  <si>
    <t>Guo, ED; Gupta, M; Deng, JW; Park, YJ; Paget, M; Naugler, C</t>
  </si>
  <si>
    <t>Background: The systematic review of clinical research papers is a labor-intensive and time-consuming process that often involves the screening of thousands of titles and abstracts. The accuracy and efficiency of this process are critical for the quality of the review and subsequent health care decisions. Traditional methods rely heavily on human reviewers, often requiring a significant investment of time and resources. Objective: This study aims to assess the performance of the OpenAI generative pretrained transformer (GPT) and GPT-4 application programming interfaces (APIs) in accurately and efficiently identifying relevant titles and abstracts from real-world clinical review data sets and comparing their performance against ground truth labeling by 2 independent human reviewers. Methods: We introduce a novel workflow using the Chat GPT and GPT-4 APIs for screening titles and abstracts in clinical reviews. A Python script was created to make calls to the API with the screening criteria in natural language and a corpus of title and abstract data sets filtered by a minimum of 2 human reviewers. We compared the performance of our model against human-reviewed papers across 6 review papers, screening over 24,000 titles and abstracts. Results: Our results show an accuracy of 0.91, a macro F1-score of 0.60, a sensitivity of excluded papers of 0.91, and a sensitivity of included papers of 0.76. The interrater variability between 2 independent human screeners was kappa=0.46, and the prevalence and bias-adjusted kappa between our proposed methods and the consensus-based human decisions was kappa=0.96. On a randomly selected subset of papers, the GPT models demonstrated the ability to provide reasoning for their decisions and corrected their initial decisions upon being asked to explain their reasoning for incorrect classifications. Conclusions: Large language models have the potential to streamline the clinical review process, save valuable time and effort for researchers, and contribute to the overall quality of clinical reviews. By prioritizing the workflow and acting as an aid rather than a replacement for researchers and reviewers, models such as GPT-4 can enhance efficiency and lead to more accurate and reliable conclusions in medical research.</t>
  </si>
  <si>
    <t>Guo, Eddie; Gupta, Mehul; Deng, Jiawen; Park, Ye-Jean; Paget, Michael; Naugler, Christopher</t>
  </si>
  <si>
    <t>Guo, ED (corresponding author), Univ Calgary, Cumming Sch Med, 3330 Univ Dr NW, Calgary, AB T2N 1N4, Canada.</t>
  </si>
  <si>
    <t>eddie.guo@ucalgary.ca</t>
  </si>
  <si>
    <t>[Guo, Eddie; Gupta, Mehul; Paget, Michael; Naugler, Christopher] Univ Calgary, Cumming Sch Med, 3330 Univ Dr NW, Calgary, AB T2N 1N4, Canada; [Deng, Jiawen; Park, Ye-Jean] Univ Toronto, Temerty Fac Med, Toronto, AB, Canada</t>
  </si>
  <si>
    <t>University of Calgary; University of Toronto</t>
  </si>
  <si>
    <t>Automated Paper Screening for Clinical Reviews Using Large Language Models: Data Analysis Study</t>
  </si>
  <si>
    <t>JOURNAL OF MEDICAL INTERNET RESEARCH</t>
  </si>
  <si>
    <t>abstract screening; Chat GPT; classification; extract; extraction; free text; GPT; GPT-4; language model; large language models; LLM; natural language processing; NLP; nonopiod analgesia; review methodology; review methods; screening; systematic review; systematic; unstructured data</t>
  </si>
  <si>
    <t>Guo, Eddie/AFH-2118-2022; Deng, Jiawen/X-8181-2019</t>
  </si>
  <si>
    <t>Paget, Michael/0000-0002-3322-7661; Deng, Jiawen/0000-0002-8274-6468; Guo, Edward/0000-0002-7223-0505; Park, Ye-Jean/0009-0008-1068-8992</t>
  </si>
  <si>
    <t>155</t>
  </si>
  <si>
    <t>1438-8871</t>
  </si>
  <si>
    <t>J MED INTERNET RES</t>
  </si>
  <si>
    <t>J. Med. Internet Res.</t>
  </si>
  <si>
    <t>JAN 12 2024</t>
  </si>
  <si>
    <t>e48996</t>
  </si>
  <si>
    <t>10.2196/48996</t>
  </si>
  <si>
    <t>http://dx.doi.org/10.2196/48996</t>
  </si>
  <si>
    <t>IE8T7</t>
  </si>
  <si>
    <t>38214966</t>
  </si>
  <si>
    <t>WOS:001164749800001</t>
  </si>
  <si>
    <t>Bordukova, M; Makarov, N; Rodriguez-Esteban, R; Schmich, F; Menden, MP</t>
  </si>
  <si>
    <t>Introduction: The concept of Digital Twins (DTs) translated to drug development and clinical trials describes virtual representations of systems of various complexities, ranging from individual cells to entire humans, and enables in silico simulations and experiments. DTs increase the efficiency of drug discovery and development by digitalizing processes associated with high economic, ethical, or social burden. The impact is multifaceted: DT models sharpen disease understanding, support biomarker discovery and accelerate drug development, thus advancing precision medicine. One way to realize DTs is by generative artificial intelligence (AI), a cutting-edge technology that enables the creation of novel, realistic and complex data with desired properties.Areas covered: The authors provide a brief introduction to generative AI and describe how it facilitates the modeling of DTs. In addition, they compare existing implementations of generative AI for DTs in drug discovery and clinical trials. Finally, they discuss technical and regulatory challenges that should be addressed before DTs can transform drug discovery and clinical trials.Expert opinion: The current state of DTs in drug discovery and clinical trials does not exploit the entire power of generative AI yet and is limited to simulation of a small number of characteristics. Nonetheless, generative AI has the potential to transform the field by leveraging recent developments in deep learning and customizing models for the needs of scientists, physicians and patients.</t>
  </si>
  <si>
    <t>Bordukova, Maria; Makarov, Nikita; Rodriguez-Esteban, Raul; Schmich, Fabian; Menden, Michael P.</t>
  </si>
  <si>
    <t>Schmich, F (corresponding author), Roche Innovat Ctr Munich RICM, Data &amp; Analyt, Pharmaceut Res &amp; Early Dev, Penzberg, Germany.; Menden, MP (corresponding author), Helmholtz Munich, Inst Computat Biol, Computat Hlth Ctr, Munich, Germany.</t>
  </si>
  <si>
    <t>michael.menden@unimelb.edu.au; fabian.schmich@roche.de</t>
  </si>
  <si>
    <t>European Union [950293]; UNITE4TB IMI project; Helmholtz Association; F. Hoffmann-La Roche; European Research Council (ERC) [950293] Funding Source: European Research Council (ERC)</t>
  </si>
  <si>
    <t>European Union (European Union (EU)); UNITE4TB IMI project; Helmholtz Association (Helmholtz Association); F. Hoffmann-La Roche (Roche Holding); European Research Council (ERC) (European Research Council (ERC))</t>
  </si>
  <si>
    <t>MP Menden is supported by the European Union's Horizon 2020 Research and Innovation Programme (Grant agreement No. 950293 - COMBAT-RES) and UNITE4TB IMI project. N Makarov, M Bordukova and MP Menden are supported by the Helmholtz Association under the joint research school "Munich School for Data Science - MUDS". The authors also declare funding support from F. Hoffmann-La Roche</t>
  </si>
  <si>
    <t>[Bordukova, Maria; Makarov, Nikita; Schmich, Fabian] Roche Innovat Ctr Munich RICM, Data &amp; Analyt, Pharmaceut Res &amp; Early Dev, Penzberg, Germany; [Bordukova, Maria; Makarov, Nikita; Menden, Michael P.] Helmholtz Munich, Inst Computat Biol, Computat Hlth Ctr, Munich, Germany; [Bordukova, Maria; Makarov, Nikita; Menden, Michael P.] Ludwig Maximilians Univ Munchen, Dept Biol, Munich, Germany; [Rodriguez-Esteban, Raul] Roche Innovat Ctr Basel RICB, Data &amp; Analyt, Pharmaceut Res &amp; Early Dev, Basel, Switzerland; [Menden, Michael P.] Univ Melbourne, Dept Biochem &amp; Pharmacol, Melbourne, Australia; [Menden, Michael P.] German Ctr Diabet Res DZD eV, Munich, Germany</t>
  </si>
  <si>
    <t>University of Munich; University of Melbourne; German Center for Diabetes Research (DZD)</t>
  </si>
  <si>
    <t>Generative artificial intelligence empowers digital twins in drug discovery and clinical trials</t>
  </si>
  <si>
    <t>EXPERT OPINION ON DRUG DISCOVERY</t>
  </si>
  <si>
    <t>Clinical trials; deep learning; digital twins; drug discovery; generative artificial intelligence</t>
  </si>
  <si>
    <t>Menden, Michael/PTF-3169-2026; Rodriguez-Esteban, Raul/A-2858-2009</t>
  </si>
  <si>
    <t>Rodriguez-Esteban, Raul/0000-0002-9494-9609; Makarov, Nikita/0009-0001-3327-3086; Bordukova, Maria/0009-0008-0956-5506</t>
  </si>
  <si>
    <t>66</t>
  </si>
  <si>
    <t>TAYLOR &amp; FRANCIS LTD</t>
  </si>
  <si>
    <t>ABINGDON</t>
  </si>
  <si>
    <t>2-4 PARK SQUARE, MILTON PARK, ABINGDON OR14 4RN, OXON, ENGLAND</t>
  </si>
  <si>
    <t>1746-0441</t>
  </si>
  <si>
    <t>1746-045X</t>
  </si>
  <si>
    <t>EXPERT OPIN DRUG DIS</t>
  </si>
  <si>
    <t>Expert. Opin. Drug Discov.</t>
  </si>
  <si>
    <t>JAN 2 2024</t>
  </si>
  <si>
    <t>10.1080/17460441.2023.2273839</t>
  </si>
  <si>
    <t>http://dx.doi.org/10.1080/17460441.2023.2273839</t>
  </si>
  <si>
    <t>Pharmacology &amp; Pharmacy</t>
  </si>
  <si>
    <t>EF4I2</t>
  </si>
  <si>
    <t>37887266</t>
  </si>
  <si>
    <t>WOS:001092053200001</t>
  </si>
  <si>
    <t>Sorin, V; Brin, D; Barash, Y; Konen, E; Charney, A; Nadkarni, G; Klang, E</t>
  </si>
  <si>
    <t>Background: Empathy, a fundamental aspect of human interaction, is characterized as the ability to experience another being's emotions within oneself. In health care, empathy is a fundamental for health care professionals and patients' interaction. It is a unique quality to humans that large language models (LLMs) are believed to lack. Objective: We aimed to review the literature on the capacity of LLMs in demonstrating empathy. Methods: We conducted a literature search on MEDLINE, Google Scholar, PsyArXiv, medRxiv, and arXiv between December 2022 and February 2024. We included English-language full-length publications that evaluated empathy in LLMs' outputs. We excluded papers evaluating other topics related to emotional intelligence that were not specifically empathy. The included studies' results, including the LLMs used, performance in empathy tasks, and limitations of the models, along with studies' metadata were summarized. Results: A total of 12 studies published in 2023 met the inclusion criteria. ChatGPT-3.5 (OpenAI) was evaluated in all studies, with 6 studies comparing it with other LLMs such GPT-4, LLaMA (Meta), and fine-tuned chatbots. Seven studies focused on empathy within a medical context. The studies reported LLMs to exhibit elements of empathy, including emotions recognition and emotional support in diverse contexts. Evaluation metric included automatic metrics such as Recall-Oriented Understudy for Gisting Evaluation and Bilingual Evaluation Understudy, and human subjective evaluation. Some studies compared performance on empathy with humans, while others compared between different models. In some cases, LLMs were observed to outperform humans in empathy-related tasks. For example, ChatGPT-3.5 was evaluated for its responses to patients' questions from social media, where ChatGPT's responses were preferred over those of humans in 78.6% of cases. Other studies used subjective readers' assigned scores. One study reported a mean empathy score of 1.84-1.9 (scale 0-2) for their fine-tuned LLM, while a different study evaluating ChatGPT-based chatbots reported a mean human rating of 3.43 out of 4 for empathetic responses. Other evaluations were based on the level of the emotional awareness scale, which was reported to be higher for ChatGPT-3.5 than for humans. Another study evaluated ChatGPT and GPT-4 on soft-skills questions in the United States Medical Licensing Examination, where GPT-4 answered 90% of questions correctly. Limitations were noted, including repetitive use of empathic phrases, difficulty following initial instructions, overly lengthy responses, sensitivity to prompts, and overall subjective evaluation metrics influenced Conclusions: LLMs exhibit elements of cognitive empathy, recognizing emotions and providing emotionally supportive responses in various contexts. Since social skills are an integral part of intelligence, these advancements bring LLMs closer to room for improvement in both the performance of these models and the evaluation strategies used for assessing soft skills.</t>
  </si>
  <si>
    <t>Sorin, Vera; Brin, Dana; Barash, Yiftach; Konen, Eli; Charney, Alexander; Nadkarni, Girish; Klang, Eyal</t>
  </si>
  <si>
    <t>Sorin, V (corresponding author), Mayo Clin, Dept Radiol, 200 First St SW, Rochester, MN 55905 USA.</t>
  </si>
  <si>
    <t>verasrn@gmail.com</t>
  </si>
  <si>
    <t>[Sorin, Vera] Mayo Clin, Dept Radiol, 200 First St SW, Rochester, MN 55905 USA; [Brin, Dana; Barash, Yiftach; Konen, Eli] Sheba Med Ctr, Dept Diag Imaging, Ramat Gan, Israel; [Brin, Dana; Barash, Yiftach; Konen, Eli] Tel Aviv Univ, Fac Med, Tel Aviv, Israel; [Barash, Yiftach] Chaim Sheba Med Ctr, DeepVis Lab, Tel Hashomer, Israel; [Charney, Alexander; Nadkarni, Girish; Klang, Eyal] Icahn Sch Med Mt Sinai, Div Data Driven &amp; Digital Med, New York, NY USA; [Charney, Alexander; Nadkarni, Girish; Klang, Eyal] Icahn Sch Med Mt Sinai, Charles Bronfman Inst Personalized Med, New York, NY USA</t>
  </si>
  <si>
    <t>Mayo Clinic; Chaim Sheba Medical Center; Tel Aviv University; Tel Aviv University; Sackler Faculty of Medicine; Chaim Sheba Medical Center; Tel Aviv University; Icahn School of Medicine at Mount Sinai; Icahn School of Medicine at Mount Sinai</t>
  </si>
  <si>
    <t>Large Language Models and Empathy: Systematic Review</t>
  </si>
  <si>
    <t>empathy; LLMs; AI; ChatGPT; review methods; review methodology; systematic review; scoping; synthesis; foundation models; text-based; human interaction; emotional intelligence; objective metrics; human assessment; emotions; healthcare; cognitive; PRISMA</t>
  </si>
  <si>
    <t>Barash, Yiftach/MCK-5975-2025; mirzaei, hamed/X-2374-2018; Sorin, Vera/IAR-4247-2023; Brin, Dana/MVU-5184-2025</t>
  </si>
  <si>
    <t>Barash, Yiftach/0000-0002-7242-1328; Sorin, Vera/0000-0003-0509-4686; Brin, Dana/0009-0003-7316-206X; Klang, Eyal/0000-0002-4567-3108</t>
  </si>
  <si>
    <t>148</t>
  </si>
  <si>
    <t>DEC 11 2024</t>
  </si>
  <si>
    <t>e52597</t>
  </si>
  <si>
    <t>10.2196/52597</t>
  </si>
  <si>
    <t>http://dx.doi.org/10.2196/52597</t>
  </si>
  <si>
    <t>Q1X1X</t>
  </si>
  <si>
    <t>39661968</t>
  </si>
  <si>
    <t>WOS:001382690300002</t>
  </si>
  <si>
    <t>Younis, HA; Eisa, TAE; Nasser, M; Sahib, TM; Noor, AA; Alyasiri, OM; Salisu, S; Hayder, IM; Younis, HA</t>
  </si>
  <si>
    <t>Artificial intelligence (AI) has emerged as a transformative force in various sectors, including medicine and healthcare. Large language models like ChatGPT showcase AI's potential by generating human-like text through prompts. ChatGPT's adaptability holds promise for reshaping medical practices, improving patient care, and enhancing interactions among healthcare professionals, patients, and data. In pandemic management, ChatGPT rapidly disseminates vital information. It serves as a virtual assistant in surgical consultations, aids dental practices, simplifies medical education, and aids in disease diagnosis. A total of 82 papers were categorised into eight major areas, which are G1: treatment and medicine, G2: buildings and equipment, G3: parts of the human body and areas of the disease, G4: patients, G5: citizens, G6: cellular imaging, radiology, pulse and medical images, G7: doctors and nurses, and G8: tools, devices and administration. Balancing AI's role with human judgment remains a challenge. A systematic literature review using the PRISMA approach explored AI's transformative potential in healthcare, highlighting ChatGPT's versatile applications, limitations, motivation, and challenges. In conclusion, ChatGPT's diverse medical applications demonstrate its potential for innovation, serving as a valuable resource for students, academics, and researchers in healthcare. Additionally, this study serves as a guide, assisting students, academics, and researchers in the field of medicine and healthcare alike.</t>
  </si>
  <si>
    <t>Younis, Hussain A.; Eisa, Taiseer Abdalla Elfadil; Nasser, Maged; Sahib, Thaeer Mueen; Noor, Ameen A.; Alyasiri, Osamah Mohammed; Salisu, Sani; Hayder, Israa M.; Younis, Hameed AbdulKareem</t>
  </si>
  <si>
    <t>Younis, HA (corresponding author), Univ Basrah, Coll Educ Women, Basrah 61004, Iraq.</t>
  </si>
  <si>
    <t>maged.nasser@utp.edu.my; osama.alyasiri@atu.edu.iq; hussain.younis@uobasrah.edu.iq; israa.mh@stu.edu.iq; sani.salisu@fud.edu.ng; teisa@kku.edu.sa; hameed.younis@uobasrah.edu.iq; kin.thr@atu.edu.iq; a.ameen63@uomustansiriyah.edu.iq</t>
  </si>
  <si>
    <t>Deanship of Scientific Research at King Khalid University</t>
  </si>
  <si>
    <t>Deanship of Scientific Research at King Khalid University (King Khalid University, King Saud University)</t>
  </si>
  <si>
    <t>The authors extend their appreciation to the Deanship of Scientific Research at King Khalid University for funding this work through a large group Research Project under grant number (RGP2/52/44).</t>
  </si>
  <si>
    <t>[Younis, Hussain A.] Univ Basrah, Coll Educ Women, Basrah 61004, Iraq; [Eisa, Taiseer Abdalla Elfadil] King Khalid Univ, Dept Informat Syst, Girls Sect, Mahayil 62529, Saudi Arabia; [Nasser, Maged] Univ Teknol PETRONAS, Comp &amp; Informat Sci Dept, Seri Iskandar 32610, Malaysia; [Sahib, Thaeer Mueen] Al Furat Al Awsat Tech Univ, Kufa Tech Inst, Kufa 54001, Iraq; [Noor, Ameen A.] Univ Almustansirya, Coll Educ, Comp Sci Dept, Baghdad, Iraq; [Alyasiri, Osamah Mohammed] Al Furat Al Awsat Tech Univ, Karbala Tech Inst, Karbala, Iraq; [Salisu, Sani] Fed Univ Dutse, Dept Informat Technol, Dutse 720101, Nigeria; [Hayder, Israa M.] Southern Tech Univ, Qurna Tech Inst, Basrah 61016, Iraq; [Younis, Hameed AbdulKareem] Univ Basrah, Coll Comp Sci &amp; Informat Technol, Dept Cybersecur, Basrah 61016, Iraq</t>
  </si>
  <si>
    <t>University of Basrah; King Khalid University; Universiti Teknologi Petronas; Al-Furat Al-Awsat Technical University; Al-Furat Al-Awsat Technical University; Southern Technical University; University of Basrah</t>
  </si>
  <si>
    <t>A Systematic Review and Meta-Analysis of Artificial Intelligence Tools in Medicine and Healthcare: Applications, Considerations, Limitations, Motivation and Challenges</t>
  </si>
  <si>
    <t>DIAGNOSTICS</t>
  </si>
  <si>
    <t>ChatGPT; cellular imaging; medicine; healthcare; image; dental; disease; radiology and sonar; pharmaceutical</t>
  </si>
  <si>
    <t>CHATGPT; EDUCATION; PERFORMANCE; CHATBOTS; AI</t>
  </si>
  <si>
    <t>salisu, sani/GSN-2752-2022; Sahib, Thaeer/ACY-3436-2022; Mohammed Alyasiri, Osamah/ACT-2561-2022; Hayder, Israa/C-9551-2019; NASSER, MAGED/KFA-1475-2024; Eisa, Taiseer/GWC-1476-2022; A. Younis, Hussain/OAJ-7433-2025</t>
  </si>
  <si>
    <t>salisu, sani/0000-0001-9196-4507; noor, ameen/0000-0002-3574-8962; Mohammed Alyasiri, Osamah/0000-0002-2345-2443; A. Younis, Hussain/0000-0002-5042-4990; noor, Ameen/0000-0002-6432-4456; SAHIB, THAEER/0000-0002-5897-4161</t>
  </si>
  <si>
    <t>173</t>
  </si>
  <si>
    <t>283</t>
  </si>
  <si>
    <t>2075-4418</t>
  </si>
  <si>
    <t>Diagnostics</t>
  </si>
  <si>
    <t>109</t>
  </si>
  <si>
    <t>10.3390/diagnostics14010109</t>
  </si>
  <si>
    <t>http://dx.doi.org/10.3390/diagnostics14010109</t>
  </si>
  <si>
    <t>EM1N7</t>
  </si>
  <si>
    <t>38201418</t>
  </si>
  <si>
    <t>WOS:001139253400001</t>
  </si>
  <si>
    <t>Baiao, AR; Cai, ZX; Poulos, RC; Robinson, PJ; Reddel, RR; Zhong, Q; Vinga, S; Gonçalves, E</t>
  </si>
  <si>
    <t>The rapid advancement of high-throughput sequencing and other assay technologies has resulted in the generation of large and complex multi-omics datasets, offering unprecedented opportunities for advancing precision medicine. However, multi-omics data integration remains challenging due to the high-dimensionality, heterogeneity, and frequency of missing values across data types. Computational methods leveraging statistical and machine learning approaches have been developed to address these issues and uncover complex biological patterns, improving our understanding of disease mechanisms. Here, we comprehensively review state-of-the-art multi-omics integration methods with a focus on deep generative models, particularly variational autoencoders (VAEs) that have been widely used for data imputation, augmentation, and batch effect correction. We explore the technical aspects of VAE loss functions and regularisation techniques, including adversarial training, disentanglement, and contrastive learning. Moreover, we highlight recent advancements in foundation models and multimodal data integration, outlining future directions in precision medicine research.</t>
  </si>
  <si>
    <t>Baiao, Ana R.; Cai, Zhaoxiang; Poulos, Rebecca C.; Robinson, Phillip J.; Reddel, Roger R.; Zhong, Qing; Vinga, Susana; Goncalves, Emanuel</t>
  </si>
  <si>
    <t>Vinga, S; Gonçalves, E (corresponding author), INESC ID, Rua Alves Redol 9, P-1000029 Lisbon, Portugal.</t>
  </si>
  <si>
    <t>emanuel.v.goncalves@tecnico.ulisboa.pt; susanavinga@tecnico.ulisboa.pt</t>
  </si>
  <si>
    <t>FCT, Fundacao para a Ciencia e a Tecnologia [UIDB/50021/2020, 2024.07252.IACDC, RE-C05-i08.M04, 15030]; Portuguese national agency FCT [UI/BD/154599/2022]; Sydney Cancer Partners Translational Partners Fellowship - Cancer Institute NSW Capacity Building Grant [2021/CBG0002]; NHMRC of Australia [GNT2000855]; Australian Cancer Research Foundation; Cancer Institute New South Wales (NSW) [2021/CBG0002, 2017/TPG001, REG171150]; NSW Ministry of Health [CMP-01]; University of Sydney; Cancer Council NSW [IG 18-01]; Ian Potter Foundation; Medical Research Future Fund (MRFF-PD); National Health and Medical Research Council (NHMRC) of Australia European Union grant [GNT1170739, 826121]; National Breast Cancer Foundation [IIRS-18-164]</t>
  </si>
  <si>
    <t>FCT, Fundacao para a Ciencia e a Tecnologia; Portuguese national agency FCT; Sydney Cancer Partners Translational Partners Fellowship - Cancer Institute NSW Capacity Building Grant; NHMRC of Australia (National Health &amp; Medical Research Council (NHMRC) of Australia); Australian Cancer Research Foundation; Cancer Institute New South Wales (NSW); NSW Ministry of Health; University of Sydney (University of Sydney); Cancer Council NSW (Cancer Council New South Wales); Ian Potter Foundation; Medical Research Future Fund (MRFF-PD) (Medical Research Future Fund (MRFF)); National Health and Medical Research Council (NHMRC) of Australia European Union grant (National Health &amp; Medical Research Council (NHMRC) of Australia); National Breast Cancer Foundation</t>
  </si>
  <si>
    <t>ARB, SV, and EG work is partially supported by national funds through FCT, Fundacao para a Ciencia e a Tecnologia, under projects UIDB/50021/2020 (DOI:10.54499/UIDB/50021/2020), LAETA (DOI:10.54499/UIDB/50022/2020), 2024.07252.IACDC (10.54499/2024.07252.IACDC, through RE-C05-i08.M04), and grant number 15030 (10.54499/LISBOA2030-FEDER-00868200). ARB is also funded by the Portuguese national agency FCT, through the research grant UI/BD/154599/2022. Rebecca Poulos is supported by a Sydney Cancer Partners Translational Partners Fellowship with funding from a Cancer Institute NSW Capacity Building Grant (Grant ID. 2021/CBG0002) and the NHMRC of Australia (GNT2000855). ProCan is supported by the Australian Cancer Research Foundation, Cancer Institute New South Wales (NSW) (2017/TPG001, REG171150, 2021/CBG0002), NSW Ministry of Health (CMP-01), the University of Sydney, Cancer Council NSW (IG 18-01), Ian Potter Foundation, the Medical Research Future Fund (MRFF-PD), National Health and Medical Research Council (NHMRC) of Australia European Union grant (GNT1170739, a companion grant to support the 'iPC-individualized Paediatric Cure' [ref. 826121]), and National Breast Cancer Foundation (IIRS-18-164). Work at ProCan is done under the auspices of a Memorandum of Understanding between Children's Medical Research Institute and the U.S. National Cancer Institute's International Cancer Proteogenome Consortium (ICPC) that encourages cooperation among institutions and nations in proteogenomic cancer research in which datasets are made available to the public.</t>
  </si>
  <si>
    <t>[Baiao, Ana R.; Vinga, Susana; Goncalves, Emanuel] INESC ID, Rua Alves Redol 9, P-1000029 Lisbon, Portugal; [Baiao, Ana R.; Vinga, Susana; Goncalves, Emanuel] Univ Lisbon, IST, Ave Rovisco Pais, P-1049001 Lisbon, Portugal; [Cai, Zhaoxiang; Poulos, Rebecca C.; Robinson, Phillip J.; Reddel, Roger R.; Zhong, Qing] Univ Sydney, Childrens Med Res Inst, Fac Med &amp; Hlth, ProCan, 214 Hawkesbury Rd, Westmead, NSW 2145, Australia; [Vinga, Susana] Univ Lisbon, IDMEC, Inst Super Tecn, Ave Rovisco Pais, P-1049001 Lisbon, Portugal</t>
  </si>
  <si>
    <t>Universidade de Lisboa; INESC-ID; Universidade de Lisboa; Children's Medical Research Institute - Australia; University of Sydney; Universidade de Lisboa</t>
  </si>
  <si>
    <t>A technical review of multi-omics data integration methods: from classical statistical to deep generative approaches</t>
  </si>
  <si>
    <t>deep generative models; machine learning; multi-omics integration; precision medicine</t>
  </si>
  <si>
    <t>CANONICAL CORRELATION-ANALYSIS; SIMILARITY NETWORK FUSION; LATENT VARIABLE MODEL; JOINT; MODULES; IDENTIFICATION; TRANSLATION; PROGNOSIS; DISCOVERY</t>
  </si>
  <si>
    <t>Zhong, Qing/ABE-2397-2021; Vinga, Susana/B-8450-2008; Cai, Zhaoxiang/OLQ-9952-2025; Reddel, Roger/HTO-4527-2023; Poulos, Rebecca/NWH-5891-2025</t>
  </si>
  <si>
    <t>Gonçalves, Emanuel/0000-0002-9967-5205; Baião, Ana Rita/0000-0002-2377-8080; Zhong, Qing/0000-0002-5340-301X; Vinga, Susana/0000-0002-1954-5487; Cai, Zhaoxiang/0000-0003-3809-0817; Poulos, Rebecca/0000-0002-8419-7028</t>
  </si>
  <si>
    <t>193</t>
  </si>
  <si>
    <t>130</t>
  </si>
  <si>
    <t>78</t>
  </si>
  <si>
    <t>JUL 2025</t>
  </si>
  <si>
    <t>bbaf355</t>
  </si>
  <si>
    <t>10.1093/bib/bbaf355</t>
  </si>
  <si>
    <t>http://dx.doi.org/10.1093/bib/bbaf355</t>
  </si>
  <si>
    <t>5PU3O</t>
  </si>
  <si>
    <t>40748323</t>
  </si>
  <si>
    <t>WOS:001541443400001</t>
  </si>
  <si>
    <t>Heston, TF; Khun, C</t>
  </si>
  <si>
    <t>Artificial intelligence-powered generative language models (GLMs), such as ChatGPT, Perplexity AI, and Google Bard, have the potential to provide personalized learning, unlimited practice opportunities, and interactive engagement 24/7, with immediate feedback. However, to fully utilize GLMs, properly formulated instructions are essential. Prompt engineering is a systematic approach to effectively communicating with GLMs to achieve the desired results. Well-crafted prompts yield good responses from the GLM, while poorly constructed prompts will lead to unsatisfactory responses. Besides the challenges of prompt engineering, significant concerns are associated with using GLMs in medical education, including ensuring accuracy, mitigating bias, maintaining privacy, and avoiding excessive reliance on technology. Future directions involve developing more sophisticated prompt engineering techniques, integrating GLMs with other technologies, creating personalized learning pathways, and researching the effectiveness of GLMs in medical education.</t>
  </si>
  <si>
    <t>Heston, Thomas F.; Khun, Charya</t>
  </si>
  <si>
    <t>Heston, TF (corresponding author), Washington State Univ, Dept Med Educ &amp; Clin Sci, Spokane, WA 99210 USA.; Heston, TF (corresponding author), Univ Washington, Sch Med, Dept Family Med, Seattle, WA 98195 USA.</t>
  </si>
  <si>
    <t>tom.heston@wsu.edu</t>
  </si>
  <si>
    <t>[Heston, Thomas F.; Khun, Charya] Washington State Univ, Dept Med Educ &amp; Clin Sci, Spokane, WA 99210 USA; [Heston, Thomas F.] Univ Washington, Sch Med, Dept Family Med, Seattle, WA 98195 USA</t>
  </si>
  <si>
    <t>Washington State University; University of Washington; University of Washington Seattle</t>
  </si>
  <si>
    <t>Prompt Engineering in Medical Education</t>
  </si>
  <si>
    <t>INTERNATIONAL MEDICAL EDUCATION</t>
  </si>
  <si>
    <t>artificial intelligence; large language models; ChatGPT; medical education; prompt engineering</t>
  </si>
  <si>
    <t>SCHOOL</t>
  </si>
  <si>
    <t>Heston, Thomas/J-9047-2017</t>
  </si>
  <si>
    <t>126</t>
  </si>
  <si>
    <t>2813-141X</t>
  </si>
  <si>
    <t>INT MED EDUC</t>
  </si>
  <si>
    <t>Int. Med. Educ.</t>
  </si>
  <si>
    <t>AUG 31 2023</t>
  </si>
  <si>
    <t>198</t>
  </si>
  <si>
    <t>205</t>
  </si>
  <si>
    <t>10.3390/ime2030019</t>
  </si>
  <si>
    <t>http://dx.doi.org/10.3390/ime2030019</t>
  </si>
  <si>
    <t>D0858</t>
  </si>
  <si>
    <t>WOS:001621179500001</t>
  </si>
  <si>
    <t>Gangwal, A; Lavecchia, A</t>
  </si>
  <si>
    <t>Arti ficial intelligence (AI) is revolutionizing drug discovery by enhancing precision, reducing timelines and costs, and enabling AI -driven computer -aided drug design. This review focuses on recent advancements in deep generative models (DGMs) for de novo drug design, exploring diverse algorithms and their profound impact. It critically analyses the challenges that are intricately interwoven into these technologies, proposing strategies to unlock their full potential. It features case studies of both successes and failures in advancing drugs to clinical trials with AI assistance. Last, it outlines a forward -looking plan for optimizing DGMs in de novo drug design, thereby fostering faster and more cost-effective drug development.</t>
  </si>
  <si>
    <t>Gangwal, Amit; Lavecchia, Antonio</t>
  </si>
  <si>
    <t>Lavecchia, A (corresponding author), Univ Naples Federico II, Dept Pharm, Drug Discovery Lab, I-80131 Naples, Italy.</t>
  </si>
  <si>
    <t>antonio.lavecchia@unina.it</t>
  </si>
  <si>
    <t>Italian Ministry of Education, University and Reasearch (MIUR), Progetti di Rilevante Interesse Nazionale (PRIN) [2022P5LPHS]</t>
  </si>
  <si>
    <t>Italian Ministry of Education, University and Reasearch (MIUR), Progetti di Rilevante Interesse Nazionale (PRIN) (Ministry of Education, Universities and Research (MIUR))</t>
  </si>
  <si>
    <t>A.L. acknowledges funding from the Italian Ministry of Education, University and Reasearch (MIUR), Progetti di Rilevante Interesse Nazionale (PRIN), grant no. 2022P5LPHS.</t>
  </si>
  <si>
    <t>[Gangwal, Amit] Shri Vile Parle Kelavani Mandals Inst Pharm, Dept Nat Prod Chem, Dhule 424001, Maharashtra, India; [Lavecchia, Antonio] Univ Naples Federico II, Dept Pharm, Drug Discovery Lab, I-80131 Naples, Italy</t>
  </si>
  <si>
    <t>University of Naples Federico II</t>
  </si>
  <si>
    <t>Unleashing the power of generative AI in drug discovery</t>
  </si>
  <si>
    <t>DRUG DISCOVERY TODAY</t>
  </si>
  <si>
    <t>drug discovery; arti ficial intelligence; machine learning; deep learning; generative models; de novo drug design</t>
  </si>
  <si>
    <t>DE-NOVO GENERATION; VARIATIONAL AUTOENCODER; MOLECULAR DESIGN; MODEL; IMPROVES; LIGANDS</t>
  </si>
  <si>
    <t>Lavecchia, Antonio/P-9476-2017</t>
  </si>
  <si>
    <t>Lavecchia, Antonio/0000-0002-2181-8026; Gangwal, Amit/0000-0003-3228-5437</t>
  </si>
  <si>
    <t>125</t>
  </si>
  <si>
    <t>1359-6446</t>
  </si>
  <si>
    <t>1878-5832</t>
  </si>
  <si>
    <t>DRUG DISCOV TODAY</t>
  </si>
  <si>
    <t>Drug Discov. Today</t>
  </si>
  <si>
    <t>JUL 2024</t>
  </si>
  <si>
    <t>103992</t>
  </si>
  <si>
    <t>10.1016/j.drudis.2024.103992</t>
  </si>
  <si>
    <t>http://dx.doi.org/10.1016/j.drudis.2024.103992</t>
  </si>
  <si>
    <t>TE0U5</t>
  </si>
  <si>
    <t>38663579</t>
  </si>
  <si>
    <t>WOS:001239476100001</t>
  </si>
  <si>
    <t>Takita, H; Kabata, D; Walston, SL; Tatekawa, H; Saito, K; Tsujimoto, Y; Miki, Y; Ueda, D</t>
  </si>
  <si>
    <t>While generative artificial intelligence (AI) has shown potential in medical diagnostics, comprehensive evaluation of its diagnostic performance and comparison with physicians has not been extensively explored. We conducted a systematic review and meta-analysis of studies validating generative AI models for diagnostic tasks published between June 2018 and June 2024. Analysis of 83 studies revealed an overall diagnostic accuracy of 52.1%. No significant performance difference was found between AI models and physicians overall (p = 0.10) or non-expert physicians (p = 0.93). However, AI models performed significantly worse than expert physicians (p = 0.007). Several models demonstrated slightly higher performance compared to non-experts, although the differences were not significant. Generative AI demonstrates promising diagnostic capabilities with accuracy varying by model. Although it has not yet achieved expert-level reliability, these findings suggest potential for enhancing healthcare delivery and medical education when implemented with appropriate understanding of its limitations.</t>
  </si>
  <si>
    <t>Takita, Hirotaka; Kabata, Daijiro; Walston, Shannon L.; Tatekawa, Hiroyuki; Saito, Kenichi; Tsujimoto, Yasushi; Miki, Yukio; Ueda, Daiju</t>
  </si>
  <si>
    <t>Ueda, D (corresponding author), Osaka Metropolitan Univ, Grad Sch Med, Dept Diagnost &amp; Intervent Radiol, Osaka, Japan.; Ueda, D (corresponding author), Osaka Metropolitan Univ, Grad Sch Med, Dept Artificial Intelligence, Osaka, Japan.; Ueda, D (corresponding author), Osaka Metropolitan Univ, Ctr Hlth Sci Innovat, Osaka, Japan.</t>
  </si>
  <si>
    <t>ai.labo.ocu@gmail.com</t>
  </si>
  <si>
    <t>[Takita, Hirotaka; Walston, Shannon L.; Tatekawa, Hiroyuki; Miki, Yukio; Ueda, Daiju] Osaka Metropolitan Univ, Grad Sch Med, Dept Diagnost &amp; Intervent Radiol, Osaka, Japan; [Kabata, Daijiro] Kobe Univ, Ctr Math &amp; Data Sci, Kobe, Japan; [Walston, Shannon L.; Ueda, Daiju] Osaka Metropolitan Univ, Grad Sch Med, Dept Artificial Intelligence, Osaka, Japan; [Saito, Kenichi] Kyoto Univ, Ctr Digital Transformat Hlth Care, Grad Sch Med, Kyoto, Japan; [Tsujimoto, Yasushi] Oku Med Clin, Osaka, Japan; [Tsujimoto, Yasushi] Kyoto Univ, Grad Sch Med, Sch Publ Hlth, Dept Hlth Promot &amp; Human Behav, Kyoto, Japan; [Tsujimoto, Yasushi] Sci Res Works Peer Support Grp SRWS PSG, Osaka, Japan; [Ueda, Daiju] Osaka Metropolitan Univ, Ctr Hlth Sci Innovat, Osaka, Japan</t>
  </si>
  <si>
    <t>Osaka Metropolitan University; Kobe University; Osaka Metropolitan University; Kyoto University; Kyoto University; Osaka Metropolitan University</t>
  </si>
  <si>
    <t>A systematic review and meta-analysis of diagnostic performance comparison between generative AI and physicians</t>
  </si>
  <si>
    <t>ARTIFICIAL-INTELLIGENCE; ACCURACY; MODEL</t>
  </si>
  <si>
    <t>Ueda, Daiju/AAG-2167-2021; Walston, Shannon/GQP-8928-2022; Tatekawa, Hiroyuki/IUN-8188-2023; takita, hirotaka/HLG-6249-2023; Kabata, Daijiro/JIU-0585-2023</t>
  </si>
  <si>
    <t>Ueda, Daiju/0000-0002-3878-3616; Walston, Shannon/0000-0002-7268-8313; Tatekawa, Hiroyuki/0000-0002-8050-4895; Tsujimoto, Yasushi/0000-0002-7214-5589</t>
  </si>
  <si>
    <t>123</t>
  </si>
  <si>
    <t>140</t>
  </si>
  <si>
    <t>MAR 22 2025</t>
  </si>
  <si>
    <t>10.1038/s41746-025-01543-z</t>
  </si>
  <si>
    <t>http://dx.doi.org/10.1038/s41746-025-01543-z</t>
  </si>
  <si>
    <t>1MF3Z</t>
  </si>
  <si>
    <t>40121370</t>
  </si>
  <si>
    <t>WOS:001468348700002</t>
  </si>
  <si>
    <t>Malgaroli, M; Hull, TD; Zech, JM; Althoff, T</t>
  </si>
  <si>
    <t>Neuropsychiatric disorders pose a high societal cost, but their treatment is hindered by lack of objective outcomes and fidelity metrics. AI technologies and specifically Natural Language Processing (NLP) have emerged as tools to study mental health interventions (MHI) at the level of their constituent conversations. However, NLP's potential to address clinical and research challenges remains unclear. We therefore conducted a pre-registered systematic review of NLP-MHI studies using PRISMA guidelines (osf.io/s52jh) to evaluate their models, clinical applications, and to identify biases and gaps. Candidate studies (n = 19,756), including peer-reviewed AI conference manuscripts, were collected up to January 2023 through PubMed, PsycINFO, Scopus, Google Scholar, and ArXiv. A total of 102 articles were included to investigate their computational characteristics (NLP algorithms, audio features, machine learning pipelines, outcome metrics), clinical characteristics (clinical ground truths, study samples, clinical focus), and limitations. Results indicate a rapid growth of NLP MHI studies since 2019, characterized by increased sample sizes and use of large language models. Digital health platforms were the largest providers of MHI data. Ground truth for supervised learning models was based on clinician ratings (n = 31), patient self-report (n = 29) and annotations by raters (n = 26). Text-based features contributed more to model accuracy than audio markers. Patients' clinical presentation (n = 34), response to intervention (n = 11), intervention monitoring (n = 20), providers' characteristics (n = 12), relational dynamics (n = 14), and data preparation (n = 4) were commonly investigated clinical categories. Limitations of reviewed studies included lack of linguistic diversity, limited reproducibility, and population bias. A research framework is developed and validated (NLPxMHI) to assist computational and clinical researchers in addressing the remaining gaps in applying NLP to MHI, with the goal of improving clinical utility, data access, and fairness.</t>
  </si>
  <si>
    <t>Malgaroli, Matteo; Hull, Thomas D.; Zech, James M.; Althoff, Tim</t>
  </si>
  <si>
    <t>Malgaroli, M (corresponding author), NYU, Grossman Sch Med, Dept Psychiat, New York, NY 10016 USA.</t>
  </si>
  <si>
    <t>matteo.malgaroli@nyulangone.org</t>
  </si>
  <si>
    <t>National Institutes of Health (NIH); National Center for Advancing Translational Sciences (NCATS) [1K23MH134068-01, 2KL2TR001446-06A1]; Talkspace; American Foundation for Suicide Prevention [PRG-0-104-19]; National Institutes of Health [R44MH124334, R01MH125179-01]; NIH [R01MH125179]; NSF [IIS-1901386, CNS-2025022]; Bill &amp; Melinda Gates Foundation [INV-004841]; Office of Naval Research [N00014-21-1-2154]; National Center for Advancing Translational Sciences [KL2TR001446] Funding Source: NIH RePORTER; National Institute of Mental Health [R44MH124334] Funding Source: NIH RePORTER</t>
  </si>
  <si>
    <t>National Institutes of Health (NIH) (United States Department of Health &amp; Human Services, National Institutes of Health (NIH) - USA); National Center for Advancing Translational Sciences (NCATS) (United States Department of Health &amp; Human Services, National Institutes of Health (NIH) - USA, NIH National Center for Advancing Translational Sciences (NCATS)); Talkspace; American Foundation for Suicide Prevention; National Institutes of Health (United States Department of Health &amp; Human Services, National Institutes of Health (NIH) - USA); NIH (United States Department of Health &amp; Human Services, National Institutes of Health (NIH) - USA); NSF (National Science Foundation (NSF)); Bill &amp; Melinda Gates Foundation (Bill &amp; Melinda Gates Foundation, Bill &amp; Melinda Gates Foundation Grand Challenges Explorations Initiative, CGIAR); Office of Naval Research (United States Department of Defense, United States Navy, Office of Naval Research); National Center for Advancing Translational Sciences (United States Department of Health &amp; Human Services, National Institutes of Health (NIH) - USA, NIH National Center for Advancing Translational Sciences (NCATS)); National Institute of Mental Health (United States Department of Health &amp; Human Services, National Institutes of Health (NIH) - USA, NIH National Institute of Mental Health (NIMH))</t>
  </si>
  <si>
    <t>MM's research was supported by the National Institutes of Health (NIH) and National Center for Advancing Translational Sciences (NCATS) and through grants # 1K23MH134068-01 and 2KL2TR001446-06A1, Talkspace, and by the American Foundation for Suicide Prevention through grant PRG-0-104-19. TDH's research was supported by National Institutes of Health Awards # R44MH124334 and R01MH125179-01. TA's research was supported by NIH grant R01MH125179, NSF grant IIS-1901386, NSF grant CNS-2025022, Bill &amp; Melinda Gates Foundation (INV-004841), and the Office of Naval Research (#N00014-21-1-2154). The content is solely the responsibility of the authors and does not necessarily represent the official views of the NIH.</t>
  </si>
  <si>
    <t>[Malgaroli, Matteo] NYU, Grossman Sch Med, Dept Psychiat, New York, NY 10016 USA; [Hull, Thomas D.; Zech, James M.] Talkspace, New York, NY 10025 USA; [Zech, James M.] Florida State Univ, Dept Psychol, Tallahassee, FL 32306 USA; [Althoff, Tim] Univ Washington, Dept Comp Sci, Seattle, WA 98195 USA</t>
  </si>
  <si>
    <t>New York University; State University System of Florida; Florida State University; University of Washington; University of Washington Seattle</t>
  </si>
  <si>
    <t>Natural language processing for mental health interventions: a systematic review and research framework</t>
  </si>
  <si>
    <t>TRANSLATIONAL PSYCHIATRY</t>
  </si>
  <si>
    <t>COMPUTERIZED TEXT ANALYSIS; TOPIC MODELS; THERAPY; ANXIETY; CARE; DEPRESSION; EMOTION; ACCESS; COUNTRIES; ALLIANCE</t>
  </si>
  <si>
    <t>Malgaroli, Matteo/AFT-9707-2022</t>
  </si>
  <si>
    <t>Malgaroli, Matteo/0000-0003-4209-6939</t>
  </si>
  <si>
    <t>168</t>
  </si>
  <si>
    <t>63</t>
  </si>
  <si>
    <t>CAMPUS, 4 CRINAN ST, LONDON, N1 9XW, ENGLAND</t>
  </si>
  <si>
    <t>2158-3188</t>
  </si>
  <si>
    <t>TRANSL PSYCHIAT</t>
  </si>
  <si>
    <t>Transl. Psychiatr.</t>
  </si>
  <si>
    <t>OCT 6 2023</t>
  </si>
  <si>
    <t>309</t>
  </si>
  <si>
    <t>10.1038/s41398-023-02592-2</t>
  </si>
  <si>
    <t>http://dx.doi.org/10.1038/s41398-023-02592-2</t>
  </si>
  <si>
    <t>T8CQ2</t>
  </si>
  <si>
    <t>37798296</t>
  </si>
  <si>
    <t>WOS:001080210400001</t>
  </si>
  <si>
    <t>Thangaraj, PM; Benson, SH; Oikonomou, EK; Asselbergs, FW; Khera, R</t>
  </si>
  <si>
    <t>Graphical Abstract An overview of elements comprising current digital twins in cardiovascular medicine (left panel), elements needed to build future digital twins in cardiovascular medicine (right panel), and key elements for implementation of the digital twin in healthcare (center). AI, artificial intelligence; CABG, coronary artery bypass graft; EHR, electronic health record.Digital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</si>
  <si>
    <t>Thangaraj, Phyllis M.; Benson, Sean H.; Oikonomou, Evangelos K.; Asselbergs, Folkert W.; Khera, Rohan</t>
  </si>
  <si>
    <t>Khera, R (corresponding author), Yale Sch Med, Dept Internal Med, Sect Cardiol, 789 Howard Ave, New Haven, CT 06519 USA.; Khera, R (corresponding author), Yale Sch Publ Hlth, Dept Biostat, Sect Hlth Informat, 47 College St, New Haven, CT 06510 USA.; Khera, R (corresponding author), Yale Sch Med, Dept Biomed Informat &amp; Data Sci, 100 College St,Fl 9, New Haven, CT 06510 USA.; Khera, R (corresponding author), Yale New Haven Hosp, Ctr Outcomes Res &amp; Evaluat, 195 Church St, New Haven, CT 06510 USA.</t>
  </si>
  <si>
    <t>rohan.khera@yale.edu</t>
  </si>
  <si>
    <t>National Heart, Lung, and Blood Institute [R01HL167858, 5T32HL155000-03, 1F32HL170592-01]; Dutch Research Council [628.011.213]; European Union Horizon scheme [101080430, 101057849]; Horizon Europe - Pillar II [101057849] Funding Source: Horizon Europe - Pillar II</t>
  </si>
  <si>
    <t>National Heart, Lung, and Blood Institute (United States Department of Health &amp; Human Services, National Institutes of Health (NIH) - USA, NIH National Heart Lung &amp; Blood Institute (NHLBI)); Dutch Research Council; European Union Horizon scheme; Horizon Europe - Pillar II (European Union (EU), Horizon Europe - Pillar II)</t>
  </si>
  <si>
    <t>The work is supported by the National Heart, Lung, and Blood Institute (R01HL167858). Dr Thangaraj and Dr Oikonomou are also supported by grants from the National Heart, Lung, and Blood Institute (5T32HL155000-03 and 1F32HL170592-01, respectively). Prof. Asselbergs and Dr Benson are supported by the Dutch Research Council (MyDigiTwin 628.011.213). Dr Asselbergs received grant funding from the European Union Horizon scheme (AI4HF 101080430 and DataTools4Heart 101057849).</t>
  </si>
  <si>
    <t>[Thangaraj, Phyllis M.; Oikonomou, Evangelos K.; Khera, Rohan] Yale Sch Med, Dept Internal Med, Sect Cardiol, 789 Howard Ave, New Haven, CT 06519 USA; [Benson, Sean H.; Asselbergs, Folkert W.] Univ Amsterdam, Med Ctr, Dept Cardiol, Amsterdam Cardiovasc Sci, Amsterdam, Netherlands; [Asselbergs, Folkert W.] UCL, Inst Hlth Informat, London, England; [Asselbergs, Folkert W.] UCL, Univ Coll London Hosp, Biomed Res Ctr, Natl Inst Hlth Res, London, England; [Khera, Rohan] Yale Sch Publ Hlth, Dept Biostat, Sect Hlth Informat, 47 College St, New Haven, CT 06510 USA; [Khera, Rohan] Yale Sch Med, Dept Biomed Informat &amp; Data Sci, 100 College St,Fl 9, New Haven, CT 06510 USA; [Khera, Rohan] Yale New Haven Hosp, Ctr Outcomes Res &amp; Evaluat, 195 Church St, New Haven, CT 06510 USA</t>
  </si>
  <si>
    <t>Yale University; University of Amsterdam; University of London; University College London; University of London; University College London Hospitals NHS Foundation Trust; University College London; Yale University; Yale University; Yale University</t>
  </si>
  <si>
    <t>Cardiovascular care with digital twin technology in the era of generative artificial intelligence</t>
  </si>
  <si>
    <t>EUROPEAN HEART JOURNAL</t>
  </si>
  <si>
    <t>Digital twins; Generative artificial intelligence; Multi-modal models; Precision medicine</t>
  </si>
  <si>
    <t>VENTRICULAR SYSTOLIC DYSFUNCTION; PHENOMAPPING-DERIVED TOOL; OUTCOMES; MODEL</t>
  </si>
  <si>
    <t>Asselbergs, Folkert Wouter/ABD-6752-2021; Oikonomou, Evangelos K/N-1847-2019; Thangaraj, Phyllis/LXW-3855-2024; Khera, Rohan/P-2378-2019; Oikonomou, Evangelos K/P-2378-2019</t>
  </si>
  <si>
    <t>Asselbergs, Folkert Wouter/0000-0002-1692-8669; Oikonomou, Evangelos K/0000-0003-4362-0720; Thangaraj, Phyllis/0000-0003-3968-1563; Khera, Rohan/0000-0001-9467-6199; Oikonomou, Evangelos K/0000-0003-4362-0720</t>
  </si>
  <si>
    <t>116</t>
  </si>
  <si>
    <t>0195-668X</t>
  </si>
  <si>
    <t>1522-9645</t>
  </si>
  <si>
    <t>EUR HEART J</t>
  </si>
  <si>
    <t>Eur. Heart J.</t>
  </si>
  <si>
    <t>DEC 1 2024</t>
  </si>
  <si>
    <t>4808</t>
  </si>
  <si>
    <t>4821</t>
  </si>
  <si>
    <t>10.1093/eurheartj/ehae619</t>
  </si>
  <si>
    <t>http://dx.doi.org/10.1093/eurheartj/ehae619</t>
  </si>
  <si>
    <t>Cardiac &amp; Cardiovascular Systems</t>
  </si>
  <si>
    <t>Cardiovascular System &amp; Cardiology</t>
  </si>
  <si>
    <t>3VQ7I</t>
  </si>
  <si>
    <t>39322420</t>
  </si>
  <si>
    <t>WOS:001327443000001</t>
  </si>
  <si>
    <t>Green Published; Green Submitted</t>
  </si>
  <si>
    <t>Miao, J; Thongprayoon, C; Suppadungsuk, S; Valencia, OAG; Cheungpasitporn, W</t>
  </si>
  <si>
    <t>The integration of large language models (LLMs) into healthcare, particularly in nephrology, represents a significant advancement in applying advanced technology to patient care, medical research, and education. These advanced models have progressed from simple text processors to tools capable of deep language understanding, offering innovative ways to handle health-related data, thus improving medical practice efficiency and effectiveness. A significant challenge in medical applications of LLMs is their imperfect accuracy and/or tendency to produce hallucinations-outputs that are factually incorrect or irrelevant. This issue is particularly critical in healthcare, where precision is essential, as inaccuracies can undermine the reliability of these models in crucial decision-making processes. To overcome these challenges, various strategies have been developed. One such strategy is prompt engineering, like the chain-of-thought approach, which directs LLMs towards more accurate responses by breaking down the problem into intermediate steps or reasoning sequences. Another one is the retrieval-augmented generation (RAG) strategy, which helps address hallucinations by integrating external data, enhancing output accuracy and relevance. Hence, RAG is favored for tasks requiring up-to-date, comprehensive information, such as in clinical decision making or educational applications. In this article, we showcase the creation of a specialized ChatGPT model integrated with a RAG system, tailored to align with the KDIGO 2023 guidelines for chronic kidney disease. This example demonstrates its potential in providing specialized, accurate medical advice, marking a step towards more reliable and efficient nephrology practices.</t>
  </si>
  <si>
    <t>Miao, Jing; Thongprayoon, Charat; Suppadungsuk, Supawadee; Valencia, Oscar A. Garcia; Cheungpasitporn, Wisit</t>
  </si>
  <si>
    <t>Cheungpasitporn, W (corresponding author), Dept Med, Div Nephrol &amp; Hypertens, Mayo Clin, Rochester, MN 55905 USA.</t>
  </si>
  <si>
    <t>s.suppadungsuk@hotmail.com; miao.jing@mayo.edu; garciavalencia.oscar@mayo.edu; charat.thongprayoon@gmail.com; wcheungpasitporn@gmail.com</t>
  </si>
  <si>
    <t>[Miao, Jing; Thongprayoon, Charat; Suppadungsuk, Supawadee; Valencia, Oscar A. Garcia; Cheungpasitporn, Wisit] Dept Med, Div Nephrol &amp; Hypertens, Mayo Clin, Rochester, MN 55905 USA; [Suppadungsuk, Supawadee] Mahidol Univ, Ramathibodi Hosp, Chakri Naruebodindra Med Inst, Fac Med, Samut Prakan 10540, Thailand</t>
  </si>
  <si>
    <t>Mayo Clinic; Mahidol University</t>
  </si>
  <si>
    <t>Integrating Retrieval-Augmented Generation with Large Language Models in Nephrology: Advancing Practical Applications</t>
  </si>
  <si>
    <t>MEDICINA-LITHUANIA</t>
  </si>
  <si>
    <t>large language models (LLMs); nephrology; chronic kidney disease; artificial intelligence; retrieval-augmented generation (RAG)</t>
  </si>
  <si>
    <t>CHATGPT; PERFORMANCE; GPT-4; AI</t>
  </si>
  <si>
    <t>Garcia Valencia, Oscar/ABE-1811-2020; Suppadungsuk, Supawadee/ISU-2478-2023; Thongprayoon, Charat/J-4184-2019; Cheungpasitporn, Wisit/H-8194-2019; Miao, Jing/IWE-2159-2023</t>
  </si>
  <si>
    <t>Garcia Valencia, Oscar/0000-0003-0186-9448; Suppadungsuk, Supawadee/0000-0003-1597-2411; Cheungpasitporn, Wisit/0000-0001-9954-9711; Miao, Jing/0000-0003-0642-9740</t>
  </si>
  <si>
    <t>132</t>
  </si>
  <si>
    <t>339</t>
  </si>
  <si>
    <t>1010-660X</t>
  </si>
  <si>
    <t>1648-9144</t>
  </si>
  <si>
    <t>Med. Lith.</t>
  </si>
  <si>
    <t>445</t>
  </si>
  <si>
    <t>10.3390/medicina60030445</t>
  </si>
  <si>
    <t>http://dx.doi.org/10.3390/medicina60030445</t>
  </si>
  <si>
    <t>MG7G0</t>
  </si>
  <si>
    <t>38541171</t>
  </si>
  <si>
    <t>WOS:001192531600001</t>
  </si>
  <si>
    <t>Nerella, S; Bandyopadhyay, S; Zhang, JQ; Contreras, M; Siegel, S; Bumin, A; Silva, B; Sena, J; Shickel, B; Bihorac, A; Khezeli, K; Rashidi, P</t>
  </si>
  <si>
    <t>With Artificial Intelligence (AI) increasingly permeating various aspects of society, including healthcare, the adoption of the Transformers neural network architecture is rapidly changing many applications. Transformer is a type of deep learning architecture initially developed to solve general-purpose Natural Language Processing (NLP) tasks and has subsequently been adapted in many fields, including healthcare. In this survey paper, we provide an overview of how this architecture has been adopted to analyze various forms of healthcare data, including clinical NLP, medical imaging, structured Electronic Health Records (EHR), social media, biophysiological signals, biomolecular sequences. Furthermore, which have also include the articles that used the transformer architecture for generating surgical instructions and predicting adverse outcomes after surgeries under the umbrella of critical care. Under diverse settings, these models have been used for clinical diagnosis, report generation, data reconstruction, and drug/protein synthesis. Finally, we also discuss the benefits and limitations of using transformers in healthcare and examine issues such as computational cost, model interpretability, fairness, alignment with human values, ethical implications, and environmental impact.</t>
  </si>
  <si>
    <t>Nerella, Subhash; Bandyopadhyay, Sabyasachi; Zhang, Jiaqing; Contreras, Miguel; Siegel, Scott; Bumin, Aysegul; Silva, Brandon; Sena, Jessica; Shickel, Benjamin; Bihorac, Azra; Khezeli, Kia; Rashidi, Parisa</t>
  </si>
  <si>
    <t>Rashidi, P (corresponding author), Univ Florida, Dept Biomed Engn, Gainesville, FL 32611 USA.</t>
  </si>
  <si>
    <t>parisa.rashidi@ufl.edu</t>
  </si>
  <si>
    <t>National Institute of Biomedical Imaging and Bioengineering (NIH/NIBIB) [1750192, 1R01EB029699]; National Institute of Neurological Disorders and Stroke (NIH/NINDS) [1R01NS120924]</t>
  </si>
  <si>
    <t>National Institute of Biomedical Imaging and Bioengineering (NIH/NIBIB); National Institute of Neurological Disorders and Stroke (NIH/NINDS)</t>
  </si>
  <si>
    <t>This study is supported by National Science Foundation CAREER award 1750192, 1R01EB029699 from the National Institute of Biomedical Imaging and Bioengineering (NIH/NIBIB) , and 1R01NS120924 from the National Institute of Neurological Disorders and Stroke (NIH/NINDS) .</t>
  </si>
  <si>
    <t>[Nerella, Subhash; Contreras, Miguel; Siegel, Scott; Khezeli, Kia; Rashidi, Parisa] Univ Florida, Dept Biomed Engn, Gainesville, FL 32611 USA; [Bandyopadhyay, Sabyasachi] Stanford Univ, Dept Med, Stanford, CA USA; [Zhang, Jiaqing] Univ Florida, Dept Elect &amp; Comp Engn, Gainesville, FL USA; [Bumin, Aysegul; Silva, Brandon] Univ Florida, Dept Comp &amp; Informat Sci &amp; Engn, Gainesville, FL USA; [Sena, Jessica] Univ Fed Minas Gerais, Dept Comp Sci, Belo Horizonte, Brazil; [Shickel, Benjamin; Bihorac, Azra] Univ Florida, Dept Med, Gainesville, FL USA</t>
  </si>
  <si>
    <t>State University System of Florida; University of Florida; Stanford University; Stanford Medicine; State University System of Florida; University of Florida; State University System of Florida; University of Florida; Universidade Federal de Minas Gerais; State University System of Florida; University of Florida</t>
  </si>
  <si>
    <t>Transformers and large language models in healthcare: A review</t>
  </si>
  <si>
    <t>ARTIFICIAL INTELLIGENCE IN MEDICINE</t>
  </si>
  <si>
    <t>Transformers; Healthcare; Electronic Health Records; Large Language Models; Medical Imaging; Natural Language Processing</t>
  </si>
  <si>
    <t>LONGITUDINAL CLINICAL NARRATIVES; OF-THE-ART; ACTIVITY RECOGNITION; DE-IDENTIFICATION; LEARNING APPROACH; SEGMENTATION; DATABASE; IMAGES; CORPUS; PREDICTION</t>
  </si>
  <si>
    <t>Bihorac, Azra/Q-6500-2016; Sena, Jessica/AAR-2655-2020; Zhang, Jiaqing/LKL-0329-2024; Rashidi, Parisa/AAP-7261-2020; Nerella, Subhash/AFD-1658-2022</t>
  </si>
  <si>
    <t>Bandyopadhyay, Sabyasachi/0009-0003-4825-646X</t>
  </si>
  <si>
    <t>502</t>
  </si>
  <si>
    <t>113</t>
  </si>
  <si>
    <t>0933-3657</t>
  </si>
  <si>
    <t>1873-2860</t>
  </si>
  <si>
    <t>ARTIF INTELL MED</t>
  </si>
  <si>
    <t>Artif. Intell. Med.</t>
  </si>
  <si>
    <t>AUG 2024</t>
  </si>
  <si>
    <t>102900</t>
  </si>
  <si>
    <t>10.1016/j.artmed.2024.102900</t>
  </si>
  <si>
    <t>http://dx.doi.org/10.1016/j.artmed.2024.102900</t>
  </si>
  <si>
    <t>Computer Science, Artificial Intelligence; Engineering, Biomedical; Medical Informatics</t>
  </si>
  <si>
    <t>Computer Science; Engineering; Medical Informatics</t>
  </si>
  <si>
    <t>WT3M7</t>
  </si>
  <si>
    <t>38878555</t>
  </si>
  <si>
    <t>WOS:001257085900001</t>
  </si>
  <si>
    <t>Xu, XJ; Chen, YX; Miao, J</t>
  </si>
  <si>
    <t>Background: ChatGPT is a large language model (LLM) based on artificial intelligence (AI) capable of responding in multiple languages and generating nuanced and highly complex responses. While ChatGPT holds promising applications in medical education, its limitations and potential risks cannot be ignored. Methods: A scoping review was conducted for English articles discussing ChatGPT in the context of medical education published after 2022. A literature search was performed using PubMed/MEDLINE, Embase, and Web of Science databases, and information was extracted from the relevant studies that were ulResults: ChatGPT exhibits various potential applications in medical education, such as providing personalized learning plans and materials, creating clinical practice simulation scenarios, and assisting in writing articles. However, challenges associated with academic integrity, data accuracy, and potential harm to learning were also highlighted in the literature. The paper emphasizes certain recommendations for using ChatGPT, including the establishment of guidelines. Based on the review, 3 key research areas were proposed: cultivating the ability of medical students to use ChatGPT correctly, integrating ChatGPT into teachConclusion: ChatGPT has the potential to transform medical education, but careful consideration is required for its full integration. To harness the full potential of ChatGPT in medical education, attention should not only be given to the capabilities of AI but also to its impact on students and teachers.</t>
  </si>
  <si>
    <t>Xu, Xiaojun; Chen, Yixiao; Miao, Jing</t>
  </si>
  <si>
    <t>Xu, XJ (corresponding author), Zhejiang Univ, Childrens Hosp, Natl Clin Res Ctr Child Hlth, Sch Med,Div Hematol Oncol, Hangzhou, Zhejiang, Peoples R China.</t>
  </si>
  <si>
    <t>[Xu, Xiaojun; Chen, Yixiao; Miao, Jing] Zhejiang Univ, Childrens Hosp, Natl Clin Res Ctr Child Hlth, Sch Med,Div Hematol Oncol, Hangzhou, Zhejiang, Peoples R China</t>
  </si>
  <si>
    <t>Zhejiang University</t>
  </si>
  <si>
    <t>Opportunities, challenges, and future directions of large language models, including ChatGPT in medical education: a systematic scoping review</t>
  </si>
  <si>
    <t>JOURNAL OF EDUCATIONAL EVALUATION FOR HEALTH PROFESSIONS</t>
  </si>
  <si>
    <t>Artificial intelligence; Data accuracy; Medical students; Medical education; Attention</t>
  </si>
  <si>
    <t>Miao, Jing/LCD-5772-2024</t>
  </si>
  <si>
    <t>Miao, Jing/0000-0002-2825-0648; Xu, Xiaojun/0000-0003-1388-2535</t>
  </si>
  <si>
    <t>55</t>
  </si>
  <si>
    <t>163</t>
  </si>
  <si>
    <t>KOREA HEALTH PERSONNEL LICENSING EXAMINATION INST</t>
  </si>
  <si>
    <t>SEOUL</t>
  </si>
  <si>
    <t>JAYANG-RO 45, GWANGJIN-GU, SEOUL, 05103, SOUTH KOREA</t>
  </si>
  <si>
    <t>1975-5937</t>
  </si>
  <si>
    <t>J EDUC EVAL HEALTH P</t>
  </si>
  <si>
    <t>J. Educ. Eval. Health Prof.</t>
  </si>
  <si>
    <t>MAR 15 2024</t>
  </si>
  <si>
    <t>10.3352/jeehp.2024.21.6</t>
  </si>
  <si>
    <t>http://dx.doi.org/10.3352/jeehp.2024.21.6</t>
  </si>
  <si>
    <t>PS7A6</t>
  </si>
  <si>
    <t>38486402</t>
  </si>
  <si>
    <t>WOS:001216126300001</t>
  </si>
  <si>
    <t>Gangwal, A; Ansari, A; Ahmad, I; Azad, A; Kumarasamy, V; Subramaniyan, V; Wong, LS</t>
  </si>
  <si>
    <t>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</si>
  <si>
    <t>Gangwal, Amit; Ansari, Azim; Ahmad, Iqrar; Azad, Abul Kalam; Kumarasamy, Vinoth; Subramaniyan, Vetriselvan; Wong, Ling Shing</t>
  </si>
  <si>
    <t>Gangwal, A (corresponding author), Shri Vile Parle Kelavani Mandals Inst Pharm, Dept Nat Prod Chem, Dhule, Maharashtra, India.; Azad, A (corresponding author), Univ Coll MAIWP Int, Fac Pharm, Batu Caves, Malaysia.; Kumarasamy, V (corresponding author), Univ Kebangsaan Malaysia, Fac Med, Dept Parasitol &amp; Med Entomol, Cheras, Malaysia.; Subramaniyan, V (corresponding author), Monash Univ Malaysia, Jeffrey Cheah Sch Med &amp; Hlth Sci, Pharmacol Unit, Subang Jaya, Selangor, Malaysia.; Subramaniyan, V (corresponding author), Lovely Profess Univ, Sch Bioengn &amp; Biosci, Phagwara, Punjab, India.</t>
  </si>
  <si>
    <t>vinoth@ukm.edu.my; gangwal.amit@gmail.com; subramaniyan.vetriselvan@monash.edu; azad2011iium@gmail.com</t>
  </si>
  <si>
    <t>[Gangwal, Amit] Shri Vile Parle Kelavani Mandals Inst Pharm, Dept Nat Prod Chem, Dhule, Maharashtra, India; [Ansari, Azim] Comp Aided Drug Design Ctr Shri Vile Parle Kelavan, Dhule, Maharashtra, India; [Ahmad, Iqrar] Prof Ravindra Nikam Coll Pharm, Dept Pharmaceut Chem, Dhule, India; [Azad, Abul Kalam] Univ Coll MAIWP Int, Fac Pharm, Batu Caves, Malaysia; [Kumarasamy, Vinoth] Univ Kebangsaan Malaysia, Fac Med, Dept Parasitol &amp; Med Entomol, Cheras, Malaysia; [Subramaniyan, Vetriselvan] Monash Univ Malaysia, Jeffrey Cheah Sch Med &amp; Hlth Sci, Pharmacol Unit, Subang Jaya, Selangor, Malaysia; [Subramaniyan, Vetriselvan] Lovely Profess Univ, Sch Bioengn &amp; Biosci, Phagwara, Punjab, India; [Wong, Ling Shing] INTI Int Univ, Fac Hlth &amp; Life Sci, Nilai, Malaysia</t>
  </si>
  <si>
    <t>Universiti Kebangsaan Malaysia; Monash University; Monash University Malaysia; Lovely Professional University; INTI International University</t>
  </si>
  <si>
    <t>Generative artificial intelligence in drug discovery: basic framework, recent advances, challenges, and opportunities</t>
  </si>
  <si>
    <t>FRONTIERS IN PHARMACOLOGY</t>
  </si>
  <si>
    <t>ChatGPT; de novo drug design; deep generative models; AlphaFold; variational autoencoders; generative adversarial network; large language models; chemical language models</t>
  </si>
  <si>
    <t>GRAPH NEURAL-NETWORKS; DE-NOVO GENERATION; LANGUAGE MODELS; INTERACTION PREDICTION; MOLECULAR GENERATION; CHEMICAL LANGUAGE; LEARNING APPROACH; DESIGN; REPRESENTATION; METHODOLOGIES</t>
  </si>
  <si>
    <t>Azad, Abul/NVM-2575-2025; Vetriselvan, Subramaniayan/AAC-5548-2020; Kumarasamy, Vinoth/AAQ-1554-2020; Wong, Ling Shing/JXL-9642-2024</t>
  </si>
  <si>
    <t>Azad, Abul/0000-0003-4874-1169; Vetriselvan, Subramaniayan/0000-0002-9629-9494; Gangwal, Amit/0000-0003-3228-5437</t>
  </si>
  <si>
    <t>223</t>
  </si>
  <si>
    <t>102</t>
  </si>
  <si>
    <t>229</t>
  </si>
  <si>
    <t>1663-9812</t>
  </si>
  <si>
    <t>FRONT PHARMACOL</t>
  </si>
  <si>
    <t>Front. Pharmacol.</t>
  </si>
  <si>
    <t>FEB 7 2024</t>
  </si>
  <si>
    <t>1331062</t>
  </si>
  <si>
    <t>10.3389/fphar.2024.1331062</t>
  </si>
  <si>
    <t>http://dx.doi.org/10.3389/fphar.2024.1331062</t>
  </si>
  <si>
    <t>IE8G1</t>
  </si>
  <si>
    <t>38384298</t>
  </si>
  <si>
    <t>WOS:001164736100001</t>
  </si>
  <si>
    <t>Chakraborty, C; Pal, S; Bhattacharya, M; Dash, S; Lee, SS</t>
  </si>
  <si>
    <t>The release of ChatGPT has initiated new thinking about AI-based Chatbot and its application and has drawn huge public attention worldwide. Researchers and doctors have started thinking about the promise and application of AI-related large language models in medicine during the past few months. Here, the comprehensive review highlighted the overview of Chatbot and ChatGPT and their current role in medicine. Firstly, the general idea of Chatbots, their evolution, architecture, and medical use are discussed. Secondly, ChatGPT is discussed with special emphasis of its application in medicine, architecture and training methods, medical diagnosis and treatment, research ethical issues, and a comparison of ChatGPT with other NLP models are illustrated. The article also discussed the limitations and prospects of ChatGPT. In the future, these large language models and ChatGPT will have immense promise in healthcare. However, more research is needed in this direction.</t>
  </si>
  <si>
    <t>Chakraborty, Chiranjib; Pal, Soumen; Bhattacharya, Manojit; Dash, Snehasish; Lee, Sang-Soo</t>
  </si>
  <si>
    <t>Chakraborty, C (corresponding author), Adamas Univ, Sch Life Sci &amp; Biotechnol, Dept Biotechnol, Kolkata, W Bengal, India.; Lee, SS (corresponding author), Hallym Univ, Chuncheon Sacred Heart Hosp, Inst Skeletal Aging &amp; Orthoped Surg, Chuncheon Si, Gangwon Do, South Korea.</t>
  </si>
  <si>
    <t>drchiranjib@yahoo.com; 123sslee@gmail.com</t>
  </si>
  <si>
    <t>This study was supported by Hallym University Research Fund and by Basic Science Research Program through the National Research Foundation of Korea (NRF) funded by the Ministry of Education (NRF-2020R1I1A3074575).; Hallym University Research Fund [NRF-2020R1I1A3074575]; Basic Science Research Program through the National Research Foundation of Korea (NRF) - Ministry of Education</t>
  </si>
  <si>
    <t>This study was supported by Hallym University Research Fund and by Basic Science Research Program through the National Research Foundation of Korea (NRF) funded by the Ministry of Education (NRF-2020R1I1A3074575).; Hallym University Research Fund; Basic Science Research Program through the National Research Foundation of Korea (NRF) - Ministry of Education</t>
  </si>
  <si>
    <t>This study was supported by Hallym University Research Fund and by Basic Science Research Program through the National Research Foundation of Korea (NRF) funded by the Ministry of Education (NRF-2020R1I1A3074575).</t>
  </si>
  <si>
    <t>[Chakraborty, Chiranjib] Adamas Univ, Sch Life Sci &amp; Biotechnol, Dept Biotechnol, Kolkata, W Bengal, India; [Pal, Soumen; Dash, Snehasish] Vellore Inst Technol, Sch Mech Engn, Vellore, Tamil Nadu, India; [Bhattacharya, Manojit] Fakir Mohan Univ, Dept Zool, Balasore, Orissa, India; [Lee, Sang-Soo] Hallym Univ, Chuncheon Sacred Heart Hosp, Inst Skeletal Aging &amp; Orthoped Surg, Chuncheon Si, Gangwon Do, South Korea</t>
  </si>
  <si>
    <t>Vellore Institute of Technology (VIT); VIT Vellore; Fakir Mohan University; Hallym University</t>
  </si>
  <si>
    <t>Overview of Chatbots with special emphasis on artificial intelligence-enabled ChatGPT in medical science</t>
  </si>
  <si>
    <t>FRONTIERS IN ARTIFICIAL INTELLIGENCE</t>
  </si>
  <si>
    <t>ChatGPT; Chatbot; medical use; large language models; AI</t>
  </si>
  <si>
    <t>PERFORMANCE; GPT-4</t>
  </si>
  <si>
    <t>Chakraborty, Chiranjib/J-4847-2013; Bhattacharya, Manojit/A-2027-2012; Lee, Sang-Soo/LTD-5070-2024</t>
  </si>
  <si>
    <t>Dash, Snehasish/0009-0006-8061-6703</t>
  </si>
  <si>
    <t>145</t>
  </si>
  <si>
    <t>128</t>
  </si>
  <si>
    <t>2624-8212</t>
  </si>
  <si>
    <t>FRONT ARTIF INTELL</t>
  </si>
  <si>
    <t>Front. Artif. Intell.</t>
  </si>
  <si>
    <t>OCT 31 2023</t>
  </si>
  <si>
    <t>1237704</t>
  </si>
  <si>
    <t>10.3389/frai.2023.1237704</t>
  </si>
  <si>
    <t>http://dx.doi.org/10.3389/frai.2023.1237704</t>
  </si>
  <si>
    <t>Computer Science, Artificial Intelligence; Computer Science, Information Systems</t>
  </si>
  <si>
    <t>X9NF4</t>
  </si>
  <si>
    <t>38028668</t>
  </si>
  <si>
    <t>WOS:001101628500001</t>
  </si>
  <si>
    <t>Busch, F; Hoffmann, L; dos Santos, DP; Makowski, MR; Saba, L; Prucker, P; Hadamitzky, M; Navab, N; Kather, JN; Truhn, D; Cuocolo, R; Adams, LC; Bressem, KK</t>
  </si>
  <si>
    <t>tructured reporting (SR) has long been a goal in radiology to standardize and improve the quality of radiology reports. Despite evidence that SR reduces errors, enhances comprehensiveness, and increases adherence to guidelines, its widespread adoption has been limited. Recently, large language models (LLMs) have emerged as a promising solution to automate and facilitate SR. Therefore, this narrative review aims to provide an overview of LLMs for SR in radiology and beyond. We found that the current literature on LLMs for SR is limited, comprising ten studies on the generative pre-trained transformer (GPT)-3.5 (n = 5) and/or GPT-4 (n = 8), while two studies additionally examined the performance of Perplexity and Bing Chat or IT5. All studies reported promising results and acknowledged the potential of LLMs for SR, with six out of ten studies demonstrating the feasibility of multilingual applications. Building upon these findings, we discuss limitations, regulatory challenges, and further applications of LLMs in radiology report processing, encompassing four main areas: documentation, translation and summarization, clinical evaluation, and data mining. In conclusion, this review underscores the transformative potential of LLMs to improve efficiency and accuracy in SR and radiology report processing.Key PointsQuestionHow can LLMs help make SR in radiology more ubiquitous?FindingsCurrent literature leveraging LLMs for SR is sparse but shows promising results, including the feasibility of multilingual applications.Clinical relevanceLLMs have the potential to transform radiology report processing and enable the widespread adoption of SR. However, their future role in clinical practice depends on overcoming current limitations and regulatory challenges, including opaque algorithms and training data.Key PointsQuestionHow can LLMs help make SR in radiology more ubiquitous?FindingsCurrent literature leveraging LLMs for SR is sparse but shows promising results, including the feasibility of multilingual applications.Clinical relevanceLLMs have the potential to transform radiology report processing and enable the widespread adoption of SR. However, their future role in clinical practice depends on overcoming current limitations and regulatory challenges, including opaque algorithms and training data.Key PointsQuestionHow can LLMs help make SR in radiology more ubiquitous?FindingsCurrent literature leveraging LLMs for SR is sparse but shows promising results, including the feasibility of multilingual applications.Clinical relevanceLLMs have the potential to transform radiology report processing and enable the widespread adoption of SR. However, their future role in clinical practice depends on overcoming current limitations and regulatory challenges, including opaque algorithms and training data.</t>
  </si>
  <si>
    <t>Busch, Felix; Hoffmann, Lena; dos Santos, Daniel Pinto; Makowski, Marcus R.; Saba, Luca; Prucker, Philipp; Hadamitzky, Martin; Navab, Nassir; Kather, Jakob Nikolas; Truhn, Daniel; Cuocolo, Renato; Adams, Lisa C.; Bressem, Keno K.</t>
  </si>
  <si>
    <t>Busch, F (corresponding author), Tech Univ Munich, TUM Univ Hosp, Sch Med &amp; Hlth,Klin rechts Isar, Dept Diagnost &amp; Intervent Radiol, Munich, Germany.</t>
  </si>
  <si>
    <t>felix.busch@tum.de</t>
  </si>
  <si>
    <t>Projekt DEAL</t>
  </si>
  <si>
    <t>Projekt DEAL (Projekt DEAL)</t>
  </si>
  <si>
    <t>Open Access funding enabled and organized by Projekt DEAL.</t>
  </si>
  <si>
    <t>[Busch, Felix; Hoffmann, Lena; Makowski, Marcus R.; Prucker, Philipp; Adams, Lisa C.] Tech Univ Munich, TUM Univ Hosp, Sch Med &amp; Hlth,Klin rechts Isar, Dept Diagnost &amp; Intervent Radiol, Munich, Germany; [dos Santos, Daniel Pinto] Univ Cologne, Univ Hosp Cologne, Inst Diagnost &amp; Intervent Radiol, Fac Med, Cologne, Germany; [dos Santos, Daniel Pinto] Univ Hosp Frankfurt, Inst Diagnost &amp; Intervent Radiol, Frankfurt, Germany; [Saba, Luca] Azienda Ospedaliero Univ AOU, Dept Radiol, Cagliari, Italy; [Hadamitzky, Martin; Bressem, Keno K.] TUM Univ Hosp, Tech Univ Munich, Sch Med &amp; Hlth,Inst Cardiovasc Radiol &amp; Nucl Med, German Heart Ctr Munich, Munich, Germany; [Navab, Nassir] Tech Univ Munich, Chair Comp Aided Med Procedures &amp; Augmented Real, TUM Sch Computat Informat &amp; Technol, Munich, Germany; [Kather, Jakob Nikolas] Heidelberg Univ Hosp, Natl Ctr Tumor Dis NCT, Dept Med Oncol, Heidelberg, Germany; [Kather, Jakob Nikolas] Tech Univ Dresden, Med Fac Carl Gustav Carus, Else Kroener Fresenius Ctr Digital Hlth, Dresden, Germany; [Truhn, Daniel] Univ Hosp Aachen, Dept Diagnost &amp; Intervent Radiol, Aachen, Germany; [Cuocolo, Renato] Univ Salerno, Dept Med Surg &amp; Dent, Baronissi, Italy</t>
  </si>
  <si>
    <t>Technical University of Munich; University of Cologne; Goethe University Frankfurt; Goethe University Frankfurt Hospital; German Heart Centre Munich; Technical University of Munich; Technical University of Munich; Ruprecht Karls University Heidelberg; Helmholtz Association; National Center for Tumor Diseases; German Cancer Research Center (DKFZ); Technische Universitat Dresden; Carl Gustav Carus University Hospital; RWTH Aachen University; RWTH Aachen University Hospital; University of Salerno</t>
  </si>
  <si>
    <t>Large language models for structured reporting in radiology: past, present, and future</t>
  </si>
  <si>
    <t>EUROPEAN RADIOLOGY</t>
  </si>
  <si>
    <t>Artificial intelligence; Medical informatics; Natural language processing; Radiology; Electronic data processing</t>
  </si>
  <si>
    <t>GUIDELINES</t>
  </si>
  <si>
    <t>Adams, Lisa C/AAC-7163-2021; Bressem, Keno/AAX-8241-2020; Cuocolo, Renato/G-3147-2018; Pinto dos Santos, Daniel/I-4609-2019; Kather, Jakob Nikolas/D-4279-2015; Busch, Felix/ABE-1064-2022; Truhn, Daniel/AAG-9359-2021</t>
  </si>
  <si>
    <t>Adams, Lisa C/0000-0001-5836-4542; Hadamitzky, Martin/0000-0001-6267-1692; Cuocolo, Renato/0000-0002-1452-1574; Pinto dos Santos, Daniel/0000-0003-4785-6394; Kather, Jakob Nikolas/0000-0002-3730-5348; Busch, Felix/0000-0001-9770-8555</t>
  </si>
  <si>
    <t>85</t>
  </si>
  <si>
    <t>101</t>
  </si>
  <si>
    <t>0938-7994</t>
  </si>
  <si>
    <t>1432-1084</t>
  </si>
  <si>
    <t>EUR RADIOL</t>
  </si>
  <si>
    <t>Eur. Radiol.</t>
  </si>
  <si>
    <t>MAY 2025</t>
  </si>
  <si>
    <t>2589</t>
  </si>
  <si>
    <t>2602</t>
  </si>
  <si>
    <t>10.1007/s00330-024-11107-6</t>
  </si>
  <si>
    <t>http://dx.doi.org/10.1007/s00330-024-11107-6</t>
  </si>
  <si>
    <t>OCT 2024</t>
  </si>
  <si>
    <t>1VB9X</t>
  </si>
  <si>
    <t>39438330</t>
  </si>
  <si>
    <t>WOS:001340083300001</t>
  </si>
  <si>
    <t>Zhang, CY; Xu, J; Tang, R; Yang, JH; Wang, W; Yu, XJ; Shi, S</t>
  </si>
  <si>
    <t>Research into the potential benefits of artificial intelligence for comprehending the intricate biology of cancer has grown as a result of the widespread use of deep learning and machine learning in the healthcare sector and the availability of highly specialized cancer datasets. Here, we review new artificial intelligence approaches and how they are being used in oncology. We describe how artificial intelligence might be used in the detection, prognosis, and administration of cancer treatments and introduce the use of the latest large language models such as ChatGPT in oncology clinics. We highlight artificial intelligence applications for omics data types, and we offer perspectives on how the various data types might be combined to create decision-support tools. We also evaluate the present constraints and challenges to applying artificial intelligence in precision oncology. Finally, we discuss how current challenges may be surmounted to make artificial intelligence useful in clinical settings in the future.</t>
  </si>
  <si>
    <t>Zhang, Chaoyi; Xu, Jin; Tang, Rong; Yang, Jianhui; Wang, Wei; Yu, Xianjun; Shi, Si</t>
  </si>
  <si>
    <t>Yu, XJ; Shi, S (corresponding author), Fudan Univ, Shanghai Canc Ctr, Dept Pancreat Surg, 270 Dong An Rd, Shanghai 200032, Peoples R China.; Yu, XJ; Shi, S (corresponding author), Fudan Univ, Shanghai Med Coll, Dept Oncol, Shanghai 200032, Peoples R China.; Yu, XJ; Shi, S (corresponding author), Shanghai Pancreat Canc Inst, 399 Lingling Rd, Shanghai 200032, Peoples R China.; Yu, XJ; Shi, S (corresponding author), Fudan Univ, Pancreat Canc Inst, Shanghai 200032, Peoples R China.</t>
  </si>
  <si>
    <t>yuxianjun@fudanpci.org; shisi@fudanpci.org</t>
  </si>
  <si>
    <t>National Natural Science Foundation of China</t>
  </si>
  <si>
    <t>National Natural Science Foundation of China (National Natural Science Foundation of China (NSFC))</t>
  </si>
  <si>
    <t>[Zhang, Chaoyi; Xu, Jin; Tang, Rong; Yang, Jianhui; Wang, Wei; Yu, Xianjun; Shi, Si] Fudan Univ, Shanghai Canc Ctr, Dept Pancreat Surg, 270 Dong An Rd, Shanghai 200032, Peoples R China; [Zhang, Chaoyi; Xu, Jin; Tang, Rong; Yang, Jianhui; Wang, Wei; Yu, Xianjun; Shi, Si] Fudan Univ, Shanghai Med Coll, Dept Oncol, Shanghai 200032, Peoples R China; [Zhang, Chaoyi; Xu, Jin; Tang, Rong; Yang, Jianhui; Wang, Wei; Yu, Xianjun; Shi, Si] Shanghai Pancreat Canc Inst, 399 Lingling Rd, Shanghai 200032, Peoples R China; [Zhang, Chaoyi; Xu, Jin; Tang, Rong; Yang, Jianhui; Wang, Wei; Yu, Xianjun; Shi, Si] Fudan Univ, Pancreat Canc Inst, Shanghai 200032, Peoples R China</t>
  </si>
  <si>
    <t>Fudan University; Fudan University; Fudan University</t>
  </si>
  <si>
    <t>Novel research and future prospects of artificial intelligence in cancer diagnosis and treatment</t>
  </si>
  <si>
    <t>JOURNAL OF HEMATOLOGY &amp; ONCOLOGY</t>
  </si>
  <si>
    <t>MULTI-OMICS DATA; MACHINE LEARNING ALGORITHMS; COLORECTAL-CANCER; PROSTATE-CANCER; PROGNOSTIC-FACTORS; TUMOR PROGRESSION; COLON-CANCER; PREDICTION; MODELS; RISK</t>
  </si>
  <si>
    <t>Yu, Xianjun/D-8604-2013</t>
  </si>
  <si>
    <t>Shi, Si/0000-0002-6652-0629</t>
  </si>
  <si>
    <t>1756-8722</t>
  </si>
  <si>
    <t>J HEMATOL ONCOL</t>
  </si>
  <si>
    <t>J. Hematol. Oncol.</t>
  </si>
  <si>
    <t>NOV 27 2023</t>
  </si>
  <si>
    <t>114</t>
  </si>
  <si>
    <t>10.1186/s13045-023-01514-5</t>
  </si>
  <si>
    <t>http://dx.doi.org/10.1186/s13045-023-01514-5</t>
  </si>
  <si>
    <t>Oncology; Hematology</t>
  </si>
  <si>
    <t>Z7UO3</t>
  </si>
  <si>
    <t>38012673</t>
  </si>
  <si>
    <t>WOS:001114093100001</t>
  </si>
  <si>
    <t>Vrdoljak, J; Boban, Z; Vilovic, M; Kumric, M; Bozic, J</t>
  </si>
  <si>
    <t>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 challenges, and interdisciplinary collaboration between AI developers and healthcare professionals are essential. Future advancements in LLM performance and reliability through techniques such as RAG, fine-tuning, and reinforcement learning will be critical to ensuring patient safety and improving healthcare delivery.</t>
  </si>
  <si>
    <t>Vrdoljak, Josip; Boban, Zvonimir; Vilovic, Marino; Kumric, Marko; Bozic, Josko</t>
  </si>
  <si>
    <t>Bozic, J (corresponding author), Univ Split, Sch Med, Dept Pathophysiol, Split 21000, Croatia.</t>
  </si>
  <si>
    <t>marino.vilovic@mefst.hr; zvonimir.boban@mefst.hr; josip.vrdoljak@mefst.hr; marko.kumric@mefst.hr; josko.bozic@mefst.hr</t>
  </si>
  <si>
    <t>[Vrdoljak, Josip; Vilovic, Marino; Kumric, Marko; Bozic, Josko] Univ Split, Sch Med, Dept Pathophysiol, Split 21000, Croatia; [Boban, Zvonimir] Univ Split, Sch Med, Dept Med Phys, Split 21000, Croatia</t>
  </si>
  <si>
    <t>University of Split; University of Split</t>
  </si>
  <si>
    <t>A Review of Large Language Models in Medical Education, Clinical Decision Support, and Healthcare Administration</t>
  </si>
  <si>
    <t>large language models; clinical decision support; medical education; healthcare administration; artificial intelligence</t>
  </si>
  <si>
    <t>Vrdoljak, Josip/ABF-1807-2022; Kumric, Marko/ABA-5467-2021; Bozic, Josko/E-1866-2017; Vilović, Marino/E-1730-2017</t>
  </si>
  <si>
    <t>Kumric, Marko/0000-0002-9696-3359; Bozic, Josko/0000-0003-1634-0635; Vilović, Marino/0000-0002-5433-5063; Boban, Zvonimir/0000-0003-1766-0120</t>
  </si>
  <si>
    <t>52</t>
  </si>
  <si>
    <t>MAR 10 2025</t>
  </si>
  <si>
    <t>603</t>
  </si>
  <si>
    <t>10.3390/healthcare13060603</t>
  </si>
  <si>
    <t>http://dx.doi.org/10.3390/healthcare13060603</t>
  </si>
  <si>
    <t>0OF5Q</t>
  </si>
  <si>
    <t>40150453</t>
  </si>
  <si>
    <t>WOS:001452063500001</t>
  </si>
  <si>
    <t>Rood, JE; Wynne, S; Robson, L; Hupalowska, A; Randell, J; Teichmann, SA; Regev, A</t>
  </si>
  <si>
    <t>With the convergence of notable advances in molecular and spatial profiling methods and new computational approaches taking advantage of artificial intelligence and machine learning, the construction of cell atlases is progressing from data collection to atlas integration and beyond. Here, we explore five ways in which cell atlases, including the Human Cell Atlas, are already revealing valuable biological insights, and how they are poised to provide even greater benefits in the coming years. In particular, we discuss cell atlases as censuses of cells; as 3D maps of cells in the body, across modalities and scales; as maps connecting genotype causes to phenotype effects; as 4D maps of development; and, ultimately, as foundation models of biology unifying all of these aspects and helping to transform medicine.</t>
  </si>
  <si>
    <t>Rood, Jennifer E.; Wynne, Samantha; Robson, Lucia; Hupalowska, Anna; Randell, John; Teichmann, Sarah A.; Regev, Aviv</t>
  </si>
  <si>
    <t>Teichmann, SA; Regev, A (corresponding author), Human Cell Atlas, Cambridge, MA 02142 USA.; Regev, A (corresponding author), Genentech Inc, San Francisco, CA 94080 USA.; Teichmann, SA (corresponding author), Cambridge Stem Cell Inst, Cambridge Biomed Campus, Cambridge, England.; Teichmann, SA (corresponding author), Jeffrey Cheah Biomed Ctr, Dept Med, Cambridge Biomed Campus, Cambridge, England.</t>
  </si>
  <si>
    <t>sat1003@cam.ac.uk; aviv.regev.sc@gmail.com</t>
  </si>
  <si>
    <t>Chan Zuckerberg Initiative; Helmsley Charitable Trust; Klarman Family Foundation; Wellcome</t>
  </si>
  <si>
    <t>This publication is part of the HCA (https://www.humancellatlas.org/publications). S.W., L.R. and J.R. are members of the HCA Executive Office, which has been core funded by the Chan Zuckerberg Initiative, Helmsley Charitable Trust, the Klarman Family Foundation and Wellcome.</t>
  </si>
  <si>
    <t>[Rood, Jennifer E.; Wynne, Samantha; Robson, Lucia; Hupalowska, Anna; Randell, John; Teichmann, Sarah A.; Regev, Aviv] Human Cell Atlas, Cambridge, MA 02142 USA; [Rood, Jennifer E.; Hupalowska, Anna; Regev, Aviv] Genentech Inc, San Francisco, CA 94080 USA; [Teichmann, Sarah A.] Cambridge Stem Cell Inst, Cambridge Biomed Campus, Cambridge, England; [Teichmann, Sarah A.] Jeffrey Cheah Biomed Ctr, Dept Med, Cambridge Biomed Campus, Cambridge, England</t>
  </si>
  <si>
    <t>Roche Holding; Roche Holding USA; Genentech; University of Cambridge</t>
  </si>
  <si>
    <t>The Human Cell Atlas from a cell census to a unified foundation model</t>
  </si>
  <si>
    <t>NATURE</t>
  </si>
  <si>
    <t>COMMON COORDINATE FRAMEWORK; EXPRESSION; BIOLOGY; GENOME; SEQ</t>
  </si>
  <si>
    <t>Teichmann, Sarah/L-1677-2014</t>
  </si>
  <si>
    <t>Regev, Aviv/0000-0003-3293-3158; Teichmann, Sarah/0000-0002-6294-6366</t>
  </si>
  <si>
    <t>110</t>
  </si>
  <si>
    <t>51</t>
  </si>
  <si>
    <t>0028-0836</t>
  </si>
  <si>
    <t>1476-4687</t>
  </si>
  <si>
    <t>Nature</t>
  </si>
  <si>
    <t>JAN 30 2025</t>
  </si>
  <si>
    <t>637</t>
  </si>
  <si>
    <t>8048</t>
  </si>
  <si>
    <t>1065</t>
  </si>
  <si>
    <t>1071</t>
  </si>
  <si>
    <t>10.1038/s41586-024-08338-4</t>
  </si>
  <si>
    <t>http://dx.doi.org/10.1038/s41586-024-08338-4</t>
  </si>
  <si>
    <t>U3O9F</t>
  </si>
  <si>
    <t>39566552</t>
  </si>
  <si>
    <t>WOS:001401945900001</t>
  </si>
  <si>
    <t>Preiksaitis, C; Ashenburg, N; Bunney, G; Chu, AD; Kabeer, R; Riley, F; Ribeira, R; Rose, C</t>
  </si>
  <si>
    <t>Background: Artificial intelligence (AI), more specifically large language models (LLMs), holds significant potential in revolutionizing emergency care delivery by optimizing clinical workflows and enhancing the quality of decision-making. Although enthusiasm for integrating LLMs into emergency medicine (EM) is growing, the existing literature is characterized by a disparate collection of individual studies, conceptual analyses, and preliminary implementations. Given these complexities and gaps in understanding, a cohesive framework is needed to comprehend the existing body of knowledge on the application of LLMs in Objective: Given the absence of a comprehensive framework for exploring the roles of LLMs in EM, this scoping review aims to systematically map the existing literature on LLMs' potential applications within EM and identify directions for future research. Addressing this gap will allow for informed advancements in the field. Methods: Using PRISMA-ScR (Preferred Reporting Items for Systematic Reviews and Meta-Analyses extension for Scoping Reviews) criteria, we searched Ovid MEDLINE, Embase, Web of Science, and Google Scholar for papers published between January 2018 and August 2023 that discussed LLMs' use in EM. We excluded other forms of AI. A total of 1994 unique titles and abstracts were screened, and each full-text paper was independently reviewed by 2 authors. Data were abstracted independently, and 5 authors performed a collaborative quantitative and qualitative synthesis of the data. Results: A total of 43 papers were included. Studies were predominantly from 2022 to 2023 and conducted in the United States and China. We uncovered four major themes: (1) clinical decision-making and support was highlighted as a pivotal area, with LLMs playing a substantial role in enhancing patient care, notably through their application in real-time triage, allowing early recognition of patient urgency; (2) efficiency, workflow, and information management demonstrated the capacity of LLMs to significantly boost operational efficiency, particularly through the automation of patient record synthesis, which could reduce administrative burden and enhance patient-centric care; (3) risks, ethics, and transparency were identified as areas of concern, especially regarding the reliability of LLMs' outputs, and specific studies highlighted the challenges of ensuring unbiased decision-making amidst potentially flawed training data sets, stressing the importance of thorough validation and ethical oversight; and (4) education and communication possibilities included LLMs' capacity to enrich medical training, such as through using simulated patient interactions that enhance communication skills. Conclusions: LLMs have the potential to fundamentally transform EM, enhancing clinical decision-making, optimizing workflows, and improving patient outcomes. This review sets the stage for future advancements by identifying key research areas: prospective validation of LLM applications, establishing standards for responsible use, understanding provider and patient perceptions, and improving physicians' AI literacy. Effective integration of LLMs into EM will require collaborative efforts and thorough evaluation to ensure these technologies can be safely and effectively applied.</t>
  </si>
  <si>
    <t>Preiksaitis, Carl; Ashenburg, Nicholas; Bunney, Gabrielle; Chu, Andrew; Kabeer, Rana; Riley, Fran; Ribeira, Ryan; Rose, Christian</t>
  </si>
  <si>
    <t>Preiksaitis, C (corresponding author), Stanford Univ, Sch Med, Dept Emergency Med, 900 Welch Rd, Suite 350, Palo Alto, CA 94304 USA.</t>
  </si>
  <si>
    <t>[Preiksaitis, Carl; Ashenburg, Nicholas; Bunney, Gabrielle; Chu, Andrew; Kabeer, Rana; Riley, Fran; Ribeira, Ryan; Rose, Christian] Stanford Univ, Sch Med, Dept Emergency Med, 900 Welch Rd, Suite 350, Palo Alto, CA 94304 USA</t>
  </si>
  <si>
    <t>Stanford Medicine; Stanford University</t>
  </si>
  <si>
    <t>The Role of Large Language Models in Transforming Emergency Medicine: Scoping Review</t>
  </si>
  <si>
    <t>JMIR MEDICAL INFORMATICS</t>
  </si>
  <si>
    <t>ARTIFICIAL-INTELLIGENCE; CHATGPT; ERA; PREDICTION</t>
  </si>
  <si>
    <t>Preiksaitis, Carl/0000-0002-3856-0068; Ribeira, Ryan/0000-0002-4782-2410; Kabeer, Rana/0000-0002-6780-2740; Chu, Anew/0000-0002-4282-9322; Ashenburg, Nicholas/0000-0002-9996-6248; Riley, Fran/0000-0002-0884-3585; Bunney, Gabrielle/0000-0002-6120-9997; Rose, Christian/0000-0002-5115-649X</t>
  </si>
  <si>
    <t>2291-9694</t>
  </si>
  <si>
    <t>JMIR MED INF</t>
  </si>
  <si>
    <t>JMIR Med. Inf.</t>
  </si>
  <si>
    <t>e53787</t>
  </si>
  <si>
    <t>10.2196/53787</t>
  </si>
  <si>
    <t>http://dx.doi.org/10.2196/53787</t>
  </si>
  <si>
    <t>RE9Y2</t>
  </si>
  <si>
    <t>38728687</t>
  </si>
  <si>
    <t>WOS:001226121400001</t>
  </si>
  <si>
    <t>Qureshi, R; Irfan, M; Ali, H; Khan, A; Nittala, AS; Ali, S; Shah, AB; Gondal, TM; Sadak, F; Shah, ZB; Hadi, MU; Khan, S; Al-Tashi, Q; Wu, J; Bermak, A; Alam, T</t>
  </si>
  <si>
    <t>Data generated from sources such as wearable sensors, medical imaging, personal health records, and public health organizations have resulted in a massive information increase in the medical sciences over the last decade. Advances in computational hardware, such as cloud computing, graphical processing units (GPUs), Field-programmable gate arrays (FPGAs) and tensor processing units (TPUs), provide the means to utilize these data. Consequently, an array of sophisticated Artificial Intelligence (AI) techniques have been devised to extract valuable insights from the extensive datasets in the healthcare industry. Here, we present an overview of recent progress in AI and biosensors in medical and life sciences. We discuss the role of machine learning in medical imaging, precision medicine, and biosensors for the Internet of Things (IoT). We review the latest advancements in wearable biosensing technologies. These innovative solutions employ AI to assist in monitoring of bodily electro-physiological and electro-chemical signals, as well as in disease diagnosis. These advancements exemplify the trend towards personalized medicine, delivering highly effective, cost-efficient, and precise point-of-care treatment.Furthermore, an overview of the advances in computing technologies, such as accelerated AI, edge computing, and federated learning for medical data, are also documented. Finally, we investigate challenges in data-driven AI approaches, the potential issues generated by biosensors and IoT-based healthcare, and the distribution shifts that occur among different data modalities, concluding with an overview of future prospects.</t>
  </si>
  <si>
    <t>Qureshi, Rizwan; Irfan, Muhammad; Ali, Hazrat; Khan, Arshad; Nittala, Aditya Shekhar; Ali, Shawkat; Shah, Abbas; Gondal, Taimoor Muzaffar; Sadak, Ferhat; Shah, Zubair; Hadi, Muhammad Usman; Khan, Sheheryar; Al-Tashi, Qasem; Wu, Jia; Bermak, Amine; Alam, Tanvir</t>
  </si>
  <si>
    <t>Alam, T (corresponding author), Hamad Bin Khalifa Univ, Coll Sci &amp; Engn, Doha, Qatar.</t>
  </si>
  <si>
    <t>talam@hbku.edu.qa</t>
  </si>
  <si>
    <t>Research Grants Council of the Hong Kong SAR [UGC/FDS24/E18/22]; Hamad Bin Khalifa University, Qatar Foundation, Doha, Qatar; Qatar National Library (QNL), Qatar</t>
  </si>
  <si>
    <t>Research Grants Council of the Hong Kong SAR (Hong Kong Research Grants Council); Hamad Bin Khalifa University, Qatar Foundation, Doha, Qatar (Qatar Foundation (QF)); Qatar National Library (QNL), Qatar (Qatar National Library Doha Qatar)</t>
  </si>
  <si>
    <t>This work was supported in part by the Research Grants Council of the Hong Kong SAR under Grant UGC/FDS24/E18/22; and in part by Hamad Bin Khalifa University, Qatar Foundation, Doha, Qatar. Open access publication of this article was funded by the Qatar National Library (QNL), Qatar.</t>
  </si>
  <si>
    <t>[Qureshi, Rizwan; Al-Tashi, Qasem; Wu, Jia] Univ Texas Houston, MD Anderson Canc Ctr, Dept Imaging Phys, Houston, TX 77030 USA; [Irfan, Muhammad] Ghulam Ishaq Khan Inst Engn Sci &amp; Technol GIKI, Fac Elect Engn, Swabi 23460, Pakistan; [Ali, Hazrat; Khan, Arshad; Shah, Zubair; Bermak, Amine; Alam, Tanvir] Hamad Bin Khalifa Univ, Coll Sci &amp; Engn, Doha, Qatar; [Nittala, Aditya Shekhar] Univ Calgary, Dept Comp Sci, Calgary, AB T2N 1N4, Canada; [Ali, Shawkat] King Abdullah Univ Sci &amp; Technol, Dept Elect &amp; Comp Engn, Thuwal 23955, Saudi Arabia; [Shah, Abbas] Mehran Univ Engn &amp; Technol, Dept Elect Engn, Jamshoro 76062, Pakistan; [Gondal, Taimoor Muzaffar] Super Univ Lahore, Fac Engn, Lahore 54000, Pakistan; [Sadak, Ferhat] Sorbonne Univ, Inst Syst Intelligents &amp; Robot, CNRS, ISIR, F-75005 Paris, France; [Sadak, Ferhat] Bartin Univ, Dept Mech Engn, TR-74100 Bartin, Turkiye; Ulster Univ, Nanotechnol &amp; Integrated Bioengn Ctr NIBEC, Sch Engn, Belfast BT15 1AP, North Ireland; Hong Kong Polytech Univ, Sch Profess Educ &amp; Execut Dev, Hong Kong, Peoples R China</t>
  </si>
  <si>
    <t>University of Texas System; University of Texas Health Science Center Houston; UTMD Anderson Cancer Center; Qatar Foundation (QF); Hamad Bin Khalifa University-Qatar; University of Calgary; King Abdullah University of Science &amp; Technology; Mehran University Engineering &amp; Technology; Centre National de la Recherche Scientifique (CNRS); Sorbonne Universite; Bartin University; Ulster University; Hong Kong Polytechnic University</t>
  </si>
  <si>
    <t>Artificial Intelligence and Biosensors in Healthcare and Its Clinical Relevance: A Review</t>
  </si>
  <si>
    <t>Medical services; Machine learning; Biological system modeling; Predictive models; Biosensors; Medical diagnostic imaging; Data models; Artificial intelligence; explainable AI; medical imaging; domain adaptation; biosensors; federated learning; big data analytics; large language models</t>
  </si>
  <si>
    <t>DRUG-SENSITIVITY; DATA FUSION; BIG DATA; DEEP; CHALLENGES; NETWORK; ARCHITECTURES; ALGORITHMS; DISCOVERY; RESOURCE</t>
  </si>
  <si>
    <t>Ali, Hazrat/J-2920-2019; Khan, Arshad/GLS-8736-2022; Qureshi, Rizwan/AFS-3131-2022; khan, sheheryar/AAV-2517-2021; AL-TASHI, QASEM/O-1632-2019; Bermak, Amine/G-9915-2013; , Taimoor Muzaffar Gondal/V-9108-2019; Hadi, Muhammad Usman/K-2083-2019; Sadak, Ferhat/CAG-0189-2022</t>
  </si>
  <si>
    <t>Ali, Hazrat/0000-0003-3058-5794; Khan, Arshad/0000-0003-2858-4653; Qureshi, Rizwan/0000-0002-0039-982X; Wu, Jia/0000-0001-8392-8338; khan, sheheryar/0000-0002-1975-4334; Bermak, Amine/0000-0003-4984-6093; , Taimoor Muzaffar Gondal/0000-0002-4088-4651; Hadi, Muhammad Usman/0000-0002-3363-2886; Sadak, Ferhat/0000-0003-2391-4836</t>
  </si>
  <si>
    <t>156</t>
  </si>
  <si>
    <t>61600</t>
  </si>
  <si>
    <t>61620</t>
  </si>
  <si>
    <t>10.1109/ACCESS.2023.3285596</t>
  </si>
  <si>
    <t>http://dx.doi.org/10.1109/ACCESS.2023.3285596</t>
  </si>
  <si>
    <t>L0LL0</t>
  </si>
  <si>
    <t>WOS:001020255700001</t>
  </si>
  <si>
    <t>Keshavarz, P; Bagherieh, S; Nabipoorashra, SA; Chalian, H; Rahsepar, AA; Kim, GHJ; Hassani, C; Raman, SS; Bedayat, A</t>
  </si>
  <si>
    <t>Purpose: The purpose of this study was to systematically review the reported performances of ChatGPT, identify potential limitations, and explore future directions for its integration, optimization, and ethical considerations in radiology applications. Materials and methods: After a comprehensive review of PubMed, Web of Science, Embase, and Google Scholar databases, a cohort of published studies was identified up to January 1, 2024, utilizing ChatGPT for clinical radiology applications. Results: Out of 861 studies derived, 44 studies evaluated the performance of ChatGPT; among these, 37 (37/44; 84.1%) demonstrated high performance, and seven (7/44; 15.9%) indicated it had a lower performance in providing information on diagnosis and clinical decision support (6/44; 13.6%) and patient communication and educational content (1/44; 2.3%). Twenty-four (24/44; 54.5%) studies reported the proportion of ChatGPT's performance. Among these, 19 (19/24; 79.2%) studies recorded a median accuracy of 70.5%, and in five (5/24; 20.8%) studies, there was a median agreement of 83.6% between ChatGPT outcomes and reference standards [radiologists' decision or guidelines], generally confirming ChatGPT's high accuracy in these studies. Eleven studies compared two recent ChatGPT versions, and in ten (10/11; 90.9%), ChatGPTv4 outperformed v3.5, showing notable enhancements in addressing higher-order thinking questions, better comprehension of radiology terms, and improved accuracy in describing images. Risks and concerns about using ChatGPT included biased responses, limited originality, and the potential for inaccurate information leading to misinformation, hallucinations, improper citations and fake references, cybersecurity vulnerabilities, and patient privacy risks. Conclusion: Although ChatGPT's effectiveness has been shown in 84.1% of radiology studies, there are still multiple pitfalls and limitations to address. It is too soon to confirm its complete proficiency and accuracy, and more extensive multicenter studies utilizing diverse datasets and pre-training techniques are required to verify ChatGPT's role in radiology. (c) 2024 The Author(s). Published by Elsevier Masson SAS on behalf of Soci &amp; eacute;t &amp; eacute; fran &amp; ccedil;aise de radiologie. This is an open access article under the CC BY-NC-ND license (http://creativecommons.org/licenses/by-nc-nd/4.0/)</t>
  </si>
  <si>
    <t>Keshavarz, Pedram; Bagherieh, Sara; Nabipoorashra, Seyed Ali; Chalian, Hamid; Rahsepar, Amir Ali; Kim, Grace Hyun J.; Hassani, Cameron; Raman, Steven S.; Bedayat, Arash</t>
  </si>
  <si>
    <t>Bedayat, A (corresponding author), Univ Calif Los Angeles UCLA, David Geffen Sch Med, Dept Radiol Sci, Los Angeles, CA 90095 USA.</t>
  </si>
  <si>
    <t>abedayat@mednet.ucla.edu</t>
  </si>
  <si>
    <t>[Keshavarz, Pedram; Rahsepar, Amir Ali; Kim, Grace Hyun J.; Hassani, Cameron; Raman, Steven S.; Bedayat, Arash] Univ Calif Los Angeles UCLA, David Geffen Sch Med, Dept Radiol Sci, Los Angeles, CA 90095 USA; [Keshavarz, Pedram] Univ Georgia, Sch Sci &amp; Technol, Tbilisi 0171, Georgia; [Bagherieh, Sara; Nabipoorashra, Seyed Ali; Chalian, Hamid] Univ Washington, Dept Radiol, Cardiothorac Imaging, Seattle, WA 98195 USA; [Kim, Grace Hyun J.] Univ Calif Los Angeles UCLA, Ctr Comp Vis &amp; Imaging Biomarkers, Dept Radiol Sci, Los Angeles, CA 90095 USA</t>
  </si>
  <si>
    <t>University of California System; University of California Los Angeles; David Geffen School of Medicine at UCLA; University of California Los Angeles Medical Center; University of Washington; University of Washington Seattle; University of California System; University of California Los Angeles; David Geffen School of Medicine at UCLA</t>
  </si>
  <si>
    <t>ChatGPT in radiology: A systematic review of performance, pitfalls, and future perspectives</t>
  </si>
  <si>
    <t>DIAGNOSTIC AND INTERVENTIONAL IMAGING</t>
  </si>
  <si>
    <t>Arti ficial intelligence; ChatGPT; Decision support systems; Large language model; OpenAI</t>
  </si>
  <si>
    <t>ARTIFICIAL-INTELLIGENCE; GPT-4</t>
  </si>
  <si>
    <t>Kim, Hyun/AAQ-6384-2020; Keshavarz,, Pedram/AAM-1684-2020; Bagherieh, Sara/GLV-6607-2022</t>
  </si>
  <si>
    <t>Hassani, Cameron/0000-0002-2831-5384; Keshavarz,, Pedram/0000-0001-5374-5514</t>
  </si>
  <si>
    <t>ELSEVIER MASSON, CORP OFF</t>
  </si>
  <si>
    <t>PARIS</t>
  </si>
  <si>
    <t>65 CAMILLE DESMOULINS CS50083 ISSY-LES-MOULINEAUX, 92442 PARIS, FRANCE</t>
  </si>
  <si>
    <t>2211-5684</t>
  </si>
  <si>
    <t>DIAGN INTERV IMAG</t>
  </si>
  <si>
    <t>Diagn. Interv. Imaging</t>
  </si>
  <si>
    <t>JUL-AUG 2024</t>
  </si>
  <si>
    <t>7-8</t>
  </si>
  <si>
    <t>251</t>
  </si>
  <si>
    <t>10.1016/j.diii.2024.04.003</t>
  </si>
  <si>
    <t>http://dx.doi.org/10.1016/j.diii.2024.04.003</t>
  </si>
  <si>
    <t>XM1S3</t>
  </si>
  <si>
    <t>38679540</t>
  </si>
  <si>
    <t>WOS:001262014700001</t>
  </si>
  <si>
    <t>Nakaura, T; Ito, R; Ueda, D; Nozaki, T; Fushimi, Y; Matsui, Y; Yanagawa, M; Yamada, A; Tsuboyama, T; Fujima, N; Tatsugami, F; Hirata, K; Fujita, S; Kamagata, K; Fujioka, T; Kawamura, M; Naganawa, S</t>
  </si>
  <si>
    <t>The advent of Deep Learning (DL) has significantly propelled the field of diagnostic radiology forward by enhancing image analysis and interpretation. The introduction of the Transformer architecture, followed by the development of Large Language Models (LLMs), has further revolutionized this domain. LLMs now possess the potential to automate and refine the radiology workflow, extending from report generation to assistance in diagnostics and patient care. The integration of multimodal technology with LLMs could potentially leapfrog these applications to unprecedented levels.However, LLMs come with unresolved challenges such as information hallucinations and biases, which can affect clinical reliability. Despite these issues, the legislative and guideline frameworks have yet to catch up with technological advancements. Radiologists must acquire a thorough understanding of these technologies to leverage LLMs' potential to the fullest while maintaining medical safety and ethics. This review aims to aid in that endeavor.</t>
  </si>
  <si>
    <t>Nakaura, Takeshi; Ito, Rintaro; Ueda, Daiju; Nozaki, Taiki; Fushimi, Yasutaka; Matsui, Yusuke; Yanagawa, Masahiro; Yamada, Akira; Tsuboyama, Takahiro; Fujima, Noriyuki; Tatsugami, Fuminari; Hirata, Kenji; Fujita, Shohei; Kamagata, Koji; Fujioka, Tomoyuki; Kawamura, Mariko; Naganawa, Shinji</t>
  </si>
  <si>
    <t>Nakaura, T (corresponding author), Kumamoto Univ Hosp, Dept Cent Radiol, Honjo 1-1-1, Kumamoto 8608556, Japan.</t>
  </si>
  <si>
    <t>kff00712@nifty.com</t>
  </si>
  <si>
    <t>[Nakaura, Takeshi] Kumamoto Univ Hosp, Dept Cent Radiol, Honjo 1-1-1, Kumamoto 8608556, Japan; [Ito, Rintaro; Kawamura, Mariko; Naganawa, Shinji] Nagoya Univ, Grad Sch Med, Dept Radiol, Nagoya, Aichi, Japan; [Ueda, Daiju] Osaka Metropolitan Univ, Grad Sch Med, Dept Diagnost &amp; Intervent Radiol, 1-4-3 Asahi Machi,Abeno Ku, Osaka 5458585, Japan; [Nozaki, Taiki] Keio Univ, Sch Med, Dept Radiol, Shinjuku Ku, Tokyo, Japan; [Fushimi, Yasutaka] Kyoto Univ, Grad Sch Med, Dept Diagnost Imaging &amp; Nucl Med, Kyoto, Japan; [Matsui, Yusuke] Okayama Univ, Fac Med Dent &amp; Pharmaceut Sci, Dept Radiol, Kita Ku, Okayama, Japan; [Yanagawa, Masahiro; Tsuboyama, Takahiro] Osaka Univ, Grad Sch Med, Dept Radiol, Suita, Osaka, Japan; [Yamada, Akira] Shinshu Univ, Sch Med, Dept Radiol, Matsumoto, Nagano, Japan; [Fujima, Noriyuki] Hokkaido Univ Hosp, Dept Diagnost &amp; Intervent Radiol, Sapporo, Japan; [Tatsugami, Fuminari] Hiroshima Univ, Dept Diagnost Radiol, Minami Ku, Hiroshima, Japan; [Hirata, Kenji] Hokkaido Univ, Grad Sch Med, Dept Diagnost Imaging, Kita Ku, Sapporo, Hokkaido, Japan; [Fujita, Shohei] Univ Tokyo, Dept Radiol, Bunkyo Ku, Tokyo, Japan; [Kamagata, Koji] Juntendo Univ, Dept Radiol, Grad Sch Med, Bunkyo Ku, Tokyo, Japan; [Fujioka, Tomoyuki] Tokyo Med &amp; Dent Univ, Dept Diagnost Radiol, Bunkyo Ku, Tokyo, Japan</t>
  </si>
  <si>
    <t>Kumamoto University; Nagoya University; Osaka Metropolitan University; Keio University; Kyoto University; Okayama University; University of Osaka; Shinshu University; Hokkaido University; Hiroshima University; Hokkaido University; University of Tokyo; Juntendo University; Institute of Science Tokyo; Tokyo Medical &amp; Dental University (TMDU)</t>
  </si>
  <si>
    <t>The impact of large language models on radiology: a guide for radiologists on the latest innovations in AI</t>
  </si>
  <si>
    <t>JAPANESE JOURNAL OF RADIOLOGY</t>
  </si>
  <si>
    <t>Diagnostic radiology; Artificial intelligence; Deep learning; Large language model; Radiological workflow</t>
  </si>
  <si>
    <t>TEXTURE ANALYSIS; OVARIAN-CANCER; MRI; DIFFERENTIATE</t>
  </si>
  <si>
    <t>Naganawa, Shinji/I-1572-2012; Nakaura, Takeshi/HQZ-8072-2023; Yanagawa, Masahiro/AAD-2306-2022; Kawamura, Mariko/Q-5517-2019; Fujima, Noriyuki/AAF-7270-2020; Ueda, Daiju/AAG-2167-2021; Yamada, Akira/AAD-1536-2019; 鎌形, 康司/AFL-9072-2022; 倫太郎, 伊藤/AFH-9268-2022; Fushimi, Yasutaka/L-8922-2017</t>
  </si>
  <si>
    <t>Yanagawa, Masahiro/0000-0002-0911-6769; Nakaura, Takeshi/0000-0002-9010-0341</t>
  </si>
  <si>
    <t>91</t>
  </si>
  <si>
    <t>95</t>
  </si>
  <si>
    <t>97</t>
  </si>
  <si>
    <t>1867-1071</t>
  </si>
  <si>
    <t>1867-108X</t>
  </si>
  <si>
    <t>JPN J RADIOL</t>
  </si>
  <si>
    <t>Jpn. J. Radiol.</t>
  </si>
  <si>
    <t>685</t>
  </si>
  <si>
    <t>696</t>
  </si>
  <si>
    <t>10.1007/s11604-024-01552-0</t>
  </si>
  <si>
    <t>http://dx.doi.org/10.1007/s11604-024-01552-0</t>
  </si>
  <si>
    <t>XC8S0</t>
  </si>
  <si>
    <t>38551772</t>
  </si>
  <si>
    <t>WOS:001194855800001</t>
  </si>
  <si>
    <t>hybrid; Green Submitted; Green Published</t>
  </si>
  <si>
    <t>Zhang, K; Zhou, HY; Baptista-Hon, DT; Gao, YX; Liu, XH; Oermann, E; Xu, S; Jin, SW; Zhang, J; Sun, Z; Yin, Y; Razmi, RM; Loupy, A; Beck, S; Qu, J; Wu, JS</t>
  </si>
  <si>
    <t>The digital twin (DT) is a concept widely used in industry to create digital replicas of physical objects or systems. The dynamic, bi-directional link between the physical entity and its digital counterpart enables a realtime update of the digital entity. It can predict perturbations related to the physical object's function. The obvious applications of DTs in healthcare and medicine are extremely attractive prospects that have the potential to revolutionize patient diagnosis and treatment. However, challenges including technical obstacles, biological heterogeneity, and ethical considerations make it difficult to achieve the desired goal. Advances in multi-modal deep learning methods, embodied AI agents, and the metaverse may mitigate some difficulties. Here, we discuss the basic concepts underlying DTs, the requirements for implementing DTs in medicine, and their current and potential healthcare uses. We also provide our perspective on five hallmarks for a healthcare DT system to advance research in this field.</t>
  </si>
  <si>
    <t>Zhang, Kang; Zhou, Hong-Yu; Baptista-Hon, Daniel T.; Gao, Yuanxu; Liu, Xiaohong; Oermann, Eric; Xu, Sheng; Jin, Shengwei; Zhang, Jian; Sun, Zhuo; Yin, Yun; Razmi, Ronald M.; Loupy, Alexandre; Beck, Stephan; Qu, Jia; Wu, Joseph</t>
  </si>
  <si>
    <t>Zhang, K; Qu, J; Wu, JS (corresponding author), Wenzhou Med Univ, Eye Hosp, Natl Clin Eye Res Ctr, Wenzhou 325000, Peoples R China.; Zhang, K; Qu, J (corresponding author), Wenzhou Med Univ, Inst Clin Data Sci, Wenzhou 325000, Peoples R China.; Zhang, K (corresponding author), Macau Univ Sci &amp; Technol, Inst AI Med, Macau 999078, Peoples R China.; Zhang, K (corresponding author), Macau Univ Sci &amp; Technol, Fac Med, Macau 999078, Peoples R China.; Beck, S (corresponding author), UCL, Canc Inst, London WC1E, England.; Wu, JS (corresponding author), Stanford Univ, Cardiovasc Res Inst, Stanford, CA 94305 USA.</t>
  </si>
  <si>
    <t>jia.qu@eye.ac.cn; s.beck@ucl.ac.uk; joewu@stanford.edu; kang.zhang@gmail.com</t>
  </si>
  <si>
    <t>[Zhang, Kang; Zhou, Hong-Yu; Baptista-Hon, Daniel T.; Gao, Yuanxu; Liu, Xiaohong; Zhang, Jian; Sun, Zhuo; Yin, Yun; Razmi, Ronald M.; Loupy, Alexandre; Qu, Jia; Wu, Joseph] Wenzhou Med Univ, Eye Hosp, Natl Clin Eye Res Ctr, Wenzhou 325000, Peoples R China; [Zhang, Kang; Jin, Shengwei; Razmi, Ronald M.; Qu, Jia] Wenzhou Med Univ, Inst Clin Data Sci, Wenzhou 325000, Peoples R China; [Zhang, Kang; Baptista-Hon, Daniel T.] Macau Univ Sci &amp; Technol, Inst AI Med, Macau 999078, Peoples R China; [Zhang, Kang; Baptista-Hon, Daniel T.] Macau Univ Sci &amp; Technol, Fac Med, Macau 999078, Peoples R China; [Zhou, Hong-Yu] Harvard Med Sch, Dept Biomed Informat, Boston, MA 02138 USA; [Gao, Yuanxu] Peking Univ, Coll Future Technol, Dept Big Data &amp; Biomed AI, Beijing 100000, Peoples R China; [Liu, Xiaohong; Beck, Stephan] UCL, Canc Inst, London WC1E, England; [Oermann, Eric] NYU, NYU Langone Med Ctr, New York, NY 10016 USA; [Xu, Sheng] Univ Calif San Diego, Dept Chem Engn &amp; Nanoengn, San Diego, CA 92093 USA; [Zhang, Jian] Wenzhou Med Univ, Affiliated Hosp 2, Dept Anesthesia &amp; Crit Care, Wenzhou 325000, Peoples R China; [Zhang, Jian] Wenzhou Med Univ, Yuying Childrens Hosp, Wenzhou 325000, Peoples R China; [Sun, Zhuo] Wenzhou Med Univ, Inst Adv Study Eye Hlth &amp; Dis, Wenzhou 325000, Peoples R China; [Yin, Yun] City Univ Macau, Fac Business, Macau 999078, Peoples R China; [Yin, Yun] City Univ Macau, Hlth Sci Inst, Macau 999078, Peoples R China; [Razmi, Ronald M.] Zoi Capital, New York, NY 10013 USA; [Loupy, Alexandre] Univ Paris Cite, Paris Inst Transplantat &amp; Organ Regenerat, INSERM U970, PARCC, F-75015 Paris, France; [Wu, Joseph] Stanford Univ, Cardiovasc Res Inst, Stanford, CA 94305 USA; [Baptista-Hon, Daniel T.] Univ Dundee, Sch Med, Dundee DD1 9SY, Scotland</t>
  </si>
  <si>
    <t>Wenzhou Medical University; Wenzhou Medical University; Macau University of Science and Technology; Macau University of Science and Technology; Harvard University; Harvard Medical School; Peking University; University of London; University College London; New York University; NYU Langone Medical Center; University of California System; University of California San Diego; Wenzhou Medical University; Wenzhou Medical University; Wenzhou Medical University; City University of Macau; City University of Macau; Institut National de la Sante et de la Recherche Medicale (Inserm); Universite Paris Cite; Stanford University; University of Dundee</t>
  </si>
  <si>
    <t>Int Consortium Digital Twins Med</t>
  </si>
  <si>
    <t>Concepts and applications of digital twins in healthcare and medicine</t>
  </si>
  <si>
    <t>PATTERNS</t>
  </si>
  <si>
    <t>NEURAL-NETWORKS; MODELS</t>
  </si>
  <si>
    <t>Zhou, Hong-Yu/ADF-2386-2022; Xu, Sheng/D-7717-2011; Oermann, Eric/AAD-9729-2020; yin, yun/OJT-9276-2025; Gao, Yuanxu/GMW-9983-2022</t>
  </si>
  <si>
    <t>Xu, Sheng/0000-0002-3120-4992; yin, yun/0009-0002-5659-0874</t>
  </si>
  <si>
    <t>88</t>
  </si>
  <si>
    <t>2666-3899</t>
  </si>
  <si>
    <t>Patterns</t>
  </si>
  <si>
    <t>AUG 9 2024</t>
  </si>
  <si>
    <t>101028</t>
  </si>
  <si>
    <t>10.1016/j.patter.2024.101028</t>
  </si>
  <si>
    <t>http://dx.doi.org/10.1016/j.patter.2024.101028</t>
  </si>
  <si>
    <t>Computer Science, Artificial Intelligence; Computer Science, Information Systems; Computer Science, Interdisciplinary Applications</t>
  </si>
  <si>
    <t>D0P9M</t>
  </si>
  <si>
    <t>39233690</t>
  </si>
  <si>
    <t>WOS:001293303300001</t>
  </si>
  <si>
    <t>Raman, R; Pattnaik, D; Hughes, L; Nedungadi, P</t>
  </si>
  <si>
    <t>In a world that has rapidly transformed through the advent of artificial intelligence (AI), our systematic review, guided by the PRISMA protocol, investigates a decade of AI research, revealing insights into its evolution and impact. Our study, examining 3,767 articles, has drawn considerable attention, as evidenced by an impressive 63,577 citations, underscoring the scholarly community's profound engagement. Our study reveals a collaborative landscape with 18,189 contributing authors, reflecting a robust network of researchers advancing AI and machine learning applications. Review categories focus on systematic reviews and bibliometric analyses, indicating an increasing emphasis on comprehensive literature synthesis and quantitative analysis. The findings also suggest an opportunity to explore emerging methodologies such as topic modeling and meta-analysis. We dissect the state of the art presented in these reviews, finding themes throughout the broad scholarly discourse through thematic clustering and BERTopic modeling. Categorization of study articles across fields of research indicates dominance in Information and Computing Sciences, followed by Biomedical and Clinical Sciences. Subject categories reveal interconnected clusters across various sectors, notably in healthcare, engineering, business intelligence, and computational technologies. Semantic analysis via BERTopic revealed nineteen clusters mapped to themes such as AI in health innovations, AI for sustainable development, AI and deep learning, AI in education, and ethical considerations. Future research directions are suggested, emphasizing the need for intersectional bias mitigation, holistic health approaches, AI's role in environmental sustainability, and the ethical deployment of generative AI. (c) 2024 The Author(s). Published by Elsevier Espa &amp; ntilde;a, S.L.U. on behalf of Journal of Innovation &amp; Knowledge. This is an open access article under the CC BY-NC-ND license (http://creativecommons.org/licenses/by-nc-nd/4.0/)</t>
  </si>
  <si>
    <t>Raman, Raghu; Pattnaik, Debidutta; Hughes, Laurie; Nedungadi, Prema</t>
  </si>
  <si>
    <t>Raman, R (corresponding author), Amrita Vishwa Vidyapeetham, Amrita Sch Business, Amritapuri 690525, Kerala, India.</t>
  </si>
  <si>
    <t>raghu@amrita.edu</t>
  </si>
  <si>
    <t>[Raman, Raghu] Amrita Vishwa Vidyapeetham, Amrita Sch Business, Amritapuri 690525, Kerala, India; [Pattnaik, Debidutta] Int Management Inst, Bhubaneswar 751003, India; [Hughes, Laurie] Edith Cowan Univ, Sch Business &amp; Law, JO 2-331,270 Joondalup Dr, Joondalup, WA 6027, Australia; [Nedungadi, Prema] Amrita Vishwa Vidyapeetham, Amrita Sch Comp, Amritapuri 690525, Kerala, India</t>
  </si>
  <si>
    <t>Amrita Vishwa Vidyapeetham; Amrita Vishwa Vidyapeetham Amritapuri; IMI Bhubaneswar; Edith Cowan University; Amrita Vishwa Vidyapeetham; Amrita Vishwa Vidyapeetham Amritapuri</t>
  </si>
  <si>
    <t>Unveiling the dynamics of AI applications: A review of reviews using scientometrics and BERTopic modeling</t>
  </si>
  <si>
    <t>JOURNAL OF INNOVATION &amp; KNOWLEDGE</t>
  </si>
  <si>
    <t>Thematic analysis; Cocitation analysis; Topic modeling; BERTopic; Artificial intelligence; Sustainable development goal; Cybersecurity; Innovation; Ethics; Blockchain</t>
  </si>
  <si>
    <t>ARTIFICIAL-INTELLIGENCE; EDUCATION; SYSTEMS</t>
  </si>
  <si>
    <t>Nedungadi, Prema/ODJ-1776-2025; Pattnaik, Debidutta/GWU-6164-2022; Raman, Raghu/AAL-9550-2020</t>
  </si>
  <si>
    <t>Hughes, Laurie/0000-0002-0956-0608; Nedungadi, Prema/0000-0001-8774-3541; Pattnaik, Debidutta/0000-0001-6180-0499; Raman, Raghu/0000-0002-0851-9742</t>
  </si>
  <si>
    <t>79</t>
  </si>
  <si>
    <t>541</t>
  </si>
  <si>
    <t>ELSEVIER ESPANA</t>
  </si>
  <si>
    <t>MADRID</t>
  </si>
  <si>
    <t>CALLE DE ZURBANO, 76-4TH FLR LEFT, MADRID, 28010, SPAIN</t>
  </si>
  <si>
    <t>2530-7614</t>
  </si>
  <si>
    <t>2444-569X</t>
  </si>
  <si>
    <t>J INNOV KNOWL</t>
  </si>
  <si>
    <t>J. Innov. Knowl.</t>
  </si>
  <si>
    <t>JUL-SEP 2024</t>
  </si>
  <si>
    <t>100517</t>
  </si>
  <si>
    <t>10.1016/j.jik.2024.100517</t>
  </si>
  <si>
    <t>http://dx.doi.org/10.1016/j.jik.2024.100517</t>
  </si>
  <si>
    <t>Business; Management</t>
  </si>
  <si>
    <t>ZN8J1</t>
  </si>
  <si>
    <t>WOS:001276066200001</t>
  </si>
  <si>
    <t>Liu, XH; Wang, WM</t>
  </si>
  <si>
    <t>Deep learning, a crucial technique for achieving artificial intelligence (AI), has been successfully applied in many fields. The gradual application of the latest architectures of deep learning in the field of time series forecasting (TSF), such as Transformers, has shown excellent performance and results compared to traditional statistical methods. These applications are widely present in academia and in our daily lives, covering many areas including forecasting electricity consumption in power systems, meteorological rainfall, traffic flow, quantitative trading, risk control in finance, sales operations and price predictions for commercial companies, and pandemic prediction in the medical field. Deep learning-based TSF tasks stand out as one of the most valuable AI scenarios for research, playing an important role in explaining complex real-world phenomena. However, deep learning models still face challenges: they need to deal with the challenge of large-scale data in the information age, achieve longer forecasting ranges, reduce excessively high computational complexity, etc. Therefore, novel methods and more effective solutions are essential. In this paper, we review the latest developments in deep learning for TSF. We begin by introducing the recent development trends in the field of TSF and then propose a new taxonomy from the perspective of deep neural network models, comprehensively covering articles published over the past five years. We also organize commonly used experimental evaluation metrics and datasets. Finally, we point out current issues with the existing solutions and suggest promising future directions in the field of deep learning combined with TSF. This paper is the most comprehensive review related to TSF in recent years and will provide a detailed index for researchers in this field and those who are just starting out.</t>
  </si>
  <si>
    <t>Liu, Xinhe; Wang, Wenmin</t>
  </si>
  <si>
    <t>Wang, WM (corresponding author), Macau Univ Sci &amp; Technol, Sch Comp Sci &amp; Engn, Macau 999078, Peoples R China.</t>
  </si>
  <si>
    <t>wmwang@must.edu.mo</t>
  </si>
  <si>
    <t>[Liu, Xinhe; Wang, Wenmin] Macau Univ Sci &amp; Technol, Sch Comp Sci &amp; Engn, Macau 999078, Peoples R China</t>
  </si>
  <si>
    <t>Macau University of Science and Technology</t>
  </si>
  <si>
    <t>Deep Time Series Forecasting Models: A Comprehensive Survey</t>
  </si>
  <si>
    <t>MATHEMATICS</t>
  </si>
  <si>
    <t>time series forecasting; deep learning; Transformer; convolutional neural network (CNN); recurrent neural network (RNN); multi-layer perceptron (MLP); state space model (SSM); large language model (LLM)</t>
  </si>
  <si>
    <t>TRANSFORMER; EFFICIENT; SEQUENCE</t>
  </si>
  <si>
    <t>Wang, Wenmin/0000-0003-2664-4413</t>
  </si>
  <si>
    <t>460</t>
  </si>
  <si>
    <t>2227-7390</t>
  </si>
  <si>
    <t>MATHEMATICS-BASEL</t>
  </si>
  <si>
    <t>Mathematics</t>
  </si>
  <si>
    <t>1504</t>
  </si>
  <si>
    <t>10.3390/math12101504</t>
  </si>
  <si>
    <t>http://dx.doi.org/10.3390/math12101504</t>
  </si>
  <si>
    <t>RZ7D4</t>
  </si>
  <si>
    <t>WOS:001231535600001</t>
  </si>
  <si>
    <t>Boonstra, MJ; Weissenbacher, D; Moore, JH; Gonzalez-Hernandez, G; Asselbergs, FW</t>
  </si>
  <si>
    <t>Graphical Abstract Overview of input sources (top) to train or fine-tune cardio large language models and different applications (bottom). ECG, electrocardiogram; Q&amp;A, questions and answers.Natural language processing techniques are having an increasing impact on clinical care from patient, clinician, administrator, and research perspective. Among others are automated generation of clinical notes and discharge letters, medical term coding for billing, medical chatbots both for patients and clinicians, data enrichment in the identification of disease symptoms or diagnosis, cohort selection for clinical trial, and auditing purposes. In the review, an overview of the history in natural language processing techniques developed with brief technical background is presented. Subsequently, the review will discuss implementation strategies of natural language processing tools, thereby specifically focusing on large language models, and conclude with future opportunities in the application of such techniques in the field of cardiology.</t>
  </si>
  <si>
    <t>Boonstra, Machteld; Weissenbacher, Davy; Moore, Jason; Gonzalez-Hernandez, Graciela; Asselbergs, Folkert</t>
  </si>
  <si>
    <t>Asselbergs, FW (corresponding author), Univ Amsterdam, Amsterdam Univ, Dept Cardiol, Amsterdam Cardiovasc Sci,Med Ctr, Amsterdam, Netherlands.; Asselbergs, FW (corresponding author), UCL, Inst Hlth Informat, London, England.; Asselbergs, FW (corresponding author), UCL, Univ Coll London Hosp, Biomed Res Ctr, Natl Inst Hlth Res, London, England.</t>
  </si>
  <si>
    <t>f.w.asselbergs@amsterdamumc.nl</t>
  </si>
  <si>
    <t>European Union [101057849, 101080430]; Horizon Europe - Pillar II [101057849] Funding Source: Horizon Europe - Pillar II</t>
  </si>
  <si>
    <t>European Union (European Union (EU)); Horizon Europe - Pillar II (European Union (EU), Horizon Europe - Pillar II)</t>
  </si>
  <si>
    <t>This work received funding from the European Union's Horizon Europe research and innovation programme under Grant Agreement No. 101057849 (DataTools4Heart project) and No. 101080430 (AI4HF project). Other authors have nothing to declare.</t>
  </si>
  <si>
    <t>[Boonstra, Machteld; Asselbergs, Folkert] Univ Amsterdam, Amsterdam Univ, Dept Cardiol, Amsterdam Cardiovasc Sci,Med Ctr, Amsterdam, Netherlands; [Weissenbacher, Davy; Moore, Jason; Gonzalez-Hernandez, Graciela] Cedars Sinai Med Ctr, Dept Computat Biomed, Los Angeles, CA USA; [Asselbergs, Folkert] UCL, Inst Hlth Informat, London, England; [Asselbergs, Folkert] UCL, Univ Coll London Hosp, Biomed Res Ctr, Natl Inst Hlth Res, London, England</t>
  </si>
  <si>
    <t>University of Amsterdam; Cedars Sinai Medical Center; University of London; University College London; University College London Hospitals NHS Foundation Trust; University of London; University College London</t>
  </si>
  <si>
    <t>Artificial intelligence: revolutionizing cardiology with large language models</t>
  </si>
  <si>
    <t>Large language models; Natural language processing; Cardiology; Clinical applications</t>
  </si>
  <si>
    <t>INFORMATION; PASTE; COPY</t>
  </si>
  <si>
    <t>Asselbergs, Folkert Wouter/ABD-6752-2021; Moore, Jason/AAV-9645-2021</t>
  </si>
  <si>
    <t>Boonstra, Machteld J/0000-0001-7550-0489; Asselbergs, Folkert Wouter/0000-0002-1692-8669; Weissenbacher, Davy/0000-0001-8331-3675; Gonzalez Hernandez, Graciela/0000-0002-6416-9556; Moore, Jason/0000-0002-5015-1099</t>
  </si>
  <si>
    <t>147</t>
  </si>
  <si>
    <t>FEB 1 2024</t>
  </si>
  <si>
    <t>SI</t>
  </si>
  <si>
    <t>332</t>
  </si>
  <si>
    <t>345</t>
  </si>
  <si>
    <t>10.1093/eurheartj/ehad838</t>
  </si>
  <si>
    <t>http://dx.doi.org/10.1093/eurheartj/ehad838</t>
  </si>
  <si>
    <t>HC9R4</t>
  </si>
  <si>
    <t>38170821</t>
  </si>
  <si>
    <t>WOS:001135440400001</t>
  </si>
  <si>
    <t>Iannantuono, GM; Bracken-Clarke, D; Floudas, CS; Roselli, M; Gulley, JL; Karzai, F</t>
  </si>
  <si>
    <t>The development of large language models (LLMs) is a recent success in the field of generative artificial intelligence (AI). They are computer models able to perform a wide range of natural language processing tasks, including content generation, question answering, or language translation. In recent months, a growing number of studies aimed to assess their potential applications in the field of medicine, including cancer care. In this mini review, we described the present published evidence for using LLMs in oncology. All the available studies assessed ChatGPT, an advanced language model developed by OpenAI, alone or compared to other LLMs, such as Google Bard, Chatsonic, and Perplexity. Although ChatGPT could provide adequate information on the screening or the management of specific solid tumors, it also demonstrated a significant error rate and a tendency toward providing obsolete data. Therefore, an accurate, expert-driven verification process remains mandatory to avoid the potential for misinformation and incorrect evidence. Overall, although this new generative AI-based technology has the potential to revolutionize the field of medicine, including that of cancer care, it will be necessary to develop rules to guide the application of these tools to maximize benefits and minimize risks.</t>
  </si>
  <si>
    <t>Iannantuono, Giovanni Maria; Bracken-Clarke, Dara; Floudas, Charalampos S.; Roselli, Mario; Gulley, James L.; Karzai, Fatima</t>
  </si>
  <si>
    <t>Karzai, F (corresponding author), NCI, NIH, Genitourinary Malignancies Branch, Ctr Canc Res, Bethesda, MD 20814 USA.</t>
  </si>
  <si>
    <t>fatima.karzai@nih.gov</t>
  </si>
  <si>
    <t>The authors declare financial support was received for the research, authorship, and/or publication of this article. This work was supported by the Intramural Research Program, National Institutes of Health, National Cancer Institute, Center for Cancer Res; Intramural Research Program, National Institutes of Health, National Cancer Institute, Center for Cancer Research</t>
  </si>
  <si>
    <t>The authors declare financial support was received for the research, authorship, and/or publication of this article. This work was supported by the Intramural Research Program, National Institutes of Health, National Cancer Institute, Center for Cancer Research. The interpretation and reporting of these data are the sole responsibility of the authors.</t>
  </si>
  <si>
    <t>[Iannantuono, Giovanni Maria; Karzai, Fatima] NCI, NIH, Genitourinary Malignancies Branch, Ctr Canc Res, Bethesda, MD 20814 USA; [Iannantuono, Giovanni Maria; Roselli, Mario] Univ Roma Tor Vergata, Med Oncol Unit, Dept Syst Med, Rome, Italy; [Bracken-Clarke, Dara; Floudas, Charalampos S.; Gulley, James L.] NCI, NIH, Ctr Immuno Oncol, Ctr Canc Res, Bethesda, MD USA</t>
  </si>
  <si>
    <t>National Institutes of Health (NIH) - USA; NIH National Cancer Institute (NCI); University of Rome Tor Vergata; National Institutes of Health (NIH) - USA; NIH National Cancer Institute (NCI)</t>
  </si>
  <si>
    <t>Applications of large language models in cancer care: current evidence and future perspectives</t>
  </si>
  <si>
    <t>FRONTIERS IN ONCOLOGY</t>
  </si>
  <si>
    <t>artificial intelligence; large language models; chatbot; cancer care; ChatGPT</t>
  </si>
  <si>
    <t>ARTIFICIAL-INTELLIGENCE; CHATGPT</t>
  </si>
  <si>
    <t>Roselli, Mario/AAJ-5481-2020; Karzai, Fatima/ABG-1193-2021; Gulley, James/Y-7576-2019; Iannantuono, Giovanni Maria/GRR-4606-2022; BrackenClarke, Dara/LUZ-1825-2024</t>
  </si>
  <si>
    <t>2234-943X</t>
  </si>
  <si>
    <t>FRONT ONCOL</t>
  </si>
  <si>
    <t>Front. Oncol.</t>
  </si>
  <si>
    <t>SEP 4 2023</t>
  </si>
  <si>
    <t>1268915</t>
  </si>
  <si>
    <t>10.3389/fonc.2023.1268915</t>
  </si>
  <si>
    <t>http://dx.doi.org/10.3389/fonc.2023.1268915</t>
  </si>
  <si>
    <t>R8PZ4</t>
  </si>
  <si>
    <t>37731643</t>
  </si>
  <si>
    <t>WOS:001066934300001</t>
  </si>
  <si>
    <t>Srivastav, S; Chandrakar, R; Gupta, S; Babhulkar, V; Agrawal, S; Jaiswal, A; Prasad, R; Wanjari, MB</t>
  </si>
  <si>
    <t>This review article provides an overview of using artificial intelligence (AI) in radiology. It discusses the advantages and limitations of ChatGPT, a large language model, for medical imaging diagnosis. ChatGPT has shown great promise in improving the accuracy and efficiency of radiological diagnoses by reducing interpretation variability and errors and improving workflow efficiency. However, there are also limitations, including the need for high-quality training data, ethical considerations, and further research and development to improve its performance and usability. Despite these challenges, ChatGPT has the potential to significantly impact radiology and medical imaging diagnosis. The review article highlights the need for continued research and development, coupled with ethical and regulatory considerations, to ensure that ChatGPT is used to its full potential in improving radiological diagnoses and patient care.</t>
  </si>
  <si>
    <t>Srivastav, Samriddhi; Chandrakar, Rashi; Gupta, Shalvi; Babhulkar, Vaishnavi; Agrawal, Sristy; Jaiswal, Arpita; Prasad, Roshan; Wanjari, Mayur B.</t>
  </si>
  <si>
    <t>Prasad, R (corresponding author), Datta Meghe Inst Higher Educ &amp; Res, Jawaharlal Nehru Med Coll, Med &amp; Surg, Wardha, India.</t>
  </si>
  <si>
    <t>roshanprasad2000@gmail.com</t>
  </si>
  <si>
    <t>[Srivastav, Samriddhi; Chandrakar, Rashi; Babhulkar, Vaishnavi; Agrawal, Sristy] Jawaharlal Nehru Med Coll, Datta Meghe Inst Higher Educ &amp; Res, Med, Wardha, India; [Gupta, Shalvi] Jawaharlal Nehru Med Coll, Datta Meghe Inst Higher Educ &amp; Res, Surg, Wardha, India; [Jaiswal, Arpita] Jawaharlal Nehru Med Coll, Datta Meghe Inst Higher Educ &amp; Res, Obstet &amp; Gynaecol, Wardha, India; [Prasad, Roshan] Datta Meghe Inst Higher Educ &amp; Res, Jawaharlal Nehru Med Coll, Med &amp; Surg, Wardha, India; [Wanjari, Mayur B.] Datta Meghe Inst Higher Educ &amp; Res, Jawaharlal Nehru Med Coll, Res &amp; Dev, Wardha, India</t>
  </si>
  <si>
    <t>Datta Meghe Institute of Higher Education &amp; Research (Deemed to be University); Jawaharlal Nehru Medical College Wardha; Datta Meghe Institute of Higher Education &amp; Research (Deemed to be University); Jawaharlal Nehru Medical College Wardha; Datta Meghe Institute of Higher Education &amp; Research (Deemed to be University); Jawaharlal Nehru Medical College Wardha; Datta Meghe Institute of Higher Education &amp; Research (Deemed to be University); Jawaharlal Nehru Medical College Wardha; Datta Meghe Institute of Higher Education &amp; Research (Deemed to be University); Jawaharlal Nehru Medical College Wardha</t>
  </si>
  <si>
    <t>ChatGPT in Radiology: The Advantages and Limitations of Artificial Intelligence for Medical Imaging Diagnosis</t>
  </si>
  <si>
    <t>CUREUS JOURNAL OF MEDICAL SCIENCE</t>
  </si>
  <si>
    <t>limitations; advantages; medical imaging diagnosis; artificial intelligence; radiology; chatgpt</t>
  </si>
  <si>
    <t>Wanjari, Mayur/ABF-1361-2021; PRASAD, ROSHAN/IUP-5415-2023; /ABA-8385-2020</t>
  </si>
  <si>
    <t>Wanjari, Mayur/0000-0001-7794-2408; PRASAD, ROSHAN/0000-0002-1958-2026</t>
  </si>
  <si>
    <t>83</t>
  </si>
  <si>
    <t>2168-8184</t>
  </si>
  <si>
    <t>CUREUS J MED SCIENCE</t>
  </si>
  <si>
    <t>Cureus J Med Sci</t>
  </si>
  <si>
    <t>JUL 7 2023</t>
  </si>
  <si>
    <t>e41435</t>
  </si>
  <si>
    <t>10.7759/cureus.41435</t>
  </si>
  <si>
    <t>http://dx.doi.org/10.7759/cureus.41435</t>
  </si>
  <si>
    <t>O1DS6</t>
  </si>
  <si>
    <t>37546142</t>
  </si>
  <si>
    <t>WOS:001041300400005</t>
  </si>
  <si>
    <t>Gallifant, J; Fiske, A; Strekalova, YAL; Osorio-Valencia, JS; Parke, R; Mwavu, R; Martinez, N; Gichoya, JW; Ghassemi, M; Demner-Fushman, D; Mccoy, LG; Celi, LA; Pierce, R</t>
  </si>
  <si>
    <t>The study provides a comprehensive review of OpenAI's Generative Pre-trained Transformer 4 (GPT-4) technical report, with an emphasis on applications in high-risk settings like healthcare. A diverse team, including experts in artificial intelligence (AI), natural language processing, public health, law, policy, social science, healthcare research, and bioethics, analyzed the report against established peer review guidelines. The GPT-4 report shows a significant commitment to transparent AI research, particularly in creating a systems card for risk assessment and mitigation. However, it reveals limitations such as restricted access to training data, inadequate confidence and uncertainty estimations, and concerns over privacy and intellectual property rights. Key strengths identified include the considerable time and economic investment in transparent AI research and the creation of a comprehensive systems card. On the other hand, the lack of clarity in training processes and data raises concerns about encoded biases and interests in GPT-4. The report also lacks confidence and uncertainty estimations, crucial in high-risk areas like healthcare, and fails to address potential privacy and intellectual property issues. Furthermore, this study emphasizes the need for diverse, global involvement in developing and evaluating large language models (LLMs) to ensure broad societal benefits and mitigate risks. The paper presents recommendations such as improving data transparency, developing accountability frameworks, establishing confidence standards for LLM outputs in high-risk settings, and enhancing industry research review processes. It concludes that while GPT-4's report is a step towards open discussions on LLMs, more extensive interdisciplinary reviews are essential for addressing bias, harm, and risk concerns, especially in high-risk domains. The review aims to expand the understanding of LLMs in general and highlights the need for new reflection forms on how LLMs are reviewed, the data required for effective evaluation, and addressing critical issues like bias and risk.</t>
  </si>
  <si>
    <t>Gallifant, Jack; Fiske, Amelia; Strekalova, Yulia A. Levites; Osorio-Valencia, Juan S.; Parke, Rachael; Mwavu, Rogers; Martinez, Nicole; Gichoya, Judy Wawira; Ghassemi, Marzyeh; Demner-Fushman, Dina; Mccoy, Liam G.; Celi, Leo Anthony; Pierce, Robin</t>
  </si>
  <si>
    <t>Gallifant, J (corresponding author), Guys &amp; St Thomas NHS Fdn Trust, Dept Crit Care, London, England.; Gallifant, J (corresponding author), MIT, Lab Computat Physiol, Cambridge, MA 02139 USA.</t>
  </si>
  <si>
    <t>jgally@mit.edu</t>
  </si>
  <si>
    <t>National Institute of Health [R01 EB017205, OT2OD032701]; National Science Foundation through ITEST [2148451]; RSNA Health Disparities grant [EIHD2204]; Lacuna Fund [67]; Gordon and Betty Moore Foundation; NIH (NIBIB) MIDRC [75N92020C00008, 75N92020C00021]</t>
  </si>
  <si>
    <t>National Institute of Health (United States Department of Health &amp; Human Services, National Institutes of Health (NIH) - USA); National Science Foundation through ITEST; RSNA Health Disparities grant; Lacuna Fund; Gordon and Betty Moore Foundation (Gordon &amp; Betty Moore Foundation); NIH (NIBIB) MIDRC</t>
  </si>
  <si>
    <t>LAC is funded by the National Institute of Health through R01 EB017205, DS-I Africa U54 TW012043-01 and Bridge2AI OT2OD032701, and the National Science Foundation through ITEST #2148451. Jack Gallifant is funded by the National Institute of Health through DS-I Africa U54 TW012043-01 and Bridge2AI OT2OD032701. Dr. Gichoya is a 2022 Robert Wood Johnson Foundation Harold Amos Medical Faculty Development Program and declares support from RSNA Health Disparities grant (#EIHD2204) , Lacuna Fund (#67) , Gordon and Betty Moore Foundation, and NIH (NIBIB) MIDRC grant under contracts 75N92020C00008 and 75N92020C00021.</t>
  </si>
  <si>
    <t>[Gallifant, Jack] Guys &amp; St Thomas NHS Fdn Trust, Dept Crit Care, London, England; [Gallifant, Jack] MIT, Lab Computat Physiol, Cambridge, MA 02139 USA; [Fiske, Amelia] Tech Univ Munich, Inst Hist &amp; Eth Med, TUM Sch Med &amp; Hlth, Dept Clin Med, Munich, Germany; [Strekalova, Yulia A. Levites] Univ Florida, Coll Publ Hlth &amp; Hlth Profess, Dept Hlth Serv Res Management &amp; Policy, Gainesville, FL USA; [Osorio-Valencia, Juan S.] Colombian Radiol Assoc, AI &amp; Innovat Comm, Medellin, Colombia; [Osorio-Valencia, Juan S.] ScienteLab, Bogota, Colombia; [Osorio-Valencia, Juan S.] Be4tech, Medellin, Colombia; [Parke, Rachael] Auckland City Hosp, Cardiothorac &amp; Vasc Intens Care Unit, Auckland, New Zealand; [Parke, Rachael] Univ Auckland, Sch Nursing, Auckland, New Zealand; [Mwavu, Rogers] Mbarara Univ Sci &amp; Technol, Fac Comp &amp; Informat, Mbarara, Uganda; [Martinez, Nicole] Stanford Univ, Ctr Biomed Eth, Stanford, CA USA; [Gichoya, Judy Wawira] Emory Univ, Sch Med, Dept Radiol, Atlanta, GA USA; [Ghassemi, Marzyeh] MIT, Elect Engn &amp; Comp Sci EECS, Cambridge, MA USA; [Demner-Fushman, Dina] Natl Lib Med, NIH, HHS, Bethesda, MD USA; [Mccoy, Liam G.] Univ Alberta, Fac Med &amp; Dent, Edmonton, AB, Canada; [Celi, Leo Anthony] Beth Israel Deaconess Med Ctr, Div Pulm Crit Care &amp; Sleep Med, Boston, MA USA; [Celi, Leo Anthony] Harvard TH Chan Sch Publ Hlth, Dept Biostat, Boston, MA USA; [Pierce, Robin] Univ Exeter, Fac Humanities &amp; Social Sci, Law Sch, Exeter, England</t>
  </si>
  <si>
    <t>Guy's &amp; St Thomas' NHS Foundation Trust; Massachusetts Institute of Technology (MIT); Technical University of Munich; State University System of Florida; University of Florida; Auckland City Hospital; University of Auckland; Mbarara University of Science &amp; Technology; Stanford University; Emory University; Massachusetts Institute of Technology (MIT); National Institutes of Health (NIH) - USA; NIH National Library of Medicine (NLM); University of Alberta; Harvard University; Harvard University Medical Affiliates; Beth Israel Deaconess Medical Center; Harvard University; Harvard T.H. Chan School of Public Health; University of Exeter</t>
  </si>
  <si>
    <t>Peer review of GPT-4 technical report and systems card</t>
  </si>
  <si>
    <t>PLOS DIGITAL HEALTH</t>
  </si>
  <si>
    <t>Demner, Dina/OAI-8953-2025; Gichoya, Judy/E-1657-2011; Fiske, Amelia/AAH-7013-2021; Parke, Rachael/CAJ-4117-2022</t>
  </si>
  <si>
    <t>Martinez-Martin, Nicole/0000-0001-9345-0462; Gallifant, Jack/0000-0003-1306-2334; Ghassemi, Marzyeh/0000-0001-6349-7251; Parke, Rachael/0000-0003-4209-0334</t>
  </si>
  <si>
    <t>44</t>
  </si>
  <si>
    <t>PUBLIC LIBRARY SCIENCE</t>
  </si>
  <si>
    <t>SAN FRANCISCO</t>
  </si>
  <si>
    <t>1160 BATTERY STREET, STE 100, SAN FRANCISCO, CA 94111 USA</t>
  </si>
  <si>
    <t>2767-3170</t>
  </si>
  <si>
    <t>PLOS DIGIT HEALTH</t>
  </si>
  <si>
    <t>PLOS Digit. Health</t>
  </si>
  <si>
    <t>e0000417</t>
  </si>
  <si>
    <t>10.1371/journal.pdig.0000417</t>
  </si>
  <si>
    <t>http://dx.doi.org/10.1371/journal.pdig.0000417</t>
  </si>
  <si>
    <t>W3U0X</t>
  </si>
  <si>
    <t>38236824</t>
  </si>
  <si>
    <t>WOS:001417857800001</t>
  </si>
  <si>
    <t>Zaghir, J; Naguib, M; Bjelogrlic, M; Névéol, A; Tannier, X; Lovis, C</t>
  </si>
  <si>
    <t>Background: Prompt engineering, focusing on crafting effective prompts to large language models (LLMs), has garnered attention for its capabilities at harnessing the potential of LLMs. This is even more crucial in the medical domain due to its specialized terminology and language technicity. Clinical natural language processing applications must navigate complex language and ensure privacy compliance. Prompt engineering offers a novel approach by designing tailored prompts to guide models in exploiting clinically relevant information from complex medical texts. Despite its promise, the efficacy of prompt engineering in the medical domain remains to be fully explored. Objective: The aim of the study is to review research efforts and technical approaches in prompt engineering for medical applications as well as provide an overview of opportunities and challenges for clinical practice. Methods: Databases indexing the fields of medicine, computer science, and medical informatics were queried in order to identify relevant published papers. Since prompt engineering is an emerging field, preprint databases were also considered. Multiple data were extracted, such as the prompt paradigm, the involved LLMs, the languages of the study, the domain of the topic, the baselines, and several learning, design, and architecture strategies specific to prompt engineering. We include studies that apply prompt engineering-based methods to the medical domain, published between 2022 and 2024, and covering multiple prompt paradigms such as prompt learning (PL), prompt tuning (PT), and prompt design (PD). Results: We included 114 recent prompt engineering studies. Among the 3 prompt paradigms, we have observed that PD is the most prevalent (78 papers). In 12 papers, PD, PL, and PT terms were used interchangeably. While ChatGPT is the most commonly used LLM, we have identified 7 studies using this LLM on a sensitive clinical data set. Chain-of-thought, present in 17 studies, emerges as the most frequent PD technique. While PL and PT papers typically provide a baseline for evaluating prompt-based approaches, 61% (48/78) of the PD studies do not report any nonprompt-related baseline. Finally, we individually examine each of the key prompt engineering-specific information reported across papers and find that many studies neglect to explicitly mention them, posing a challenge for advancing prompt engineering research. Conclusions: In addition to reporting on trends and the scientific landscape of prompt engineering, we provide reporting guidelines for future studies to help advance research in the medical field. We also disclose tables and figures summarizing medical prompt engineering papers available and hope that future contributions will leverage these existing works to better advance the field.</t>
  </si>
  <si>
    <t>Zaghir, Jamil; Naguib, Marco; Bjelogrlic, Mina; Neveol, Aurelie; Tannier, Xavier; Lovis, Christian</t>
  </si>
  <si>
    <t>Zaghir, J (corresponding author), Univ Geneva, Dept Radiol &amp; Med Informat, Chemin Mines 9, CH-1202 Geneva, Switzerland.</t>
  </si>
  <si>
    <t>Jamil.Zaghir@unige.ch</t>
  </si>
  <si>
    <t>JZ is financed by the NCCR Evolving Language, a National Centre of Competence in Research, funded by the Swiss National Science Foundation (grant #51NF40_180888) .</t>
  </si>
  <si>
    <t>[Zaghir, Jamil; Bjelogrlic, Mina; Lovis, Christian] Geneva Univ Hosp, Div Med Informat Sci, Geneva, Switzerland; [Zaghir, Jamil; Bjelogrlic, Mina; Lovis, Christian] Univ Geneva, Dept Radiol &amp; Med Informat, Chemin Mines 9, CH-1202 Geneva, Switzerland; [Naguib, Marco; Neveol, Aurelie] Univ Paris Saclay, CNRS, Lab Interdisciplinaire Sci Numer, Orsay, France; [Tannier, Xavier] Sorbonne Univ, Univ Sorbonne Paris Nord, INSERM, Lab Informat Med &amp; Ingn Connaissances &amp; Sante, Paris, France</t>
  </si>
  <si>
    <t>University of Geneva; University of Geneva; Centre National de la Recherche Scientifique (CNRS); Universite Paris Saclay; Sorbonne Universite; Institut National de la Sante et de la Recherche Medicale (Inserm)</t>
  </si>
  <si>
    <t>Prompt Engineering Paradigms for Medical Applications: Scoping Review</t>
  </si>
  <si>
    <t>prompt engineering; prompt design; prompt learning; prompt tuning; large language models; LLMs; scoping review; clinical natural language processing; natural language processing; NLP; medical texts; medical application; medical applications; clinical practice; privacy; medicine; computer science; medical informatics</t>
  </si>
  <si>
    <t>LARGE LANGUAGE MODEL</t>
  </si>
  <si>
    <t>Zaghir, Jamil/JTV-3120-2023; Lovis, Christian/D-2634-2012</t>
  </si>
  <si>
    <t>Bjelogrlic, Mina/0000-0002-6922-3283; Zaghir, Jamil/0000-0002-8209-6098; Naguib, Marco/0009-0003-2950-8852; Tannier, Xavier/0000-0002-2452-8868; Lovis, Christian/0000-0002-2681-8076</t>
  </si>
  <si>
    <t>127</t>
  </si>
  <si>
    <t>84</t>
  </si>
  <si>
    <t>1439-4456</t>
  </si>
  <si>
    <t>SEP 10 2024</t>
  </si>
  <si>
    <t>e60501</t>
  </si>
  <si>
    <t>10.2196/60501</t>
  </si>
  <si>
    <t>http://dx.doi.org/10.2196/60501</t>
  </si>
  <si>
    <t>G8B5D</t>
  </si>
  <si>
    <t>39255030</t>
  </si>
  <si>
    <t>WOS:001318826000005</t>
  </si>
  <si>
    <t>Yu, E; Chu, XH; Zhang, WW; Meng, XB; Yang, YD; Ji, XM; Wu, CJ</t>
  </si>
  <si>
    <t>In recent years, large language models (LLMs) represented by GPT-4 have developed rapidly and performed well in various natural language processing tasks, showing great potential and transformative impact. The medical field, due to its vast data information as well as complex diagnostic and treatment processes, is undoubtedly one of the most promising areas for the application of LLMs. At present, LLMs has been gradually implemented in clinical practice, medical research, and medical education. However, in practical applications, medical LLMs still face numerous challenges, including the phenomenon of hallucination, interpretability, and ethical concerns. Therefore, in-depth exploration is still needed in areas of standardized evaluation frameworks, multimodal LLMs, and multidisciplinary collaboration in the future, so as to realize the widespread application of medical LLMs and promote the development and transformation in the field of global healthcare. This review offers a comprehensive overview of applications, challenges, and future directions of LLMs in medicine, providing new insights for the sustained development of medical LLMs.</t>
  </si>
  <si>
    <t>Yu, Erlan; Chu, Xuehong; Zhang, Wanwan; Meng, Xiangbin; Yang, Yaodong; Ji, Xunming; Wu, Chuanjie</t>
  </si>
  <si>
    <t>Ji, XM; Wu, CJ (corresponding author), Capital Med Univ, Xuanwu Hosp, Dept Neurol, 45 Changchun St, Beijing 100053, Peoples R China.</t>
  </si>
  <si>
    <t>wuchuanjie@ccmu.edu.cn; jixm@ccmu.edu.cn</t>
  </si>
  <si>
    <t>National Natural Science Foundation of China [82271507]; Beijing Natural Science Foundation [JQ24041]; Noncommunicable Chronic Diseases-National Science and Technology Major Project [2023ZD 0505403]; Beijing Physician Scientist Training Project [BJPSTP-2024-04]</t>
  </si>
  <si>
    <t>National Natural Science Foundation of China (National Natural Science Foundation of China (NSFC)); Beijing Natural Science Foundation (Beijing Natural Science Foundation); Noncommunicable Chronic Diseases-National Science and Technology Major Project; Beijing Physician Scientist Training Project</t>
  </si>
  <si>
    <t>This work was supported by the National Natural Science Foundation of China (82271507), Beijing Natural Science Foundation (JQ24041), Noncommunicable Chronic Diseases-National Science and Technology Major Project (2023ZD 0505403), and Beijing Physician Scientist Training Project (BJPSTP-2024-04).</t>
  </si>
  <si>
    <t>[Yu, Erlan; Chu, Xuehong; Zhang, Wanwan; Ji, Xunming; Wu, Chuanjie] Capital Med Univ, Xuanwu Hosp, Dept Neurol, 45 Changchun St, Beijing 100053, Peoples R China; [Meng, Xiangbin] Pengcheng Lab, Shenzhen 518055, Peoples R China; [Yang, Yaodong] Peking Univ, Inst AI, Beijing, Peoples R China</t>
  </si>
  <si>
    <t>Capital Medical University; Peking University</t>
  </si>
  <si>
    <t>Large Language Models in Medicine: Applications, Challenges, and Future Directions</t>
  </si>
  <si>
    <t>INTERNATIONAL JOURNAL OF MEDICAL SCIENCES</t>
  </si>
  <si>
    <t>Large language models; Medical applications; Natural language processing; Artificial Intelligence</t>
  </si>
  <si>
    <t>CHATGPT; DECISIONS</t>
  </si>
  <si>
    <t>Meng, Xiangbin/GLT-5365-2022</t>
  </si>
  <si>
    <t>IVYSPRING INT PUBL</t>
  </si>
  <si>
    <t>LAKE HAVEN</t>
  </si>
  <si>
    <t>PO BOX 4546, LAKE HAVEN, NSW 2263, AUSTRALIA</t>
  </si>
  <si>
    <t>1449-1907</t>
  </si>
  <si>
    <t>INT J MED SCI</t>
  </si>
  <si>
    <t>Int. J. Med. Sci.</t>
  </si>
  <si>
    <t>2792</t>
  </si>
  <si>
    <t>2801</t>
  </si>
  <si>
    <t>10.7150/ijms.111780</t>
  </si>
  <si>
    <t>http://dx.doi.org/10.7150/ijms.111780</t>
  </si>
  <si>
    <t>4JE5V</t>
  </si>
  <si>
    <t>40520893</t>
  </si>
  <si>
    <t>WOS:001519288100020</t>
  </si>
  <si>
    <t>Nam, Y; Kim, J; Jung, SH; Woerner, J; Suh, EH; Lee, DG; Shivakumar, M; Lee, ME; Kim, D</t>
  </si>
  <si>
    <t>The integration of multiomics data with detailed phenotypic insights from electronic health records marks a paradigm shift in biomedical research, offering unparalleled holistic views into health and disease pathways. This review delineates the current landscape of multimodal omics data integration, emphasizing its transformative potential in generating a comprehensive understanding of complex biological systems. We explore robust methodologies for data integration, ranging from concatenation-based to transformation-based and network-based strategies, designed to harness the intricate nuances of diverse data types. Our discussion extends from incorporating large-scale population biobanks to dissecting high-dimensional omics layers at the single-cell level. The review underscores the emerging role of large language models in artificial intelligence, anticipating their influence as a near-future pivot in data integration approaches. Highlighting both achievements and hurdles, we advocate for a concerted effort toward sophisticated integration models, fortifying the foundation for groundbreaking discoveries in precision medicine.</t>
  </si>
  <si>
    <t>Nam, Yonghyun; Kim, Jaesik; Jung, Sang-Hyuk; Woerner, Jakob; Suh, Erica H.; Lee, Dong-gi; Shivakumar, Manu; Lee, Matthew E.; Kim, Dokyoon</t>
  </si>
  <si>
    <t>Kim, D (corresponding author), Univ Penn, Perelman Sch Med, Dept Biostat Epidemiol &amp; Informat, Philadelphia, PA 19104 USA.; Kim, D (corresponding author), Univ Penn, Inst Biomed Informat, Perelman Sch Med, Philadelphia, PA 19104 USA.</t>
  </si>
  <si>
    <t>dokyoon.kim@pennmedicine.upenn.edu</t>
  </si>
  <si>
    <t>National Institutes of Health [R01 GM138597, R01 AG071470, R01 HL169458]</t>
  </si>
  <si>
    <t>National Institutes of Health (United States Department of Health &amp; Human Services, National Institutes of Health (NIH) - USA)</t>
  </si>
  <si>
    <t>This work was supported by National Institutes of Health grants R01 GM138597, R01 AG071470, and R01 HL169458.</t>
  </si>
  <si>
    <t>[Nam, Yonghyun; Jung, Sang-Hyuk; Woerner, Jakob; Suh, Erica H.; Lee, Dong-gi; Shivakumar, Manu; Lee, Matthew E.; Kim, Dokyoon] Univ Penn, Perelman Sch Med, Dept Biostat Epidemiol &amp; Informat, Philadelphia, PA 19104 USA; [Kim, Jaesik] Univ Penn, Dept Bioengn, Philadelphia, PA USA; [Kim, Jaesik; Kim, Dokyoon] Univ Penn, Inst Biomed Informat, Perelman Sch Med, Philadelphia, PA 19104 USA</t>
  </si>
  <si>
    <t>University of Pennsylvania; Pennsylvania Medicine; University of Pennsylvania; University of Pennsylvania; Pennsylvania Medicine</t>
  </si>
  <si>
    <t>Harnessing Artificial Intelligence in Multimodal Omics Data Integration: Paving the Path for the Next Frontier in Precision Medicine</t>
  </si>
  <si>
    <t>ANNUAL REVIEW OF BIOMEDICAL DATA SCIENCE</t>
  </si>
  <si>
    <t>machine learning; multiomics data integration; multimodal data; integration; precision medicine; single-cell omics; longitudinal analysis; imaging phenotypes; biobank; risk assessment</t>
  </si>
  <si>
    <t>WIDE ASSOCIATION; HOST GENETICS; MICROBIOME; TRANSCRIPTOME; DESIGN; HEALTH; SCORES; ANNOTATION; PREDICTION; DISCOVERY</t>
  </si>
  <si>
    <t>Jung, Sang-Hyuk/IUO-6659-2023; Nam, Yonghyun/PQV-6607-2026; Lee, Dong-gi/IQR-9892-2023</t>
  </si>
  <si>
    <t>ANNUAL REVIEWS</t>
  </si>
  <si>
    <t>PALO ALTO</t>
  </si>
  <si>
    <t>4139 EL CAMINO WAY, PO BOX 10139, PALO ALTO, CA 94303-0139 USA</t>
  </si>
  <si>
    <t>2574-3414</t>
  </si>
  <si>
    <t>ANNU REV BIOMED DA S</t>
  </si>
  <si>
    <t>Annu. Rev. Biomed. Data Sci.</t>
  </si>
  <si>
    <t>225</t>
  </si>
  <si>
    <t>250</t>
  </si>
  <si>
    <t>10.1146/annurev-biodatasci-102523-103801</t>
  </si>
  <si>
    <t>http://dx.doi.org/10.1146/annurev-biodatasci-102523-103801</t>
  </si>
  <si>
    <t>Mathematical &amp; Computational Biology</t>
  </si>
  <si>
    <t>E2J4Q</t>
  </si>
  <si>
    <t>38768397</t>
  </si>
  <si>
    <t>WOS:001301315300012</t>
  </si>
  <si>
    <t>Oniani, D; Hilsman, J; Peng, YF; Poropatich, RK; Pamplin, JC; Legault, GL; Wang, YS</t>
  </si>
  <si>
    <t>In 2020, the U.S. Department of Defense officially disclosed a set of ethical principles to guide the use of Artificial Intelligence (AI) technologies on future battlefields. Despite stark differences, there are core similarities between the military and medical service. Warriors on battlefields often face life-altering circumstances that require quick decision-making. Medical providers experience similar challenges in a rapidly changing healthcare environment, such as in the emergency department or during surgery treating a life-threatening condition. Generative AI, an emerging technology designed to efficiently generate valuable information, holds great promise. As computing power becomes more accessible and the abundance of health data, such as electronic health records, electrocardiograms, and medical images, increases, it is inevitable that healthcare will be revolutionized by this technology. Recently, generative AI has garnered a lot of attention in the medical research community, leading to debates about its application in the healthcare sector, mainly due to concerns about transparency and related issues. Meanwhile, questions around the potential exacerbation of health disparities due to modeling biases have raised notable ethical concerns regarding the use of this technology in healthcare. However, the ethical principles for generative AI in healthcare have been understudied. As a result, there are no clear solutions to address ethical concerns, and decision-makers often neglect to consider the significance of ethical principles before implementing generative AI in clinical practice. In an attempt to address these issues, we explore ethical principles from the military perspective and propose the "GREAT PLEA" ethical principles, namely Governability, Reliability, Equity, Accountability, Traceability, Privacy, Lawfulness, Empathy, and Eutonomy, for generative AI in healthcare. Furthermore, we introduce a framework for adopting and expanding these ethical principles in a practical way that has been useful in the military and can be applied to healthcare for generative AI, based on contrasting their ethical concerns and risks. Ultimately, we aim to proactively address the ethical dilemmas and challenges posed by the integration of generative AI into healthcare practice.</t>
  </si>
  <si>
    <t>Oniani, David; Hilsman, Jordan; Peng, Yifan; Poropatich, Ronald K.; Pamplin, Jeremy C.; Legault, Gary L.; Wang, Yanshan</t>
  </si>
  <si>
    <t>Wang, YS (corresponding author), Univ Pittsburgh, Dept Hlth Informat Management, Pittsburgh, PA 15260 USA.; Wang, YS (corresponding author), Univ Pittsburgh, Intelligent Syst Program, Pittsburgh, PA 15260 USA.; Wang, YS (corresponding author), Univ Pittsburgh, Dept Biomed Informat, Pittsburgh, PA 15260 USA.; Wang, YS (corresponding author), Univ Pittsburgh, Clin &amp; Translat Sci Inst, Pittsburgh, PA 15260 USA.; Wang, YS (corresponding author), Univ Pittsburgh, Med Ctr, Pittsburgh, PA 15260 USA.</t>
  </si>
  <si>
    <t>yanshan.wang@pitt.edu</t>
  </si>
  <si>
    <t>Pitt | School of Health and Rehabilitation Sciences, University of Pittsburgh (University of Pittsburgh School of Health &amp; Rehabilitation Sciences); University of Pittsburgh Momentum Funds; School of Health and Rehabilitation Sciences Dean's Research and Development Award [4R00LM013001, R01LM014306]; National Institutes of Health [2145640]; National Science Foundation; National Center for Advancing Translational Sciences [U24TR004111, UL1TR001857] Funding Source: NIH RePORTER; National Library of Medicine [R00LM013001] Funding Source: NIH RePORTER</t>
  </si>
  <si>
    <t>Pitt | School of Health and Rehabilitation Sciences, University of Pittsburgh (University of Pittsburgh School of Health &amp; Rehabilitation Sciences); University of Pittsburgh Momentum Funds; School of Health and Rehabilitation Sciences Dean's Research and Development Award; National Institutes of Health (United States Department of Health &amp; Human Services, National Institutes of Health (NIH) - USA); National Science Foundation (National Science Foundation (NSF)); National Center for Advancing Translational Sciences (United States Department of Health &amp; Human Services, National Institutes of Health (NIH) - USA, NIH National Center for Advancing Translational Sciences (NCATS)); National Library of Medicine (United States Department of Health &amp; Human Services, National Institutes of Health (NIH) - USA, NIH National Library of Medicine (NLM))</t>
  </si>
  <si>
    <t>Y.W. would like to acknowledge support from the University of Pittsburgh Momentum Funds, Clinical and Translational Science Institute Exploring Existing Data Resources Pilot Awards, the School of Health and Rehabilitation Sciences Dean's Research and Development Award, and the National Institutes of Health through Grants UL1TR001857, U24TR004111, and R01LM014306. Y.P. would like to acknowledge support from the National Institutes of Health through Grants 4R00LM013001, R01LM014306, and the National Science Foundation through Grant 2145640. The sponsors had no role in study design; in the collection, analysis, and interpretation of data; in the writing of the report; and in the decision to submit the paper for publication.</t>
  </si>
  <si>
    <t>[Oniani, David; Hilsman, Jordan; Wang, Yanshan] Univ Pittsburgh, Dept Hlth Informat Management, Pittsburgh, PA 15260 USA; [Peng, Yifan] Weill Cornell Med, Dept Populat Hlth Sci, New York, NY USA; [Poropatich, Ronald K.] Univ Pittsburgh, Div Pulm Allergy &amp; Crit Care Med, Pittsburgh, PA USA; [Poropatich, Ronald K.] Univ Pittsburgh, Ctr Mil Med Res, Pittsburgh, PA USA; [Pamplin, Jeremy C.] US Army Ft Detrick, Telemed &amp; Adv Technol Res Ctr, Frederick, MD USA; [Legault, Gary L.] Uniformed Serv Univ Hlth Sci, Dept Surg, Bethesda, MD USA; [Legault, Gary L.] Brooke Army Med Ctr, Virtual Med Ctr, San Antonio, TX USA; [Wang, Yanshan] Univ Pittsburgh, Intelligent Syst Program, Pittsburgh, PA 15260 USA; [Wang, Yanshan] Univ Pittsburgh, Dept Biomed Informat, Pittsburgh, PA 15260 USA; [Wang, Yanshan] Univ Pittsburgh, Clin &amp; Translat Sci Inst, Pittsburgh, PA 15260 USA; [Wang, Yanshan] Univ Pittsburgh, Med Ctr, Pittsburgh, PA 15260 USA</t>
  </si>
  <si>
    <t>Pennsylvania Commonwealth System of Higher Education (PCSHE); University of Pittsburgh; Cornell University; Weill Cornell Medicine; Pennsylvania Commonwealth System of Higher Education (PCSHE); University of Pittsburgh; Pennsylvania Commonwealth System of Higher Education (PCSHE); University of Pittsburgh; Uniformed Services University of the Health Sciences - USA; Brooke Army Medical Center; United States Department of Defense; United States Army; 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t>
  </si>
  <si>
    <t>Adopting and expanding ethical principles for generative artificial intelligence from military to healthcare</t>
  </si>
  <si>
    <t>RACIAL BIAS; AI</t>
  </si>
  <si>
    <t>Wang, Yanshan/H-4686-2018; Pamplin, Jeremy/AAA-9646-2021; Legault, Gary/AAB-6968-2020; Peng, Yifan/M-1605-2016</t>
  </si>
  <si>
    <t>Oniani, David/0000-0002-9221-3059; Wang, Yanshan/0000-0003-4433-7839; Legault, Gary/0000-0002-0878-1484</t>
  </si>
  <si>
    <t>DEC 2 2023</t>
  </si>
  <si>
    <t>10.1038/s41746-023-00965-x</t>
  </si>
  <si>
    <t>http://dx.doi.org/10.1038/s41746-023-00965-x</t>
  </si>
  <si>
    <t>Z5EG5</t>
  </si>
  <si>
    <t>38042910</t>
  </si>
  <si>
    <t>WOS:001112300500001</t>
  </si>
  <si>
    <t>Egli, A</t>
  </si>
  <si>
    <t>ChatGPT, GPT-4, and Bard are highly advanced natural language process-based computer programs (chatbots) that simulate and process human conversation in written or spoken form. Recently released by the company OpenAI, ChatGPT was trained on billions of unknown text elements (tokens) and rapidly gained wide attention for its ability to respond to questions in an articulate manner across a wide range of knowledge domains. These potentially disruptive large language model (LLM) technologies have a broad range of conceivable applications in medicine and medical microbiology. In this opinion article, I describe how chatbot technologies work and discuss the strengths and weaknesses of ChatGPT, GPT-4, and other LLMs for applications in the routine diagnostic laboratory, focusing on various use cases for the pre- to post-analytical process.Natural language processing-based computer software simulates and processes human conversation. These potentially disruptive large language model technologies have a broad range of conceivable applications in medical microbiology. Strengths and weaknesses for applications in routine diagnostics are discussed.</t>
  </si>
  <si>
    <t>Egli, Adrian</t>
  </si>
  <si>
    <t>Egli, A (corresponding author), Univ Zurich, Inst Med Microbiol, Gloriastr28, CH-8006 Zurich, Switzerland.</t>
  </si>
  <si>
    <t>aegli@imm.uzh.ch</t>
  </si>
  <si>
    <t>[Egli, Adrian] Univ Zurich, Inst Med Microbiol, Zurich, Switzerland; [Egli, Adrian] Univ Zurich, Inst Med Microbiol, Gloriastr28, CH-8006 Zurich, Switzerland</t>
  </si>
  <si>
    <t>University of Zurich; University of Zurich</t>
  </si>
  <si>
    <t>ChatGPT, GPT-4, and Other Large Language Models: The Next Revolution for Clinical Microbiology?</t>
  </si>
  <si>
    <t>CLINICAL INFECTIOUS DISEASES</t>
  </si>
  <si>
    <t>chatGPT; large language model; artificial intelligence; chatbot; digitalization</t>
  </si>
  <si>
    <t>Egli, Adrian/0000-0002-3564-8603</t>
  </si>
  <si>
    <t>47</t>
  </si>
  <si>
    <t>81</t>
  </si>
  <si>
    <t>53</t>
  </si>
  <si>
    <t>OXFORD UNIV PRESS INC</t>
  </si>
  <si>
    <t>CARY</t>
  </si>
  <si>
    <t>JOURNALS DEPT, 2001 EVANS RD, CARY, NC 27513 USA</t>
  </si>
  <si>
    <t>1058-4838</t>
  </si>
  <si>
    <t>1537-6591</t>
  </si>
  <si>
    <t>CLIN INFECT DIS</t>
  </si>
  <si>
    <t>Clin. Infect. Dis.</t>
  </si>
  <si>
    <t>NOV 11 2023</t>
  </si>
  <si>
    <t>77</t>
  </si>
  <si>
    <t>1322</t>
  </si>
  <si>
    <t>1328</t>
  </si>
  <si>
    <t>10.1093/cid/ciad407</t>
  </si>
  <si>
    <t>http://dx.doi.org/10.1093/cid/ciad407</t>
  </si>
  <si>
    <t>Immunology; Infectious Diseases; Microbiology</t>
  </si>
  <si>
    <t>LK4H6</t>
  </si>
  <si>
    <t>37399030</t>
  </si>
  <si>
    <t>WOS:001186676300003</t>
  </si>
  <si>
    <t>hybrid; Green Submitted; Green Accepted</t>
  </si>
  <si>
    <t>Tian, DZ; Jiang, ST; Zhang, L; Lu, X; Xu, YY</t>
  </si>
  <si>
    <t>Background and Objective: The rapid advancement of artificial intelligence (AI) has ushered in a new era in natural language processing (NLP), with large language models (LLMs) like ChatGPT leading the way. This paper explores the profound impact of AI, particularly LLMs, in the field of medical image processing. The objective is to provide insights into the transformative potential of AI in improving healthcare by addressing historical challenges associated with manual image interpretation. Methods: A comprehensive literature search was conducted on the Web of Science and PubMed databases from 2013 to 2023, focusing on the transformations of LLMs in Medical Imaging Processing. Recent publications on the arXiv database were also reviewed. Our search criteria included all types of articles, including abstracts, review articles, letters, and editorials. The language of publications was restricted to English to facilitate further content analysis. Key Content and Findings: The review reveals that AI, driven by LLMs, has revolutionized medical image processing by streamlining the interpretation process, traditionally characterized by time-intensive manual efforts. AI's impact on medical care quality and patient well-being is substantial. With their robust interactivity and multimodal learning capabilities, LLMs offer immense potential for enhancing various aspects of medical image processing. Additionally, the Transformer architecture, foundational to LLMs, is gaining prominence in this domain. Conclusions: In conclusion, this review underscores the pivotal role of AI, especially LLMs, in advancing medical image processing. These technologies have the capacity to enhance transfer learning efficiency, integrate multimodal data, facilitate clinical interactivity, and optimize cost-efficiency in healthcare. The potential applications of LLMs in clinical settings are promising, with far-reaching implications for future research, clinical practice, and healthcare policy. The transformative impact of AI in medical image processing is undeniable, and its continued development and implementation are poised to reshape the healthcare landscape for the better.</t>
  </si>
  <si>
    <t>Tian, Dianzhe; Jiang, Shitao; Zhang, Lei; Lu, Xin; Xu, Yiyao</t>
  </si>
  <si>
    <t>Lu, X; Xu, YY (corresponding author), Chinese Acad Med Sci &amp; Peking Union Med Coll, Peking Union Med Coll Hosp, Dept Liver Surg, State Key Lab Complex Severe &amp; Rare Dis, 1 Shuaifuyuan, Beijing 100730, Peoples R China.</t>
  </si>
  <si>
    <t>luxin@pumch.cn; xuyiyao@pumch.cn</t>
  </si>
  <si>
    <t>National High -Level Hospital Clinical Research Funding [2022-PUMCH-C-049, 2022-PUMCH-A-237]</t>
  </si>
  <si>
    <t>National High -Level Hospital Clinical Research Funding</t>
  </si>
  <si>
    <t>We would like to express our heartfelt gratitude to Zhou Fang for her invaluable assistance in language editing and refinement of this manuscript. Their meticulous work significantly contributed to the clarity and coherence of the text. Funding: This article was partially sponsored by the National High -Level Hospital Clinical Research Funding (Nos. 2022-PUMCH-C-049 and 2022-PUMCH-A-237) .</t>
  </si>
  <si>
    <t>[Tian, Dianzhe; Jiang, Shitao; Zhang, Lei; Lu, Xin; Xu, Yiyao] Chinese Acad Med Sci &amp; Peking Union Med Coll, Peking Union Med Coll Hosp, Dept Liver Surg, State Key Lab Complex Severe &amp; Rare Dis, Beijing, Peoples R China; [Lu, Xin; Xu, Yiyao] Chinese Acad Med Sci &amp; Peking Union Med Coll, Peking Union Med Coll Hosp, Dept Liver Surg, State Key Lab Complex Severe &amp; Rare Dis, 1 Shuaifuyuan, Beijing 100730, Peoples R China</t>
  </si>
  <si>
    <t>Chinese Academy of Medical Sciences - Peking Union Medical College; Peking Union Medical College; Peking Union Medical College Hospital; Chinese Academy of Medical Sciences - Peking Union Medical College; Peking Union Medical College; Peking Union Medical College Hospital</t>
  </si>
  <si>
    <t>The role of large language models in medical image processing: a narrative review</t>
  </si>
  <si>
    <t>QUANTITATIVE IMAGING IN MEDICINE AND SURGERY</t>
  </si>
  <si>
    <t>Large language models (LLMs); medical image processing; artificial intelligence (AI)</t>
  </si>
  <si>
    <t>Zhang, Lu/GLU-9890-2022; xu, yiyao/PLC-5745-2026; Tian, Dianzhe/KTH-8148-2024</t>
  </si>
  <si>
    <t>Tian, Dianzhe/0009-0006-3618-9054</t>
  </si>
  <si>
    <t>86</t>
  </si>
  <si>
    <t>AME PUBLISHING COMPANY</t>
  </si>
  <si>
    <t>SHATIN</t>
  </si>
  <si>
    <t>FLAT-RM C 16F, KINGS WING PLAZA 1, NO 3 KWAN ST, SHATIN, HONG KONG 00000, PEOPLES R CHINA</t>
  </si>
  <si>
    <t>2223-4292</t>
  </si>
  <si>
    <t>2223-4306</t>
  </si>
  <si>
    <t>QUANT IMAG MED SURG</t>
  </si>
  <si>
    <t>Quant. Imaging Med. Surg.</t>
  </si>
  <si>
    <t>1108</t>
  </si>
  <si>
    <t>1121</t>
  </si>
  <si>
    <t>10.21037/qims-23-892</t>
  </si>
  <si>
    <t>http://dx.doi.org/10.21037/qims-23-892</t>
  </si>
  <si>
    <t>NOV 2023</t>
  </si>
  <si>
    <t>RP2H7</t>
  </si>
  <si>
    <t>38223123</t>
  </si>
  <si>
    <t>WOS:001110462900001</t>
  </si>
  <si>
    <t>Liu, YH; Dai, YB; Wang, LH</t>
  </si>
  <si>
    <t>Spatial omics transforms our understanding of cancer by revealing how tumor cells and the microenvironment are organized, interact, and evolve within tissues. Here, we synthesize advances in spatial technologies that map tumor ecosystems with unprecedented fidelity. We highlighted analytical breakthroughs-including multimodal integration and emerging spatial foundation models-that resolve functional niches and spatial communities, converting spatial patterns into mechanistic insights. We summarize how spatially organized features, from immune hubs to microbiota and neural interfaces, shape tumor evolution and clinical outcomes. We then outline how spatial approaches illuminate precancer biology, metastatic adaptation, and therapy response. Bridging discovery and translation, we provide a practical roadmap for incorporating spatial readouts into clinically oriented study design. We conclude by discussing persistent challenges in standardization and scalability and how high-plex spatial discoveries may be distilled into scalable, AI-enabled, clinically deployable assays, positioning spatial omics as a cornerstone of next-generation predictive and precision oncology.</t>
  </si>
  <si>
    <t>Liu, Yunhe; Dai, Yibo; Wang, Linghua</t>
  </si>
  <si>
    <t>Wang, LH (corresponding author), Univ Texas MD Anderson Canc Ctr, Dept Genom Med, Houston, TX 77030 USA.; Wang, LH (corresponding author), Univ Texas MD Anderson Canc Ctr UTHealth Houston, Grad Sch Biomed Sci, Houston, TX 77030 USA.; Wang, LH (corresponding author), Univ Texas MD Anderson Canc Ctr, James P Allison Inst, Houston, TX 77030 USA.; Wang, LH (corresponding author), Univ Texas MD Anderson Canc Ctr, Inst Data Sci Oncol, Houston, TX 77030 USA.</t>
  </si>
  <si>
    <t>lwang22@mdanderson.org</t>
  </si>
  <si>
    <t>National Cancer Institute [U01CA294518, U01CA264583, R01CA266280]; Break Through Cancer; James P. Allison Institute; Institute for Data Science in Oncology at The University of Texas MD Anderson Cancer Center</t>
  </si>
  <si>
    <t>National Cancer Institute (United States Department of Health &amp; Human Services, National Institutes of Health (NIH) - USA, NIH National Cancer Institute (NCI)); Break Through Cancer; James P. Allison Institute; Institute for Data Science in Oncology at The University of Texas MD Anderson Cancer Center</t>
  </si>
  <si>
    <t>This work was supported in part by the National Cancer Institute (U01CA294518, U01CA264583, R01CA266280) and Break Through Cancer. L.W. also acknowledges research support from the James P. Allison Institute and the Institute for Data Science in Oncology at The University of Texas MD Anderson Cancer Center. Figures were created with BioRender.com .</t>
  </si>
  <si>
    <t>[Liu, Yunhe; Dai, Yibo; Wang, Linghua] Univ Texas MD Anderson Canc Ctr, Dept Genom Med, Houston, TX 77030 USA; [Dai, Yibo; Wang, Linghua] Univ Texas MD Anderson Canc Ctr UTHealth Houston, Grad Sch Biomed Sci, Houston, TX 77030 USA; [Wang, Linghua] Univ Texas MD Anderson Canc Ctr, James P Allison Inst, Houston, TX 77030 USA; [Wang, Linghua] Univ Texas MD Anderson Canc Ctr, Inst Data Sci Oncol, Houston, TX 77030 USA</t>
  </si>
  <si>
    <t>University of Texas System; UTMD Anderson Cancer Center; University of Texas System; UTMD Anderson Cancer Center; University of Texas System; UTMD Anderson Cancer Center</t>
  </si>
  <si>
    <t>Spatial omics at the forefront: emerging technologies, analytical innovations, and clinical applications</t>
  </si>
  <si>
    <t>CANCER CELL</t>
  </si>
  <si>
    <t>BREAST-CANCER; IN-SITU; LYMPHATIC VESSELS; T-CELLS; SINGLE; ATLAS; MICROENVIRONMENT; TRANSCRIPTOMICS; TRANSITIONS; BIOLOGY</t>
  </si>
  <si>
    <t>1535-6108</t>
  </si>
  <si>
    <t>1878-3686</t>
  </si>
  <si>
    <t>Cancer Cell</t>
  </si>
  <si>
    <t>JAN 12 2026</t>
  </si>
  <si>
    <t>2026</t>
  </si>
  <si>
    <t>10.1016/j.ccell.2025.12.009</t>
  </si>
  <si>
    <t>http://dx.doi.org/10.1016/j.ccell.2025.12.009</t>
  </si>
  <si>
    <t>JAN 2026</t>
  </si>
  <si>
    <t>Oncology; Cell Biology</t>
  </si>
  <si>
    <t>CK9QF</t>
  </si>
  <si>
    <t>41478277</t>
  </si>
  <si>
    <t>WOS:001668256400001</t>
  </si>
  <si>
    <t>Yim, D; Khuntia, J; Parameswaran, V; Meyers, A</t>
  </si>
  <si>
    <t>Background: Generative artificial intelligence tools and applications (GenAI) are being increasingly used in health care. Physicians, specialists, and other providers have started primarily using GenAI as an aid or tool to gather knowledge, provide information, train, or generate suggestive dialogue between physicians and patients or between physicians and patients' families or friends. However, unless the use of GenAI is oriented to be helpful in clinical service encounters that can improve the accuracy of diagnosis, treatment, and patient outcomes, the expected potential will not be achieved. As adoption continues, it is essential to validate the effectiveness of the infusion of GenAI as an intelligent technology in service encounters to understand the gap in actual clinical service use of GenAI. Objective: This study synthesizes preliminary evidence on how GenAI assists, guides, and automates clinical service rendering and encounters in health care The review scope was limited to articles published in peer-reviewed medical journals. Methods: We screened and selected 0.38% (161/42,459) of articles published between January 1, 2020, and May 31, 2023, identified from PubMed. We followed the protocols outlined in the PRISMA (Preferred Reporting Items for Systematic Reviews and Meta-Analyses) guidelines to select highly relevant studies with at least 1 element on clinical use, evaluation, and validation to provide evidence of GenAI use in clinical services. The articles were classified based on their relevance to clinical service functions or activities using the descriptive and analytical information presented in the articles. Results: Of 161 articles, 141 (87.6%) reported using GenAI to assist services through knowledge access, collation, and filtering. GenAI was used for disease detection (19/161, 11.8%), diagnosis (14/161, 8.7%), and screening processes (12/161, 7.5%) in the areas of radiology (17/161, 10.6%), cardiology (12/161, 7.5%), gastrointestinal medicine (4/161, 2.5%), and diabetes (6/161, 3.7%). The literature synthesis in this study suggests that GenAI is mainly used for diagnostic processes, improvement of diagnosis accuracy, and screening and diagnostic purposes using knowledge access. Although this solves the problem of knowledge access and may improve diagnostic accuracy, it is oriented toward higher value creation in health care. Conclusions: GenAI informs rather than assisting or automating clinical service functions in health care. There is potential in clinical service, but it has yet to be actualized for GenAI. More clinical service-level evidence that GenAI is used to streamline some functions or provides more automated help than only information retrieval is needed. To transform health care as purported, more studies related to GenAI applications must automate and guide human-performed services and keep up with the optimism that forward-thinking health care organizations will take advantage of GenAI.</t>
  </si>
  <si>
    <t>Yim, Dobin; Khuntia, Jiban; Parameswaran, Vijaya; Meyers, Arlen</t>
  </si>
  <si>
    <t>Khuntia, J (corresponding author), Univ Colorado Denver, 1475 Lawrence St, Denver, CO 80204 USA.</t>
  </si>
  <si>
    <t>jiban.khuntia@ucdenver.edu</t>
  </si>
  <si>
    <t>[Yim, Dobin] Loyola Univ Maryland, Baltimore, MD USA; [Khuntia, Jiban; Meyers, Arlen] Univ Colorado Denver, 1475 Lawrence St, Denver, CO 80204 USA; [Parameswaran, Vijaya] Stanford Univ, Stanford, CA USA</t>
  </si>
  <si>
    <t>Loyola University Maryland; Children's Hospital Colorado; University of Colorado System; University of Colorado Anschutz; University of Colorado Denver; Stanford University</t>
  </si>
  <si>
    <t>Preliminary Evidence of the Use of Generative AI in Health Care Clinical Services: Systematic Narrative Review</t>
  </si>
  <si>
    <t>generative artificial intelligence tools and applications; GenAI; service; clinical; health care; transformation; digital</t>
  </si>
  <si>
    <t>DEEP-LEARNING-MODEL; COMPUTER-AIDED DETECTION; ARTIFICIAL-INTELLIGENCE; CUSTOMER SATISFACTION; EJECTION FRACTION; CANCER-DIAGNOSIS; PROSTATE-CANCER; NEURAL-NETWORK; TECHNOLOGY; VALIDATION</t>
  </si>
  <si>
    <t>Meyers, MBA, Arlen/0000-0002-4354-3078; Yim, Dobin/0000-0002-9360-8343</t>
  </si>
  <si>
    <t>e52073</t>
  </si>
  <si>
    <t>10.2196/52073</t>
  </si>
  <si>
    <t>http://dx.doi.org/10.2196/52073</t>
  </si>
  <si>
    <t>OK5M4</t>
  </si>
  <si>
    <t>38506918</t>
  </si>
  <si>
    <t>WOS:001207177300001</t>
  </si>
  <si>
    <t>Pressman, SM; Borna, S; Gomez-Cabello, CA; Haider, SA; Haider, C; Forte, AJ</t>
  </si>
  <si>
    <t>Introduction: As large language models receive greater attention in medical research, the investigation of ethical considerations is warranted. This review aims to explore surgery literature to identify ethical concerns surrounding these artificial intelligence models and evaluate how autonomy, beneficence, nonmaleficence, and justice are represented within these ethical discussions to provide insights in order to guide further research and practice. Methods: A systematic review was conducted in accordance with the Preferred Reporting Items for Systematic Reviews and Meta-Analyses guidelines. Five electronic databases were searched in October 2023. Eligible studies included surgery-related articles that focused on large language models and contained adequate ethical discussion. Study details, including specialty and ethical concerns, were collected. Results: The literature search yielded 1179 articles, with 53 meeting the inclusion criteria. Plastic surgery, orthopedic surgery, and neurosurgery were the most represented surgical specialties. Autonomy was the most explicitly cited ethical principle. The most frequently discussed ethical concern was accuracy (n = 45, 84.9%), followed by bias, patient confidentiality, and responsibility. Conclusion: The ethical implications of using large language models in surgery are complex and evolving. The integration of these models into surgery necessitates continuous ethical discourse to ensure responsible and ethical use, balancing technological advancement with human dignity and safety.</t>
  </si>
  <si>
    <t>Pressman, Sophia M.; Borna, Sahar; Gomez-Cabello, Cesar A.; Haider, Syed A.; Haider, Clifton; Forte, Antonio J.</t>
  </si>
  <si>
    <t>Forte, AJ (corresponding author), Mayo Clin, Div Plast Surg, Jacksonville, FL 32224 USA.; Forte, AJ (corresponding author), Mayo Clin, Ctr Digital Hlth, Rochester, MN 55905 USA.</t>
  </si>
  <si>
    <t>ajvforte@yahoo.com.br</t>
  </si>
  <si>
    <t>Noaber Foundation [N/A] Funding Source: Medline</t>
  </si>
  <si>
    <t>Noaber Foundation</t>
  </si>
  <si>
    <t>[Pressman, Sophia M.; Borna, Sahar; Gomez-Cabello, Cesar A.; Haider, Syed A.; Forte, Antonio J.] Mayo Clin, Div Plast Surg, Jacksonville, FL 32224 USA; [Haider, Clifton] Mayo Clin, Dept Physiol &amp; Biomed Engn, Rochester, MN 55905 USA; [Forte, Antonio J.] Mayo Clin, Ctr Digital Hlth, Rochester, MN 55905 USA</t>
  </si>
  <si>
    <t>Mayo Clinic; Mayo Clinic; Mayo Clinic</t>
  </si>
  <si>
    <t>AI and Ethics: A Systematic Review of the Ethical Considerations of Large Language Model Use in Surgery Research</t>
  </si>
  <si>
    <t>artificial intelligence (AI); ChatGPT; deep learning; machine learning; clinical medicine; surgical specialties; bioethical issues</t>
  </si>
  <si>
    <t>ARTIFICIAL-INTELLIGENCE; NEUROSURGICAL RESEARCH; INCORPORATE CHATBOTS; HEALTH-CARE; CHATGPT; EDUCATION; FUTURE; IMPACT; WRITE; ERA</t>
  </si>
  <si>
    <t>Forte, Antonio Jorge/I-2970-2019; Pressman, Sophia/KOC-2466-2024</t>
  </si>
  <si>
    <t>Forte, Antonio Jorge/0000-0003-2004-7538; Haider, Syed Ali/0009-0007-5621-2861; Pressman, Sophia/0009-0000-0398-8024; Gomez Cabello, Cesar Abraham/0009-0008-0603-3192</t>
  </si>
  <si>
    <t>157</t>
  </si>
  <si>
    <t>825</t>
  </si>
  <si>
    <t>10.3390/healthcare12080825</t>
  </si>
  <si>
    <t>http://dx.doi.org/10.3390/healthcare12080825</t>
  </si>
  <si>
    <t>OX4I6</t>
  </si>
  <si>
    <t>38667587</t>
  </si>
  <si>
    <t>WOS:001210559800001</t>
  </si>
  <si>
    <t>Miao, J; Thongprayoon, C; Suppadungsuk, S; Krisanapan, P; Radhakrishnan, Y; Cheungpasitporn, W</t>
  </si>
  <si>
    <t>Chain-of-thought prompting enhances the abilities of large language models (LLMs) significantly. It not only makes these models more specific and context-aware but also impacts the wider field of artificial intelligence (AI). This approach broadens the usability of AI, increases its efficiency, and aligns it more closely with human thinking and decision-making processes. As we improve this method, it is set to become a key element in the future of AI, adding more purpose, precision, and ethical consideration to these technologies. In medicine, the chain-of-thought prompting is especially beneficial. Its capacity to handle complex information, its logical and sequential reasoning, and its suitability for ethically and context-sensitive situations make it an invaluable tool for healthcare professionals. Its role in enhancing medical care and research is expected to grow as we further develop and use this technique. Chain-of-thought prompting bridges the gap between AI's traditionally obscure decision-making process and the clear, accountable standards required in healthcare. It does this by emulating a reasoning style familiar to medical professionals, fitting well into their existing practices and ethical codes. While solving AI transparency is a complex challenge, the chain-of-thought approach is a significant step toward making AI more comprehensible and trustworthy in medicine. This review focuses on understanding the workings of LLMs, particularly how chain-of-thought prompting can be adapted for nephrology's unique requirements. It also aims to thoroughly examine the ethical aspects, clarity, and future possibilities, offering an in-depth view of the exciting convergence of these areas.</t>
  </si>
  <si>
    <t>Miao, Jing; Thongprayoon, Charat; Suppadungsuk, Supawadee; Krisanapan, Pajaree; Radhakrishnan, Yeshwanter; Cheungpasitporn, Wisit</t>
  </si>
  <si>
    <t>Thongprayoon, C (corresponding author), Mayo Clin, Div Nephrol &amp; Hypertens, Dept Med, Rochester, MN 55905 USA.</t>
  </si>
  <si>
    <t>charat.thongprayoon@gmail.com</t>
  </si>
  <si>
    <t>[Miao, Jing; Thongprayoon, Charat; Suppadungsuk, Supawadee; Krisanapan, Pajaree; Radhakrishnan, Yeshwanter; Cheungpasitporn, Wisit] Mayo Clin, Div Nephrol &amp; Hypertens, Dept Med, Rochester, MN 55905 USA; [Suppadungsuk, Supawadee] Mahidol Univ, Fac Med, Chakri Naruebodindra Med Inst, Ramathibodi Hosp, Samut Prakan 10540, Thailand; [Krisanapan, Pajaree] Thammasat Univ, Fac Med, Dept Internal Med, Div Nephrol, Pathum Thani 12120, Thailand; [Krisanapan, Pajaree] Thammasat Univ Hosp, Dept Internal Med, Div Nephrol, Pathum Thani 12120, Thailand</t>
  </si>
  <si>
    <t>Mayo Clinic; Mahidol University; Thammasat University; Thammasat University</t>
  </si>
  <si>
    <t>Chain of Thought Utilization in Large Language Models and Application in Nephrology</t>
  </si>
  <si>
    <t>artificial intelligence; chain-of-thought prompting; large language models (LLMs); enhanced care; nephrology; decision-making process</t>
  </si>
  <si>
    <t>AI</t>
  </si>
  <si>
    <t>Miao, Jing/IWE-2159-2023; Cheungpasitporn, Wisit/H-8194-2019; Radhakrishnan, Yeshwanter/I-4498-2013; Krisanapan, Pajaree/GOH-1278-2022; suppadungsuk, supawadee/ISU-2478-2023; Thongprayoon, Charat/J-4184-2019</t>
  </si>
  <si>
    <t>Miao, Jing/0000-0003-0642-9740; Cheungpasitporn, Wisit/0000-0001-9954-9711; Krisanapan, Pajaree/0000-0002-2888-881X</t>
  </si>
  <si>
    <t>162</t>
  </si>
  <si>
    <t>10.3390/medicina60010148</t>
  </si>
  <si>
    <t>http://dx.doi.org/10.3390/medicina60010148</t>
  </si>
  <si>
    <t>GE7R1</t>
  </si>
  <si>
    <t>38256408</t>
  </si>
  <si>
    <t>WOS:001151060000001</t>
  </si>
  <si>
    <t>Rundo, L; Militello, C</t>
  </si>
  <si>
    <t>Feature extraction and selection from medical data are the basis of radiomics and image biomarker discovery for various architectures, including convolutional neural networks (CNNs). We herein describe the typical radiomics steps and the components of a CNN for both deep feature extraction and end-to-end approaches. We discuss the curse of dimensionality, along with dimensionality reduction techniques. Despite the outstanding performance of deep learning (DL) approaches, the use of handcrafted features instead of deep learned features needs to be considered for each specific study. Dataset size is a key factor: large-scale datasets with low sample diversity could lead to overfitting; limited sample sizes can provide unstable models. The dataset must be representative of all the "facets" of the clinical phenomenon/disease investigated. The access to high-performance computational resources from graphics processing units is another key factor, especially for the training phase of deep architectures. The advantages of multi-institutional federated/collaborative learning are described. When large language models are used, high stability is needed to avoid catastrophic forgetting in complex domain-specific tasks. We highlight that non-DL approaches provide model explainability superior to that provided by DL approaches. To implement explainability, the need for explainable AI arises, also through post hoc mechanisms.Relevance statement This work aims to provide the key concepts for processing the imaging features to extract reliable and robust image biomarkers.</t>
  </si>
  <si>
    <t>Rundo, Leonardo; Militello, Carmelo</t>
  </si>
  <si>
    <t>Rundo, L (corresponding author), Univ Salerno, Dept Informat &amp; Elect Engn &amp; Appl Math DIEM, Salerno, Italy.</t>
  </si>
  <si>
    <t>lrundo@unisa.it</t>
  </si>
  <si>
    <t>[Rundo, Leonardo] Univ Salerno, Dept Informat &amp; Elect Engn &amp; Appl Math DIEM, Salerno, Italy; [Militello, Carmelo] Italian Natl Res Council, High Performance Comp &amp; Networking Inst ICAR CNR, Palermo, Italy</t>
  </si>
  <si>
    <t>University of Salerno; Consiglio Nazionale delle Ricerche (CNR); Istituto di Calcolo e Reti ad Alte Prestazioni (ICAR-CNR)</t>
  </si>
  <si>
    <t>Image biomarkers and explainable AI: handcrafted features versus deep learned features</t>
  </si>
  <si>
    <t>EUROPEAN RADIOLOGY EXPERIMENTAL</t>
  </si>
  <si>
    <t>Biomarkers; Diagnostic imaging; Machine learning; Neural networks (computer); Radiomics</t>
  </si>
  <si>
    <t>CONVOLUTIONAL NEURAL-NETWORKS; ARTIFICIAL-INTELLIGENCE; RADIOMICS; MACHINE; PREDICTION; ARCHITECTURES</t>
  </si>
  <si>
    <t>Militello, Carmelo/O-2952-2015; Rundo, Leonardo/AAF-3999-2019</t>
  </si>
  <si>
    <t>Rundo, Leonardo/0000-0003-3341-5483</t>
  </si>
  <si>
    <t>SPRINGER WIEN</t>
  </si>
  <si>
    <t>Vienna</t>
  </si>
  <si>
    <t>Prinz-Eugen-Strasse 8-10, A-1040 Vienna, AUSTRIA</t>
  </si>
  <si>
    <t>2509-9280</t>
  </si>
  <si>
    <t>EUR RADIOL EXP</t>
  </si>
  <si>
    <t>Eur. Radiol. Exp.</t>
  </si>
  <si>
    <t>NOV 19 2024</t>
  </si>
  <si>
    <t>10.1186/s41747-024-00529-y</t>
  </si>
  <si>
    <t>http://dx.doi.org/10.1186/s41747-024-00529-y</t>
  </si>
  <si>
    <t>M6X7K</t>
  </si>
  <si>
    <t>39560820</t>
  </si>
  <si>
    <t>WOS:001358950200001</t>
  </si>
  <si>
    <t>Pressman, SM; Borna, S; Gomez-Cabello, CA; Haider, SA; Haider, CR; Forte, AJ</t>
  </si>
  <si>
    <t>Background: Large language models (LLMs) represent a recent advancement in artificial intelligence with medical applications across various healthcare domains. The objective of this review is to highlight how LLMs can be utilized by clinicians and surgeons in their everyday practice. Methods: A systematic review was conducted following the Preferred Reporting Items for Systematic Reviews and Meta-Analyses guidelines. Six databases were searched to identify relevant articles. Eligibility criteria emphasized articles focused primarily on clinical and surgical applications of LLMs. Results: The literature search yielded 333 results, with 34 meeting eligibility criteria. All articles were from 2023. There were 14 original research articles, four letters, one interview, and 15 review articles. These articles covered a wide variety of medical specialties, including various surgical subspecialties. Conclusions: LLMs have the potential to enhance healthcare delivery. In clinical settings, LLMs can assist in diagnosis, treatment guidance, patient triage, physician knowledge augmentation, and administrative tasks. In surgical settings, LLMs can assist surgeons with documentation, surgical planning, and intraoperative guidance. However, addressing their limitations and concerns, particularly those related to accuracy and biases, is crucial. LLMs should be viewed as tools to complement, not replace, the expertise of healthcare professionals.</t>
  </si>
  <si>
    <t>Pressman, Sophia M.; Borna, Sahar; Gomez-Cabello, Cesar A.; Haider, Syed Ali; Haider, Clifton R.; Forte, Antonio Jorge</t>
  </si>
  <si>
    <t>Forte, AJ (corresponding author), Mayo Clin, Div Plast Surg, Jacksonville, FL 32224 USA.; Forte, AJ (corresponding author), Ctr Digital Hlth, Mayo Clin, Rochester, MN 55905 USA.</t>
  </si>
  <si>
    <t>[Pressman, Sophia M.; Borna, Sahar; Gomez-Cabello, Cesar A.; Haider, Syed Ali; Forte, Antonio Jorge] Mayo Clin, Div Plast Surg, Jacksonville, FL 32224 USA; [Haider, Clifton R.] Mayo Clin, Dept Physiol &amp; Biomed Engn, Rochester, MN 55905 USA; [Forte, Antonio Jorge] Ctr Digital Hlth, Mayo Clin, Rochester, MN 55905 USA</t>
  </si>
  <si>
    <t>Clinical and Surgical Applications of Large Language Models: A Systematic Review</t>
  </si>
  <si>
    <t>JOURNAL OF CLINICAL MEDICINE</t>
  </si>
  <si>
    <t>artificial intelligence (AI); ChatGPT; diagnosis; management; deep learning; machine learning; surgical specialties</t>
  </si>
  <si>
    <t>ARTIFICIAL-INTELLIGENCE; HEALTH-CARE; CHATGPT; MEDICINE; SURGERY; FUTURE</t>
  </si>
  <si>
    <t>Pressman, Sophia/KOC-2466-2024; Forte, Antonio Jorge/I-2970-2019</t>
  </si>
  <si>
    <t>Borna, Sahar/0000-0002-7845-7356; Haider, Syed Ali/0009-0007-5621-2861; Gomez Cabello, Cesar Abraham/0009-0008-0603-3192; Pressman, Sophia/0009-0000-0398-8024; Forte, Antonio Jorge/0000-0003-2004-7538</t>
  </si>
  <si>
    <t>61</t>
  </si>
  <si>
    <t>2077-0383</t>
  </si>
  <si>
    <t>J CLIN MED</t>
  </si>
  <si>
    <t>J. Clin. Med.</t>
  </si>
  <si>
    <t>3041</t>
  </si>
  <si>
    <t>10.3390/jcm13113041</t>
  </si>
  <si>
    <t>http://dx.doi.org/10.3390/jcm13113041</t>
  </si>
  <si>
    <t>UA8S3</t>
  </si>
  <si>
    <t>38892752</t>
  </si>
  <si>
    <t>WOS:001245439000001</t>
  </si>
  <si>
    <t>Templin, T; Perez, MW; Sylvia, S; Leek, J; Sinnott-Armstron, N</t>
  </si>
  <si>
    <t>Generative artificial intelligence (AI) can exhibit biases, compromise data privacy, misinterpret prompts that are adversarial attacks, and produce hallucinations. Despite the potential of generative AI for many applications in digital health, practitioners must understand these tools and their limitations. This scoping review pays particular attention to the challenges with generative AI technologies in medical settings and surveys potential solutions. Using PubMed, we identified a total of 120 articles published by March 2024, which reference and evaluate generative AI in medicine, from which we synthesized themes and suggestions for future work. After first discussing general background on generative AI, we focus on collecting and presenting 6 challenges key for digital health practitioners and specific measures that can be taken to mitigate these challenges. Overall, bias, privacy, hallucination, and regulatory compliance were frequently considered, while other concerns around generative AI, such as overreliance on text models, adversarial misprompting, and jailbreaking, are not commonly evaluated in the current literature.</t>
  </si>
  <si>
    <t>Templin, Tara; Perez, Monika W.; Sylvia, Sean; Leek, Jeff; Sinnott-Armstron, Nasa</t>
  </si>
  <si>
    <t>Templin, T (corresponding author), Univ North Carolina, Dept Hlth Policy &amp; Management, Chapel Hill, NC 27599 USA.; Templin, T (corresponding author), Univ North Carolina, Carolina Populat Ctr, Chapel Hill, NC 27599 USA.</t>
  </si>
  <si>
    <t>ttemplin@unc.edu</t>
  </si>
  <si>
    <t>National Science Foundation; Gillings Innovation Labs: Harnessing Generative AI in Public Health pilot grant program; NIH/NIAID [K01AI159233]; Bruce G. Cochener Foundation through a Creativity Award</t>
  </si>
  <si>
    <t>National Science Foundation; Gillings Innovation Labs: Harnessing Generative AI in Public Health pilot grant program; NIH/NIAID; Bruce G. Cochener Foundation through a Creativity Award</t>
  </si>
  <si>
    <t>TT received support from the National Science Foundation grant number 2026498 and the Gillings Innovation Labs: Harnessing Generative AI in Public Health pilot grant program. MP received no specific funding for this work. SYS received support from K01AI159233 from NIH/NIAID. JL received no specific funding for this work. N.S-A received support from The Bruce G. Cochener Foundation through a Creativity Award. The funders had no role in study design, data collection and analysis, decision to publish, or preparation of the manuscript.</t>
  </si>
  <si>
    <t>[Templin, Tara] Univ North Carolina, Dept Hlth Policy &amp; Management, Chapel Hill, NC 27599 USA; [Templin, Tara; Sylvia, Sean] Univ North Carolina, Carolina Populat Ctr, Chapel Hill, NC 27599 USA; [Perez, Monika W.; Sinnott-Armstron, Nasa] Univ Washington, Dept Genome Sci, Seattle, WA USA; [Sylvia, Sean] Univ North Carolina, Dept Hlth Policy &amp; Management, Chapel Hill, NC 27599 USA; [Sylvia, Sean] Univ North Carolina, Sheps Ctr Hlth Serv Res, Chapel Hill, NC USA; [Leek, Jeff] Fred Hutchinson Canc Res Ctr, Biostat Program, Seattle, WA USA; [Leek, Jeff] Univ Washington, Dept Biostat, Seattle, WA USA; [Sinnott-Armstron, Nasa] Fred Hutchinson Canc Ctr, Herbold Computat Biol Program, Seattle, WA USA</t>
  </si>
  <si>
    <t>University of North Carolina; University of North Carolina Chapel Hill; University of North Carolina; University of North Carolina Chapel Hill; University of Washington; University of Washington Seattle; University of North Carolina; University of North Carolina Chapel Hill; University of North Carolina; University of North Carolina Chapel Hill; Fred Hutchinson Cancer Center; University of Washington; University of Washington Seattle; Fred Hutchinson Cancer Center</t>
  </si>
  <si>
    <t>Addressing 6 challenges in generative AI for digital health: A scoping review</t>
  </si>
  <si>
    <t>SYNTHETIC DATA; RISKS</t>
  </si>
  <si>
    <t>89</t>
  </si>
  <si>
    <t>e0000503</t>
  </si>
  <si>
    <t>10.1371/journal.pdig.0000503</t>
  </si>
  <si>
    <t>http://dx.doi.org/10.1371/journal.pdig.0000503</t>
  </si>
  <si>
    <t>W2J4Z</t>
  </si>
  <si>
    <t>38781686</t>
  </si>
  <si>
    <t>WOS:001416901200001</t>
  </si>
  <si>
    <t>Derraz, B; Breda, G; Kaempf, C; Baenke, F; Cotte, F; Reiche, K; Koehl, U; Kather, JN; Eskenazy, D; Gilbert, S</t>
  </si>
  <si>
    <t>Until recently the application of artificial intelligence (AI) in precision oncology was confined to activities in drug development and had limited impact on the personalisation of therapy. Now, a number of approaches have been proposed for the personalisation of drug and cell therapies with AI applied to therapy design, planning and delivery at the patient's bedside. Some drug and cell-based therapies are already tuneable to the individual to optimise efficacy, to reduce toxicity, to adapt the dosing regime, to design combination therapy approaches and, preclinically, even to personalise the receptor design of cell therapies. Developments in AI-based healthcare are accelerating through the adoption of foundation models, and generalist medical AI models have been proposed. The application of these approaches in therapy design is already being explored and realistic short-term advances include the application to the personalised design and delivery of drugs and cell therapies. With this pace of development, the limiting step to adoption will likely be the capacity and appropriateness of regulatory frameworks. This article explores emerging concepts and new ideas for the regulation of AI-enabled personalised cancer therapies in the context of existing and in development governance frameworks.</t>
  </si>
  <si>
    <t>Derraz, Bouchra; Breda, Gabriele; Kaempf, Christoph; Baenke, Franziska; Cotte, Fabienne; Reiche, Kristin; Koehl, Ulrike; Kather, Jakob Nikolas; Eskenazy, Deborah; Gilbert, Stephen</t>
  </si>
  <si>
    <t>Gilbert, S (corresponding author), Carl Gustav Carus Univ Hosp Dresden, Dresden Univ Technol, Dresden, Germany.; Gilbert, S (corresponding author), TUD Dresden Univ Technol, Else Kroner Fresenius Ctr Digital Hlth, Dresden, Germany.</t>
  </si>
  <si>
    <t>stephen.gilbert@tu-dresden.de</t>
  </si>
  <si>
    <t>German Federal Ministry of Education and Research (Bundesministerium fur Bildung und Forschung, BMBF) through the European Union [16KISA100K]</t>
  </si>
  <si>
    <t>German Federal Ministry of Education and Research (Bundesministerium fur Bildung und Forschung, BMBF) through the European Union (Federal Ministry of Education &amp; Research (BMBF))</t>
  </si>
  <si>
    <t>This work was supported by the German Federal Ministry of Education and Research (Bundesministerium fur Bildung und Forschung, BMBF) through the European Union-financed NextGenerationEU programme under grant number 16KISA100K, project PATH-'Personal Mastery of Health and Wellness Data'. Open Access funding enabled and organized by Projekt DEAL.</t>
  </si>
  <si>
    <t>[Derraz, Bouchra; Breda, Gabriele] ProductLife Grp, Paris, France; [Derraz, Bouchra; Eskenazy, Deborah] Univ Paris Saclay, Fac Pharm, Grp Rech &amp; Accueil Droit &amp; Econ St GRADES, Paris, France; [Kaempf, Christoph; Reiche, Kristin; Koehl, Ulrike] Fraunhofer Inst Cell Therapy &amp; Immunol, Leipzig, Germany; [Baenke, Franziska; Kather, Jakob Nikolas; Gilbert, Stephen] Carl Gustav Carus Univ Hosp Dresden, Dresden Univ Technol, Dresden, Germany; [Cotte, Fabienne] Philipps Univ, Univ Clin Marburg, Dept Emergency Med, Marburg, Germany; [Reiche, Kristin] Ctr Scalable Data Analyt &amp; Artificial Intelligence, Dresden, Leipzig, Germany; [Reiche, Kristin; Koehl, Ulrike] Univ Leipzig, Inst Clin Immunol, Leipzig, Germany; [Kather, Jakob Nikolas; Gilbert, Stephen] TUD Dresden Univ Technol, Else Kroner Fresenius Ctr Digital Hlth, Dresden, Germany</t>
  </si>
  <si>
    <t>Universite Paris Saclay; Fraunhofer Gesellschaft; Fraunhofer Germany; Fraunhofer Cell Therapy &amp; Immunology; Technische Universitat Dresden; Carl Gustav Carus University Hospital; Philipps University Marburg; Leipzig University</t>
  </si>
  <si>
    <t>New regulatory thinking is needed for AI-based personalised drug and cell therapies in precision oncology</t>
  </si>
  <si>
    <t>STRATEGIES; PREDICTION; COMPANION; MEDICINE; TRIALS</t>
  </si>
  <si>
    <t>Kather, Jakob Nikolas/D-4279-2015; Gilbert, Stephen/LZF-0032-2025; Reiche, Kristin/KHD-0478-2024</t>
  </si>
  <si>
    <t>Baenke, Franziska/0000-0001-9389-4688; Koehl, Ulrike/0000-0002-8159-9160; Kather, Jakob Nikolas/0000-0002-3730-5348; Gilbert, Stephen/0000-0002-1997-1689; Breda, Gabriele/0000-0002-2765-7841; Reiche, Kristin/0000-0002-4452-4872</t>
  </si>
  <si>
    <t>JAN 30 2024</t>
  </si>
  <si>
    <t>10.1038/s41698-024-00517-w</t>
  </si>
  <si>
    <t>http://dx.doi.org/10.1038/s41698-024-00517-w</t>
  </si>
  <si>
    <t>GN2F3</t>
  </si>
  <si>
    <t>38291217</t>
  </si>
  <si>
    <t>WOS:001153275900001</t>
  </si>
  <si>
    <t>Abujaber, AA; Abd-alrazaq, A; Al-Qudimat, AR; Nashwan, AJ</t>
  </si>
  <si>
    <t>Amidst evolving healthcare demands, nursing education plays a pivotal role in preparing future nurses for complex challenges. Traditional approaches, however, must be revised to meet modern healthcare needs. The ChatGPT, an AI-based chatbot, has garnered significant attention due to its ability to personalize learning experiences, enhance virtual clinical simulations, and foster collaborative learning in nursing education. This review aims to thoroughly assess the potential impact of integrating ChatGPT into nursing education. The hypothesis is that valuable insights can be provided for stakeholders through a comprehensive SWOT analysis examining the strengths, weaknesses, opportunities, and threats associated with ChatGPT. This will enable informed decisions about its integration, prioritizing improved learning outcomes. A thorough narrative literature review was undertaken to provide a solid foundation for the SWOT analysis. The materials included scholarly articles and reports, which ensure the study's credibility and allow for a holistic and unbiased assessment. The analysis identified accessibility, consistency, adaptability, cost-effectiveness, and staying up-to-date as crucial factors influencing the strengths, weaknesses, opportunities, and threats associated with ChatGPT integration in nursing education. These themes provided a framework to understand the potential risks and benefits of integrating ChatGPT into nursing education. This review highlights the importance of responsible and effective use of ChatGPT in nursing education and the need for collaboration among educators, policymakers, and AI developers. Addressing the identified challenges and leveraging the strengths of ChatGPT can lead to improved learning outcomes and enriched educational experiences for students. The findings emphasize the importance of responsibly integrating ChatGPT in nursing education, balancing technological advancement with careful consideration of associated risks, to achieve optimal outcomes.</t>
  </si>
  <si>
    <t>Abujaber, Ahmad A.; Abd-alrazaq, Alaa; Al-Qudimat, Ahmad R.; Nashwan, Abdulqadir J.</t>
  </si>
  <si>
    <t>Abujaber, AA (corresponding author), Hamad Med Corp, Dept Nursing, Doha, Qatar.</t>
  </si>
  <si>
    <t>anashwan@hamad.qa</t>
  </si>
  <si>
    <t>[Abujaber, Ahmad A.; Nashwan, Abdulqadir J.] Hamad Med Corp, Dept Nursing, Doha, Qatar; [Abd-alrazaq, Alaa] Weill Cornell Med Qatar, AI Ctr Precis Hlth, Doha, Qatar; [Al-Qudimat, Ahmad R.] Qatar Univ, Dept Publ Hlth, Doha, Qatar; [Al-Qudimat, Ahmad R.] Hamad Med Corp, Dept Surg, Surg Res Sect, Doha, Qatar</t>
  </si>
  <si>
    <t>Hamad Medical Corporation; Qatar Foundation (QF); Weill Cornell Medical College Qatar; Qatar University; Hamad Medical Corporation</t>
  </si>
  <si>
    <t>A Strengths, Weaknesses, Opportunities, and Threats (SWOT) Analysis of ChatGPT Integration in Nursing Education: A Narrative Review</t>
  </si>
  <si>
    <t>swot analysis; nursing education; large language models; gpt-4; chatgpt</t>
  </si>
  <si>
    <t>ARTIFICIAL-INTELLIGENCE; ENGAGEMENT</t>
  </si>
  <si>
    <t>Abujaber, Ahmad/KIB-2200-2024; Alqudimat, Ahmad/KHY-8085-2024; Nashwan, Abdulqadir/J-6241-2019; Abd-Alrazaq, Alaa/ABE-3043-2021</t>
  </si>
  <si>
    <t>Abujaber, Ahmad/0000-0002-8704-4991; Nashwan, Abdulqadir/0000-0003-4845-4119</t>
  </si>
  <si>
    <t>e48643</t>
  </si>
  <si>
    <t>10.7759/cureus.48643</t>
  </si>
  <si>
    <t>http://dx.doi.org/10.7759/cureus.48643</t>
  </si>
  <si>
    <t>Y6RC2</t>
  </si>
  <si>
    <t>38090452</t>
  </si>
  <si>
    <t>WOS:001106501800008</t>
  </si>
  <si>
    <t>Liu, FL; Zhou, HJ; Gu, BY; Zou, XY; Huang, JF; Wu, JG; Li, YR; Chen, SS; Hua, YN; Zhou, PL; Liu, JL; Mao, CF; You, CY; Wu, X; Zheng, YF; Clifton, L; Li, Z; Luo, JB; Clifton, DA</t>
  </si>
  <si>
    <t>Large language models (LLMs), such as ChatGPT, have received great attention owing to their capabilities for understanding and generating human language. Despite a trend in researching the application of LLMs in supporting different medical tasks (such as enhancing clinical diagnostics and providing medical education), a comprehensive assessment of their development, practical applications and outcomes in the medical space is still missing. Therefore, this Review aims to provide an overview of the development and deployment of LLMs in medicine, including the challenges and opportunities they face. In terms of development, we discuss the principles of existing medical LLMs, including their basic model structures, number of parameters, and sources and scales of data used for model development. In terms of deployment, we compare different LLMs across various medical tasks and with state-of-the-art lightweight models.</t>
  </si>
  <si>
    <t>Liu, Fenglin; Zhou, Hongjian; Gu, Boyang; Zou, Xinyu; Huang, Jinfa; Wu, Jinge; Li, Yiru; Chen, Sam S.; Hua, Yining; Zhou, Peilin; Liu, Junling; Mao, Chengfeng; You, Chenyu; Wu, Xian; Zheng, Yefeng; Clifton, Lei; Li, Zheng; Luo, Jiebo; Clifton, David A.</t>
  </si>
  <si>
    <t>Liu, FL (corresponding author), Univ Oxford, Inst Biomed Engn, Dept Engn Sci, Oxford, England.</t>
  </si>
  <si>
    <t>fenglin.liu@eng.ox.ac.uk</t>
  </si>
  <si>
    <t>Pandemic Sciences Institute at the University of Oxford; National Institute for Health Research (NIHR) Oxford Biomedical Research Centre; NIHR Research Professorship; Royal Academy of Engineering Research Chair; UK Research and Innovation; Engineering and Physical Sciences Research Council; Clarendon Fund; Magdalen Graduate Scholarship</t>
  </si>
  <si>
    <t>Pandemic Sciences Institute at the University of Oxford; National Institute for Health Research (NIHR) Oxford Biomedical Research Centre (National Institutes of Health Research (NIHR)); NIHR Research Professorship; Royal Academy of Engineering Research Chair; UK Research and Innovation; Engineering and Physical Sciences Research Council; Clarendon Fund; Magdalen Graduate Scholarship</t>
  </si>
  <si>
    <t>This work was supported in part by the Pandemic Sciences Institute at the University of Oxford, the National Institute for Health Research (NIHR) Oxford Biomedical Research Centre, an NIHR Research Professorship, a Royal Academy of Engineering Research Chair, the Well-come Trust-funded VITAL project, the UK Research and Innovation, the Engineering and Physical Sciences Research Council, and the InnoHK Hong Kong Centre for Cerebro-cardiovascular Engineering (COCHE), the Clarendon Fund, and the Magdalen Graduate Scholarship.</t>
  </si>
  <si>
    <t>[Liu, Fenglin; Zhou, Hongjian; Clifton, David A.] Univ Oxford, Inst Biomed Engn, Dept Engn Sci, Oxford, England; [Gu, Boyang] Imperial Coll London, Dept Comp, London, England; [Zou, Xinyu] Univ Waterloo, Dept Syst Design Engn, Waterloo, ON, Canada; [Huang, Jinfa; Luo, Jiebo] Univ Rochester, Dept Comp Sci, Rochester, NY USA; [Wu, Jinge] UCL, Inst Hlth Informat, London, England; [Li, Yiru] Western Univ, London, ON, Canada; [Chen, Sam S.] Univ Georgia, Dept Kinesiol, Athens, GA USA; [Hua, Yining] Harvard TH Chan Sch Publ Hlth, Boston, MA USA; [Zhou, Peilin] Hong Kong Univ Sci &amp; Technol Guangzhou, Guangzhou, Peoples R China; [Liu, Junling] Peking Univ, Sch ECE, Shenzhen, Peoples R China; [Mao, Chengfeng] MIT, Cambridge, MA USA; [You, Chenyu] SUNY Stony Brook, Stony Brook, NY USA; [Wu, Xian; Zheng, Yefeng] Jarvis Res Ctr, Tencent YouTu Lab, Beijing, Peoples R China; [Zheng, Yefeng] Westlake Univ, Med Artificial Intelligence Lab, Hangzhou, Peoples R China; [Clifton, Lei] Univ Oxford, Nuffield Dept Primary Care Hlth Sci, Appl Digital Hlth ADH, Oxford, England; [Li, Zheng] Amazon, Palo Alto, CA USA; [Clifton, David A.] Oxford Suzhou Ctr Adv Res, Suzhou, Peoples R China</t>
  </si>
  <si>
    <t>University of Oxford; Imperial College London; University of Waterloo; University of Rochester; University of London; University College London; Western University (University of Western Ontario); University System of Georgia; University of Georgia; Harvard University; Harvard T.H. Chan School of Public Health; Hong Kong University of Science &amp; Technology (Guangzhou); Peking University; Massachusetts Institute of Technology (MIT); State University of New York (SUNY) System; Stony Brook University; Tencent; Westlake University; University of Oxford; Amazon.com</t>
  </si>
  <si>
    <t>Application of large language models in medicine</t>
  </si>
  <si>
    <t>NATURE REVIEWS BIOENGINEERING</t>
  </si>
  <si>
    <t>DIAGNOSIS</t>
  </si>
  <si>
    <t>Chen, Sam/HGE-1214-2022; Zhou, Hongjian/F-8519-2014; Wu, Xian/JRW-5738-2023; Luo, Jiebo/AAI-7549-2020; You, Chenyu/AFK-5803-2022</t>
  </si>
  <si>
    <t>Liu, Fenglin/0000-0001-7715-5228; Chen, Shuoyu/0000-0002-1915-4005; Gu, Boyang/0009-0009-0307-2230; Zhou, Peilin/0000-0001-6763-5236; Huang, Jinfa/0000-0002-0081-4106; Luo, Jiebo/0000-0002-4516-9729</t>
  </si>
  <si>
    <t>2731-6092</t>
  </si>
  <si>
    <t>NAT REV BIOENG</t>
  </si>
  <si>
    <t>Nat. Rev. Bioeng.</t>
  </si>
  <si>
    <t>JUN 2025</t>
  </si>
  <si>
    <t>464</t>
  </si>
  <si>
    <t>10.1038/s44222-025-00279-5</t>
  </si>
  <si>
    <t>http://dx.doi.org/10.1038/s44222-025-00279-5</t>
  </si>
  <si>
    <t>Engineering, Biomedical; Materials Science, Biomaterials</t>
  </si>
  <si>
    <t>Engineering; Materials Science</t>
  </si>
  <si>
    <t>3TH4R</t>
  </si>
  <si>
    <t>WOS:001461160700001</t>
  </si>
  <si>
    <t>Mikolajewska, E; Mikolajewski, D; Mikolajczyk, T; Paczkowski, T</t>
  </si>
  <si>
    <t>Featured Application Potential applications of the work include more reliable dedicated AI-based predictive maintenance systems based on digital twins and generative AI.Abstract 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</si>
  <si>
    <t>Mikolajewska, Emilia; Mikolajewski, Dariusz; Mikolajczyk, Tadeusz; Paczkowski, Tomasz</t>
  </si>
  <si>
    <t>Mikolajczyk, T (corresponding author), Bydgoszcz Univ Sci &amp; Technol, Dept Prod Engn, PL-85796 Bydgoszcz, Poland.</t>
  </si>
  <si>
    <t>emiliam@cm.umk.pl; dariusz.mikolajewski@ukw.edu.pl; tadeusz.mikolajczyk@pbs.edu.pl; tomasz.paczkowski@pbs.edu.pl</t>
  </si>
  <si>
    <t>[Mikolajewska, Emilia] Nicolaus Copernicus Univ Torun, Fac Hlth Sci, PL-85067 Bydgoszcz, Poland; [Mikolajewski, Dariusz] Kazimierz Wielki Univ Bydgoszcz, Fac Comp Sci, PL-85067 Bydgoszcz, Poland; [Mikolajczyk, Tadeusz; Paczkowski, Tomasz] Bydgoszcz Univ Sci &amp; Technol, Dept Prod Engn, PL-85796 Bydgoszcz, Poland</t>
  </si>
  <si>
    <t>Nicolaus Copernicus University; Kazimierz Wielki University; Bydgoszcz University of Science &amp; Technology</t>
  </si>
  <si>
    <t>Generative AI in AI-Based Digital Twins for Fault Diagnosis for Predictive Maintenance in Industry 4.0/5.0</t>
  </si>
  <si>
    <t>APPLIED SCIENCES-BASEL</t>
  </si>
  <si>
    <t>artificial intelligence; machine learning; industrial applications; Industry 4.0; Industry 5.0; predictive maintenance; digital twin; generative AI; GenAI</t>
  </si>
  <si>
    <t>Mikołajewska, Emilia/F-8384-2012; Paczkowski, Tomasz/PHF-1736-2026; Mikolajczyk, Tadeusz/F-6689-2016</t>
  </si>
  <si>
    <t>Mikołajewski, Dariusz/0000-0003-4157-2796; Paczkowski, Tomasz/0000-0003-2861-8817</t>
  </si>
  <si>
    <t>2076-3417</t>
  </si>
  <si>
    <t>APPL SCI-BASEL</t>
  </si>
  <si>
    <t>Appl. Sci.-Basel</t>
  </si>
  <si>
    <t>MAR 14 2025</t>
  </si>
  <si>
    <t>3166</t>
  </si>
  <si>
    <t>10.3390/app15063166</t>
  </si>
  <si>
    <t>http://dx.doi.org/10.3390/app15063166</t>
  </si>
  <si>
    <t>Chemistry, Multidisciplinary; Engineering, Multidisciplinary; Materials Science, Multidisciplinary; Physics, Applied</t>
  </si>
  <si>
    <t>Chemistry; Engineering; Materials Science; Physics</t>
  </si>
  <si>
    <t>0QE7G</t>
  </si>
  <si>
    <t>WOS:001453395700001</t>
  </si>
  <si>
    <t>Teo, ZL; Thirunavukarasu, AJ; Elangovan, K; Cheng, HR; Moova, P; Soetikno, B; Nielsen, C; Pollreisz, A; Ting, DSJ; Morris, RJT; Shah, NH; Langlotz, CP; Ting, DSW</t>
  </si>
  <si>
    <t>Generative artificial intelligence (GAI) can automate a growing number of biomedical tasks, ranging from clinical decision support to design and analysis of research studies. GAI uses machine learning and transformer model architectures to generate useful text, images and sound data in response to user queries. While previous biomedical deep-learning applications have used general-purpose datasets and enormous volumes of labeled data for training, evidence now suggests that GAI models may perform better while requiring less training data-for example, using smaller, domain-specific datasets. Moreover, AI techniques have progressed from fully supervised training to less label-intensive approaches, such as weakly supervised or unsupervised fine-tuning and reinforcement learning. Recent iterations of GAI, such as agents, mixture-of-expert models and reasoning models, have further extended their capabilities to assist with complex and multistage tasks. Here, we provide an overview of recent technical advancements in GAI. We explore the potential of the latest generation of models to improve healthcare for clinicians and patients, and discuss validation approaches using specific examples to illustrate challenges and opportunities for further work.</t>
  </si>
  <si>
    <t>Teo, Zhen Ling; Thirunavukarasu, Arun James; Elangovan, Kabilan; Cheng, Haoran; Moova, Prasanth; Soetikno, Brian; Nielsen, Christopher; Pollreisz, Andreas; Ting, Darren Shu Jeng; Morris, Robert J. T.; Shah, Nigam H.; Langlotz, Curtis P.; Ting, Daniel Shu Wei</t>
  </si>
  <si>
    <t>Ting, DSW (corresponding author), Singapore Eye Res Inst, Singapore Natl Eye Ctr, Singapore, Singapore.; Ting, DSW (corresponding author), Singapore Hlth Serv, AI Off, Singapore, Singapore.; Ting, DSW (corresponding author), Byers Eye Inst, Dept Ophthalmol, Stanford, CA 94303 USA.</t>
  </si>
  <si>
    <t>MOH | National Medical Research Council (NMRC) [MOH-000655-00/MOH-001014-00]; National Medical Research Council Singapore [Duke-NUS/RSF/2021/001805/FY2020/EX/15-A5805/FY2022/EX/66-Q128]; Duke-NUS Medical School [H20C6a0032]; Agency for Science, Technology and Research</t>
  </si>
  <si>
    <t>MOH | National Medical Research Council (NMRC); National Medical Research Council Singapore; Duke-NUS Medical School; Agency for Science, Technology and Research</t>
  </si>
  <si>
    <t>National Medical Research Council Singapore (MOH-000655-00/MOH-001014-00), Duke-NUS Medical School (Duke-NUS/RSF/2021/001805/FY2020/EX/15-A5805/FY2022/EX/66-Q128) and Agency for Science, Technology and Research (H20C6a0032).</t>
  </si>
  <si>
    <t>[Teo, Zhen Ling; Elangovan, Kabilan; Cheng, Haoran; Moova, Prasanth; Pollreisz, Andreas; Ting, Darren Shu Jeng; Ting, Daniel Shu Wei] Singapore Eye Res Inst, Singapore Natl Eye Ctr, Singapore, Singapore; [Teo, Zhen Ling; Elangovan, Kabilan; Moova, Prasanth; Ting, Daniel Shu Wei] Singapore Hlth Serv, AI Off, Singapore, Singapore; [Thirunavukarasu, Arun James] Univ Oxford, Nuffield Dept Clin Neurosci, Med Sci Div, Oxford, England; [Cheng, Haoran; Ting, Darren Shu Jeng] Duke NUS Med Sch, Ophthalmol &amp; Visual Sci Acad Clin Program, Singapore, Singapore; [Soetikno, Brian; Ting, Daniel Shu Wei] Byers Eye Inst, Dept Ophthalmol, Stanford, CA 94303 USA; [Nielsen, Christopher] Univ Calgary, Cumming Sch Med, Calgary, AB, Canada; [Pollreisz, Andreas] Med Univ Vienna, Dept Ophthalmol &amp; Optometry, Vienna, Austria; [Ting, Darren Shu Jeng] Univ Birmingham, Coll Med &amp; Hlth, Dept Inflammat &amp; Ageing, Birmingham, England; [Ting, Darren Shu Jeng] Birmingham &amp; Midland Eye Ctr, Sandwell &amp; West Birmingham NHS Trust, Birmingham, England; [Ting, Darren Shu Jeng] Univ Nottingham, Sch Med, Acad Ophthalmol, Nottingham, England; [Morris, Robert J. T.] Minist Hlth MOH, Off Healthcare Transformat, Singapore, Singapore; [Morris, Robert J. T.] Natl Univ Singapore, Yong Loo Lin Sch Med, Singapore, Singapore; [Shah, Nigam H.] Stanford Univ, Dept Med, Stanford, CA USA; [Langlotz, Curtis P.] Stanford Univ, Dept Radiol, Stanford, CA USA</t>
  </si>
  <si>
    <t>Singapore National Eye Center; National University of Singapore; University of Oxford; National University of Singapore; University of Calgary; Medical University of Vienna; University of Birmingham; University of Nottingham; Ministry of Health - Singapore; National University of Singapore; Stanford University; Stanford Medicine; Stanford University; Stanford Medicine</t>
  </si>
  <si>
    <t>Generative artificial intelligence in medicine</t>
  </si>
  <si>
    <t>HEALTH-CARE; DIGITAL MEDICINE; AI; MODELS</t>
  </si>
  <si>
    <t>Thirunavukarasu, Arun/ABC-0806-2022; Pollreisz, Andreas/AAJ-1538-2021; Teo, Zhen Ling/HLH-2188-2023; Ting, Daniel/QOC-0597-2026</t>
  </si>
  <si>
    <t>MORRIS, ROBERT/0000-0001-8320-2393; Thirunavukarasu, Arun/0000-0001-8968-4768</t>
  </si>
  <si>
    <t>170</t>
  </si>
  <si>
    <t>OCT 2025</t>
  </si>
  <si>
    <t>3270</t>
  </si>
  <si>
    <t>3282</t>
  </si>
  <si>
    <t>10.1038/s41591-025-03983-2</t>
  </si>
  <si>
    <t>http://dx.doi.org/10.1038/s41591-025-03983-2</t>
  </si>
  <si>
    <t>8WK1T</t>
  </si>
  <si>
    <t>41053447</t>
  </si>
  <si>
    <t>WOS:001587423500001</t>
  </si>
  <si>
    <t>Marra, A; Morganti, S; Pareja, F; Campanella, G; Bibeau, F; Fuchs, T; Loda, M; Parwan, A; Scarpa, A; Reis, JS; Curigliano, G; Marchiò, C; Kather, JN</t>
  </si>
  <si>
    <t>Background: Artificial intelligence (AI) is rapidly transforming the fields of pathology and oncology, offering novel opportunities for advancing diagnosis, prognosis, and treatment of cancer. Methods: Through a systematic review-based approach, the representatives from the European Society for Medical Oncology (ESMO) Precision Oncology Working Group (POWG) and international experts identified studies in pathology and oncology that applied AI-based algorithms for tumour diagnosis, molecular biomarker detection, and cancer prognosis assessment. These findings were synthesised to provide a comprehensive overview of current AI applications and future directions in cancer pathology. Results: The integration of AI tools in digital pathology is markedly improving the accuracy and efficiency of image analysis, allowing for automated tumour detection and classification, identification of prognostic molecular biomarkers, and prediction of treatment response and patient outcomes. Several barriers for the adoption of AI in clinical workflows, such as data availability, explainability, and regulatory considerations, still persist. There are currently no prognostic or predictive AI-based biomarkers supported by level IA or IB evidence. The ongoing advancements in AI algorithms, particularly foundation models, generalist models and transformer-based deep learning, offer immense promise for the future of cancer research and care. AI is also facilitating the integration of multi-omics data, leading to more precise patient stratification and personalised treatment strategies. Conclusions: The application of AI in pathology is poised to not only enhance the accuracy and efficiency of cancer diagnosis and prognosis but also facilitate the development of personalised treatment strategies. Although barriers to implementation remain, ongoing research and development in this field coupled with addressing ethical and regulatory considerations will likely lead to a future where AI plays an integral role in cancer management and precision medicine. The continued evolution and adoption of AI in pathology and oncology are anticipated to reshape the landscape of cancer care, heralding a new era of precision medicine and improved patient outcomes.</t>
  </si>
  <si>
    <t>Marra, A.; Morganti, S.; Pareja, F.; Campanella, G.; Bibeau, F.; Fuchs, T.; Loda, M.; Parwan, A.; Scarpa, A.; Reis-Filho, J. S.; Curigliano, G.; Marchio, C.; Kather, J. N.</t>
  </si>
  <si>
    <t>Kather, JN (corresponding author), ESMO Head Off, Sci &amp; Med Div, Via Ginevra 4, CH-6900 Lugano, Switzerland.</t>
  </si>
  <si>
    <t>education@esmo.org</t>
  </si>
  <si>
    <t>European Society for Medical Oncology</t>
  </si>
  <si>
    <t>This work was supported by the European Society for Medical Oncology (no grant number) .</t>
  </si>
  <si>
    <t>[Marra, A.; Curigliano, G.] European Inst Oncol IRCCS, Div Early Drug Dev Innovat Therapies, Milan, Italy; [Morganti, S.; Parwan, A.] Dana Farber Canc Inst, Dept Med Oncol, Boston, MA USA; [Morganti, S.] Harvard Med Sch, Dept Med, Boston, MA USA; [Morganti, S.] Broad Inst MIT &amp; Harvard, Gerstner Ctr Canc Diagnost, Boston, MA USA; [Pareja, F.; Reis-Filho, J. S.] Mem Sloan Kettering Canc Ctr, Dept Pathol &amp; Lab Med, New York, NY USA; [Campanella, G.; Fuchs, T.] Mt Sinai Sch Med, Hasso Plattner Inst Digital Hlth, New York, NY USA; [Campanella, G.; Fuchs, T.] Icahn Sch Med Mt Sinai, Dept AI &amp; Human Hlth, New York, NY USA; [Bibeau, F.] Univ Hosp Besancon, Dept Pathol, Besancon, France; [Loda, M.] Weill Cornell Med, Dept Pathol &amp; Lab Med, New York, NY USA; [Loda, M.] Univ Oxford, Nuffield Dept Surg Sci, Oxford, England; [Loda, M.] Dana Farber Canc Inst, Dept Oncol Pathol, Boston, MA USA; [Loda, M.] Harvard Med Sch, Boston, MA USA; [Parwan, A.] Ohio State Univ, Wexner Med Ctr, Dept Pathol, Columbus, OH USA; [Scarpa, A.] Univ &amp; Hosp Trust Verona, Dept Diagnost &amp; Publ Hlth, Sect Pathol, Verona, Italy; [Scarpa, A.] Univ Verona, ARC Net Res Ctr, Verona, Italy; [Curigliano, G.] Univ Milan, Dept Oncol &amp; Hematooncol, Milan, Italy; [Curigliano, G.] FPO IRCCS, Candiolo Canc Inst, Candiolo, Italy; [Marchio, C.] Univ Turin, Dept Med Sci, Turin, Italy; [Kather, J. N.] Tech Univ Dresden, Med Fac Carl Gustav Carus, Else Kroener Fresenius Ctr Digital Hlth, Dresden, Germany; [Kather, J. N.] Tech Univ Dresden, Univ Hosp, Dept Med 1, Dresden, Germany; [Kather, J. N.] Tech Univ Dresden, Fac Med Carl Gustav Carus, Dresden, Germany; [Kather, J. N.] Univ Hosp Heidelberg, Natl Ctr Tumor Dis NCT, Med Oncol, Heidelberg, Germany; [Fuchs, T.] Elly Lilly, Indianapolis, IN USA; [Reis-Filho, J. S.] AstraZeneca, Canc Biomarker Dev, Gaithersburg, MD USA</t>
  </si>
  <si>
    <t>IRCCS European Institute of Oncology (IEO); Harvard University; Harvard University Medical Affiliates; Dana-Farber Cancer Institute; Harvard University; Harvard Medical School; Harvard University; Massachusetts Institute of Technology (MIT); Broad Institute; Memorial Sloan Kettering Cancer Center; Icahn School of Medicine at Mount Sinai; Icahn School of Medicine at Mount Sinai; Universite Marie et Louis Pasteur; CHU Besancon; Cornell University; Weill Cornell Medicine; University of Oxford; Harvard University; Harvard University Medical Affiliates; Dana-Farber Cancer Institute; Harvard University; Harvard Medical School; University System of Ohio; Ohio State University; University of Verona; Azienda Ospedaliera Universitaria Integrata Verona; University of Verona; University of Milan; IRCCS Fondazione del Piemonte per l'Oncologia; University of Turin; Technische Universitat Dresden; Carl Gustav Carus University Hospital; Technische Universitat Dresden; Carl Gustav Carus University Hospital; Technische Universitat Dresden; Ruprecht Karls University Heidelberg; Helmholtz Association; National Center for Tumor Diseases; German Cancer Research Center (DKFZ); AstraZeneca</t>
  </si>
  <si>
    <t>Artificial intelligence entering the pathology arena in oncology: current applications and future perspectives</t>
  </si>
  <si>
    <t>ANNALS OF ONCOLOGY</t>
  </si>
  <si>
    <t>pathology; oncology; biomarkers; arti fi cial intelligence; deep learning</t>
  </si>
  <si>
    <t>MULTIMODAL DATA INTEGRATION; PROSTATE-CANCER; COLORECTAL-CANCER; MICROSATELLITE INSTABILITY; MOLECULAR SUBTYPES; FOUNDATION MODEL; PREDICTION; RECURRENCE; IMAGES; CLASSIFICATION</t>
  </si>
  <si>
    <t>Morganti, Stefania/AAB-1145-2021; Marra, Antonio/HLQ-2867-2023; Curigliano, Giuseppe/D-3371-2018; Kather, Jakob Nikolas/D-4279-2015; Marchio, Caterina/J-9152-2016</t>
  </si>
  <si>
    <t>Pareja, Fresia/0000-0003-3748-8049; Morganti, Stefania/0000-0001-5284-9944; Marra, Antonio/0000-0002-7310-7824; Kather, Jakob Nikolas/0000-0002-3730-5348</t>
  </si>
  <si>
    <t>165</t>
  </si>
  <si>
    <t>0923-7534</t>
  </si>
  <si>
    <t>1569-8041</t>
  </si>
  <si>
    <t>ANN ONCOL</t>
  </si>
  <si>
    <t>Ann. Oncol.</t>
  </si>
  <si>
    <t>712</t>
  </si>
  <si>
    <t>725</t>
  </si>
  <si>
    <t>10.1016/j.annonc.2025.03.006</t>
  </si>
  <si>
    <t>http://dx.doi.org/10.1016/j.annonc.2025.03.006</t>
  </si>
  <si>
    <t>4BK1J</t>
  </si>
  <si>
    <t>40307127</t>
  </si>
  <si>
    <t>WOS:001514003600002</t>
  </si>
  <si>
    <t>Chatterjee, S; Bhattacharya, M; Pal, S; Lee, SS; Chakraborty, C</t>
  </si>
  <si>
    <t>ChatGPT has quickly popularized since its release in November 2022. Currently, large language models (LLMs) and ChatGPT have been applied in various domains of medical science, including in cardiology, nephrology, orthopedics, ophthalmology, gastroenterology, and radiology. Researchers are exploring the potential of LLMs and ChatGPT for clinicians and surgeons in every domain. This study discusses how ChatGPT can help orthopedic clinicians and surgeons perform various medical tasks. LLMs and ChatGPT can help the patient community by providing suggestions and diagnostic guidelines. In this study, the use of LLMs and ChatGPT to enhance and expand the field of orthopedics, including orthopedic education, surgery, and research, is explored. Present LLMs have several shortcomings, which are discussed herein. However, next-generation and future domain-specific LLMs are expected to be more potent and transform patients' quality of life.</t>
  </si>
  <si>
    <t>Chatterjee, Srijan; Bhattacharya, Manojit; Pal, Soumen; Lee, Sang-Soo; Chakraborty, Chiranjib</t>
  </si>
  <si>
    <t>Lee, SS (corresponding author), Hallym Univ, Chuncheon Sacred Heart Hosp, Inst Skeletal Aging &amp; Orthoped Surg, Chuncheon Si 24252, Gangwon Do, South Korea.; Chakraborty, C (corresponding author), Adamas Univ, Sch Life Sci &amp; Biotechnol, Dept Biotechnol, Kolkata 700126, West Bengal, India.</t>
  </si>
  <si>
    <t>123sslee@gmail.com; drchiranjib@yahoo.com</t>
  </si>
  <si>
    <t>Hallym University Research Fund; Basic Science Research Program through the National Research Foundation of Korea (NRF) - Ministry of Education [NRF- 2020R1I1A3074575]</t>
  </si>
  <si>
    <t>Hallym University Research Fund; Basic Science Research Program through the National Research Foundation of Korea (NRF) - Ministry of Education (National Research Foundation of Korea, Ministry of Education (MOE), Republic of Korea)</t>
  </si>
  <si>
    <t>This study was supported by Hallym University Research Fund and by Basic Science Research Program through the National Research Foundation of Korea (NRF) funded by the Ministry of Education (NRF- 2020R1I1A3074575).</t>
  </si>
  <si>
    <t>[Chatterjee, Srijan; Lee, Sang-Soo] Hallym Univ, Chuncheon Sacred Heart Hosp, Inst Skeletal Aging &amp; Orthoped Surg, Chuncheon Si 24252, Gangwon Do, South Korea; [Bhattacharya, Manojit] Fakir Mohan Univ, Dept Zool, Balasore 756020, Odisha, India; [Pal, Soumen] Vellore Inst Technol, Sch Mech Engn, Vellore, Tamil Nadu, India; [Chakraborty, Chiranjib] Adamas Univ, Sch Life Sci &amp; Biotechnol, Dept Biotechnol, Kolkata 700126, West Bengal, India</t>
  </si>
  <si>
    <t>Hallym University; Fakir Mohan University; Vellore Institute of Technology (VIT); VIT Vellore</t>
  </si>
  <si>
    <t>ChatGPT and large language models in orthopedics: from education and surgery to research</t>
  </si>
  <si>
    <t>JOURNAL OF EXPERIMENTAL ORTHOPAEDICS</t>
  </si>
  <si>
    <t>Large language models; ChatGPT; Orthopedics; Concern</t>
  </si>
  <si>
    <t>ARTIFICIAL-INTELLIGENCE</t>
  </si>
  <si>
    <t>Lee, Sang-Soo/LTD-5070-2024; Bhattacharya, Manojit/A-2027-2012; Chakraborty, Chiranjib/J-4847-2013</t>
  </si>
  <si>
    <t>Bhattacharya, Manojit/0000-0001-9669-1835; Chatterjee, Srijan/0000-0002-8282-8324; Chakraborty, Chiranjib/0000-0002-3958-239X</t>
  </si>
  <si>
    <t>2197-1153</t>
  </si>
  <si>
    <t>J EXP ORTHOP</t>
  </si>
  <si>
    <t>J Exp. Orthop.</t>
  </si>
  <si>
    <t>DEC 1 2023</t>
  </si>
  <si>
    <t>10.1186/s40634-023-00700-1</t>
  </si>
  <si>
    <t>http://dx.doi.org/10.1186/s40634-023-00700-1</t>
  </si>
  <si>
    <t>Orthopedics; Surgery</t>
  </si>
  <si>
    <t>Z4UE4</t>
  </si>
  <si>
    <t>38038796</t>
  </si>
  <si>
    <t>WOS:001112035900001</t>
  </si>
  <si>
    <t>Parvin, N; Joo, SW; Jung, JH; Mandal, TK</t>
  </si>
  <si>
    <t>Multimodal artificial intelligence (AI) is driving a paradigm shift in modern biomedicine by seamlessly integrating heterogeneous data sources such as medical imaging, genomic information, and electronic health records. This review explores the transformative impact of multimodal AI across three pivotal areas: biomaterials science, medical diagnostics, and personalized medicine. In the realm of biomaterials, AI facilitates the design of patient-specific solutions tailored for tissue engineering, drug delivery, and regenerative therapies. Advanced tools like AlphaFold have significantly improved protein structure prediction, enabling the creation of biomaterials with enhanced biological compatibility. In diagnostics, AI systems synthesize multimodal inputs combining imaging, molecular markers, and clinical data-to improve diagnostic precision and support early disease detection. For precision medicine, AI integrates data from wearable technologies, continuous monitoring systems, and individualized health profiles to inform targeted therapeutic strategies. Despite its promise, the integration of AI into clinical practice presents challenges such as ensuring data security, meeting regulatory standards, and promoting algorithmic transparency. Addressing ethical issues including bias and equitable access remains critical. Nonetheless, the convergence of AI and biotechnology continues to shape a future where healthcare is more predictive, personalized, and responsive.</t>
  </si>
  <si>
    <t>Parvin, Nargish; Joo, Sang Woo; Jung, Jae Hak; Mandal, Tapas K.</t>
  </si>
  <si>
    <t>Mandal, TK (corresponding author), Yeungnam Univ, Sch Mech Engn, Gyongsan 38541, South Korea.; Jung, JH; Mandal, TK (corresponding author), Yeungnam Univ, Sch Chem Engn, Gyongsan 38541, South Korea.</t>
  </si>
  <si>
    <t>tps.mndl@gmail.com; swjoo1@gmail.com; nargish.parvin@gmail.com; jhjung@ynu.ac.kr</t>
  </si>
  <si>
    <t>National Research Foundation of Korea; Korean government</t>
  </si>
  <si>
    <t>National Research Foundation of Korea (National Research Foundation of Korea); Korean government (Korean Government)</t>
  </si>
  <si>
    <t>This study was made possible through research funding from the National Research Foundation of Korea (NRF-2019R1A5A8080290), supported by the Korean government.</t>
  </si>
  <si>
    <t>[Parvin, Nargish; Joo, Sang Woo; Mandal, Tapas K.] Yeungnam Univ, Sch Mech Engn, Gyongsan 38541, South Korea; [Jung, Jae Hak; Mandal, Tapas K.] Yeungnam Univ, Sch Chem Engn, Gyongsan 38541, South Korea</t>
  </si>
  <si>
    <t>Yeungnam University; Yeungnam University</t>
  </si>
  <si>
    <t>Multimodal AI in Biomedicine: Pioneering the Future of Biomaterials, Diagnostics, and Personalized Healthcare</t>
  </si>
  <si>
    <t>NANOMATERIALS</t>
  </si>
  <si>
    <t>multimodal AI; biomaterials science; AlphaFold; wearable healthcare; regenerative medicine</t>
  </si>
  <si>
    <t>ARTIFICIAL-INTELLIGENCE; CANCER; DISCOVERY</t>
  </si>
  <si>
    <t>MANDAL, TAPAS/L-5154-2019</t>
  </si>
  <si>
    <t>MANDAL, TAPAS/0000-0003-2615-8618; Parvin, Nargish/0000-0002-1209-1507</t>
  </si>
  <si>
    <t>288</t>
  </si>
  <si>
    <t>67</t>
  </si>
  <si>
    <t>2079-4991</t>
  </si>
  <si>
    <t>NANOMATERIALS-BASEL</t>
  </si>
  <si>
    <t>Nanomaterials</t>
  </si>
  <si>
    <t>JUN 10 2025</t>
  </si>
  <si>
    <t>895</t>
  </si>
  <si>
    <t>10.3390/nano15120895</t>
  </si>
  <si>
    <t>http://dx.doi.org/10.3390/nano15120895</t>
  </si>
  <si>
    <t>Chemistry, Multidisciplinary; Nanoscience &amp; Nanotechnology; Materials Science, Multidisciplinary; Physics, Applied</t>
  </si>
  <si>
    <t>Chemistry; Science &amp; Technology - Other Topics; Materials Science; Physics</t>
  </si>
  <si>
    <t>4CQ3P</t>
  </si>
  <si>
    <t>40559258</t>
  </si>
  <si>
    <t>WOS:001514845000001</t>
  </si>
  <si>
    <t>Simon, BD; Ozyoruk, KB; Gelikman, DG; Harmon, SA; Türkbey, B</t>
  </si>
  <si>
    <t>With the ongoing revolution of artificial intelligence (AI) in medicine, the impact of AI in radiology is more pronounced than ever. An increasing number of technical and clinical AI-focused studies are published each day. As these tools inevitably affect patient care and physician practices, it is crucial that radiologists become more familiar with the leading strategies and underlying principles of AI. Multimodal AI models can combine both imaging and clinical metadata and are quickly becoming a popular approach that is being integrated into the medical ecosystem. This narrative review covers major concepts of multimodal AI through the lens of recent literature. We discuss emerging frameworks, including graph neural networks, which allow for explicit learning from non-Euclidean relationships, and transformers, which allow for parallel computation that scales, highlighting existing literature and advocating for a focus on emerging architectures. We also identify key pitfalls in current studies, including issues with taxonomy, data scarcity, and bias. By informing radiologists and biomedical AI experts about existing practices and challenges, we hope to guide the next wave of imaging-based multimodal AI research.</t>
  </si>
  <si>
    <t>Simon, Benjamin D.; Ozyoruk, Kutsev Bengisu; Gelikman, David G.; Harmon, Stephanie A.; Turkbey, Baris</t>
  </si>
  <si>
    <t>Türkbey, B (corresponding author), NCI, Mol Imaging Branch, NIH, Bethesda, MD 20892 USA.</t>
  </si>
  <si>
    <t>turkbeyi@mail.nih.gov</t>
  </si>
  <si>
    <t>[Simon, Benjamin D.; Ozyoruk, Kutsev Bengisu; Gelikman, David G.; Harmon, Stephanie A.; Turkbey, Baris] NCI, Mol Imaging Branch, NIH, Bethesda, MD 20892 USA; [Simon, Benjamin D.] Univ Oxford, Inst Biomed Engn, Dept Engn Sci, Oxford, England</t>
  </si>
  <si>
    <t>National Institutes of Health (NIH) - USA; NIH National Cancer Institute (NCI); University of Oxford</t>
  </si>
  <si>
    <t>The future of multimodal artificial intelligence models for integrating imaging and clinical metadata: a narrative review</t>
  </si>
  <si>
    <t>Artificial intelligence; cancer research; multimodal; pathology; radiology</t>
  </si>
  <si>
    <t>CANCER; BIAS</t>
  </si>
  <si>
    <t>Ozyoruk, Kutsev Bengisu/HRA-3061-2023; Gelikman, David/PLS-5905-2026</t>
  </si>
  <si>
    <t>Simon, Benjamin D/0000-0002-8658-9711</t>
  </si>
  <si>
    <t>312</t>
  </si>
  <si>
    <t>10.4274/dir.2024.242631</t>
  </si>
  <si>
    <t>http://dx.doi.org/10.4274/dir.2024.242631</t>
  </si>
  <si>
    <t>4YK0E</t>
  </si>
  <si>
    <t>39354728</t>
  </si>
  <si>
    <t>WOS:001529623000001</t>
  </si>
  <si>
    <t>Khan, RF; Lee, BD; Lee, MS</t>
  </si>
  <si>
    <t>Background and Objective: Transformers, which have been widely recognized as state-of-the-art tools in natural language processing (NLP), have also come to be recognized for their value in computer vision tasks. With this increasing popularity, they have also been extensively researched in the more complex medical imaging domain. The associated developments have resulted in transformers being on par with sought-after convolution neural networks, particularly for medical image segmentation. Methods combining both types of networks have proven to be especially successful in capturing local and global contexts, thereby significantly boosting their performances in various segmentation problems. Motivated by this success, we have attempted to survey the consequential research focused on innovative transformer networks, specifically those designed to cater to medical image segmentation in an efficient manner.Methods: Databases like Google Scholar, arxiv, ResearchGate, Microsoft Academic, and Semantic Scholar have been utilized to find recent developments in this field. Specifically, research in the English language from 2021 to 2023 was considered.Key Content and Findings: In this survey, we look into the different types of architectures and attention mechanisms that uniquely improve performance and the structures that are in place to handle complex medical data. Through this survey, we summarize the popular and unconventional transformer-based research as seen through different key angles and analyze quantitatively the strategies that have proven more advanced.Conclusions: We have also attempted to discern existing gaps and challenges within current research, notably highlighting the deficiency of annotated medical data for precise deep learning model training. Furthermore, potential future directions for enhancing transformers' utility in healthcare are outlined, encompassing strategies such as transfer learning and exploiting foundation models for specialized medical image segmentation.</t>
  </si>
  <si>
    <t>Khan, Rabeea Fatma; Lee, Byoung-Dai; Lee, Mu Sook</t>
  </si>
  <si>
    <t>Lee, MS (corresponding author), Keimyung Univ, Dongsan Hosp, Dept Radiol, 1035 Dalgubeol Daero, Daegu 24601, South Korea.</t>
  </si>
  <si>
    <t>musukilee@kmu.ac.kr</t>
  </si>
  <si>
    <t>Kyonggi University's Graduate Research Assistantship 2023; National Research Foundation of Korea (NRF) - Korea government (MSIT) [NRF-2022R1A2C1007169]</t>
  </si>
  <si>
    <t>Kyonggi University's Graduate Research Assistantship 2023; National Research Foundation of Korea (NRF) - Korea government (MSIT) (National Research Foundation of Korea, Ministry of Science &amp; ICT (MMSTI))</t>
  </si>
  <si>
    <t>This work was supported by the Kyonggi University's Graduate Research Assistantship 2023 and the National Research Foundation of Korea (NRF) grant funded by the Korea government (MSIT) (No. NRF-2022R1A2C1007169).</t>
  </si>
  <si>
    <t>[Khan, Rabeea Fatma; Lee, Byoung-Dai] Kyonggi Univ, Grad Sch, Dept Comp Sci, Suwon, South Korea; [Lee, Mu Sook] Keimyung Univ, Dongsan Hosp, Dept Radiol, 1035 Dalgubeol Daero, Daegu 24601, South Korea</t>
  </si>
  <si>
    <t>Kyonggi University; Keimyung University</t>
  </si>
  <si>
    <t>Transformers in medical image segmentation: a narrative review</t>
  </si>
  <si>
    <t>Transformers; medical imaging; deep learning; artificial intelligence (AI); image segmentation</t>
  </si>
  <si>
    <t>Khan, Rabeea Fatma/0000-0003-1902-155X</t>
  </si>
  <si>
    <t>65</t>
  </si>
  <si>
    <t>8747</t>
  </si>
  <si>
    <t>8767</t>
  </si>
  <si>
    <t>10.21037/qims-23-542</t>
  </si>
  <si>
    <t>http://dx.doi.org/10.21037/qims-23-542</t>
  </si>
  <si>
    <t>GN3W7</t>
  </si>
  <si>
    <t>38106306</t>
  </si>
  <si>
    <t>WOS:001153319900085</t>
  </si>
  <si>
    <t>Rajjoub, R; Arroyave, JS; Zaidat, B; Ahmed, W; Mejia, MR; Tang, JS; Kim, JS; Cho, SK</t>
  </si>
  <si>
    <t>Study Design Comparative Analysis and Narrative Review. Objective To assess and compare ChatGPT's responses to the clinical questions and recommendations proposed by The 2011 North American Spine Society (NASS) Clinical Guideline for the Diagnosis and Treatment of Degenerative Lumbar Spinal Stenosis (LSS). We explore the advantages and disadvantages of ChatGPT's responses through an updated literature review on spinal stenosis. Methods We prompted ChatGPT with questions from the NASS Evidence-based Clinical Guidelines for LSS and compared its generated responses with the recommendations provided by the guidelines. A review of the literature was performed via PubMed, OVID, and Cochrane on the diagnosis and treatment of lumbar spinal stenosis between January 2012 and April 2023. Results 14 questions proposed by the NASS guidelines for LSS were uploaded into ChatGPT and directly compared to the responses offered by NASS. Three questions were on the definition and history of LSS, one on diagnostic tests, seven on non-surgical interventions and three on surgical interventions. The review process found 40 articles that were selected for inclusion that helped corroborate or contradict the responses that were generated by ChatGPT. Conclusions ChatGPT's responses were similar to findings in the current literature on LSS. These results demonstrate the potential for implementing ChatGPT into the spine surgeon's workplace as a means of supporting the decision-making process for LSS diagnosis and treatment. However, our narrative summary only provides a limited literature review and additional research is needed to standardize our findings as means of validating ChatGPT's use in the clinical space.</t>
  </si>
  <si>
    <t>Rajjoub, Rami; Arroyave, Juan Sebastian; Zaidat, Bashar; Ahmed, Wasil; Mejia, Mateo Restrepo; Tang, Justin; Kim, Jun S.; Cho, Samuel K.</t>
  </si>
  <si>
    <t>Cho, SK (corresponding author), Icahn Sch Med Mt Sinai, Dept Orthoped Surg, 5 East 98th St, New York, NY 10029 USA.</t>
  </si>
  <si>
    <t>samuel.cho@mountsinai.org</t>
  </si>
  <si>
    <t>[Rajjoub, Rami; Arroyave, Juan Sebastian; Zaidat, Bashar; Ahmed, Wasil; Mejia, Mateo Restrepo; Tang, Justin; Kim, Jun S.; Cho, Samuel K.] Icahn Sch Med Mt Sinai, Dept Orthoped Surg, New York, NY USA; [Cho, Samuel K.] Icahn Sch Med Mt Sinai, Dept Orthoped Surg, 5 East 98th St, New York, NY 10029 USA</t>
  </si>
  <si>
    <t>Icahn School of Medicine at Mount Sinai; Icahn School of Medicine at Mount Sinai</t>
  </si>
  <si>
    <t>ChatGPT and its Role in the Decision-Making for the Diagnosis and Treatment of Lumbar Spinal Stenosis: A Comparative Analysis and Narrative Review</t>
  </si>
  <si>
    <t>GLOBAL SPINE JOURNAL</t>
  </si>
  <si>
    <t>lumbar stenosis; clinical guidelines; artificial intelligence; large language models; spine; decision-making</t>
  </si>
  <si>
    <t>NATURAL-HISTORY; INJECTIONS; FUSION; TRIAL; METAANALYSIS; MRI</t>
  </si>
  <si>
    <t>Arroyave Villada, Juan Sebastian/0009-0003-9480-0657; Tang, Justin/0000-0003-4544-3262; Restrepo Mejia, Mateo/0009-0003-0457-3308; Rajjoub, Rami/0009-0005-2990-7874</t>
  </si>
  <si>
    <t>SAGE PUBLICATIONS LTD</t>
  </si>
  <si>
    <t>1 OLIVERS YARD, 55 CITY ROAD, LONDON EC1Y 1SP, ENGLAND</t>
  </si>
  <si>
    <t>2192-5682</t>
  </si>
  <si>
    <t>2192-5690</t>
  </si>
  <si>
    <t>GLOB SPINE J</t>
  </si>
  <si>
    <t>Glob. Spine J.</t>
  </si>
  <si>
    <t>998</t>
  </si>
  <si>
    <t>1017</t>
  </si>
  <si>
    <t>10.1177/21925682231195783</t>
  </si>
  <si>
    <t>http://dx.doi.org/10.1177/21925682231195783</t>
  </si>
  <si>
    <t>Clinical Neurology; Orthopedics</t>
  </si>
  <si>
    <t>Neurosciences &amp; Neurology; Orthopedics</t>
  </si>
  <si>
    <t>NB5P2</t>
  </si>
  <si>
    <t>37560946</t>
  </si>
  <si>
    <t>WOS:001046514200001</t>
  </si>
  <si>
    <t>Fahrner, LJ; Chen, E; Topol, E; Rajpurkar, P</t>
  </si>
  <si>
    <t>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</si>
  <si>
    <t>Fahrner, L. John; Chen, Emma; Topol, Eric; Rajpurkar, Pranav</t>
  </si>
  <si>
    <t>Rajpurkar, P (corresponding author), Harvard Med Sch, Dept Biomed Informat, Cambridge, MA 02115 USA.</t>
  </si>
  <si>
    <t>National Institutes of Health [UL1 TR001114]</t>
  </si>
  <si>
    <t>We thank Sid Dogra, Vish Rao, Rohit Reddy, and Hong-Yu Zhou for their feed-back. E.T. was funded by the National Institutes of Health National grant UL1 TR001114.</t>
  </si>
  <si>
    <t>[Fahrner, L. John; Chen, Emma; Rajpurkar, Pranav] Harvard Med Sch, Dept Biomed Informat, Cambridge, MA 02115 USA; [Topol, Eric] Scripps Res, La Jolla, CA USA</t>
  </si>
  <si>
    <t>Scripps Research Institute</t>
  </si>
  <si>
    <t>The generative era of medical AI</t>
  </si>
  <si>
    <t>CELL</t>
  </si>
  <si>
    <t>FOUNDATION MODEL; DISEASE; CANCER; DESIGN; RISK</t>
  </si>
  <si>
    <t>Topol, Eric J./JOZ-4372-2023</t>
  </si>
  <si>
    <t>Rajpurkar, Pranav/0000-0002-8030-3727; Fahrner, L John/0009-0004-0391-020X</t>
  </si>
  <si>
    <t>0092-8674</t>
  </si>
  <si>
    <t>1097-4172</t>
  </si>
  <si>
    <t>Cell</t>
  </si>
  <si>
    <t>JUL 10 2025</t>
  </si>
  <si>
    <t>188</t>
  </si>
  <si>
    <t>3648</t>
  </si>
  <si>
    <t>3660</t>
  </si>
  <si>
    <t>10.1016/j.cell.2025.05.018</t>
  </si>
  <si>
    <t>http://dx.doi.org/10.1016/j.cell.2025.05.018</t>
  </si>
  <si>
    <t>Biochemistry &amp; Molecular Biology; Cell Biology</t>
  </si>
  <si>
    <t>5GG7O</t>
  </si>
  <si>
    <t>40645169</t>
  </si>
  <si>
    <t>WOS:001534977300001</t>
  </si>
  <si>
    <t>Bronze</t>
  </si>
  <si>
    <t>Schouten, D; Nicoletti, G; Dille, B; Chia, C; Vendittelli, P; Schuurmans, M; Litjens, G; Khalili, N</t>
  </si>
  <si>
    <t>Recent technological advances in healthcare have led to unprecedented growth in patient data quantity and diversity. While artificial intelligence (AI) models have shown promising results in analyzing individual data modalities, there is increasing recognition that models integrating multiple complementary data sources, socalled multimodal AI, could enhance clinical decision-making. This scoping review examines the landscape of deep learning-based multimodal AI applications across the medical domain, analyzing 432 papers published between 2018 and 2024. We provide an extensive overview of multimodal AI development across different medical disciplines, examining various architectural approaches, fusion strategies, and common application areas. Our analysis reveals that multimodal AI models consistently outperform their unimodal counterparts, with an average improvement of 6.2 percentage points in AUC. However, several challenges persist, including cross-departmental coordination, heterogeneous data characteristics, and incomplete datasets. We critically assess the technical and practical challenges in developing multimodal AI systems and discuss potential strategies for their clinical implementation, including a brief overview of commercially available multimodal AI models for clinical decision-making. Additionally, we identify key factors driving multimodal AI development and propose recommendations to accelerate the field's maturation. This review provides researchers and clinicians with a thorough understanding of the current state, challenges, and future directions of multimodal AI in medicine.</t>
  </si>
  <si>
    <t>Schouten, Daan; Nicoletti, Giulia; Dille, Bas; Chia, Catherine; Vendittelli, Pierpaolo; Schuurmans, Megan; Litjens, Geert; Khalili, Nadieh</t>
  </si>
  <si>
    <t>Schouten, D (corresponding author), Radboud Univ Nijmegen, Med Ctr, Res Inst Med Innovat, Dept Pathol, Nijmegen, Netherlands.</t>
  </si>
  <si>
    <t>Daan.Schouten@radboudumc.nl</t>
  </si>
  <si>
    <t>Dutch Research Council; European Union Horizon Europe Program</t>
  </si>
  <si>
    <t>Acknowledgments This research has been funded by the Dutch Research Council, the European Union Horizon Europe Program, and the Hanarth Fund. We acknowledge Mr. H. J. M. Roels's financial support through a donation to Oncode Institute.</t>
  </si>
  <si>
    <t>[Schouten, Daan; Dille, Bas; Chia, Catherine; Vendittelli, Pierpaolo; Schuurmans, Megan; Litjens, Geert; Khalili, Nadieh] Radboud Univ Nijmegen, Med Ctr, Res Inst Med Innovat, Dept Pathol, Nijmegen, Netherlands; [Nicoletti, Giulia] Polytech Univ Turin, Dept Elect &amp; Telecommun, Turin, Italy; [Nicoletti, Giulia] Univ Turin, Dept Surg Med Sci, Turin, Italy; [Dille, Bas] Erasmus Univ, Med Ctr, Dept Radiol &amp; Nucl Med, Rotterdam, Netherlands; [Chia, Catherine] Erasmus Univ, Med Ctr, Dept Dermatol, Rotterdam, Netherlands; [Chia, Catherine] Erasmus Univ, Med Ctr, Dept Pathol, Rotterdam, Netherlands; [Schouten, Daan; Litjens, Geert] Oncode Inst, Utrecht, Netherlands</t>
  </si>
  <si>
    <t>Radboud University Nijmegen; Polytechnic University of Turin; University of Turin; Erasmus University Rotterdam; Erasmus University Rotterdam - Excl Erasmus MC; Erasmus MC; Erasmus University Rotterdam; Erasmus University Rotterdam - Excl Erasmus MC; Erasmus MC; Erasmus University Rotterdam; Erasmus University Rotterdam - Excl Erasmus MC; Erasmus MC</t>
  </si>
  <si>
    <t>Navigating the landscape of multimodal AI in medicine: A scoping review on technical challenges and clinical applications</t>
  </si>
  <si>
    <t>MEDICAL IMAGE ANALYSIS</t>
  </si>
  <si>
    <t>Multimodal AI; Deep learning; Multimodal data integration; Medical imaging</t>
  </si>
  <si>
    <t>ARTIFICIAL-INTELLIGENCE; OUTCOME PROGNOSIS; CANCER; PREDICTION; DIAGNOSIS; PATHOLOGY; INTEGRATION; ATTENTION; BIOMARKER; IMAGES</t>
  </si>
  <si>
    <t>Chia, Catherine/M-2981-2017; Khalili, Nadieh/AGR-9176-2022; Litjens, Geert/A-2319-2016; NICOLETTI, GIULIA/CAA-1445-2022</t>
  </si>
  <si>
    <t>Chia, Catherine/0000-0003-2387-5793; Khalili, Nadieh/0000-0002-2255-0332; Vendittelli, Pierpaolo/0000-0001-6712-3708; Schouten, Daan/0000-0002-3266-9257; Schuurmans, Megan/0000-0002-4939-6187; NICOLETTI, GIULIA/0000-0003-2013-5933</t>
  </si>
  <si>
    <t>1361-8415</t>
  </si>
  <si>
    <t>1361-8423</t>
  </si>
  <si>
    <t>MED IMAGE ANAL</t>
  </si>
  <si>
    <t>Med. Image Anal.</t>
  </si>
  <si>
    <t>103621</t>
  </si>
  <si>
    <t>10.1016/j.media.2025.103621</t>
  </si>
  <si>
    <t>http://dx.doi.org/10.1016/j.media.2025.103621</t>
  </si>
  <si>
    <t>Computer Science, Artificial Intelligence; Computer Science, Interdisciplinary Applications; Engineering, Biomedical; Radiology, Nuclear Medicine &amp; Medical Imaging</t>
  </si>
  <si>
    <t>Computer Science; Engineering; Radiology, Nuclear Medicine &amp; Medical Imaging</t>
  </si>
  <si>
    <t>3SW4X</t>
  </si>
  <si>
    <t>40482561</t>
  </si>
  <si>
    <t>WOS:001508206500001</t>
  </si>
  <si>
    <t>Huang, JC; Xu, YJ; Wang, Q; Wang, Q; Liang, XX; Wang, F; Zhang, Z; Wei, W; Zhang, BX; Huang, LB; Chang, JR; Ma, LT; Ma, T; Liang, YX; Zhang, J; Guo, J; Jiang, XH; Fan, XX; An, ZL; Li, TT; Li, XF; Shao, ZZ; Qian, TW; Sun, T; Diao, BY; Yang, CG; Yu, CQ; Wu, YQ; Li, MX; Zhang, HF; Zeng, YC; Zhang, ZC; Zhu, ZQ; Lv, YQ; Li, AM; Chen, X; An, B; Xiao, W; Bai, CG; Mao, YX; Yin, ZG; Gui, S; Su, WT; Zhu, YH; Gao, JY; He, XY; Li, YZ; Jin, GY; Ao, X; Zhai, XH; Tan, HR; Yun, LJ; Shi, HQ; Li, J; Fan, CJ; Huang, KH; Harrison, E; Leung, VCM; Qiu, SH; Dong, YJ; Zheng, XL; Wang, G; Zheng, Y; Wang, YZ; Guo, JF; Wang, LZ; Cheng, XQ; Wang, YN; Yang, SL; Fu, MY; Fei, AG</t>
  </si>
  <si>
    <t>Intelligent decision-making (IDM) is a cornerstone of artificial intelligence (AI) designed to automate or augment decision processes. Modern IDM paradigms integrate advanced frameworks to enable intelligent agents to make effective and adaptive choices and decompose complex tasks into manageable steps, such as AI agents and high-level reinforcement learning. Recent advances in multimodal foundation-based approaches unify diverse input modalities-such as vision, language, and sensory data-into a cohesive decision-making process. Foundation models (FMs) have become pivotal in science and industry, transforming decision-making and research capabilities. Their large-scale, multimodal data-processing abilities foster adaptability and interdisciplinary breakthroughs across fields such as healthcare, life sciences, and education. This survey examines IDM's evolution, advanced paradigms with FMs and their transformative impact on decision-making across diverse scientific and industrial domains, highlighting the challenges and opportunities in building efficient, adaptive, and ethical decision systems.</t>
  </si>
  <si>
    <t>Huang, Jincai; Xu, Yongjun; Wang, Qi; Wang, Qi (Cheems); Liang, Xingxing; Wang, Fei; Zhang, Zhao; Wei, Wei; Zhang, Boxuan; Huang, Libo; Chang, Jingru; Ma, Liantao; Ma, Ting; Liang, Yuxuan; Zhang, Jie; Guo, Jian; Jiang, Xuhui; Fan, Xinxin; An, Zhulin; Li, Tingting; Li, Xuefei; Shao, Zezhi; Qian, Tangwen; Sun, Tao; Diao, Boyu; Yang, Chuanguang; Yu, Chenqing; Wu, Yiqing; Li, Mengxian; Zhang, Haifeng; Zeng, Yongcheng; Zhang, Zhicheng; Zhu, Zhengqiu; Lv, Yiqin; Li, Aming; Chen, Xu; An, Bo; Xiao, Wei; Bai, Chenguang; Mao, Yuxing; Yin, Zhigang; Gui, Sheng; Su, Wentao; Zhu, Yinghao; Gao, Junyi; He, Xinyu; Li, Yizhou; Jin, Guangyin; Ao, Xiang; Zhai, Xuehao; Tan, Haoran; Yun, Lijun; Shi, Hongquan; Li, Jun; Fan, Changjun; Huang, Kuihua; Harrison, Ewen; Leung, Victor C. M.; Qiu, Sihang; Dong, Yanjie; Zheng, Xiaolong; Wang, Gang; Zheng, Yu; Wang, Yuanzhuo; Guo, Jiafeng; Wang, Lizhe; Cheng, Xueqi; Wang, Yaonan; Yang, Shanlin; Fu, Mengyin; Fei, Aiguo</t>
  </si>
  <si>
    <t>Wang, YZ; Cheng, XQ (corresponding author), Chinese Acad Sci, Inst Comp Technol, Beijing 100190, Peoples R China.; Wang, G (corresponding author), Beijing Inst Technol, Sch Automat, Beijing 100081, Peoples R China.; Zheng, XL (corresponding author), Chinese Acad Sci, Inst Automat, State Key Lab Multimodal Artificial Intelligence S, Beijing 100190, Peoples R China.; Qiu, SH (corresponding author), Natl Univ Def Technol, Coll Syst Engn, Changsha 410073, Peoples R China.; Wang, YN (corresponding author), Hunan Univ, Coll Elect &amp; Informat Engn, Changsha 410082, Peoples R China.; Wang, LZ (corresponding author), China Univ Geosci, Sch Comp Sci, Wuhan 430078, Peoples R China.; Dong, YJ (corresponding author), Shenzhen MSU BIT Univ, Shenzhen 518172, Peoples R China.; Zheng, Y (corresponding author), JD Technol &amp; JD Intelligent Cities Res, Beijing 101111, Peoples R China.; Yang, SL (corresponding author), Hefei Univ Technol, Sch Management, Hefei 230009, Peoples R China.; Fu, MY (corresponding author), Nanjing Univ Sci &amp; Technol, Nanjing 210094, Peoples R China.; Fei, AG (corresponding author), Beijing Univ Posts &amp; Telecommun, Sch Comp Sci, Natl Pilot Software Engn Sch, Beijing, Peoples R China.; Zheng, XL (corresponding author), Univ Chinese Acad Sci, Beijing 100049, Peoples R China.; Wang, YZ; Guo, JF; Cheng, XQ (corresponding author), State Key Lab AI Safety, Beijing 100190, Peoples R China.</t>
  </si>
  <si>
    <t>ydong@smbu.edu.cn; cxq@ict.ac.cn; xiaolong.zheng@ia.ac.cn; aiguofei@bupt.edu.cn; gangwang@bit.edu.cn; wangyuanzhuo@ict.ac.cn; yangsl@hfut.edu.cn; yaonan@hnu.edu.cn; qiusihang11@nudt.edu.cn; fumy@bit.edu.cn; guojiafeng@ict.ac.cn; msyuzheng@outlook.com; lizhe.wang@gmail.com</t>
  </si>
  <si>
    <t>Key Research and Development Program of Yunnan Province [2023RC3009]; MNR Key Laboratory for Geo-Environmental Monitoring of Greater Bay Area [202202AE090034]; Science and Technology Innovation Key R&amp;D Program of Chongqing [GEMLab-2023001]; China National Postdoctoral Program for Innovative Talents [CSTB2024TIAD-STX0024]; River Talent Recruitment Program of Guangdong Province [BX20240385]</t>
  </si>
  <si>
    <t>Key Research and Development Program of Yunnan Province; MNR Key Laboratory for Geo-Environmental Monitoring of Greater Bay Area; Science and Technology Innovation Key R&amp;D Program of Chongqing; China National Postdoctoral Program for Innovative Talents; River Talent Recruitment Program of Guangdong Province</t>
  </si>
  <si>
    <t>This work was partially supported by the National Natural Science Foundation of China under grant nos. 62372470, 72225011, 62402414, U23B2059, 62173034, 32222070, 62402017, 72421002, 62206303, 62476264, 62406312, 62102266, 52173241, and U23A20468, the National Key Research and Development Program of China (2023YFD1900604) , the Strategic Priority Research Program of the Chinese Academy of Science (XDB0680301) , the Youth Innovation Promotion Association CAS (2023112) , the National High Level Hospital Clinical Research funding (2022-PUMCH-A-014) , the Beijing Natural Science Foundation (4244098) , the Science and Technology Innovation Program of Hunan Province (2023RC3009) , the Key Research and Development Program of Yunnan Province (202202AE090034) , the MNR Key Laboratory for Geo-Environmental Monitoring of Greater Bay Area (GEMLab-2023001) , the Science and Technology Innovation Key R&amp;D Program of Chongqing (CSTB2024TIAD-STX0024) , the China National Postdoctoral Program for Innovative Talents (BX20240385) , and the River Talent Recruitment Program of Guangdong Province (2019ZT08X603) .</t>
  </si>
  <si>
    <t>[Xu, Yongjun; Wang, Qi; Wang, Fei; Zhang, Zhao; Huang, Libo; Fan, Xinxin; An, Zhulin; Li, Tingting; Li, Xuefei; Shao, Zezhi; Qian, Tangwen; Sun, Tao; Diao, Boyu; Yang, Chuanguang; Yu, Chenqing; Wu, Yiqing; Li, Mengxian; Ao, Xiang; Wang, Yuanzhuo; Cheng, Xueqi] Chinese Acad Sci, Inst Comp Technol, Beijing 100190, Peoples R China; [Wang, Qi (Cheems)] Tsinghua Univ, Dept Automat, Beijing 100084, Peoples R China; [Wei, Wei] Huazhong Univ Sci &amp; Technol, Wuhan 430074, Peoples R China; [Zhang, Boxuan; Xiao, Wei; Wang, Gang] Beijing Inst Technol, Sch Automat, Beijing 100081, Peoples R China; [Chang, Jingru] Dalian Polytech Univ, Sch Informat Sci &amp; Engn, Dalian 116034, Peoples R China; [Ma, Liantao; Zhu, Yinghao] Peking Univ, Natl Engn Res Ctr Software Engn, Beijing 100871, Peoples R China; [Ma, Ting] Peking Univ, Sch &amp; Hosp Stomatol, Dept Oral Implantol, Beijing 100081, Peoples R China; [Liang, Yuxuan] Hong Kong Univ Sci &amp; Technol Guangzhou, Guangzhou 511453, Peoples R China; [Zhang, Jie] China Agr Univ, Coll Informat &amp; Elect Engn, Beijing 100083, Peoples R China; [Guo, Jian; Jiang, Xuhui] Int Digital Econ Acad, IDEA Res, Shenzhen 518057, Peoples R China; [Zhang, Haifeng; Zeng, Yongcheng] Chinese Acad Sci, Inst Automat, Beijing 100190, Peoples R China; [Zhang, Zhicheng; Zheng, Xiaolong] Chinese Acad Sci, Inst Automat, State Key Lab Multimodal Artificial Intelligence S, Beijing 100190, Peoples R China; [Lv, Yiqin] Natl Univ Def Technol, Coll Sci, Changsha 410073, Peoples R China; [Li, Aming] Peking Univ, Coll Engn, Ctr Syst &amp; Control, Beijing 100871, Peoples R China; [Chen, Xu] Renmin Univ China, Gaoling Sch Artificial Intelligence, Beijing 100872, Peoples R China; [Huang, Jincai; Zhu, Zhengqiu; Fan, Changjun; Qiu, Sihang] Natl Univ Def Technol, Coll Syst Engn, Changsha 410073, Peoples R China; [Huang, Jincai; Liang, Xingxing; Fan, Changjun; Huang, Kuihua] Natl Univ Def Technol, Lab Big Data &amp; Decis, Changsha 410073, Peoples R China; [An, Bo] Nanyang Technol Univ, Coll Comp &amp; Data Sci, Singapore 639798, Singapore; [Bai, Chenguang; Mao, Yuxing; Yin, Zhigang] Chongqing Univ, Sch Elect Engn, Chongqing 400044, Peoples R China; [Gui, Sheng] Univ Hong Kong, Dept Math, Hong Kong 999077, Peoples R China; [Su, Wentao] Dalian Polytech Univ, Sch Food Sci &amp; Technol, Dalian 116034, Peoples R China; [Gao, Junyi; Harrison, Ewen] Univ Edinburgh, Ctr Med Informat, Edinburgh EH16 4UX, Scotland; [He, Xinyu] Chinese Acad Med Sci &amp; Peking Union Med Coll, Peking Union Med Coll Hosp, Dept Stomatol, Beijing 100730, Peoples R China; [Li, Yizhou] Tsinghua Univ, Yuquan Hosp, Sch Clin Med, Dept Stomatol, Beijing 100040, Peoples R China; [Jin, Guangyin] Natl Innovat Inst Def Technol, Beijing 100091, Peoples R China; [Zhai, Xuehao] Imperial Coll London, Dept Civil &amp; Environm Engn, London SW7 2AZ, England; [Tan, Haoran; Wang, Yaonan] Hunan Univ, Coll Elect &amp; Informat Engn, Changsha 410082, Peoples R China; [Yun, Lijun] HUA Innovat High Tech Hangzhou Co Ltd, Hangzhou 311100, Peoples R China; [Shi, Hongquan] Dalian Naval Acad, Dalian 116018, Peoples R China; [Li, Jun; Wang, Lizhe] China Univ Geosci, Sch Comp Sci, Wuhan 430078, Peoples R China; [Leung, Victor C. M.; Dong, Yanjie] Shenzhen MSU BIT Univ, Shenzhen 518172, Peoples R China; [Zheng, Yu] JD Technol &amp; JD Intelligent Cities Res, Beijing 101111, Peoples R China; [Yang, Shanlin] Hefei Univ Technol, Sch Management, Hefei 230009, Peoples R China; [Fu, Mengyin] Nanjing Univ Sci &amp; Technol, Nanjing 210094, Peoples R China; [Fei, Aiguo] Beijing Univ Posts &amp; Telecommun, Sch Comp Sci, Natl Pilot Software Engn Sch, Beijing, Peoples R China; [Xu, Yongjun; Wang, Qi; Wang, Fei; Fan, Xinxin; An, Zhulin; Li, Xuefei; Diao, Boyu; Yu, Chenqing; Wu, Yiqing; Li, Mengxian; Zhang, Haifeng; Zeng, Yongcheng; Zhang, Zhicheng; Ao, Xiang; Zheng, Xiaolong] Univ Chinese Acad Sci, Beijing 100049, Peoples R China; [Xu, Yongjun; Wang, Qi; Wang, Fei; Fan, Xinxin; An, Zhulin; Diao, Boyu; Ao, Xiang; Wang, Yuanzhuo; Guo, Jiafeng; Cheng, Xueqi] State Key Lab AI Safety, Beijing 100190, Peoples R China; [Li, Aming] Peking Univ, Inst Artificial Intelligence, Ctr Multiagent Res, Beijing 100871, Peoples R China; [Gui, Sheng] Chinese Acad Sci, LSEC, Acad Math &amp; Syst Sci, Beijing 100190, Peoples R China; [Gao, Junyi] Hlth Data Res UK, London NW1 2BE, England; [Zhang, Jie] State Key Lab Efficient Utilizat Agr Water Resourc, Beijing 100083, Peoples R China; [Leung, Victor C. M.] Shenzhen Univ, Shenzhen 518060, Peoples R China; [Leung, Victor C. M.] Univ British Columbia, Vancouver, BC V6T 1Z4, Canada</t>
  </si>
  <si>
    <t>Chinese Academy of Sciences; Institute of Computing Technology, CAS; Tsinghua University; Huazhong University of Science &amp; Technology; Beijing Institute of Technology; Dalian Polytechnic University; Peking University; Peking University; Hong Kong University of Science &amp; Technology (Guangzhou); China Agricultural University; International Digital Economy Academy; Chinese Academy of Sciences; Institute of Automation, CAS; Chinese Academy of Sciences; Institute of Automation, CAS; National University of Defense Technology - China; Peking University; Renmin University of China; National University of Defense Technology - China; National University of Defense Technology - China; Nanyang Technological University; Chongqing University; University of Hong Kong; Dalian Polytechnic University; University of Edinburgh; Chinese Academy of Medical Sciences - Peking Union Medical College; Peking Union Medical College; Peking Union Medical College Hospital; Tsinghua University; Imperial College London; Hunan University; Dalian Naval Academy; China University of Geosciences; Shenzhen MSU-BIT University; Hefei University of Technology; Nanjing University of Science &amp; Technology; Beijing University of Posts &amp; Telecommunications; Chinese Academy of Sciences; University of Chinese Academy of Sciences, CAS; Peking University; Chinese Academy of Sciences; Academy of Mathematics &amp; System Sciences, CAS; Shenzhen University; University of British Columbia</t>
  </si>
  <si>
    <t>Foundation models and intelligent decision-making: Progress, challenges, and perspectives</t>
  </si>
  <si>
    <t>INNOVATION</t>
  </si>
  <si>
    <t>LITHIUM-ION BATTERIES; ARTIFICIAL-INTELLIGENCE; DEEP; CREDIT; OPTIMIZATION; GENERATION; NETWORKS; STATE; GO</t>
  </si>
  <si>
    <t>Jin, Guangyin/GWM-6409-2022; Fan, Xinxin/HCH-7491-2022; Tan, Haoran/HII-9157-2022; Su, Wentao/AAJ-9629-2020; xu, Yongjun/PNH-0793-2026; Huang, Jincai/AAR-9403-2021; Huang, Libo/ABH-9256-2022; Zhu, Yinghao/LQJ-5109-2024; Ma, Liantao/MGV-9545-2025; Li, Aming/N-7404-2017; Wang, Yuanzhuo/A-9114-2012; Liang, Xingxing/AAA-1027-2022; fu, meng/GZG-3120-2022; Cheng, Xueqi/F-1706-2010; Jiang, Xuhui/NWH-3525-2025; Wang, Lizhe/L-7453-2014; Sun, Tao/AAF-4339-2021; Wang, Yao/OLP-9822-2025; Leung, Victor/AGU-2462-2022; Yin, Zhigang/E-4679-2016; /HSB-3056-2023; Ao, Xiang/JYO-6512-2024; Wang, Qi/KBB-7378-2024; Dong, Yanjie/F-1313-2011; Wang, Gang/I-9061-2019</t>
  </si>
  <si>
    <t>Jin, Guangyin/0000-0002-9837-6836; Shao, Zezhi/0000-0002-0815-2768; Huang, Libo/0000-0002-4479-5840; Zhu, Yinghao/0000-0002-2640-6477; Harrison, Ewen Munro/0000-0002-5018-3066; Lv, Yiqin/0000-0003-1181-0212; Yin, Zhigang/0000-0002-1645-9524; Wang, Gang/0000-0002-7266-2412</t>
  </si>
  <si>
    <t>630</t>
  </si>
  <si>
    <t>111</t>
  </si>
  <si>
    <t>2666-6758</t>
  </si>
  <si>
    <t>INNOVATION-AMSTERDAM</t>
  </si>
  <si>
    <t>Innovation-Amsterdam</t>
  </si>
  <si>
    <t>JUN 2 2025</t>
  </si>
  <si>
    <t>100948</t>
  </si>
  <si>
    <t>10.1016/j.xinn.2025.100948</t>
  </si>
  <si>
    <t>http://dx.doi.org/10.1016/j.xinn.2025.100948</t>
  </si>
  <si>
    <t>3OZ0P</t>
  </si>
  <si>
    <t>40528892</t>
  </si>
  <si>
    <t>WOS:001505560800001</t>
  </si>
  <si>
    <t>Zhang, C; Xu, QF; Yu, YR; Zhou, GH; Zeng, KY; Chang, FT; Ding, K</t>
  </si>
  <si>
    <t>Nowadays, Industry 5.0 starts to gain attention, which advocates that intelligent manufacturing should adequately consider the roles and needs of humans. In this context, how to enhance human capabilities or even liberate humans from the processes of perception, learning, decision-making, and execution has been one of the key issues to be addressed in intelligent manufacturing. Large language models (LLMs), as the breakthrough in new-generation artificial intelligence, could provide human-like interaction, reasoning, and replies suitable for various application scenarios, thus demonstrating significant potential to address the above issues by providing aid or becoming partners for humans in perception, learning, decision-making, and execution in intelligent manufacturing. The combination of LLMs and intelligent manufacturing has inherent advantages and is expected to become the next research hotspot. Hence, this paper primarily conducts a systematic literature review on the application of LLMs in intelligent manufacturing to identify the promising research topics with high potential for further investigations. Firstly, this paper reveals the concept, connotation, and foundational architecture of LLMs. Then, several typical and trending interdisciplinary LLM applications, such as healthcare, drug discovery, social &amp; economic, education, and software development, are summarized, on which an LLM-enabled intelligent manufacturing architecture is designed to provide a reference for applying LLMs in intelligent manufacturing. Thirdly, the specific pathways for applying LLMs in intelligent manufacturing are explored from the perspectives of design, production, and service. Finally, this paper identifies the limitations, barriers, and challenges that will be encountered during the research and application of LLMs in intelligent manufacturing, while providing potential research directions to address these limitations, barriers, and challenges.</t>
  </si>
  <si>
    <t>Zhang, Chao; Xu, Qingfeng; Yu, Yongrui; Zhou, Guanghui; Zeng, Keyan; Chang, Fengtian; Ding, Kai</t>
  </si>
  <si>
    <t>Zhou, GH (corresponding author), Xi An Jiao Tong Univ, Sch Mech Engn, Xian 710049, Peoples R China.</t>
  </si>
  <si>
    <t>ghzhou@mail.xjtu.edu.cn</t>
  </si>
  <si>
    <t>National Natural Science Foundation of China [52105530, 52375511, 52475534]; China National Postdoctoral Program for Innovative Talents [BX2021244]; Key Research and Development Program of Shaanxi Province, China [2023-ZDLNY-71]; Fundamental Research Funds for the Central Universities [xzy012022053]</t>
  </si>
  <si>
    <t>National Natural Science Foundation of China (National Natural Science Foundation of China (NSFC)); China National Postdoctoral Program for Innovative Talents; Key Research and Development Program of Shaanxi Province, China; Fundamental Research Funds for the Central Universities (Fundamental Research Funds for the Central Universities)</t>
  </si>
  <si>
    <t>This work was supported by the National Natural Science Foundation of China [grant numbers 52105530, 52375511, 52475534] ; the China National Postdoctoral Program for Innovative Talents [grant number BX2021244] ; the Key Research and Development Program of Shaanxi Province, China [grant number 2023-ZDLNY-71] ; and the Fundamental Research Funds for the Central Universities (grant number xzy012022053) .</t>
  </si>
  <si>
    <t>[Zhang, Chao; Xu, Qingfeng; Yu, Yongrui; Zhou, Guanghui; Zeng, Keyan] Xi An Jiao Tong Univ, State Key Lab Mfg Syst Engn, Xian 710054, Peoples R China; [Zhang, Chao; Xu, Qingfeng; Yu, Yongrui; Zhou, Guanghui; Zeng, Keyan] Xi An Jiao Tong Univ, Sch Mech Engn, Xian 710049, Peoples R China; [Chang, Fengtian; Ding, Kai] Changan Univ, Sch Construct Machinery, Xian 710064, Peoples R China</t>
  </si>
  <si>
    <t>Xi'an Jiaotong University; Xi'an Jiaotong University; Chang'an University</t>
  </si>
  <si>
    <t>A survey on potentials, pathways and challenges of large language models in new-generation intelligent manufacturing</t>
  </si>
  <si>
    <t>ROBOTICS AND COMPUTER-INTEGRATED MANUFACTURING</t>
  </si>
  <si>
    <t>Large language models; Intelligent manufacturing; New-generation artificial intelligence; LLM applications; Industry 5.0</t>
  </si>
  <si>
    <t>Zhang, Chao/PHE-1455-2026; Ding, Kai/KTI-1907-2024</t>
  </si>
  <si>
    <t>Zhang, Chao/0000-0001-8260-1210</t>
  </si>
  <si>
    <t>267</t>
  </si>
  <si>
    <t>PERGAMON-ELSEVIER SCIENCE LTD</t>
  </si>
  <si>
    <t>THE BOULEVARD, LANGFORD LANE, KIDLINGTON, OXFORD OX5 1GB, ENGLAND</t>
  </si>
  <si>
    <t>0736-5845</t>
  </si>
  <si>
    <t>1879-2537</t>
  </si>
  <si>
    <t>ROBOT CIM-INT MANUF</t>
  </si>
  <si>
    <t>Robot. Comput.-Integr. Manuf.</t>
  </si>
  <si>
    <t>92</t>
  </si>
  <si>
    <t>102883</t>
  </si>
  <si>
    <t>10.1016/j.rcim.2024.102883</t>
  </si>
  <si>
    <t>http://dx.doi.org/10.1016/j.rcim.2024.102883</t>
  </si>
  <si>
    <t>Computer Science, Interdisciplinary Applications; Engineering, Manufacturing; Robotics</t>
  </si>
  <si>
    <t>Computer Science; Engineering; Robotics</t>
  </si>
  <si>
    <t>I2C0O</t>
  </si>
  <si>
    <t>WOS:001328374700001</t>
  </si>
  <si>
    <t>Sarumi, OA; Heider, D</t>
  </si>
  <si>
    <t>Recent advancements in Natural Language Processing (NLP) have been significantly driven by the development of Large Language Models (LLMs), representing a substantial leap in language-based technology capabilities. These models, built on sophisticated deep learning architectures, typically transformers, are characterized by billions of parameters and extensive training data, enabling them to achieve high accuracy across various tasks. The transformer architecture of LLMs allows them to effectively handle context and sequential information, which is crucial for understanding and generating human language. Beyond traditional NLP applications, LLMs have shown significant promise in bioinformatics, transforming the field by addressing challenges associated with large and complex biological datasets. In genomics, proteomics, and personalized medicine, LLMs facilitate identifying patterns, predicting protein structures, or understanding genetic variations. This capability is crucial, e.g., for advancing drug discovery, where accurate prediction of molecular interactions is essential. This review discusses the current trends in LLMs research and their potential to revolutionize the field of bioinformatics and accelerate novel discoveries in the life sciences.</t>
  </si>
  <si>
    <t>Sarumi, Oluwafemi A.; Heider, Dominik</t>
  </si>
  <si>
    <t>Heider, D (corresponding author), Univ Munster, Inst Med Informat, Albert Schweitzer Campus, D-48149 Munster, Germany.; Heider, D (corresponding author), Heinrich Heine Univ Duesseldorf, Inst Comp Sci, Graf Adolf Str 63, D-40215 Dusseldorf, Germany.</t>
  </si>
  <si>
    <t>dominik.heider@uni-muenster.de</t>
  </si>
  <si>
    <t>German Federal Ministry of Education and Research (BMBF) [031L0288C]</t>
  </si>
  <si>
    <t>German Federal Ministry of Education and Research (BMBF) (Federal Ministry of Education &amp; Research (BMBF))</t>
  </si>
  <si>
    <t>Funding This work is financially supported by the German Federal Ministry of Education and Research (BMBF) under grant number 031L0288C (Deep Legion) .</t>
  </si>
  <si>
    <t>[Sarumi, Oluwafemi A.; Heider, Dominik] Univ Munster, Inst Med Informat, Albert Schweitzer Campus, D-48149 Munster, Germany; [Sarumi, Oluwafemi A.; Heider, Dominik] Heinrich Heine Univ Duesseldorf, Inst Comp Sci, Graf Adolf Str 63, D-40215 Dusseldorf, Germany</t>
  </si>
  <si>
    <t>University of Munster; Heinrich Heine University Dusseldorf</t>
  </si>
  <si>
    <t>Large language models and their applications in bioinformatics</t>
  </si>
  <si>
    <t>COMPUTATIONAL AND STRUCTURAL BIOTECHNOLOGY JOURNAL</t>
  </si>
  <si>
    <t>Bioinformatics; Large language models; Natural language processing; Omics data</t>
  </si>
  <si>
    <t>Sarumi, Oluwafemi/AAI-3744-2020; Heider, Dominik/F-8545-2010</t>
  </si>
  <si>
    <t>Sarumi, Oluwafemi/0000-0001-6463-1029</t>
  </si>
  <si>
    <t>62</t>
  </si>
  <si>
    <t>2001-0370</t>
  </si>
  <si>
    <t>COMPUT STRUCT BIOTEC</t>
  </si>
  <si>
    <t>Comp. Struct. Biotechnol. J..</t>
  </si>
  <si>
    <t>DEC 2024</t>
  </si>
  <si>
    <t>3498</t>
  </si>
  <si>
    <t>3505</t>
  </si>
  <si>
    <t>10.1016/j.csbj.2024.09.031</t>
  </si>
  <si>
    <t>http://dx.doi.org/10.1016/j.csbj.2024.09.031</t>
  </si>
  <si>
    <t>Biochemistry &amp; Molecular Biology; Biotechnology &amp; Applied Microbiology</t>
  </si>
  <si>
    <t>I7G4L</t>
  </si>
  <si>
    <t>39435343</t>
  </si>
  <si>
    <t>WOS:001331904500001</t>
  </si>
  <si>
    <t>Razzaq, K; Shah, MH</t>
  </si>
  <si>
    <t>Machine learning (ML) and deep learning (DL), subsets of artificial intelligence (AI), are the core technologies that lead significant transformation and innovation in various industries by integrating AI-driven solutions. Understanding ML and DL is essential to logically analyse the applicability of ML and DL and identify their effectiveness in different areas like healthcare, finance, agriculture, manufacturing, and transportation. ML consists of supervised, unsupervised, semi-supervised, and reinforcement learning techniques. On the other hand, DL, a subfield of ML, comprising neural networks (NNs), can deal with complicated datasets in health, autonomous systems, and finance industries. This study presents a holistic view of ML and DL technologies, analysing algorithms and their application's capacity to address real-world problems. The study investigates the real-world application areas in which ML and DL techniques are implemented. Moreover, the study highlights the latest trends and possible future avenues for research and development (R&amp;D), which consist of developing hybrid models, generative AI, and incorporating ML and DL with the latest technologies. The study aims to provide a comprehensive view on ML and DL technologies, which can serve as a reference guide for researchers, industry professionals, practitioners, and policy makers.</t>
  </si>
  <si>
    <t>Razzaq, Kamran; Shah, Mahmood</t>
  </si>
  <si>
    <t>Razzaq, K; Shah, MH (corresponding author), Newcastle Univ, Newcastle Business Sch, Newcastle Upon Tyne NE1 4SE, England.</t>
  </si>
  <si>
    <t>kamran.razzaq@northumbria.ac.uk; mahmood.shah@northumbria.ac.uk</t>
  </si>
  <si>
    <t>[Razzaq, Kamran; Shah, Mahmood] Newcastle Univ, Newcastle Business Sch, Newcastle Upon Tyne NE1 4SE, England</t>
  </si>
  <si>
    <t>Newcastle University - UK</t>
  </si>
  <si>
    <t>Machine Learning and Deep Learning Paradigms: From Techniques to Practical Applications and Research Frontiers</t>
  </si>
  <si>
    <t>COMPUTERS</t>
  </si>
  <si>
    <t>machine learning; deep learning; artificial intelligence; data-driven decision-making; intelligent solutions; data analysis</t>
  </si>
  <si>
    <t>CROP YIELD PREDICTION; TIME-SERIES DATA; NEURAL-NETWORKS</t>
  </si>
  <si>
    <t>Razzaq, Kamran/NGS-6287-2025</t>
  </si>
  <si>
    <t>Razzaq, Kamran/0000-0002-1738-3744; Shah, Mahmood Hussain/0000-0002-1431-3740</t>
  </si>
  <si>
    <t>138</t>
  </si>
  <si>
    <t>2073-431X</t>
  </si>
  <si>
    <t>Computers</t>
  </si>
  <si>
    <t>MAR 6 2025</t>
  </si>
  <si>
    <t>10.3390/computers14030093</t>
  </si>
  <si>
    <t>http://dx.doi.org/10.3390/computers14030093</t>
  </si>
  <si>
    <t>0OC0R</t>
  </si>
  <si>
    <t>WOS:001451972600001</t>
  </si>
</sst>
</file>

<file path=xl/styles.xml><?xml version="1.0" encoding="utf-8"?>
<styleSheet xmlns="http://schemas.openxmlformats.org/spreadsheetml/2006/main">
  <numFmts count="0"/>
  <fonts count="201">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201">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38%2Fs41591-023-02448-8" TargetMode="External" Type="http://schemas.openxmlformats.org/officeDocument/2006/relationships/hyperlink"/><Relationship Id="rId10" Target="https%3A%2F%2Fwww.webofscience.com%2Fwos%2Fwoscc%2Ffull-record%2FWOS%3A001173153100001" TargetMode="External" Type="http://schemas.openxmlformats.org/officeDocument/2006/relationships/hyperlink"/><Relationship Id="rId100" Target="https%3A%2F%2Fwww.webofscience.com%2Fwos%2Fwoscc%2Ffull-record%2FWOS%3A001327443000001" TargetMode="External" Type="http://schemas.openxmlformats.org/officeDocument/2006/relationships/hyperlink"/><Relationship Id="rId101" Target="http%3A%2F%2Fdx.doi.org%2F10.3390%2Fmedicina60030445" TargetMode="External" Type="http://schemas.openxmlformats.org/officeDocument/2006/relationships/hyperlink"/><Relationship Id="rId102" Target="https%3A%2F%2Fwww.webofscience.com%2Fwos%2Fwoscc%2Ffull-record%2FWOS%3A001192531600001" TargetMode="External" Type="http://schemas.openxmlformats.org/officeDocument/2006/relationships/hyperlink"/><Relationship Id="rId103" Target="http%3A%2F%2Fdx.doi.org%2F10.1016%2Fj.artmed.2024.102900" TargetMode="External" Type="http://schemas.openxmlformats.org/officeDocument/2006/relationships/hyperlink"/><Relationship Id="rId104" Target="https%3A%2F%2Fwww.webofscience.com%2Fwos%2Fwoscc%2Ffull-record%2FWOS%3A001257085900001" TargetMode="External" Type="http://schemas.openxmlformats.org/officeDocument/2006/relationships/hyperlink"/><Relationship Id="rId105" Target="http%3A%2F%2Fdx.doi.org%2F10.3352%2Fjeehp.2024.21.6" TargetMode="External" Type="http://schemas.openxmlformats.org/officeDocument/2006/relationships/hyperlink"/><Relationship Id="rId106" Target="https%3A%2F%2Fwww.webofscience.com%2Fwos%2Fwoscc%2Ffull-record%2FWOS%3A001216126300001" TargetMode="External" Type="http://schemas.openxmlformats.org/officeDocument/2006/relationships/hyperlink"/><Relationship Id="rId107" Target="http%3A%2F%2Fdx.doi.org%2F10.3389%2Ffphar.2024.1331062" TargetMode="External" Type="http://schemas.openxmlformats.org/officeDocument/2006/relationships/hyperlink"/><Relationship Id="rId108" Target="https%3A%2F%2Fwww.webofscience.com%2Fwos%2Fwoscc%2Ffull-record%2FWOS%3A001164736100001" TargetMode="External" Type="http://schemas.openxmlformats.org/officeDocument/2006/relationships/hyperlink"/><Relationship Id="rId109" Target="http%3A%2F%2Fdx.doi.org%2F10.3389%2Ffrai.2023.1237704" TargetMode="External" Type="http://schemas.openxmlformats.org/officeDocument/2006/relationships/hyperlink"/><Relationship Id="rId11" Target="http%3A%2F%2Fdx.doi.org%2F10.3390%2Fsu151712983" TargetMode="External" Type="http://schemas.openxmlformats.org/officeDocument/2006/relationships/hyperlink"/><Relationship Id="rId110" Target="https%3A%2F%2Fwww.webofscience.com%2Fwos%2Fwoscc%2Ffull-record%2FWOS%3A001101628500001" TargetMode="External" Type="http://schemas.openxmlformats.org/officeDocument/2006/relationships/hyperlink"/><Relationship Id="rId111" Target="http%3A%2F%2Fdx.doi.org%2F10.1007%2Fs00330-024-11107-6" TargetMode="External" Type="http://schemas.openxmlformats.org/officeDocument/2006/relationships/hyperlink"/><Relationship Id="rId112" Target="https%3A%2F%2Fwww.webofscience.com%2Fwos%2Fwoscc%2Ffull-record%2FWOS%3A001340083300001" TargetMode="External" Type="http://schemas.openxmlformats.org/officeDocument/2006/relationships/hyperlink"/><Relationship Id="rId113" Target="http%3A%2F%2Fdx.doi.org%2F10.1186%2Fs13045-023-01514-5" TargetMode="External" Type="http://schemas.openxmlformats.org/officeDocument/2006/relationships/hyperlink"/><Relationship Id="rId114" Target="https%3A%2F%2Fwww.webofscience.com%2Fwos%2Fwoscc%2Ffull-record%2FWOS%3A001114093100001" TargetMode="External" Type="http://schemas.openxmlformats.org/officeDocument/2006/relationships/hyperlink"/><Relationship Id="rId115" Target="http%3A%2F%2Fdx.doi.org%2F10.3390%2Fhealthcare13060603" TargetMode="External" Type="http://schemas.openxmlformats.org/officeDocument/2006/relationships/hyperlink"/><Relationship Id="rId116" Target="https%3A%2F%2Fwww.webofscience.com%2Fwos%2Fwoscc%2Ffull-record%2FWOS%3A001452063500001" TargetMode="External" Type="http://schemas.openxmlformats.org/officeDocument/2006/relationships/hyperlink"/><Relationship Id="rId117" Target="http%3A%2F%2Fdx.doi.org%2F10.1038%2Fs41586-024-08338-4" TargetMode="External" Type="http://schemas.openxmlformats.org/officeDocument/2006/relationships/hyperlink"/><Relationship Id="rId118" Target="https%3A%2F%2Fwww.webofscience.com%2Fwos%2Fwoscc%2Ffull-record%2FWOS%3A001401945900001" TargetMode="External" Type="http://schemas.openxmlformats.org/officeDocument/2006/relationships/hyperlink"/><Relationship Id="rId119" Target="http%3A%2F%2Fdx.doi.org%2F10.2196%2F53787" TargetMode="External" Type="http://schemas.openxmlformats.org/officeDocument/2006/relationships/hyperlink"/><Relationship Id="rId12" Target="https%3A%2F%2Fwww.webofscience.com%2Fwos%2Fwoscc%2Ffull-record%2FWOS%3A001061927300001" TargetMode="External" Type="http://schemas.openxmlformats.org/officeDocument/2006/relationships/hyperlink"/><Relationship Id="rId120" Target="https%3A%2F%2Fwww.webofscience.com%2Fwos%2Fwoscc%2Ffull-record%2FWOS%3A001226121400001" TargetMode="External" Type="http://schemas.openxmlformats.org/officeDocument/2006/relationships/hyperlink"/><Relationship Id="rId121" Target="http%3A%2F%2Fdx.doi.org%2F10.1109%2FACCESS.2023.3285596" TargetMode="External" Type="http://schemas.openxmlformats.org/officeDocument/2006/relationships/hyperlink"/><Relationship Id="rId122" Target="https%3A%2F%2Fwww.webofscience.com%2Fwos%2Fwoscc%2Ffull-record%2FWOS%3A001020255700001" TargetMode="External" Type="http://schemas.openxmlformats.org/officeDocument/2006/relationships/hyperlink"/><Relationship Id="rId123" Target="http%3A%2F%2Fdx.doi.org%2F10.1016%2Fj.diii.2024.04.003" TargetMode="External" Type="http://schemas.openxmlformats.org/officeDocument/2006/relationships/hyperlink"/><Relationship Id="rId124" Target="https%3A%2F%2Fwww.webofscience.com%2Fwos%2Fwoscc%2Ffull-record%2FWOS%3A001262014700001" TargetMode="External" Type="http://schemas.openxmlformats.org/officeDocument/2006/relationships/hyperlink"/><Relationship Id="rId125" Target="http%3A%2F%2Fdx.doi.org%2F10.1007%2Fs11604-024-01552-0" TargetMode="External" Type="http://schemas.openxmlformats.org/officeDocument/2006/relationships/hyperlink"/><Relationship Id="rId126" Target="https%3A%2F%2Fwww.webofscience.com%2Fwos%2Fwoscc%2Ffull-record%2FWOS%3A001194855800001" TargetMode="External" Type="http://schemas.openxmlformats.org/officeDocument/2006/relationships/hyperlink"/><Relationship Id="rId127" Target="http%3A%2F%2Fdx.doi.org%2F10.1016%2Fj.patter.2024.101028" TargetMode="External" Type="http://schemas.openxmlformats.org/officeDocument/2006/relationships/hyperlink"/><Relationship Id="rId128" Target="https%3A%2F%2Fwww.webofscience.com%2Fwos%2Fwoscc%2Ffull-record%2FWOS%3A001293303300001" TargetMode="External" Type="http://schemas.openxmlformats.org/officeDocument/2006/relationships/hyperlink"/><Relationship Id="rId129" Target="http%3A%2F%2Fdx.doi.org%2F10.1016%2Fj.jik.2024.100517" TargetMode="External" Type="http://schemas.openxmlformats.org/officeDocument/2006/relationships/hyperlink"/><Relationship Id="rId13" Target="http%3A%2F%2Fdx.doi.org%2F10.1038%2Fs41591-024-03434-4" TargetMode="External" Type="http://schemas.openxmlformats.org/officeDocument/2006/relationships/hyperlink"/><Relationship Id="rId130" Target="https%3A%2F%2Fwww.webofscience.com%2Fwos%2Fwoscc%2Ffull-record%2FWOS%3A001276066200001" TargetMode="External" Type="http://schemas.openxmlformats.org/officeDocument/2006/relationships/hyperlink"/><Relationship Id="rId131" Target="http%3A%2F%2Fdx.doi.org%2F10.3390%2Fmath12101504" TargetMode="External" Type="http://schemas.openxmlformats.org/officeDocument/2006/relationships/hyperlink"/><Relationship Id="rId132" Target="https%3A%2F%2Fwww.webofscience.com%2Fwos%2Fwoscc%2Ffull-record%2FWOS%3A001231535600001" TargetMode="External" Type="http://schemas.openxmlformats.org/officeDocument/2006/relationships/hyperlink"/><Relationship Id="rId133" Target="http%3A%2F%2Fdx.doi.org%2F10.1093%2Feurheartj%2Fehad838" TargetMode="External" Type="http://schemas.openxmlformats.org/officeDocument/2006/relationships/hyperlink"/><Relationship Id="rId134" Target="https%3A%2F%2Fwww.webofscience.com%2Fwos%2Fwoscc%2Ffull-record%2FWOS%3A001135440400001" TargetMode="External" Type="http://schemas.openxmlformats.org/officeDocument/2006/relationships/hyperlink"/><Relationship Id="rId135" Target="http%3A%2F%2Fdx.doi.org%2F10.3389%2Ffonc.2023.1268915" TargetMode="External" Type="http://schemas.openxmlformats.org/officeDocument/2006/relationships/hyperlink"/><Relationship Id="rId136" Target="https%3A%2F%2Fwww.webofscience.com%2Fwos%2Fwoscc%2Ffull-record%2FWOS%3A001066934300001" TargetMode="External" Type="http://schemas.openxmlformats.org/officeDocument/2006/relationships/hyperlink"/><Relationship Id="rId137" Target="http%3A%2F%2Fdx.doi.org%2F10.7759%2Fcureus.41435" TargetMode="External" Type="http://schemas.openxmlformats.org/officeDocument/2006/relationships/hyperlink"/><Relationship Id="rId138" Target="https%3A%2F%2Fwww.webofscience.com%2Fwos%2Fwoscc%2Ffull-record%2FWOS%3A001041300400005" TargetMode="External" Type="http://schemas.openxmlformats.org/officeDocument/2006/relationships/hyperlink"/><Relationship Id="rId139" Target="http%3A%2F%2Fdx.doi.org%2F10.1371%2Fjournal.pdig.0000417" TargetMode="External" Type="http://schemas.openxmlformats.org/officeDocument/2006/relationships/hyperlink"/><Relationship Id="rId14" Target="https%3A%2F%2Fwww.webofscience.com%2Fwos%2Fwoscc%2Ffull-record%2FWOS%3A001400818700001" TargetMode="External" Type="http://schemas.openxmlformats.org/officeDocument/2006/relationships/hyperlink"/><Relationship Id="rId140" Target="https%3A%2F%2Fwww.webofscience.com%2Fwos%2Fwoscc%2Ffull-record%2FWOS%3A001417857800001" TargetMode="External" Type="http://schemas.openxmlformats.org/officeDocument/2006/relationships/hyperlink"/><Relationship Id="rId141" Target="http%3A%2F%2Fdx.doi.org%2F10.2196%2F60501" TargetMode="External" Type="http://schemas.openxmlformats.org/officeDocument/2006/relationships/hyperlink"/><Relationship Id="rId142" Target="https%3A%2F%2Fwww.webofscience.com%2Fwos%2Fwoscc%2Ffull-record%2FWOS%3A001318826000005" TargetMode="External" Type="http://schemas.openxmlformats.org/officeDocument/2006/relationships/hyperlink"/><Relationship Id="rId143" Target="http%3A%2F%2Fdx.doi.org%2F10.7150%2Fijms.111780" TargetMode="External" Type="http://schemas.openxmlformats.org/officeDocument/2006/relationships/hyperlink"/><Relationship Id="rId144" Target="https%3A%2F%2Fwww.webofscience.com%2Fwos%2Fwoscc%2Ffull-record%2FWOS%3A001519288100020" TargetMode="External" Type="http://schemas.openxmlformats.org/officeDocument/2006/relationships/hyperlink"/><Relationship Id="rId145" Target="http%3A%2F%2Fdx.doi.org%2F10.1146%2Fannurev-biodatasci-102523-103801" TargetMode="External" Type="http://schemas.openxmlformats.org/officeDocument/2006/relationships/hyperlink"/><Relationship Id="rId146" Target="https%3A%2F%2Fwww.webofscience.com%2Fwos%2Fwoscc%2Ffull-record%2FWOS%3A001301315300012" TargetMode="External" Type="http://schemas.openxmlformats.org/officeDocument/2006/relationships/hyperlink"/><Relationship Id="rId147" Target="http%3A%2F%2Fdx.doi.org%2F10.1038%2Fs41746-023-00965-x" TargetMode="External" Type="http://schemas.openxmlformats.org/officeDocument/2006/relationships/hyperlink"/><Relationship Id="rId148" Target="https%3A%2F%2Fwww.webofscience.com%2Fwos%2Fwoscc%2Ffull-record%2FWOS%3A001112300500001" TargetMode="External" Type="http://schemas.openxmlformats.org/officeDocument/2006/relationships/hyperlink"/><Relationship Id="rId149" Target="http%3A%2F%2Fdx.doi.org%2F10.1093%2Fcid%2Fciad407" TargetMode="External" Type="http://schemas.openxmlformats.org/officeDocument/2006/relationships/hyperlink"/><Relationship Id="rId15" Target="http%3A%2F%2Fdx.doi.org%2F10.1038%2Fs41746-023-00979-5" TargetMode="External" Type="http://schemas.openxmlformats.org/officeDocument/2006/relationships/hyperlink"/><Relationship Id="rId150" Target="https%3A%2F%2Fwww.webofscience.com%2Fwos%2Fwoscc%2Ffull-record%2FWOS%3A001186676300003" TargetMode="External" Type="http://schemas.openxmlformats.org/officeDocument/2006/relationships/hyperlink"/><Relationship Id="rId151" Target="http%3A%2F%2Fdx.doi.org%2F10.21037%2Fqims-23-892" TargetMode="External" Type="http://schemas.openxmlformats.org/officeDocument/2006/relationships/hyperlink"/><Relationship Id="rId152" Target="https%3A%2F%2Fwww.webofscience.com%2Fwos%2Fwoscc%2Ffull-record%2FWOS%3A001110462900001" TargetMode="External" Type="http://schemas.openxmlformats.org/officeDocument/2006/relationships/hyperlink"/><Relationship Id="rId153" Target="http%3A%2F%2Fdx.doi.org%2F10.1016%2Fj.ccell.2025.12.009" TargetMode="External" Type="http://schemas.openxmlformats.org/officeDocument/2006/relationships/hyperlink"/><Relationship Id="rId154" Target="https%3A%2F%2Fwww.webofscience.com%2Fwos%2Fwoscc%2Ffull-record%2FWOS%3A001668256400001" TargetMode="External" Type="http://schemas.openxmlformats.org/officeDocument/2006/relationships/hyperlink"/><Relationship Id="rId155" Target="http%3A%2F%2Fdx.doi.org%2F10.2196%2F52073" TargetMode="External" Type="http://schemas.openxmlformats.org/officeDocument/2006/relationships/hyperlink"/><Relationship Id="rId156" Target="https%3A%2F%2Fwww.webofscience.com%2Fwos%2Fwoscc%2Ffull-record%2FWOS%3A001207177300001" TargetMode="External" Type="http://schemas.openxmlformats.org/officeDocument/2006/relationships/hyperlink"/><Relationship Id="rId157" Target="http%3A%2F%2Fdx.doi.org%2F10.3390%2Fhealthcare12080825" TargetMode="External" Type="http://schemas.openxmlformats.org/officeDocument/2006/relationships/hyperlink"/><Relationship Id="rId158" Target="https%3A%2F%2Fwww.webofscience.com%2Fwos%2Fwoscc%2Ffull-record%2FWOS%3A001210559800001" TargetMode="External" Type="http://schemas.openxmlformats.org/officeDocument/2006/relationships/hyperlink"/><Relationship Id="rId159" Target="http%3A%2F%2Fdx.doi.org%2F10.3390%2Fmedicina60010148" TargetMode="External" Type="http://schemas.openxmlformats.org/officeDocument/2006/relationships/hyperlink"/><Relationship Id="rId16" Target="https%3A%2F%2Fwww.webofscience.com%2Fwos%2Fwoscc%2Ffull-record%2FWOS%3A001129970300001" TargetMode="External" Type="http://schemas.openxmlformats.org/officeDocument/2006/relationships/hyperlink"/><Relationship Id="rId160" Target="https%3A%2F%2Fwww.webofscience.com%2Fwos%2Fwoscc%2Ffull-record%2FWOS%3A001151060000001" TargetMode="External" Type="http://schemas.openxmlformats.org/officeDocument/2006/relationships/hyperlink"/><Relationship Id="rId161" Target="http%3A%2F%2Fdx.doi.org%2F10.1186%2Fs41747-024-00529-y" TargetMode="External" Type="http://schemas.openxmlformats.org/officeDocument/2006/relationships/hyperlink"/><Relationship Id="rId162" Target="https%3A%2F%2Fwww.webofscience.com%2Fwos%2Fwoscc%2Ffull-record%2FWOS%3A001358950200001" TargetMode="External" Type="http://schemas.openxmlformats.org/officeDocument/2006/relationships/hyperlink"/><Relationship Id="rId163" Target="http%3A%2F%2Fdx.doi.org%2F10.3390%2Fjcm13113041" TargetMode="External" Type="http://schemas.openxmlformats.org/officeDocument/2006/relationships/hyperlink"/><Relationship Id="rId164" Target="https%3A%2F%2Fwww.webofscience.com%2Fwos%2Fwoscc%2Ffull-record%2FWOS%3A001245439000001" TargetMode="External" Type="http://schemas.openxmlformats.org/officeDocument/2006/relationships/hyperlink"/><Relationship Id="rId165" Target="http%3A%2F%2Fdx.doi.org%2F10.1371%2Fjournal.pdig.0000503" TargetMode="External" Type="http://schemas.openxmlformats.org/officeDocument/2006/relationships/hyperlink"/><Relationship Id="rId166" Target="https%3A%2F%2Fwww.webofscience.com%2Fwos%2Fwoscc%2Ffull-record%2FWOS%3A001416901200001" TargetMode="External" Type="http://schemas.openxmlformats.org/officeDocument/2006/relationships/hyperlink"/><Relationship Id="rId167" Target="http%3A%2F%2Fdx.doi.org%2F10.1038%2Fs41698-024-00517-w" TargetMode="External" Type="http://schemas.openxmlformats.org/officeDocument/2006/relationships/hyperlink"/><Relationship Id="rId168" Target="https%3A%2F%2Fwww.webofscience.com%2Fwos%2Fwoscc%2Ffull-record%2FWOS%3A001153275900001" TargetMode="External" Type="http://schemas.openxmlformats.org/officeDocument/2006/relationships/hyperlink"/><Relationship Id="rId169" Target="http%3A%2F%2Fdx.doi.org%2F10.7759%2Fcureus.48643" TargetMode="External" Type="http://schemas.openxmlformats.org/officeDocument/2006/relationships/hyperlink"/><Relationship Id="rId17" Target="http%3A%2F%2Fdx.doi.org%2F10.1001%2Fjama.2023.14217" TargetMode="External" Type="http://schemas.openxmlformats.org/officeDocument/2006/relationships/hyperlink"/><Relationship Id="rId170" Target="https%3A%2F%2Fwww.webofscience.com%2Fwos%2Fwoscc%2Ffull-record%2FWOS%3A001106501800008" TargetMode="External" Type="http://schemas.openxmlformats.org/officeDocument/2006/relationships/hyperlink"/><Relationship Id="rId171" Target="http%3A%2F%2Fdx.doi.org%2F10.1038%2Fs44222-025-00279-5" TargetMode="External" Type="http://schemas.openxmlformats.org/officeDocument/2006/relationships/hyperlink"/><Relationship Id="rId172" Target="https%3A%2F%2Fwww.webofscience.com%2Fwos%2Fwoscc%2Ffull-record%2FWOS%3A001461160700001" TargetMode="External" Type="http://schemas.openxmlformats.org/officeDocument/2006/relationships/hyperlink"/><Relationship Id="rId173" Target="http%3A%2F%2Fdx.doi.org%2F10.3390%2Fapp15063166" TargetMode="External" Type="http://schemas.openxmlformats.org/officeDocument/2006/relationships/hyperlink"/><Relationship Id="rId174" Target="https%3A%2F%2Fwww.webofscience.com%2Fwos%2Fwoscc%2Ffull-record%2FWOS%3A001453395700001" TargetMode="External" Type="http://schemas.openxmlformats.org/officeDocument/2006/relationships/hyperlink"/><Relationship Id="rId175" Target="http%3A%2F%2Fdx.doi.org%2F10.1038%2Fs41591-025-03983-2" TargetMode="External" Type="http://schemas.openxmlformats.org/officeDocument/2006/relationships/hyperlink"/><Relationship Id="rId176" Target="https%3A%2F%2Fwww.webofscience.com%2Fwos%2Fwoscc%2Ffull-record%2FWOS%3A001587423500001" TargetMode="External" Type="http://schemas.openxmlformats.org/officeDocument/2006/relationships/hyperlink"/><Relationship Id="rId177" Target="http%3A%2F%2Fdx.doi.org%2F10.1016%2Fj.annonc.2025.03.006" TargetMode="External" Type="http://schemas.openxmlformats.org/officeDocument/2006/relationships/hyperlink"/><Relationship Id="rId178" Target="https%3A%2F%2Fwww.webofscience.com%2Fwos%2Fwoscc%2Ffull-record%2FWOS%3A001514003600002" TargetMode="External" Type="http://schemas.openxmlformats.org/officeDocument/2006/relationships/hyperlink"/><Relationship Id="rId179" Target="http%3A%2F%2Fdx.doi.org%2F10.1186%2Fs40634-023-00700-1" TargetMode="External" Type="http://schemas.openxmlformats.org/officeDocument/2006/relationships/hyperlink"/><Relationship Id="rId18" Target="https%3A%2F%2Fwww.webofscience.com%2Fwos%2Fwoscc%2Ffull-record%2FWOS%3A001046738800002" TargetMode="External" Type="http://schemas.openxmlformats.org/officeDocument/2006/relationships/hyperlink"/><Relationship Id="rId180" Target="https%3A%2F%2Fwww.webofscience.com%2Fwos%2Fwoscc%2Ffull-record%2FWOS%3A001112035900001" TargetMode="External" Type="http://schemas.openxmlformats.org/officeDocument/2006/relationships/hyperlink"/><Relationship Id="rId181" Target="http%3A%2F%2Fdx.doi.org%2F10.3390%2Fnano15120895" TargetMode="External" Type="http://schemas.openxmlformats.org/officeDocument/2006/relationships/hyperlink"/><Relationship Id="rId182" Target="https%3A%2F%2Fwww.webofscience.com%2Fwos%2Fwoscc%2Ffull-record%2FWOS%3A001514845000001" TargetMode="External" Type="http://schemas.openxmlformats.org/officeDocument/2006/relationships/hyperlink"/><Relationship Id="rId183" Target="http%3A%2F%2Fdx.doi.org%2F10.4274%2Fdir.2024.242631" TargetMode="External" Type="http://schemas.openxmlformats.org/officeDocument/2006/relationships/hyperlink"/><Relationship Id="rId184" Target="https%3A%2F%2Fwww.webofscience.com%2Fwos%2Fwoscc%2Ffull-record%2FWOS%3A001529623000001" TargetMode="External" Type="http://schemas.openxmlformats.org/officeDocument/2006/relationships/hyperlink"/><Relationship Id="rId185" Target="http%3A%2F%2Fdx.doi.org%2F10.21037%2Fqims-23-542" TargetMode="External" Type="http://schemas.openxmlformats.org/officeDocument/2006/relationships/hyperlink"/><Relationship Id="rId186" Target="https%3A%2F%2Fwww.webofscience.com%2Fwos%2Fwoscc%2Ffull-record%2FWOS%3A001153319900085" TargetMode="External" Type="http://schemas.openxmlformats.org/officeDocument/2006/relationships/hyperlink"/><Relationship Id="rId187" Target="http%3A%2F%2Fdx.doi.org%2F10.1177%2F21925682231195783" TargetMode="External" Type="http://schemas.openxmlformats.org/officeDocument/2006/relationships/hyperlink"/><Relationship Id="rId188" Target="https%3A%2F%2Fwww.webofscience.com%2Fwos%2Fwoscc%2Ffull-record%2FWOS%3A001046514200001" TargetMode="External" Type="http://schemas.openxmlformats.org/officeDocument/2006/relationships/hyperlink"/><Relationship Id="rId189" Target="http%3A%2F%2Fdx.doi.org%2F10.1016%2Fj.cell.2025.05.018" TargetMode="External" Type="http://schemas.openxmlformats.org/officeDocument/2006/relationships/hyperlink"/><Relationship Id="rId19" Target="http%3A%2F%2Fdx.doi.org%2F10.1056%2FNEJMra2301725" TargetMode="External" Type="http://schemas.openxmlformats.org/officeDocument/2006/relationships/hyperlink"/><Relationship Id="rId190" Target="https%3A%2F%2Fwww.webofscience.com%2Fwos%2Fwoscc%2Ffull-record%2FWOS%3A001534977300001" TargetMode="External" Type="http://schemas.openxmlformats.org/officeDocument/2006/relationships/hyperlink"/><Relationship Id="rId191" Target="http%3A%2F%2Fdx.doi.org%2F10.1016%2Fj.media.2025.103621" TargetMode="External" Type="http://schemas.openxmlformats.org/officeDocument/2006/relationships/hyperlink"/><Relationship Id="rId192" Target="https%3A%2F%2Fwww.webofscience.com%2Fwos%2Fwoscc%2Ffull-record%2FWOS%3A001508206500001" TargetMode="External" Type="http://schemas.openxmlformats.org/officeDocument/2006/relationships/hyperlink"/><Relationship Id="rId193" Target="http%3A%2F%2Fdx.doi.org%2F10.1016%2Fj.xinn.2025.100948" TargetMode="External" Type="http://schemas.openxmlformats.org/officeDocument/2006/relationships/hyperlink"/><Relationship Id="rId194" Target="https%3A%2F%2Fwww.webofscience.com%2Fwos%2Fwoscc%2Ffull-record%2FWOS%3A001505560800001" TargetMode="External" Type="http://schemas.openxmlformats.org/officeDocument/2006/relationships/hyperlink"/><Relationship Id="rId195" Target="http%3A%2F%2Fdx.doi.org%2F10.1016%2Fj.rcim.2024.102883" TargetMode="External" Type="http://schemas.openxmlformats.org/officeDocument/2006/relationships/hyperlink"/><Relationship Id="rId196" Target="https%3A%2F%2Fwww.webofscience.com%2Fwos%2Fwoscc%2Ffull-record%2FWOS%3A001328374700001" TargetMode="External" Type="http://schemas.openxmlformats.org/officeDocument/2006/relationships/hyperlink"/><Relationship Id="rId197" Target="http%3A%2F%2Fdx.doi.org%2F10.1016%2Fj.csbj.2024.09.031" TargetMode="External" Type="http://schemas.openxmlformats.org/officeDocument/2006/relationships/hyperlink"/><Relationship Id="rId198" Target="https%3A%2F%2Fwww.webofscience.com%2Fwos%2Fwoscc%2Ffull-record%2FWOS%3A001331904500001" TargetMode="External" Type="http://schemas.openxmlformats.org/officeDocument/2006/relationships/hyperlink"/><Relationship Id="rId199" Target="http%3A%2F%2Fdx.doi.org%2F10.3390%2Fcomputers14030093" TargetMode="External" Type="http://schemas.openxmlformats.org/officeDocument/2006/relationships/hyperlink"/><Relationship Id="rId2" Target="https%3A%2F%2Fwww.webofscience.com%2Fwos%2Fwoscc%2Ffull-record%2FWOS%3A001032505800003" TargetMode="External" Type="http://schemas.openxmlformats.org/officeDocument/2006/relationships/hyperlink"/><Relationship Id="rId20" Target="https%3A%2F%2Fwww.webofscience.com%2Fwos%2Fwoscc%2Ffull-record%2FWOS%3A001003925600007" TargetMode="External" Type="http://schemas.openxmlformats.org/officeDocument/2006/relationships/hyperlink"/><Relationship Id="rId200" Target="https%3A%2F%2Fwww.webofscience.com%2Fwos%2Fwoscc%2Ffull-record%2FWOS%3A001451972600001" TargetMode="External" Type="http://schemas.openxmlformats.org/officeDocument/2006/relationships/hyperlink"/><Relationship Id="rId21" Target="http%3A%2F%2Fdx.doi.org%2F10.1007%2Fs11846-023-00696-z" TargetMode="External" Type="http://schemas.openxmlformats.org/officeDocument/2006/relationships/hyperlink"/><Relationship Id="rId22" Target="https%3A%2F%2Fwww.webofscience.com%2Fwos%2Fwoscc%2Ffull-record%2FWOS%3A001079655700001" TargetMode="External" Type="http://schemas.openxmlformats.org/officeDocument/2006/relationships/hyperlink"/><Relationship Id="rId23" Target="http%3A%2F%2Fdx.doi.org%2F10.2196%2F48785" TargetMode="External" Type="http://schemas.openxmlformats.org/officeDocument/2006/relationships/hyperlink"/><Relationship Id="rId24" Target="https%3A%2F%2Fwww.webofscience.com%2Fwos%2Fwoscc%2Ffull-record%2FWOS%3A001104608100001" TargetMode="External" Type="http://schemas.openxmlformats.org/officeDocument/2006/relationships/hyperlink"/><Relationship Id="rId25" Target="http%3A%2F%2Fdx.doi.org%2F10.1016%2Fj.isci.2024.109713" TargetMode="External" Type="http://schemas.openxmlformats.org/officeDocument/2006/relationships/hyperlink"/><Relationship Id="rId26" Target="https%3A%2F%2Fwww.webofscience.com%2Fwos%2Fwoscc%2Ffull-record%2FWOS%3A001240677700001" TargetMode="External" Type="http://schemas.openxmlformats.org/officeDocument/2006/relationships/hyperlink"/><Relationship Id="rId27" Target="http%3A%2F%2Fdx.doi.org%2F10.3390%2Finformatics11030057" TargetMode="External" Type="http://schemas.openxmlformats.org/officeDocument/2006/relationships/hyperlink"/><Relationship Id="rId28" Target="https%3A%2F%2Fwww.webofscience.com%2Fwos%2Fwoscc%2Ffull-record%2FWOS%3A001323615500001" TargetMode="External" Type="http://schemas.openxmlformats.org/officeDocument/2006/relationships/hyperlink"/><Relationship Id="rId29" Target="http%3A%2F%2Fdx.doi.org%2F10.1148%2Fradiol.232756" TargetMode="External" Type="http://schemas.openxmlformats.org/officeDocument/2006/relationships/hyperlink"/><Relationship Id="rId3" Target="http%3A%2F%2Fdx.doi.org%2F10.3390%2Fhealthcare11060887" TargetMode="External" Type="http://schemas.openxmlformats.org/officeDocument/2006/relationships/hyperlink"/><Relationship Id="rId30" Target="https%3A%2F%2Fwww.webofscience.com%2Fwos%2Fwoscc%2Ffull-record%2FWOS%3A001186842800006" TargetMode="External" Type="http://schemas.openxmlformats.org/officeDocument/2006/relationships/hyperlink"/><Relationship Id="rId31" Target="http%3A%2F%2Fdx.doi.org%2F10.1038%2Fs41746-024-01157-x" TargetMode="External" Type="http://schemas.openxmlformats.org/officeDocument/2006/relationships/hyperlink"/><Relationship Id="rId32" Target="https%3A%2F%2Fwww.webofscience.com%2Fwos%2Fwoscc%2Ffull-record%2FWOS%3A001264773400001" TargetMode="External" Type="http://schemas.openxmlformats.org/officeDocument/2006/relationships/hyperlink"/><Relationship Id="rId33" Target="http%3A%2F%2Fdx.doi.org%2F10.1093%2Fbib%2Fbbad493" TargetMode="External" Type="http://schemas.openxmlformats.org/officeDocument/2006/relationships/hyperlink"/><Relationship Id="rId34" Target="https%3A%2F%2Fwww.webofscience.com%2Fwos%2Fwoscc%2Ffull-record%2FWOS%3A001173375300024" TargetMode="External" Type="http://schemas.openxmlformats.org/officeDocument/2006/relationships/hyperlink"/><Relationship Id="rId35" Target="http%3A%2F%2Fdx.doi.org%2F10.1002%2Fhcs2.61" TargetMode="External" Type="http://schemas.openxmlformats.org/officeDocument/2006/relationships/hyperlink"/><Relationship Id="rId36" Target="https%3A%2F%2Fwww.webofscience.com%2Fwos%2Fwoscc%2Ffull-record%2FWOS%3A001292774500007" TargetMode="External" Type="http://schemas.openxmlformats.org/officeDocument/2006/relationships/hyperlink"/><Relationship Id="rId37" Target="http%3A%2F%2Fdx.doi.org%2F10.7326%2FM23-2772" TargetMode="External" Type="http://schemas.openxmlformats.org/officeDocument/2006/relationships/hyperlink"/><Relationship Id="rId38" Target="https%3A%2F%2Fwww.webofscience.com%2Fwos%2Fwoscc%2Ffull-record%2FWOS%3A001156408300001" TargetMode="External" Type="http://schemas.openxmlformats.org/officeDocument/2006/relationships/hyperlink"/><Relationship Id="rId39" Target="http%3A%2F%2Fdx.doi.org%2F10.1186%2Fs13000-024-01464-7" TargetMode="External" Type="http://schemas.openxmlformats.org/officeDocument/2006/relationships/hyperlink"/><Relationship Id="rId4" Target="https%3A%2F%2Fwww.webofscience.com%2Fwos%2Fwoscc%2Ffull-record%2FWOS%3A000956609200001" TargetMode="External" Type="http://schemas.openxmlformats.org/officeDocument/2006/relationships/hyperlink"/><Relationship Id="rId40" Target="https%3A%2F%2Fwww.webofscience.com%2Fwos%2Fwoscc%2Ffull-record%2FWOS%3A001174262700001" TargetMode="External" Type="http://schemas.openxmlformats.org/officeDocument/2006/relationships/hyperlink"/><Relationship Id="rId41" Target="http%3A%2F%2Fdx.doi.org%2F10.1186%2Fs12911-025-02954-4" TargetMode="External" Type="http://schemas.openxmlformats.org/officeDocument/2006/relationships/hyperlink"/><Relationship Id="rId42" Target="https%3A%2F%2Fwww.webofscience.com%2Fwos%2Fwoscc%2Ffull-record%2FWOS%3A001461570300001" TargetMode="External" Type="http://schemas.openxmlformats.org/officeDocument/2006/relationships/hyperlink"/><Relationship Id="rId43" Target="http%3A%2F%2Fdx.doi.org%2F10.1038%2Fs41746-023-00879-8" TargetMode="External" Type="http://schemas.openxmlformats.org/officeDocument/2006/relationships/hyperlink"/><Relationship Id="rId44" Target="https%3A%2F%2Fwww.webofscience.com%2Fwos%2Fwoscc%2Ffull-record%2FWOS%3A001039067300001" TargetMode="External" Type="http://schemas.openxmlformats.org/officeDocument/2006/relationships/hyperlink"/><Relationship Id="rId45" Target="http%3A%2F%2Fdx.doi.org%2F10.1038%2Fs41368-023-00239-y" TargetMode="External" Type="http://schemas.openxmlformats.org/officeDocument/2006/relationships/hyperlink"/><Relationship Id="rId46" Target="https%3A%2F%2Fwww.webofscience.com%2Fwos%2Fwoscc%2Ffull-record%2FWOS%3A001039606900001" TargetMode="External" Type="http://schemas.openxmlformats.org/officeDocument/2006/relationships/hyperlink"/><Relationship Id="rId47" Target="http%3A%2F%2Fdx.doi.org%2F10.3390%2Ffi15090286" TargetMode="External" Type="http://schemas.openxmlformats.org/officeDocument/2006/relationships/hyperlink"/><Relationship Id="rId48" Target="https%3A%2F%2Fwww.webofscience.com%2Fwos%2Fwoscc%2Ffull-record%2FWOS%3A001074041500001" TargetMode="External" Type="http://schemas.openxmlformats.org/officeDocument/2006/relationships/hyperlink"/><Relationship Id="rId49" Target="http%3A%2F%2Fdx.doi.org%2F10.1093%2Fpnasnexus%2Fpgae191" TargetMode="External" Type="http://schemas.openxmlformats.org/officeDocument/2006/relationships/hyperlink"/><Relationship Id="rId5" Target="http%3A%2F%2Fdx.doi.org%2F10.1038%2Fs41591-022-01981-2" TargetMode="External" Type="http://schemas.openxmlformats.org/officeDocument/2006/relationships/hyperlink"/><Relationship Id="rId50" Target="https%3A%2F%2Fwww.webofscience.com%2Fwos%2Fwoscc%2Ffull-record%2FWOS%3A001244186000002" TargetMode="External" Type="http://schemas.openxmlformats.org/officeDocument/2006/relationships/hyperlink"/><Relationship Id="rId51" Target="http%3A%2F%2Fdx.doi.org%2F10.1111%2Fjerd.13046" TargetMode="External" Type="http://schemas.openxmlformats.org/officeDocument/2006/relationships/hyperlink"/><Relationship Id="rId52" Target="https%3A%2F%2Fwww.webofscience.com%2Fwos%2Fwoscc%2Ffull-record%2FWOS%3A000963062700001" TargetMode="External" Type="http://schemas.openxmlformats.org/officeDocument/2006/relationships/hyperlink"/><Relationship Id="rId53" Target="http%3A%2F%2Fdx.doi.org%2F10.1111%2Fmedu.15402" TargetMode="External" Type="http://schemas.openxmlformats.org/officeDocument/2006/relationships/hyperlink"/><Relationship Id="rId54" Target="https%3A%2F%2Fwww.webofscience.com%2Fwos%2Fwoscc%2Ffull-record%2FWOS%3A001205086700001" TargetMode="External" Type="http://schemas.openxmlformats.org/officeDocument/2006/relationships/hyperlink"/><Relationship Id="rId55" Target="http%3A%2F%2Fdx.doi.org%2F10.1038%2Fs41587-024-02127-0" TargetMode="External" Type="http://schemas.openxmlformats.org/officeDocument/2006/relationships/hyperlink"/><Relationship Id="rId56" Target="https%3A%2F%2Fwww.webofscience.com%2Fwos%2Fwoscc%2Ffull-record%2FWOS%3A001164046000030" TargetMode="External" Type="http://schemas.openxmlformats.org/officeDocument/2006/relationships/hyperlink"/><Relationship Id="rId57" Target="http%3A%2F%2Fdx.doi.org%2F10.1038%2Fs41698-024-00575-0" TargetMode="External" Type="http://schemas.openxmlformats.org/officeDocument/2006/relationships/hyperlink"/><Relationship Id="rId58" Target="https%3A%2F%2Fwww.webofscience.com%2Fwos%2Fwoscc%2Ffull-record%2FWOS%3A001195148700001" TargetMode="External" Type="http://schemas.openxmlformats.org/officeDocument/2006/relationships/hyperlink"/><Relationship Id="rId59" Target="http%3A%2F%2Fdx.doi.org%2F10.1038%2Fs41591-024-02970-3" TargetMode="External" Type="http://schemas.openxmlformats.org/officeDocument/2006/relationships/hyperlink"/><Relationship Id="rId6" Target="https%3A%2F%2Fwww.webofscience.com%2Fwos%2Fwoscc%2Ffull-record%2FWOS%3A000854720900010" TargetMode="External" Type="http://schemas.openxmlformats.org/officeDocument/2006/relationships/hyperlink"/><Relationship Id="rId60" Target="https%3A%2F%2Fwww.webofscience.com%2Fwos%2Fwoscc%2Ffull-record%2FWOS%3A001221557100005" TargetMode="External" Type="http://schemas.openxmlformats.org/officeDocument/2006/relationships/hyperlink"/><Relationship Id="rId61" Target="http%3A%2F%2Fdx.doi.org%2F10.3389%2Ffmed.2024.1477898" TargetMode="External" Type="http://schemas.openxmlformats.org/officeDocument/2006/relationships/hyperlink"/><Relationship Id="rId62" Target="https%3A%2F%2Fwww.webofscience.com%2Fwos%2Fwoscc%2Ffull-record%2FWOS%3A001352014800001" TargetMode="External" Type="http://schemas.openxmlformats.org/officeDocument/2006/relationships/hyperlink"/><Relationship Id="rId63" Target="http%3A%2F%2Fdx.doi.org%2F10.3390%2Finformatics11030058" TargetMode="External" Type="http://schemas.openxmlformats.org/officeDocument/2006/relationships/hyperlink"/><Relationship Id="rId64" Target="https%3A%2F%2Fwww.webofscience.com%2Fwos%2Fwoscc%2Ffull-record%2FWOS%3A001323267400001" TargetMode="External" Type="http://schemas.openxmlformats.org/officeDocument/2006/relationships/hyperlink"/><Relationship Id="rId65" Target="http%3A%2F%2Fdx.doi.org%2F10.4274%2Fdir.2023.232417" TargetMode="External" Type="http://schemas.openxmlformats.org/officeDocument/2006/relationships/hyperlink"/><Relationship Id="rId66" Target="https%3A%2F%2Fwww.webofscience.com%2Fwos%2Fwoscc%2Ffull-record%2FWOS%3A001222062400006" TargetMode="External" Type="http://schemas.openxmlformats.org/officeDocument/2006/relationships/hyperlink"/><Relationship Id="rId67" Target="http%3A%2F%2Fdx.doi.org%2F10.3390%2Feducsci13020150" TargetMode="External" Type="http://schemas.openxmlformats.org/officeDocument/2006/relationships/hyperlink"/><Relationship Id="rId68" Target="https%3A%2F%2Fwww.webofscience.com%2Fwos%2Fwoscc%2Ffull-record%2FWOS%3A000938601500001" TargetMode="External" Type="http://schemas.openxmlformats.org/officeDocument/2006/relationships/hyperlink"/><Relationship Id="rId69" Target="http%3A%2F%2Fdx.doi.org%2F10.1016%2Fj.identj.2025.02.005" TargetMode="External" Type="http://schemas.openxmlformats.org/officeDocument/2006/relationships/hyperlink"/><Relationship Id="rId7" Target="http%3A%2F%2Fdx.doi.org%2F10.1038%2Fs43856-023-00370-1" TargetMode="External" Type="http://schemas.openxmlformats.org/officeDocument/2006/relationships/hyperlink"/><Relationship Id="rId70" Target="https%3A%2F%2Fwww.webofscience.com%2Fwos%2Fwoscc%2Ffull-record%2FWOS%3A001468197900001" TargetMode="External" Type="http://schemas.openxmlformats.org/officeDocument/2006/relationships/hyperlink"/><Relationship Id="rId71" Target="http%3A%2F%2Fdx.doi.org%2F10.3390%2Fhealthcare11202776" TargetMode="External" Type="http://schemas.openxmlformats.org/officeDocument/2006/relationships/hyperlink"/><Relationship Id="rId72" Target="https%3A%2F%2Fwww.webofscience.com%2Fwos%2Fwoscc%2Ffull-record%2FWOS%3A001089835500001" TargetMode="External" Type="http://schemas.openxmlformats.org/officeDocument/2006/relationships/hyperlink"/><Relationship Id="rId73" Target="http%3A%2F%2Fdx.doi.org%2F10.1016%2Fj.jpurol.2023.05.018" TargetMode="External" Type="http://schemas.openxmlformats.org/officeDocument/2006/relationships/hyperlink"/><Relationship Id="rId74" Target="https%3A%2F%2Fwww.webofscience.com%2Fwos%2Fwoscc%2Ffull-record%2FWOS%3A001086204600001" TargetMode="External" Type="http://schemas.openxmlformats.org/officeDocument/2006/relationships/hyperlink"/><Relationship Id="rId75" Target="http%3A%2F%2Fdx.doi.org%2F10.2196%2F57400" TargetMode="External" Type="http://schemas.openxmlformats.org/officeDocument/2006/relationships/hyperlink"/><Relationship Id="rId76" Target="https%3A%2F%2Fwww.webofscience.com%2Fwos%2Fwoscc%2Ffull-record%2FWOS%3A001344635600002" TargetMode="External" Type="http://schemas.openxmlformats.org/officeDocument/2006/relationships/hyperlink"/><Relationship Id="rId77" Target="http%3A%2F%2Fdx.doi.org%2F10.1016%2Fj.jinf.2023.07.006" TargetMode="External" Type="http://schemas.openxmlformats.org/officeDocument/2006/relationships/hyperlink"/><Relationship Id="rId78" Target="https%3A%2F%2Fwww.webofscience.com%2Fwos%2Fwoscc%2Ffull-record%2FWOS%3A001072431400001" TargetMode="External" Type="http://schemas.openxmlformats.org/officeDocument/2006/relationships/hyperlink"/><Relationship Id="rId79" Target="http%3A%2F%2Fdx.doi.org%2F10.1007%2Fs10916-024-02045-3" TargetMode="External" Type="http://schemas.openxmlformats.org/officeDocument/2006/relationships/hyperlink"/><Relationship Id="rId8" Target="https%3A%2F%2Fwww.webofscience.com%2Fwos%2Fwoscc%2Ffull-record%2FWOS%3A001078603900001" TargetMode="External" Type="http://schemas.openxmlformats.org/officeDocument/2006/relationships/hyperlink"/><Relationship Id="rId80" Target="https%3A%2F%2Fwww.webofscience.com%2Fwos%2Fwoscc%2Ffull-record%2FWOS%3A001162831400001" TargetMode="External" Type="http://schemas.openxmlformats.org/officeDocument/2006/relationships/hyperlink"/><Relationship Id="rId81" Target="http%3A%2F%2Fdx.doi.org%2F10.2196%2F48996" TargetMode="External" Type="http://schemas.openxmlformats.org/officeDocument/2006/relationships/hyperlink"/><Relationship Id="rId82" Target="https%3A%2F%2Fwww.webofscience.com%2Fwos%2Fwoscc%2Ffull-record%2FWOS%3A001164749800001" TargetMode="External" Type="http://schemas.openxmlformats.org/officeDocument/2006/relationships/hyperlink"/><Relationship Id="rId83" Target="http%3A%2F%2Fdx.doi.org%2F10.1080%2F17460441.2023.2273839" TargetMode="External" Type="http://schemas.openxmlformats.org/officeDocument/2006/relationships/hyperlink"/><Relationship Id="rId84" Target="https%3A%2F%2Fwww.webofscience.com%2Fwos%2Fwoscc%2Ffull-record%2FWOS%3A001092053200001" TargetMode="External" Type="http://schemas.openxmlformats.org/officeDocument/2006/relationships/hyperlink"/><Relationship Id="rId85" Target="http%3A%2F%2Fdx.doi.org%2F10.2196%2F52597" TargetMode="External" Type="http://schemas.openxmlformats.org/officeDocument/2006/relationships/hyperlink"/><Relationship Id="rId86" Target="https%3A%2F%2Fwww.webofscience.com%2Fwos%2Fwoscc%2Ffull-record%2FWOS%3A001382690300002" TargetMode="External" Type="http://schemas.openxmlformats.org/officeDocument/2006/relationships/hyperlink"/><Relationship Id="rId87" Target="http%3A%2F%2Fdx.doi.org%2F10.3390%2Fdiagnostics14010109" TargetMode="External" Type="http://schemas.openxmlformats.org/officeDocument/2006/relationships/hyperlink"/><Relationship Id="rId88" Target="https%3A%2F%2Fwww.webofscience.com%2Fwos%2Fwoscc%2Ffull-record%2FWOS%3A001139253400001" TargetMode="External" Type="http://schemas.openxmlformats.org/officeDocument/2006/relationships/hyperlink"/><Relationship Id="rId89" Target="http%3A%2F%2Fdx.doi.org%2F10.1093%2Fbib%2Fbbaf355" TargetMode="External" Type="http://schemas.openxmlformats.org/officeDocument/2006/relationships/hyperlink"/><Relationship Id="rId9" Target="http%3A%2F%2Fdx.doi.org%2F10.1109%2FACCESS.2024.3365742" TargetMode="External" Type="http://schemas.openxmlformats.org/officeDocument/2006/relationships/hyperlink"/><Relationship Id="rId90" Target="https%3A%2F%2Fwww.webofscience.com%2Fwos%2Fwoscc%2Ffull-record%2FWOS%3A001541443400001" TargetMode="External" Type="http://schemas.openxmlformats.org/officeDocument/2006/relationships/hyperlink"/><Relationship Id="rId91" Target="http%3A%2F%2Fdx.doi.org%2F10.3390%2Fime2030019" TargetMode="External" Type="http://schemas.openxmlformats.org/officeDocument/2006/relationships/hyperlink"/><Relationship Id="rId92" Target="https%3A%2F%2Fwww.webofscience.com%2Fwos%2Fwoscc%2Ffull-record%2FWOS%3A001621179500001" TargetMode="External" Type="http://schemas.openxmlformats.org/officeDocument/2006/relationships/hyperlink"/><Relationship Id="rId93" Target="http%3A%2F%2Fdx.doi.org%2F10.1016%2Fj.drudis.2024.103992" TargetMode="External" Type="http://schemas.openxmlformats.org/officeDocument/2006/relationships/hyperlink"/><Relationship Id="rId94" Target="https%3A%2F%2Fwww.webofscience.com%2Fwos%2Fwoscc%2Ffull-record%2FWOS%3A001239476100001" TargetMode="External" Type="http://schemas.openxmlformats.org/officeDocument/2006/relationships/hyperlink"/><Relationship Id="rId95" Target="http%3A%2F%2Fdx.doi.org%2F10.1038%2Fs41746-025-01543-z" TargetMode="External" Type="http://schemas.openxmlformats.org/officeDocument/2006/relationships/hyperlink"/><Relationship Id="rId96" Target="https%3A%2F%2Fwww.webofscience.com%2Fwos%2Fwoscc%2Ffull-record%2FWOS%3A001468348700002" TargetMode="External" Type="http://schemas.openxmlformats.org/officeDocument/2006/relationships/hyperlink"/><Relationship Id="rId97" Target="http%3A%2F%2Fdx.doi.org%2F10.1038%2Fs41398-023-02592-2" TargetMode="External" Type="http://schemas.openxmlformats.org/officeDocument/2006/relationships/hyperlink"/><Relationship Id="rId98" Target="https%3A%2F%2Fwww.webofscience.com%2Fwos%2Fwoscc%2Ffull-record%2FWOS%3A001080210400001" TargetMode="External" Type="http://schemas.openxmlformats.org/officeDocument/2006/relationships/hyperlink"/><Relationship Id="rId99" Target="http%3A%2F%2Fdx.doi.org%2F10.1093%2Feurheartj%2Fehae61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10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78</v>
      </c>
      <c r="C2" t="s" s="0">
        <v>79</v>
      </c>
      <c r="D2" t="s" s="0">
        <v>80</v>
      </c>
      <c r="E2" t="s" s="0">
        <v>81</v>
      </c>
      <c r="F2" t="s" s="0">
        <v>82</v>
      </c>
      <c r="G2" t="s" s="0">
        <v>83</v>
      </c>
      <c r="H2" t="s" s="0">
        <v>84</v>
      </c>
      <c r="I2" t="s" s="0">
        <v>85</v>
      </c>
      <c r="J2" t="s" s="0">
        <v>86</v>
      </c>
      <c r="K2" t="s" s="0">
        <v>87</v>
      </c>
      <c r="L2" t="s" s="0">
        <v>88</v>
      </c>
      <c r="M2" t="s" s="0">
        <v>89</v>
      </c>
      <c r="N2" t="s" s="0">
        <v>90</v>
      </c>
      <c r="O2" t="s" s="0">
        <v>91</v>
      </c>
      <c r="P2" t="s" s="0">
        <v>92</v>
      </c>
      <c r="Q2" t="s" s="0">
        <v>93</v>
      </c>
      <c r="R2" t="s" s="0">
        <v>84</v>
      </c>
      <c r="S2" t="s" s="0">
        <v>84</v>
      </c>
      <c r="T2" t="s" s="0">
        <v>84</v>
      </c>
      <c r="U2" t="s" s="0">
        <v>84</v>
      </c>
      <c r="V2" t="s" s="0">
        <v>94</v>
      </c>
      <c r="W2" t="s" s="0">
        <v>95</v>
      </c>
      <c r="X2" t="s" s="0">
        <v>84</v>
      </c>
      <c r="Y2" t="s" s="0">
        <v>84</v>
      </c>
      <c r="Z2" t="s" s="0">
        <v>96</v>
      </c>
      <c r="AA2" t="s" s="0">
        <v>97</v>
      </c>
      <c r="AB2" t="s" s="0">
        <v>84</v>
      </c>
      <c r="AC2" t="s" s="0">
        <v>84</v>
      </c>
      <c r="AD2" t="s" s="0">
        <v>84</v>
      </c>
      <c r="AE2" t="s" s="0">
        <v>84</v>
      </c>
      <c r="AF2" t="s" s="0">
        <v>84</v>
      </c>
      <c r="AG2" t="s" s="0">
        <v>84</v>
      </c>
      <c r="AH2" t="s" s="0">
        <v>98</v>
      </c>
      <c r="AI2" t="s" s="0">
        <v>99</v>
      </c>
      <c r="AJ2" t="s" s="0">
        <v>100</v>
      </c>
      <c r="AK2" t="s" s="0">
        <v>84</v>
      </c>
      <c r="AL2" t="s" s="0">
        <v>101</v>
      </c>
      <c r="AM2" t="s" s="0">
        <v>102</v>
      </c>
      <c r="AN2" t="s" s="0">
        <v>103</v>
      </c>
      <c r="AO2" t="s" s="0">
        <v>104</v>
      </c>
      <c r="AP2" t="s" s="0">
        <v>105</v>
      </c>
      <c r="AQ2" t="s" s="0">
        <v>106</v>
      </c>
      <c r="AR2" t="s" s="0">
        <v>107</v>
      </c>
      <c r="AS2" t="s" s="0">
        <v>108</v>
      </c>
      <c r="AT2" t="s" s="0">
        <v>109</v>
      </c>
      <c r="AU2" t="s" s="0">
        <v>110</v>
      </c>
      <c r="AV2" t="s" s="0">
        <v>84</v>
      </c>
      <c r="AW2" t="s" s="0">
        <v>111</v>
      </c>
      <c r="AX2" t="s" s="0">
        <v>112</v>
      </c>
      <c r="AY2" t="s" s="0">
        <v>113</v>
      </c>
      <c r="AZ2" t="s" s="0">
        <v>114</v>
      </c>
      <c r="BA2" t="s" s="0">
        <v>115</v>
      </c>
      <c r="BB2" t="s" s="0">
        <v>116</v>
      </c>
      <c r="BC2" t="s" s="0">
        <v>84</v>
      </c>
      <c r="BD2" t="s" s="0">
        <v>84</v>
      </c>
      <c r="BE2" t="s" s="0">
        <v>84</v>
      </c>
      <c r="BF2" t="s" s="0">
        <v>84</v>
      </c>
      <c r="BG2" t="s" s="0">
        <v>117</v>
      </c>
      <c r="BH2" t="s" s="0">
        <v>118</v>
      </c>
      <c r="BI2" t="s" s="0">
        <v>84</v>
      </c>
      <c r="BJ2" t="s" s="0">
        <v>119</v>
      </c>
      <c r="BK2" t="s" s="1">
        <f>HYPERLINK("http://dx.doi.org/10.1038/s41591-023-02448-8","http://dx.doi.org/10.1038/s41591-023-02448-8")</f>
        <v>120</v>
      </c>
      <c r="BL2" t="s" s="0">
        <v>84</v>
      </c>
      <c r="BM2" t="s" s="0">
        <v>121</v>
      </c>
      <c r="BN2" t="s" s="0">
        <v>122</v>
      </c>
      <c r="BO2" t="s" s="0">
        <v>123</v>
      </c>
      <c r="BP2" t="s" s="0">
        <v>124</v>
      </c>
      <c r="BQ2" t="s" s="0">
        <v>125</v>
      </c>
      <c r="BR2" t="s" s="0">
        <v>126</v>
      </c>
      <c r="BS2" t="s" s="0">
        <v>127</v>
      </c>
      <c r="BT2" t="s" s="2">
        <f>HYPERLINK("https://www.webofscience.com/wos/woscc/full-record/WOS:001032505800003","View Record in Web of Science")</f>
        <v>128</v>
      </c>
      <c r="BU2" t="s" s="0">
        <v>84</v>
      </c>
      <c r="BV2" t="s" s="0">
        <v>129</v>
      </c>
      <c r="BW2" t="s" s="0">
        <v>130</v>
      </c>
      <c r="BX2" t="s" s="0">
        <v>131</v>
      </c>
    </row>
    <row r="3">
      <c r="A3" t="s" s="0">
        <v>132</v>
      </c>
      <c r="B3" t="s" s="0">
        <v>78</v>
      </c>
      <c r="C3" t="s" s="0">
        <v>133</v>
      </c>
      <c r="D3" t="s" s="0">
        <v>134</v>
      </c>
      <c r="E3" t="s" s="0">
        <v>135</v>
      </c>
      <c r="F3" t="s" s="0">
        <v>136</v>
      </c>
      <c r="G3" t="s" s="0">
        <v>137</v>
      </c>
      <c r="H3" t="s" s="0">
        <v>84</v>
      </c>
      <c r="I3" t="s" s="0">
        <v>138</v>
      </c>
      <c r="J3" t="s" s="0">
        <v>139</v>
      </c>
      <c r="K3" t="s" s="0">
        <v>140</v>
      </c>
      <c r="L3" t="s" s="0">
        <v>84</v>
      </c>
      <c r="M3" t="s" s="0">
        <v>84</v>
      </c>
      <c r="N3" t="s" s="0">
        <v>84</v>
      </c>
      <c r="O3" t="s" s="0">
        <v>141</v>
      </c>
      <c r="P3" t="s" s="0">
        <v>142</v>
      </c>
      <c r="Q3" t="s" s="0">
        <v>93</v>
      </c>
      <c r="R3" t="s" s="0">
        <v>84</v>
      </c>
      <c r="S3" t="s" s="0">
        <v>84</v>
      </c>
      <c r="T3" t="s" s="0">
        <v>84</v>
      </c>
      <c r="U3" t="s" s="0">
        <v>84</v>
      </c>
      <c r="V3" t="s" s="0">
        <v>143</v>
      </c>
      <c r="W3" t="s" s="0">
        <v>144</v>
      </c>
      <c r="X3" t="s" s="0">
        <v>84</v>
      </c>
      <c r="Y3" t="s" s="0">
        <v>84</v>
      </c>
      <c r="Z3" t="s" s="0">
        <v>96</v>
      </c>
      <c r="AA3" t="s" s="0">
        <v>97</v>
      </c>
      <c r="AB3" t="s" s="0">
        <v>84</v>
      </c>
      <c r="AC3" t="s" s="0">
        <v>84</v>
      </c>
      <c r="AD3" t="s" s="0">
        <v>84</v>
      </c>
      <c r="AE3" t="s" s="0">
        <v>84</v>
      </c>
      <c r="AF3" t="s" s="0">
        <v>84</v>
      </c>
      <c r="AG3" t="s" s="0">
        <v>145</v>
      </c>
      <c r="AH3" t="s" s="0">
        <v>146</v>
      </c>
      <c r="AI3" t="s" s="0">
        <v>147</v>
      </c>
      <c r="AJ3" t="s" s="0">
        <v>148</v>
      </c>
      <c r="AK3" t="s" s="0">
        <v>84</v>
      </c>
      <c r="AL3" t="s" s="0">
        <v>149</v>
      </c>
      <c r="AM3" t="s" s="0">
        <v>150</v>
      </c>
      <c r="AN3" t="s" s="0">
        <v>151</v>
      </c>
      <c r="AO3" t="s" s="0">
        <v>152</v>
      </c>
      <c r="AP3" t="s" s="0">
        <v>153</v>
      </c>
      <c r="AQ3" t="s" s="0">
        <v>154</v>
      </c>
      <c r="AR3" t="s" s="0">
        <v>155</v>
      </c>
      <c r="AS3" t="s" s="0">
        <v>156</v>
      </c>
      <c r="AT3" t="s" s="0">
        <v>84</v>
      </c>
      <c r="AU3" t="s" s="0">
        <v>157</v>
      </c>
      <c r="AV3" t="s" s="0">
        <v>84</v>
      </c>
      <c r="AW3" t="s" s="0">
        <v>158</v>
      </c>
      <c r="AX3" t="s" s="0">
        <v>159</v>
      </c>
      <c r="AY3" t="s" s="0">
        <v>160</v>
      </c>
      <c r="AZ3" t="s" s="0">
        <v>114</v>
      </c>
      <c r="BA3" t="s" s="0">
        <v>122</v>
      </c>
      <c r="BB3" t="s" s="0">
        <v>161</v>
      </c>
      <c r="BC3" t="s" s="0">
        <v>84</v>
      </c>
      <c r="BD3" t="s" s="0">
        <v>84</v>
      </c>
      <c r="BE3" t="s" s="0">
        <v>84</v>
      </c>
      <c r="BF3" t="s" s="0">
        <v>84</v>
      </c>
      <c r="BG3" t="s" s="0">
        <v>84</v>
      </c>
      <c r="BH3" t="s" s="0">
        <v>84</v>
      </c>
      <c r="BI3" t="s" s="0">
        <v>162</v>
      </c>
      <c r="BJ3" t="s" s="0">
        <v>163</v>
      </c>
      <c r="BK3" t="s" s="3">
        <f>HYPERLINK("http://dx.doi.org/10.3390/healthcare11060887","http://dx.doi.org/10.3390/healthcare11060887")</f>
        <v>164</v>
      </c>
      <c r="BL3" t="s" s="0">
        <v>84</v>
      </c>
      <c r="BM3" t="s" s="0">
        <v>84</v>
      </c>
      <c r="BN3" t="s" s="0">
        <v>165</v>
      </c>
      <c r="BO3" t="s" s="0">
        <v>166</v>
      </c>
      <c r="BP3" t="s" s="0">
        <v>167</v>
      </c>
      <c r="BQ3" t="s" s="0">
        <v>168</v>
      </c>
      <c r="BR3" t="s" s="0">
        <v>169</v>
      </c>
      <c r="BS3" t="s" s="0">
        <v>170</v>
      </c>
      <c r="BT3" t="s" s="4">
        <f>HYPERLINK("https://www.webofscience.com/wos/woscc/full-record/WOS:000956609200001","View Record in Web of Science")</f>
        <v>128</v>
      </c>
      <c r="BU3" t="s" s="0">
        <v>171</v>
      </c>
      <c r="BV3" t="s" s="0">
        <v>129</v>
      </c>
      <c r="BW3" t="s" s="0">
        <v>130</v>
      </c>
      <c r="BX3" t="s" s="0">
        <v>131</v>
      </c>
    </row>
    <row r="4">
      <c r="A4" t="s" s="0">
        <v>172</v>
      </c>
      <c r="B4" t="s" s="0">
        <v>78</v>
      </c>
      <c r="C4" t="s" s="0">
        <v>173</v>
      </c>
      <c r="D4" t="s" s="0">
        <v>174</v>
      </c>
      <c r="E4" t="s" s="0">
        <v>175</v>
      </c>
      <c r="F4" t="s" s="0">
        <v>176</v>
      </c>
      <c r="G4" t="s" s="0">
        <v>177</v>
      </c>
      <c r="H4" t="s" s="0">
        <v>84</v>
      </c>
      <c r="I4" t="s" s="0">
        <v>85</v>
      </c>
      <c r="J4" t="s" s="0">
        <v>178</v>
      </c>
      <c r="K4" t="s" s="0">
        <v>179</v>
      </c>
      <c r="L4" t="s" s="0">
        <v>180</v>
      </c>
      <c r="M4" t="s" s="0">
        <v>181</v>
      </c>
      <c r="N4" t="s" s="0">
        <v>182</v>
      </c>
      <c r="O4" t="s" s="0">
        <v>183</v>
      </c>
      <c r="P4" t="s" s="0">
        <v>184</v>
      </c>
      <c r="Q4" t="s" s="0">
        <v>93</v>
      </c>
      <c r="R4" t="s" s="0">
        <v>84</v>
      </c>
      <c r="S4" t="s" s="0">
        <v>84</v>
      </c>
      <c r="T4" t="s" s="0">
        <v>84</v>
      </c>
      <c r="U4" t="s" s="0">
        <v>84</v>
      </c>
      <c r="V4" t="s" s="0">
        <v>185</v>
      </c>
      <c r="W4" t="s" s="0">
        <v>95</v>
      </c>
      <c r="X4" t="s" s="0">
        <v>84</v>
      </c>
      <c r="Y4" t="s" s="0">
        <v>84</v>
      </c>
      <c r="Z4" t="s" s="0">
        <v>96</v>
      </c>
      <c r="AA4" t="s" s="0">
        <v>97</v>
      </c>
      <c r="AB4" t="s" s="0">
        <v>84</v>
      </c>
      <c r="AC4" t="s" s="0">
        <v>84</v>
      </c>
      <c r="AD4" t="s" s="0">
        <v>84</v>
      </c>
      <c r="AE4" t="s" s="0">
        <v>84</v>
      </c>
      <c r="AF4" t="s" s="0">
        <v>84</v>
      </c>
      <c r="AG4" t="s" s="0">
        <v>84</v>
      </c>
      <c r="AH4" t="s" s="0">
        <v>186</v>
      </c>
      <c r="AI4" t="s" s="0">
        <v>187</v>
      </c>
      <c r="AJ4" t="s" s="0">
        <v>188</v>
      </c>
      <c r="AK4" t="s" s="0">
        <v>84</v>
      </c>
      <c r="AL4" t="s" s="0">
        <v>189</v>
      </c>
      <c r="AM4" t="s" s="0">
        <v>190</v>
      </c>
      <c r="AN4" t="s" s="0">
        <v>191</v>
      </c>
      <c r="AO4" t="s" s="0">
        <v>192</v>
      </c>
      <c r="AP4" t="s" s="0">
        <v>193</v>
      </c>
      <c r="AQ4" t="s" s="0">
        <v>106</v>
      </c>
      <c r="AR4" t="s" s="0">
        <v>107</v>
      </c>
      <c r="AS4" t="s" s="0">
        <v>108</v>
      </c>
      <c r="AT4" t="s" s="0">
        <v>109</v>
      </c>
      <c r="AU4" t="s" s="0">
        <v>110</v>
      </c>
      <c r="AV4" t="s" s="0">
        <v>84</v>
      </c>
      <c r="AW4" t="s" s="0">
        <v>111</v>
      </c>
      <c r="AX4" t="s" s="0">
        <v>112</v>
      </c>
      <c r="AY4" t="s" s="0">
        <v>194</v>
      </c>
      <c r="AZ4" t="s" s="0">
        <v>195</v>
      </c>
      <c r="BA4" t="s" s="0">
        <v>134</v>
      </c>
      <c r="BB4" t="s" s="0">
        <v>196</v>
      </c>
      <c r="BC4" t="s" s="0">
        <v>84</v>
      </c>
      <c r="BD4" t="s" s="0">
        <v>84</v>
      </c>
      <c r="BE4" t="s" s="0">
        <v>84</v>
      </c>
      <c r="BF4" t="s" s="0">
        <v>84</v>
      </c>
      <c r="BG4" t="s" s="0">
        <v>197</v>
      </c>
      <c r="BH4" t="s" s="0">
        <v>198</v>
      </c>
      <c r="BI4" t="s" s="0">
        <v>84</v>
      </c>
      <c r="BJ4" t="s" s="0">
        <v>199</v>
      </c>
      <c r="BK4" t="s" s="5">
        <f>HYPERLINK("http://dx.doi.org/10.1038/s41591-022-01981-2","http://dx.doi.org/10.1038/s41591-022-01981-2")</f>
        <v>200</v>
      </c>
      <c r="BL4" t="s" s="0">
        <v>84</v>
      </c>
      <c r="BM4" t="s" s="0">
        <v>194</v>
      </c>
      <c r="BN4" t="s" s="0">
        <v>201</v>
      </c>
      <c r="BO4" t="s" s="0">
        <v>123</v>
      </c>
      <c r="BP4" t="s" s="0">
        <v>124</v>
      </c>
      <c r="BQ4" t="s" s="0">
        <v>202</v>
      </c>
      <c r="BR4" t="s" s="0">
        <v>203</v>
      </c>
      <c r="BS4" t="s" s="0">
        <v>204</v>
      </c>
      <c r="BT4" t="s" s="6">
        <f>HYPERLINK("https://www.webofscience.com/wos/woscc/full-record/WOS:000854720900010","View Record in Web of Science")</f>
        <v>128</v>
      </c>
      <c r="BU4" t="s" s="0">
        <v>205</v>
      </c>
      <c r="BV4" t="s" s="0">
        <v>129</v>
      </c>
      <c r="BW4" t="s" s="0">
        <v>130</v>
      </c>
      <c r="BX4" t="s" s="0">
        <v>131</v>
      </c>
    </row>
    <row r="5">
      <c r="A5" t="s" s="0">
        <v>206</v>
      </c>
      <c r="B5" t="s" s="0">
        <v>78</v>
      </c>
      <c r="C5" t="s" s="0">
        <v>207</v>
      </c>
      <c r="D5" t="s" s="0">
        <v>208</v>
      </c>
      <c r="E5" t="s" s="0">
        <v>209</v>
      </c>
      <c r="F5" t="s" s="0">
        <v>210</v>
      </c>
      <c r="G5" t="s" s="0">
        <v>211</v>
      </c>
      <c r="H5" t="s" s="0">
        <v>84</v>
      </c>
      <c r="I5" t="s" s="0">
        <v>212</v>
      </c>
      <c r="J5" t="s" s="0">
        <v>213</v>
      </c>
      <c r="K5" t="s" s="0">
        <v>214</v>
      </c>
      <c r="L5" t="s" s="0">
        <v>215</v>
      </c>
      <c r="M5" t="s" s="0">
        <v>216</v>
      </c>
      <c r="N5" t="s" s="0">
        <v>217</v>
      </c>
      <c r="O5" t="s" s="0">
        <v>218</v>
      </c>
      <c r="P5" t="s" s="0">
        <v>219</v>
      </c>
      <c r="Q5" t="s" s="0">
        <v>93</v>
      </c>
      <c r="R5" t="s" s="0">
        <v>84</v>
      </c>
      <c r="S5" t="s" s="0">
        <v>84</v>
      </c>
      <c r="T5" t="s" s="0">
        <v>84</v>
      </c>
      <c r="U5" t="s" s="0">
        <v>84</v>
      </c>
      <c r="V5" t="s" s="0">
        <v>220</v>
      </c>
      <c r="W5" t="s" s="0">
        <v>221</v>
      </c>
      <c r="X5" t="s" s="0">
        <v>84</v>
      </c>
      <c r="Y5" t="s" s="0">
        <v>84</v>
      </c>
      <c r="Z5" t="s" s="0">
        <v>96</v>
      </c>
      <c r="AA5" t="s" s="0">
        <v>97</v>
      </c>
      <c r="AB5" t="s" s="0">
        <v>84</v>
      </c>
      <c r="AC5" t="s" s="0">
        <v>84</v>
      </c>
      <c r="AD5" t="s" s="0">
        <v>84</v>
      </c>
      <c r="AE5" t="s" s="0">
        <v>84</v>
      </c>
      <c r="AF5" t="s" s="0">
        <v>84</v>
      </c>
      <c r="AG5" t="s" s="0">
        <v>84</v>
      </c>
      <c r="AH5" t="s" s="0">
        <v>222</v>
      </c>
      <c r="AI5" t="s" s="0">
        <v>223</v>
      </c>
      <c r="AJ5" t="s" s="0">
        <v>224</v>
      </c>
      <c r="AK5" t="s" s="0">
        <v>84</v>
      </c>
      <c r="AL5" t="s" s="0">
        <v>225</v>
      </c>
      <c r="AM5" t="s" s="0">
        <v>226</v>
      </c>
      <c r="AN5" t="s" s="0">
        <v>227</v>
      </c>
      <c r="AO5" t="s" s="0">
        <v>228</v>
      </c>
      <c r="AP5" t="s" s="0">
        <v>229</v>
      </c>
      <c r="AQ5" t="s" s="0">
        <v>230</v>
      </c>
      <c r="AR5" t="s" s="0">
        <v>231</v>
      </c>
      <c r="AS5" t="s" s="0">
        <v>232</v>
      </c>
      <c r="AT5" t="s" s="0">
        <v>233</v>
      </c>
      <c r="AU5" t="s" s="0">
        <v>84</v>
      </c>
      <c r="AV5" t="s" s="0">
        <v>84</v>
      </c>
      <c r="AW5" t="s" s="0">
        <v>234</v>
      </c>
      <c r="AX5" t="s" s="0">
        <v>235</v>
      </c>
      <c r="AY5" t="s" s="0">
        <v>236</v>
      </c>
      <c r="AZ5" t="s" s="0">
        <v>114</v>
      </c>
      <c r="BA5" t="s" s="0">
        <v>174</v>
      </c>
      <c r="BB5" t="s" s="0">
        <v>237</v>
      </c>
      <c r="BC5" t="s" s="0">
        <v>84</v>
      </c>
      <c r="BD5" t="s" s="0">
        <v>84</v>
      </c>
      <c r="BE5" t="s" s="0">
        <v>84</v>
      </c>
      <c r="BF5" t="s" s="0">
        <v>84</v>
      </c>
      <c r="BG5" t="s" s="0">
        <v>84</v>
      </c>
      <c r="BH5" t="s" s="0">
        <v>84</v>
      </c>
      <c r="BI5" t="s" s="0">
        <v>238</v>
      </c>
      <c r="BJ5" t="s" s="0">
        <v>239</v>
      </c>
      <c r="BK5" t="s" s="7">
        <f>HYPERLINK("http://dx.doi.org/10.1038/s43856-023-00370-1","http://dx.doi.org/10.1038/s43856-023-00370-1")</f>
        <v>240</v>
      </c>
      <c r="BL5" t="s" s="0">
        <v>84</v>
      </c>
      <c r="BM5" t="s" s="0">
        <v>84</v>
      </c>
      <c r="BN5" t="s" s="0">
        <v>116</v>
      </c>
      <c r="BO5" t="s" s="0">
        <v>241</v>
      </c>
      <c r="BP5" t="s" s="0">
        <v>242</v>
      </c>
      <c r="BQ5" t="s" s="0">
        <v>243</v>
      </c>
      <c r="BR5" t="s" s="0">
        <v>244</v>
      </c>
      <c r="BS5" t="s" s="0">
        <v>245</v>
      </c>
      <c r="BT5" t="s" s="8">
        <f>HYPERLINK("https://www.webofscience.com/wos/woscc/full-record/WOS:001078603900001","View Record in Web of Science")</f>
        <v>128</v>
      </c>
      <c r="BU5" t="s" s="0">
        <v>171</v>
      </c>
      <c r="BV5" t="s" s="0">
        <v>84</v>
      </c>
      <c r="BW5" t="s" s="0">
        <v>84</v>
      </c>
      <c r="BX5" t="s" s="0">
        <v>131</v>
      </c>
    </row>
    <row r="6">
      <c r="A6" t="s" s="0">
        <v>246</v>
      </c>
      <c r="B6" t="s" s="0">
        <v>78</v>
      </c>
      <c r="C6" t="s" s="0">
        <v>247</v>
      </c>
      <c r="D6" t="s" s="0">
        <v>174</v>
      </c>
      <c r="E6" t="s" s="0">
        <v>248</v>
      </c>
      <c r="F6" t="s" s="0">
        <v>249</v>
      </c>
      <c r="G6" t="s" s="0">
        <v>250</v>
      </c>
      <c r="H6" t="s" s="0">
        <v>84</v>
      </c>
      <c r="I6" t="s" s="0">
        <v>85</v>
      </c>
      <c r="J6" t="s" s="0">
        <v>251</v>
      </c>
      <c r="K6" t="s" s="0">
        <v>252</v>
      </c>
      <c r="L6" t="s" s="0">
        <v>253</v>
      </c>
      <c r="M6" t="s" s="0">
        <v>253</v>
      </c>
      <c r="N6" t="s" s="0">
        <v>254</v>
      </c>
      <c r="O6" t="s" s="0">
        <v>255</v>
      </c>
      <c r="P6" t="s" s="0">
        <v>256</v>
      </c>
      <c r="Q6" t="s" s="0">
        <v>93</v>
      </c>
      <c r="R6" t="s" s="0">
        <v>84</v>
      </c>
      <c r="S6" t="s" s="0">
        <v>84</v>
      </c>
      <c r="T6" t="s" s="0">
        <v>84</v>
      </c>
      <c r="U6" t="s" s="0">
        <v>84</v>
      </c>
      <c r="V6" t="s" s="0">
        <v>257</v>
      </c>
      <c r="W6" t="s" s="0">
        <v>258</v>
      </c>
      <c r="X6" t="s" s="0">
        <v>84</v>
      </c>
      <c r="Y6" t="s" s="0">
        <v>84</v>
      </c>
      <c r="Z6" t="s" s="0">
        <v>96</v>
      </c>
      <c r="AA6" t="s" s="0">
        <v>97</v>
      </c>
      <c r="AB6" t="s" s="0">
        <v>84</v>
      </c>
      <c r="AC6" t="s" s="0">
        <v>84</v>
      </c>
      <c r="AD6" t="s" s="0">
        <v>84</v>
      </c>
      <c r="AE6" t="s" s="0">
        <v>84</v>
      </c>
      <c r="AF6" t="s" s="0">
        <v>84</v>
      </c>
      <c r="AG6" t="s" s="0">
        <v>259</v>
      </c>
      <c r="AH6" t="s" s="0">
        <v>260</v>
      </c>
      <c r="AI6" t="s" s="0">
        <v>261</v>
      </c>
      <c r="AJ6" t="s" s="0">
        <v>262</v>
      </c>
      <c r="AK6" t="s" s="0">
        <v>84</v>
      </c>
      <c r="AL6" t="s" s="0">
        <v>263</v>
      </c>
      <c r="AM6" t="s" s="0">
        <v>264</v>
      </c>
      <c r="AN6" t="s" s="0">
        <v>265</v>
      </c>
      <c r="AO6" t="s" s="0">
        <v>266</v>
      </c>
      <c r="AP6" t="s" s="0">
        <v>267</v>
      </c>
      <c r="AQ6" t="s" s="0">
        <v>268</v>
      </c>
      <c r="AR6" t="s" s="0">
        <v>269</v>
      </c>
      <c r="AS6" t="s" s="0">
        <v>270</v>
      </c>
      <c r="AT6" t="s" s="0">
        <v>271</v>
      </c>
      <c r="AU6" t="s" s="0">
        <v>84</v>
      </c>
      <c r="AV6" t="s" s="0">
        <v>84</v>
      </c>
      <c r="AW6" t="s" s="0">
        <v>258</v>
      </c>
      <c r="AX6" t="s" s="0">
        <v>272</v>
      </c>
      <c r="AY6" t="s" s="0">
        <v>273</v>
      </c>
      <c r="AZ6" t="s" s="0">
        <v>273</v>
      </c>
      <c r="BA6" t="s" s="0">
        <v>201</v>
      </c>
      <c r="BB6" t="s" s="0">
        <v>84</v>
      </c>
      <c r="BC6" t="s" s="0">
        <v>84</v>
      </c>
      <c r="BD6" t="s" s="0">
        <v>84</v>
      </c>
      <c r="BE6" t="s" s="0">
        <v>84</v>
      </c>
      <c r="BF6" t="s" s="0">
        <v>84</v>
      </c>
      <c r="BG6" t="s" s="0">
        <v>274</v>
      </c>
      <c r="BH6" t="s" s="0">
        <v>275</v>
      </c>
      <c r="BI6" t="s" s="0">
        <v>84</v>
      </c>
      <c r="BJ6" t="s" s="0">
        <v>276</v>
      </c>
      <c r="BK6" t="s" s="9">
        <f>HYPERLINK("http://dx.doi.org/10.1109/ACCESS.2024.3365742","http://dx.doi.org/10.1109/ACCESS.2024.3365742")</f>
        <v>277</v>
      </c>
      <c r="BL6" t="s" s="0">
        <v>84</v>
      </c>
      <c r="BM6" t="s" s="0">
        <v>84</v>
      </c>
      <c r="BN6" t="s" s="0">
        <v>278</v>
      </c>
      <c r="BO6" t="s" s="0">
        <v>279</v>
      </c>
      <c r="BP6" t="s" s="0">
        <v>280</v>
      </c>
      <c r="BQ6" t="s" s="0">
        <v>281</v>
      </c>
      <c r="BR6" t="s" s="0">
        <v>84</v>
      </c>
      <c r="BS6" t="s" s="0">
        <v>282</v>
      </c>
      <c r="BT6" t="s" s="10">
        <f>HYPERLINK("https://www.webofscience.com/wos/woscc/full-record/WOS:001173153100001","View Record in Web of Science")</f>
        <v>128</v>
      </c>
      <c r="BU6" t="s" s="0">
        <v>171</v>
      </c>
      <c r="BV6" t="s" s="0">
        <v>129</v>
      </c>
      <c r="BW6" t="s" s="0">
        <v>130</v>
      </c>
      <c r="BX6" t="s" s="0">
        <v>131</v>
      </c>
    </row>
    <row r="7">
      <c r="A7" t="s" s="0">
        <v>78</v>
      </c>
      <c r="B7" t="s" s="0">
        <v>78</v>
      </c>
      <c r="C7" t="s" s="0">
        <v>80</v>
      </c>
      <c r="D7" t="s" s="0">
        <v>283</v>
      </c>
      <c r="E7" t="s" s="0">
        <v>284</v>
      </c>
      <c r="F7" t="s" s="0">
        <v>285</v>
      </c>
      <c r="G7" t="s" s="0">
        <v>286</v>
      </c>
      <c r="H7" t="s" s="0">
        <v>84</v>
      </c>
      <c r="I7" t="s" s="0">
        <v>138</v>
      </c>
      <c r="J7" t="s" s="0">
        <v>287</v>
      </c>
      <c r="K7" t="s" s="0">
        <v>288</v>
      </c>
      <c r="L7" t="s" s="0">
        <v>289</v>
      </c>
      <c r="M7" t="s" s="0">
        <v>289</v>
      </c>
      <c r="N7" t="s" s="0">
        <v>289</v>
      </c>
      <c r="O7" t="s" s="0">
        <v>290</v>
      </c>
      <c r="P7" t="s" s="0">
        <v>291</v>
      </c>
      <c r="Q7" t="s" s="0">
        <v>93</v>
      </c>
      <c r="R7" t="s" s="0">
        <v>84</v>
      </c>
      <c r="S7" t="s" s="0">
        <v>84</v>
      </c>
      <c r="T7" t="s" s="0">
        <v>84</v>
      </c>
      <c r="U7" t="s" s="0">
        <v>84</v>
      </c>
      <c r="V7" t="s" s="0">
        <v>292</v>
      </c>
      <c r="W7" t="s" s="0">
        <v>293</v>
      </c>
      <c r="X7" t="s" s="0">
        <v>84</v>
      </c>
      <c r="Y7" t="s" s="0">
        <v>84</v>
      </c>
      <c r="Z7" t="s" s="0">
        <v>96</v>
      </c>
      <c r="AA7" t="s" s="0">
        <v>97</v>
      </c>
      <c r="AB7" t="s" s="0">
        <v>84</v>
      </c>
      <c r="AC7" t="s" s="0">
        <v>84</v>
      </c>
      <c r="AD7" t="s" s="0">
        <v>84</v>
      </c>
      <c r="AE7" t="s" s="0">
        <v>84</v>
      </c>
      <c r="AF7" t="s" s="0">
        <v>84</v>
      </c>
      <c r="AG7" t="s" s="0">
        <v>294</v>
      </c>
      <c r="AH7" t="s" s="0">
        <v>295</v>
      </c>
      <c r="AI7" t="s" s="0">
        <v>296</v>
      </c>
      <c r="AJ7" t="s" s="0">
        <v>297</v>
      </c>
      <c r="AK7" t="s" s="0">
        <v>84</v>
      </c>
      <c r="AL7" t="s" s="0">
        <v>298</v>
      </c>
      <c r="AM7" t="s" s="0">
        <v>299</v>
      </c>
      <c r="AN7" t="s" s="0">
        <v>300</v>
      </c>
      <c r="AO7" t="s" s="0">
        <v>77</v>
      </c>
      <c r="AP7" t="s" s="0">
        <v>301</v>
      </c>
      <c r="AQ7" t="s" s="0">
        <v>154</v>
      </c>
      <c r="AR7" t="s" s="0">
        <v>155</v>
      </c>
      <c r="AS7" t="s" s="0">
        <v>156</v>
      </c>
      <c r="AT7" t="s" s="0">
        <v>84</v>
      </c>
      <c r="AU7" t="s" s="0">
        <v>302</v>
      </c>
      <c r="AV7" t="s" s="0">
        <v>84</v>
      </c>
      <c r="AW7" t="s" s="0">
        <v>303</v>
      </c>
      <c r="AX7" t="s" s="0">
        <v>304</v>
      </c>
      <c r="AY7" t="s" s="0">
        <v>305</v>
      </c>
      <c r="AZ7" t="s" s="0">
        <v>114</v>
      </c>
      <c r="BA7" t="s" s="0">
        <v>306</v>
      </c>
      <c r="BB7" t="s" s="0">
        <v>246</v>
      </c>
      <c r="BC7" t="s" s="0">
        <v>84</v>
      </c>
      <c r="BD7" t="s" s="0">
        <v>84</v>
      </c>
      <c r="BE7" t="s" s="0">
        <v>84</v>
      </c>
      <c r="BF7" t="s" s="0">
        <v>84</v>
      </c>
      <c r="BG7" t="s" s="0">
        <v>84</v>
      </c>
      <c r="BH7" t="s" s="0">
        <v>84</v>
      </c>
      <c r="BI7" t="s" s="0">
        <v>307</v>
      </c>
      <c r="BJ7" t="s" s="0">
        <v>308</v>
      </c>
      <c r="BK7" t="s" s="11">
        <f>HYPERLINK("http://dx.doi.org/10.3390/su151712983","http://dx.doi.org/10.3390/su151712983")</f>
        <v>309</v>
      </c>
      <c r="BL7" t="s" s="0">
        <v>84</v>
      </c>
      <c r="BM7" t="s" s="0">
        <v>84</v>
      </c>
      <c r="BN7" t="s" s="0">
        <v>310</v>
      </c>
      <c r="BO7" t="s" s="0">
        <v>311</v>
      </c>
      <c r="BP7" t="s" s="0">
        <v>312</v>
      </c>
      <c r="BQ7" t="s" s="0">
        <v>313</v>
      </c>
      <c r="BR7" t="s" s="0">
        <v>84</v>
      </c>
      <c r="BS7" t="s" s="0">
        <v>314</v>
      </c>
      <c r="BT7" t="s" s="12">
        <f>HYPERLINK("https://www.webofscience.com/wos/woscc/full-record/WOS:001061927300001","View Record in Web of Science")</f>
        <v>128</v>
      </c>
      <c r="BU7" t="s" s="0">
        <v>171</v>
      </c>
      <c r="BV7" t="s" s="0">
        <v>129</v>
      </c>
      <c r="BW7" t="s" s="0">
        <v>130</v>
      </c>
      <c r="BX7" t="s" s="0">
        <v>131</v>
      </c>
    </row>
    <row r="8">
      <c r="A8" t="s" s="0">
        <v>315</v>
      </c>
      <c r="B8" t="s" s="0">
        <v>78</v>
      </c>
      <c r="C8" t="s" s="0">
        <v>316</v>
      </c>
      <c r="D8" t="s" s="0">
        <v>78</v>
      </c>
      <c r="E8" t="s" s="0">
        <v>317</v>
      </c>
      <c r="F8" t="s" s="0">
        <v>318</v>
      </c>
      <c r="G8" t="s" s="0">
        <v>319</v>
      </c>
      <c r="H8" t="s" s="0">
        <v>84</v>
      </c>
      <c r="I8" t="s" s="0">
        <v>320</v>
      </c>
      <c r="J8" t="s" s="0">
        <v>321</v>
      </c>
      <c r="K8" t="s" s="0">
        <v>322</v>
      </c>
      <c r="L8" t="s" s="0">
        <v>323</v>
      </c>
      <c r="M8" t="s" s="0">
        <v>324</v>
      </c>
      <c r="N8" t="s" s="0">
        <v>325</v>
      </c>
      <c r="O8" t="s" s="0">
        <v>326</v>
      </c>
      <c r="P8" t="s" s="0">
        <v>327</v>
      </c>
      <c r="Q8" t="s" s="0">
        <v>93</v>
      </c>
      <c r="R8" t="s" s="0">
        <v>84</v>
      </c>
      <c r="S8" t="s" s="0">
        <v>84</v>
      </c>
      <c r="T8" t="s" s="0">
        <v>84</v>
      </c>
      <c r="U8" t="s" s="0">
        <v>84</v>
      </c>
      <c r="V8" t="s" s="0">
        <v>328</v>
      </c>
      <c r="W8" t="s" s="0">
        <v>95</v>
      </c>
      <c r="X8" t="s" s="0">
        <v>84</v>
      </c>
      <c r="Y8" t="s" s="0">
        <v>84</v>
      </c>
      <c r="Z8" t="s" s="0">
        <v>96</v>
      </c>
      <c r="AA8" t="s" s="0">
        <v>97</v>
      </c>
      <c r="AB8" t="s" s="0">
        <v>84</v>
      </c>
      <c r="AC8" t="s" s="0">
        <v>84</v>
      </c>
      <c r="AD8" t="s" s="0">
        <v>84</v>
      </c>
      <c r="AE8" t="s" s="0">
        <v>84</v>
      </c>
      <c r="AF8" t="s" s="0">
        <v>84</v>
      </c>
      <c r="AG8" t="s" s="0">
        <v>84</v>
      </c>
      <c r="AH8" t="s" s="0">
        <v>329</v>
      </c>
      <c r="AI8" t="s" s="0">
        <v>330</v>
      </c>
      <c r="AJ8" t="s" s="0">
        <v>331</v>
      </c>
      <c r="AK8" t="s" s="0">
        <v>84</v>
      </c>
      <c r="AL8" t="s" s="0">
        <v>332</v>
      </c>
      <c r="AM8" t="s" s="0">
        <v>333</v>
      </c>
      <c r="AN8" t="s" s="0">
        <v>334</v>
      </c>
      <c r="AO8" t="s" s="0">
        <v>335</v>
      </c>
      <c r="AP8" t="s" s="0">
        <v>336</v>
      </c>
      <c r="AQ8" t="s" s="0">
        <v>106</v>
      </c>
      <c r="AR8" t="s" s="0">
        <v>107</v>
      </c>
      <c r="AS8" t="s" s="0">
        <v>108</v>
      </c>
      <c r="AT8" t="s" s="0">
        <v>109</v>
      </c>
      <c r="AU8" t="s" s="0">
        <v>110</v>
      </c>
      <c r="AV8" t="s" s="0">
        <v>84</v>
      </c>
      <c r="AW8" t="s" s="0">
        <v>111</v>
      </c>
      <c r="AX8" t="s" s="0">
        <v>112</v>
      </c>
      <c r="AY8" t="s" s="0">
        <v>337</v>
      </c>
      <c r="AZ8" t="s" s="0">
        <v>338</v>
      </c>
      <c r="BA8" t="s" s="0">
        <v>339</v>
      </c>
      <c r="BB8" t="s" s="0">
        <v>237</v>
      </c>
      <c r="BC8" t="s" s="0">
        <v>84</v>
      </c>
      <c r="BD8" t="s" s="0">
        <v>84</v>
      </c>
      <c r="BE8" t="s" s="0">
        <v>84</v>
      </c>
      <c r="BF8" t="s" s="0">
        <v>84</v>
      </c>
      <c r="BG8" t="s" s="0">
        <v>340</v>
      </c>
      <c r="BH8" t="s" s="0">
        <v>341</v>
      </c>
      <c r="BI8" t="s" s="0">
        <v>84</v>
      </c>
      <c r="BJ8" t="s" s="0">
        <v>342</v>
      </c>
      <c r="BK8" t="s" s="13">
        <f>HYPERLINK("http://dx.doi.org/10.1038/s41591-024-03434-4","http://dx.doi.org/10.1038/s41591-024-03434-4")</f>
        <v>343</v>
      </c>
      <c r="BL8" t="s" s="0">
        <v>84</v>
      </c>
      <c r="BM8" t="s" s="0">
        <v>337</v>
      </c>
      <c r="BN8" t="s" s="0">
        <v>306</v>
      </c>
      <c r="BO8" t="s" s="0">
        <v>123</v>
      </c>
      <c r="BP8" t="s" s="0">
        <v>124</v>
      </c>
      <c r="BQ8" t="s" s="0">
        <v>344</v>
      </c>
      <c r="BR8" t="s" s="0">
        <v>345</v>
      </c>
      <c r="BS8" t="s" s="0">
        <v>346</v>
      </c>
      <c r="BT8" t="s" s="14">
        <f>HYPERLINK("https://www.webofscience.com/wos/woscc/full-record/WOS:001400818700001","View Record in Web of Science")</f>
        <v>128</v>
      </c>
      <c r="BU8" t="s" s="0">
        <v>84</v>
      </c>
      <c r="BV8" t="s" s="0">
        <v>130</v>
      </c>
      <c r="BW8" t="s" s="0">
        <v>130</v>
      </c>
      <c r="BX8" t="s" s="0">
        <v>131</v>
      </c>
    </row>
    <row r="9">
      <c r="A9" t="s" s="0">
        <v>208</v>
      </c>
      <c r="B9" t="s" s="0">
        <v>78</v>
      </c>
      <c r="C9" t="s" s="0">
        <v>347</v>
      </c>
      <c r="D9" t="s" s="0">
        <v>237</v>
      </c>
      <c r="E9" t="s" s="0">
        <v>348</v>
      </c>
      <c r="F9" t="s" s="0">
        <v>349</v>
      </c>
      <c r="G9" t="s" s="0">
        <v>350</v>
      </c>
      <c r="H9" t="s" s="0">
        <v>84</v>
      </c>
      <c r="I9" t="s" s="0">
        <v>85</v>
      </c>
      <c r="J9" t="s" s="0">
        <v>351</v>
      </c>
      <c r="K9" t="s" s="0">
        <v>352</v>
      </c>
      <c r="L9" t="s" s="0">
        <v>353</v>
      </c>
      <c r="M9" t="s" s="0">
        <v>354</v>
      </c>
      <c r="N9" t="s" s="0">
        <v>355</v>
      </c>
      <c r="O9" t="s" s="0">
        <v>356</v>
      </c>
      <c r="P9" t="s" s="0">
        <v>357</v>
      </c>
      <c r="Q9" t="s" s="0">
        <v>93</v>
      </c>
      <c r="R9" t="s" s="0">
        <v>84</v>
      </c>
      <c r="S9" t="s" s="0">
        <v>84</v>
      </c>
      <c r="T9" t="s" s="0">
        <v>84</v>
      </c>
      <c r="U9" t="s" s="0">
        <v>84</v>
      </c>
      <c r="V9" t="s" s="0">
        <v>358</v>
      </c>
      <c r="W9" t="s" s="0">
        <v>359</v>
      </c>
      <c r="X9" t="s" s="0">
        <v>84</v>
      </c>
      <c r="Y9" t="s" s="0">
        <v>84</v>
      </c>
      <c r="Z9" t="s" s="0">
        <v>96</v>
      </c>
      <c r="AA9" t="s" s="0">
        <v>97</v>
      </c>
      <c r="AB9" t="s" s="0">
        <v>84</v>
      </c>
      <c r="AC9" t="s" s="0">
        <v>84</v>
      </c>
      <c r="AD9" t="s" s="0">
        <v>84</v>
      </c>
      <c r="AE9" t="s" s="0">
        <v>84</v>
      </c>
      <c r="AF9" t="s" s="0">
        <v>84</v>
      </c>
      <c r="AG9" t="s" s="0">
        <v>84</v>
      </c>
      <c r="AH9" t="s" s="0">
        <v>360</v>
      </c>
      <c r="AI9" t="s" s="0">
        <v>361</v>
      </c>
      <c r="AJ9" t="s" s="0">
        <v>362</v>
      </c>
      <c r="AK9" t="s" s="0">
        <v>84</v>
      </c>
      <c r="AL9" t="s" s="0">
        <v>363</v>
      </c>
      <c r="AM9" t="s" s="0">
        <v>333</v>
      </c>
      <c r="AN9" t="s" s="0">
        <v>364</v>
      </c>
      <c r="AO9" t="s" s="0">
        <v>365</v>
      </c>
      <c r="AP9" t="s" s="0">
        <v>366</v>
      </c>
      <c r="AQ9" t="s" s="0">
        <v>106</v>
      </c>
      <c r="AR9" t="s" s="0">
        <v>107</v>
      </c>
      <c r="AS9" t="s" s="0">
        <v>108</v>
      </c>
      <c r="AT9" t="s" s="0">
        <v>367</v>
      </c>
      <c r="AU9" t="s" s="0">
        <v>84</v>
      </c>
      <c r="AV9" t="s" s="0">
        <v>84</v>
      </c>
      <c r="AW9" t="s" s="0">
        <v>368</v>
      </c>
      <c r="AX9" t="s" s="0">
        <v>369</v>
      </c>
      <c r="AY9" t="s" s="0">
        <v>370</v>
      </c>
      <c r="AZ9" t="s" s="0">
        <v>114</v>
      </c>
      <c r="BA9" t="s" s="0">
        <v>161</v>
      </c>
      <c r="BB9" t="s" s="0">
        <v>237</v>
      </c>
      <c r="BC9" t="s" s="0">
        <v>84</v>
      </c>
      <c r="BD9" t="s" s="0">
        <v>84</v>
      </c>
      <c r="BE9" t="s" s="0">
        <v>84</v>
      </c>
      <c r="BF9" t="s" s="0">
        <v>84</v>
      </c>
      <c r="BG9" t="s" s="0">
        <v>84</v>
      </c>
      <c r="BH9" t="s" s="0">
        <v>84</v>
      </c>
      <c r="BI9" t="s" s="0">
        <v>371</v>
      </c>
      <c r="BJ9" t="s" s="0">
        <v>372</v>
      </c>
      <c r="BK9" t="s" s="15">
        <f>HYPERLINK("http://dx.doi.org/10.1038/s41746-023-00979-5","http://dx.doi.org/10.1038/s41746-023-00979-5")</f>
        <v>373</v>
      </c>
      <c r="BL9" t="s" s="0">
        <v>84</v>
      </c>
      <c r="BM9" t="s" s="0">
        <v>84</v>
      </c>
      <c r="BN9" t="s" s="0">
        <v>228</v>
      </c>
      <c r="BO9" t="s" s="0">
        <v>374</v>
      </c>
      <c r="BP9" t="s" s="0">
        <v>374</v>
      </c>
      <c r="BQ9" t="s" s="0">
        <v>375</v>
      </c>
      <c r="BR9" t="s" s="0">
        <v>376</v>
      </c>
      <c r="BS9" t="s" s="0">
        <v>377</v>
      </c>
      <c r="BT9" t="s" s="16">
        <f>HYPERLINK("https://www.webofscience.com/wos/woscc/full-record/WOS:001129970300001","View Record in Web of Science")</f>
        <v>128</v>
      </c>
      <c r="BU9" t="s" s="0">
        <v>171</v>
      </c>
      <c r="BV9" t="s" s="0">
        <v>129</v>
      </c>
      <c r="BW9" t="s" s="0">
        <v>130</v>
      </c>
      <c r="BX9" t="s" s="0">
        <v>131</v>
      </c>
    </row>
    <row r="10">
      <c r="A10" t="s" s="0">
        <v>122</v>
      </c>
      <c r="B10" t="s" s="0">
        <v>78</v>
      </c>
      <c r="C10" t="s" s="0">
        <v>378</v>
      </c>
      <c r="D10" t="s" s="0">
        <v>78</v>
      </c>
      <c r="E10" t="s" s="0">
        <v>379</v>
      </c>
      <c r="F10" t="s" s="0">
        <v>380</v>
      </c>
      <c r="G10" t="s" s="0">
        <v>381</v>
      </c>
      <c r="H10" t="s" s="0">
        <v>84</v>
      </c>
      <c r="I10" t="s" s="0">
        <v>85</v>
      </c>
      <c r="J10" t="s" s="0">
        <v>382</v>
      </c>
      <c r="K10" t="s" s="0">
        <v>383</v>
      </c>
      <c r="L10" t="s" s="0">
        <v>84</v>
      </c>
      <c r="M10" t="s" s="0">
        <v>84</v>
      </c>
      <c r="N10" t="s" s="0">
        <v>84</v>
      </c>
      <c r="O10" t="s" s="0">
        <v>384</v>
      </c>
      <c r="P10" t="s" s="0">
        <v>385</v>
      </c>
      <c r="Q10" t="s" s="0">
        <v>93</v>
      </c>
      <c r="R10" t="s" s="0">
        <v>84</v>
      </c>
      <c r="S10" t="s" s="0">
        <v>84</v>
      </c>
      <c r="T10" t="s" s="0">
        <v>84</v>
      </c>
      <c r="U10" t="s" s="0">
        <v>84</v>
      </c>
      <c r="V10" t="s" s="0">
        <v>386</v>
      </c>
      <c r="W10" t="s" s="0">
        <v>387</v>
      </c>
      <c r="X10" t="s" s="0">
        <v>84</v>
      </c>
      <c r="Y10" t="s" s="0">
        <v>84</v>
      </c>
      <c r="Z10" t="s" s="0">
        <v>96</v>
      </c>
      <c r="AA10" t="s" s="0">
        <v>97</v>
      </c>
      <c r="AB10" t="s" s="0">
        <v>84</v>
      </c>
      <c r="AC10" t="s" s="0">
        <v>84</v>
      </c>
      <c r="AD10" t="s" s="0">
        <v>84</v>
      </c>
      <c r="AE10" t="s" s="0">
        <v>84</v>
      </c>
      <c r="AF10" t="s" s="0">
        <v>84</v>
      </c>
      <c r="AG10" t="s" s="0">
        <v>84</v>
      </c>
      <c r="AH10" t="s" s="0">
        <v>84</v>
      </c>
      <c r="AI10" t="s" s="0">
        <v>84</v>
      </c>
      <c r="AJ10" t="s" s="0">
        <v>388</v>
      </c>
      <c r="AK10" t="s" s="0">
        <v>84</v>
      </c>
      <c r="AL10" t="s" s="0">
        <v>201</v>
      </c>
      <c r="AM10" t="s" s="0">
        <v>389</v>
      </c>
      <c r="AN10" t="s" s="0">
        <v>390</v>
      </c>
      <c r="AO10" t="s" s="0">
        <v>80</v>
      </c>
      <c r="AP10" t="s" s="0">
        <v>238</v>
      </c>
      <c r="AQ10" t="s" s="0">
        <v>391</v>
      </c>
      <c r="AR10" t="s" s="0">
        <v>392</v>
      </c>
      <c r="AS10" t="s" s="0">
        <v>393</v>
      </c>
      <c r="AT10" t="s" s="0">
        <v>394</v>
      </c>
      <c r="AU10" t="s" s="0">
        <v>395</v>
      </c>
      <c r="AV10" t="s" s="0">
        <v>84</v>
      </c>
      <c r="AW10" t="s" s="0">
        <v>396</v>
      </c>
      <c r="AX10" t="s" s="0">
        <v>397</v>
      </c>
      <c r="AY10" t="s" s="0">
        <v>398</v>
      </c>
      <c r="AZ10" t="s" s="0">
        <v>114</v>
      </c>
      <c r="BA10" t="s" s="0">
        <v>399</v>
      </c>
      <c r="BB10" t="s" s="0">
        <v>196</v>
      </c>
      <c r="BC10" t="s" s="0">
        <v>84</v>
      </c>
      <c r="BD10" t="s" s="0">
        <v>84</v>
      </c>
      <c r="BE10" t="s" s="0">
        <v>84</v>
      </c>
      <c r="BF10" t="s" s="0">
        <v>84</v>
      </c>
      <c r="BG10" t="s" s="0">
        <v>400</v>
      </c>
      <c r="BH10" t="s" s="0">
        <v>401</v>
      </c>
      <c r="BI10" t="s" s="0">
        <v>84</v>
      </c>
      <c r="BJ10" t="s" s="0">
        <v>402</v>
      </c>
      <c r="BK10" t="s" s="17">
        <f>HYPERLINK("http://dx.doi.org/10.1001/jama.2023.14217","http://dx.doi.org/10.1001/jama.2023.14217")</f>
        <v>403</v>
      </c>
      <c r="BL10" t="s" s="0">
        <v>84</v>
      </c>
      <c r="BM10" t="s" s="0">
        <v>113</v>
      </c>
      <c r="BN10" t="s" s="0">
        <v>283</v>
      </c>
      <c r="BO10" t="s" s="0">
        <v>404</v>
      </c>
      <c r="BP10" t="s" s="0">
        <v>405</v>
      </c>
      <c r="BQ10" t="s" s="0">
        <v>406</v>
      </c>
      <c r="BR10" t="s" s="0">
        <v>407</v>
      </c>
      <c r="BS10" t="s" s="0">
        <v>408</v>
      </c>
      <c r="BT10" t="s" s="18">
        <f>HYPERLINK("https://www.webofscience.com/wos/woscc/full-record/WOS:001046738800002","View Record in Web of Science")</f>
        <v>128</v>
      </c>
      <c r="BU10" t="s" s="0">
        <v>84</v>
      </c>
      <c r="BV10" t="s" s="0">
        <v>129</v>
      </c>
      <c r="BW10" t="s" s="0">
        <v>130</v>
      </c>
      <c r="BX10" t="s" s="0">
        <v>131</v>
      </c>
    </row>
    <row r="11">
      <c r="A11" t="s" s="0">
        <v>246</v>
      </c>
      <c r="B11" t="s" s="0">
        <v>78</v>
      </c>
      <c r="C11" t="s" s="0">
        <v>409</v>
      </c>
      <c r="D11" t="s" s="0">
        <v>80</v>
      </c>
      <c r="E11" t="s" s="0">
        <v>410</v>
      </c>
      <c r="F11" t="s" s="0">
        <v>411</v>
      </c>
      <c r="G11" t="s" s="0">
        <v>412</v>
      </c>
      <c r="H11" t="s" s="0">
        <v>84</v>
      </c>
      <c r="I11" t="s" s="0">
        <v>85</v>
      </c>
      <c r="J11" t="s" s="0">
        <v>413</v>
      </c>
      <c r="K11" t="s" s="0">
        <v>414</v>
      </c>
      <c r="L11" t="s" s="0">
        <v>84</v>
      </c>
      <c r="M11" t="s" s="0">
        <v>84</v>
      </c>
      <c r="N11" t="s" s="0">
        <v>84</v>
      </c>
      <c r="O11" t="s" s="0">
        <v>415</v>
      </c>
      <c r="P11" t="s" s="0">
        <v>416</v>
      </c>
      <c r="Q11" t="s" s="0">
        <v>93</v>
      </c>
      <c r="R11" t="s" s="0">
        <v>84</v>
      </c>
      <c r="S11" t="s" s="0">
        <v>84</v>
      </c>
      <c r="T11" t="s" s="0">
        <v>84</v>
      </c>
      <c r="U11" t="s" s="0">
        <v>84</v>
      </c>
      <c r="V11" t="s" s="0">
        <v>417</v>
      </c>
      <c r="W11" t="s" s="0">
        <v>418</v>
      </c>
      <c r="X11" t="s" s="0">
        <v>84</v>
      </c>
      <c r="Y11" t="s" s="0">
        <v>84</v>
      </c>
      <c r="Z11" t="s" s="0">
        <v>96</v>
      </c>
      <c r="AA11" t="s" s="0">
        <v>97</v>
      </c>
      <c r="AB11" t="s" s="0">
        <v>84</v>
      </c>
      <c r="AC11" t="s" s="0">
        <v>84</v>
      </c>
      <c r="AD11" t="s" s="0">
        <v>84</v>
      </c>
      <c r="AE11" t="s" s="0">
        <v>84</v>
      </c>
      <c r="AF11" t="s" s="0">
        <v>84</v>
      </c>
      <c r="AG11" t="s" s="0">
        <v>84</v>
      </c>
      <c r="AH11" t="s" s="0">
        <v>419</v>
      </c>
      <c r="AI11" t="s" s="0">
        <v>84</v>
      </c>
      <c r="AJ11" t="s" s="0">
        <v>420</v>
      </c>
      <c r="AK11" t="s" s="0">
        <v>84</v>
      </c>
      <c r="AL11" t="s" s="0">
        <v>421</v>
      </c>
      <c r="AM11" t="s" s="0">
        <v>422</v>
      </c>
      <c r="AN11" t="s" s="0">
        <v>423</v>
      </c>
      <c r="AO11" t="s" s="0">
        <v>424</v>
      </c>
      <c r="AP11" t="s" s="0">
        <v>425</v>
      </c>
      <c r="AQ11" t="s" s="0">
        <v>426</v>
      </c>
      <c r="AR11" t="s" s="0">
        <v>427</v>
      </c>
      <c r="AS11" t="s" s="0">
        <v>428</v>
      </c>
      <c r="AT11" t="s" s="0">
        <v>429</v>
      </c>
      <c r="AU11" t="s" s="0">
        <v>430</v>
      </c>
      <c r="AV11" t="s" s="0">
        <v>84</v>
      </c>
      <c r="AW11" t="s" s="0">
        <v>431</v>
      </c>
      <c r="AX11" t="s" s="0">
        <v>432</v>
      </c>
      <c r="AY11" t="s" s="0">
        <v>433</v>
      </c>
      <c r="AZ11" t="s" s="0">
        <v>114</v>
      </c>
      <c r="BA11" t="s" s="0">
        <v>434</v>
      </c>
      <c r="BB11" t="s" s="0">
        <v>424</v>
      </c>
      <c r="BC11" t="s" s="0">
        <v>84</v>
      </c>
      <c r="BD11" t="s" s="0">
        <v>84</v>
      </c>
      <c r="BE11" t="s" s="0">
        <v>84</v>
      </c>
      <c r="BF11" t="s" s="0">
        <v>84</v>
      </c>
      <c r="BG11" t="s" s="0">
        <v>435</v>
      </c>
      <c r="BH11" t="s" s="0">
        <v>436</v>
      </c>
      <c r="BI11" t="s" s="0">
        <v>84</v>
      </c>
      <c r="BJ11" t="s" s="0">
        <v>437</v>
      </c>
      <c r="BK11" t="s" s="19">
        <f>HYPERLINK("http://dx.doi.org/10.1056/NEJMra2301725","http://dx.doi.org/10.1056/NEJMra2301725")</f>
        <v>438</v>
      </c>
      <c r="BL11" t="s" s="0">
        <v>84</v>
      </c>
      <c r="BM11" t="s" s="0">
        <v>84</v>
      </c>
      <c r="BN11" t="s" s="0">
        <v>439</v>
      </c>
      <c r="BO11" t="s" s="0">
        <v>404</v>
      </c>
      <c r="BP11" t="s" s="0">
        <v>405</v>
      </c>
      <c r="BQ11" t="s" s="0">
        <v>440</v>
      </c>
      <c r="BR11" t="s" s="0">
        <v>441</v>
      </c>
      <c r="BS11" t="s" s="0">
        <v>442</v>
      </c>
      <c r="BT11" t="s" s="20">
        <f>HYPERLINK("https://www.webofscience.com/wos/woscc/full-record/WOS:001003925600007","View Record in Web of Science")</f>
        <v>128</v>
      </c>
      <c r="BU11" t="s" s="0">
        <v>84</v>
      </c>
      <c r="BV11" t="s" s="0">
        <v>129</v>
      </c>
      <c r="BW11" t="s" s="0">
        <v>130</v>
      </c>
      <c r="BX11" t="s" s="0">
        <v>131</v>
      </c>
    </row>
    <row r="12">
      <c r="A12" t="s" s="0">
        <v>174</v>
      </c>
      <c r="B12" t="s" s="0">
        <v>78</v>
      </c>
      <c r="C12" t="s" s="0">
        <v>161</v>
      </c>
      <c r="D12" t="s" s="0">
        <v>78</v>
      </c>
      <c r="E12" t="s" s="0">
        <v>443</v>
      </c>
      <c r="F12" t="s" s="0">
        <v>444</v>
      </c>
      <c r="G12" t="s" s="0">
        <v>445</v>
      </c>
      <c r="H12" t="s" s="0">
        <v>84</v>
      </c>
      <c r="I12" t="s" s="0">
        <v>446</v>
      </c>
      <c r="J12" t="s" s="0">
        <v>447</v>
      </c>
      <c r="K12" t="s" s="0">
        <v>448</v>
      </c>
      <c r="L12" t="s" s="0">
        <v>449</v>
      </c>
      <c r="M12" t="s" s="0">
        <v>449</v>
      </c>
      <c r="N12" t="s" s="0">
        <v>254</v>
      </c>
      <c r="O12" t="s" s="0">
        <v>450</v>
      </c>
      <c r="P12" t="s" s="0">
        <v>451</v>
      </c>
      <c r="Q12" t="s" s="0">
        <v>93</v>
      </c>
      <c r="R12" t="s" s="0">
        <v>84</v>
      </c>
      <c r="S12" t="s" s="0">
        <v>84</v>
      </c>
      <c r="T12" t="s" s="0">
        <v>84</v>
      </c>
      <c r="U12" t="s" s="0">
        <v>84</v>
      </c>
      <c r="V12" t="s" s="0">
        <v>452</v>
      </c>
      <c r="W12" t="s" s="0">
        <v>453</v>
      </c>
      <c r="X12" t="s" s="0">
        <v>84</v>
      </c>
      <c r="Y12" t="s" s="0">
        <v>84</v>
      </c>
      <c r="Z12" t="s" s="0">
        <v>96</v>
      </c>
      <c r="AA12" t="s" s="0">
        <v>97</v>
      </c>
      <c r="AB12" t="s" s="0">
        <v>84</v>
      </c>
      <c r="AC12" t="s" s="0">
        <v>84</v>
      </c>
      <c r="AD12" t="s" s="0">
        <v>84</v>
      </c>
      <c r="AE12" t="s" s="0">
        <v>84</v>
      </c>
      <c r="AF12" t="s" s="0">
        <v>84</v>
      </c>
      <c r="AG12" t="s" s="0">
        <v>454</v>
      </c>
      <c r="AH12" t="s" s="0">
        <v>455</v>
      </c>
      <c r="AI12" t="s" s="0">
        <v>456</v>
      </c>
      <c r="AJ12" t="s" s="0">
        <v>457</v>
      </c>
      <c r="AK12" t="s" s="0">
        <v>84</v>
      </c>
      <c r="AL12" t="s" s="0">
        <v>458</v>
      </c>
      <c r="AM12" t="s" s="0">
        <v>459</v>
      </c>
      <c r="AN12" t="s" s="0">
        <v>460</v>
      </c>
      <c r="AO12" t="s" s="0">
        <v>461</v>
      </c>
      <c r="AP12" t="s" s="0">
        <v>462</v>
      </c>
      <c r="AQ12" t="s" s="0">
        <v>463</v>
      </c>
      <c r="AR12" t="s" s="0">
        <v>464</v>
      </c>
      <c r="AS12" t="s" s="0">
        <v>465</v>
      </c>
      <c r="AT12" t="s" s="0">
        <v>466</v>
      </c>
      <c r="AU12" t="s" s="0">
        <v>467</v>
      </c>
      <c r="AV12" t="s" s="0">
        <v>84</v>
      </c>
      <c r="AW12" t="s" s="0">
        <v>468</v>
      </c>
      <c r="AX12" t="s" s="0">
        <v>469</v>
      </c>
      <c r="AY12" t="s" s="0">
        <v>470</v>
      </c>
      <c r="AZ12" t="s" s="0">
        <v>273</v>
      </c>
      <c r="BA12" t="s" s="0">
        <v>132</v>
      </c>
      <c r="BB12" t="s" s="0">
        <v>283</v>
      </c>
      <c r="BC12" t="s" s="0">
        <v>84</v>
      </c>
      <c r="BD12" t="s" s="0">
        <v>84</v>
      </c>
      <c r="BE12" t="s" s="0">
        <v>84</v>
      </c>
      <c r="BF12" t="s" s="0">
        <v>84</v>
      </c>
      <c r="BG12" t="s" s="0">
        <v>471</v>
      </c>
      <c r="BH12" t="s" s="0">
        <v>472</v>
      </c>
      <c r="BI12" t="s" s="0">
        <v>84</v>
      </c>
      <c r="BJ12" t="s" s="0">
        <v>473</v>
      </c>
      <c r="BK12" t="s" s="21">
        <f>HYPERLINK("http://dx.doi.org/10.1007/s11846-023-00696-z","http://dx.doi.org/10.1007/s11846-023-00696-z")</f>
        <v>474</v>
      </c>
      <c r="BL12" t="s" s="0">
        <v>84</v>
      </c>
      <c r="BM12" t="s" s="0">
        <v>305</v>
      </c>
      <c r="BN12" t="s" s="0">
        <v>475</v>
      </c>
      <c r="BO12" t="s" s="0">
        <v>476</v>
      </c>
      <c r="BP12" t="s" s="0">
        <v>477</v>
      </c>
      <c r="BQ12" t="s" s="0">
        <v>478</v>
      </c>
      <c r="BR12" t="s" s="0">
        <v>84</v>
      </c>
      <c r="BS12" t="s" s="0">
        <v>479</v>
      </c>
      <c r="BT12" t="s" s="22">
        <f>HYPERLINK("https://www.webofscience.com/wos/woscc/full-record/WOS:001079655700001","View Record in Web of Science")</f>
        <v>128</v>
      </c>
      <c r="BU12" t="s" s="0">
        <v>480</v>
      </c>
      <c r="BV12" t="s" s="0">
        <v>129</v>
      </c>
      <c r="BW12" t="s" s="0">
        <v>130</v>
      </c>
      <c r="BX12" t="s" s="0">
        <v>131</v>
      </c>
    </row>
    <row r="13">
      <c r="A13" t="s" s="0">
        <v>174</v>
      </c>
      <c r="B13" t="s" s="0">
        <v>78</v>
      </c>
      <c r="C13" t="s" s="0">
        <v>165</v>
      </c>
      <c r="D13" t="s" s="0">
        <v>237</v>
      </c>
      <c r="E13" t="s" s="0">
        <v>481</v>
      </c>
      <c r="F13" t="s" s="0">
        <v>482</v>
      </c>
      <c r="G13" t="s" s="0">
        <v>483</v>
      </c>
      <c r="H13" t="s" s="0">
        <v>84</v>
      </c>
      <c r="I13" t="s" s="0">
        <v>85</v>
      </c>
      <c r="J13" t="s" s="0">
        <v>484</v>
      </c>
      <c r="K13" t="s" s="0">
        <v>485</v>
      </c>
      <c r="L13" t="s" s="0">
        <v>84</v>
      </c>
      <c r="M13" t="s" s="0">
        <v>84</v>
      </c>
      <c r="N13" t="s" s="0">
        <v>84</v>
      </c>
      <c r="O13" t="s" s="0">
        <v>486</v>
      </c>
      <c r="P13" t="s" s="0">
        <v>487</v>
      </c>
      <c r="Q13" t="s" s="0">
        <v>93</v>
      </c>
      <c r="R13" t="s" s="0">
        <v>84</v>
      </c>
      <c r="S13" t="s" s="0">
        <v>84</v>
      </c>
      <c r="T13" t="s" s="0">
        <v>84</v>
      </c>
      <c r="U13" t="s" s="0">
        <v>84</v>
      </c>
      <c r="V13" t="s" s="0">
        <v>488</v>
      </c>
      <c r="W13" t="s" s="0">
        <v>489</v>
      </c>
      <c r="X13" t="s" s="0">
        <v>84</v>
      </c>
      <c r="Y13" t="s" s="0">
        <v>84</v>
      </c>
      <c r="Z13" t="s" s="0">
        <v>96</v>
      </c>
      <c r="AA13" t="s" s="0">
        <v>97</v>
      </c>
      <c r="AB13" t="s" s="0">
        <v>84</v>
      </c>
      <c r="AC13" t="s" s="0">
        <v>84</v>
      </c>
      <c r="AD13" t="s" s="0">
        <v>84</v>
      </c>
      <c r="AE13" t="s" s="0">
        <v>84</v>
      </c>
      <c r="AF13" t="s" s="0">
        <v>84</v>
      </c>
      <c r="AG13" t="s" s="0">
        <v>490</v>
      </c>
      <c r="AH13" t="s" s="0">
        <v>491</v>
      </c>
      <c r="AI13" t="s" s="0">
        <v>492</v>
      </c>
      <c r="AJ13" t="s" s="0">
        <v>493</v>
      </c>
      <c r="AK13" t="s" s="0">
        <v>84</v>
      </c>
      <c r="AL13" t="s" s="0">
        <v>494</v>
      </c>
      <c r="AM13" t="s" s="0">
        <v>495</v>
      </c>
      <c r="AN13" t="s" s="0">
        <v>496</v>
      </c>
      <c r="AO13" t="s" s="0">
        <v>310</v>
      </c>
      <c r="AP13" t="s" s="0">
        <v>497</v>
      </c>
      <c r="AQ13" t="s" s="0">
        <v>498</v>
      </c>
      <c r="AR13" t="s" s="0">
        <v>499</v>
      </c>
      <c r="AS13" t="s" s="0">
        <v>500</v>
      </c>
      <c r="AT13" t="s" s="0">
        <v>501</v>
      </c>
      <c r="AU13" t="s" s="0">
        <v>84</v>
      </c>
      <c r="AV13" t="s" s="0">
        <v>84</v>
      </c>
      <c r="AW13" t="s" s="0">
        <v>502</v>
      </c>
      <c r="AX13" t="s" s="0">
        <v>503</v>
      </c>
      <c r="AY13" t="s" s="0">
        <v>114</v>
      </c>
      <c r="AZ13" t="s" s="0">
        <v>114</v>
      </c>
      <c r="BA13" t="s" s="0">
        <v>196</v>
      </c>
      <c r="BB13" t="s" s="0">
        <v>84</v>
      </c>
      <c r="BC13" t="s" s="0">
        <v>84</v>
      </c>
      <c r="BD13" t="s" s="0">
        <v>84</v>
      </c>
      <c r="BE13" t="s" s="0">
        <v>84</v>
      </c>
      <c r="BF13" t="s" s="0">
        <v>84</v>
      </c>
      <c r="BG13" t="s" s="0">
        <v>84</v>
      </c>
      <c r="BH13" t="s" s="0">
        <v>84</v>
      </c>
      <c r="BI13" t="s" s="0">
        <v>504</v>
      </c>
      <c r="BJ13" t="s" s="0">
        <v>505</v>
      </c>
      <c r="BK13" t="s" s="23">
        <f>HYPERLINK("http://dx.doi.org/10.2196/48785","http://dx.doi.org/10.2196/48785")</f>
        <v>506</v>
      </c>
      <c r="BL13" t="s" s="0">
        <v>84</v>
      </c>
      <c r="BM13" t="s" s="0">
        <v>84</v>
      </c>
      <c r="BN13" t="s" s="0">
        <v>206</v>
      </c>
      <c r="BO13" t="s" s="0">
        <v>507</v>
      </c>
      <c r="BP13" t="s" s="0">
        <v>508</v>
      </c>
      <c r="BQ13" t="s" s="0">
        <v>509</v>
      </c>
      <c r="BR13" t="s" s="0">
        <v>510</v>
      </c>
      <c r="BS13" t="s" s="0">
        <v>511</v>
      </c>
      <c r="BT13" t="s" s="24">
        <f>HYPERLINK("https://www.webofscience.com/wos/woscc/full-record/WOS:001104608100001","View Record in Web of Science")</f>
        <v>128</v>
      </c>
      <c r="BU13" t="s" s="0">
        <v>171</v>
      </c>
      <c r="BV13" t="s" s="0">
        <v>129</v>
      </c>
      <c r="BW13" t="s" s="0">
        <v>130</v>
      </c>
      <c r="BX13" t="s" s="0">
        <v>131</v>
      </c>
    </row>
    <row r="14">
      <c r="A14" t="s" s="0">
        <v>161</v>
      </c>
      <c r="B14" t="s" s="0">
        <v>78</v>
      </c>
      <c r="C14" t="s" s="0">
        <v>512</v>
      </c>
      <c r="D14" t="s" s="0">
        <v>237</v>
      </c>
      <c r="E14" t="s" s="0">
        <v>513</v>
      </c>
      <c r="F14" t="s" s="0">
        <v>514</v>
      </c>
      <c r="G14" t="s" s="0">
        <v>515</v>
      </c>
      <c r="H14" t="s" s="0">
        <v>84</v>
      </c>
      <c r="I14" t="s" s="0">
        <v>85</v>
      </c>
      <c r="J14" t="s" s="0">
        <v>516</v>
      </c>
      <c r="K14" t="s" s="0">
        <v>517</v>
      </c>
      <c r="L14" t="s" s="0">
        <v>518</v>
      </c>
      <c r="M14" t="s" s="0">
        <v>519</v>
      </c>
      <c r="N14" t="s" s="0">
        <v>520</v>
      </c>
      <c r="O14" t="s" s="0">
        <v>521</v>
      </c>
      <c r="P14" t="s" s="0">
        <v>522</v>
      </c>
      <c r="Q14" t="s" s="0">
        <v>93</v>
      </c>
      <c r="R14" t="s" s="0">
        <v>84</v>
      </c>
      <c r="S14" t="s" s="0">
        <v>84</v>
      </c>
      <c r="T14" t="s" s="0">
        <v>84</v>
      </c>
      <c r="U14" t="s" s="0">
        <v>84</v>
      </c>
      <c r="V14" t="s" s="0">
        <v>523</v>
      </c>
      <c r="W14" t="s" s="0">
        <v>524</v>
      </c>
      <c r="X14" t="s" s="0">
        <v>84</v>
      </c>
      <c r="Y14" t="s" s="0">
        <v>84</v>
      </c>
      <c r="Z14" t="s" s="0">
        <v>96</v>
      </c>
      <c r="AA14" t="s" s="0">
        <v>97</v>
      </c>
      <c r="AB14" t="s" s="0">
        <v>84</v>
      </c>
      <c r="AC14" t="s" s="0">
        <v>84</v>
      </c>
      <c r="AD14" t="s" s="0">
        <v>84</v>
      </c>
      <c r="AE14" t="s" s="0">
        <v>84</v>
      </c>
      <c r="AF14" t="s" s="0">
        <v>84</v>
      </c>
      <c r="AG14" t="s" s="0">
        <v>84</v>
      </c>
      <c r="AH14" t="s" s="0">
        <v>525</v>
      </c>
      <c r="AI14" t="s" s="0">
        <v>526</v>
      </c>
      <c r="AJ14" t="s" s="0">
        <v>527</v>
      </c>
      <c r="AK14" t="s" s="0">
        <v>84</v>
      </c>
      <c r="AL14" t="s" s="0">
        <v>528</v>
      </c>
      <c r="AM14" t="s" s="0">
        <v>529</v>
      </c>
      <c r="AN14" t="s" s="0">
        <v>530</v>
      </c>
      <c r="AO14" t="s" s="0">
        <v>310</v>
      </c>
      <c r="AP14" t="s" s="0">
        <v>531</v>
      </c>
      <c r="AQ14" t="s" s="0">
        <v>532</v>
      </c>
      <c r="AR14" t="s" s="0">
        <v>533</v>
      </c>
      <c r="AS14" t="s" s="0">
        <v>534</v>
      </c>
      <c r="AT14" t="s" s="0">
        <v>84</v>
      </c>
      <c r="AU14" t="s" s="0">
        <v>535</v>
      </c>
      <c r="AV14" t="s" s="0">
        <v>84</v>
      </c>
      <c r="AW14" t="s" s="0">
        <v>524</v>
      </c>
      <c r="AX14" t="s" s="0">
        <v>536</v>
      </c>
      <c r="AY14" t="s" s="0">
        <v>537</v>
      </c>
      <c r="AZ14" t="s" s="0">
        <v>273</v>
      </c>
      <c r="BA14" t="s" s="0">
        <v>538</v>
      </c>
      <c r="BB14" t="s" s="0">
        <v>80</v>
      </c>
      <c r="BC14" t="s" s="0">
        <v>84</v>
      </c>
      <c r="BD14" t="s" s="0">
        <v>84</v>
      </c>
      <c r="BE14" t="s" s="0">
        <v>84</v>
      </c>
      <c r="BF14" t="s" s="0">
        <v>84</v>
      </c>
      <c r="BG14" t="s" s="0">
        <v>84</v>
      </c>
      <c r="BH14" t="s" s="0">
        <v>84</v>
      </c>
      <c r="BI14" t="s" s="0">
        <v>539</v>
      </c>
      <c r="BJ14" t="s" s="0">
        <v>540</v>
      </c>
      <c r="BK14" t="s" s="25">
        <f>HYPERLINK("http://dx.doi.org/10.1016/j.isci.2024.109713","http://dx.doi.org/10.1016/j.isci.2024.109713")</f>
        <v>541</v>
      </c>
      <c r="BL14" t="s" s="0">
        <v>84</v>
      </c>
      <c r="BM14" t="s" s="0">
        <v>542</v>
      </c>
      <c r="BN14" t="s" s="0">
        <v>543</v>
      </c>
      <c r="BO14" t="s" s="0">
        <v>544</v>
      </c>
      <c r="BP14" t="s" s="0">
        <v>545</v>
      </c>
      <c r="BQ14" t="s" s="0">
        <v>546</v>
      </c>
      <c r="BR14" t="s" s="0">
        <v>547</v>
      </c>
      <c r="BS14" t="s" s="0">
        <v>548</v>
      </c>
      <c r="BT14" t="s" s="26">
        <f>HYPERLINK("https://www.webofscience.com/wos/woscc/full-record/WOS:001240677700001","View Record in Web of Science")</f>
        <v>128</v>
      </c>
      <c r="BU14" t="s" s="0">
        <v>171</v>
      </c>
      <c r="BV14" t="s" s="0">
        <v>130</v>
      </c>
      <c r="BW14" t="s" s="0">
        <v>130</v>
      </c>
      <c r="BX14" t="s" s="0">
        <v>131</v>
      </c>
    </row>
    <row r="15">
      <c r="A15" t="s" s="0">
        <v>549</v>
      </c>
      <c r="B15" t="s" s="0">
        <v>78</v>
      </c>
      <c r="C15" t="s" s="0">
        <v>475</v>
      </c>
      <c r="D15" t="s" s="0">
        <v>237</v>
      </c>
      <c r="E15" t="s" s="0">
        <v>550</v>
      </c>
      <c r="F15" t="s" s="0">
        <v>551</v>
      </c>
      <c r="G15" t="s" s="0">
        <v>552</v>
      </c>
      <c r="H15" t="s" s="0">
        <v>84</v>
      </c>
      <c r="I15" t="s" s="0">
        <v>212</v>
      </c>
      <c r="J15" t="s" s="0">
        <v>553</v>
      </c>
      <c r="K15" t="s" s="0">
        <v>554</v>
      </c>
      <c r="L15" t="s" s="0">
        <v>84</v>
      </c>
      <c r="M15" t="s" s="0">
        <v>84</v>
      </c>
      <c r="N15" t="s" s="0">
        <v>84</v>
      </c>
      <c r="O15" t="s" s="0">
        <v>555</v>
      </c>
      <c r="P15" t="s" s="0">
        <v>556</v>
      </c>
      <c r="Q15" t="s" s="0">
        <v>93</v>
      </c>
      <c r="R15" t="s" s="0">
        <v>84</v>
      </c>
      <c r="S15" t="s" s="0">
        <v>84</v>
      </c>
      <c r="T15" t="s" s="0">
        <v>84</v>
      </c>
      <c r="U15" t="s" s="0">
        <v>84</v>
      </c>
      <c r="V15" t="s" s="0">
        <v>557</v>
      </c>
      <c r="W15" t="s" s="0">
        <v>558</v>
      </c>
      <c r="X15" t="s" s="0">
        <v>84</v>
      </c>
      <c r="Y15" t="s" s="0">
        <v>84</v>
      </c>
      <c r="Z15" t="s" s="0">
        <v>96</v>
      </c>
      <c r="AA15" t="s" s="0">
        <v>97</v>
      </c>
      <c r="AB15" t="s" s="0">
        <v>84</v>
      </c>
      <c r="AC15" t="s" s="0">
        <v>84</v>
      </c>
      <c r="AD15" t="s" s="0">
        <v>84</v>
      </c>
      <c r="AE15" t="s" s="0">
        <v>84</v>
      </c>
      <c r="AF15" t="s" s="0">
        <v>84</v>
      </c>
      <c r="AG15" t="s" s="0">
        <v>559</v>
      </c>
      <c r="AH15" t="s" s="0">
        <v>84</v>
      </c>
      <c r="AI15" t="s" s="0">
        <v>560</v>
      </c>
      <c r="AJ15" t="s" s="0">
        <v>561</v>
      </c>
      <c r="AK15" t="s" s="0">
        <v>84</v>
      </c>
      <c r="AL15" t="s" s="0">
        <v>562</v>
      </c>
      <c r="AM15" t="s" s="0">
        <v>563</v>
      </c>
      <c r="AN15" t="s" s="0">
        <v>564</v>
      </c>
      <c r="AO15" t="s" s="0">
        <v>549</v>
      </c>
      <c r="AP15" t="s" s="0">
        <v>565</v>
      </c>
      <c r="AQ15" t="s" s="0">
        <v>154</v>
      </c>
      <c r="AR15" t="s" s="0">
        <v>155</v>
      </c>
      <c r="AS15" t="s" s="0">
        <v>156</v>
      </c>
      <c r="AT15" t="s" s="0">
        <v>84</v>
      </c>
      <c r="AU15" t="s" s="0">
        <v>566</v>
      </c>
      <c r="AV15" t="s" s="0">
        <v>84</v>
      </c>
      <c r="AW15" t="s" s="0">
        <v>558</v>
      </c>
      <c r="AX15" t="s" s="0">
        <v>567</v>
      </c>
      <c r="AY15" t="s" s="0">
        <v>568</v>
      </c>
      <c r="AZ15" t="s" s="0">
        <v>273</v>
      </c>
      <c r="BA15" t="s" s="0">
        <v>122</v>
      </c>
      <c r="BB15" t="s" s="0">
        <v>174</v>
      </c>
      <c r="BC15" t="s" s="0">
        <v>84</v>
      </c>
      <c r="BD15" t="s" s="0">
        <v>84</v>
      </c>
      <c r="BE15" t="s" s="0">
        <v>84</v>
      </c>
      <c r="BF15" t="s" s="0">
        <v>84</v>
      </c>
      <c r="BG15" t="s" s="0">
        <v>84</v>
      </c>
      <c r="BH15" t="s" s="0">
        <v>84</v>
      </c>
      <c r="BI15" t="s" s="0">
        <v>569</v>
      </c>
      <c r="BJ15" t="s" s="0">
        <v>570</v>
      </c>
      <c r="BK15" t="s" s="27">
        <f>HYPERLINK("http://dx.doi.org/10.3390/informatics11030057","http://dx.doi.org/10.3390/informatics11030057")</f>
        <v>571</v>
      </c>
      <c r="BL15" t="s" s="0">
        <v>84</v>
      </c>
      <c r="BM15" t="s" s="0">
        <v>84</v>
      </c>
      <c r="BN15" t="s" s="0">
        <v>572</v>
      </c>
      <c r="BO15" t="s" s="0">
        <v>573</v>
      </c>
      <c r="BP15" t="s" s="0">
        <v>574</v>
      </c>
      <c r="BQ15" t="s" s="0">
        <v>575</v>
      </c>
      <c r="BR15" t="s" s="0">
        <v>84</v>
      </c>
      <c r="BS15" t="s" s="0">
        <v>576</v>
      </c>
      <c r="BT15" t="s" s="28">
        <f>HYPERLINK("https://www.webofscience.com/wos/woscc/full-record/WOS:001323615500001","View Record in Web of Science")</f>
        <v>128</v>
      </c>
      <c r="BU15" t="s" s="0">
        <v>577</v>
      </c>
      <c r="BV15" t="s" s="0">
        <v>84</v>
      </c>
      <c r="BW15" t="s" s="0">
        <v>84</v>
      </c>
      <c r="BX15" t="s" s="0">
        <v>131</v>
      </c>
    </row>
    <row r="16">
      <c r="A16" t="s" s="0">
        <v>116</v>
      </c>
      <c r="B16" t="s" s="0">
        <v>78</v>
      </c>
      <c r="C16" t="s" s="0">
        <v>315</v>
      </c>
      <c r="D16" t="s" s="0">
        <v>78</v>
      </c>
      <c r="E16" t="s" s="0">
        <v>578</v>
      </c>
      <c r="F16" t="s" s="0">
        <v>579</v>
      </c>
      <c r="G16" t="s" s="0">
        <v>580</v>
      </c>
      <c r="H16" t="s" s="0">
        <v>84</v>
      </c>
      <c r="I16" t="s" s="0">
        <v>85</v>
      </c>
      <c r="J16" t="s" s="0">
        <v>581</v>
      </c>
      <c r="K16" t="s" s="0">
        <v>582</v>
      </c>
      <c r="L16" t="s" s="0">
        <v>84</v>
      </c>
      <c r="M16" t="s" s="0">
        <v>84</v>
      </c>
      <c r="N16" t="s" s="0">
        <v>84</v>
      </c>
      <c r="O16" t="s" s="0">
        <v>583</v>
      </c>
      <c r="P16" t="s" s="0">
        <v>584</v>
      </c>
      <c r="Q16" t="s" s="0">
        <v>93</v>
      </c>
      <c r="R16" t="s" s="0">
        <v>84</v>
      </c>
      <c r="S16" t="s" s="0">
        <v>84</v>
      </c>
      <c r="T16" t="s" s="0">
        <v>84</v>
      </c>
      <c r="U16" t="s" s="0">
        <v>84</v>
      </c>
      <c r="V16" t="s" s="0">
        <v>585</v>
      </c>
      <c r="W16" t="s" s="0">
        <v>586</v>
      </c>
      <c r="X16" t="s" s="0">
        <v>84</v>
      </c>
      <c r="Y16" t="s" s="0">
        <v>84</v>
      </c>
      <c r="Z16" t="s" s="0">
        <v>96</v>
      </c>
      <c r="AA16" t="s" s="0">
        <v>97</v>
      </c>
      <c r="AB16" t="s" s="0">
        <v>84</v>
      </c>
      <c r="AC16" t="s" s="0">
        <v>84</v>
      </c>
      <c r="AD16" t="s" s="0">
        <v>84</v>
      </c>
      <c r="AE16" t="s" s="0">
        <v>84</v>
      </c>
      <c r="AF16" t="s" s="0">
        <v>84</v>
      </c>
      <c r="AG16" t="s" s="0">
        <v>84</v>
      </c>
      <c r="AH16" t="s" s="0">
        <v>587</v>
      </c>
      <c r="AI16" t="s" s="0">
        <v>588</v>
      </c>
      <c r="AJ16" t="s" s="0">
        <v>589</v>
      </c>
      <c r="AK16" t="s" s="0">
        <v>84</v>
      </c>
      <c r="AL16" t="s" s="0">
        <v>590</v>
      </c>
      <c r="AM16" t="s" s="0">
        <v>591</v>
      </c>
      <c r="AN16" t="s" s="0">
        <v>592</v>
      </c>
      <c r="AO16" t="s" s="0">
        <v>201</v>
      </c>
      <c r="AP16" t="s" s="0">
        <v>593</v>
      </c>
      <c r="AQ16" t="s" s="0">
        <v>594</v>
      </c>
      <c r="AR16" t="s" s="0">
        <v>595</v>
      </c>
      <c r="AS16" t="s" s="0">
        <v>596</v>
      </c>
      <c r="AT16" t="s" s="0">
        <v>597</v>
      </c>
      <c r="AU16" t="s" s="0">
        <v>598</v>
      </c>
      <c r="AV16" t="s" s="0">
        <v>84</v>
      </c>
      <c r="AW16" t="s" s="0">
        <v>586</v>
      </c>
      <c r="AX16" t="s" s="0">
        <v>599</v>
      </c>
      <c r="AY16" t="s" s="0">
        <v>600</v>
      </c>
      <c r="AZ16" t="s" s="0">
        <v>273</v>
      </c>
      <c r="BA16" t="s" s="0">
        <v>601</v>
      </c>
      <c r="BB16" t="s" s="0">
        <v>237</v>
      </c>
      <c r="BC16" t="s" s="0">
        <v>84</v>
      </c>
      <c r="BD16" t="s" s="0">
        <v>84</v>
      </c>
      <c r="BE16" t="s" s="0">
        <v>84</v>
      </c>
      <c r="BF16" t="s" s="0">
        <v>84</v>
      </c>
      <c r="BG16" t="s" s="0">
        <v>84</v>
      </c>
      <c r="BH16" t="s" s="0">
        <v>84</v>
      </c>
      <c r="BI16" t="s" s="0">
        <v>602</v>
      </c>
      <c r="BJ16" t="s" s="0">
        <v>603</v>
      </c>
      <c r="BK16" t="s" s="29">
        <f>HYPERLINK("http://dx.doi.org/10.1148/radiol.232756","http://dx.doi.org/10.1148/radiol.232756")</f>
        <v>604</v>
      </c>
      <c r="BL16" t="s" s="0">
        <v>84</v>
      </c>
      <c r="BM16" t="s" s="0">
        <v>84</v>
      </c>
      <c r="BN16" t="s" s="0">
        <v>122</v>
      </c>
      <c r="BO16" t="s" s="0">
        <v>605</v>
      </c>
      <c r="BP16" t="s" s="0">
        <v>605</v>
      </c>
      <c r="BQ16" t="s" s="0">
        <v>606</v>
      </c>
      <c r="BR16" t="s" s="0">
        <v>607</v>
      </c>
      <c r="BS16" t="s" s="0">
        <v>608</v>
      </c>
      <c r="BT16" t="s" s="30">
        <f>HYPERLINK("https://www.webofscience.com/wos/woscc/full-record/WOS:001186842800006","View Record in Web of Science")</f>
        <v>128</v>
      </c>
      <c r="BU16" t="s" s="0">
        <v>84</v>
      </c>
      <c r="BV16" t="s" s="0">
        <v>129</v>
      </c>
      <c r="BW16" t="s" s="0">
        <v>130</v>
      </c>
      <c r="BX16" t="s" s="0">
        <v>131</v>
      </c>
    </row>
    <row r="17">
      <c r="A17" t="s" s="0">
        <v>116</v>
      </c>
      <c r="B17" t="s" s="0">
        <v>78</v>
      </c>
      <c r="C17" t="s" s="0">
        <v>609</v>
      </c>
      <c r="D17" t="s" s="0">
        <v>78</v>
      </c>
      <c r="E17" t="s" s="0">
        <v>610</v>
      </c>
      <c r="F17" t="s" s="0">
        <v>611</v>
      </c>
      <c r="G17" t="s" s="0">
        <v>612</v>
      </c>
      <c r="H17" t="s" s="0">
        <v>84</v>
      </c>
      <c r="I17" t="s" s="0">
        <v>85</v>
      </c>
      <c r="J17" t="s" s="0">
        <v>613</v>
      </c>
      <c r="K17" t="s" s="0">
        <v>614</v>
      </c>
      <c r="L17" t="s" s="0">
        <v>615</v>
      </c>
      <c r="M17" t="s" s="0">
        <v>616</v>
      </c>
      <c r="N17" t="s" s="0">
        <v>617</v>
      </c>
      <c r="O17" t="s" s="0">
        <v>618</v>
      </c>
      <c r="P17" t="s" s="0">
        <v>619</v>
      </c>
      <c r="Q17" t="s" s="0">
        <v>93</v>
      </c>
      <c r="R17" t="s" s="0">
        <v>84</v>
      </c>
      <c r="S17" t="s" s="0">
        <v>84</v>
      </c>
      <c r="T17" t="s" s="0">
        <v>84</v>
      </c>
      <c r="U17" t="s" s="0">
        <v>84</v>
      </c>
      <c r="V17" t="s" s="0">
        <v>620</v>
      </c>
      <c r="W17" t="s" s="0">
        <v>359</v>
      </c>
      <c r="X17" t="s" s="0">
        <v>84</v>
      </c>
      <c r="Y17" t="s" s="0">
        <v>84</v>
      </c>
      <c r="Z17" t="s" s="0">
        <v>96</v>
      </c>
      <c r="AA17" t="s" s="0">
        <v>97</v>
      </c>
      <c r="AB17" t="s" s="0">
        <v>84</v>
      </c>
      <c r="AC17" t="s" s="0">
        <v>84</v>
      </c>
      <c r="AD17" t="s" s="0">
        <v>84</v>
      </c>
      <c r="AE17" t="s" s="0">
        <v>84</v>
      </c>
      <c r="AF17" t="s" s="0">
        <v>84</v>
      </c>
      <c r="AG17" t="s" s="0">
        <v>84</v>
      </c>
      <c r="AH17" t="s" s="0">
        <v>621</v>
      </c>
      <c r="AI17" t="s" s="0">
        <v>622</v>
      </c>
      <c r="AJ17" t="s" s="0">
        <v>623</v>
      </c>
      <c r="AK17" t="s" s="0">
        <v>84</v>
      </c>
      <c r="AL17" t="s" s="0">
        <v>624</v>
      </c>
      <c r="AM17" t="s" s="0">
        <v>625</v>
      </c>
      <c r="AN17" t="s" s="0">
        <v>626</v>
      </c>
      <c r="AO17" t="s" s="0">
        <v>132</v>
      </c>
      <c r="AP17" t="s" s="0">
        <v>627</v>
      </c>
      <c r="AQ17" t="s" s="0">
        <v>106</v>
      </c>
      <c r="AR17" t="s" s="0">
        <v>107</v>
      </c>
      <c r="AS17" t="s" s="0">
        <v>108</v>
      </c>
      <c r="AT17" t="s" s="0">
        <v>367</v>
      </c>
      <c r="AU17" t="s" s="0">
        <v>84</v>
      </c>
      <c r="AV17" t="s" s="0">
        <v>84</v>
      </c>
      <c r="AW17" t="s" s="0">
        <v>368</v>
      </c>
      <c r="AX17" t="s" s="0">
        <v>369</v>
      </c>
      <c r="AY17" t="s" s="0">
        <v>628</v>
      </c>
      <c r="AZ17" t="s" s="0">
        <v>273</v>
      </c>
      <c r="BA17" t="s" s="0">
        <v>549</v>
      </c>
      <c r="BB17" t="s" s="0">
        <v>237</v>
      </c>
      <c r="BC17" t="s" s="0">
        <v>84</v>
      </c>
      <c r="BD17" t="s" s="0">
        <v>84</v>
      </c>
      <c r="BE17" t="s" s="0">
        <v>84</v>
      </c>
      <c r="BF17" t="s" s="0">
        <v>84</v>
      </c>
      <c r="BG17" t="s" s="0">
        <v>84</v>
      </c>
      <c r="BH17" t="s" s="0">
        <v>84</v>
      </c>
      <c r="BI17" t="s" s="0">
        <v>629</v>
      </c>
      <c r="BJ17" t="s" s="0">
        <v>630</v>
      </c>
      <c r="BK17" t="s" s="31">
        <f>HYPERLINK("http://dx.doi.org/10.1038/s41746-024-01157-x","http://dx.doi.org/10.1038/s41746-024-01157-x")</f>
        <v>631</v>
      </c>
      <c r="BL17" t="s" s="0">
        <v>84</v>
      </c>
      <c r="BM17" t="s" s="0">
        <v>84</v>
      </c>
      <c r="BN17" t="s" s="0">
        <v>122</v>
      </c>
      <c r="BO17" t="s" s="0">
        <v>374</v>
      </c>
      <c r="BP17" t="s" s="0">
        <v>374</v>
      </c>
      <c r="BQ17" t="s" s="0">
        <v>632</v>
      </c>
      <c r="BR17" t="s" s="0">
        <v>633</v>
      </c>
      <c r="BS17" t="s" s="0">
        <v>634</v>
      </c>
      <c r="BT17" t="s" s="32">
        <f>HYPERLINK("https://www.webofscience.com/wos/woscc/full-record/WOS:001264773400001","View Record in Web of Science")</f>
        <v>128</v>
      </c>
      <c r="BU17" t="s" s="0">
        <v>171</v>
      </c>
      <c r="BV17" t="s" s="0">
        <v>129</v>
      </c>
      <c r="BW17" t="s" s="0">
        <v>130</v>
      </c>
      <c r="BX17" t="s" s="0">
        <v>131</v>
      </c>
    </row>
    <row r="18">
      <c r="A18" t="s" s="0">
        <v>116</v>
      </c>
      <c r="B18" t="s" s="0">
        <v>78</v>
      </c>
      <c r="C18" t="s" s="0">
        <v>635</v>
      </c>
      <c r="D18" t="s" s="0">
        <v>78</v>
      </c>
      <c r="E18" t="s" s="0">
        <v>636</v>
      </c>
      <c r="F18" t="s" s="0">
        <v>637</v>
      </c>
      <c r="G18" t="s" s="0">
        <v>638</v>
      </c>
      <c r="H18" t="s" s="0">
        <v>84</v>
      </c>
      <c r="I18" t="s" s="0">
        <v>85</v>
      </c>
      <c r="J18" t="s" s="0">
        <v>639</v>
      </c>
      <c r="K18" t="s" s="0">
        <v>640</v>
      </c>
      <c r="L18" t="s" s="0">
        <v>641</v>
      </c>
      <c r="M18" t="s" s="0">
        <v>642</v>
      </c>
      <c r="N18" t="s" s="0">
        <v>643</v>
      </c>
      <c r="O18" t="s" s="0">
        <v>644</v>
      </c>
      <c r="P18" t="s" s="0">
        <v>645</v>
      </c>
      <c r="Q18" t="s" s="0">
        <v>93</v>
      </c>
      <c r="R18" t="s" s="0">
        <v>84</v>
      </c>
      <c r="S18" t="s" s="0">
        <v>84</v>
      </c>
      <c r="T18" t="s" s="0">
        <v>84</v>
      </c>
      <c r="U18" t="s" s="0">
        <v>84</v>
      </c>
      <c r="V18" t="s" s="0">
        <v>646</v>
      </c>
      <c r="W18" t="s" s="0">
        <v>647</v>
      </c>
      <c r="X18" t="s" s="0">
        <v>84</v>
      </c>
      <c r="Y18" t="s" s="0">
        <v>84</v>
      </c>
      <c r="Z18" t="s" s="0">
        <v>96</v>
      </c>
      <c r="AA18" t="s" s="0">
        <v>97</v>
      </c>
      <c r="AB18" t="s" s="0">
        <v>84</v>
      </c>
      <c r="AC18" t="s" s="0">
        <v>84</v>
      </c>
      <c r="AD18" t="s" s="0">
        <v>84</v>
      </c>
      <c r="AE18" t="s" s="0">
        <v>84</v>
      </c>
      <c r="AF18" t="s" s="0">
        <v>84</v>
      </c>
      <c r="AG18" t="s" s="0">
        <v>648</v>
      </c>
      <c r="AH18" t="s" s="0">
        <v>649</v>
      </c>
      <c r="AI18" t="s" s="0">
        <v>650</v>
      </c>
      <c r="AJ18" t="s" s="0">
        <v>651</v>
      </c>
      <c r="AK18" t="s" s="0">
        <v>84</v>
      </c>
      <c r="AL18" t="s" s="0">
        <v>458</v>
      </c>
      <c r="AM18" t="s" s="0">
        <v>652</v>
      </c>
      <c r="AN18" t="s" s="0">
        <v>653</v>
      </c>
      <c r="AO18" t="s" s="0">
        <v>165</v>
      </c>
      <c r="AP18" t="s" s="0">
        <v>654</v>
      </c>
      <c r="AQ18" t="s" s="0">
        <v>655</v>
      </c>
      <c r="AR18" t="s" s="0">
        <v>656</v>
      </c>
      <c r="AS18" t="s" s="0">
        <v>657</v>
      </c>
      <c r="AT18" t="s" s="0">
        <v>658</v>
      </c>
      <c r="AU18" t="s" s="0">
        <v>659</v>
      </c>
      <c r="AV18" t="s" s="0">
        <v>84</v>
      </c>
      <c r="AW18" t="s" s="0">
        <v>660</v>
      </c>
      <c r="AX18" t="s" s="0">
        <v>661</v>
      </c>
      <c r="AY18" t="s" s="0">
        <v>600</v>
      </c>
      <c r="AZ18" t="s" s="0">
        <v>273</v>
      </c>
      <c r="BA18" t="s" s="0">
        <v>662</v>
      </c>
      <c r="BB18" t="s" s="0">
        <v>237</v>
      </c>
      <c r="BC18" t="s" s="0">
        <v>84</v>
      </c>
      <c r="BD18" t="s" s="0">
        <v>84</v>
      </c>
      <c r="BE18" t="s" s="0">
        <v>84</v>
      </c>
      <c r="BF18" t="s" s="0">
        <v>84</v>
      </c>
      <c r="BG18" t="s" s="0">
        <v>84</v>
      </c>
      <c r="BH18" t="s" s="0">
        <v>84</v>
      </c>
      <c r="BI18" t="s" s="0">
        <v>663</v>
      </c>
      <c r="BJ18" t="s" s="0">
        <v>664</v>
      </c>
      <c r="BK18" t="s" s="33">
        <f>HYPERLINK("http://dx.doi.org/10.1093/bib/bbad493","http://dx.doi.org/10.1093/bib/bbad493")</f>
        <v>665</v>
      </c>
      <c r="BL18" t="s" s="0">
        <v>84</v>
      </c>
      <c r="BM18" t="s" s="0">
        <v>84</v>
      </c>
      <c r="BN18" t="s" s="0">
        <v>206</v>
      </c>
      <c r="BO18" t="s" s="0">
        <v>666</v>
      </c>
      <c r="BP18" t="s" s="0">
        <v>667</v>
      </c>
      <c r="BQ18" t="s" s="0">
        <v>668</v>
      </c>
      <c r="BR18" t="s" s="0">
        <v>669</v>
      </c>
      <c r="BS18" t="s" s="0">
        <v>670</v>
      </c>
      <c r="BT18" t="s" s="34">
        <f>HYPERLINK("https://www.webofscience.com/wos/woscc/full-record/WOS:001173375300024","View Record in Web of Science")</f>
        <v>128</v>
      </c>
      <c r="BU18" t="s" s="0">
        <v>480</v>
      </c>
      <c r="BV18" t="s" s="0">
        <v>129</v>
      </c>
      <c r="BW18" t="s" s="0">
        <v>130</v>
      </c>
      <c r="BX18" t="s" s="0">
        <v>131</v>
      </c>
    </row>
    <row r="19">
      <c r="A19" t="s" s="0">
        <v>161</v>
      </c>
      <c r="B19" t="s" s="0">
        <v>78</v>
      </c>
      <c r="C19" t="s" s="0">
        <v>671</v>
      </c>
      <c r="D19" t="s" s="0">
        <v>237</v>
      </c>
      <c r="E19" t="s" s="0">
        <v>672</v>
      </c>
      <c r="F19" t="s" s="0">
        <v>673</v>
      </c>
      <c r="G19" t="s" s="0">
        <v>674</v>
      </c>
      <c r="H19" t="s" s="0">
        <v>84</v>
      </c>
      <c r="I19" t="s" s="0">
        <v>212</v>
      </c>
      <c r="J19" t="s" s="0">
        <v>675</v>
      </c>
      <c r="K19" t="s" s="0">
        <v>676</v>
      </c>
      <c r="L19" t="s" s="0">
        <v>84</v>
      </c>
      <c r="M19" t="s" s="0">
        <v>84</v>
      </c>
      <c r="N19" t="s" s="0">
        <v>677</v>
      </c>
      <c r="O19" t="s" s="0">
        <v>678</v>
      </c>
      <c r="P19" t="s" s="0">
        <v>679</v>
      </c>
      <c r="Q19" t="s" s="0">
        <v>93</v>
      </c>
      <c r="R19" t="s" s="0">
        <v>84</v>
      </c>
      <c r="S19" t="s" s="0">
        <v>84</v>
      </c>
      <c r="T19" t="s" s="0">
        <v>84</v>
      </c>
      <c r="U19" t="s" s="0">
        <v>84</v>
      </c>
      <c r="V19" t="s" s="0">
        <v>680</v>
      </c>
      <c r="W19" t="s" s="0">
        <v>681</v>
      </c>
      <c r="X19" t="s" s="0">
        <v>84</v>
      </c>
      <c r="Y19" t="s" s="0">
        <v>84</v>
      </c>
      <c r="Z19" t="s" s="0">
        <v>96</v>
      </c>
      <c r="AA19" t="s" s="0">
        <v>97</v>
      </c>
      <c r="AB19" t="s" s="0">
        <v>84</v>
      </c>
      <c r="AC19" t="s" s="0">
        <v>84</v>
      </c>
      <c r="AD19" t="s" s="0">
        <v>84</v>
      </c>
      <c r="AE19" t="s" s="0">
        <v>84</v>
      </c>
      <c r="AF19" t="s" s="0">
        <v>84</v>
      </c>
      <c r="AG19" t="s" s="0">
        <v>682</v>
      </c>
      <c r="AH19" t="s" s="0">
        <v>683</v>
      </c>
      <c r="AI19" t="s" s="0">
        <v>684</v>
      </c>
      <c r="AJ19" t="s" s="0">
        <v>685</v>
      </c>
      <c r="AK19" t="s" s="0">
        <v>84</v>
      </c>
      <c r="AL19" t="s" s="0">
        <v>686</v>
      </c>
      <c r="AM19" t="s" s="0">
        <v>687</v>
      </c>
      <c r="AN19" t="s" s="0">
        <v>688</v>
      </c>
      <c r="AO19" t="s" s="0">
        <v>237</v>
      </c>
      <c r="AP19" t="s" s="0">
        <v>689</v>
      </c>
      <c r="AQ19" t="s" s="0">
        <v>690</v>
      </c>
      <c r="AR19" t="s" s="0">
        <v>691</v>
      </c>
      <c r="AS19" t="s" s="0">
        <v>692</v>
      </c>
      <c r="AT19" t="s" s="0">
        <v>693</v>
      </c>
      <c r="AU19" t="s" s="0">
        <v>694</v>
      </c>
      <c r="AV19" t="s" s="0">
        <v>84</v>
      </c>
      <c r="AW19" t="s" s="0">
        <v>695</v>
      </c>
      <c r="AX19" t="s" s="0">
        <v>696</v>
      </c>
      <c r="AY19" t="s" s="0">
        <v>113</v>
      </c>
      <c r="AZ19" t="s" s="0">
        <v>114</v>
      </c>
      <c r="BA19" t="s" s="0">
        <v>208</v>
      </c>
      <c r="BB19" t="s" s="0">
        <v>283</v>
      </c>
      <c r="BC19" t="s" s="0">
        <v>84</v>
      </c>
      <c r="BD19" t="s" s="0">
        <v>84</v>
      </c>
      <c r="BE19" t="s" s="0">
        <v>84</v>
      </c>
      <c r="BF19" t="s" s="0">
        <v>84</v>
      </c>
      <c r="BG19" t="s" s="0">
        <v>697</v>
      </c>
      <c r="BH19" t="s" s="0">
        <v>698</v>
      </c>
      <c r="BI19" t="s" s="0">
        <v>84</v>
      </c>
      <c r="BJ19" t="s" s="0">
        <v>699</v>
      </c>
      <c r="BK19" t="s" s="35">
        <f>HYPERLINK("http://dx.doi.org/10.1002/hcs2.61","http://dx.doi.org/10.1002/hcs2.61")</f>
        <v>700</v>
      </c>
      <c r="BL19" t="s" s="0">
        <v>84</v>
      </c>
      <c r="BM19" t="s" s="0">
        <v>84</v>
      </c>
      <c r="BN19" t="s" s="0">
        <v>196</v>
      </c>
      <c r="BO19" t="s" s="0">
        <v>167</v>
      </c>
      <c r="BP19" t="s" s="0">
        <v>167</v>
      </c>
      <c r="BQ19" t="s" s="0">
        <v>701</v>
      </c>
      <c r="BR19" t="s" s="0">
        <v>702</v>
      </c>
      <c r="BS19" t="s" s="0">
        <v>703</v>
      </c>
      <c r="BT19" t="s" s="36">
        <f>HYPERLINK("https://www.webofscience.com/wos/woscc/full-record/WOS:001292774500007","View Record in Web of Science")</f>
        <v>128</v>
      </c>
      <c r="BU19" t="s" s="0">
        <v>171</v>
      </c>
      <c r="BV19" t="s" s="0">
        <v>84</v>
      </c>
      <c r="BW19" t="s" s="0">
        <v>84</v>
      </c>
      <c r="BX19" t="s" s="0">
        <v>131</v>
      </c>
    </row>
    <row r="20">
      <c r="A20" t="s" s="0">
        <v>246</v>
      </c>
      <c r="B20" t="s" s="0">
        <v>78</v>
      </c>
      <c r="C20" t="s" s="0">
        <v>704</v>
      </c>
      <c r="D20" t="s" s="0">
        <v>78</v>
      </c>
      <c r="E20" t="s" s="0">
        <v>705</v>
      </c>
      <c r="F20" t="s" s="0">
        <v>706</v>
      </c>
      <c r="G20" t="s" s="0">
        <v>707</v>
      </c>
      <c r="H20" t="s" s="0">
        <v>84</v>
      </c>
      <c r="I20" t="s" s="0">
        <v>85</v>
      </c>
      <c r="J20" t="s" s="0">
        <v>708</v>
      </c>
      <c r="K20" t="s" s="0">
        <v>709</v>
      </c>
      <c r="L20" t="s" s="0">
        <v>710</v>
      </c>
      <c r="M20" t="s" s="0">
        <v>711</v>
      </c>
      <c r="N20" t="s" s="0">
        <v>84</v>
      </c>
      <c r="O20" t="s" s="0">
        <v>712</v>
      </c>
      <c r="P20" t="s" s="0">
        <v>713</v>
      </c>
      <c r="Q20" t="s" s="0">
        <v>93</v>
      </c>
      <c r="R20" t="s" s="0">
        <v>84</v>
      </c>
      <c r="S20" t="s" s="0">
        <v>84</v>
      </c>
      <c r="T20" t="s" s="0">
        <v>84</v>
      </c>
      <c r="U20" t="s" s="0">
        <v>84</v>
      </c>
      <c r="V20" t="s" s="0">
        <v>714</v>
      </c>
      <c r="W20" t="s" s="0">
        <v>715</v>
      </c>
      <c r="X20" t="s" s="0">
        <v>84</v>
      </c>
      <c r="Y20" t="s" s="0">
        <v>84</v>
      </c>
      <c r="Z20" t="s" s="0">
        <v>96</v>
      </c>
      <c r="AA20" t="s" s="0">
        <v>97</v>
      </c>
      <c r="AB20" t="s" s="0">
        <v>84</v>
      </c>
      <c r="AC20" t="s" s="0">
        <v>84</v>
      </c>
      <c r="AD20" t="s" s="0">
        <v>84</v>
      </c>
      <c r="AE20" t="s" s="0">
        <v>84</v>
      </c>
      <c r="AF20" t="s" s="0">
        <v>84</v>
      </c>
      <c r="AG20" t="s" s="0">
        <v>84</v>
      </c>
      <c r="AH20" t="s" s="0">
        <v>98</v>
      </c>
      <c r="AI20" t="s" s="0">
        <v>716</v>
      </c>
      <c r="AJ20" t="s" s="0">
        <v>717</v>
      </c>
      <c r="AK20" t="s" s="0">
        <v>84</v>
      </c>
      <c r="AL20" t="s" s="0">
        <v>718</v>
      </c>
      <c r="AM20" t="s" s="0">
        <v>719</v>
      </c>
      <c r="AN20" t="s" s="0">
        <v>720</v>
      </c>
      <c r="AO20" t="s" s="0">
        <v>122</v>
      </c>
      <c r="AP20" t="s" s="0">
        <v>721</v>
      </c>
      <c r="AQ20" t="s" s="0">
        <v>722</v>
      </c>
      <c r="AR20" t="s" s="0">
        <v>723</v>
      </c>
      <c r="AS20" t="s" s="0">
        <v>724</v>
      </c>
      <c r="AT20" t="s" s="0">
        <v>725</v>
      </c>
      <c r="AU20" t="s" s="0">
        <v>726</v>
      </c>
      <c r="AV20" t="s" s="0">
        <v>84</v>
      </c>
      <c r="AW20" t="s" s="0">
        <v>727</v>
      </c>
      <c r="AX20" t="s" s="0">
        <v>728</v>
      </c>
      <c r="AY20" t="s" s="0">
        <v>729</v>
      </c>
      <c r="AZ20" t="s" s="0">
        <v>273</v>
      </c>
      <c r="BA20" t="s" s="0">
        <v>189</v>
      </c>
      <c r="BB20" t="s" s="0">
        <v>208</v>
      </c>
      <c r="BC20" t="s" s="0">
        <v>84</v>
      </c>
      <c r="BD20" t="s" s="0">
        <v>84</v>
      </c>
      <c r="BE20" t="s" s="0">
        <v>84</v>
      </c>
      <c r="BF20" t="s" s="0">
        <v>84</v>
      </c>
      <c r="BG20" t="s" s="0">
        <v>84</v>
      </c>
      <c r="BH20" t="s" s="0">
        <v>84</v>
      </c>
      <c r="BI20" t="s" s="0">
        <v>84</v>
      </c>
      <c r="BJ20" t="s" s="0">
        <v>730</v>
      </c>
      <c r="BK20" t="s" s="37">
        <f>HYPERLINK("http://dx.doi.org/10.7326/M23-2772","http://dx.doi.org/10.7326/M23-2772")</f>
        <v>731</v>
      </c>
      <c r="BL20" t="s" s="0">
        <v>84</v>
      </c>
      <c r="BM20" t="s" s="0">
        <v>600</v>
      </c>
      <c r="BN20" t="s" s="0">
        <v>201</v>
      </c>
      <c r="BO20" t="s" s="0">
        <v>404</v>
      </c>
      <c r="BP20" t="s" s="0">
        <v>405</v>
      </c>
      <c r="BQ20" t="s" s="0">
        <v>732</v>
      </c>
      <c r="BR20" t="s" s="0">
        <v>733</v>
      </c>
      <c r="BS20" t="s" s="0">
        <v>734</v>
      </c>
      <c r="BT20" t="s" s="38">
        <f>HYPERLINK("https://www.webofscience.com/wos/woscc/full-record/WOS:001156408300001","View Record in Web of Science")</f>
        <v>128</v>
      </c>
      <c r="BU20" t="s" s="0">
        <v>84</v>
      </c>
      <c r="BV20" t="s" s="0">
        <v>129</v>
      </c>
      <c r="BW20" t="s" s="0">
        <v>130</v>
      </c>
      <c r="BX20" t="s" s="0">
        <v>131</v>
      </c>
    </row>
    <row r="21">
      <c r="A21" t="s" s="0">
        <v>161</v>
      </c>
      <c r="B21" t="s" s="0">
        <v>78</v>
      </c>
      <c r="C21" t="s" s="0">
        <v>735</v>
      </c>
      <c r="D21" t="s" s="0">
        <v>78</v>
      </c>
      <c r="E21" t="s" s="0">
        <v>736</v>
      </c>
      <c r="F21" t="s" s="0">
        <v>737</v>
      </c>
      <c r="G21" t="s" s="0">
        <v>738</v>
      </c>
      <c r="H21" t="s" s="0">
        <v>84</v>
      </c>
      <c r="I21" t="s" s="0">
        <v>85</v>
      </c>
      <c r="J21" t="s" s="0">
        <v>739</v>
      </c>
      <c r="K21" t="s" s="0">
        <v>740</v>
      </c>
      <c r="L21" t="s" s="0">
        <v>84</v>
      </c>
      <c r="M21" t="s" s="0">
        <v>84</v>
      </c>
      <c r="N21" t="s" s="0">
        <v>84</v>
      </c>
      <c r="O21" t="s" s="0">
        <v>741</v>
      </c>
      <c r="P21" t="s" s="0">
        <v>742</v>
      </c>
      <c r="Q21" t="s" s="0">
        <v>93</v>
      </c>
      <c r="R21" t="s" s="0">
        <v>84</v>
      </c>
      <c r="S21" t="s" s="0">
        <v>84</v>
      </c>
      <c r="T21" t="s" s="0">
        <v>84</v>
      </c>
      <c r="U21" t="s" s="0">
        <v>84</v>
      </c>
      <c r="V21" t="s" s="0">
        <v>743</v>
      </c>
      <c r="W21" t="s" s="0">
        <v>744</v>
      </c>
      <c r="X21" t="s" s="0">
        <v>84</v>
      </c>
      <c r="Y21" t="s" s="0">
        <v>84</v>
      </c>
      <c r="Z21" t="s" s="0">
        <v>96</v>
      </c>
      <c r="AA21" t="s" s="0">
        <v>97</v>
      </c>
      <c r="AB21" t="s" s="0">
        <v>84</v>
      </c>
      <c r="AC21" t="s" s="0">
        <v>84</v>
      </c>
      <c r="AD21" t="s" s="0">
        <v>84</v>
      </c>
      <c r="AE21" t="s" s="0">
        <v>84</v>
      </c>
      <c r="AF21" t="s" s="0">
        <v>84</v>
      </c>
      <c r="AG21" t="s" s="0">
        <v>745</v>
      </c>
      <c r="AH21" t="s" s="0">
        <v>84</v>
      </c>
      <c r="AI21" t="s" s="0">
        <v>746</v>
      </c>
      <c r="AJ21" t="s" s="0">
        <v>747</v>
      </c>
      <c r="AK21" t="s" s="0">
        <v>84</v>
      </c>
      <c r="AL21" t="s" s="0">
        <v>475</v>
      </c>
      <c r="AM21" t="s" s="0">
        <v>748</v>
      </c>
      <c r="AN21" t="s" s="0">
        <v>749</v>
      </c>
      <c r="AO21" t="s" s="0">
        <v>750</v>
      </c>
      <c r="AP21" t="s" s="0">
        <v>751</v>
      </c>
      <c r="AQ21" t="s" s="0">
        <v>752</v>
      </c>
      <c r="AR21" t="s" s="0">
        <v>231</v>
      </c>
      <c r="AS21" t="s" s="0">
        <v>753</v>
      </c>
      <c r="AT21" t="s" s="0">
        <v>84</v>
      </c>
      <c r="AU21" t="s" s="0">
        <v>754</v>
      </c>
      <c r="AV21" t="s" s="0">
        <v>84</v>
      </c>
      <c r="AW21" t="s" s="0">
        <v>755</v>
      </c>
      <c r="AX21" t="s" s="0">
        <v>756</v>
      </c>
      <c r="AY21" t="s" s="0">
        <v>757</v>
      </c>
      <c r="AZ21" t="s" s="0">
        <v>273</v>
      </c>
      <c r="BA21" t="s" s="0">
        <v>750</v>
      </c>
      <c r="BB21" t="s" s="0">
        <v>237</v>
      </c>
      <c r="BC21" t="s" s="0">
        <v>84</v>
      </c>
      <c r="BD21" t="s" s="0">
        <v>84</v>
      </c>
      <c r="BE21" t="s" s="0">
        <v>84</v>
      </c>
      <c r="BF21" t="s" s="0">
        <v>84</v>
      </c>
      <c r="BG21" t="s" s="0">
        <v>84</v>
      </c>
      <c r="BH21" t="s" s="0">
        <v>84</v>
      </c>
      <c r="BI21" t="s" s="0">
        <v>758</v>
      </c>
      <c r="BJ21" t="s" s="0">
        <v>759</v>
      </c>
      <c r="BK21" t="s" s="39">
        <f>HYPERLINK("http://dx.doi.org/10.1186/s13000-024-01464-7","http://dx.doi.org/10.1186/s13000-024-01464-7")</f>
        <v>760</v>
      </c>
      <c r="BL21" t="s" s="0">
        <v>84</v>
      </c>
      <c r="BM21" t="s" s="0">
        <v>84</v>
      </c>
      <c r="BN21" t="s" s="0">
        <v>196</v>
      </c>
      <c r="BO21" t="s" s="0">
        <v>761</v>
      </c>
      <c r="BP21" t="s" s="0">
        <v>761</v>
      </c>
      <c r="BQ21" t="s" s="0">
        <v>762</v>
      </c>
      <c r="BR21" t="s" s="0">
        <v>763</v>
      </c>
      <c r="BS21" t="s" s="0">
        <v>764</v>
      </c>
      <c r="BT21" t="s" s="40">
        <f>HYPERLINK("https://www.webofscience.com/wos/woscc/full-record/WOS:001174262700001","View Record in Web of Science")</f>
        <v>128</v>
      </c>
      <c r="BU21" t="s" s="0">
        <v>171</v>
      </c>
      <c r="BV21" t="s" s="0">
        <v>129</v>
      </c>
      <c r="BW21" t="s" s="0">
        <v>130</v>
      </c>
      <c r="BX21" t="s" s="0">
        <v>131</v>
      </c>
    </row>
    <row r="22">
      <c r="A22" t="s" s="0">
        <v>80</v>
      </c>
      <c r="B22" t="s" s="0">
        <v>78</v>
      </c>
      <c r="C22" t="s" s="0">
        <v>132</v>
      </c>
      <c r="D22" t="s" s="0">
        <v>78</v>
      </c>
      <c r="E22" t="s" s="0">
        <v>765</v>
      </c>
      <c r="F22" t="s" s="0">
        <v>766</v>
      </c>
      <c r="G22" t="s" s="0">
        <v>767</v>
      </c>
      <c r="H22" t="s" s="0">
        <v>84</v>
      </c>
      <c r="I22" t="s" s="0">
        <v>85</v>
      </c>
      <c r="J22" t="s" s="0">
        <v>768</v>
      </c>
      <c r="K22" t="s" s="0">
        <v>769</v>
      </c>
      <c r="L22" t="s" s="0">
        <v>84</v>
      </c>
      <c r="M22" t="s" s="0">
        <v>84</v>
      </c>
      <c r="N22" t="s" s="0">
        <v>84</v>
      </c>
      <c r="O22" t="s" s="0">
        <v>770</v>
      </c>
      <c r="P22" t="s" s="0">
        <v>771</v>
      </c>
      <c r="Q22" t="s" s="0">
        <v>93</v>
      </c>
      <c r="R22" t="s" s="0">
        <v>84</v>
      </c>
      <c r="S22" t="s" s="0">
        <v>84</v>
      </c>
      <c r="T22" t="s" s="0">
        <v>84</v>
      </c>
      <c r="U22" t="s" s="0">
        <v>84</v>
      </c>
      <c r="V22" t="s" s="0">
        <v>772</v>
      </c>
      <c r="W22" t="s" s="0">
        <v>773</v>
      </c>
      <c r="X22" t="s" s="0">
        <v>84</v>
      </c>
      <c r="Y22" t="s" s="0">
        <v>84</v>
      </c>
      <c r="Z22" t="s" s="0">
        <v>96</v>
      </c>
      <c r="AA22" t="s" s="0">
        <v>97</v>
      </c>
      <c r="AB22" t="s" s="0">
        <v>84</v>
      </c>
      <c r="AC22" t="s" s="0">
        <v>84</v>
      </c>
      <c r="AD22" t="s" s="0">
        <v>84</v>
      </c>
      <c r="AE22" t="s" s="0">
        <v>84</v>
      </c>
      <c r="AF22" t="s" s="0">
        <v>84</v>
      </c>
      <c r="AG22" t="s" s="0">
        <v>774</v>
      </c>
      <c r="AH22" t="s" s="0">
        <v>84</v>
      </c>
      <c r="AI22" t="s" s="0">
        <v>775</v>
      </c>
      <c r="AJ22" t="s" s="0">
        <v>84</v>
      </c>
      <c r="AK22" t="s" s="0">
        <v>84</v>
      </c>
      <c r="AL22" t="s" s="0">
        <v>132</v>
      </c>
      <c r="AM22" t="s" s="0">
        <v>776</v>
      </c>
      <c r="AN22" t="s" s="0">
        <v>777</v>
      </c>
      <c r="AO22" t="s" s="0">
        <v>101</v>
      </c>
      <c r="AP22" t="s" s="0">
        <v>778</v>
      </c>
      <c r="AQ22" t="s" s="0">
        <v>752</v>
      </c>
      <c r="AR22" t="s" s="0">
        <v>231</v>
      </c>
      <c r="AS22" t="s" s="0">
        <v>753</v>
      </c>
      <c r="AT22" t="s" s="0">
        <v>84</v>
      </c>
      <c r="AU22" t="s" s="0">
        <v>779</v>
      </c>
      <c r="AV22" t="s" s="0">
        <v>84</v>
      </c>
      <c r="AW22" t="s" s="0">
        <v>780</v>
      </c>
      <c r="AX22" t="s" s="0">
        <v>781</v>
      </c>
      <c r="AY22" t="s" s="0">
        <v>782</v>
      </c>
      <c r="AZ22" t="s" s="0">
        <v>338</v>
      </c>
      <c r="BA22" t="s" s="0">
        <v>662</v>
      </c>
      <c r="BB22" t="s" s="0">
        <v>237</v>
      </c>
      <c r="BC22" t="s" s="0">
        <v>84</v>
      </c>
      <c r="BD22" t="s" s="0">
        <v>84</v>
      </c>
      <c r="BE22" t="s" s="0">
        <v>84</v>
      </c>
      <c r="BF22" t="s" s="0">
        <v>84</v>
      </c>
      <c r="BG22" t="s" s="0">
        <v>84</v>
      </c>
      <c r="BH22" t="s" s="0">
        <v>84</v>
      </c>
      <c r="BI22" t="s" s="0">
        <v>783</v>
      </c>
      <c r="BJ22" t="s" s="0">
        <v>784</v>
      </c>
      <c r="BK22" t="s" s="41">
        <f>HYPERLINK("http://dx.doi.org/10.1186/s12911-025-02954-4","http://dx.doi.org/10.1186/s12911-025-02954-4")</f>
        <v>785</v>
      </c>
      <c r="BL22" t="s" s="0">
        <v>84</v>
      </c>
      <c r="BM22" t="s" s="0">
        <v>84</v>
      </c>
      <c r="BN22" t="s" s="0">
        <v>122</v>
      </c>
      <c r="BO22" t="s" s="0">
        <v>786</v>
      </c>
      <c r="BP22" t="s" s="0">
        <v>786</v>
      </c>
      <c r="BQ22" t="s" s="0">
        <v>787</v>
      </c>
      <c r="BR22" t="s" s="0">
        <v>788</v>
      </c>
      <c r="BS22" t="s" s="0">
        <v>789</v>
      </c>
      <c r="BT22" t="s" s="42">
        <f>HYPERLINK("https://www.webofscience.com/wos/woscc/full-record/WOS:001461570300001","View Record in Web of Science")</f>
        <v>128</v>
      </c>
      <c r="BU22" t="s" s="0">
        <v>790</v>
      </c>
      <c r="BV22" t="s" s="0">
        <v>130</v>
      </c>
      <c r="BW22" t="s" s="0">
        <v>130</v>
      </c>
      <c r="BX22" t="s" s="0">
        <v>131</v>
      </c>
    </row>
    <row r="23">
      <c r="A23" t="s" s="0">
        <v>283</v>
      </c>
      <c r="B23" t="s" s="0">
        <v>78</v>
      </c>
      <c r="C23" t="s" s="0">
        <v>791</v>
      </c>
      <c r="D23" t="s" s="0">
        <v>78</v>
      </c>
      <c r="E23" t="s" s="0">
        <v>792</v>
      </c>
      <c r="F23" t="s" s="0">
        <v>793</v>
      </c>
      <c r="G23" t="s" s="0">
        <v>794</v>
      </c>
      <c r="H23" t="s" s="0">
        <v>84</v>
      </c>
      <c r="I23" t="s" s="0">
        <v>85</v>
      </c>
      <c r="J23" t="s" s="0">
        <v>795</v>
      </c>
      <c r="K23" t="s" s="0">
        <v>796</v>
      </c>
      <c r="L23" t="s" s="0">
        <v>797</v>
      </c>
      <c r="M23" t="s" s="0">
        <v>798</v>
      </c>
      <c r="N23" t="s" s="0">
        <v>799</v>
      </c>
      <c r="O23" t="s" s="0">
        <v>800</v>
      </c>
      <c r="P23" t="s" s="0">
        <v>801</v>
      </c>
      <c r="Q23" t="s" s="0">
        <v>93</v>
      </c>
      <c r="R23" t="s" s="0">
        <v>84</v>
      </c>
      <c r="S23" t="s" s="0">
        <v>84</v>
      </c>
      <c r="T23" t="s" s="0">
        <v>84</v>
      </c>
      <c r="U23" t="s" s="0">
        <v>84</v>
      </c>
      <c r="V23" t="s" s="0">
        <v>802</v>
      </c>
      <c r="W23" t="s" s="0">
        <v>359</v>
      </c>
      <c r="X23" t="s" s="0">
        <v>84</v>
      </c>
      <c r="Y23" t="s" s="0">
        <v>84</v>
      </c>
      <c r="Z23" t="s" s="0">
        <v>96</v>
      </c>
      <c r="AA23" t="s" s="0">
        <v>97</v>
      </c>
      <c r="AB23" t="s" s="0">
        <v>84</v>
      </c>
      <c r="AC23" t="s" s="0">
        <v>84</v>
      </c>
      <c r="AD23" t="s" s="0">
        <v>84</v>
      </c>
      <c r="AE23" t="s" s="0">
        <v>84</v>
      </c>
      <c r="AF23" t="s" s="0">
        <v>84</v>
      </c>
      <c r="AG23" t="s" s="0">
        <v>84</v>
      </c>
      <c r="AH23" t="s" s="0">
        <v>803</v>
      </c>
      <c r="AI23" t="s" s="0">
        <v>804</v>
      </c>
      <c r="AJ23" t="s" s="0">
        <v>805</v>
      </c>
      <c r="AK23" t="s" s="0">
        <v>84</v>
      </c>
      <c r="AL23" t="s" s="0">
        <v>806</v>
      </c>
      <c r="AM23" t="s" s="0">
        <v>807</v>
      </c>
      <c r="AN23" t="s" s="0">
        <v>808</v>
      </c>
      <c r="AO23" t="s" s="0">
        <v>116</v>
      </c>
      <c r="AP23" t="s" s="0">
        <v>77</v>
      </c>
      <c r="AQ23" t="s" s="0">
        <v>106</v>
      </c>
      <c r="AR23" t="s" s="0">
        <v>107</v>
      </c>
      <c r="AS23" t="s" s="0">
        <v>108</v>
      </c>
      <c r="AT23" t="s" s="0">
        <v>367</v>
      </c>
      <c r="AU23" t="s" s="0">
        <v>84</v>
      </c>
      <c r="AV23" t="s" s="0">
        <v>84</v>
      </c>
      <c r="AW23" t="s" s="0">
        <v>368</v>
      </c>
      <c r="AX23" t="s" s="0">
        <v>369</v>
      </c>
      <c r="AY23" t="s" s="0">
        <v>809</v>
      </c>
      <c r="AZ23" t="s" s="0">
        <v>114</v>
      </c>
      <c r="BA23" t="s" s="0">
        <v>161</v>
      </c>
      <c r="BB23" t="s" s="0">
        <v>237</v>
      </c>
      <c r="BC23" t="s" s="0">
        <v>84</v>
      </c>
      <c r="BD23" t="s" s="0">
        <v>84</v>
      </c>
      <c r="BE23" t="s" s="0">
        <v>84</v>
      </c>
      <c r="BF23" t="s" s="0">
        <v>84</v>
      </c>
      <c r="BG23" t="s" s="0">
        <v>84</v>
      </c>
      <c r="BH23" t="s" s="0">
        <v>84</v>
      </c>
      <c r="BI23" t="s" s="0">
        <v>810</v>
      </c>
      <c r="BJ23" t="s" s="0">
        <v>811</v>
      </c>
      <c r="BK23" t="s" s="43">
        <f>HYPERLINK("http://dx.doi.org/10.1038/s41746-023-00879-8","http://dx.doi.org/10.1038/s41746-023-00879-8")</f>
        <v>812</v>
      </c>
      <c r="BL23" t="s" s="0">
        <v>84</v>
      </c>
      <c r="BM23" t="s" s="0">
        <v>84</v>
      </c>
      <c r="BN23" t="s" s="0">
        <v>439</v>
      </c>
      <c r="BO23" t="s" s="0">
        <v>374</v>
      </c>
      <c r="BP23" t="s" s="0">
        <v>374</v>
      </c>
      <c r="BQ23" t="s" s="0">
        <v>813</v>
      </c>
      <c r="BR23" t="s" s="0">
        <v>814</v>
      </c>
      <c r="BS23" t="s" s="0">
        <v>815</v>
      </c>
      <c r="BT23" t="s" s="44">
        <f>HYPERLINK("https://www.webofscience.com/wos/woscc/full-record/WOS:001039067300001","View Record in Web of Science")</f>
        <v>128</v>
      </c>
      <c r="BU23" t="s" s="0">
        <v>171</v>
      </c>
      <c r="BV23" t="s" s="0">
        <v>129</v>
      </c>
      <c r="BW23" t="s" s="0">
        <v>130</v>
      </c>
      <c r="BX23" t="s" s="0">
        <v>131</v>
      </c>
    </row>
    <row r="24">
      <c r="A24" t="s" s="0">
        <v>206</v>
      </c>
      <c r="B24" t="s" s="0">
        <v>78</v>
      </c>
      <c r="C24" t="s" s="0">
        <v>538</v>
      </c>
      <c r="D24" t="s" s="0">
        <v>237</v>
      </c>
      <c r="E24" t="s" s="0">
        <v>816</v>
      </c>
      <c r="F24" t="s" s="0">
        <v>817</v>
      </c>
      <c r="G24" t="s" s="0">
        <v>818</v>
      </c>
      <c r="H24" t="s" s="0">
        <v>84</v>
      </c>
      <c r="I24" t="s" s="0">
        <v>85</v>
      </c>
      <c r="J24" t="s" s="0">
        <v>819</v>
      </c>
      <c r="K24" t="s" s="0">
        <v>820</v>
      </c>
      <c r="L24" t="s" s="0">
        <v>821</v>
      </c>
      <c r="M24" t="s" s="0">
        <v>822</v>
      </c>
      <c r="N24" t="s" s="0">
        <v>823</v>
      </c>
      <c r="O24" t="s" s="0">
        <v>824</v>
      </c>
      <c r="P24" t="s" s="0">
        <v>825</v>
      </c>
      <c r="Q24" t="s" s="0">
        <v>93</v>
      </c>
      <c r="R24" t="s" s="0">
        <v>84</v>
      </c>
      <c r="S24" t="s" s="0">
        <v>84</v>
      </c>
      <c r="T24" t="s" s="0">
        <v>84</v>
      </c>
      <c r="U24" t="s" s="0">
        <v>84</v>
      </c>
      <c r="V24" t="s" s="0">
        <v>826</v>
      </c>
      <c r="W24" t="s" s="0">
        <v>827</v>
      </c>
      <c r="X24" t="s" s="0">
        <v>84</v>
      </c>
      <c r="Y24" t="s" s="0">
        <v>84</v>
      </c>
      <c r="Z24" t="s" s="0">
        <v>96</v>
      </c>
      <c r="AA24" t="s" s="0">
        <v>97</v>
      </c>
      <c r="AB24" t="s" s="0">
        <v>84</v>
      </c>
      <c r="AC24" t="s" s="0">
        <v>84</v>
      </c>
      <c r="AD24" t="s" s="0">
        <v>84</v>
      </c>
      <c r="AE24" t="s" s="0">
        <v>84</v>
      </c>
      <c r="AF24" t="s" s="0">
        <v>84</v>
      </c>
      <c r="AG24" t="s" s="0">
        <v>84</v>
      </c>
      <c r="AH24" t="s" s="0">
        <v>828</v>
      </c>
      <c r="AI24" t="s" s="0">
        <v>829</v>
      </c>
      <c r="AJ24" t="s" s="0">
        <v>830</v>
      </c>
      <c r="AK24" t="s" s="0">
        <v>84</v>
      </c>
      <c r="AL24" t="s" s="0">
        <v>831</v>
      </c>
      <c r="AM24" t="s" s="0">
        <v>807</v>
      </c>
      <c r="AN24" t="s" s="0">
        <v>832</v>
      </c>
      <c r="AO24" t="s" s="0">
        <v>201</v>
      </c>
      <c r="AP24" t="s" s="0">
        <v>833</v>
      </c>
      <c r="AQ24" t="s" s="0">
        <v>230</v>
      </c>
      <c r="AR24" t="s" s="0">
        <v>231</v>
      </c>
      <c r="AS24" t="s" s="0">
        <v>232</v>
      </c>
      <c r="AT24" t="s" s="0">
        <v>834</v>
      </c>
      <c r="AU24" t="s" s="0">
        <v>835</v>
      </c>
      <c r="AV24" t="s" s="0">
        <v>84</v>
      </c>
      <c r="AW24" t="s" s="0">
        <v>836</v>
      </c>
      <c r="AX24" t="s" s="0">
        <v>837</v>
      </c>
      <c r="AY24" t="s" s="0">
        <v>838</v>
      </c>
      <c r="AZ24" t="s" s="0">
        <v>114</v>
      </c>
      <c r="BA24" t="s" s="0">
        <v>306</v>
      </c>
      <c r="BB24" t="s" s="0">
        <v>237</v>
      </c>
      <c r="BC24" t="s" s="0">
        <v>84</v>
      </c>
      <c r="BD24" t="s" s="0">
        <v>84</v>
      </c>
      <c r="BE24" t="s" s="0">
        <v>84</v>
      </c>
      <c r="BF24" t="s" s="0">
        <v>84</v>
      </c>
      <c r="BG24" t="s" s="0">
        <v>84</v>
      </c>
      <c r="BH24" t="s" s="0">
        <v>84</v>
      </c>
      <c r="BI24" t="s" s="0">
        <v>115</v>
      </c>
      <c r="BJ24" t="s" s="0">
        <v>839</v>
      </c>
      <c r="BK24" t="s" s="45">
        <f>HYPERLINK("http://dx.doi.org/10.1038/s41368-023-00239-y","http://dx.doi.org/10.1038/s41368-023-00239-y")</f>
        <v>840</v>
      </c>
      <c r="BL24" t="s" s="0">
        <v>84</v>
      </c>
      <c r="BM24" t="s" s="0">
        <v>84</v>
      </c>
      <c r="BN24" t="s" s="0">
        <v>206</v>
      </c>
      <c r="BO24" t="s" s="0">
        <v>841</v>
      </c>
      <c r="BP24" t="s" s="0">
        <v>841</v>
      </c>
      <c r="BQ24" t="s" s="0">
        <v>842</v>
      </c>
      <c r="BR24" t="s" s="0">
        <v>843</v>
      </c>
      <c r="BS24" t="s" s="0">
        <v>844</v>
      </c>
      <c r="BT24" t="s" s="46">
        <f>HYPERLINK("https://www.webofscience.com/wos/woscc/full-record/WOS:001039606900001","View Record in Web of Science")</f>
        <v>128</v>
      </c>
      <c r="BU24" t="s" s="0">
        <v>171</v>
      </c>
      <c r="BV24" t="s" s="0">
        <v>129</v>
      </c>
      <c r="BW24" t="s" s="0">
        <v>130</v>
      </c>
      <c r="BX24" t="s" s="0">
        <v>131</v>
      </c>
    </row>
    <row r="25">
      <c r="A25" t="s" s="0">
        <v>237</v>
      </c>
      <c r="B25" t="s" s="0">
        <v>78</v>
      </c>
      <c r="C25" t="s" s="0">
        <v>671</v>
      </c>
      <c r="D25" t="s" s="0">
        <v>237</v>
      </c>
      <c r="E25" t="s" s="0">
        <v>845</v>
      </c>
      <c r="F25" t="s" s="0">
        <v>846</v>
      </c>
      <c r="G25" t="s" s="0">
        <v>847</v>
      </c>
      <c r="H25" t="s" s="0">
        <v>84</v>
      </c>
      <c r="I25" t="s" s="0">
        <v>212</v>
      </c>
      <c r="J25" t="s" s="0">
        <v>848</v>
      </c>
      <c r="K25" t="s" s="0">
        <v>849</v>
      </c>
      <c r="L25" t="s" s="0">
        <v>84</v>
      </c>
      <c r="M25" t="s" s="0">
        <v>84</v>
      </c>
      <c r="N25" t="s" s="0">
        <v>84</v>
      </c>
      <c r="O25" t="s" s="0">
        <v>850</v>
      </c>
      <c r="P25" t="s" s="0">
        <v>851</v>
      </c>
      <c r="Q25" t="s" s="0">
        <v>93</v>
      </c>
      <c r="R25" t="s" s="0">
        <v>84</v>
      </c>
      <c r="S25" t="s" s="0">
        <v>84</v>
      </c>
      <c r="T25" t="s" s="0">
        <v>84</v>
      </c>
      <c r="U25" t="s" s="0">
        <v>84</v>
      </c>
      <c r="V25" t="s" s="0">
        <v>852</v>
      </c>
      <c r="W25" t="s" s="0">
        <v>853</v>
      </c>
      <c r="X25" t="s" s="0">
        <v>84</v>
      </c>
      <c r="Y25" t="s" s="0">
        <v>84</v>
      </c>
      <c r="Z25" t="s" s="0">
        <v>96</v>
      </c>
      <c r="AA25" t="s" s="0">
        <v>97</v>
      </c>
      <c r="AB25" t="s" s="0">
        <v>84</v>
      </c>
      <c r="AC25" t="s" s="0">
        <v>84</v>
      </c>
      <c r="AD25" t="s" s="0">
        <v>84</v>
      </c>
      <c r="AE25" t="s" s="0">
        <v>84</v>
      </c>
      <c r="AF25" t="s" s="0">
        <v>84</v>
      </c>
      <c r="AG25" t="s" s="0">
        <v>854</v>
      </c>
      <c r="AH25" t="s" s="0">
        <v>84</v>
      </c>
      <c r="AI25" t="s" s="0">
        <v>855</v>
      </c>
      <c r="AJ25" t="s" s="0">
        <v>856</v>
      </c>
      <c r="AK25" t="s" s="0">
        <v>84</v>
      </c>
      <c r="AL25" t="s" s="0">
        <v>857</v>
      </c>
      <c r="AM25" t="s" s="0">
        <v>858</v>
      </c>
      <c r="AN25" t="s" s="0">
        <v>591</v>
      </c>
      <c r="AO25" t="s" s="0">
        <v>306</v>
      </c>
      <c r="AP25" t="s" s="0">
        <v>859</v>
      </c>
      <c r="AQ25" t="s" s="0">
        <v>154</v>
      </c>
      <c r="AR25" t="s" s="0">
        <v>155</v>
      </c>
      <c r="AS25" t="s" s="0">
        <v>860</v>
      </c>
      <c r="AT25" t="s" s="0">
        <v>861</v>
      </c>
      <c r="AU25" t="s" s="0">
        <v>84</v>
      </c>
      <c r="AV25" t="s" s="0">
        <v>84</v>
      </c>
      <c r="AW25" t="s" s="0">
        <v>853</v>
      </c>
      <c r="AX25" t="s" s="0">
        <v>862</v>
      </c>
      <c r="AY25" t="s" s="0">
        <v>305</v>
      </c>
      <c r="AZ25" t="s" s="0">
        <v>114</v>
      </c>
      <c r="BA25" t="s" s="0">
        <v>306</v>
      </c>
      <c r="BB25" t="s" s="0">
        <v>196</v>
      </c>
      <c r="BC25" t="s" s="0">
        <v>84</v>
      </c>
      <c r="BD25" t="s" s="0">
        <v>84</v>
      </c>
      <c r="BE25" t="s" s="0">
        <v>84</v>
      </c>
      <c r="BF25" t="s" s="0">
        <v>84</v>
      </c>
      <c r="BG25" t="s" s="0">
        <v>84</v>
      </c>
      <c r="BH25" t="s" s="0">
        <v>84</v>
      </c>
      <c r="BI25" t="s" s="0">
        <v>863</v>
      </c>
      <c r="BJ25" t="s" s="0">
        <v>864</v>
      </c>
      <c r="BK25" t="s" s="47">
        <f>HYPERLINK("http://dx.doi.org/10.3390/fi15090286","http://dx.doi.org/10.3390/fi15090286")</f>
        <v>865</v>
      </c>
      <c r="BL25" t="s" s="0">
        <v>84</v>
      </c>
      <c r="BM25" t="s" s="0">
        <v>84</v>
      </c>
      <c r="BN25" t="s" s="0">
        <v>306</v>
      </c>
      <c r="BO25" t="s" s="0">
        <v>866</v>
      </c>
      <c r="BP25" t="s" s="0">
        <v>574</v>
      </c>
      <c r="BQ25" t="s" s="0">
        <v>867</v>
      </c>
      <c r="BR25" t="s" s="0">
        <v>84</v>
      </c>
      <c r="BS25" t="s" s="0">
        <v>868</v>
      </c>
      <c r="BT25" t="s" s="48">
        <f>HYPERLINK("https://www.webofscience.com/wos/woscc/full-record/WOS:001074041500001","View Record in Web of Science")</f>
        <v>128</v>
      </c>
      <c r="BU25" t="s" s="0">
        <v>171</v>
      </c>
      <c r="BV25" t="s" s="0">
        <v>84</v>
      </c>
      <c r="BW25" t="s" s="0">
        <v>84</v>
      </c>
      <c r="BX25" t="s" s="0">
        <v>131</v>
      </c>
    </row>
    <row r="26">
      <c r="A26" t="s" s="0">
        <v>174</v>
      </c>
      <c r="B26" t="s" s="0">
        <v>78</v>
      </c>
      <c r="C26" t="s" s="0">
        <v>132</v>
      </c>
      <c r="D26" t="s" s="0">
        <v>78</v>
      </c>
      <c r="E26" t="s" s="0">
        <v>869</v>
      </c>
      <c r="F26" t="s" s="0">
        <v>870</v>
      </c>
      <c r="G26" t="s" s="0">
        <v>871</v>
      </c>
      <c r="H26" t="s" s="0">
        <v>84</v>
      </c>
      <c r="I26" t="s" s="0">
        <v>212</v>
      </c>
      <c r="J26" t="s" s="0">
        <v>872</v>
      </c>
      <c r="K26" t="s" s="0">
        <v>873</v>
      </c>
      <c r="L26" t="s" s="0">
        <v>874</v>
      </c>
      <c r="M26" t="s" s="0">
        <v>875</v>
      </c>
      <c r="N26" t="s" s="0">
        <v>876</v>
      </c>
      <c r="O26" t="s" s="0">
        <v>877</v>
      </c>
      <c r="P26" t="s" s="0">
        <v>878</v>
      </c>
      <c r="Q26" t="s" s="0">
        <v>93</v>
      </c>
      <c r="R26" t="s" s="0">
        <v>84</v>
      </c>
      <c r="S26" t="s" s="0">
        <v>84</v>
      </c>
      <c r="T26" t="s" s="0">
        <v>84</v>
      </c>
      <c r="U26" t="s" s="0">
        <v>84</v>
      </c>
      <c r="V26" t="s" s="0">
        <v>879</v>
      </c>
      <c r="W26" t="s" s="0">
        <v>880</v>
      </c>
      <c r="X26" t="s" s="0">
        <v>84</v>
      </c>
      <c r="Y26" t="s" s="0">
        <v>84</v>
      </c>
      <c r="Z26" t="s" s="0">
        <v>96</v>
      </c>
      <c r="AA26" t="s" s="0">
        <v>97</v>
      </c>
      <c r="AB26" t="s" s="0">
        <v>84</v>
      </c>
      <c r="AC26" t="s" s="0">
        <v>84</v>
      </c>
      <c r="AD26" t="s" s="0">
        <v>84</v>
      </c>
      <c r="AE26" t="s" s="0">
        <v>84</v>
      </c>
      <c r="AF26" t="s" s="0">
        <v>84</v>
      </c>
      <c r="AG26" t="s" s="0">
        <v>84</v>
      </c>
      <c r="AH26" t="s" s="0">
        <v>881</v>
      </c>
      <c r="AI26" t="s" s="0">
        <v>882</v>
      </c>
      <c r="AJ26" t="s" s="0">
        <v>883</v>
      </c>
      <c r="AK26" t="s" s="0">
        <v>84</v>
      </c>
      <c r="AL26" t="s" s="0">
        <v>884</v>
      </c>
      <c r="AM26" t="s" s="0">
        <v>885</v>
      </c>
      <c r="AN26" t="s" s="0">
        <v>886</v>
      </c>
      <c r="AO26" t="s" s="0">
        <v>512</v>
      </c>
      <c r="AP26" t="s" s="0">
        <v>887</v>
      </c>
      <c r="AQ26" t="s" s="0">
        <v>655</v>
      </c>
      <c r="AR26" t="s" s="0">
        <v>656</v>
      </c>
      <c r="AS26" t="s" s="0">
        <v>657</v>
      </c>
      <c r="AT26" t="s" s="0">
        <v>84</v>
      </c>
      <c r="AU26" t="s" s="0">
        <v>888</v>
      </c>
      <c r="AV26" t="s" s="0">
        <v>84</v>
      </c>
      <c r="AW26" t="s" s="0">
        <v>880</v>
      </c>
      <c r="AX26" t="s" s="0">
        <v>889</v>
      </c>
      <c r="AY26" t="s" s="0">
        <v>890</v>
      </c>
      <c r="AZ26" t="s" s="0">
        <v>273</v>
      </c>
      <c r="BA26" t="s" s="0">
        <v>174</v>
      </c>
      <c r="BB26" t="s" s="0">
        <v>161</v>
      </c>
      <c r="BC26" t="s" s="0">
        <v>84</v>
      </c>
      <c r="BD26" t="s" s="0">
        <v>84</v>
      </c>
      <c r="BE26" t="s" s="0">
        <v>84</v>
      </c>
      <c r="BF26" t="s" s="0">
        <v>84</v>
      </c>
      <c r="BG26" t="s" s="0">
        <v>84</v>
      </c>
      <c r="BH26" t="s" s="0">
        <v>84</v>
      </c>
      <c r="BI26" t="s" s="0">
        <v>891</v>
      </c>
      <c r="BJ26" t="s" s="0">
        <v>892</v>
      </c>
      <c r="BK26" t="s" s="49">
        <f>HYPERLINK("http://dx.doi.org/10.1093/pnasnexus/pgae191","http://dx.doi.org/10.1093/pnasnexus/pgae191")</f>
        <v>893</v>
      </c>
      <c r="BL26" t="s" s="0">
        <v>84</v>
      </c>
      <c r="BM26" t="s" s="0">
        <v>894</v>
      </c>
      <c r="BN26" t="s" s="0">
        <v>132</v>
      </c>
      <c r="BO26" t="s" s="0">
        <v>895</v>
      </c>
      <c r="BP26" t="s" s="0">
        <v>896</v>
      </c>
      <c r="BQ26" t="s" s="0">
        <v>897</v>
      </c>
      <c r="BR26" t="s" s="0">
        <v>898</v>
      </c>
      <c r="BS26" t="s" s="0">
        <v>899</v>
      </c>
      <c r="BT26" t="s" s="50">
        <f>HYPERLINK("https://www.webofscience.com/wos/woscc/full-record/WOS:001244186000002","View Record in Web of Science")</f>
        <v>128</v>
      </c>
      <c r="BU26" t="s" s="0">
        <v>900</v>
      </c>
      <c r="BV26" t="s" s="0">
        <v>84</v>
      </c>
      <c r="BW26" t="s" s="0">
        <v>84</v>
      </c>
      <c r="BX26" t="s" s="0">
        <v>131</v>
      </c>
    </row>
    <row r="27">
      <c r="A27" t="s" s="0">
        <v>283</v>
      </c>
      <c r="B27" t="s" s="0">
        <v>78</v>
      </c>
      <c r="C27" t="s" s="0">
        <v>543</v>
      </c>
      <c r="D27" t="s" s="0">
        <v>161</v>
      </c>
      <c r="E27" t="s" s="0">
        <v>901</v>
      </c>
      <c r="F27" t="s" s="0">
        <v>902</v>
      </c>
      <c r="G27" t="s" s="0">
        <v>903</v>
      </c>
      <c r="H27" t="s" s="0">
        <v>84</v>
      </c>
      <c r="I27" t="s" s="0">
        <v>85</v>
      </c>
      <c r="J27" t="s" s="0">
        <v>904</v>
      </c>
      <c r="K27" t="s" s="0">
        <v>905</v>
      </c>
      <c r="L27" t="s" s="0">
        <v>906</v>
      </c>
      <c r="M27" t="s" s="0">
        <v>906</v>
      </c>
      <c r="N27" t="s" s="0">
        <v>906</v>
      </c>
      <c r="O27" t="s" s="0">
        <v>907</v>
      </c>
      <c r="P27" t="s" s="0">
        <v>908</v>
      </c>
      <c r="Q27" t="s" s="0">
        <v>93</v>
      </c>
      <c r="R27" t="s" s="0">
        <v>84</v>
      </c>
      <c r="S27" t="s" s="0">
        <v>84</v>
      </c>
      <c r="T27" t="s" s="0">
        <v>84</v>
      </c>
      <c r="U27" t="s" s="0">
        <v>84</v>
      </c>
      <c r="V27" t="s" s="0">
        <v>909</v>
      </c>
      <c r="W27" t="s" s="0">
        <v>910</v>
      </c>
      <c r="X27" t="s" s="0">
        <v>84</v>
      </c>
      <c r="Y27" t="s" s="0">
        <v>84</v>
      </c>
      <c r="Z27" t="s" s="0">
        <v>96</v>
      </c>
      <c r="AA27" t="s" s="0">
        <v>97</v>
      </c>
      <c r="AB27" t="s" s="0">
        <v>84</v>
      </c>
      <c r="AC27" t="s" s="0">
        <v>84</v>
      </c>
      <c r="AD27" t="s" s="0">
        <v>84</v>
      </c>
      <c r="AE27" t="s" s="0">
        <v>84</v>
      </c>
      <c r="AF27" t="s" s="0">
        <v>84</v>
      </c>
      <c r="AG27" t="s" s="0">
        <v>911</v>
      </c>
      <c r="AH27" t="s" s="0">
        <v>84</v>
      </c>
      <c r="AI27" t="s" s="0">
        <v>912</v>
      </c>
      <c r="AJ27" t="s" s="0">
        <v>913</v>
      </c>
      <c r="AK27" t="s" s="0">
        <v>84</v>
      </c>
      <c r="AL27" t="s" s="0">
        <v>609</v>
      </c>
      <c r="AM27" t="s" s="0">
        <v>885</v>
      </c>
      <c r="AN27" t="s" s="0">
        <v>652</v>
      </c>
      <c r="AO27" t="s" s="0">
        <v>201</v>
      </c>
      <c r="AP27" t="s" s="0">
        <v>914</v>
      </c>
      <c r="AQ27" t="s" s="0">
        <v>690</v>
      </c>
      <c r="AR27" t="s" s="0">
        <v>691</v>
      </c>
      <c r="AS27" t="s" s="0">
        <v>692</v>
      </c>
      <c r="AT27" t="s" s="0">
        <v>915</v>
      </c>
      <c r="AU27" t="s" s="0">
        <v>916</v>
      </c>
      <c r="AV27" t="s" s="0">
        <v>84</v>
      </c>
      <c r="AW27" t="s" s="0">
        <v>917</v>
      </c>
      <c r="AX27" t="s" s="0">
        <v>918</v>
      </c>
      <c r="AY27" t="s" s="0">
        <v>919</v>
      </c>
      <c r="AZ27" t="s" s="0">
        <v>114</v>
      </c>
      <c r="BA27" t="s" s="0">
        <v>920</v>
      </c>
      <c r="BB27" t="s" s="0">
        <v>549</v>
      </c>
      <c r="BC27" t="s" s="0">
        <v>84</v>
      </c>
      <c r="BD27" t="s" s="0">
        <v>84</v>
      </c>
      <c r="BE27" t="s" s="0">
        <v>84</v>
      </c>
      <c r="BF27" t="s" s="0">
        <v>84</v>
      </c>
      <c r="BG27" t="s" s="0">
        <v>921</v>
      </c>
      <c r="BH27" t="s" s="0">
        <v>922</v>
      </c>
      <c r="BI27" t="s" s="0">
        <v>84</v>
      </c>
      <c r="BJ27" t="s" s="0">
        <v>923</v>
      </c>
      <c r="BK27" t="s" s="51">
        <f>HYPERLINK("http://dx.doi.org/10.1111/jerd.13046","http://dx.doi.org/10.1111/jerd.13046")</f>
        <v>924</v>
      </c>
      <c r="BL27" t="s" s="0">
        <v>84</v>
      </c>
      <c r="BM27" t="s" s="0">
        <v>925</v>
      </c>
      <c r="BN27" t="s" s="0">
        <v>80</v>
      </c>
      <c r="BO27" t="s" s="0">
        <v>841</v>
      </c>
      <c r="BP27" t="s" s="0">
        <v>841</v>
      </c>
      <c r="BQ27" t="s" s="0">
        <v>926</v>
      </c>
      <c r="BR27" t="s" s="0">
        <v>927</v>
      </c>
      <c r="BS27" t="s" s="0">
        <v>928</v>
      </c>
      <c r="BT27" t="s" s="52">
        <f>HYPERLINK("https://www.webofscience.com/wos/woscc/full-record/WOS:000963062700001","View Record in Web of Science")</f>
        <v>128</v>
      </c>
      <c r="BU27" t="s" s="0">
        <v>205</v>
      </c>
      <c r="BV27" t="s" s="0">
        <v>129</v>
      </c>
      <c r="BW27" t="s" s="0">
        <v>130</v>
      </c>
      <c r="BX27" t="s" s="0">
        <v>131</v>
      </c>
    </row>
    <row r="28">
      <c r="A28" t="s" s="0">
        <v>549</v>
      </c>
      <c r="B28" t="s" s="0">
        <v>78</v>
      </c>
      <c r="C28" t="s" s="0">
        <v>134</v>
      </c>
      <c r="D28" t="s" s="0">
        <v>78</v>
      </c>
      <c r="E28" t="s" s="0">
        <v>929</v>
      </c>
      <c r="F28" t="s" s="0">
        <v>930</v>
      </c>
      <c r="G28" t="s" s="0">
        <v>931</v>
      </c>
      <c r="H28" t="s" s="0">
        <v>84</v>
      </c>
      <c r="I28" t="s" s="0">
        <v>85</v>
      </c>
      <c r="J28" t="s" s="0">
        <v>932</v>
      </c>
      <c r="K28" t="s" s="0">
        <v>933</v>
      </c>
      <c r="L28" t="s" s="0">
        <v>84</v>
      </c>
      <c r="M28" t="s" s="0">
        <v>84</v>
      </c>
      <c r="N28" t="s" s="0">
        <v>84</v>
      </c>
      <c r="O28" t="s" s="0">
        <v>934</v>
      </c>
      <c r="P28" t="s" s="0">
        <v>935</v>
      </c>
      <c r="Q28" t="s" s="0">
        <v>93</v>
      </c>
      <c r="R28" t="s" s="0">
        <v>84</v>
      </c>
      <c r="S28" t="s" s="0">
        <v>84</v>
      </c>
      <c r="T28" t="s" s="0">
        <v>84</v>
      </c>
      <c r="U28" t="s" s="0">
        <v>84</v>
      </c>
      <c r="V28" t="s" s="0">
        <v>936</v>
      </c>
      <c r="W28" t="s" s="0">
        <v>937</v>
      </c>
      <c r="X28" t="s" s="0">
        <v>84</v>
      </c>
      <c r="Y28" t="s" s="0">
        <v>84</v>
      </c>
      <c r="Z28" t="s" s="0">
        <v>96</v>
      </c>
      <c r="AA28" t="s" s="0">
        <v>97</v>
      </c>
      <c r="AB28" t="s" s="0">
        <v>84</v>
      </c>
      <c r="AC28" t="s" s="0">
        <v>84</v>
      </c>
      <c r="AD28" t="s" s="0">
        <v>84</v>
      </c>
      <c r="AE28" t="s" s="0">
        <v>84</v>
      </c>
      <c r="AF28" t="s" s="0">
        <v>84</v>
      </c>
      <c r="AG28" t="s" s="0">
        <v>84</v>
      </c>
      <c r="AH28" t="s" s="0">
        <v>98</v>
      </c>
      <c r="AI28" t="s" s="0">
        <v>938</v>
      </c>
      <c r="AJ28" t="s" s="0">
        <v>939</v>
      </c>
      <c r="AK28" t="s" s="0">
        <v>84</v>
      </c>
      <c r="AL28" t="s" s="0">
        <v>940</v>
      </c>
      <c r="AM28" t="s" s="0">
        <v>941</v>
      </c>
      <c r="AN28" t="s" s="0">
        <v>778</v>
      </c>
      <c r="AO28" t="s" s="0">
        <v>247</v>
      </c>
      <c r="AP28" t="s" s="0">
        <v>942</v>
      </c>
      <c r="AQ28" t="s" s="0">
        <v>690</v>
      </c>
      <c r="AR28" t="s" s="0">
        <v>691</v>
      </c>
      <c r="AS28" t="s" s="0">
        <v>692</v>
      </c>
      <c r="AT28" t="s" s="0">
        <v>943</v>
      </c>
      <c r="AU28" t="s" s="0">
        <v>944</v>
      </c>
      <c r="AV28" t="s" s="0">
        <v>84</v>
      </c>
      <c r="AW28" t="s" s="0">
        <v>945</v>
      </c>
      <c r="AX28" t="s" s="0">
        <v>946</v>
      </c>
      <c r="AY28" t="s" s="0">
        <v>947</v>
      </c>
      <c r="AZ28" t="s" s="0">
        <v>273</v>
      </c>
      <c r="BA28" t="s" s="0">
        <v>635</v>
      </c>
      <c r="BB28" t="s" s="0">
        <v>122</v>
      </c>
      <c r="BC28" t="s" s="0">
        <v>84</v>
      </c>
      <c r="BD28" t="s" s="0">
        <v>84</v>
      </c>
      <c r="BE28" t="s" s="0">
        <v>84</v>
      </c>
      <c r="BF28" t="s" s="0">
        <v>84</v>
      </c>
      <c r="BG28" t="s" s="0">
        <v>948</v>
      </c>
      <c r="BH28" t="s" s="0">
        <v>949</v>
      </c>
      <c r="BI28" t="s" s="0">
        <v>84</v>
      </c>
      <c r="BJ28" t="s" s="0">
        <v>950</v>
      </c>
      <c r="BK28" t="s" s="53">
        <f>HYPERLINK("http://dx.doi.org/10.1111/medu.15402","http://dx.doi.org/10.1111/medu.15402")</f>
        <v>951</v>
      </c>
      <c r="BL28" t="s" s="0">
        <v>84</v>
      </c>
      <c r="BM28" t="s" s="0">
        <v>470</v>
      </c>
      <c r="BN28" t="s" s="0">
        <v>439</v>
      </c>
      <c r="BO28" t="s" s="0">
        <v>952</v>
      </c>
      <c r="BP28" t="s" s="0">
        <v>953</v>
      </c>
      <c r="BQ28" t="s" s="0">
        <v>954</v>
      </c>
      <c r="BR28" t="s" s="0">
        <v>955</v>
      </c>
      <c r="BS28" t="s" s="0">
        <v>956</v>
      </c>
      <c r="BT28" t="s" s="54">
        <f>HYPERLINK("https://www.webofscience.com/wos/woscc/full-record/WOS:001205086700001","View Record in Web of Science")</f>
        <v>128</v>
      </c>
      <c r="BU28" t="s" s="0">
        <v>205</v>
      </c>
      <c r="BV28" t="s" s="0">
        <v>129</v>
      </c>
      <c r="BW28" t="s" s="0">
        <v>130</v>
      </c>
      <c r="BX28" t="s" s="0">
        <v>131</v>
      </c>
    </row>
    <row r="29">
      <c r="A29" t="s" s="0">
        <v>165</v>
      </c>
      <c r="B29" t="s" s="0">
        <v>78</v>
      </c>
      <c r="C29" t="s" s="0">
        <v>624</v>
      </c>
      <c r="D29" t="s" s="0">
        <v>78</v>
      </c>
      <c r="E29" t="s" s="0">
        <v>957</v>
      </c>
      <c r="F29" t="s" s="0">
        <v>958</v>
      </c>
      <c r="G29" t="s" s="0">
        <v>959</v>
      </c>
      <c r="H29" t="s" s="0">
        <v>84</v>
      </c>
      <c r="I29" t="s" s="0">
        <v>85</v>
      </c>
      <c r="J29" t="s" s="0">
        <v>960</v>
      </c>
      <c r="K29" t="s" s="0">
        <v>961</v>
      </c>
      <c r="L29" t="s" s="0">
        <v>962</v>
      </c>
      <c r="M29" t="s" s="0">
        <v>963</v>
      </c>
      <c r="N29" t="s" s="0">
        <v>964</v>
      </c>
      <c r="O29" t="s" s="0">
        <v>965</v>
      </c>
      <c r="P29" t="s" s="0">
        <v>966</v>
      </c>
      <c r="Q29" t="s" s="0">
        <v>93</v>
      </c>
      <c r="R29" t="s" s="0">
        <v>84</v>
      </c>
      <c r="S29" t="s" s="0">
        <v>84</v>
      </c>
      <c r="T29" t="s" s="0">
        <v>84</v>
      </c>
      <c r="U29" t="s" s="0">
        <v>84</v>
      </c>
      <c r="V29" t="s" s="0">
        <v>967</v>
      </c>
      <c r="W29" t="s" s="0">
        <v>968</v>
      </c>
      <c r="X29" t="s" s="0">
        <v>84</v>
      </c>
      <c r="Y29" t="s" s="0">
        <v>84</v>
      </c>
      <c r="Z29" t="s" s="0">
        <v>96</v>
      </c>
      <c r="AA29" t="s" s="0">
        <v>97</v>
      </c>
      <c r="AB29" t="s" s="0">
        <v>84</v>
      </c>
      <c r="AC29" t="s" s="0">
        <v>84</v>
      </c>
      <c r="AD29" t="s" s="0">
        <v>84</v>
      </c>
      <c r="AE29" t="s" s="0">
        <v>84</v>
      </c>
      <c r="AF29" t="s" s="0">
        <v>84</v>
      </c>
      <c r="AG29" t="s" s="0">
        <v>84</v>
      </c>
      <c r="AH29" t="s" s="0">
        <v>969</v>
      </c>
      <c r="AI29" t="s" s="0">
        <v>84</v>
      </c>
      <c r="AJ29" t="s" s="0">
        <v>970</v>
      </c>
      <c r="AK29" t="s" s="0">
        <v>84</v>
      </c>
      <c r="AL29" t="s" s="0">
        <v>971</v>
      </c>
      <c r="AM29" t="s" s="0">
        <v>972</v>
      </c>
      <c r="AN29" t="s" s="0">
        <v>973</v>
      </c>
      <c r="AO29" t="s" s="0">
        <v>758</v>
      </c>
      <c r="AP29" t="s" s="0">
        <v>974</v>
      </c>
      <c r="AQ29" t="s" s="0">
        <v>106</v>
      </c>
      <c r="AR29" t="s" s="0">
        <v>107</v>
      </c>
      <c r="AS29" t="s" s="0">
        <v>108</v>
      </c>
      <c r="AT29" t="s" s="0">
        <v>975</v>
      </c>
      <c r="AU29" t="s" s="0">
        <v>976</v>
      </c>
      <c r="AV29" t="s" s="0">
        <v>84</v>
      </c>
      <c r="AW29" t="s" s="0">
        <v>977</v>
      </c>
      <c r="AX29" t="s" s="0">
        <v>978</v>
      </c>
      <c r="AY29" t="s" s="0">
        <v>729</v>
      </c>
      <c r="AZ29" t="s" s="0">
        <v>273</v>
      </c>
      <c r="BA29" t="s" s="0">
        <v>979</v>
      </c>
      <c r="BB29" t="s" s="0">
        <v>208</v>
      </c>
      <c r="BC29" t="s" s="0">
        <v>84</v>
      </c>
      <c r="BD29" t="s" s="0">
        <v>84</v>
      </c>
      <c r="BE29" t="s" s="0">
        <v>84</v>
      </c>
      <c r="BF29" t="s" s="0">
        <v>84</v>
      </c>
      <c r="BG29" t="s" s="0">
        <v>980</v>
      </c>
      <c r="BH29" t="s" s="0">
        <v>531</v>
      </c>
      <c r="BI29" t="s" s="0">
        <v>84</v>
      </c>
      <c r="BJ29" t="s" s="0">
        <v>981</v>
      </c>
      <c r="BK29" t="s" s="55">
        <f>HYPERLINK("http://dx.doi.org/10.1038/s41587-024-02127-0","http://dx.doi.org/10.1038/s41587-024-02127-0")</f>
        <v>982</v>
      </c>
      <c r="BL29" t="s" s="0">
        <v>84</v>
      </c>
      <c r="BM29" t="s" s="0">
        <v>84</v>
      </c>
      <c r="BN29" t="s" s="0">
        <v>206</v>
      </c>
      <c r="BO29" t="s" s="0">
        <v>983</v>
      </c>
      <c r="BP29" t="s" s="0">
        <v>983</v>
      </c>
      <c r="BQ29" t="s" s="0">
        <v>984</v>
      </c>
      <c r="BR29" t="s" s="0">
        <v>985</v>
      </c>
      <c r="BS29" t="s" s="0">
        <v>986</v>
      </c>
      <c r="BT29" t="s" s="56">
        <f>HYPERLINK("https://www.webofscience.com/wos/woscc/full-record/WOS:001164046000030","View Record in Web of Science")</f>
        <v>128</v>
      </c>
      <c r="BU29" t="s" s="0">
        <v>987</v>
      </c>
      <c r="BV29" t="s" s="0">
        <v>129</v>
      </c>
      <c r="BW29" t="s" s="0">
        <v>130</v>
      </c>
      <c r="BX29" t="s" s="0">
        <v>131</v>
      </c>
    </row>
    <row r="30">
      <c r="A30" t="s" s="0">
        <v>161</v>
      </c>
      <c r="B30" t="s" s="0">
        <v>78</v>
      </c>
      <c r="C30" t="s" s="0">
        <v>340</v>
      </c>
      <c r="D30" t="s" s="0">
        <v>78</v>
      </c>
      <c r="E30" t="s" s="0">
        <v>988</v>
      </c>
      <c r="F30" t="s" s="0">
        <v>989</v>
      </c>
      <c r="G30" t="s" s="0">
        <v>990</v>
      </c>
      <c r="H30" t="s" s="0">
        <v>84</v>
      </c>
      <c r="I30" t="s" s="0">
        <v>85</v>
      </c>
      <c r="J30" t="s" s="0">
        <v>991</v>
      </c>
      <c r="K30" t="s" s="0">
        <v>992</v>
      </c>
      <c r="L30" t="s" s="0">
        <v>993</v>
      </c>
      <c r="M30" t="s" s="0">
        <v>994</v>
      </c>
      <c r="N30" t="s" s="0">
        <v>995</v>
      </c>
      <c r="O30" t="s" s="0">
        <v>996</v>
      </c>
      <c r="P30" t="s" s="0">
        <v>997</v>
      </c>
      <c r="Q30" t="s" s="0">
        <v>93</v>
      </c>
      <c r="R30" t="s" s="0">
        <v>84</v>
      </c>
      <c r="S30" t="s" s="0">
        <v>84</v>
      </c>
      <c r="T30" t="s" s="0">
        <v>84</v>
      </c>
      <c r="U30" t="s" s="0">
        <v>84</v>
      </c>
      <c r="V30" t="s" s="0">
        <v>998</v>
      </c>
      <c r="W30" t="s" s="0">
        <v>999</v>
      </c>
      <c r="X30" t="s" s="0">
        <v>84</v>
      </c>
      <c r="Y30" t="s" s="0">
        <v>84</v>
      </c>
      <c r="Z30" t="s" s="0">
        <v>96</v>
      </c>
      <c r="AA30" t="s" s="0">
        <v>97</v>
      </c>
      <c r="AB30" t="s" s="0">
        <v>84</v>
      </c>
      <c r="AC30" t="s" s="0">
        <v>84</v>
      </c>
      <c r="AD30" t="s" s="0">
        <v>84</v>
      </c>
      <c r="AE30" t="s" s="0">
        <v>84</v>
      </c>
      <c r="AF30" t="s" s="0">
        <v>84</v>
      </c>
      <c r="AG30" t="s" s="0">
        <v>84</v>
      </c>
      <c r="AH30" t="s" s="0">
        <v>1000</v>
      </c>
      <c r="AI30" t="s" s="0">
        <v>1001</v>
      </c>
      <c r="AJ30" t="s" s="0">
        <v>1002</v>
      </c>
      <c r="AK30" t="s" s="0">
        <v>84</v>
      </c>
      <c r="AL30" t="s" s="0">
        <v>751</v>
      </c>
      <c r="AM30" t="s" s="0">
        <v>1003</v>
      </c>
      <c r="AN30" t="s" s="0">
        <v>1004</v>
      </c>
      <c r="AO30" t="s" s="0">
        <v>122</v>
      </c>
      <c r="AP30" t="s" s="0">
        <v>1005</v>
      </c>
      <c r="AQ30" t="s" s="0">
        <v>106</v>
      </c>
      <c r="AR30" t="s" s="0">
        <v>107</v>
      </c>
      <c r="AS30" t="s" s="0">
        <v>108</v>
      </c>
      <c r="AT30" t="s" s="0">
        <v>84</v>
      </c>
      <c r="AU30" t="s" s="0">
        <v>1006</v>
      </c>
      <c r="AV30" t="s" s="0">
        <v>84</v>
      </c>
      <c r="AW30" t="s" s="0">
        <v>1007</v>
      </c>
      <c r="AX30" t="s" s="0">
        <v>1008</v>
      </c>
      <c r="AY30" t="s" s="0">
        <v>1009</v>
      </c>
      <c r="AZ30" t="s" s="0">
        <v>273</v>
      </c>
      <c r="BA30" t="s" s="0">
        <v>116</v>
      </c>
      <c r="BB30" t="s" s="0">
        <v>237</v>
      </c>
      <c r="BC30" t="s" s="0">
        <v>84</v>
      </c>
      <c r="BD30" t="s" s="0">
        <v>84</v>
      </c>
      <c r="BE30" t="s" s="0">
        <v>84</v>
      </c>
      <c r="BF30" t="s" s="0">
        <v>84</v>
      </c>
      <c r="BG30" t="s" s="0">
        <v>84</v>
      </c>
      <c r="BH30" t="s" s="0">
        <v>84</v>
      </c>
      <c r="BI30" t="s" s="0">
        <v>1010</v>
      </c>
      <c r="BJ30" t="s" s="0">
        <v>1011</v>
      </c>
      <c r="BK30" t="s" s="57">
        <f>HYPERLINK("http://dx.doi.org/10.1038/s41698-024-00575-0","http://dx.doi.org/10.1038/s41698-024-00575-0")</f>
        <v>1012</v>
      </c>
      <c r="BL30" t="s" s="0">
        <v>84</v>
      </c>
      <c r="BM30" t="s" s="0">
        <v>84</v>
      </c>
      <c r="BN30" t="s" s="0">
        <v>201</v>
      </c>
      <c r="BO30" t="s" s="0">
        <v>1013</v>
      </c>
      <c r="BP30" t="s" s="0">
        <v>1013</v>
      </c>
      <c r="BQ30" t="s" s="0">
        <v>1014</v>
      </c>
      <c r="BR30" t="s" s="0">
        <v>1015</v>
      </c>
      <c r="BS30" t="s" s="0">
        <v>1016</v>
      </c>
      <c r="BT30" t="s" s="58">
        <f>HYPERLINK("https://www.webofscience.com/wos/woscc/full-record/WOS:001195148700001","View Record in Web of Science")</f>
        <v>128</v>
      </c>
      <c r="BU30" t="s" s="0">
        <v>171</v>
      </c>
      <c r="BV30" t="s" s="0">
        <v>129</v>
      </c>
      <c r="BW30" t="s" s="0">
        <v>130</v>
      </c>
      <c r="BX30" t="s" s="0">
        <v>131</v>
      </c>
    </row>
    <row r="31">
      <c r="A31" t="s" s="0">
        <v>609</v>
      </c>
      <c r="B31" t="s" s="0">
        <v>78</v>
      </c>
      <c r="C31" t="s" s="0">
        <v>671</v>
      </c>
      <c r="D31" t="s" s="0">
        <v>78</v>
      </c>
      <c r="E31" t="s" s="0">
        <v>1017</v>
      </c>
      <c r="F31" t="s" s="0">
        <v>1018</v>
      </c>
      <c r="G31" t="s" s="0">
        <v>1019</v>
      </c>
      <c r="H31" t="s" s="0">
        <v>84</v>
      </c>
      <c r="I31" t="s" s="0">
        <v>85</v>
      </c>
      <c r="J31" t="s" s="0">
        <v>1020</v>
      </c>
      <c r="K31" t="s" s="0">
        <v>1021</v>
      </c>
      <c r="L31" t="s" s="0">
        <v>1022</v>
      </c>
      <c r="M31" t="s" s="0">
        <v>1023</v>
      </c>
      <c r="N31" t="s" s="0">
        <v>84</v>
      </c>
      <c r="O31" t="s" s="0">
        <v>1024</v>
      </c>
      <c r="P31" t="s" s="0">
        <v>1025</v>
      </c>
      <c r="Q31" t="s" s="0">
        <v>93</v>
      </c>
      <c r="R31" t="s" s="0">
        <v>84</v>
      </c>
      <c r="S31" t="s" s="0">
        <v>84</v>
      </c>
      <c r="T31" t="s" s="0">
        <v>84</v>
      </c>
      <c r="U31" t="s" s="0">
        <v>84</v>
      </c>
      <c r="V31" t="s" s="0">
        <v>1026</v>
      </c>
      <c r="W31" t="s" s="0">
        <v>95</v>
      </c>
      <c r="X31" t="s" s="0">
        <v>84</v>
      </c>
      <c r="Y31" t="s" s="0">
        <v>84</v>
      </c>
      <c r="Z31" t="s" s="0">
        <v>96</v>
      </c>
      <c r="AA31" t="s" s="0">
        <v>97</v>
      </c>
      <c r="AB31" t="s" s="0">
        <v>84</v>
      </c>
      <c r="AC31" t="s" s="0">
        <v>84</v>
      </c>
      <c r="AD31" t="s" s="0">
        <v>84</v>
      </c>
      <c r="AE31" t="s" s="0">
        <v>84</v>
      </c>
      <c r="AF31" t="s" s="0">
        <v>84</v>
      </c>
      <c r="AG31" t="s" s="0">
        <v>84</v>
      </c>
      <c r="AH31" t="s" s="0">
        <v>1027</v>
      </c>
      <c r="AI31" t="s" s="0">
        <v>1028</v>
      </c>
      <c r="AJ31" t="s" s="0">
        <v>1029</v>
      </c>
      <c r="AK31" t="s" s="0">
        <v>84</v>
      </c>
      <c r="AL31" t="s" s="0">
        <v>1030</v>
      </c>
      <c r="AM31" t="s" s="0">
        <v>1031</v>
      </c>
      <c r="AN31" t="s" s="0">
        <v>1032</v>
      </c>
      <c r="AO31" t="s" s="0">
        <v>132</v>
      </c>
      <c r="AP31" t="s" s="0">
        <v>1033</v>
      </c>
      <c r="AQ31" t="s" s="0">
        <v>106</v>
      </c>
      <c r="AR31" t="s" s="0">
        <v>107</v>
      </c>
      <c r="AS31" t="s" s="0">
        <v>108</v>
      </c>
      <c r="AT31" t="s" s="0">
        <v>109</v>
      </c>
      <c r="AU31" t="s" s="0">
        <v>110</v>
      </c>
      <c r="AV31" t="s" s="0">
        <v>84</v>
      </c>
      <c r="AW31" t="s" s="0">
        <v>111</v>
      </c>
      <c r="AX31" t="s" s="0">
        <v>112</v>
      </c>
      <c r="AY31" t="s" s="0">
        <v>542</v>
      </c>
      <c r="AZ31" t="s" s="0">
        <v>273</v>
      </c>
      <c r="BA31" t="s" s="0">
        <v>609</v>
      </c>
      <c r="BB31" t="s" s="0">
        <v>80</v>
      </c>
      <c r="BC31" t="s" s="0">
        <v>84</v>
      </c>
      <c r="BD31" t="s" s="0">
        <v>84</v>
      </c>
      <c r="BE31" t="s" s="0">
        <v>84</v>
      </c>
      <c r="BF31" t="s" s="0">
        <v>84</v>
      </c>
      <c r="BG31" t="s" s="0">
        <v>1034</v>
      </c>
      <c r="BH31" t="s" s="0">
        <v>1035</v>
      </c>
      <c r="BI31" t="s" s="0">
        <v>84</v>
      </c>
      <c r="BJ31" t="s" s="0">
        <v>1036</v>
      </c>
      <c r="BK31" t="s" s="59">
        <f>HYPERLINK("http://dx.doi.org/10.1038/s41591-024-02970-3","http://dx.doi.org/10.1038/s41591-024-02970-3")</f>
        <v>1037</v>
      </c>
      <c r="BL31" t="s" s="0">
        <v>84</v>
      </c>
      <c r="BM31" t="s" s="0">
        <v>542</v>
      </c>
      <c r="BN31" t="s" s="0">
        <v>201</v>
      </c>
      <c r="BO31" t="s" s="0">
        <v>123</v>
      </c>
      <c r="BP31" t="s" s="0">
        <v>124</v>
      </c>
      <c r="BQ31" t="s" s="0">
        <v>1038</v>
      </c>
      <c r="BR31" t="s" s="0">
        <v>1039</v>
      </c>
      <c r="BS31" t="s" s="0">
        <v>1040</v>
      </c>
      <c r="BT31" t="s" s="60">
        <f>HYPERLINK("https://www.webofscience.com/wos/woscc/full-record/WOS:001221557100005","View Record in Web of Science")</f>
        <v>128</v>
      </c>
      <c r="BU31" t="s" s="0">
        <v>84</v>
      </c>
      <c r="BV31" t="s" s="0">
        <v>129</v>
      </c>
      <c r="BW31" t="s" s="0">
        <v>130</v>
      </c>
      <c r="BX31" t="s" s="0">
        <v>131</v>
      </c>
    </row>
    <row r="32">
      <c r="A32" t="s" s="0">
        <v>208</v>
      </c>
      <c r="B32" t="s" s="0">
        <v>78</v>
      </c>
      <c r="C32" t="s" s="0">
        <v>750</v>
      </c>
      <c r="D32" t="s" s="0">
        <v>78</v>
      </c>
      <c r="E32" t="s" s="0">
        <v>1041</v>
      </c>
      <c r="F32" t="s" s="0">
        <v>1042</v>
      </c>
      <c r="G32" t="s" s="0">
        <v>1043</v>
      </c>
      <c r="H32" t="s" s="0">
        <v>84</v>
      </c>
      <c r="I32" t="s" s="0">
        <v>85</v>
      </c>
      <c r="J32" t="s" s="0">
        <v>1044</v>
      </c>
      <c r="K32" t="s" s="0">
        <v>1045</v>
      </c>
      <c r="L32" t="s" s="0">
        <v>84</v>
      </c>
      <c r="M32" t="s" s="0">
        <v>84</v>
      </c>
      <c r="N32" t="s" s="0">
        <v>84</v>
      </c>
      <c r="O32" t="s" s="0">
        <v>1046</v>
      </c>
      <c r="P32" t="s" s="0">
        <v>1047</v>
      </c>
      <c r="Q32" t="s" s="0">
        <v>93</v>
      </c>
      <c r="R32" t="s" s="0">
        <v>84</v>
      </c>
      <c r="S32" t="s" s="0">
        <v>84</v>
      </c>
      <c r="T32" t="s" s="0">
        <v>84</v>
      </c>
      <c r="U32" t="s" s="0">
        <v>84</v>
      </c>
      <c r="V32" t="s" s="0">
        <v>1048</v>
      </c>
      <c r="W32" t="s" s="0">
        <v>1049</v>
      </c>
      <c r="X32" t="s" s="0">
        <v>84</v>
      </c>
      <c r="Y32" t="s" s="0">
        <v>84</v>
      </c>
      <c r="Z32" t="s" s="0">
        <v>96</v>
      </c>
      <c r="AA32" t="s" s="0">
        <v>97</v>
      </c>
      <c r="AB32" t="s" s="0">
        <v>84</v>
      </c>
      <c r="AC32" t="s" s="0">
        <v>84</v>
      </c>
      <c r="AD32" t="s" s="0">
        <v>84</v>
      </c>
      <c r="AE32" t="s" s="0">
        <v>84</v>
      </c>
      <c r="AF32" t="s" s="0">
        <v>84</v>
      </c>
      <c r="AG32" t="s" s="0">
        <v>1050</v>
      </c>
      <c r="AH32" t="s" s="0">
        <v>1051</v>
      </c>
      <c r="AI32" t="s" s="0">
        <v>1052</v>
      </c>
      <c r="AJ32" t="s" s="0">
        <v>84</v>
      </c>
      <c r="AK32" t="s" s="0">
        <v>84</v>
      </c>
      <c r="AL32" t="s" s="0">
        <v>1053</v>
      </c>
      <c r="AM32" t="s" s="0">
        <v>1054</v>
      </c>
      <c r="AN32" t="s" s="0">
        <v>941</v>
      </c>
      <c r="AO32" t="s" s="0">
        <v>735</v>
      </c>
      <c r="AP32" t="s" s="0">
        <v>461</v>
      </c>
      <c r="AQ32" t="s" s="0">
        <v>1055</v>
      </c>
      <c r="AR32" t="s" s="0">
        <v>1056</v>
      </c>
      <c r="AS32" t="s" s="0">
        <v>1057</v>
      </c>
      <c r="AT32" t="s" s="0">
        <v>84</v>
      </c>
      <c r="AU32" t="s" s="0">
        <v>1058</v>
      </c>
      <c r="AV32" t="s" s="0">
        <v>84</v>
      </c>
      <c r="AW32" t="s" s="0">
        <v>1059</v>
      </c>
      <c r="AX32" t="s" s="0">
        <v>1060</v>
      </c>
      <c r="AY32" t="s" s="0">
        <v>1061</v>
      </c>
      <c r="AZ32" t="s" s="0">
        <v>273</v>
      </c>
      <c r="BA32" t="s" s="0">
        <v>122</v>
      </c>
      <c r="BB32" t="s" s="0">
        <v>84</v>
      </c>
      <c r="BC32" t="s" s="0">
        <v>84</v>
      </c>
      <c r="BD32" t="s" s="0">
        <v>84</v>
      </c>
      <c r="BE32" t="s" s="0">
        <v>84</v>
      </c>
      <c r="BF32" t="s" s="0">
        <v>84</v>
      </c>
      <c r="BG32" t="s" s="0">
        <v>84</v>
      </c>
      <c r="BH32" t="s" s="0">
        <v>84</v>
      </c>
      <c r="BI32" t="s" s="0">
        <v>1062</v>
      </c>
      <c r="BJ32" t="s" s="0">
        <v>1063</v>
      </c>
      <c r="BK32" t="s" s="61">
        <f>HYPERLINK("http://dx.doi.org/10.3389/fmed.2024.1477898","http://dx.doi.org/10.3389/fmed.2024.1477898")</f>
        <v>1064</v>
      </c>
      <c r="BL32" t="s" s="0">
        <v>84</v>
      </c>
      <c r="BM32" t="s" s="0">
        <v>84</v>
      </c>
      <c r="BN32" t="s" s="0">
        <v>228</v>
      </c>
      <c r="BO32" t="s" s="0">
        <v>404</v>
      </c>
      <c r="BP32" t="s" s="0">
        <v>405</v>
      </c>
      <c r="BQ32" t="s" s="0">
        <v>1065</v>
      </c>
      <c r="BR32" t="s" s="0">
        <v>1066</v>
      </c>
      <c r="BS32" t="s" s="0">
        <v>1067</v>
      </c>
      <c r="BT32" t="s" s="62">
        <f>HYPERLINK("https://www.webofscience.com/wos/woscc/full-record/WOS:001352014800001","View Record in Web of Science")</f>
        <v>128</v>
      </c>
      <c r="BU32" t="s" s="0">
        <v>171</v>
      </c>
      <c r="BV32" t="s" s="0">
        <v>130</v>
      </c>
      <c r="BW32" t="s" s="0">
        <v>130</v>
      </c>
      <c r="BX32" t="s" s="0">
        <v>131</v>
      </c>
    </row>
    <row r="33">
      <c r="A33" t="s" s="0">
        <v>78</v>
      </c>
      <c r="B33" t="s" s="0">
        <v>78</v>
      </c>
      <c r="C33" t="s" s="0">
        <v>116</v>
      </c>
      <c r="D33" t="s" s="0">
        <v>78</v>
      </c>
      <c r="E33" t="s" s="0">
        <v>1068</v>
      </c>
      <c r="F33" t="s" s="0">
        <v>1069</v>
      </c>
      <c r="G33" t="s" s="0">
        <v>1070</v>
      </c>
      <c r="H33" t="s" s="0">
        <v>84</v>
      </c>
      <c r="I33" t="s" s="0">
        <v>212</v>
      </c>
      <c r="J33" t="s" s="0">
        <v>1071</v>
      </c>
      <c r="K33" t="s" s="0">
        <v>1072</v>
      </c>
      <c r="L33" t="s" s="0">
        <v>1073</v>
      </c>
      <c r="M33" t="s" s="0">
        <v>1074</v>
      </c>
      <c r="N33" t="s" s="0">
        <v>1075</v>
      </c>
      <c r="O33" t="s" s="0">
        <v>1076</v>
      </c>
      <c r="P33" t="s" s="0">
        <v>1077</v>
      </c>
      <c r="Q33" t="s" s="0">
        <v>93</v>
      </c>
      <c r="R33" t="s" s="0">
        <v>84</v>
      </c>
      <c r="S33" t="s" s="0">
        <v>84</v>
      </c>
      <c r="T33" t="s" s="0">
        <v>84</v>
      </c>
      <c r="U33" t="s" s="0">
        <v>84</v>
      </c>
      <c r="V33" t="s" s="0">
        <v>1078</v>
      </c>
      <c r="W33" t="s" s="0">
        <v>558</v>
      </c>
      <c r="X33" t="s" s="0">
        <v>84</v>
      </c>
      <c r="Y33" t="s" s="0">
        <v>84</v>
      </c>
      <c r="Z33" t="s" s="0">
        <v>96</v>
      </c>
      <c r="AA33" t="s" s="0">
        <v>97</v>
      </c>
      <c r="AB33" t="s" s="0">
        <v>84</v>
      </c>
      <c r="AC33" t="s" s="0">
        <v>84</v>
      </c>
      <c r="AD33" t="s" s="0">
        <v>84</v>
      </c>
      <c r="AE33" t="s" s="0">
        <v>84</v>
      </c>
      <c r="AF33" t="s" s="0">
        <v>84</v>
      </c>
      <c r="AG33" t="s" s="0">
        <v>1079</v>
      </c>
      <c r="AH33" t="s" s="0">
        <v>84</v>
      </c>
      <c r="AI33" t="s" s="0">
        <v>1080</v>
      </c>
      <c r="AJ33" t="s" s="0">
        <v>1081</v>
      </c>
      <c r="AK33" t="s" s="0">
        <v>84</v>
      </c>
      <c r="AL33" t="s" s="0">
        <v>1082</v>
      </c>
      <c r="AM33" t="s" s="0">
        <v>1083</v>
      </c>
      <c r="AN33" t="s" s="0">
        <v>1084</v>
      </c>
      <c r="AO33" t="s" s="0">
        <v>572</v>
      </c>
      <c r="AP33" t="s" s="0">
        <v>1085</v>
      </c>
      <c r="AQ33" t="s" s="0">
        <v>154</v>
      </c>
      <c r="AR33" t="s" s="0">
        <v>155</v>
      </c>
      <c r="AS33" t="s" s="0">
        <v>156</v>
      </c>
      <c r="AT33" t="s" s="0">
        <v>84</v>
      </c>
      <c r="AU33" t="s" s="0">
        <v>566</v>
      </c>
      <c r="AV33" t="s" s="0">
        <v>84</v>
      </c>
      <c r="AW33" t="s" s="0">
        <v>558</v>
      </c>
      <c r="AX33" t="s" s="0">
        <v>567</v>
      </c>
      <c r="AY33" t="s" s="0">
        <v>568</v>
      </c>
      <c r="AZ33" t="s" s="0">
        <v>273</v>
      </c>
      <c r="BA33" t="s" s="0">
        <v>122</v>
      </c>
      <c r="BB33" t="s" s="0">
        <v>174</v>
      </c>
      <c r="BC33" t="s" s="0">
        <v>84</v>
      </c>
      <c r="BD33" t="s" s="0">
        <v>84</v>
      </c>
      <c r="BE33" t="s" s="0">
        <v>84</v>
      </c>
      <c r="BF33" t="s" s="0">
        <v>84</v>
      </c>
      <c r="BG33" t="s" s="0">
        <v>84</v>
      </c>
      <c r="BH33" t="s" s="0">
        <v>84</v>
      </c>
      <c r="BI33" t="s" s="0">
        <v>635</v>
      </c>
      <c r="BJ33" t="s" s="0">
        <v>1086</v>
      </c>
      <c r="BK33" t="s" s="63">
        <f>HYPERLINK("http://dx.doi.org/10.3390/informatics11030058","http://dx.doi.org/10.3390/informatics11030058")</f>
        <v>1087</v>
      </c>
      <c r="BL33" t="s" s="0">
        <v>84</v>
      </c>
      <c r="BM33" t="s" s="0">
        <v>84</v>
      </c>
      <c r="BN33" t="s" s="0">
        <v>115</v>
      </c>
      <c r="BO33" t="s" s="0">
        <v>573</v>
      </c>
      <c r="BP33" t="s" s="0">
        <v>574</v>
      </c>
      <c r="BQ33" t="s" s="0">
        <v>1088</v>
      </c>
      <c r="BR33" t="s" s="0">
        <v>84</v>
      </c>
      <c r="BS33" t="s" s="0">
        <v>1089</v>
      </c>
      <c r="BT33" t="s" s="64">
        <f>HYPERLINK("https://www.webofscience.com/wos/woscc/full-record/WOS:001323267400001","View Record in Web of Science")</f>
        <v>128</v>
      </c>
      <c r="BU33" t="s" s="0">
        <v>577</v>
      </c>
      <c r="BV33" t="s" s="0">
        <v>84</v>
      </c>
      <c r="BW33" t="s" s="0">
        <v>84</v>
      </c>
      <c r="BX33" t="s" s="0">
        <v>131</v>
      </c>
    </row>
    <row r="34">
      <c r="A34" t="s" s="0">
        <v>208</v>
      </c>
      <c r="B34" t="s" s="0">
        <v>78</v>
      </c>
      <c r="C34" t="s" s="0">
        <v>424</v>
      </c>
      <c r="D34" t="s" s="0">
        <v>237</v>
      </c>
      <c r="E34" t="s" s="0">
        <v>1090</v>
      </c>
      <c r="F34" t="s" s="0">
        <v>1091</v>
      </c>
      <c r="G34" t="s" s="0">
        <v>1092</v>
      </c>
      <c r="H34" t="s" s="0">
        <v>84</v>
      </c>
      <c r="I34" t="s" s="0">
        <v>85</v>
      </c>
      <c r="J34" t="s" s="0">
        <v>1093</v>
      </c>
      <c r="K34" t="s" s="0">
        <v>1094</v>
      </c>
      <c r="L34" t="s" s="0">
        <v>1095</v>
      </c>
      <c r="M34" t="s" s="0">
        <v>1096</v>
      </c>
      <c r="N34" t="s" s="0">
        <v>1097</v>
      </c>
      <c r="O34" t="s" s="0">
        <v>1098</v>
      </c>
      <c r="P34" t="s" s="0">
        <v>1099</v>
      </c>
      <c r="Q34" t="s" s="0">
        <v>93</v>
      </c>
      <c r="R34" t="s" s="0">
        <v>84</v>
      </c>
      <c r="S34" t="s" s="0">
        <v>84</v>
      </c>
      <c r="T34" t="s" s="0">
        <v>84</v>
      </c>
      <c r="U34" t="s" s="0">
        <v>84</v>
      </c>
      <c r="V34" t="s" s="0">
        <v>1100</v>
      </c>
      <c r="W34" t="s" s="0">
        <v>1101</v>
      </c>
      <c r="X34" t="s" s="0">
        <v>84</v>
      </c>
      <c r="Y34" t="s" s="0">
        <v>84</v>
      </c>
      <c r="Z34" t="s" s="0">
        <v>96</v>
      </c>
      <c r="AA34" t="s" s="0">
        <v>97</v>
      </c>
      <c r="AB34" t="s" s="0">
        <v>84</v>
      </c>
      <c r="AC34" t="s" s="0">
        <v>84</v>
      </c>
      <c r="AD34" t="s" s="0">
        <v>84</v>
      </c>
      <c r="AE34" t="s" s="0">
        <v>84</v>
      </c>
      <c r="AF34" t="s" s="0">
        <v>84</v>
      </c>
      <c r="AG34" t="s" s="0">
        <v>1102</v>
      </c>
      <c r="AH34" t="s" s="0">
        <v>84</v>
      </c>
      <c r="AI34" t="s" s="0">
        <v>1103</v>
      </c>
      <c r="AJ34" t="s" s="0">
        <v>1104</v>
      </c>
      <c r="AK34" t="s" s="0">
        <v>84</v>
      </c>
      <c r="AL34" t="s" s="0">
        <v>149</v>
      </c>
      <c r="AM34" t="s" s="0">
        <v>1083</v>
      </c>
      <c r="AN34" t="s" s="0">
        <v>1105</v>
      </c>
      <c r="AO34" t="s" s="0">
        <v>80</v>
      </c>
      <c r="AP34" t="s" s="0">
        <v>229</v>
      </c>
      <c r="AQ34" t="s" s="0">
        <v>1106</v>
      </c>
      <c r="AR34" t="s" s="0">
        <v>1107</v>
      </c>
      <c r="AS34" t="s" s="0">
        <v>1108</v>
      </c>
      <c r="AT34" t="s" s="0">
        <v>1109</v>
      </c>
      <c r="AU34" t="s" s="0">
        <v>84</v>
      </c>
      <c r="AV34" t="s" s="0">
        <v>84</v>
      </c>
      <c r="AW34" t="s" s="0">
        <v>1110</v>
      </c>
      <c r="AX34" t="s" s="0">
        <v>1111</v>
      </c>
      <c r="AY34" t="s" s="0">
        <v>1112</v>
      </c>
      <c r="AZ34" t="s" s="0">
        <v>273</v>
      </c>
      <c r="BA34" t="s" s="0">
        <v>609</v>
      </c>
      <c r="BB34" t="s" s="0">
        <v>208</v>
      </c>
      <c r="BC34" t="s" s="0">
        <v>84</v>
      </c>
      <c r="BD34" t="s" s="0">
        <v>84</v>
      </c>
      <c r="BE34" t="s" s="0">
        <v>84</v>
      </c>
      <c r="BF34" t="s" s="0">
        <v>84</v>
      </c>
      <c r="BG34" t="s" s="0">
        <v>1010</v>
      </c>
      <c r="BH34" t="s" s="0">
        <v>1113</v>
      </c>
      <c r="BI34" t="s" s="0">
        <v>84</v>
      </c>
      <c r="BJ34" t="s" s="0">
        <v>1114</v>
      </c>
      <c r="BK34" t="s" s="65">
        <f>HYPERLINK("http://dx.doi.org/10.4274/dir.2023.232417","http://dx.doi.org/10.4274/dir.2023.232417")</f>
        <v>1115</v>
      </c>
      <c r="BL34" t="s" s="0">
        <v>84</v>
      </c>
      <c r="BM34" t="s" s="0">
        <v>84</v>
      </c>
      <c r="BN34" t="s" s="0">
        <v>122</v>
      </c>
      <c r="BO34" t="s" s="0">
        <v>605</v>
      </c>
      <c r="BP34" t="s" s="0">
        <v>605</v>
      </c>
      <c r="BQ34" t="s" s="0">
        <v>1116</v>
      </c>
      <c r="BR34" t="s" s="0">
        <v>1117</v>
      </c>
      <c r="BS34" t="s" s="0">
        <v>1118</v>
      </c>
      <c r="BT34" t="s" s="66">
        <f>HYPERLINK("https://www.webofscience.com/wos/woscc/full-record/WOS:001222062400006","View Record in Web of Science")</f>
        <v>128</v>
      </c>
      <c r="BU34" t="s" s="0">
        <v>790</v>
      </c>
      <c r="BV34" t="s" s="0">
        <v>129</v>
      </c>
      <c r="BW34" t="s" s="0">
        <v>130</v>
      </c>
      <c r="BX34" t="s" s="0">
        <v>131</v>
      </c>
    </row>
    <row r="35">
      <c r="A35" t="s" s="0">
        <v>237</v>
      </c>
      <c r="B35" t="s" s="0">
        <v>78</v>
      </c>
      <c r="C35" t="s" s="0">
        <v>196</v>
      </c>
      <c r="D35" t="s" s="0">
        <v>174</v>
      </c>
      <c r="E35" t="s" s="0">
        <v>1119</v>
      </c>
      <c r="F35" t="s" s="0">
        <v>1120</v>
      </c>
      <c r="G35" t="s" s="0">
        <v>1121</v>
      </c>
      <c r="H35" t="s" s="0">
        <v>84</v>
      </c>
      <c r="I35" t="s" s="0">
        <v>212</v>
      </c>
      <c r="J35" t="s" s="0">
        <v>1122</v>
      </c>
      <c r="K35" t="s" s="0">
        <v>1123</v>
      </c>
      <c r="L35" t="s" s="0">
        <v>84</v>
      </c>
      <c r="M35" t="s" s="0">
        <v>84</v>
      </c>
      <c r="N35" t="s" s="0">
        <v>84</v>
      </c>
      <c r="O35" t="s" s="0">
        <v>1124</v>
      </c>
      <c r="P35" t="s" s="0">
        <v>1125</v>
      </c>
      <c r="Q35" t="s" s="0">
        <v>93</v>
      </c>
      <c r="R35" t="s" s="0">
        <v>84</v>
      </c>
      <c r="S35" t="s" s="0">
        <v>84</v>
      </c>
      <c r="T35" t="s" s="0">
        <v>84</v>
      </c>
      <c r="U35" t="s" s="0">
        <v>84</v>
      </c>
      <c r="V35" t="s" s="0">
        <v>1126</v>
      </c>
      <c r="W35" t="s" s="0">
        <v>1127</v>
      </c>
      <c r="X35" t="s" s="0">
        <v>84</v>
      </c>
      <c r="Y35" t="s" s="0">
        <v>84</v>
      </c>
      <c r="Z35" t="s" s="0">
        <v>96</v>
      </c>
      <c r="AA35" t="s" s="0">
        <v>97</v>
      </c>
      <c r="AB35" t="s" s="0">
        <v>84</v>
      </c>
      <c r="AC35" t="s" s="0">
        <v>84</v>
      </c>
      <c r="AD35" t="s" s="0">
        <v>84</v>
      </c>
      <c r="AE35" t="s" s="0">
        <v>84</v>
      </c>
      <c r="AF35" t="s" s="0">
        <v>84</v>
      </c>
      <c r="AG35" t="s" s="0">
        <v>1128</v>
      </c>
      <c r="AH35" t="s" s="0">
        <v>1129</v>
      </c>
      <c r="AI35" t="s" s="0">
        <v>1130</v>
      </c>
      <c r="AJ35" t="s" s="0">
        <v>1131</v>
      </c>
      <c r="AK35" t="s" s="0">
        <v>84</v>
      </c>
      <c r="AL35" t="s" s="0">
        <v>1132</v>
      </c>
      <c r="AM35" t="s" s="0">
        <v>1133</v>
      </c>
      <c r="AN35" t="s" s="0">
        <v>332</v>
      </c>
      <c r="AO35" t="s" s="0">
        <v>80</v>
      </c>
      <c r="AP35" t="s" s="0">
        <v>1134</v>
      </c>
      <c r="AQ35" t="s" s="0">
        <v>154</v>
      </c>
      <c r="AR35" t="s" s="0">
        <v>155</v>
      </c>
      <c r="AS35" t="s" s="0">
        <v>860</v>
      </c>
      <c r="AT35" t="s" s="0">
        <v>84</v>
      </c>
      <c r="AU35" t="s" s="0">
        <v>1135</v>
      </c>
      <c r="AV35" t="s" s="0">
        <v>84</v>
      </c>
      <c r="AW35" t="s" s="0">
        <v>1136</v>
      </c>
      <c r="AX35" t="s" s="0">
        <v>1137</v>
      </c>
      <c r="AY35" t="s" s="0">
        <v>1138</v>
      </c>
      <c r="AZ35" t="s" s="0">
        <v>114</v>
      </c>
      <c r="BA35" t="s" s="0">
        <v>206</v>
      </c>
      <c r="BB35" t="s" s="0">
        <v>208</v>
      </c>
      <c r="BC35" t="s" s="0">
        <v>84</v>
      </c>
      <c r="BD35" t="s" s="0">
        <v>84</v>
      </c>
      <c r="BE35" t="s" s="0">
        <v>84</v>
      </c>
      <c r="BF35" t="s" s="0">
        <v>84</v>
      </c>
      <c r="BG35" t="s" s="0">
        <v>84</v>
      </c>
      <c r="BH35" t="s" s="0">
        <v>84</v>
      </c>
      <c r="BI35" t="s" s="0">
        <v>458</v>
      </c>
      <c r="BJ35" t="s" s="0">
        <v>1139</v>
      </c>
      <c r="BK35" t="s" s="67">
        <f>HYPERLINK("http://dx.doi.org/10.3390/educsci13020150","http://dx.doi.org/10.3390/educsci13020150")</f>
        <v>1140</v>
      </c>
      <c r="BL35" t="s" s="0">
        <v>84</v>
      </c>
      <c r="BM35" t="s" s="0">
        <v>84</v>
      </c>
      <c r="BN35" t="s" s="0">
        <v>228</v>
      </c>
      <c r="BO35" t="s" s="0">
        <v>508</v>
      </c>
      <c r="BP35" t="s" s="0">
        <v>508</v>
      </c>
      <c r="BQ35" t="s" s="0">
        <v>1141</v>
      </c>
      <c r="BR35" t="s" s="0">
        <v>84</v>
      </c>
      <c r="BS35" t="s" s="0">
        <v>1142</v>
      </c>
      <c r="BT35" t="s" s="68">
        <f>HYPERLINK("https://www.webofscience.com/wos/woscc/full-record/WOS:000938601500001","View Record in Web of Science")</f>
        <v>128</v>
      </c>
      <c r="BU35" t="s" s="0">
        <v>171</v>
      </c>
      <c r="BV35" t="s" s="0">
        <v>84</v>
      </c>
      <c r="BW35" t="s" s="0">
        <v>84</v>
      </c>
      <c r="BX35" t="s" s="0">
        <v>131</v>
      </c>
    </row>
    <row r="36">
      <c r="A36" t="s" s="0">
        <v>208</v>
      </c>
      <c r="B36" t="s" s="0">
        <v>78</v>
      </c>
      <c r="C36" t="s" s="0">
        <v>208</v>
      </c>
      <c r="D36" t="s" s="0">
        <v>78</v>
      </c>
      <c r="E36" t="s" s="0">
        <v>1143</v>
      </c>
      <c r="F36" t="s" s="0">
        <v>1144</v>
      </c>
      <c r="G36" t="s" s="0">
        <v>1145</v>
      </c>
      <c r="H36" t="s" s="0">
        <v>84</v>
      </c>
      <c r="I36" t="s" s="0">
        <v>85</v>
      </c>
      <c r="J36" t="s" s="0">
        <v>1146</v>
      </c>
      <c r="K36" t="s" s="0">
        <v>1147</v>
      </c>
      <c r="L36" t="s" s="0">
        <v>1148</v>
      </c>
      <c r="M36" t="s" s="0">
        <v>1149</v>
      </c>
      <c r="N36" t="s" s="0">
        <v>1150</v>
      </c>
      <c r="O36" t="s" s="0">
        <v>1151</v>
      </c>
      <c r="P36" t="s" s="0">
        <v>1152</v>
      </c>
      <c r="Q36" t="s" s="0">
        <v>93</v>
      </c>
      <c r="R36" t="s" s="0">
        <v>84</v>
      </c>
      <c r="S36" t="s" s="0">
        <v>84</v>
      </c>
      <c r="T36" t="s" s="0">
        <v>84</v>
      </c>
      <c r="U36" t="s" s="0">
        <v>84</v>
      </c>
      <c r="V36" t="s" s="0">
        <v>1153</v>
      </c>
      <c r="W36" t="s" s="0">
        <v>1154</v>
      </c>
      <c r="X36" t="s" s="0">
        <v>84</v>
      </c>
      <c r="Y36" t="s" s="0">
        <v>84</v>
      </c>
      <c r="Z36" t="s" s="0">
        <v>96</v>
      </c>
      <c r="AA36" t="s" s="0">
        <v>97</v>
      </c>
      <c r="AB36" t="s" s="0">
        <v>84</v>
      </c>
      <c r="AC36" t="s" s="0">
        <v>84</v>
      </c>
      <c r="AD36" t="s" s="0">
        <v>84</v>
      </c>
      <c r="AE36" t="s" s="0">
        <v>84</v>
      </c>
      <c r="AF36" t="s" s="0">
        <v>84</v>
      </c>
      <c r="AG36" t="s" s="0">
        <v>1155</v>
      </c>
      <c r="AH36" t="s" s="0">
        <v>1156</v>
      </c>
      <c r="AI36" t="s" s="0">
        <v>1157</v>
      </c>
      <c r="AJ36" t="s" s="0">
        <v>1158</v>
      </c>
      <c r="AK36" t="s" s="0">
        <v>84</v>
      </c>
      <c r="AL36" t="s" s="0">
        <v>1159</v>
      </c>
      <c r="AM36" t="s" s="0">
        <v>1160</v>
      </c>
      <c r="AN36" t="s" s="0">
        <v>1161</v>
      </c>
      <c r="AO36" t="s" s="0">
        <v>1162</v>
      </c>
      <c r="AP36" t="s" s="0">
        <v>1163</v>
      </c>
      <c r="AQ36" t="s" s="0">
        <v>1164</v>
      </c>
      <c r="AR36" t="s" s="0">
        <v>1165</v>
      </c>
      <c r="AS36" t="s" s="0">
        <v>1166</v>
      </c>
      <c r="AT36" t="s" s="0">
        <v>1167</v>
      </c>
      <c r="AU36" t="s" s="0">
        <v>1168</v>
      </c>
      <c r="AV36" t="s" s="0">
        <v>84</v>
      </c>
      <c r="AW36" t="s" s="0">
        <v>1169</v>
      </c>
      <c r="AX36" t="s" s="0">
        <v>1170</v>
      </c>
      <c r="AY36" t="s" s="0">
        <v>1171</v>
      </c>
      <c r="AZ36" t="s" s="0">
        <v>338</v>
      </c>
      <c r="BA36" t="s" s="0">
        <v>363</v>
      </c>
      <c r="BB36" t="s" s="0">
        <v>208</v>
      </c>
      <c r="BC36" t="s" s="0">
        <v>84</v>
      </c>
      <c r="BD36" t="s" s="0">
        <v>84</v>
      </c>
      <c r="BE36" t="s" s="0">
        <v>84</v>
      </c>
      <c r="BF36" t="s" s="0">
        <v>84</v>
      </c>
      <c r="BG36" t="s" s="0">
        <v>1172</v>
      </c>
      <c r="BH36" t="s" s="0">
        <v>1173</v>
      </c>
      <c r="BI36" t="s" s="0">
        <v>84</v>
      </c>
      <c r="BJ36" t="s" s="0">
        <v>1174</v>
      </c>
      <c r="BK36" t="s" s="69">
        <f>HYPERLINK("http://dx.doi.org/10.1016/j.identj.2025.02.005","http://dx.doi.org/10.1016/j.identj.2025.02.005")</f>
        <v>1175</v>
      </c>
      <c r="BL36" t="s" s="0">
        <v>84</v>
      </c>
      <c r="BM36" t="s" s="0">
        <v>337</v>
      </c>
      <c r="BN36" t="s" s="0">
        <v>228</v>
      </c>
      <c r="BO36" t="s" s="0">
        <v>841</v>
      </c>
      <c r="BP36" t="s" s="0">
        <v>841</v>
      </c>
      <c r="BQ36" t="s" s="0">
        <v>1176</v>
      </c>
      <c r="BR36" t="s" s="0">
        <v>1177</v>
      </c>
      <c r="BS36" t="s" s="0">
        <v>1178</v>
      </c>
      <c r="BT36" t="s" s="70">
        <f>HYPERLINK("https://www.webofscience.com/wos/woscc/full-record/WOS:001468197900001","View Record in Web of Science")</f>
        <v>128</v>
      </c>
      <c r="BU36" t="s" s="0">
        <v>171</v>
      </c>
      <c r="BV36" t="s" s="0">
        <v>130</v>
      </c>
      <c r="BW36" t="s" s="0">
        <v>130</v>
      </c>
      <c r="BX36" t="s" s="0">
        <v>131</v>
      </c>
    </row>
    <row r="37">
      <c r="A37" t="s" s="0">
        <v>174</v>
      </c>
      <c r="B37" t="s" s="0">
        <v>78</v>
      </c>
      <c r="C37" t="s" s="0">
        <v>1179</v>
      </c>
      <c r="D37" t="s" s="0">
        <v>78</v>
      </c>
      <c r="E37" t="s" s="0">
        <v>1180</v>
      </c>
      <c r="F37" t="s" s="0">
        <v>1181</v>
      </c>
      <c r="G37" t="s" s="0">
        <v>1182</v>
      </c>
      <c r="H37" t="s" s="0">
        <v>84</v>
      </c>
      <c r="I37" t="s" s="0">
        <v>138</v>
      </c>
      <c r="J37" t="s" s="0">
        <v>1183</v>
      </c>
      <c r="K37" t="s" s="0">
        <v>1184</v>
      </c>
      <c r="L37" t="s" s="0">
        <v>84</v>
      </c>
      <c r="M37" t="s" s="0">
        <v>84</v>
      </c>
      <c r="N37" t="s" s="0">
        <v>84</v>
      </c>
      <c r="O37" t="s" s="0">
        <v>1185</v>
      </c>
      <c r="P37" t="s" s="0">
        <v>1186</v>
      </c>
      <c r="Q37" t="s" s="0">
        <v>93</v>
      </c>
      <c r="R37" t="s" s="0">
        <v>84</v>
      </c>
      <c r="S37" t="s" s="0">
        <v>84</v>
      </c>
      <c r="T37" t="s" s="0">
        <v>84</v>
      </c>
      <c r="U37" t="s" s="0">
        <v>84</v>
      </c>
      <c r="V37" t="s" s="0">
        <v>1187</v>
      </c>
      <c r="W37" t="s" s="0">
        <v>144</v>
      </c>
      <c r="X37" t="s" s="0">
        <v>84</v>
      </c>
      <c r="Y37" t="s" s="0">
        <v>84</v>
      </c>
      <c r="Z37" t="s" s="0">
        <v>96</v>
      </c>
      <c r="AA37" t="s" s="0">
        <v>97</v>
      </c>
      <c r="AB37" t="s" s="0">
        <v>84</v>
      </c>
      <c r="AC37" t="s" s="0">
        <v>84</v>
      </c>
      <c r="AD37" t="s" s="0">
        <v>84</v>
      </c>
      <c r="AE37" t="s" s="0">
        <v>84</v>
      </c>
      <c r="AF37" t="s" s="0">
        <v>84</v>
      </c>
      <c r="AG37" t="s" s="0">
        <v>1188</v>
      </c>
      <c r="AH37" t="s" s="0">
        <v>84</v>
      </c>
      <c r="AI37" t="s" s="0">
        <v>1189</v>
      </c>
      <c r="AJ37" t="s" s="0">
        <v>1190</v>
      </c>
      <c r="AK37" t="s" s="0">
        <v>84</v>
      </c>
      <c r="AL37" t="s" s="0">
        <v>1191</v>
      </c>
      <c r="AM37" t="s" s="0">
        <v>189</v>
      </c>
      <c r="AN37" t="s" s="0">
        <v>942</v>
      </c>
      <c r="AO37" t="s" s="0">
        <v>1192</v>
      </c>
      <c r="AP37" t="s" s="0">
        <v>1193</v>
      </c>
      <c r="AQ37" t="s" s="0">
        <v>154</v>
      </c>
      <c r="AR37" t="s" s="0">
        <v>155</v>
      </c>
      <c r="AS37" t="s" s="0">
        <v>156</v>
      </c>
      <c r="AT37" t="s" s="0">
        <v>84</v>
      </c>
      <c r="AU37" t="s" s="0">
        <v>157</v>
      </c>
      <c r="AV37" t="s" s="0">
        <v>84</v>
      </c>
      <c r="AW37" t="s" s="0">
        <v>158</v>
      </c>
      <c r="AX37" t="s" s="0">
        <v>159</v>
      </c>
      <c r="AY37" t="s" s="0">
        <v>919</v>
      </c>
      <c r="AZ37" t="s" s="0">
        <v>114</v>
      </c>
      <c r="BA37" t="s" s="0">
        <v>122</v>
      </c>
      <c r="BB37" t="s" s="0">
        <v>165</v>
      </c>
      <c r="BC37" t="s" s="0">
        <v>84</v>
      </c>
      <c r="BD37" t="s" s="0">
        <v>84</v>
      </c>
      <c r="BE37" t="s" s="0">
        <v>84</v>
      </c>
      <c r="BF37" t="s" s="0">
        <v>84</v>
      </c>
      <c r="BG37" t="s" s="0">
        <v>84</v>
      </c>
      <c r="BH37" t="s" s="0">
        <v>84</v>
      </c>
      <c r="BI37" t="s" s="0">
        <v>1194</v>
      </c>
      <c r="BJ37" t="s" s="0">
        <v>1195</v>
      </c>
      <c r="BK37" t="s" s="71">
        <f>HYPERLINK("http://dx.doi.org/10.3390/healthcare11202776","http://dx.doi.org/10.3390/healthcare11202776")</f>
        <v>1196</v>
      </c>
      <c r="BL37" t="s" s="0">
        <v>84</v>
      </c>
      <c r="BM37" t="s" s="0">
        <v>84</v>
      </c>
      <c r="BN37" t="s" s="0">
        <v>750</v>
      </c>
      <c r="BO37" t="s" s="0">
        <v>166</v>
      </c>
      <c r="BP37" t="s" s="0">
        <v>167</v>
      </c>
      <c r="BQ37" t="s" s="0">
        <v>1197</v>
      </c>
      <c r="BR37" t="s" s="0">
        <v>1198</v>
      </c>
      <c r="BS37" t="s" s="0">
        <v>1199</v>
      </c>
      <c r="BT37" t="s" s="72">
        <f>HYPERLINK("https://www.webofscience.com/wos/woscc/full-record/WOS:001089835500001","View Record in Web of Science")</f>
        <v>128</v>
      </c>
      <c r="BU37" t="s" s="0">
        <v>171</v>
      </c>
      <c r="BV37" t="s" s="0">
        <v>129</v>
      </c>
      <c r="BW37" t="s" s="0">
        <v>130</v>
      </c>
      <c r="BX37" t="s" s="0">
        <v>131</v>
      </c>
    </row>
    <row r="38">
      <c r="A38" t="s" s="0">
        <v>174</v>
      </c>
      <c r="B38" t="s" s="0">
        <v>78</v>
      </c>
      <c r="C38" t="s" s="0">
        <v>122</v>
      </c>
      <c r="D38" t="s" s="0">
        <v>237</v>
      </c>
      <c r="E38" t="s" s="0">
        <v>1200</v>
      </c>
      <c r="F38" t="s" s="0">
        <v>1201</v>
      </c>
      <c r="G38" t="s" s="0">
        <v>1202</v>
      </c>
      <c r="H38" t="s" s="0">
        <v>84</v>
      </c>
      <c r="I38" t="s" s="0">
        <v>85</v>
      </c>
      <c r="J38" t="s" s="0">
        <v>1203</v>
      </c>
      <c r="K38" t="s" s="0">
        <v>1204</v>
      </c>
      <c r="L38" t="s" s="0">
        <v>84</v>
      </c>
      <c r="M38" t="s" s="0">
        <v>84</v>
      </c>
      <c r="N38" t="s" s="0">
        <v>84</v>
      </c>
      <c r="O38" t="s" s="0">
        <v>1205</v>
      </c>
      <c r="P38" t="s" s="0">
        <v>1206</v>
      </c>
      <c r="Q38" t="s" s="0">
        <v>93</v>
      </c>
      <c r="R38" t="s" s="0">
        <v>84</v>
      </c>
      <c r="S38" t="s" s="0">
        <v>84</v>
      </c>
      <c r="T38" t="s" s="0">
        <v>84</v>
      </c>
      <c r="U38" t="s" s="0">
        <v>84</v>
      </c>
      <c r="V38" t="s" s="0">
        <v>1207</v>
      </c>
      <c r="W38" t="s" s="0">
        <v>1208</v>
      </c>
      <c r="X38" t="s" s="0">
        <v>84</v>
      </c>
      <c r="Y38" t="s" s="0">
        <v>84</v>
      </c>
      <c r="Z38" t="s" s="0">
        <v>96</v>
      </c>
      <c r="AA38" t="s" s="0">
        <v>97</v>
      </c>
      <c r="AB38" t="s" s="0">
        <v>84</v>
      </c>
      <c r="AC38" t="s" s="0">
        <v>84</v>
      </c>
      <c r="AD38" t="s" s="0">
        <v>84</v>
      </c>
      <c r="AE38" t="s" s="0">
        <v>84</v>
      </c>
      <c r="AF38" t="s" s="0">
        <v>84</v>
      </c>
      <c r="AG38" t="s" s="0">
        <v>1209</v>
      </c>
      <c r="AH38" t="s" s="0">
        <v>84</v>
      </c>
      <c r="AI38" t="s" s="0">
        <v>84</v>
      </c>
      <c r="AJ38" t="s" s="0">
        <v>84</v>
      </c>
      <c r="AK38" t="s" s="0">
        <v>84</v>
      </c>
      <c r="AL38" t="s" s="0">
        <v>115</v>
      </c>
      <c r="AM38" t="s" s="0">
        <v>1210</v>
      </c>
      <c r="AN38" t="s" s="0">
        <v>1211</v>
      </c>
      <c r="AO38" t="s" s="0">
        <v>1192</v>
      </c>
      <c r="AP38" t="s" s="0">
        <v>1212</v>
      </c>
      <c r="AQ38" t="s" s="0">
        <v>1213</v>
      </c>
      <c r="AR38" t="s" s="0">
        <v>1214</v>
      </c>
      <c r="AS38" t="s" s="0">
        <v>1215</v>
      </c>
      <c r="AT38" t="s" s="0">
        <v>1216</v>
      </c>
      <c r="AU38" t="s" s="0">
        <v>1217</v>
      </c>
      <c r="AV38" t="s" s="0">
        <v>84</v>
      </c>
      <c r="AW38" t="s" s="0">
        <v>1218</v>
      </c>
      <c r="AX38" t="s" s="0">
        <v>1219</v>
      </c>
      <c r="AY38" t="s" s="0">
        <v>919</v>
      </c>
      <c r="AZ38" t="s" s="0">
        <v>114</v>
      </c>
      <c r="BA38" t="s" s="0">
        <v>750</v>
      </c>
      <c r="BB38" t="s" s="0">
        <v>80</v>
      </c>
      <c r="BC38" t="s" s="0">
        <v>84</v>
      </c>
      <c r="BD38" t="s" s="0">
        <v>84</v>
      </c>
      <c r="BE38" t="s" s="0">
        <v>84</v>
      </c>
      <c r="BF38" t="s" s="0">
        <v>84</v>
      </c>
      <c r="BG38" t="s" s="0">
        <v>1220</v>
      </c>
      <c r="BH38" t="s" s="0">
        <v>1221</v>
      </c>
      <c r="BI38" t="s" s="0">
        <v>84</v>
      </c>
      <c r="BJ38" t="s" s="0">
        <v>1222</v>
      </c>
      <c r="BK38" t="s" s="73">
        <f>HYPERLINK("http://dx.doi.org/10.1016/j.jpurol.2023.05.018","http://dx.doi.org/10.1016/j.jpurol.2023.05.018")</f>
        <v>1223</v>
      </c>
      <c r="BL38" t="s" s="0">
        <v>84</v>
      </c>
      <c r="BM38" t="s" s="0">
        <v>84</v>
      </c>
      <c r="BN38" t="s" s="0">
        <v>549</v>
      </c>
      <c r="BO38" t="s" s="0">
        <v>1224</v>
      </c>
      <c r="BP38" t="s" s="0">
        <v>1224</v>
      </c>
      <c r="BQ38" t="s" s="0">
        <v>1225</v>
      </c>
      <c r="BR38" t="s" s="0">
        <v>1226</v>
      </c>
      <c r="BS38" t="s" s="0">
        <v>1227</v>
      </c>
      <c r="BT38" t="s" s="74">
        <f>HYPERLINK("https://www.webofscience.com/wos/woscc/full-record/WOS:001086204600001","View Record in Web of Science")</f>
        <v>128</v>
      </c>
      <c r="BU38" t="s" s="0">
        <v>84</v>
      </c>
      <c r="BV38" t="s" s="0">
        <v>129</v>
      </c>
      <c r="BW38" t="s" s="0">
        <v>130</v>
      </c>
      <c r="BX38" t="s" s="0">
        <v>131</v>
      </c>
    </row>
    <row r="39">
      <c r="A39" t="s" s="0">
        <v>237</v>
      </c>
      <c r="B39" t="s" s="0">
        <v>78</v>
      </c>
      <c r="C39" t="s" s="0">
        <v>306</v>
      </c>
      <c r="D39" t="s" s="0">
        <v>78</v>
      </c>
      <c r="E39" t="s" s="0">
        <v>1228</v>
      </c>
      <c r="F39" t="s" s="0">
        <v>1229</v>
      </c>
      <c r="G39" t="s" s="0">
        <v>1230</v>
      </c>
      <c r="H39" t="s" s="0">
        <v>84</v>
      </c>
      <c r="I39" t="s" s="0">
        <v>85</v>
      </c>
      <c r="J39" t="s" s="0">
        <v>1231</v>
      </c>
      <c r="K39" t="s" s="0">
        <v>1232</v>
      </c>
      <c r="L39" t="s" s="0">
        <v>84</v>
      </c>
      <c r="M39" t="s" s="0">
        <v>84</v>
      </c>
      <c r="N39" t="s" s="0">
        <v>84</v>
      </c>
      <c r="O39" t="s" s="0">
        <v>1233</v>
      </c>
      <c r="P39" t="s" s="0">
        <v>1234</v>
      </c>
      <c r="Q39" t="s" s="0">
        <v>93</v>
      </c>
      <c r="R39" t="s" s="0">
        <v>84</v>
      </c>
      <c r="S39" t="s" s="0">
        <v>84</v>
      </c>
      <c r="T39" t="s" s="0">
        <v>84</v>
      </c>
      <c r="U39" t="s" s="0">
        <v>84</v>
      </c>
      <c r="V39" t="s" s="0">
        <v>1235</v>
      </c>
      <c r="W39" t="s" s="0">
        <v>1236</v>
      </c>
      <c r="X39" t="s" s="0">
        <v>84</v>
      </c>
      <c r="Y39" t="s" s="0">
        <v>84</v>
      </c>
      <c r="Z39" t="s" s="0">
        <v>96</v>
      </c>
      <c r="AA39" t="s" s="0">
        <v>97</v>
      </c>
      <c r="AB39" t="s" s="0">
        <v>84</v>
      </c>
      <c r="AC39" t="s" s="0">
        <v>84</v>
      </c>
      <c r="AD39" t="s" s="0">
        <v>84</v>
      </c>
      <c r="AE39" t="s" s="0">
        <v>84</v>
      </c>
      <c r="AF39" t="s" s="0">
        <v>84</v>
      </c>
      <c r="AG39" t="s" s="0">
        <v>1237</v>
      </c>
      <c r="AH39" t="s" s="0">
        <v>84</v>
      </c>
      <c r="AI39" t="s" s="0">
        <v>1238</v>
      </c>
      <c r="AJ39" t="s" s="0">
        <v>1239</v>
      </c>
      <c r="AK39" t="s" s="0">
        <v>84</v>
      </c>
      <c r="AL39" t="s" s="0">
        <v>1005</v>
      </c>
      <c r="AM39" t="s" s="0">
        <v>1162</v>
      </c>
      <c r="AN39" t="s" s="0">
        <v>1161</v>
      </c>
      <c r="AO39" t="s" s="0">
        <v>475</v>
      </c>
      <c r="AP39" t="s" s="0">
        <v>1240</v>
      </c>
      <c r="AQ39" t="s" s="0">
        <v>498</v>
      </c>
      <c r="AR39" t="s" s="0">
        <v>499</v>
      </c>
      <c r="AS39" t="s" s="0">
        <v>500</v>
      </c>
      <c r="AT39" t="s" s="0">
        <v>1241</v>
      </c>
      <c r="AU39" t="s" s="0">
        <v>84</v>
      </c>
      <c r="AV39" t="s" s="0">
        <v>84</v>
      </c>
      <c r="AW39" t="s" s="0">
        <v>1242</v>
      </c>
      <c r="AX39" t="s" s="0">
        <v>1243</v>
      </c>
      <c r="AY39" t="s" s="0">
        <v>273</v>
      </c>
      <c r="AZ39" t="s" s="0">
        <v>273</v>
      </c>
      <c r="BA39" t="s" s="0">
        <v>122</v>
      </c>
      <c r="BB39" t="s" s="0">
        <v>84</v>
      </c>
      <c r="BC39" t="s" s="0">
        <v>84</v>
      </c>
      <c r="BD39" t="s" s="0">
        <v>84</v>
      </c>
      <c r="BE39" t="s" s="0">
        <v>84</v>
      </c>
      <c r="BF39" t="s" s="0">
        <v>84</v>
      </c>
      <c r="BG39" t="s" s="0">
        <v>84</v>
      </c>
      <c r="BH39" t="s" s="0">
        <v>84</v>
      </c>
      <c r="BI39" t="s" s="0">
        <v>1244</v>
      </c>
      <c r="BJ39" t="s" s="0">
        <v>1245</v>
      </c>
      <c r="BK39" t="s" s="75">
        <f>HYPERLINK("http://dx.doi.org/10.2196/57400","http://dx.doi.org/10.2196/57400")</f>
        <v>1246</v>
      </c>
      <c r="BL39" t="s" s="0">
        <v>84</v>
      </c>
      <c r="BM39" t="s" s="0">
        <v>84</v>
      </c>
      <c r="BN39" t="s" s="0">
        <v>165</v>
      </c>
      <c r="BO39" t="s" s="0">
        <v>1247</v>
      </c>
      <c r="BP39" t="s" s="0">
        <v>1247</v>
      </c>
      <c r="BQ39" t="s" s="0">
        <v>1248</v>
      </c>
      <c r="BR39" t="s" s="0">
        <v>1249</v>
      </c>
      <c r="BS39" t="s" s="0">
        <v>1250</v>
      </c>
      <c r="BT39" t="s" s="76">
        <f>HYPERLINK("https://www.webofscience.com/wos/woscc/full-record/WOS:001344635600002","View Record in Web of Science")</f>
        <v>128</v>
      </c>
      <c r="BU39" t="s" s="0">
        <v>171</v>
      </c>
      <c r="BV39" t="s" s="0">
        <v>129</v>
      </c>
      <c r="BW39" t="s" s="0">
        <v>130</v>
      </c>
      <c r="BX39" t="s" s="0">
        <v>131</v>
      </c>
    </row>
    <row r="40">
      <c r="A40" t="s" s="0">
        <v>306</v>
      </c>
      <c r="B40" t="s" s="0">
        <v>78</v>
      </c>
      <c r="C40" t="s" s="0">
        <v>1132</v>
      </c>
      <c r="D40" t="s" s="0">
        <v>237</v>
      </c>
      <c r="E40" t="s" s="0">
        <v>1251</v>
      </c>
      <c r="F40" t="s" s="0">
        <v>1252</v>
      </c>
      <c r="G40" t="s" s="0">
        <v>1253</v>
      </c>
      <c r="H40" t="s" s="0">
        <v>84</v>
      </c>
      <c r="I40" t="s" s="0">
        <v>85</v>
      </c>
      <c r="J40" t="s" s="0">
        <v>1254</v>
      </c>
      <c r="K40" t="s" s="0">
        <v>1255</v>
      </c>
      <c r="L40" t="s" s="0">
        <v>1256</v>
      </c>
      <c r="M40" t="s" s="0">
        <v>1257</v>
      </c>
      <c r="N40" t="s" s="0">
        <v>1258</v>
      </c>
      <c r="O40" t="s" s="0">
        <v>1259</v>
      </c>
      <c r="P40" t="s" s="0">
        <v>84</v>
      </c>
      <c r="Q40" t="s" s="0">
        <v>93</v>
      </c>
      <c r="R40" t="s" s="0">
        <v>84</v>
      </c>
      <c r="S40" t="s" s="0">
        <v>84</v>
      </c>
      <c r="T40" t="s" s="0">
        <v>84</v>
      </c>
      <c r="U40" t="s" s="0">
        <v>84</v>
      </c>
      <c r="V40" t="s" s="0">
        <v>1260</v>
      </c>
      <c r="W40" t="s" s="0">
        <v>1261</v>
      </c>
      <c r="X40" t="s" s="0">
        <v>84</v>
      </c>
      <c r="Y40" t="s" s="0">
        <v>84</v>
      </c>
      <c r="Z40" t="s" s="0">
        <v>96</v>
      </c>
      <c r="AA40" t="s" s="0">
        <v>97</v>
      </c>
      <c r="AB40" t="s" s="0">
        <v>84</v>
      </c>
      <c r="AC40" t="s" s="0">
        <v>84</v>
      </c>
      <c r="AD40" t="s" s="0">
        <v>84</v>
      </c>
      <c r="AE40" t="s" s="0">
        <v>84</v>
      </c>
      <c r="AF40" t="s" s="0">
        <v>84</v>
      </c>
      <c r="AG40" t="s" s="0">
        <v>1262</v>
      </c>
      <c r="AH40" t="s" s="0">
        <v>1263</v>
      </c>
      <c r="AI40" t="s" s="0">
        <v>1264</v>
      </c>
      <c r="AJ40" t="s" s="0">
        <v>1265</v>
      </c>
      <c r="AK40" t="s" s="0">
        <v>84</v>
      </c>
      <c r="AL40" t="s" s="0">
        <v>569</v>
      </c>
      <c r="AM40" t="s" s="0">
        <v>593</v>
      </c>
      <c r="AN40" t="s" s="0">
        <v>1266</v>
      </c>
      <c r="AO40" t="s" s="0">
        <v>122</v>
      </c>
      <c r="AP40" t="s" s="0">
        <v>806</v>
      </c>
      <c r="AQ40" t="s" s="0">
        <v>1267</v>
      </c>
      <c r="AR40" t="s" s="0">
        <v>231</v>
      </c>
      <c r="AS40" t="s" s="0">
        <v>1268</v>
      </c>
      <c r="AT40" t="s" s="0">
        <v>1269</v>
      </c>
      <c r="AU40" t="s" s="0">
        <v>1270</v>
      </c>
      <c r="AV40" t="s" s="0">
        <v>84</v>
      </c>
      <c r="AW40" t="s" s="0">
        <v>1271</v>
      </c>
      <c r="AX40" t="s" s="0">
        <v>1272</v>
      </c>
      <c r="AY40" t="s" s="0">
        <v>919</v>
      </c>
      <c r="AZ40" t="s" s="0">
        <v>114</v>
      </c>
      <c r="BA40" t="s" s="0">
        <v>627</v>
      </c>
      <c r="BB40" t="s" s="0">
        <v>283</v>
      </c>
      <c r="BC40" t="s" s="0">
        <v>84</v>
      </c>
      <c r="BD40" t="s" s="0">
        <v>84</v>
      </c>
      <c r="BE40" t="s" s="0">
        <v>84</v>
      </c>
      <c r="BF40" t="s" s="0">
        <v>84</v>
      </c>
      <c r="BG40" t="s" s="0">
        <v>1273</v>
      </c>
      <c r="BH40" t="s" s="0">
        <v>1274</v>
      </c>
      <c r="BI40" t="s" s="0">
        <v>84</v>
      </c>
      <c r="BJ40" t="s" s="0">
        <v>1275</v>
      </c>
      <c r="BK40" t="s" s="77">
        <f>HYPERLINK("http://dx.doi.org/10.1016/j.jinf.2023.07.006","http://dx.doi.org/10.1016/j.jinf.2023.07.006")</f>
        <v>1276</v>
      </c>
      <c r="BL40" t="s" s="0">
        <v>84</v>
      </c>
      <c r="BM40" t="s" s="0">
        <v>305</v>
      </c>
      <c r="BN40" t="s" s="0">
        <v>116</v>
      </c>
      <c r="BO40" t="s" s="0">
        <v>1277</v>
      </c>
      <c r="BP40" t="s" s="0">
        <v>1277</v>
      </c>
      <c r="BQ40" t="s" s="0">
        <v>1278</v>
      </c>
      <c r="BR40" t="s" s="0">
        <v>1279</v>
      </c>
      <c r="BS40" t="s" s="0">
        <v>1280</v>
      </c>
      <c r="BT40" t="s" s="78">
        <f>HYPERLINK("https://www.webofscience.com/wos/woscc/full-record/WOS:001072431400001","View Record in Web of Science")</f>
        <v>128</v>
      </c>
      <c r="BU40" t="s" s="0">
        <v>1281</v>
      </c>
      <c r="BV40" t="s" s="0">
        <v>129</v>
      </c>
      <c r="BW40" t="s" s="0">
        <v>130</v>
      </c>
      <c r="BX40" t="s" s="0">
        <v>131</v>
      </c>
    </row>
    <row r="41">
      <c r="A41" t="s" s="0">
        <v>174</v>
      </c>
      <c r="B41" t="s" s="0">
        <v>78</v>
      </c>
      <c r="C41" t="s" s="0">
        <v>115</v>
      </c>
      <c r="D41" t="s" s="0">
        <v>237</v>
      </c>
      <c r="E41" t="s" s="0">
        <v>1282</v>
      </c>
      <c r="F41" t="s" s="0">
        <v>1283</v>
      </c>
      <c r="G41" t="s" s="0">
        <v>1284</v>
      </c>
      <c r="H41" t="s" s="0">
        <v>84</v>
      </c>
      <c r="I41" t="s" s="0">
        <v>85</v>
      </c>
      <c r="J41" t="s" s="0">
        <v>1285</v>
      </c>
      <c r="K41" t="s" s="0">
        <v>1286</v>
      </c>
      <c r="L41" t="s" s="0">
        <v>1287</v>
      </c>
      <c r="M41" t="s" s="0">
        <v>1287</v>
      </c>
      <c r="N41" t="s" s="0">
        <v>254</v>
      </c>
      <c r="O41" t="s" s="0">
        <v>1288</v>
      </c>
      <c r="P41" t="s" s="0">
        <v>1289</v>
      </c>
      <c r="Q41" t="s" s="0">
        <v>93</v>
      </c>
      <c r="R41" t="s" s="0">
        <v>84</v>
      </c>
      <c r="S41" t="s" s="0">
        <v>84</v>
      </c>
      <c r="T41" t="s" s="0">
        <v>84</v>
      </c>
      <c r="U41" t="s" s="0">
        <v>84</v>
      </c>
      <c r="V41" t="s" s="0">
        <v>1290</v>
      </c>
      <c r="W41" t="s" s="0">
        <v>1291</v>
      </c>
      <c r="X41" t="s" s="0">
        <v>84</v>
      </c>
      <c r="Y41" t="s" s="0">
        <v>84</v>
      </c>
      <c r="Z41" t="s" s="0">
        <v>96</v>
      </c>
      <c r="AA41" t="s" s="0">
        <v>97</v>
      </c>
      <c r="AB41" t="s" s="0">
        <v>84</v>
      </c>
      <c r="AC41" t="s" s="0">
        <v>84</v>
      </c>
      <c r="AD41" t="s" s="0">
        <v>84</v>
      </c>
      <c r="AE41" t="s" s="0">
        <v>84</v>
      </c>
      <c r="AF41" t="s" s="0">
        <v>84</v>
      </c>
      <c r="AG41" t="s" s="0">
        <v>1292</v>
      </c>
      <c r="AH41" t="s" s="0">
        <v>84</v>
      </c>
      <c r="AI41" t="s" s="0">
        <v>1293</v>
      </c>
      <c r="AJ41" t="s" s="0">
        <v>1294</v>
      </c>
      <c r="AK41" t="s" s="0">
        <v>84</v>
      </c>
      <c r="AL41" t="s" s="0">
        <v>1191</v>
      </c>
      <c r="AM41" t="s" s="0">
        <v>1295</v>
      </c>
      <c r="AN41" t="s" s="0">
        <v>1161</v>
      </c>
      <c r="AO41" t="s" s="0">
        <v>165</v>
      </c>
      <c r="AP41" t="s" s="0">
        <v>1296</v>
      </c>
      <c r="AQ41" t="s" s="0">
        <v>1297</v>
      </c>
      <c r="AR41" t="s" s="0">
        <v>1298</v>
      </c>
      <c r="AS41" t="s" s="0">
        <v>1299</v>
      </c>
      <c r="AT41" t="s" s="0">
        <v>1300</v>
      </c>
      <c r="AU41" t="s" s="0">
        <v>1301</v>
      </c>
      <c r="AV41" t="s" s="0">
        <v>84</v>
      </c>
      <c r="AW41" t="s" s="0">
        <v>1302</v>
      </c>
      <c r="AX41" t="s" s="0">
        <v>1303</v>
      </c>
      <c r="AY41" t="s" s="0">
        <v>1304</v>
      </c>
      <c r="AZ41" t="s" s="0">
        <v>273</v>
      </c>
      <c r="BA41" t="s" s="0">
        <v>1082</v>
      </c>
      <c r="BB41" t="s" s="0">
        <v>237</v>
      </c>
      <c r="BC41" t="s" s="0">
        <v>84</v>
      </c>
      <c r="BD41" t="s" s="0">
        <v>84</v>
      </c>
      <c r="BE41" t="s" s="0">
        <v>84</v>
      </c>
      <c r="BF41" t="s" s="0">
        <v>84</v>
      </c>
      <c r="BG41" t="s" s="0">
        <v>84</v>
      </c>
      <c r="BH41" t="s" s="0">
        <v>84</v>
      </c>
      <c r="BI41" t="s" s="0">
        <v>1305</v>
      </c>
      <c r="BJ41" t="s" s="0">
        <v>1306</v>
      </c>
      <c r="BK41" t="s" s="79">
        <f>HYPERLINK("http://dx.doi.org/10.1007/s10916-024-02045-3","http://dx.doi.org/10.1007/s10916-024-02045-3")</f>
        <v>1307</v>
      </c>
      <c r="BL41" t="s" s="0">
        <v>84</v>
      </c>
      <c r="BM41" t="s" s="0">
        <v>84</v>
      </c>
      <c r="BN41" t="s" s="0">
        <v>122</v>
      </c>
      <c r="BO41" t="s" s="0">
        <v>374</v>
      </c>
      <c r="BP41" t="s" s="0">
        <v>374</v>
      </c>
      <c r="BQ41" t="s" s="0">
        <v>1308</v>
      </c>
      <c r="BR41" t="s" s="0">
        <v>1309</v>
      </c>
      <c r="BS41" t="s" s="0">
        <v>1310</v>
      </c>
      <c r="BT41" t="s" s="80">
        <f>HYPERLINK("https://www.webofscience.com/wos/woscc/full-record/WOS:001162831400001","View Record in Web of Science")</f>
        <v>128</v>
      </c>
      <c r="BU41" t="s" s="0">
        <v>480</v>
      </c>
      <c r="BV41" t="s" s="0">
        <v>129</v>
      </c>
      <c r="BW41" t="s" s="0">
        <v>130</v>
      </c>
      <c r="BX41" t="s" s="0">
        <v>131</v>
      </c>
    </row>
    <row r="42">
      <c r="A42" t="s" s="0">
        <v>549</v>
      </c>
      <c r="B42" t="s" s="0">
        <v>78</v>
      </c>
      <c r="C42" t="s" s="0">
        <v>671</v>
      </c>
      <c r="D42" t="s" s="0">
        <v>78</v>
      </c>
      <c r="E42" t="s" s="0">
        <v>1311</v>
      </c>
      <c r="F42" t="s" s="0">
        <v>1312</v>
      </c>
      <c r="G42" t="s" s="0">
        <v>1313</v>
      </c>
      <c r="H42" t="s" s="0">
        <v>84</v>
      </c>
      <c r="I42" t="s" s="0">
        <v>85</v>
      </c>
      <c r="J42" t="s" s="0">
        <v>1314</v>
      </c>
      <c r="K42" t="s" s="0">
        <v>1315</v>
      </c>
      <c r="L42" t="s" s="0">
        <v>84</v>
      </c>
      <c r="M42" t="s" s="0">
        <v>84</v>
      </c>
      <c r="N42" t="s" s="0">
        <v>84</v>
      </c>
      <c r="O42" t="s" s="0">
        <v>1316</v>
      </c>
      <c r="P42" t="s" s="0">
        <v>1317</v>
      </c>
      <c r="Q42" t="s" s="0">
        <v>93</v>
      </c>
      <c r="R42" t="s" s="0">
        <v>84</v>
      </c>
      <c r="S42" t="s" s="0">
        <v>84</v>
      </c>
      <c r="T42" t="s" s="0">
        <v>84</v>
      </c>
      <c r="U42" t="s" s="0">
        <v>84</v>
      </c>
      <c r="V42" t="s" s="0">
        <v>1318</v>
      </c>
      <c r="W42" t="s" s="0">
        <v>1319</v>
      </c>
      <c r="X42" t="s" s="0">
        <v>84</v>
      </c>
      <c r="Y42" t="s" s="0">
        <v>84</v>
      </c>
      <c r="Z42" t="s" s="0">
        <v>96</v>
      </c>
      <c r="AA42" t="s" s="0">
        <v>97</v>
      </c>
      <c r="AB42" t="s" s="0">
        <v>84</v>
      </c>
      <c r="AC42" t="s" s="0">
        <v>84</v>
      </c>
      <c r="AD42" t="s" s="0">
        <v>84</v>
      </c>
      <c r="AE42" t="s" s="0">
        <v>84</v>
      </c>
      <c r="AF42" t="s" s="0">
        <v>84</v>
      </c>
      <c r="AG42" t="s" s="0">
        <v>1320</v>
      </c>
      <c r="AH42" t="s" s="0">
        <v>84</v>
      </c>
      <c r="AI42" t="s" s="0">
        <v>1321</v>
      </c>
      <c r="AJ42" t="s" s="0">
        <v>1322</v>
      </c>
      <c r="AK42" t="s" s="0">
        <v>84</v>
      </c>
      <c r="AL42" t="s" s="0">
        <v>315</v>
      </c>
      <c r="AM42" t="s" s="0">
        <v>1323</v>
      </c>
      <c r="AN42" t="s" s="0">
        <v>335</v>
      </c>
      <c r="AO42" t="s" s="0">
        <v>549</v>
      </c>
      <c r="AP42" t="s" s="0">
        <v>562</v>
      </c>
      <c r="AQ42" t="s" s="0">
        <v>498</v>
      </c>
      <c r="AR42" t="s" s="0">
        <v>499</v>
      </c>
      <c r="AS42" t="s" s="0">
        <v>500</v>
      </c>
      <c r="AT42" t="s" s="0">
        <v>1324</v>
      </c>
      <c r="AU42" t="s" s="0">
        <v>84</v>
      </c>
      <c r="AV42" t="s" s="0">
        <v>84</v>
      </c>
      <c r="AW42" t="s" s="0">
        <v>1325</v>
      </c>
      <c r="AX42" t="s" s="0">
        <v>1326</v>
      </c>
      <c r="AY42" t="s" s="0">
        <v>1327</v>
      </c>
      <c r="AZ42" t="s" s="0">
        <v>273</v>
      </c>
      <c r="BA42" t="s" s="0">
        <v>1192</v>
      </c>
      <c r="BB42" t="s" s="0">
        <v>84</v>
      </c>
      <c r="BC42" t="s" s="0">
        <v>84</v>
      </c>
      <c r="BD42" t="s" s="0">
        <v>84</v>
      </c>
      <c r="BE42" t="s" s="0">
        <v>84</v>
      </c>
      <c r="BF42" t="s" s="0">
        <v>84</v>
      </c>
      <c r="BG42" t="s" s="0">
        <v>84</v>
      </c>
      <c r="BH42" t="s" s="0">
        <v>84</v>
      </c>
      <c r="BI42" t="s" s="0">
        <v>1328</v>
      </c>
      <c r="BJ42" t="s" s="0">
        <v>1329</v>
      </c>
      <c r="BK42" t="s" s="81">
        <f>HYPERLINK("http://dx.doi.org/10.2196/48996","http://dx.doi.org/10.2196/48996")</f>
        <v>1330</v>
      </c>
      <c r="BL42" t="s" s="0">
        <v>84</v>
      </c>
      <c r="BM42" t="s" s="0">
        <v>84</v>
      </c>
      <c r="BN42" t="s" s="0">
        <v>122</v>
      </c>
      <c r="BO42" t="s" s="0">
        <v>374</v>
      </c>
      <c r="BP42" t="s" s="0">
        <v>374</v>
      </c>
      <c r="BQ42" t="s" s="0">
        <v>1331</v>
      </c>
      <c r="BR42" t="s" s="0">
        <v>1332</v>
      </c>
      <c r="BS42" t="s" s="0">
        <v>1333</v>
      </c>
      <c r="BT42" t="s" s="82">
        <f>HYPERLINK("https://www.webofscience.com/wos/woscc/full-record/WOS:001164749800001","View Record in Web of Science")</f>
        <v>128</v>
      </c>
      <c r="BU42" t="s" s="0">
        <v>171</v>
      </c>
      <c r="BV42" t="s" s="0">
        <v>129</v>
      </c>
      <c r="BW42" t="s" s="0">
        <v>130</v>
      </c>
      <c r="BX42" t="s" s="0">
        <v>131</v>
      </c>
    </row>
    <row r="43">
      <c r="A43" t="s" s="0">
        <v>161</v>
      </c>
      <c r="B43" t="s" s="0">
        <v>78</v>
      </c>
      <c r="C43" t="s" s="0">
        <v>940</v>
      </c>
      <c r="D43" t="s" s="0">
        <v>78</v>
      </c>
      <c r="E43" t="s" s="0">
        <v>1334</v>
      </c>
      <c r="F43" t="s" s="0">
        <v>1335</v>
      </c>
      <c r="G43" t="s" s="0">
        <v>1336</v>
      </c>
      <c r="H43" t="s" s="0">
        <v>84</v>
      </c>
      <c r="I43" t="s" s="0">
        <v>85</v>
      </c>
      <c r="J43" t="s" s="0">
        <v>1337</v>
      </c>
      <c r="K43" t="s" s="0">
        <v>1338</v>
      </c>
      <c r="L43" t="s" s="0">
        <v>1339</v>
      </c>
      <c r="M43" t="s" s="0">
        <v>1340</v>
      </c>
      <c r="N43" t="s" s="0">
        <v>1341</v>
      </c>
      <c r="O43" t="s" s="0">
        <v>1342</v>
      </c>
      <c r="P43" t="s" s="0">
        <v>1343</v>
      </c>
      <c r="Q43" t="s" s="0">
        <v>93</v>
      </c>
      <c r="R43" t="s" s="0">
        <v>84</v>
      </c>
      <c r="S43" t="s" s="0">
        <v>84</v>
      </c>
      <c r="T43" t="s" s="0">
        <v>84</v>
      </c>
      <c r="U43" t="s" s="0">
        <v>84</v>
      </c>
      <c r="V43" t="s" s="0">
        <v>1344</v>
      </c>
      <c r="W43" t="s" s="0">
        <v>1345</v>
      </c>
      <c r="X43" t="s" s="0">
        <v>84</v>
      </c>
      <c r="Y43" t="s" s="0">
        <v>84</v>
      </c>
      <c r="Z43" t="s" s="0">
        <v>96</v>
      </c>
      <c r="AA43" t="s" s="0">
        <v>97</v>
      </c>
      <c r="AB43" t="s" s="0">
        <v>84</v>
      </c>
      <c r="AC43" t="s" s="0">
        <v>84</v>
      </c>
      <c r="AD43" t="s" s="0">
        <v>84</v>
      </c>
      <c r="AE43" t="s" s="0">
        <v>84</v>
      </c>
      <c r="AF43" t="s" s="0">
        <v>84</v>
      </c>
      <c r="AG43" t="s" s="0">
        <v>1346</v>
      </c>
      <c r="AH43" t="s" s="0">
        <v>84</v>
      </c>
      <c r="AI43" t="s" s="0">
        <v>1347</v>
      </c>
      <c r="AJ43" t="s" s="0">
        <v>1348</v>
      </c>
      <c r="AK43" t="s" s="0">
        <v>84</v>
      </c>
      <c r="AL43" t="s" s="0">
        <v>1349</v>
      </c>
      <c r="AM43" t="s" s="0">
        <v>298</v>
      </c>
      <c r="AN43" t="s" s="0">
        <v>1083</v>
      </c>
      <c r="AO43" t="s" s="0">
        <v>306</v>
      </c>
      <c r="AP43" t="s" s="0">
        <v>365</v>
      </c>
      <c r="AQ43" t="s" s="0">
        <v>1350</v>
      </c>
      <c r="AR43" t="s" s="0">
        <v>1351</v>
      </c>
      <c r="AS43" t="s" s="0">
        <v>1352</v>
      </c>
      <c r="AT43" t="s" s="0">
        <v>1353</v>
      </c>
      <c r="AU43" t="s" s="0">
        <v>1354</v>
      </c>
      <c r="AV43" t="s" s="0">
        <v>84</v>
      </c>
      <c r="AW43" t="s" s="0">
        <v>1355</v>
      </c>
      <c r="AX43" t="s" s="0">
        <v>1356</v>
      </c>
      <c r="AY43" t="s" s="0">
        <v>1357</v>
      </c>
      <c r="AZ43" t="s" s="0">
        <v>273</v>
      </c>
      <c r="BA43" t="s" s="0">
        <v>750</v>
      </c>
      <c r="BB43" t="s" s="0">
        <v>237</v>
      </c>
      <c r="BC43" t="s" s="0">
        <v>84</v>
      </c>
      <c r="BD43" t="s" s="0">
        <v>84</v>
      </c>
      <c r="BE43" t="s" s="0">
        <v>84</v>
      </c>
      <c r="BF43" t="s" s="0">
        <v>84</v>
      </c>
      <c r="BG43" t="s" s="0">
        <v>1179</v>
      </c>
      <c r="BH43" t="s" s="0">
        <v>979</v>
      </c>
      <c r="BI43" t="s" s="0">
        <v>84</v>
      </c>
      <c r="BJ43" t="s" s="0">
        <v>1358</v>
      </c>
      <c r="BK43" t="s" s="83">
        <f>HYPERLINK("http://dx.doi.org/10.1080/17460441.2023.2273839","http://dx.doi.org/10.1080/17460441.2023.2273839")</f>
        <v>1359</v>
      </c>
      <c r="BL43" t="s" s="0">
        <v>84</v>
      </c>
      <c r="BM43" t="s" s="0">
        <v>919</v>
      </c>
      <c r="BN43" t="s" s="0">
        <v>439</v>
      </c>
      <c r="BO43" t="s" s="0">
        <v>1360</v>
      </c>
      <c r="BP43" t="s" s="0">
        <v>1360</v>
      </c>
      <c r="BQ43" t="s" s="0">
        <v>1361</v>
      </c>
      <c r="BR43" t="s" s="0">
        <v>1362</v>
      </c>
      <c r="BS43" t="s" s="0">
        <v>1363</v>
      </c>
      <c r="BT43" t="s" s="84">
        <f>HYPERLINK("https://www.webofscience.com/wos/woscc/full-record/WOS:001092053200001","View Record in Web of Science")</f>
        <v>128</v>
      </c>
      <c r="BU43" t="s" s="0">
        <v>205</v>
      </c>
      <c r="BV43" t="s" s="0">
        <v>129</v>
      </c>
      <c r="BW43" t="s" s="0">
        <v>130</v>
      </c>
      <c r="BX43" t="s" s="0">
        <v>131</v>
      </c>
    </row>
    <row r="44">
      <c r="A44" t="s" s="0">
        <v>80</v>
      </c>
      <c r="B44" t="s" s="0">
        <v>78</v>
      </c>
      <c r="C44" t="s" s="0">
        <v>439</v>
      </c>
      <c r="D44" t="s" s="0">
        <v>78</v>
      </c>
      <c r="E44" t="s" s="0">
        <v>1364</v>
      </c>
      <c r="F44" t="s" s="0">
        <v>1365</v>
      </c>
      <c r="G44" t="s" s="0">
        <v>1366</v>
      </c>
      <c r="H44" t="s" s="0">
        <v>84</v>
      </c>
      <c r="I44" t="s" s="0">
        <v>85</v>
      </c>
      <c r="J44" t="s" s="0">
        <v>1367</v>
      </c>
      <c r="K44" t="s" s="0">
        <v>1368</v>
      </c>
      <c r="L44" t="s" s="0">
        <v>84</v>
      </c>
      <c r="M44" t="s" s="0">
        <v>84</v>
      </c>
      <c r="N44" t="s" s="0">
        <v>84</v>
      </c>
      <c r="O44" t="s" s="0">
        <v>1369</v>
      </c>
      <c r="P44" t="s" s="0">
        <v>1370</v>
      </c>
      <c r="Q44" t="s" s="0">
        <v>93</v>
      </c>
      <c r="R44" t="s" s="0">
        <v>84</v>
      </c>
      <c r="S44" t="s" s="0">
        <v>84</v>
      </c>
      <c r="T44" t="s" s="0">
        <v>84</v>
      </c>
      <c r="U44" t="s" s="0">
        <v>84</v>
      </c>
      <c r="V44" t="s" s="0">
        <v>1371</v>
      </c>
      <c r="W44" t="s" s="0">
        <v>1319</v>
      </c>
      <c r="X44" t="s" s="0">
        <v>84</v>
      </c>
      <c r="Y44" t="s" s="0">
        <v>84</v>
      </c>
      <c r="Z44" t="s" s="0">
        <v>96</v>
      </c>
      <c r="AA44" t="s" s="0">
        <v>97</v>
      </c>
      <c r="AB44" t="s" s="0">
        <v>84</v>
      </c>
      <c r="AC44" t="s" s="0">
        <v>84</v>
      </c>
      <c r="AD44" t="s" s="0">
        <v>84</v>
      </c>
      <c r="AE44" t="s" s="0">
        <v>84</v>
      </c>
      <c r="AF44" t="s" s="0">
        <v>84</v>
      </c>
      <c r="AG44" t="s" s="0">
        <v>1372</v>
      </c>
      <c r="AH44" t="s" s="0">
        <v>84</v>
      </c>
      <c r="AI44" t="s" s="0">
        <v>1373</v>
      </c>
      <c r="AJ44" t="s" s="0">
        <v>1374</v>
      </c>
      <c r="AK44" t="s" s="0">
        <v>84</v>
      </c>
      <c r="AL44" t="s" s="0">
        <v>979</v>
      </c>
      <c r="AM44" t="s" s="0">
        <v>1375</v>
      </c>
      <c r="AN44" t="s" s="0">
        <v>1210</v>
      </c>
      <c r="AO44" t="s" s="0">
        <v>347</v>
      </c>
      <c r="AP44" t="s" s="0">
        <v>316</v>
      </c>
      <c r="AQ44" t="s" s="0">
        <v>498</v>
      </c>
      <c r="AR44" t="s" s="0">
        <v>499</v>
      </c>
      <c r="AS44" t="s" s="0">
        <v>500</v>
      </c>
      <c r="AT44" t="s" s="0">
        <v>1324</v>
      </c>
      <c r="AU44" t="s" s="0">
        <v>84</v>
      </c>
      <c r="AV44" t="s" s="0">
        <v>84</v>
      </c>
      <c r="AW44" t="s" s="0">
        <v>1325</v>
      </c>
      <c r="AX44" t="s" s="0">
        <v>1326</v>
      </c>
      <c r="AY44" t="s" s="0">
        <v>1376</v>
      </c>
      <c r="AZ44" t="s" s="0">
        <v>273</v>
      </c>
      <c r="BA44" t="s" s="0">
        <v>1192</v>
      </c>
      <c r="BB44" t="s" s="0">
        <v>84</v>
      </c>
      <c r="BC44" t="s" s="0">
        <v>84</v>
      </c>
      <c r="BD44" t="s" s="0">
        <v>84</v>
      </c>
      <c r="BE44" t="s" s="0">
        <v>84</v>
      </c>
      <c r="BF44" t="s" s="0">
        <v>84</v>
      </c>
      <c r="BG44" t="s" s="0">
        <v>84</v>
      </c>
      <c r="BH44" t="s" s="0">
        <v>84</v>
      </c>
      <c r="BI44" t="s" s="0">
        <v>1377</v>
      </c>
      <c r="BJ44" t="s" s="0">
        <v>1378</v>
      </c>
      <c r="BK44" t="s" s="85">
        <f>HYPERLINK("http://dx.doi.org/10.2196/52597","http://dx.doi.org/10.2196/52597")</f>
        <v>1379</v>
      </c>
      <c r="BL44" t="s" s="0">
        <v>84</v>
      </c>
      <c r="BM44" t="s" s="0">
        <v>84</v>
      </c>
      <c r="BN44" t="s" s="0">
        <v>439</v>
      </c>
      <c r="BO44" t="s" s="0">
        <v>374</v>
      </c>
      <c r="BP44" t="s" s="0">
        <v>374</v>
      </c>
      <c r="BQ44" t="s" s="0">
        <v>1380</v>
      </c>
      <c r="BR44" t="s" s="0">
        <v>1381</v>
      </c>
      <c r="BS44" t="s" s="0">
        <v>1382</v>
      </c>
      <c r="BT44" t="s" s="86">
        <f>HYPERLINK("https://www.webofscience.com/wos/woscc/full-record/WOS:001382690300002","View Record in Web of Science")</f>
        <v>128</v>
      </c>
      <c r="BU44" t="s" s="0">
        <v>171</v>
      </c>
      <c r="BV44" t="s" s="0">
        <v>129</v>
      </c>
      <c r="BW44" t="s" s="0">
        <v>130</v>
      </c>
      <c r="BX44" t="s" s="0">
        <v>131</v>
      </c>
    </row>
    <row r="45">
      <c r="A45" t="s" s="0">
        <v>283</v>
      </c>
      <c r="B45" t="s" s="0">
        <v>78</v>
      </c>
      <c r="C45" t="s" s="0">
        <v>424</v>
      </c>
      <c r="D45" t="s" s="0">
        <v>237</v>
      </c>
      <c r="E45" t="s" s="0">
        <v>1383</v>
      </c>
      <c r="F45" t="s" s="0">
        <v>1384</v>
      </c>
      <c r="G45" t="s" s="0">
        <v>1385</v>
      </c>
      <c r="H45" t="s" s="0">
        <v>84</v>
      </c>
      <c r="I45" t="s" s="0">
        <v>85</v>
      </c>
      <c r="J45" t="s" s="0">
        <v>1386</v>
      </c>
      <c r="K45" t="s" s="0">
        <v>1387</v>
      </c>
      <c r="L45" t="s" s="0">
        <v>1388</v>
      </c>
      <c r="M45" t="s" s="0">
        <v>1389</v>
      </c>
      <c r="N45" t="s" s="0">
        <v>1390</v>
      </c>
      <c r="O45" t="s" s="0">
        <v>1391</v>
      </c>
      <c r="P45" t="s" s="0">
        <v>1392</v>
      </c>
      <c r="Q45" t="s" s="0">
        <v>93</v>
      </c>
      <c r="R45" t="s" s="0">
        <v>84</v>
      </c>
      <c r="S45" t="s" s="0">
        <v>84</v>
      </c>
      <c r="T45" t="s" s="0">
        <v>84</v>
      </c>
      <c r="U45" t="s" s="0">
        <v>84</v>
      </c>
      <c r="V45" t="s" s="0">
        <v>1393</v>
      </c>
      <c r="W45" t="s" s="0">
        <v>1394</v>
      </c>
      <c r="X45" t="s" s="0">
        <v>84</v>
      </c>
      <c r="Y45" t="s" s="0">
        <v>84</v>
      </c>
      <c r="Z45" t="s" s="0">
        <v>96</v>
      </c>
      <c r="AA45" t="s" s="0">
        <v>97</v>
      </c>
      <c r="AB45" t="s" s="0">
        <v>84</v>
      </c>
      <c r="AC45" t="s" s="0">
        <v>84</v>
      </c>
      <c r="AD45" t="s" s="0">
        <v>84</v>
      </c>
      <c r="AE45" t="s" s="0">
        <v>84</v>
      </c>
      <c r="AF45" t="s" s="0">
        <v>84</v>
      </c>
      <c r="AG45" t="s" s="0">
        <v>1395</v>
      </c>
      <c r="AH45" t="s" s="0">
        <v>1396</v>
      </c>
      <c r="AI45" t="s" s="0">
        <v>1397</v>
      </c>
      <c r="AJ45" t="s" s="0">
        <v>1398</v>
      </c>
      <c r="AK45" t="s" s="0">
        <v>84</v>
      </c>
      <c r="AL45" t="s" s="0">
        <v>857</v>
      </c>
      <c r="AM45" t="s" s="0">
        <v>207</v>
      </c>
      <c r="AN45" t="s" s="0">
        <v>1399</v>
      </c>
      <c r="AO45" t="s" s="0">
        <v>228</v>
      </c>
      <c r="AP45" t="s" s="0">
        <v>1400</v>
      </c>
      <c r="AQ45" t="s" s="0">
        <v>154</v>
      </c>
      <c r="AR45" t="s" s="0">
        <v>155</v>
      </c>
      <c r="AS45" t="s" s="0">
        <v>156</v>
      </c>
      <c r="AT45" t="s" s="0">
        <v>84</v>
      </c>
      <c r="AU45" t="s" s="0">
        <v>1401</v>
      </c>
      <c r="AV45" t="s" s="0">
        <v>84</v>
      </c>
      <c r="AW45" t="s" s="0">
        <v>1394</v>
      </c>
      <c r="AX45" t="s" s="0">
        <v>1402</v>
      </c>
      <c r="AY45" t="s" s="0">
        <v>600</v>
      </c>
      <c r="AZ45" t="s" s="0">
        <v>273</v>
      </c>
      <c r="BA45" t="s" s="0">
        <v>228</v>
      </c>
      <c r="BB45" t="s" s="0">
        <v>237</v>
      </c>
      <c r="BC45" t="s" s="0">
        <v>84</v>
      </c>
      <c r="BD45" t="s" s="0">
        <v>84</v>
      </c>
      <c r="BE45" t="s" s="0">
        <v>84</v>
      </c>
      <c r="BF45" t="s" s="0">
        <v>84</v>
      </c>
      <c r="BG45" t="s" s="0">
        <v>84</v>
      </c>
      <c r="BH45" t="s" s="0">
        <v>84</v>
      </c>
      <c r="BI45" t="s" s="0">
        <v>1403</v>
      </c>
      <c r="BJ45" t="s" s="0">
        <v>1404</v>
      </c>
      <c r="BK45" t="s" s="87">
        <f>HYPERLINK("http://dx.doi.org/10.3390/diagnostics14010109","http://dx.doi.org/10.3390/diagnostics14010109")</f>
        <v>1405</v>
      </c>
      <c r="BL45" t="s" s="0">
        <v>84</v>
      </c>
      <c r="BM45" t="s" s="0">
        <v>84</v>
      </c>
      <c r="BN45" t="s" s="0">
        <v>247</v>
      </c>
      <c r="BO45" t="s" s="0">
        <v>404</v>
      </c>
      <c r="BP45" t="s" s="0">
        <v>405</v>
      </c>
      <c r="BQ45" t="s" s="0">
        <v>1406</v>
      </c>
      <c r="BR45" t="s" s="0">
        <v>1407</v>
      </c>
      <c r="BS45" t="s" s="0">
        <v>1408</v>
      </c>
      <c r="BT45" t="s" s="88">
        <f>HYPERLINK("https://www.webofscience.com/wos/woscc/full-record/WOS:001139253400001","View Record in Web of Science")</f>
        <v>128</v>
      </c>
      <c r="BU45" t="s" s="0">
        <v>171</v>
      </c>
      <c r="BV45" t="s" s="0">
        <v>129</v>
      </c>
      <c r="BW45" t="s" s="0">
        <v>130</v>
      </c>
      <c r="BX45" t="s" s="0">
        <v>131</v>
      </c>
    </row>
    <row r="46">
      <c r="A46" t="s" s="0">
        <v>237</v>
      </c>
      <c r="B46" t="s" s="0">
        <v>78</v>
      </c>
      <c r="C46" t="s" s="0">
        <v>635</v>
      </c>
      <c r="D46" t="s" s="0">
        <v>78</v>
      </c>
      <c r="E46" t="s" s="0">
        <v>1409</v>
      </c>
      <c r="F46" t="s" s="0">
        <v>1410</v>
      </c>
      <c r="G46" t="s" s="0">
        <v>1411</v>
      </c>
      <c r="H46" t="s" s="0">
        <v>84</v>
      </c>
      <c r="I46" t="s" s="0">
        <v>85</v>
      </c>
      <c r="J46" t="s" s="0">
        <v>1412</v>
      </c>
      <c r="K46" t="s" s="0">
        <v>1413</v>
      </c>
      <c r="L46" t="s" s="0">
        <v>1414</v>
      </c>
      <c r="M46" t="s" s="0">
        <v>1415</v>
      </c>
      <c r="N46" t="s" s="0">
        <v>1416</v>
      </c>
      <c r="O46" t="s" s="0">
        <v>1417</v>
      </c>
      <c r="P46" t="s" s="0">
        <v>1418</v>
      </c>
      <c r="Q46" t="s" s="0">
        <v>93</v>
      </c>
      <c r="R46" t="s" s="0">
        <v>84</v>
      </c>
      <c r="S46" t="s" s="0">
        <v>84</v>
      </c>
      <c r="T46" t="s" s="0">
        <v>84</v>
      </c>
      <c r="U46" t="s" s="0">
        <v>84</v>
      </c>
      <c r="V46" t="s" s="0">
        <v>1419</v>
      </c>
      <c r="W46" t="s" s="0">
        <v>647</v>
      </c>
      <c r="X46" t="s" s="0">
        <v>84</v>
      </c>
      <c r="Y46" t="s" s="0">
        <v>84</v>
      </c>
      <c r="Z46" t="s" s="0">
        <v>96</v>
      </c>
      <c r="AA46" t="s" s="0">
        <v>97</v>
      </c>
      <c r="AB46" t="s" s="0">
        <v>84</v>
      </c>
      <c r="AC46" t="s" s="0">
        <v>84</v>
      </c>
      <c r="AD46" t="s" s="0">
        <v>84</v>
      </c>
      <c r="AE46" t="s" s="0">
        <v>84</v>
      </c>
      <c r="AF46" t="s" s="0">
        <v>84</v>
      </c>
      <c r="AG46" t="s" s="0">
        <v>1420</v>
      </c>
      <c r="AH46" t="s" s="0">
        <v>1421</v>
      </c>
      <c r="AI46" t="s" s="0">
        <v>1422</v>
      </c>
      <c r="AJ46" t="s" s="0">
        <v>1423</v>
      </c>
      <c r="AK46" t="s" s="0">
        <v>84</v>
      </c>
      <c r="AL46" t="s" s="0">
        <v>1424</v>
      </c>
      <c r="AM46" t="s" s="0">
        <v>1425</v>
      </c>
      <c r="AN46" t="s" s="0">
        <v>1005</v>
      </c>
      <c r="AO46" t="s" s="0">
        <v>1082</v>
      </c>
      <c r="AP46" t="s" s="0">
        <v>1426</v>
      </c>
      <c r="AQ46" t="s" s="0">
        <v>655</v>
      </c>
      <c r="AR46" t="s" s="0">
        <v>656</v>
      </c>
      <c r="AS46" t="s" s="0">
        <v>657</v>
      </c>
      <c r="AT46" t="s" s="0">
        <v>658</v>
      </c>
      <c r="AU46" t="s" s="0">
        <v>659</v>
      </c>
      <c r="AV46" t="s" s="0">
        <v>84</v>
      </c>
      <c r="AW46" t="s" s="0">
        <v>660</v>
      </c>
      <c r="AX46" t="s" s="0">
        <v>661</v>
      </c>
      <c r="AY46" t="s" s="0">
        <v>1427</v>
      </c>
      <c r="AZ46" t="s" s="0">
        <v>338</v>
      </c>
      <c r="BA46" t="s" s="0">
        <v>1192</v>
      </c>
      <c r="BB46" t="s" s="0">
        <v>283</v>
      </c>
      <c r="BC46" t="s" s="0">
        <v>84</v>
      </c>
      <c r="BD46" t="s" s="0">
        <v>84</v>
      </c>
      <c r="BE46" t="s" s="0">
        <v>84</v>
      </c>
      <c r="BF46" t="s" s="0">
        <v>84</v>
      </c>
      <c r="BG46" t="s" s="0">
        <v>84</v>
      </c>
      <c r="BH46" t="s" s="0">
        <v>84</v>
      </c>
      <c r="BI46" t="s" s="0">
        <v>1428</v>
      </c>
      <c r="BJ46" t="s" s="0">
        <v>1429</v>
      </c>
      <c r="BK46" t="s" s="89">
        <f>HYPERLINK("http://dx.doi.org/10.1093/bib/bbaf355","http://dx.doi.org/10.1093/bib/bbaf355")</f>
        <v>1430</v>
      </c>
      <c r="BL46" t="s" s="0">
        <v>84</v>
      </c>
      <c r="BM46" t="s" s="0">
        <v>84</v>
      </c>
      <c r="BN46" t="s" s="0">
        <v>132</v>
      </c>
      <c r="BO46" t="s" s="0">
        <v>666</v>
      </c>
      <c r="BP46" t="s" s="0">
        <v>667</v>
      </c>
      <c r="BQ46" t="s" s="0">
        <v>1431</v>
      </c>
      <c r="BR46" t="s" s="0">
        <v>1432</v>
      </c>
      <c r="BS46" t="s" s="0">
        <v>1433</v>
      </c>
      <c r="BT46" t="s" s="90">
        <f>HYPERLINK("https://www.webofscience.com/wos/woscc/full-record/WOS:001541443400001","View Record in Web of Science")</f>
        <v>128</v>
      </c>
      <c r="BU46" t="s" s="0">
        <v>171</v>
      </c>
      <c r="BV46" t="s" s="0">
        <v>130</v>
      </c>
      <c r="BW46" t="s" s="0">
        <v>130</v>
      </c>
      <c r="BX46" t="s" s="0">
        <v>131</v>
      </c>
    </row>
    <row r="47">
      <c r="A47" t="s" s="0">
        <v>208</v>
      </c>
      <c r="B47" t="s" s="0">
        <v>78</v>
      </c>
      <c r="C47" t="s" s="0">
        <v>122</v>
      </c>
      <c r="D47" t="s" s="0">
        <v>237</v>
      </c>
      <c r="E47" t="s" s="0">
        <v>1434</v>
      </c>
      <c r="F47" t="s" s="0">
        <v>1435</v>
      </c>
      <c r="G47" t="s" s="0">
        <v>1436</v>
      </c>
      <c r="H47" t="s" s="0">
        <v>84</v>
      </c>
      <c r="I47" t="s" s="0">
        <v>212</v>
      </c>
      <c r="J47" t="s" s="0">
        <v>1437</v>
      </c>
      <c r="K47" t="s" s="0">
        <v>1438</v>
      </c>
      <c r="L47" t="s" s="0">
        <v>84</v>
      </c>
      <c r="M47" t="s" s="0">
        <v>84</v>
      </c>
      <c r="N47" t="s" s="0">
        <v>84</v>
      </c>
      <c r="O47" t="s" s="0">
        <v>1439</v>
      </c>
      <c r="P47" t="s" s="0">
        <v>1440</v>
      </c>
      <c r="Q47" t="s" s="0">
        <v>93</v>
      </c>
      <c r="R47" t="s" s="0">
        <v>84</v>
      </c>
      <c r="S47" t="s" s="0">
        <v>84</v>
      </c>
      <c r="T47" t="s" s="0">
        <v>84</v>
      </c>
      <c r="U47" t="s" s="0">
        <v>84</v>
      </c>
      <c r="V47" t="s" s="0">
        <v>1441</v>
      </c>
      <c r="W47" t="s" s="0">
        <v>1442</v>
      </c>
      <c r="X47" t="s" s="0">
        <v>84</v>
      </c>
      <c r="Y47" t="s" s="0">
        <v>84</v>
      </c>
      <c r="Z47" t="s" s="0">
        <v>96</v>
      </c>
      <c r="AA47" t="s" s="0">
        <v>97</v>
      </c>
      <c r="AB47" t="s" s="0">
        <v>84</v>
      </c>
      <c r="AC47" t="s" s="0">
        <v>84</v>
      </c>
      <c r="AD47" t="s" s="0">
        <v>84</v>
      </c>
      <c r="AE47" t="s" s="0">
        <v>84</v>
      </c>
      <c r="AF47" t="s" s="0">
        <v>84</v>
      </c>
      <c r="AG47" t="s" s="0">
        <v>1443</v>
      </c>
      <c r="AH47" t="s" s="0">
        <v>1444</v>
      </c>
      <c r="AI47" t="s" s="0">
        <v>1445</v>
      </c>
      <c r="AJ47" t="s" s="0">
        <v>84</v>
      </c>
      <c r="AK47" t="s" s="0">
        <v>84</v>
      </c>
      <c r="AL47" t="s" s="0">
        <v>424</v>
      </c>
      <c r="AM47" t="s" s="0">
        <v>1446</v>
      </c>
      <c r="AN47" t="s" s="0">
        <v>1005</v>
      </c>
      <c r="AO47" t="s" s="0">
        <v>80</v>
      </c>
      <c r="AP47" t="s" s="0">
        <v>549</v>
      </c>
      <c r="AQ47" t="s" s="0">
        <v>154</v>
      </c>
      <c r="AR47" t="s" s="0">
        <v>155</v>
      </c>
      <c r="AS47" t="s" s="0">
        <v>156</v>
      </c>
      <c r="AT47" t="s" s="0">
        <v>84</v>
      </c>
      <c r="AU47" t="s" s="0">
        <v>1447</v>
      </c>
      <c r="AV47" t="s" s="0">
        <v>84</v>
      </c>
      <c r="AW47" t="s" s="0">
        <v>1448</v>
      </c>
      <c r="AX47" t="s" s="0">
        <v>1449</v>
      </c>
      <c r="AY47" t="s" s="0">
        <v>1450</v>
      </c>
      <c r="AZ47" t="s" s="0">
        <v>114</v>
      </c>
      <c r="BA47" t="s" s="0">
        <v>208</v>
      </c>
      <c r="BB47" t="s" s="0">
        <v>174</v>
      </c>
      <c r="BC47" t="s" s="0">
        <v>84</v>
      </c>
      <c r="BD47" t="s" s="0">
        <v>84</v>
      </c>
      <c r="BE47" t="s" s="0">
        <v>84</v>
      </c>
      <c r="BF47" t="s" s="0">
        <v>84</v>
      </c>
      <c r="BG47" t="s" s="0">
        <v>1451</v>
      </c>
      <c r="BH47" t="s" s="0">
        <v>1452</v>
      </c>
      <c r="BI47" t="s" s="0">
        <v>84</v>
      </c>
      <c r="BJ47" t="s" s="0">
        <v>1453</v>
      </c>
      <c r="BK47" t="s" s="91">
        <f>HYPERLINK("http://dx.doi.org/10.3390/ime2030019","http://dx.doi.org/10.3390/ime2030019")</f>
        <v>1454</v>
      </c>
      <c r="BL47" t="s" s="0">
        <v>84</v>
      </c>
      <c r="BM47" t="s" s="0">
        <v>84</v>
      </c>
      <c r="BN47" t="s" s="0">
        <v>116</v>
      </c>
      <c r="BO47" t="s" s="0">
        <v>507</v>
      </c>
      <c r="BP47" t="s" s="0">
        <v>508</v>
      </c>
      <c r="BQ47" t="s" s="0">
        <v>1455</v>
      </c>
      <c r="BR47" t="s" s="0">
        <v>84</v>
      </c>
      <c r="BS47" t="s" s="0">
        <v>1456</v>
      </c>
      <c r="BT47" t="s" s="92">
        <f>HYPERLINK("https://www.webofscience.com/wos/woscc/full-record/WOS:001621179500001","View Record in Web of Science")</f>
        <v>128</v>
      </c>
      <c r="BU47" t="s" s="0">
        <v>171</v>
      </c>
      <c r="BV47" t="s" s="0">
        <v>84</v>
      </c>
      <c r="BW47" t="s" s="0">
        <v>84</v>
      </c>
      <c r="BX47" t="s" s="0">
        <v>131</v>
      </c>
    </row>
    <row r="48">
      <c r="A48" t="s" s="0">
        <v>237</v>
      </c>
      <c r="B48" t="s" s="0">
        <v>78</v>
      </c>
      <c r="C48" t="s" s="0">
        <v>1082</v>
      </c>
      <c r="D48" t="s" s="0">
        <v>78</v>
      </c>
      <c r="E48" t="s" s="0">
        <v>1457</v>
      </c>
      <c r="F48" t="s" s="0">
        <v>1458</v>
      </c>
      <c r="G48" t="s" s="0">
        <v>1459</v>
      </c>
      <c r="H48" t="s" s="0">
        <v>84</v>
      </c>
      <c r="I48" t="s" s="0">
        <v>85</v>
      </c>
      <c r="J48" t="s" s="0">
        <v>1460</v>
      </c>
      <c r="K48" t="s" s="0">
        <v>1461</v>
      </c>
      <c r="L48" t="s" s="0">
        <v>1462</v>
      </c>
      <c r="M48" t="s" s="0">
        <v>1463</v>
      </c>
      <c r="N48" t="s" s="0">
        <v>1464</v>
      </c>
      <c r="O48" t="s" s="0">
        <v>1465</v>
      </c>
      <c r="P48" t="s" s="0">
        <v>1466</v>
      </c>
      <c r="Q48" t="s" s="0">
        <v>93</v>
      </c>
      <c r="R48" t="s" s="0">
        <v>84</v>
      </c>
      <c r="S48" t="s" s="0">
        <v>84</v>
      </c>
      <c r="T48" t="s" s="0">
        <v>84</v>
      </c>
      <c r="U48" t="s" s="0">
        <v>84</v>
      </c>
      <c r="V48" t="s" s="0">
        <v>1467</v>
      </c>
      <c r="W48" t="s" s="0">
        <v>1468</v>
      </c>
      <c r="X48" t="s" s="0">
        <v>84</v>
      </c>
      <c r="Y48" t="s" s="0">
        <v>84</v>
      </c>
      <c r="Z48" t="s" s="0">
        <v>96</v>
      </c>
      <c r="AA48" t="s" s="0">
        <v>97</v>
      </c>
      <c r="AB48" t="s" s="0">
        <v>84</v>
      </c>
      <c r="AC48" t="s" s="0">
        <v>84</v>
      </c>
      <c r="AD48" t="s" s="0">
        <v>84</v>
      </c>
      <c r="AE48" t="s" s="0">
        <v>84</v>
      </c>
      <c r="AF48" t="s" s="0">
        <v>84</v>
      </c>
      <c r="AG48" t="s" s="0">
        <v>1469</v>
      </c>
      <c r="AH48" t="s" s="0">
        <v>1470</v>
      </c>
      <c r="AI48" t="s" s="0">
        <v>1471</v>
      </c>
      <c r="AJ48" t="s" s="0">
        <v>1472</v>
      </c>
      <c r="AK48" t="s" s="0">
        <v>84</v>
      </c>
      <c r="AL48" t="s" s="0">
        <v>1323</v>
      </c>
      <c r="AM48" t="s" s="0">
        <v>1473</v>
      </c>
      <c r="AN48" t="s" s="0">
        <v>458</v>
      </c>
      <c r="AO48" t="s" s="0">
        <v>572</v>
      </c>
      <c r="AP48" t="s" s="0">
        <v>807</v>
      </c>
      <c r="AQ48" t="s" s="0">
        <v>1213</v>
      </c>
      <c r="AR48" t="s" s="0">
        <v>1214</v>
      </c>
      <c r="AS48" t="s" s="0">
        <v>1215</v>
      </c>
      <c r="AT48" t="s" s="0">
        <v>1474</v>
      </c>
      <c r="AU48" t="s" s="0">
        <v>1475</v>
      </c>
      <c r="AV48" t="s" s="0">
        <v>84</v>
      </c>
      <c r="AW48" t="s" s="0">
        <v>1476</v>
      </c>
      <c r="AX48" t="s" s="0">
        <v>1477</v>
      </c>
      <c r="AY48" t="s" s="0">
        <v>1478</v>
      </c>
      <c r="AZ48" t="s" s="0">
        <v>273</v>
      </c>
      <c r="BA48" t="s" s="0">
        <v>115</v>
      </c>
      <c r="BB48" t="s" s="0">
        <v>161</v>
      </c>
      <c r="BC48" t="s" s="0">
        <v>84</v>
      </c>
      <c r="BD48" t="s" s="0">
        <v>84</v>
      </c>
      <c r="BE48" t="s" s="0">
        <v>84</v>
      </c>
      <c r="BF48" t="s" s="0">
        <v>84</v>
      </c>
      <c r="BG48" t="s" s="0">
        <v>84</v>
      </c>
      <c r="BH48" t="s" s="0">
        <v>84</v>
      </c>
      <c r="BI48" t="s" s="0">
        <v>1479</v>
      </c>
      <c r="BJ48" t="s" s="0">
        <v>1480</v>
      </c>
      <c r="BK48" t="s" s="93">
        <f>HYPERLINK("http://dx.doi.org/10.1016/j.drudis.2024.103992","http://dx.doi.org/10.1016/j.drudis.2024.103992")</f>
        <v>1481</v>
      </c>
      <c r="BL48" t="s" s="0">
        <v>84</v>
      </c>
      <c r="BM48" t="s" s="0">
        <v>542</v>
      </c>
      <c r="BN48" t="s" s="0">
        <v>671</v>
      </c>
      <c r="BO48" t="s" s="0">
        <v>1360</v>
      </c>
      <c r="BP48" t="s" s="0">
        <v>1360</v>
      </c>
      <c r="BQ48" t="s" s="0">
        <v>1482</v>
      </c>
      <c r="BR48" t="s" s="0">
        <v>1483</v>
      </c>
      <c r="BS48" t="s" s="0">
        <v>1484</v>
      </c>
      <c r="BT48" t="s" s="94">
        <f>HYPERLINK("https://www.webofscience.com/wos/woscc/full-record/WOS:001239476100001","View Record in Web of Science")</f>
        <v>128</v>
      </c>
      <c r="BU48" t="s" s="0">
        <v>205</v>
      </c>
      <c r="BV48" t="s" s="0">
        <v>130</v>
      </c>
      <c r="BW48" t="s" s="0">
        <v>130</v>
      </c>
      <c r="BX48" t="s" s="0">
        <v>131</v>
      </c>
    </row>
    <row r="49">
      <c r="A49" t="s" s="0">
        <v>208</v>
      </c>
      <c r="B49" t="s" s="0">
        <v>78</v>
      </c>
      <c r="C49" t="s" s="0">
        <v>132</v>
      </c>
      <c r="D49" t="s" s="0">
        <v>237</v>
      </c>
      <c r="E49" t="s" s="0">
        <v>1485</v>
      </c>
      <c r="F49" t="s" s="0">
        <v>1486</v>
      </c>
      <c r="G49" t="s" s="0">
        <v>1487</v>
      </c>
      <c r="H49" t="s" s="0">
        <v>84</v>
      </c>
      <c r="I49" t="s" s="0">
        <v>85</v>
      </c>
      <c r="J49" t="s" s="0">
        <v>1488</v>
      </c>
      <c r="K49" t="s" s="0">
        <v>1489</v>
      </c>
      <c r="L49" t="s" s="0">
        <v>84</v>
      </c>
      <c r="M49" t="s" s="0">
        <v>84</v>
      </c>
      <c r="N49" t="s" s="0">
        <v>84</v>
      </c>
      <c r="O49" t="s" s="0">
        <v>1490</v>
      </c>
      <c r="P49" t="s" s="0">
        <v>1491</v>
      </c>
      <c r="Q49" t="s" s="0">
        <v>93</v>
      </c>
      <c r="R49" t="s" s="0">
        <v>84</v>
      </c>
      <c r="S49" t="s" s="0">
        <v>84</v>
      </c>
      <c r="T49" t="s" s="0">
        <v>84</v>
      </c>
      <c r="U49" t="s" s="0">
        <v>84</v>
      </c>
      <c r="V49" t="s" s="0">
        <v>1492</v>
      </c>
      <c r="W49" t="s" s="0">
        <v>359</v>
      </c>
      <c r="X49" t="s" s="0">
        <v>84</v>
      </c>
      <c r="Y49" t="s" s="0">
        <v>84</v>
      </c>
      <c r="Z49" t="s" s="0">
        <v>96</v>
      </c>
      <c r="AA49" t="s" s="0">
        <v>97</v>
      </c>
      <c r="AB49" t="s" s="0">
        <v>84</v>
      </c>
      <c r="AC49" t="s" s="0">
        <v>84</v>
      </c>
      <c r="AD49" t="s" s="0">
        <v>84</v>
      </c>
      <c r="AE49" t="s" s="0">
        <v>84</v>
      </c>
      <c r="AF49" t="s" s="0">
        <v>84</v>
      </c>
      <c r="AG49" t="s" s="0">
        <v>84</v>
      </c>
      <c r="AH49" t="s" s="0">
        <v>1493</v>
      </c>
      <c r="AI49" t="s" s="0">
        <v>1494</v>
      </c>
      <c r="AJ49" t="s" s="0">
        <v>1495</v>
      </c>
      <c r="AK49" t="s" s="0">
        <v>84</v>
      </c>
      <c r="AL49" t="s" s="0">
        <v>1159</v>
      </c>
      <c r="AM49" t="s" s="0">
        <v>1496</v>
      </c>
      <c r="AN49" t="s" s="0">
        <v>1497</v>
      </c>
      <c r="AO49" t="s" s="0">
        <v>475</v>
      </c>
      <c r="AP49" t="s" s="0">
        <v>494</v>
      </c>
      <c r="AQ49" t="s" s="0">
        <v>106</v>
      </c>
      <c r="AR49" t="s" s="0">
        <v>107</v>
      </c>
      <c r="AS49" t="s" s="0">
        <v>108</v>
      </c>
      <c r="AT49" t="s" s="0">
        <v>367</v>
      </c>
      <c r="AU49" t="s" s="0">
        <v>84</v>
      </c>
      <c r="AV49" t="s" s="0">
        <v>84</v>
      </c>
      <c r="AW49" t="s" s="0">
        <v>368</v>
      </c>
      <c r="AX49" t="s" s="0">
        <v>369</v>
      </c>
      <c r="AY49" t="s" s="0">
        <v>1498</v>
      </c>
      <c r="AZ49" t="s" s="0">
        <v>338</v>
      </c>
      <c r="BA49" t="s" s="0">
        <v>116</v>
      </c>
      <c r="BB49" t="s" s="0">
        <v>237</v>
      </c>
      <c r="BC49" t="s" s="0">
        <v>84</v>
      </c>
      <c r="BD49" t="s" s="0">
        <v>84</v>
      </c>
      <c r="BE49" t="s" s="0">
        <v>84</v>
      </c>
      <c r="BF49" t="s" s="0">
        <v>84</v>
      </c>
      <c r="BG49" t="s" s="0">
        <v>84</v>
      </c>
      <c r="BH49" t="s" s="0">
        <v>84</v>
      </c>
      <c r="BI49" t="s" s="0">
        <v>104</v>
      </c>
      <c r="BJ49" t="s" s="0">
        <v>1499</v>
      </c>
      <c r="BK49" t="s" s="95">
        <f>HYPERLINK("http://dx.doi.org/10.1038/s41746-025-01543-z","http://dx.doi.org/10.1038/s41746-025-01543-z")</f>
        <v>1500</v>
      </c>
      <c r="BL49" t="s" s="0">
        <v>84</v>
      </c>
      <c r="BM49" t="s" s="0">
        <v>84</v>
      </c>
      <c r="BN49" t="s" s="0">
        <v>206</v>
      </c>
      <c r="BO49" t="s" s="0">
        <v>374</v>
      </c>
      <c r="BP49" t="s" s="0">
        <v>374</v>
      </c>
      <c r="BQ49" t="s" s="0">
        <v>1501</v>
      </c>
      <c r="BR49" t="s" s="0">
        <v>1502</v>
      </c>
      <c r="BS49" t="s" s="0">
        <v>1503</v>
      </c>
      <c r="BT49" t="s" s="96">
        <f>HYPERLINK("https://www.webofscience.com/wos/woscc/full-record/WOS:001468348700002","View Record in Web of Science")</f>
        <v>128</v>
      </c>
      <c r="BU49" t="s" s="0">
        <v>171</v>
      </c>
      <c r="BV49" t="s" s="0">
        <v>129</v>
      </c>
      <c r="BW49" t="s" s="0">
        <v>130</v>
      </c>
      <c r="BX49" t="s" s="0">
        <v>131</v>
      </c>
    </row>
    <row r="50">
      <c r="A50" t="s" s="0">
        <v>237</v>
      </c>
      <c r="B50" t="s" s="0">
        <v>78</v>
      </c>
      <c r="C50" t="s" s="0">
        <v>750</v>
      </c>
      <c r="D50" t="s" s="0">
        <v>78</v>
      </c>
      <c r="E50" t="s" s="0">
        <v>1504</v>
      </c>
      <c r="F50" t="s" s="0">
        <v>1505</v>
      </c>
      <c r="G50" t="s" s="0">
        <v>1506</v>
      </c>
      <c r="H50" t="s" s="0">
        <v>84</v>
      </c>
      <c r="I50" t="s" s="0">
        <v>85</v>
      </c>
      <c r="J50" t="s" s="0">
        <v>1507</v>
      </c>
      <c r="K50" t="s" s="0">
        <v>1508</v>
      </c>
      <c r="L50" t="s" s="0">
        <v>1509</v>
      </c>
      <c r="M50" t="s" s="0">
        <v>1510</v>
      </c>
      <c r="N50" t="s" s="0">
        <v>1511</v>
      </c>
      <c r="O50" t="s" s="0">
        <v>1512</v>
      </c>
      <c r="P50" t="s" s="0">
        <v>1513</v>
      </c>
      <c r="Q50" t="s" s="0">
        <v>93</v>
      </c>
      <c r="R50" t="s" s="0">
        <v>84</v>
      </c>
      <c r="S50" t="s" s="0">
        <v>84</v>
      </c>
      <c r="T50" t="s" s="0">
        <v>84</v>
      </c>
      <c r="U50" t="s" s="0">
        <v>84</v>
      </c>
      <c r="V50" t="s" s="0">
        <v>1514</v>
      </c>
      <c r="W50" t="s" s="0">
        <v>1515</v>
      </c>
      <c r="X50" t="s" s="0">
        <v>84</v>
      </c>
      <c r="Y50" t="s" s="0">
        <v>84</v>
      </c>
      <c r="Z50" t="s" s="0">
        <v>96</v>
      </c>
      <c r="AA50" t="s" s="0">
        <v>97</v>
      </c>
      <c r="AB50" t="s" s="0">
        <v>84</v>
      </c>
      <c r="AC50" t="s" s="0">
        <v>84</v>
      </c>
      <c r="AD50" t="s" s="0">
        <v>84</v>
      </c>
      <c r="AE50" t="s" s="0">
        <v>84</v>
      </c>
      <c r="AF50" t="s" s="0">
        <v>84</v>
      </c>
      <c r="AG50" t="s" s="0">
        <v>84</v>
      </c>
      <c r="AH50" t="s" s="0">
        <v>1516</v>
      </c>
      <c r="AI50" t="s" s="0">
        <v>1517</v>
      </c>
      <c r="AJ50" t="s" s="0">
        <v>1518</v>
      </c>
      <c r="AK50" t="s" s="0">
        <v>84</v>
      </c>
      <c r="AL50" t="s" s="0">
        <v>1519</v>
      </c>
      <c r="AM50" t="s" s="0">
        <v>783</v>
      </c>
      <c r="AN50" t="s" s="0">
        <v>207</v>
      </c>
      <c r="AO50" t="s" s="0">
        <v>196</v>
      </c>
      <c r="AP50" t="s" s="0">
        <v>1520</v>
      </c>
      <c r="AQ50" t="s" s="0">
        <v>230</v>
      </c>
      <c r="AR50" t="s" s="0">
        <v>231</v>
      </c>
      <c r="AS50" t="s" s="0">
        <v>1521</v>
      </c>
      <c r="AT50" t="s" s="0">
        <v>1522</v>
      </c>
      <c r="AU50" t="s" s="0">
        <v>84</v>
      </c>
      <c r="AV50" t="s" s="0">
        <v>84</v>
      </c>
      <c r="AW50" t="s" s="0">
        <v>1523</v>
      </c>
      <c r="AX50" t="s" s="0">
        <v>1524</v>
      </c>
      <c r="AY50" t="s" s="0">
        <v>1525</v>
      </c>
      <c r="AZ50" t="s" s="0">
        <v>114</v>
      </c>
      <c r="BA50" t="s" s="0">
        <v>206</v>
      </c>
      <c r="BB50" t="s" s="0">
        <v>237</v>
      </c>
      <c r="BC50" t="s" s="0">
        <v>84</v>
      </c>
      <c r="BD50" t="s" s="0">
        <v>84</v>
      </c>
      <c r="BE50" t="s" s="0">
        <v>84</v>
      </c>
      <c r="BF50" t="s" s="0">
        <v>84</v>
      </c>
      <c r="BG50" t="s" s="0">
        <v>84</v>
      </c>
      <c r="BH50" t="s" s="0">
        <v>84</v>
      </c>
      <c r="BI50" t="s" s="0">
        <v>1526</v>
      </c>
      <c r="BJ50" t="s" s="0">
        <v>1527</v>
      </c>
      <c r="BK50" t="s" s="97">
        <f>HYPERLINK("http://dx.doi.org/10.1038/s41398-023-02592-2","http://dx.doi.org/10.1038/s41398-023-02592-2")</f>
        <v>1528</v>
      </c>
      <c r="BL50" t="s" s="0">
        <v>84</v>
      </c>
      <c r="BM50" t="s" s="0">
        <v>84</v>
      </c>
      <c r="BN50" t="s" s="0">
        <v>246</v>
      </c>
      <c r="BO50" t="s" s="0">
        <v>1247</v>
      </c>
      <c r="BP50" t="s" s="0">
        <v>1247</v>
      </c>
      <c r="BQ50" t="s" s="0">
        <v>1529</v>
      </c>
      <c r="BR50" t="s" s="0">
        <v>1530</v>
      </c>
      <c r="BS50" t="s" s="0">
        <v>1531</v>
      </c>
      <c r="BT50" t="s" s="98">
        <f>HYPERLINK("https://www.webofscience.com/wos/woscc/full-record/WOS:001080210400001","View Record in Web of Science")</f>
        <v>128</v>
      </c>
      <c r="BU50" t="s" s="0">
        <v>171</v>
      </c>
      <c r="BV50" t="s" s="0">
        <v>129</v>
      </c>
      <c r="BW50" t="s" s="0">
        <v>130</v>
      </c>
      <c r="BX50" t="s" s="0">
        <v>131</v>
      </c>
    </row>
    <row r="51">
      <c r="A51" t="s" s="0">
        <v>80</v>
      </c>
      <c r="B51" t="s" s="0">
        <v>78</v>
      </c>
      <c r="C51" t="s" s="0">
        <v>671</v>
      </c>
      <c r="D51" t="s" s="0">
        <v>78</v>
      </c>
      <c r="E51" t="s" s="0">
        <v>1532</v>
      </c>
      <c r="F51" t="s" s="0">
        <v>1533</v>
      </c>
      <c r="G51" t="s" s="0">
        <v>1534</v>
      </c>
      <c r="H51" t="s" s="0">
        <v>84</v>
      </c>
      <c r="I51" t="s" s="0">
        <v>85</v>
      </c>
      <c r="J51" t="s" s="0">
        <v>1535</v>
      </c>
      <c r="K51" t="s" s="0">
        <v>1536</v>
      </c>
      <c r="L51" t="s" s="0">
        <v>1537</v>
      </c>
      <c r="M51" t="s" s="0">
        <v>1538</v>
      </c>
      <c r="N51" t="s" s="0">
        <v>1539</v>
      </c>
      <c r="O51" t="s" s="0">
        <v>1540</v>
      </c>
      <c r="P51" t="s" s="0">
        <v>1541</v>
      </c>
      <c r="Q51" t="s" s="0">
        <v>93</v>
      </c>
      <c r="R51" t="s" s="0">
        <v>84</v>
      </c>
      <c r="S51" t="s" s="0">
        <v>84</v>
      </c>
      <c r="T51" t="s" s="0">
        <v>84</v>
      </c>
      <c r="U51" t="s" s="0">
        <v>84</v>
      </c>
      <c r="V51" t="s" s="0">
        <v>1542</v>
      </c>
      <c r="W51" t="s" s="0">
        <v>1543</v>
      </c>
      <c r="X51" t="s" s="0">
        <v>84</v>
      </c>
      <c r="Y51" t="s" s="0">
        <v>84</v>
      </c>
      <c r="Z51" t="s" s="0">
        <v>96</v>
      </c>
      <c r="AA51" t="s" s="0">
        <v>97</v>
      </c>
      <c r="AB51" t="s" s="0">
        <v>84</v>
      </c>
      <c r="AC51" t="s" s="0">
        <v>84</v>
      </c>
      <c r="AD51" t="s" s="0">
        <v>84</v>
      </c>
      <c r="AE51" t="s" s="0">
        <v>84</v>
      </c>
      <c r="AF51" t="s" s="0">
        <v>84</v>
      </c>
      <c r="AG51" t="s" s="0">
        <v>1544</v>
      </c>
      <c r="AH51" t="s" s="0">
        <v>1545</v>
      </c>
      <c r="AI51" t="s" s="0">
        <v>1546</v>
      </c>
      <c r="AJ51" t="s" s="0">
        <v>1547</v>
      </c>
      <c r="AK51" t="s" s="0">
        <v>84</v>
      </c>
      <c r="AL51" t="s" s="0">
        <v>1005</v>
      </c>
      <c r="AM51" t="s" s="0">
        <v>1548</v>
      </c>
      <c r="AN51" t="s" s="0">
        <v>751</v>
      </c>
      <c r="AO51" t="s" s="0">
        <v>475</v>
      </c>
      <c r="AP51" t="s" s="0">
        <v>238</v>
      </c>
      <c r="AQ51" t="s" s="0">
        <v>655</v>
      </c>
      <c r="AR51" t="s" s="0">
        <v>656</v>
      </c>
      <c r="AS51" t="s" s="0">
        <v>657</v>
      </c>
      <c r="AT51" t="s" s="0">
        <v>1549</v>
      </c>
      <c r="AU51" t="s" s="0">
        <v>1550</v>
      </c>
      <c r="AV51" t="s" s="0">
        <v>84</v>
      </c>
      <c r="AW51" t="s" s="0">
        <v>1551</v>
      </c>
      <c r="AX51" t="s" s="0">
        <v>1552</v>
      </c>
      <c r="AY51" t="s" s="0">
        <v>1553</v>
      </c>
      <c r="AZ51" t="s" s="0">
        <v>273</v>
      </c>
      <c r="BA51" t="s" s="0">
        <v>340</v>
      </c>
      <c r="BB51" t="s" s="0">
        <v>340</v>
      </c>
      <c r="BC51" t="s" s="0">
        <v>84</v>
      </c>
      <c r="BD51" t="s" s="0">
        <v>84</v>
      </c>
      <c r="BE51" t="s" s="0">
        <v>84</v>
      </c>
      <c r="BF51" t="s" s="0">
        <v>84</v>
      </c>
      <c r="BG51" t="s" s="0">
        <v>1554</v>
      </c>
      <c r="BH51" t="s" s="0">
        <v>1555</v>
      </c>
      <c r="BI51" t="s" s="0">
        <v>84</v>
      </c>
      <c r="BJ51" t="s" s="0">
        <v>1556</v>
      </c>
      <c r="BK51" t="s" s="99">
        <f>HYPERLINK("http://dx.doi.org/10.1093/eurheartj/ehae619","http://dx.doi.org/10.1093/eurheartj/ehae619")</f>
        <v>1557</v>
      </c>
      <c r="BL51" t="s" s="0">
        <v>84</v>
      </c>
      <c r="BM51" t="s" s="0">
        <v>568</v>
      </c>
      <c r="BN51" t="s" s="0">
        <v>228</v>
      </c>
      <c r="BO51" t="s" s="0">
        <v>1558</v>
      </c>
      <c r="BP51" t="s" s="0">
        <v>1559</v>
      </c>
      <c r="BQ51" t="s" s="0">
        <v>1560</v>
      </c>
      <c r="BR51" t="s" s="0">
        <v>1561</v>
      </c>
      <c r="BS51" t="s" s="0">
        <v>1562</v>
      </c>
      <c r="BT51" t="s" s="100">
        <f>HYPERLINK("https://www.webofscience.com/wos/woscc/full-record/WOS:001327443000001","View Record in Web of Science")</f>
        <v>128</v>
      </c>
      <c r="BU51" t="s" s="0">
        <v>1563</v>
      </c>
      <c r="BV51" t="s" s="0">
        <v>129</v>
      </c>
      <c r="BW51" t="s" s="0">
        <v>130</v>
      </c>
      <c r="BX51" t="s" s="0">
        <v>131</v>
      </c>
    </row>
    <row r="52">
      <c r="A52" t="s" s="0">
        <v>237</v>
      </c>
      <c r="B52" t="s" s="0">
        <v>78</v>
      </c>
      <c r="C52" t="s" s="0">
        <v>572</v>
      </c>
      <c r="D52" t="s" s="0">
        <v>237</v>
      </c>
      <c r="E52" t="s" s="0">
        <v>1564</v>
      </c>
      <c r="F52" t="s" s="0">
        <v>1565</v>
      </c>
      <c r="G52" t="s" s="0">
        <v>1566</v>
      </c>
      <c r="H52" t="s" s="0">
        <v>84</v>
      </c>
      <c r="I52" t="s" s="0">
        <v>85</v>
      </c>
      <c r="J52" t="s" s="0">
        <v>1567</v>
      </c>
      <c r="K52" t="s" s="0">
        <v>1568</v>
      </c>
      <c r="L52" t="s" s="0">
        <v>84</v>
      </c>
      <c r="M52" t="s" s="0">
        <v>84</v>
      </c>
      <c r="N52" t="s" s="0">
        <v>84</v>
      </c>
      <c r="O52" t="s" s="0">
        <v>1569</v>
      </c>
      <c r="P52" t="s" s="0">
        <v>1570</v>
      </c>
      <c r="Q52" t="s" s="0">
        <v>93</v>
      </c>
      <c r="R52" t="s" s="0">
        <v>84</v>
      </c>
      <c r="S52" t="s" s="0">
        <v>84</v>
      </c>
      <c r="T52" t="s" s="0">
        <v>84</v>
      </c>
      <c r="U52" t="s" s="0">
        <v>84</v>
      </c>
      <c r="V52" t="s" s="0">
        <v>1571</v>
      </c>
      <c r="W52" t="s" s="0">
        <v>1572</v>
      </c>
      <c r="X52" t="s" s="0">
        <v>84</v>
      </c>
      <c r="Y52" t="s" s="0">
        <v>84</v>
      </c>
      <c r="Z52" t="s" s="0">
        <v>96</v>
      </c>
      <c r="AA52" t="s" s="0">
        <v>97</v>
      </c>
      <c r="AB52" t="s" s="0">
        <v>84</v>
      </c>
      <c r="AC52" t="s" s="0">
        <v>84</v>
      </c>
      <c r="AD52" t="s" s="0">
        <v>84</v>
      </c>
      <c r="AE52" t="s" s="0">
        <v>84</v>
      </c>
      <c r="AF52" t="s" s="0">
        <v>84</v>
      </c>
      <c r="AG52" t="s" s="0">
        <v>1573</v>
      </c>
      <c r="AH52" t="s" s="0">
        <v>1574</v>
      </c>
      <c r="AI52" t="s" s="0">
        <v>1575</v>
      </c>
      <c r="AJ52" t="s" s="0">
        <v>1576</v>
      </c>
      <c r="AK52" t="s" s="0">
        <v>84</v>
      </c>
      <c r="AL52" t="s" s="0">
        <v>409</v>
      </c>
      <c r="AM52" t="s" s="0">
        <v>1548</v>
      </c>
      <c r="AN52" t="s" s="0">
        <v>1577</v>
      </c>
      <c r="AO52" t="s" s="0">
        <v>339</v>
      </c>
      <c r="AP52" t="s" s="0">
        <v>1578</v>
      </c>
      <c r="AQ52" t="s" s="0">
        <v>154</v>
      </c>
      <c r="AR52" t="s" s="0">
        <v>155</v>
      </c>
      <c r="AS52" t="s" s="0">
        <v>156</v>
      </c>
      <c r="AT52" t="s" s="0">
        <v>1579</v>
      </c>
      <c r="AU52" t="s" s="0">
        <v>1580</v>
      </c>
      <c r="AV52" t="s" s="0">
        <v>84</v>
      </c>
      <c r="AW52" t="s" s="0">
        <v>1572</v>
      </c>
      <c r="AX52" t="s" s="0">
        <v>1581</v>
      </c>
      <c r="AY52" t="s" s="0">
        <v>1112</v>
      </c>
      <c r="AZ52" t="s" s="0">
        <v>273</v>
      </c>
      <c r="BA52" t="s" s="0">
        <v>1191</v>
      </c>
      <c r="BB52" t="s" s="0">
        <v>174</v>
      </c>
      <c r="BC52" t="s" s="0">
        <v>84</v>
      </c>
      <c r="BD52" t="s" s="0">
        <v>84</v>
      </c>
      <c r="BE52" t="s" s="0">
        <v>84</v>
      </c>
      <c r="BF52" t="s" s="0">
        <v>84</v>
      </c>
      <c r="BG52" t="s" s="0">
        <v>84</v>
      </c>
      <c r="BH52" t="s" s="0">
        <v>84</v>
      </c>
      <c r="BI52" t="s" s="0">
        <v>1582</v>
      </c>
      <c r="BJ52" t="s" s="0">
        <v>1583</v>
      </c>
      <c r="BK52" t="s" s="101">
        <f>HYPERLINK("http://dx.doi.org/10.3390/medicina60030445","http://dx.doi.org/10.3390/medicina60030445")</f>
        <v>1584</v>
      </c>
      <c r="BL52" t="s" s="0">
        <v>84</v>
      </c>
      <c r="BM52" t="s" s="0">
        <v>84</v>
      </c>
      <c r="BN52" t="s" s="0">
        <v>306</v>
      </c>
      <c r="BO52" t="s" s="0">
        <v>404</v>
      </c>
      <c r="BP52" t="s" s="0">
        <v>405</v>
      </c>
      <c r="BQ52" t="s" s="0">
        <v>1585</v>
      </c>
      <c r="BR52" t="s" s="0">
        <v>1586</v>
      </c>
      <c r="BS52" t="s" s="0">
        <v>1587</v>
      </c>
      <c r="BT52" t="s" s="102">
        <f>HYPERLINK("https://www.webofscience.com/wos/woscc/full-record/WOS:001192531600001","View Record in Web of Science")</f>
        <v>128</v>
      </c>
      <c r="BU52" t="s" s="0">
        <v>171</v>
      </c>
      <c r="BV52" t="s" s="0">
        <v>129</v>
      </c>
      <c r="BW52" t="s" s="0">
        <v>130</v>
      </c>
      <c r="BX52" t="s" s="0">
        <v>131</v>
      </c>
    </row>
    <row r="53">
      <c r="A53" t="s" s="0">
        <v>80</v>
      </c>
      <c r="B53" t="s" s="0">
        <v>78</v>
      </c>
      <c r="C53" t="s" s="0">
        <v>662</v>
      </c>
      <c r="D53" t="s" s="0">
        <v>78</v>
      </c>
      <c r="E53" t="s" s="0">
        <v>1588</v>
      </c>
      <c r="F53" t="s" s="0">
        <v>1589</v>
      </c>
      <c r="G53" t="s" s="0">
        <v>1590</v>
      </c>
      <c r="H53" t="s" s="0">
        <v>84</v>
      </c>
      <c r="I53" t="s" s="0">
        <v>85</v>
      </c>
      <c r="J53" t="s" s="0">
        <v>1591</v>
      </c>
      <c r="K53" t="s" s="0">
        <v>1592</v>
      </c>
      <c r="L53" t="s" s="0">
        <v>1593</v>
      </c>
      <c r="M53" t="s" s="0">
        <v>1594</v>
      </c>
      <c r="N53" t="s" s="0">
        <v>1595</v>
      </c>
      <c r="O53" t="s" s="0">
        <v>1596</v>
      </c>
      <c r="P53" t="s" s="0">
        <v>1597</v>
      </c>
      <c r="Q53" t="s" s="0">
        <v>93</v>
      </c>
      <c r="R53" t="s" s="0">
        <v>84</v>
      </c>
      <c r="S53" t="s" s="0">
        <v>84</v>
      </c>
      <c r="T53" t="s" s="0">
        <v>84</v>
      </c>
      <c r="U53" t="s" s="0">
        <v>84</v>
      </c>
      <c r="V53" t="s" s="0">
        <v>1598</v>
      </c>
      <c r="W53" t="s" s="0">
        <v>1599</v>
      </c>
      <c r="X53" t="s" s="0">
        <v>84</v>
      </c>
      <c r="Y53" t="s" s="0">
        <v>84</v>
      </c>
      <c r="Z53" t="s" s="0">
        <v>96</v>
      </c>
      <c r="AA53" t="s" s="0">
        <v>97</v>
      </c>
      <c r="AB53" t="s" s="0">
        <v>84</v>
      </c>
      <c r="AC53" t="s" s="0">
        <v>84</v>
      </c>
      <c r="AD53" t="s" s="0">
        <v>84</v>
      </c>
      <c r="AE53" t="s" s="0">
        <v>84</v>
      </c>
      <c r="AF53" t="s" s="0">
        <v>84</v>
      </c>
      <c r="AG53" t="s" s="0">
        <v>1600</v>
      </c>
      <c r="AH53" t="s" s="0">
        <v>1601</v>
      </c>
      <c r="AI53" t="s" s="0">
        <v>1602</v>
      </c>
      <c r="AJ53" t="s" s="0">
        <v>1603</v>
      </c>
      <c r="AK53" t="s" s="0">
        <v>84</v>
      </c>
      <c r="AL53" t="s" s="0">
        <v>1604</v>
      </c>
      <c r="AM53" t="s" s="0">
        <v>1033</v>
      </c>
      <c r="AN53" t="s" s="0">
        <v>810</v>
      </c>
      <c r="AO53" t="s" s="0">
        <v>132</v>
      </c>
      <c r="AP53" t="s" s="0">
        <v>1605</v>
      </c>
      <c r="AQ53" t="s" s="0">
        <v>1164</v>
      </c>
      <c r="AR53" t="s" s="0">
        <v>1165</v>
      </c>
      <c r="AS53" t="s" s="0">
        <v>1166</v>
      </c>
      <c r="AT53" t="s" s="0">
        <v>1606</v>
      </c>
      <c r="AU53" t="s" s="0">
        <v>1607</v>
      </c>
      <c r="AV53" t="s" s="0">
        <v>84</v>
      </c>
      <c r="AW53" t="s" s="0">
        <v>1608</v>
      </c>
      <c r="AX53" t="s" s="0">
        <v>1609</v>
      </c>
      <c r="AY53" t="s" s="0">
        <v>1610</v>
      </c>
      <c r="AZ53" t="s" s="0">
        <v>273</v>
      </c>
      <c r="BA53" t="s" s="0">
        <v>298</v>
      </c>
      <c r="BB53" t="s" s="0">
        <v>84</v>
      </c>
      <c r="BC53" t="s" s="0">
        <v>84</v>
      </c>
      <c r="BD53" t="s" s="0">
        <v>84</v>
      </c>
      <c r="BE53" t="s" s="0">
        <v>84</v>
      </c>
      <c r="BF53" t="s" s="0">
        <v>84</v>
      </c>
      <c r="BG53" t="s" s="0">
        <v>84</v>
      </c>
      <c r="BH53" t="s" s="0">
        <v>84</v>
      </c>
      <c r="BI53" t="s" s="0">
        <v>1611</v>
      </c>
      <c r="BJ53" t="s" s="0">
        <v>1612</v>
      </c>
      <c r="BK53" t="s" s="103">
        <f>HYPERLINK("http://dx.doi.org/10.1016/j.artmed.2024.102900","http://dx.doi.org/10.1016/j.artmed.2024.102900")</f>
        <v>1613</v>
      </c>
      <c r="BL53" t="s" s="0">
        <v>84</v>
      </c>
      <c r="BM53" t="s" s="0">
        <v>894</v>
      </c>
      <c r="BN53" t="s" s="0">
        <v>538</v>
      </c>
      <c r="BO53" t="s" s="0">
        <v>1614</v>
      </c>
      <c r="BP53" t="s" s="0">
        <v>1615</v>
      </c>
      <c r="BQ53" t="s" s="0">
        <v>1616</v>
      </c>
      <c r="BR53" t="s" s="0">
        <v>1617</v>
      </c>
      <c r="BS53" t="s" s="0">
        <v>1618</v>
      </c>
      <c r="BT53" t="s" s="104">
        <f>HYPERLINK("https://www.webofscience.com/wos/woscc/full-record/WOS:001257085900001","View Record in Web of Science")</f>
        <v>128</v>
      </c>
      <c r="BU53" t="s" s="0">
        <v>987</v>
      </c>
      <c r="BV53" t="s" s="0">
        <v>129</v>
      </c>
      <c r="BW53" t="s" s="0">
        <v>130</v>
      </c>
      <c r="BX53" t="s" s="0">
        <v>131</v>
      </c>
    </row>
    <row r="54">
      <c r="A54" t="s" s="0">
        <v>237</v>
      </c>
      <c r="B54" t="s" s="0">
        <v>78</v>
      </c>
      <c r="C54" t="s" s="0">
        <v>549</v>
      </c>
      <c r="D54" t="s" s="0">
        <v>237</v>
      </c>
      <c r="E54" t="s" s="0">
        <v>1619</v>
      </c>
      <c r="F54" t="s" s="0">
        <v>1620</v>
      </c>
      <c r="G54" t="s" s="0">
        <v>1621</v>
      </c>
      <c r="H54" t="s" s="0">
        <v>84</v>
      </c>
      <c r="I54" t="s" s="0">
        <v>212</v>
      </c>
      <c r="J54" t="s" s="0">
        <v>1622</v>
      </c>
      <c r="K54" t="s" s="0">
        <v>84</v>
      </c>
      <c r="L54" t="s" s="0">
        <v>84</v>
      </c>
      <c r="M54" t="s" s="0">
        <v>84</v>
      </c>
      <c r="N54" t="s" s="0">
        <v>84</v>
      </c>
      <c r="O54" t="s" s="0">
        <v>1623</v>
      </c>
      <c r="P54" t="s" s="0">
        <v>1624</v>
      </c>
      <c r="Q54" t="s" s="0">
        <v>93</v>
      </c>
      <c r="R54" t="s" s="0">
        <v>84</v>
      </c>
      <c r="S54" t="s" s="0">
        <v>84</v>
      </c>
      <c r="T54" t="s" s="0">
        <v>84</v>
      </c>
      <c r="U54" t="s" s="0">
        <v>84</v>
      </c>
      <c r="V54" t="s" s="0">
        <v>1625</v>
      </c>
      <c r="W54" t="s" s="0">
        <v>1626</v>
      </c>
      <c r="X54" t="s" s="0">
        <v>84</v>
      </c>
      <c r="Y54" t="s" s="0">
        <v>84</v>
      </c>
      <c r="Z54" t="s" s="0">
        <v>96</v>
      </c>
      <c r="AA54" t="s" s="0">
        <v>97</v>
      </c>
      <c r="AB54" t="s" s="0">
        <v>84</v>
      </c>
      <c r="AC54" t="s" s="0">
        <v>84</v>
      </c>
      <c r="AD54" t="s" s="0">
        <v>84</v>
      </c>
      <c r="AE54" t="s" s="0">
        <v>84</v>
      </c>
      <c r="AF54" t="s" s="0">
        <v>84</v>
      </c>
      <c r="AG54" t="s" s="0">
        <v>1627</v>
      </c>
      <c r="AH54" t="s" s="0">
        <v>84</v>
      </c>
      <c r="AI54" t="s" s="0">
        <v>1628</v>
      </c>
      <c r="AJ54" t="s" s="0">
        <v>1629</v>
      </c>
      <c r="AK54" t="s" s="0">
        <v>84</v>
      </c>
      <c r="AL54" t="s" s="0">
        <v>1630</v>
      </c>
      <c r="AM54" t="s" s="0">
        <v>1403</v>
      </c>
      <c r="AN54" t="s" s="0">
        <v>1425</v>
      </c>
      <c r="AO54" t="s" s="0">
        <v>228</v>
      </c>
      <c r="AP54" t="s" s="0">
        <v>1631</v>
      </c>
      <c r="AQ54" t="s" s="0">
        <v>1632</v>
      </c>
      <c r="AR54" t="s" s="0">
        <v>1633</v>
      </c>
      <c r="AS54" t="s" s="0">
        <v>1634</v>
      </c>
      <c r="AT54" t="s" s="0">
        <v>1635</v>
      </c>
      <c r="AU54" t="s" s="0">
        <v>84</v>
      </c>
      <c r="AV54" t="s" s="0">
        <v>84</v>
      </c>
      <c r="AW54" t="s" s="0">
        <v>1636</v>
      </c>
      <c r="AX54" t="s" s="0">
        <v>1637</v>
      </c>
      <c r="AY54" t="s" s="0">
        <v>1638</v>
      </c>
      <c r="AZ54" t="s" s="0">
        <v>273</v>
      </c>
      <c r="BA54" t="s" s="0">
        <v>424</v>
      </c>
      <c r="BB54" t="s" s="0">
        <v>84</v>
      </c>
      <c r="BC54" t="s" s="0">
        <v>84</v>
      </c>
      <c r="BD54" t="s" s="0">
        <v>84</v>
      </c>
      <c r="BE54" t="s" s="0">
        <v>84</v>
      </c>
      <c r="BF54" t="s" s="0">
        <v>84</v>
      </c>
      <c r="BG54" t="s" s="0">
        <v>84</v>
      </c>
      <c r="BH54" t="s" s="0">
        <v>84</v>
      </c>
      <c r="BI54" t="s" s="0">
        <v>161</v>
      </c>
      <c r="BJ54" t="s" s="0">
        <v>1639</v>
      </c>
      <c r="BK54" t="s" s="105">
        <f>HYPERLINK("http://dx.doi.org/10.3352/jeehp.2024.21.6","http://dx.doi.org/10.3352/jeehp.2024.21.6")</f>
        <v>1640</v>
      </c>
      <c r="BL54" t="s" s="0">
        <v>84</v>
      </c>
      <c r="BM54" t="s" s="0">
        <v>84</v>
      </c>
      <c r="BN54" t="s" s="0">
        <v>122</v>
      </c>
      <c r="BO54" t="s" s="0">
        <v>507</v>
      </c>
      <c r="BP54" t="s" s="0">
        <v>508</v>
      </c>
      <c r="BQ54" t="s" s="0">
        <v>1641</v>
      </c>
      <c r="BR54" t="s" s="0">
        <v>1642</v>
      </c>
      <c r="BS54" t="s" s="0">
        <v>1643</v>
      </c>
      <c r="BT54" t="s" s="106">
        <f>HYPERLINK("https://www.webofscience.com/wos/woscc/full-record/WOS:001216126300001","View Record in Web of Science")</f>
        <v>128</v>
      </c>
      <c r="BU54" t="s" s="0">
        <v>171</v>
      </c>
      <c r="BV54" t="s" s="0">
        <v>84</v>
      </c>
      <c r="BW54" t="s" s="0">
        <v>84</v>
      </c>
      <c r="BX54" t="s" s="0">
        <v>131</v>
      </c>
    </row>
    <row r="55">
      <c r="A55" t="s" s="0">
        <v>549</v>
      </c>
      <c r="B55" t="s" s="0">
        <v>78</v>
      </c>
      <c r="C55" t="s" s="0">
        <v>940</v>
      </c>
      <c r="D55" t="s" s="0">
        <v>237</v>
      </c>
      <c r="E55" t="s" s="0">
        <v>1644</v>
      </c>
      <c r="F55" t="s" s="0">
        <v>1645</v>
      </c>
      <c r="G55" t="s" s="0">
        <v>1646</v>
      </c>
      <c r="H55" t="s" s="0">
        <v>84</v>
      </c>
      <c r="I55" t="s" s="0">
        <v>85</v>
      </c>
      <c r="J55" t="s" s="0">
        <v>1647</v>
      </c>
      <c r="K55" t="s" s="0">
        <v>1648</v>
      </c>
      <c r="L55" t="s" s="0">
        <v>84</v>
      </c>
      <c r="M55" t="s" s="0">
        <v>84</v>
      </c>
      <c r="N55" t="s" s="0">
        <v>84</v>
      </c>
      <c r="O55" t="s" s="0">
        <v>1649</v>
      </c>
      <c r="P55" t="s" s="0">
        <v>1650</v>
      </c>
      <c r="Q55" t="s" s="0">
        <v>93</v>
      </c>
      <c r="R55" t="s" s="0">
        <v>84</v>
      </c>
      <c r="S55" t="s" s="0">
        <v>84</v>
      </c>
      <c r="T55" t="s" s="0">
        <v>84</v>
      </c>
      <c r="U55" t="s" s="0">
        <v>84</v>
      </c>
      <c r="V55" t="s" s="0">
        <v>1651</v>
      </c>
      <c r="W55" t="s" s="0">
        <v>1652</v>
      </c>
      <c r="X55" t="s" s="0">
        <v>84</v>
      </c>
      <c r="Y55" t="s" s="0">
        <v>84</v>
      </c>
      <c r="Z55" t="s" s="0">
        <v>96</v>
      </c>
      <c r="AA55" t="s" s="0">
        <v>97</v>
      </c>
      <c r="AB55" t="s" s="0">
        <v>84</v>
      </c>
      <c r="AC55" t="s" s="0">
        <v>84</v>
      </c>
      <c r="AD55" t="s" s="0">
        <v>84</v>
      </c>
      <c r="AE55" t="s" s="0">
        <v>84</v>
      </c>
      <c r="AF55" t="s" s="0">
        <v>84</v>
      </c>
      <c r="AG55" t="s" s="0">
        <v>1653</v>
      </c>
      <c r="AH55" t="s" s="0">
        <v>1654</v>
      </c>
      <c r="AI55" t="s" s="0">
        <v>1655</v>
      </c>
      <c r="AJ55" t="s" s="0">
        <v>1656</v>
      </c>
      <c r="AK55" t="s" s="0">
        <v>84</v>
      </c>
      <c r="AL55" t="s" s="0">
        <v>1657</v>
      </c>
      <c r="AM55" t="s" s="0">
        <v>1658</v>
      </c>
      <c r="AN55" t="s" s="0">
        <v>562</v>
      </c>
      <c r="AO55" t="s" s="0">
        <v>920</v>
      </c>
      <c r="AP55" t="s" s="0">
        <v>1659</v>
      </c>
      <c r="AQ55" t="s" s="0">
        <v>1055</v>
      </c>
      <c r="AR55" t="s" s="0">
        <v>1056</v>
      </c>
      <c r="AS55" t="s" s="0">
        <v>1057</v>
      </c>
      <c r="AT55" t="s" s="0">
        <v>84</v>
      </c>
      <c r="AU55" t="s" s="0">
        <v>1660</v>
      </c>
      <c r="AV55" t="s" s="0">
        <v>84</v>
      </c>
      <c r="AW55" t="s" s="0">
        <v>1661</v>
      </c>
      <c r="AX55" t="s" s="0">
        <v>1662</v>
      </c>
      <c r="AY55" t="s" s="0">
        <v>1663</v>
      </c>
      <c r="AZ55" t="s" s="0">
        <v>273</v>
      </c>
      <c r="BA55" t="s" s="0">
        <v>306</v>
      </c>
      <c r="BB55" t="s" s="0">
        <v>84</v>
      </c>
      <c r="BC55" t="s" s="0">
        <v>84</v>
      </c>
      <c r="BD55" t="s" s="0">
        <v>84</v>
      </c>
      <c r="BE55" t="s" s="0">
        <v>84</v>
      </c>
      <c r="BF55" t="s" s="0">
        <v>84</v>
      </c>
      <c r="BG55" t="s" s="0">
        <v>84</v>
      </c>
      <c r="BH55" t="s" s="0">
        <v>84</v>
      </c>
      <c r="BI55" t="s" s="0">
        <v>1664</v>
      </c>
      <c r="BJ55" t="s" s="0">
        <v>1665</v>
      </c>
      <c r="BK55" t="s" s="107">
        <f>HYPERLINK("http://dx.doi.org/10.3389/fphar.2024.1331062","http://dx.doi.org/10.3389/fphar.2024.1331062")</f>
        <v>1666</v>
      </c>
      <c r="BL55" t="s" s="0">
        <v>84</v>
      </c>
      <c r="BM55" t="s" s="0">
        <v>84</v>
      </c>
      <c r="BN55" t="s" s="0">
        <v>1192</v>
      </c>
      <c r="BO55" t="s" s="0">
        <v>1360</v>
      </c>
      <c r="BP55" t="s" s="0">
        <v>1360</v>
      </c>
      <c r="BQ55" t="s" s="0">
        <v>1667</v>
      </c>
      <c r="BR55" t="s" s="0">
        <v>1668</v>
      </c>
      <c r="BS55" t="s" s="0">
        <v>1669</v>
      </c>
      <c r="BT55" t="s" s="108">
        <f>HYPERLINK("https://www.webofscience.com/wos/woscc/full-record/WOS:001164736100001","View Record in Web of Science")</f>
        <v>128</v>
      </c>
      <c r="BU55" t="s" s="0">
        <v>171</v>
      </c>
      <c r="BV55" t="s" s="0">
        <v>129</v>
      </c>
      <c r="BW55" t="s" s="0">
        <v>130</v>
      </c>
      <c r="BX55" t="s" s="0">
        <v>131</v>
      </c>
    </row>
    <row r="56">
      <c r="A56" t="s" s="0">
        <v>237</v>
      </c>
      <c r="B56" t="s" s="0">
        <v>78</v>
      </c>
      <c r="C56" t="s" s="0">
        <v>132</v>
      </c>
      <c r="D56" t="s" s="0">
        <v>237</v>
      </c>
      <c r="E56" t="s" s="0">
        <v>1670</v>
      </c>
      <c r="F56" t="s" s="0">
        <v>1671</v>
      </c>
      <c r="G56" t="s" s="0">
        <v>1672</v>
      </c>
      <c r="H56" t="s" s="0">
        <v>84</v>
      </c>
      <c r="I56" t="s" s="0">
        <v>212</v>
      </c>
      <c r="J56" t="s" s="0">
        <v>1673</v>
      </c>
      <c r="K56" t="s" s="0">
        <v>1674</v>
      </c>
      <c r="L56" t="s" s="0">
        <v>1675</v>
      </c>
      <c r="M56" t="s" s="0">
        <v>1676</v>
      </c>
      <c r="N56" t="s" s="0">
        <v>1677</v>
      </c>
      <c r="O56" t="s" s="0">
        <v>1678</v>
      </c>
      <c r="P56" t="s" s="0">
        <v>1679</v>
      </c>
      <c r="Q56" t="s" s="0">
        <v>93</v>
      </c>
      <c r="R56" t="s" s="0">
        <v>84</v>
      </c>
      <c r="S56" t="s" s="0">
        <v>84</v>
      </c>
      <c r="T56" t="s" s="0">
        <v>84</v>
      </c>
      <c r="U56" t="s" s="0">
        <v>84</v>
      </c>
      <c r="V56" t="s" s="0">
        <v>1680</v>
      </c>
      <c r="W56" t="s" s="0">
        <v>1681</v>
      </c>
      <c r="X56" t="s" s="0">
        <v>84</v>
      </c>
      <c r="Y56" t="s" s="0">
        <v>84</v>
      </c>
      <c r="Z56" t="s" s="0">
        <v>96</v>
      </c>
      <c r="AA56" t="s" s="0">
        <v>97</v>
      </c>
      <c r="AB56" t="s" s="0">
        <v>84</v>
      </c>
      <c r="AC56" t="s" s="0">
        <v>84</v>
      </c>
      <c r="AD56" t="s" s="0">
        <v>84</v>
      </c>
      <c r="AE56" t="s" s="0">
        <v>84</v>
      </c>
      <c r="AF56" t="s" s="0">
        <v>84</v>
      </c>
      <c r="AG56" t="s" s="0">
        <v>1682</v>
      </c>
      <c r="AH56" t="s" s="0">
        <v>1683</v>
      </c>
      <c r="AI56" t="s" s="0">
        <v>1684</v>
      </c>
      <c r="AJ56" t="s" s="0">
        <v>1685</v>
      </c>
      <c r="AK56" t="s" s="0">
        <v>84</v>
      </c>
      <c r="AL56" t="s" s="0">
        <v>1686</v>
      </c>
      <c r="AM56" t="s" s="0">
        <v>1658</v>
      </c>
      <c r="AN56" t="s" s="0">
        <v>1687</v>
      </c>
      <c r="AO56" t="s" s="0">
        <v>174</v>
      </c>
      <c r="AP56" t="s" s="0">
        <v>1520</v>
      </c>
      <c r="AQ56" t="s" s="0">
        <v>1055</v>
      </c>
      <c r="AR56" t="s" s="0">
        <v>1056</v>
      </c>
      <c r="AS56" t="s" s="0">
        <v>1057</v>
      </c>
      <c r="AT56" t="s" s="0">
        <v>84</v>
      </c>
      <c r="AU56" t="s" s="0">
        <v>1688</v>
      </c>
      <c r="AV56" t="s" s="0">
        <v>84</v>
      </c>
      <c r="AW56" t="s" s="0">
        <v>1689</v>
      </c>
      <c r="AX56" t="s" s="0">
        <v>1690</v>
      </c>
      <c r="AY56" t="s" s="0">
        <v>1691</v>
      </c>
      <c r="AZ56" t="s" s="0">
        <v>114</v>
      </c>
      <c r="BA56" t="s" s="0">
        <v>161</v>
      </c>
      <c r="BB56" t="s" s="0">
        <v>84</v>
      </c>
      <c r="BC56" t="s" s="0">
        <v>84</v>
      </c>
      <c r="BD56" t="s" s="0">
        <v>84</v>
      </c>
      <c r="BE56" t="s" s="0">
        <v>84</v>
      </c>
      <c r="BF56" t="s" s="0">
        <v>84</v>
      </c>
      <c r="BG56" t="s" s="0">
        <v>84</v>
      </c>
      <c r="BH56" t="s" s="0">
        <v>84</v>
      </c>
      <c r="BI56" t="s" s="0">
        <v>1692</v>
      </c>
      <c r="BJ56" t="s" s="0">
        <v>1693</v>
      </c>
      <c r="BK56" t="s" s="109">
        <f>HYPERLINK("http://dx.doi.org/10.3389/frai.2023.1237704","http://dx.doi.org/10.3389/frai.2023.1237704")</f>
        <v>1694</v>
      </c>
      <c r="BL56" t="s" s="0">
        <v>84</v>
      </c>
      <c r="BM56" t="s" s="0">
        <v>84</v>
      </c>
      <c r="BN56" t="s" s="0">
        <v>246</v>
      </c>
      <c r="BO56" t="s" s="0">
        <v>1695</v>
      </c>
      <c r="BP56" t="s" s="0">
        <v>574</v>
      </c>
      <c r="BQ56" t="s" s="0">
        <v>1696</v>
      </c>
      <c r="BR56" t="s" s="0">
        <v>1697</v>
      </c>
      <c r="BS56" t="s" s="0">
        <v>1698</v>
      </c>
      <c r="BT56" t="s" s="110">
        <f>HYPERLINK("https://www.webofscience.com/wos/woscc/full-record/WOS:001101628500001","View Record in Web of Science")</f>
        <v>128</v>
      </c>
      <c r="BU56" t="s" s="0">
        <v>171</v>
      </c>
      <c r="BV56" t="s" s="0">
        <v>84</v>
      </c>
      <c r="BW56" t="s" s="0">
        <v>84</v>
      </c>
      <c r="BX56" t="s" s="0">
        <v>131</v>
      </c>
    </row>
    <row r="57">
      <c r="A57" t="s" s="0">
        <v>208</v>
      </c>
      <c r="B57" t="s" s="0">
        <v>78</v>
      </c>
      <c r="C57" t="s" s="0">
        <v>206</v>
      </c>
      <c r="D57" t="s" s="0">
        <v>78</v>
      </c>
      <c r="E57" t="s" s="0">
        <v>1699</v>
      </c>
      <c r="F57" t="s" s="0">
        <v>1700</v>
      </c>
      <c r="G57" t="s" s="0">
        <v>1701</v>
      </c>
      <c r="H57" t="s" s="0">
        <v>84</v>
      </c>
      <c r="I57" t="s" s="0">
        <v>85</v>
      </c>
      <c r="J57" t="s" s="0">
        <v>1702</v>
      </c>
      <c r="K57" t="s" s="0">
        <v>1703</v>
      </c>
      <c r="L57" t="s" s="0">
        <v>1704</v>
      </c>
      <c r="M57" t="s" s="0">
        <v>1705</v>
      </c>
      <c r="N57" t="s" s="0">
        <v>1706</v>
      </c>
      <c r="O57" t="s" s="0">
        <v>1707</v>
      </c>
      <c r="P57" t="s" s="0">
        <v>1708</v>
      </c>
      <c r="Q57" t="s" s="0">
        <v>93</v>
      </c>
      <c r="R57" t="s" s="0">
        <v>84</v>
      </c>
      <c r="S57" t="s" s="0">
        <v>84</v>
      </c>
      <c r="T57" t="s" s="0">
        <v>84</v>
      </c>
      <c r="U57" t="s" s="0">
        <v>84</v>
      </c>
      <c r="V57" t="s" s="0">
        <v>1709</v>
      </c>
      <c r="W57" t="s" s="0">
        <v>1710</v>
      </c>
      <c r="X57" t="s" s="0">
        <v>84</v>
      </c>
      <c r="Y57" t="s" s="0">
        <v>84</v>
      </c>
      <c r="Z57" t="s" s="0">
        <v>96</v>
      </c>
      <c r="AA57" t="s" s="0">
        <v>97</v>
      </c>
      <c r="AB57" t="s" s="0">
        <v>84</v>
      </c>
      <c r="AC57" t="s" s="0">
        <v>84</v>
      </c>
      <c r="AD57" t="s" s="0">
        <v>84</v>
      </c>
      <c r="AE57" t="s" s="0">
        <v>84</v>
      </c>
      <c r="AF57" t="s" s="0">
        <v>84</v>
      </c>
      <c r="AG57" t="s" s="0">
        <v>1711</v>
      </c>
      <c r="AH57" t="s" s="0">
        <v>1712</v>
      </c>
      <c r="AI57" t="s" s="0">
        <v>1713</v>
      </c>
      <c r="AJ57" t="s" s="0">
        <v>1714</v>
      </c>
      <c r="AK57" t="s" s="0">
        <v>84</v>
      </c>
      <c r="AL57" t="s" s="0">
        <v>1715</v>
      </c>
      <c r="AM57" t="s" s="0">
        <v>1716</v>
      </c>
      <c r="AN57" t="s" s="0">
        <v>806</v>
      </c>
      <c r="AO57" t="s" s="0">
        <v>78</v>
      </c>
      <c r="AP57" t="s" s="0">
        <v>122</v>
      </c>
      <c r="AQ57" t="s" s="0">
        <v>1297</v>
      </c>
      <c r="AR57" t="s" s="0">
        <v>1298</v>
      </c>
      <c r="AS57" t="s" s="0">
        <v>1299</v>
      </c>
      <c r="AT57" t="s" s="0">
        <v>1717</v>
      </c>
      <c r="AU57" t="s" s="0">
        <v>1718</v>
      </c>
      <c r="AV57" t="s" s="0">
        <v>84</v>
      </c>
      <c r="AW57" t="s" s="0">
        <v>1719</v>
      </c>
      <c r="AX57" t="s" s="0">
        <v>1720</v>
      </c>
      <c r="AY57" t="s" s="0">
        <v>1721</v>
      </c>
      <c r="AZ57" t="s" s="0">
        <v>338</v>
      </c>
      <c r="BA57" t="s" s="0">
        <v>920</v>
      </c>
      <c r="BB57" t="s" s="0">
        <v>80</v>
      </c>
      <c r="BC57" t="s" s="0">
        <v>84</v>
      </c>
      <c r="BD57" t="s" s="0">
        <v>84</v>
      </c>
      <c r="BE57" t="s" s="0">
        <v>84</v>
      </c>
      <c r="BF57" t="s" s="0">
        <v>84</v>
      </c>
      <c r="BG57" t="s" s="0">
        <v>1722</v>
      </c>
      <c r="BH57" t="s" s="0">
        <v>1723</v>
      </c>
      <c r="BI57" t="s" s="0">
        <v>84</v>
      </c>
      <c r="BJ57" t="s" s="0">
        <v>1724</v>
      </c>
      <c r="BK57" t="s" s="111">
        <f>HYPERLINK("http://dx.doi.org/10.1007/s00330-024-11107-6","http://dx.doi.org/10.1007/s00330-024-11107-6")</f>
        <v>1725</v>
      </c>
      <c r="BL57" t="s" s="0">
        <v>84</v>
      </c>
      <c r="BM57" t="s" s="0">
        <v>1726</v>
      </c>
      <c r="BN57" t="s" s="0">
        <v>228</v>
      </c>
      <c r="BO57" t="s" s="0">
        <v>605</v>
      </c>
      <c r="BP57" t="s" s="0">
        <v>605</v>
      </c>
      <c r="BQ57" t="s" s="0">
        <v>1727</v>
      </c>
      <c r="BR57" t="s" s="0">
        <v>1728</v>
      </c>
      <c r="BS57" t="s" s="0">
        <v>1729</v>
      </c>
      <c r="BT57" t="s" s="112">
        <f>HYPERLINK("https://www.webofscience.com/wos/woscc/full-record/WOS:001340083300001","View Record in Web of Science")</f>
        <v>128</v>
      </c>
      <c r="BU57" t="s" s="0">
        <v>480</v>
      </c>
      <c r="BV57" t="s" s="0">
        <v>129</v>
      </c>
      <c r="BW57" t="s" s="0">
        <v>130</v>
      </c>
      <c r="BX57" t="s" s="0">
        <v>131</v>
      </c>
    </row>
    <row r="58">
      <c r="A58" t="s" s="0">
        <v>161</v>
      </c>
      <c r="B58" t="s" s="0">
        <v>78</v>
      </c>
      <c r="C58" t="s" s="0">
        <v>315</v>
      </c>
      <c r="D58" t="s" s="0">
        <v>78</v>
      </c>
      <c r="E58" t="s" s="0">
        <v>1730</v>
      </c>
      <c r="F58" t="s" s="0">
        <v>1731</v>
      </c>
      <c r="G58" t="s" s="0">
        <v>1732</v>
      </c>
      <c r="H58" t="s" s="0">
        <v>84</v>
      </c>
      <c r="I58" t="s" s="0">
        <v>85</v>
      </c>
      <c r="J58" t="s" s="0">
        <v>1733</v>
      </c>
      <c r="K58" t="s" s="0">
        <v>1734</v>
      </c>
      <c r="L58" t="s" s="0">
        <v>1735</v>
      </c>
      <c r="M58" t="s" s="0">
        <v>1736</v>
      </c>
      <c r="N58" t="s" s="0">
        <v>677</v>
      </c>
      <c r="O58" t="s" s="0">
        <v>1737</v>
      </c>
      <c r="P58" t="s" s="0">
        <v>1738</v>
      </c>
      <c r="Q58" t="s" s="0">
        <v>93</v>
      </c>
      <c r="R58" t="s" s="0">
        <v>84</v>
      </c>
      <c r="S58" t="s" s="0">
        <v>84</v>
      </c>
      <c r="T58" t="s" s="0">
        <v>84</v>
      </c>
      <c r="U58" t="s" s="0">
        <v>84</v>
      </c>
      <c r="V58" t="s" s="0">
        <v>1739</v>
      </c>
      <c r="W58" t="s" s="0">
        <v>1740</v>
      </c>
      <c r="X58" t="s" s="0">
        <v>84</v>
      </c>
      <c r="Y58" t="s" s="0">
        <v>84</v>
      </c>
      <c r="Z58" t="s" s="0">
        <v>96</v>
      </c>
      <c r="AA58" t="s" s="0">
        <v>97</v>
      </c>
      <c r="AB58" t="s" s="0">
        <v>84</v>
      </c>
      <c r="AC58" t="s" s="0">
        <v>84</v>
      </c>
      <c r="AD58" t="s" s="0">
        <v>84</v>
      </c>
      <c r="AE58" t="s" s="0">
        <v>84</v>
      </c>
      <c r="AF58" t="s" s="0">
        <v>84</v>
      </c>
      <c r="AG58" t="s" s="0">
        <v>84</v>
      </c>
      <c r="AH58" t="s" s="0">
        <v>1741</v>
      </c>
      <c r="AI58" t="s" s="0">
        <v>1742</v>
      </c>
      <c r="AJ58" t="s" s="0">
        <v>1743</v>
      </c>
      <c r="AK58" t="s" s="0">
        <v>84</v>
      </c>
      <c r="AL58" t="s" s="0">
        <v>719</v>
      </c>
      <c r="AM58" t="s" s="0">
        <v>1716</v>
      </c>
      <c r="AN58" t="s" s="0">
        <v>1496</v>
      </c>
      <c r="AO58" t="s" s="0">
        <v>283</v>
      </c>
      <c r="AP58" t="s" s="0">
        <v>783</v>
      </c>
      <c r="AQ58" t="s" s="0">
        <v>752</v>
      </c>
      <c r="AR58" t="s" s="0">
        <v>231</v>
      </c>
      <c r="AS58" t="s" s="0">
        <v>753</v>
      </c>
      <c r="AT58" t="s" s="0">
        <v>84</v>
      </c>
      <c r="AU58" t="s" s="0">
        <v>1744</v>
      </c>
      <c r="AV58" t="s" s="0">
        <v>84</v>
      </c>
      <c r="AW58" t="s" s="0">
        <v>1745</v>
      </c>
      <c r="AX58" t="s" s="0">
        <v>1746</v>
      </c>
      <c r="AY58" t="s" s="0">
        <v>1747</v>
      </c>
      <c r="AZ58" t="s" s="0">
        <v>114</v>
      </c>
      <c r="BA58" t="s" s="0">
        <v>543</v>
      </c>
      <c r="BB58" t="s" s="0">
        <v>237</v>
      </c>
      <c r="BC58" t="s" s="0">
        <v>84</v>
      </c>
      <c r="BD58" t="s" s="0">
        <v>84</v>
      </c>
      <c r="BE58" t="s" s="0">
        <v>84</v>
      </c>
      <c r="BF58" t="s" s="0">
        <v>84</v>
      </c>
      <c r="BG58" t="s" s="0">
        <v>84</v>
      </c>
      <c r="BH58" t="s" s="0">
        <v>84</v>
      </c>
      <c r="BI58" t="s" s="0">
        <v>1748</v>
      </c>
      <c r="BJ58" t="s" s="0">
        <v>1749</v>
      </c>
      <c r="BK58" t="s" s="113">
        <f>HYPERLINK("http://dx.doi.org/10.1186/s13045-023-01514-5","http://dx.doi.org/10.1186/s13045-023-01514-5")</f>
        <v>1750</v>
      </c>
      <c r="BL58" t="s" s="0">
        <v>84</v>
      </c>
      <c r="BM58" t="s" s="0">
        <v>84</v>
      </c>
      <c r="BN58" t="s" s="0">
        <v>115</v>
      </c>
      <c r="BO58" t="s" s="0">
        <v>1751</v>
      </c>
      <c r="BP58" t="s" s="0">
        <v>1751</v>
      </c>
      <c r="BQ58" t="s" s="0">
        <v>1752</v>
      </c>
      <c r="BR58" t="s" s="0">
        <v>1753</v>
      </c>
      <c r="BS58" t="s" s="0">
        <v>1754</v>
      </c>
      <c r="BT58" t="s" s="114">
        <f>HYPERLINK("https://www.webofscience.com/wos/woscc/full-record/WOS:001114093100001","View Record in Web of Science")</f>
        <v>128</v>
      </c>
      <c r="BU58" t="s" s="0">
        <v>171</v>
      </c>
      <c r="BV58" t="s" s="0">
        <v>84</v>
      </c>
      <c r="BW58" t="s" s="0">
        <v>84</v>
      </c>
      <c r="BX58" t="s" s="0">
        <v>131</v>
      </c>
    </row>
    <row r="59">
      <c r="A59" t="s" s="0">
        <v>283</v>
      </c>
      <c r="B59" t="s" s="0">
        <v>78</v>
      </c>
      <c r="C59" t="s" s="0">
        <v>246</v>
      </c>
      <c r="D59" t="s" s="0">
        <v>78</v>
      </c>
      <c r="E59" t="s" s="0">
        <v>1755</v>
      </c>
      <c r="F59" t="s" s="0">
        <v>1756</v>
      </c>
      <c r="G59" t="s" s="0">
        <v>1757</v>
      </c>
      <c r="H59" t="s" s="0">
        <v>84</v>
      </c>
      <c r="I59" t="s" s="0">
        <v>138</v>
      </c>
      <c r="J59" t="s" s="0">
        <v>1758</v>
      </c>
      <c r="K59" t="s" s="0">
        <v>1759</v>
      </c>
      <c r="L59" t="s" s="0">
        <v>84</v>
      </c>
      <c r="M59" t="s" s="0">
        <v>84</v>
      </c>
      <c r="N59" t="s" s="0">
        <v>84</v>
      </c>
      <c r="O59" t="s" s="0">
        <v>1760</v>
      </c>
      <c r="P59" t="s" s="0">
        <v>1761</v>
      </c>
      <c r="Q59" t="s" s="0">
        <v>93</v>
      </c>
      <c r="R59" t="s" s="0">
        <v>84</v>
      </c>
      <c r="S59" t="s" s="0">
        <v>84</v>
      </c>
      <c r="T59" t="s" s="0">
        <v>84</v>
      </c>
      <c r="U59" t="s" s="0">
        <v>84</v>
      </c>
      <c r="V59" t="s" s="0">
        <v>1762</v>
      </c>
      <c r="W59" t="s" s="0">
        <v>144</v>
      </c>
      <c r="X59" t="s" s="0">
        <v>84</v>
      </c>
      <c r="Y59" t="s" s="0">
        <v>84</v>
      </c>
      <c r="Z59" t="s" s="0">
        <v>96</v>
      </c>
      <c r="AA59" t="s" s="0">
        <v>97</v>
      </c>
      <c r="AB59" t="s" s="0">
        <v>84</v>
      </c>
      <c r="AC59" t="s" s="0">
        <v>84</v>
      </c>
      <c r="AD59" t="s" s="0">
        <v>84</v>
      </c>
      <c r="AE59" t="s" s="0">
        <v>84</v>
      </c>
      <c r="AF59" t="s" s="0">
        <v>84</v>
      </c>
      <c r="AG59" t="s" s="0">
        <v>1763</v>
      </c>
      <c r="AH59" t="s" s="0">
        <v>84</v>
      </c>
      <c r="AI59" t="s" s="0">
        <v>1764</v>
      </c>
      <c r="AJ59" t="s" s="0">
        <v>1765</v>
      </c>
      <c r="AK59" t="s" s="0">
        <v>84</v>
      </c>
      <c r="AL59" t="s" s="0">
        <v>340</v>
      </c>
      <c r="AM59" t="s" s="0">
        <v>624</v>
      </c>
      <c r="AN59" t="s" s="0">
        <v>1446</v>
      </c>
      <c r="AO59" t="s" s="0">
        <v>1766</v>
      </c>
      <c r="AP59" t="s" s="0">
        <v>1399</v>
      </c>
      <c r="AQ59" t="s" s="0">
        <v>154</v>
      </c>
      <c r="AR59" t="s" s="0">
        <v>155</v>
      </c>
      <c r="AS59" t="s" s="0">
        <v>156</v>
      </c>
      <c r="AT59" t="s" s="0">
        <v>84</v>
      </c>
      <c r="AU59" t="s" s="0">
        <v>157</v>
      </c>
      <c r="AV59" t="s" s="0">
        <v>84</v>
      </c>
      <c r="AW59" t="s" s="0">
        <v>158</v>
      </c>
      <c r="AX59" t="s" s="0">
        <v>159</v>
      </c>
      <c r="AY59" t="s" s="0">
        <v>1767</v>
      </c>
      <c r="AZ59" t="s" s="0">
        <v>338</v>
      </c>
      <c r="BA59" t="s" s="0">
        <v>206</v>
      </c>
      <c r="BB59" t="s" s="0">
        <v>161</v>
      </c>
      <c r="BC59" t="s" s="0">
        <v>84</v>
      </c>
      <c r="BD59" t="s" s="0">
        <v>84</v>
      </c>
      <c r="BE59" t="s" s="0">
        <v>84</v>
      </c>
      <c r="BF59" t="s" s="0">
        <v>84</v>
      </c>
      <c r="BG59" t="s" s="0">
        <v>84</v>
      </c>
      <c r="BH59" t="s" s="0">
        <v>84</v>
      </c>
      <c r="BI59" t="s" s="0">
        <v>1768</v>
      </c>
      <c r="BJ59" t="s" s="0">
        <v>1769</v>
      </c>
      <c r="BK59" t="s" s="115">
        <f>HYPERLINK("http://dx.doi.org/10.3390/healthcare13060603","http://dx.doi.org/10.3390/healthcare13060603")</f>
        <v>1770</v>
      </c>
      <c r="BL59" t="s" s="0">
        <v>84</v>
      </c>
      <c r="BM59" t="s" s="0">
        <v>84</v>
      </c>
      <c r="BN59" t="s" s="0">
        <v>132</v>
      </c>
      <c r="BO59" t="s" s="0">
        <v>166</v>
      </c>
      <c r="BP59" t="s" s="0">
        <v>167</v>
      </c>
      <c r="BQ59" t="s" s="0">
        <v>1771</v>
      </c>
      <c r="BR59" t="s" s="0">
        <v>1772</v>
      </c>
      <c r="BS59" t="s" s="0">
        <v>1773</v>
      </c>
      <c r="BT59" t="s" s="116">
        <f>HYPERLINK("https://www.webofscience.com/wos/woscc/full-record/WOS:001452063500001","View Record in Web of Science")</f>
        <v>128</v>
      </c>
      <c r="BU59" t="s" s="0">
        <v>171</v>
      </c>
      <c r="BV59" t="s" s="0">
        <v>129</v>
      </c>
      <c r="BW59" t="s" s="0">
        <v>130</v>
      </c>
      <c r="BX59" t="s" s="0">
        <v>131</v>
      </c>
    </row>
    <row r="60">
      <c r="A60" t="s" s="0">
        <v>283</v>
      </c>
      <c r="B60" t="s" s="0">
        <v>78</v>
      </c>
      <c r="C60" t="s" s="0">
        <v>512</v>
      </c>
      <c r="D60" t="s" s="0">
        <v>78</v>
      </c>
      <c r="E60" t="s" s="0">
        <v>1774</v>
      </c>
      <c r="F60" t="s" s="0">
        <v>1775</v>
      </c>
      <c r="G60" t="s" s="0">
        <v>1776</v>
      </c>
      <c r="H60" t="s" s="0">
        <v>84</v>
      </c>
      <c r="I60" t="s" s="0">
        <v>85</v>
      </c>
      <c r="J60" t="s" s="0">
        <v>1777</v>
      </c>
      <c r="K60" t="s" s="0">
        <v>1778</v>
      </c>
      <c r="L60" t="s" s="0">
        <v>1779</v>
      </c>
      <c r="M60" t="s" s="0">
        <v>1779</v>
      </c>
      <c r="N60" t="s" s="0">
        <v>1780</v>
      </c>
      <c r="O60" t="s" s="0">
        <v>1781</v>
      </c>
      <c r="P60" t="s" s="0">
        <v>1782</v>
      </c>
      <c r="Q60" t="s" s="0">
        <v>93</v>
      </c>
      <c r="R60" t="s" s="0">
        <v>84</v>
      </c>
      <c r="S60" t="s" s="0">
        <v>84</v>
      </c>
      <c r="T60" t="s" s="0">
        <v>84</v>
      </c>
      <c r="U60" t="s" s="0">
        <v>84</v>
      </c>
      <c r="V60" t="s" s="0">
        <v>1783</v>
      </c>
      <c r="W60" t="s" s="0">
        <v>1784</v>
      </c>
      <c r="X60" t="s" s="0">
        <v>84</v>
      </c>
      <c r="Y60" t="s" s="0">
        <v>84</v>
      </c>
      <c r="Z60" t="s" s="0">
        <v>96</v>
      </c>
      <c r="AA60" t="s" s="0">
        <v>97</v>
      </c>
      <c r="AB60" t="s" s="0">
        <v>84</v>
      </c>
      <c r="AC60" t="s" s="0">
        <v>84</v>
      </c>
      <c r="AD60" t="s" s="0">
        <v>84</v>
      </c>
      <c r="AE60" t="s" s="0">
        <v>84</v>
      </c>
      <c r="AF60" t="s" s="0">
        <v>84</v>
      </c>
      <c r="AG60" t="s" s="0">
        <v>84</v>
      </c>
      <c r="AH60" t="s" s="0">
        <v>1785</v>
      </c>
      <c r="AI60" t="s" s="0">
        <v>1786</v>
      </c>
      <c r="AJ60" t="s" s="0">
        <v>1787</v>
      </c>
      <c r="AK60" t="s" s="0">
        <v>84</v>
      </c>
      <c r="AL60" t="s" s="0">
        <v>1788</v>
      </c>
      <c r="AM60" t="s" s="0">
        <v>421</v>
      </c>
      <c r="AN60" t="s" s="0">
        <v>1748</v>
      </c>
      <c r="AO60" t="s" s="0">
        <v>549</v>
      </c>
      <c r="AP60" t="s" s="0">
        <v>1789</v>
      </c>
      <c r="AQ60" t="s" s="0">
        <v>106</v>
      </c>
      <c r="AR60" t="s" s="0">
        <v>107</v>
      </c>
      <c r="AS60" t="s" s="0">
        <v>108</v>
      </c>
      <c r="AT60" t="s" s="0">
        <v>1790</v>
      </c>
      <c r="AU60" t="s" s="0">
        <v>1791</v>
      </c>
      <c r="AV60" t="s" s="0">
        <v>84</v>
      </c>
      <c r="AW60" t="s" s="0">
        <v>1784</v>
      </c>
      <c r="AX60" t="s" s="0">
        <v>1792</v>
      </c>
      <c r="AY60" t="s" s="0">
        <v>1793</v>
      </c>
      <c r="AZ60" t="s" s="0">
        <v>338</v>
      </c>
      <c r="BA60" t="s" s="0">
        <v>1794</v>
      </c>
      <c r="BB60" t="s" s="0">
        <v>1795</v>
      </c>
      <c r="BC60" t="s" s="0">
        <v>84</v>
      </c>
      <c r="BD60" t="s" s="0">
        <v>84</v>
      </c>
      <c r="BE60" t="s" s="0">
        <v>84</v>
      </c>
      <c r="BF60" t="s" s="0">
        <v>84</v>
      </c>
      <c r="BG60" t="s" s="0">
        <v>1796</v>
      </c>
      <c r="BH60" t="s" s="0">
        <v>1797</v>
      </c>
      <c r="BI60" t="s" s="0">
        <v>84</v>
      </c>
      <c r="BJ60" t="s" s="0">
        <v>1798</v>
      </c>
      <c r="BK60" t="s" s="117">
        <f>HYPERLINK("http://dx.doi.org/10.1038/s41586-024-08338-4","http://dx.doi.org/10.1038/s41586-024-08338-4")</f>
        <v>1799</v>
      </c>
      <c r="BL60" t="s" s="0">
        <v>84</v>
      </c>
      <c r="BM60" t="s" s="0">
        <v>947</v>
      </c>
      <c r="BN60" t="s" s="0">
        <v>549</v>
      </c>
      <c r="BO60" t="s" s="0">
        <v>544</v>
      </c>
      <c r="BP60" t="s" s="0">
        <v>545</v>
      </c>
      <c r="BQ60" t="s" s="0">
        <v>1800</v>
      </c>
      <c r="BR60" t="s" s="0">
        <v>1801</v>
      </c>
      <c r="BS60" t="s" s="0">
        <v>1802</v>
      </c>
      <c r="BT60" t="s" s="118">
        <f>HYPERLINK("https://www.webofscience.com/wos/woscc/full-record/WOS:001401945900001","View Record in Web of Science")</f>
        <v>128</v>
      </c>
      <c r="BU60" t="s" s="0">
        <v>84</v>
      </c>
      <c r="BV60" t="s" s="0">
        <v>84</v>
      </c>
      <c r="BW60" t="s" s="0">
        <v>84</v>
      </c>
      <c r="BX60" t="s" s="0">
        <v>131</v>
      </c>
    </row>
    <row r="61">
      <c r="A61" t="s" s="0">
        <v>208</v>
      </c>
      <c r="B61" t="s" s="0">
        <v>78</v>
      </c>
      <c r="C61" t="s" s="0">
        <v>228</v>
      </c>
      <c r="D61" t="s" s="0">
        <v>78</v>
      </c>
      <c r="E61" t="s" s="0">
        <v>1803</v>
      </c>
      <c r="F61" t="s" s="0">
        <v>1804</v>
      </c>
      <c r="G61" t="s" s="0">
        <v>1805</v>
      </c>
      <c r="H61" t="s" s="0">
        <v>84</v>
      </c>
      <c r="I61" t="s" s="0">
        <v>85</v>
      </c>
      <c r="J61" t="s" s="0">
        <v>1806</v>
      </c>
      <c r="K61" t="s" s="0">
        <v>485</v>
      </c>
      <c r="L61" t="s" s="0">
        <v>84</v>
      </c>
      <c r="M61" t="s" s="0">
        <v>84</v>
      </c>
      <c r="N61" t="s" s="0">
        <v>84</v>
      </c>
      <c r="O61" t="s" s="0">
        <v>1807</v>
      </c>
      <c r="P61" t="s" s="0">
        <v>1808</v>
      </c>
      <c r="Q61" t="s" s="0">
        <v>93</v>
      </c>
      <c r="R61" t="s" s="0">
        <v>84</v>
      </c>
      <c r="S61" t="s" s="0">
        <v>84</v>
      </c>
      <c r="T61" t="s" s="0">
        <v>84</v>
      </c>
      <c r="U61" t="s" s="0">
        <v>84</v>
      </c>
      <c r="V61" t="s" s="0">
        <v>1809</v>
      </c>
      <c r="W61" t="s" s="0">
        <v>1810</v>
      </c>
      <c r="X61" t="s" s="0">
        <v>84</v>
      </c>
      <c r="Y61" t="s" s="0">
        <v>84</v>
      </c>
      <c r="Z61" t="s" s="0">
        <v>96</v>
      </c>
      <c r="AA61" t="s" s="0">
        <v>97</v>
      </c>
      <c r="AB61" t="s" s="0">
        <v>84</v>
      </c>
      <c r="AC61" t="s" s="0">
        <v>84</v>
      </c>
      <c r="AD61" t="s" s="0">
        <v>84</v>
      </c>
      <c r="AE61" t="s" s="0">
        <v>84</v>
      </c>
      <c r="AF61" t="s" s="0">
        <v>84</v>
      </c>
      <c r="AG61" t="s" s="0">
        <v>84</v>
      </c>
      <c r="AH61" t="s" s="0">
        <v>1811</v>
      </c>
      <c r="AI61" t="s" s="0">
        <v>492</v>
      </c>
      <c r="AJ61" t="s" s="0">
        <v>1812</v>
      </c>
      <c r="AK61" t="s" s="0">
        <v>84</v>
      </c>
      <c r="AL61" t="s" s="0">
        <v>494</v>
      </c>
      <c r="AM61" t="s" s="0">
        <v>421</v>
      </c>
      <c r="AN61" t="s" s="0">
        <v>1033</v>
      </c>
      <c r="AO61" t="s" s="0">
        <v>1179</v>
      </c>
      <c r="AP61" t="s" s="0">
        <v>1658</v>
      </c>
      <c r="AQ61" t="s" s="0">
        <v>498</v>
      </c>
      <c r="AR61" t="s" s="0">
        <v>499</v>
      </c>
      <c r="AS61" t="s" s="0">
        <v>500</v>
      </c>
      <c r="AT61" t="s" s="0">
        <v>84</v>
      </c>
      <c r="AU61" t="s" s="0">
        <v>1813</v>
      </c>
      <c r="AV61" t="s" s="0">
        <v>84</v>
      </c>
      <c r="AW61" t="s" s="0">
        <v>1814</v>
      </c>
      <c r="AX61" t="s" s="0">
        <v>1815</v>
      </c>
      <c r="AY61" t="s" s="0">
        <v>273</v>
      </c>
      <c r="AZ61" t="s" s="0">
        <v>273</v>
      </c>
      <c r="BA61" t="s" s="0">
        <v>201</v>
      </c>
      <c r="BB61" t="s" s="0">
        <v>84</v>
      </c>
      <c r="BC61" t="s" s="0">
        <v>84</v>
      </c>
      <c r="BD61" t="s" s="0">
        <v>84</v>
      </c>
      <c r="BE61" t="s" s="0">
        <v>84</v>
      </c>
      <c r="BF61" t="s" s="0">
        <v>84</v>
      </c>
      <c r="BG61" t="s" s="0">
        <v>84</v>
      </c>
      <c r="BH61" t="s" s="0">
        <v>84</v>
      </c>
      <c r="BI61" t="s" s="0">
        <v>1816</v>
      </c>
      <c r="BJ61" t="s" s="0">
        <v>1817</v>
      </c>
      <c r="BK61" t="s" s="119">
        <f>HYPERLINK("http://dx.doi.org/10.2196/53787","http://dx.doi.org/10.2196/53787")</f>
        <v>1818</v>
      </c>
      <c r="BL61" t="s" s="0">
        <v>84</v>
      </c>
      <c r="BM61" t="s" s="0">
        <v>84</v>
      </c>
      <c r="BN61" t="s" s="0">
        <v>543</v>
      </c>
      <c r="BO61" t="s" s="0">
        <v>786</v>
      </c>
      <c r="BP61" t="s" s="0">
        <v>786</v>
      </c>
      <c r="BQ61" t="s" s="0">
        <v>1819</v>
      </c>
      <c r="BR61" t="s" s="0">
        <v>1820</v>
      </c>
      <c r="BS61" t="s" s="0">
        <v>1821</v>
      </c>
      <c r="BT61" t="s" s="120">
        <f>HYPERLINK("https://www.webofscience.com/wos/woscc/full-record/WOS:001226121400001","View Record in Web of Science")</f>
        <v>128</v>
      </c>
      <c r="BU61" t="s" s="0">
        <v>171</v>
      </c>
      <c r="BV61" t="s" s="0">
        <v>129</v>
      </c>
      <c r="BW61" t="s" s="0">
        <v>130</v>
      </c>
      <c r="BX61" t="s" s="0">
        <v>131</v>
      </c>
    </row>
    <row r="62">
      <c r="A62" t="s" s="0">
        <v>208</v>
      </c>
      <c r="B62" t="s" s="0">
        <v>78</v>
      </c>
      <c r="C62" t="s" s="0">
        <v>1305</v>
      </c>
      <c r="D62" t="s" s="0">
        <v>78</v>
      </c>
      <c r="E62" t="s" s="0">
        <v>1822</v>
      </c>
      <c r="F62" t="s" s="0">
        <v>1823</v>
      </c>
      <c r="G62" t="s" s="0">
        <v>1824</v>
      </c>
      <c r="H62" t="s" s="0">
        <v>84</v>
      </c>
      <c r="I62" t="s" s="0">
        <v>85</v>
      </c>
      <c r="J62" t="s" s="0">
        <v>1825</v>
      </c>
      <c r="K62" t="s" s="0">
        <v>1826</v>
      </c>
      <c r="L62" t="s" s="0">
        <v>1827</v>
      </c>
      <c r="M62" t="s" s="0">
        <v>1828</v>
      </c>
      <c r="N62" t="s" s="0">
        <v>1829</v>
      </c>
      <c r="O62" t="s" s="0">
        <v>1830</v>
      </c>
      <c r="P62" t="s" s="0">
        <v>1831</v>
      </c>
      <c r="Q62" t="s" s="0">
        <v>93</v>
      </c>
      <c r="R62" t="s" s="0">
        <v>84</v>
      </c>
      <c r="S62" t="s" s="0">
        <v>84</v>
      </c>
      <c r="T62" t="s" s="0">
        <v>84</v>
      </c>
      <c r="U62" t="s" s="0">
        <v>84</v>
      </c>
      <c r="V62" t="s" s="0">
        <v>1832</v>
      </c>
      <c r="W62" t="s" s="0">
        <v>258</v>
      </c>
      <c r="X62" t="s" s="0">
        <v>84</v>
      </c>
      <c r="Y62" t="s" s="0">
        <v>84</v>
      </c>
      <c r="Z62" t="s" s="0">
        <v>96</v>
      </c>
      <c r="AA62" t="s" s="0">
        <v>97</v>
      </c>
      <c r="AB62" t="s" s="0">
        <v>84</v>
      </c>
      <c r="AC62" t="s" s="0">
        <v>84</v>
      </c>
      <c r="AD62" t="s" s="0">
        <v>84</v>
      </c>
      <c r="AE62" t="s" s="0">
        <v>84</v>
      </c>
      <c r="AF62" t="s" s="0">
        <v>84</v>
      </c>
      <c r="AG62" t="s" s="0">
        <v>1833</v>
      </c>
      <c r="AH62" t="s" s="0">
        <v>1834</v>
      </c>
      <c r="AI62" t="s" s="0">
        <v>1835</v>
      </c>
      <c r="AJ62" t="s" s="0">
        <v>1836</v>
      </c>
      <c r="AK62" t="s" s="0">
        <v>84</v>
      </c>
      <c r="AL62" t="s" s="0">
        <v>1837</v>
      </c>
      <c r="AM62" t="s" s="0">
        <v>421</v>
      </c>
      <c r="AN62" t="s" s="0">
        <v>1605</v>
      </c>
      <c r="AO62" t="s" s="0">
        <v>80</v>
      </c>
      <c r="AP62" t="s" s="0">
        <v>1113</v>
      </c>
      <c r="AQ62" t="s" s="0">
        <v>268</v>
      </c>
      <c r="AR62" t="s" s="0">
        <v>269</v>
      </c>
      <c r="AS62" t="s" s="0">
        <v>270</v>
      </c>
      <c r="AT62" t="s" s="0">
        <v>271</v>
      </c>
      <c r="AU62" t="s" s="0">
        <v>84</v>
      </c>
      <c r="AV62" t="s" s="0">
        <v>84</v>
      </c>
      <c r="AW62" t="s" s="0">
        <v>258</v>
      </c>
      <c r="AX62" t="s" s="0">
        <v>272</v>
      </c>
      <c r="AY62" t="s" s="0">
        <v>114</v>
      </c>
      <c r="AZ62" t="s" s="0">
        <v>114</v>
      </c>
      <c r="BA62" t="s" s="0">
        <v>122</v>
      </c>
      <c r="BB62" t="s" s="0">
        <v>84</v>
      </c>
      <c r="BC62" t="s" s="0">
        <v>84</v>
      </c>
      <c r="BD62" t="s" s="0">
        <v>84</v>
      </c>
      <c r="BE62" t="s" s="0">
        <v>84</v>
      </c>
      <c r="BF62" t="s" s="0">
        <v>84</v>
      </c>
      <c r="BG62" t="s" s="0">
        <v>1838</v>
      </c>
      <c r="BH62" t="s" s="0">
        <v>1839</v>
      </c>
      <c r="BI62" t="s" s="0">
        <v>84</v>
      </c>
      <c r="BJ62" t="s" s="0">
        <v>1840</v>
      </c>
      <c r="BK62" t="s" s="121">
        <f>HYPERLINK("http://dx.doi.org/10.1109/ACCESS.2023.3285596","http://dx.doi.org/10.1109/ACCESS.2023.3285596")</f>
        <v>1841</v>
      </c>
      <c r="BL62" t="s" s="0">
        <v>84</v>
      </c>
      <c r="BM62" t="s" s="0">
        <v>84</v>
      </c>
      <c r="BN62" t="s" s="0">
        <v>424</v>
      </c>
      <c r="BO62" t="s" s="0">
        <v>279</v>
      </c>
      <c r="BP62" t="s" s="0">
        <v>280</v>
      </c>
      <c r="BQ62" t="s" s="0">
        <v>1842</v>
      </c>
      <c r="BR62" t="s" s="0">
        <v>84</v>
      </c>
      <c r="BS62" t="s" s="0">
        <v>1843</v>
      </c>
      <c r="BT62" t="s" s="122">
        <f>HYPERLINK("https://www.webofscience.com/wos/woscc/full-record/WOS:001020255700001","View Record in Web of Science")</f>
        <v>128</v>
      </c>
      <c r="BU62" t="s" s="0">
        <v>900</v>
      </c>
      <c r="BV62" t="s" s="0">
        <v>84</v>
      </c>
      <c r="BW62" t="s" s="0">
        <v>84</v>
      </c>
      <c r="BX62" t="s" s="0">
        <v>131</v>
      </c>
    </row>
    <row r="63">
      <c r="A63" t="s" s="0">
        <v>208</v>
      </c>
      <c r="B63" t="s" s="0">
        <v>78</v>
      </c>
      <c r="C63" t="s" s="0">
        <v>116</v>
      </c>
      <c r="D63" t="s" s="0">
        <v>78</v>
      </c>
      <c r="E63" t="s" s="0">
        <v>1844</v>
      </c>
      <c r="F63" t="s" s="0">
        <v>1845</v>
      </c>
      <c r="G63" t="s" s="0">
        <v>1846</v>
      </c>
      <c r="H63" t="s" s="0">
        <v>84</v>
      </c>
      <c r="I63" t="s" s="0">
        <v>85</v>
      </c>
      <c r="J63" t="s" s="0">
        <v>1847</v>
      </c>
      <c r="K63" t="s" s="0">
        <v>1848</v>
      </c>
      <c r="L63" t="s" s="0">
        <v>84</v>
      </c>
      <c r="M63" t="s" s="0">
        <v>84</v>
      </c>
      <c r="N63" t="s" s="0">
        <v>84</v>
      </c>
      <c r="O63" t="s" s="0">
        <v>1849</v>
      </c>
      <c r="P63" t="s" s="0">
        <v>1850</v>
      </c>
      <c r="Q63" t="s" s="0">
        <v>93</v>
      </c>
      <c r="R63" t="s" s="0">
        <v>84</v>
      </c>
      <c r="S63" t="s" s="0">
        <v>84</v>
      </c>
      <c r="T63" t="s" s="0">
        <v>84</v>
      </c>
      <c r="U63" t="s" s="0">
        <v>84</v>
      </c>
      <c r="V63" t="s" s="0">
        <v>1851</v>
      </c>
      <c r="W63" t="s" s="0">
        <v>1852</v>
      </c>
      <c r="X63" t="s" s="0">
        <v>84</v>
      </c>
      <c r="Y63" t="s" s="0">
        <v>84</v>
      </c>
      <c r="Z63" t="s" s="0">
        <v>96</v>
      </c>
      <c r="AA63" t="s" s="0">
        <v>97</v>
      </c>
      <c r="AB63" t="s" s="0">
        <v>84</v>
      </c>
      <c r="AC63" t="s" s="0">
        <v>84</v>
      </c>
      <c r="AD63" t="s" s="0">
        <v>84</v>
      </c>
      <c r="AE63" t="s" s="0">
        <v>84</v>
      </c>
      <c r="AF63" t="s" s="0">
        <v>84</v>
      </c>
      <c r="AG63" t="s" s="0">
        <v>1853</v>
      </c>
      <c r="AH63" t="s" s="0">
        <v>1854</v>
      </c>
      <c r="AI63" t="s" s="0">
        <v>1855</v>
      </c>
      <c r="AJ63" t="s" s="0">
        <v>1856</v>
      </c>
      <c r="AK63" t="s" s="0">
        <v>84</v>
      </c>
      <c r="AL63" t="s" s="0">
        <v>378</v>
      </c>
      <c r="AM63" t="s" s="0">
        <v>857</v>
      </c>
      <c r="AN63" t="s" s="0">
        <v>1403</v>
      </c>
      <c r="AO63" t="s" s="0">
        <v>237</v>
      </c>
      <c r="AP63" t="s" s="0">
        <v>1192</v>
      </c>
      <c r="AQ63" t="s" s="0">
        <v>1857</v>
      </c>
      <c r="AR63" t="s" s="0">
        <v>1858</v>
      </c>
      <c r="AS63" t="s" s="0">
        <v>1859</v>
      </c>
      <c r="AT63" t="s" s="0">
        <v>1860</v>
      </c>
      <c r="AU63" t="s" s="0">
        <v>84</v>
      </c>
      <c r="AV63" t="s" s="0">
        <v>84</v>
      </c>
      <c r="AW63" t="s" s="0">
        <v>1861</v>
      </c>
      <c r="AX63" t="s" s="0">
        <v>1862</v>
      </c>
      <c r="AY63" t="s" s="0">
        <v>1863</v>
      </c>
      <c r="AZ63" t="s" s="0">
        <v>273</v>
      </c>
      <c r="BA63" t="s" s="0">
        <v>1240</v>
      </c>
      <c r="BB63" t="s" s="0">
        <v>1864</v>
      </c>
      <c r="BC63" t="s" s="0">
        <v>84</v>
      </c>
      <c r="BD63" t="s" s="0">
        <v>84</v>
      </c>
      <c r="BE63" t="s" s="0">
        <v>84</v>
      </c>
      <c r="BF63" t="s" s="0">
        <v>84</v>
      </c>
      <c r="BG63" t="s" s="0">
        <v>1865</v>
      </c>
      <c r="BH63" t="s" s="0">
        <v>652</v>
      </c>
      <c r="BI63" t="s" s="0">
        <v>84</v>
      </c>
      <c r="BJ63" t="s" s="0">
        <v>1866</v>
      </c>
      <c r="BK63" t="s" s="123">
        <f>HYPERLINK("http://dx.doi.org/10.1016/j.diii.2024.04.003","http://dx.doi.org/10.1016/j.diii.2024.04.003")</f>
        <v>1867</v>
      </c>
      <c r="BL63" t="s" s="0">
        <v>84</v>
      </c>
      <c r="BM63" t="s" s="0">
        <v>894</v>
      </c>
      <c r="BN63" t="s" s="0">
        <v>306</v>
      </c>
      <c r="BO63" t="s" s="0">
        <v>605</v>
      </c>
      <c r="BP63" t="s" s="0">
        <v>605</v>
      </c>
      <c r="BQ63" t="s" s="0">
        <v>1868</v>
      </c>
      <c r="BR63" t="s" s="0">
        <v>1869</v>
      </c>
      <c r="BS63" t="s" s="0">
        <v>1870</v>
      </c>
      <c r="BT63" t="s" s="124">
        <f>HYPERLINK("https://www.webofscience.com/wos/woscc/full-record/WOS:001262014700001","View Record in Web of Science")</f>
        <v>128</v>
      </c>
      <c r="BU63" t="s" s="0">
        <v>205</v>
      </c>
      <c r="BV63" t="s" s="0">
        <v>129</v>
      </c>
      <c r="BW63" t="s" s="0">
        <v>130</v>
      </c>
      <c r="BX63" t="s" s="0">
        <v>131</v>
      </c>
    </row>
    <row r="64">
      <c r="A64" t="s" s="0">
        <v>237</v>
      </c>
      <c r="B64" t="s" s="0">
        <v>78</v>
      </c>
      <c r="C64" t="s" s="0">
        <v>161</v>
      </c>
      <c r="D64" t="s" s="0">
        <v>78</v>
      </c>
      <c r="E64" t="s" s="0">
        <v>1871</v>
      </c>
      <c r="F64" t="s" s="0">
        <v>1872</v>
      </c>
      <c r="G64" t="s" s="0">
        <v>1873</v>
      </c>
      <c r="H64" t="s" s="0">
        <v>84</v>
      </c>
      <c r="I64" t="s" s="0">
        <v>85</v>
      </c>
      <c r="J64" t="s" s="0">
        <v>1874</v>
      </c>
      <c r="K64" t="s" s="0">
        <v>1875</v>
      </c>
      <c r="L64" t="s" s="0">
        <v>84</v>
      </c>
      <c r="M64" t="s" s="0">
        <v>84</v>
      </c>
      <c r="N64" t="s" s="0">
        <v>84</v>
      </c>
      <c r="O64" t="s" s="0">
        <v>1876</v>
      </c>
      <c r="P64" t="s" s="0">
        <v>1877</v>
      </c>
      <c r="Q64" t="s" s="0">
        <v>93</v>
      </c>
      <c r="R64" t="s" s="0">
        <v>84</v>
      </c>
      <c r="S64" t="s" s="0">
        <v>84</v>
      </c>
      <c r="T64" t="s" s="0">
        <v>84</v>
      </c>
      <c r="U64" t="s" s="0">
        <v>84</v>
      </c>
      <c r="V64" t="s" s="0">
        <v>1878</v>
      </c>
      <c r="W64" t="s" s="0">
        <v>1879</v>
      </c>
      <c r="X64" t="s" s="0">
        <v>84</v>
      </c>
      <c r="Y64" t="s" s="0">
        <v>84</v>
      </c>
      <c r="Z64" t="s" s="0">
        <v>96</v>
      </c>
      <c r="AA64" t="s" s="0">
        <v>97</v>
      </c>
      <c r="AB64" t="s" s="0">
        <v>84</v>
      </c>
      <c r="AC64" t="s" s="0">
        <v>84</v>
      </c>
      <c r="AD64" t="s" s="0">
        <v>84</v>
      </c>
      <c r="AE64" t="s" s="0">
        <v>84</v>
      </c>
      <c r="AF64" t="s" s="0">
        <v>84</v>
      </c>
      <c r="AG64" t="s" s="0">
        <v>1880</v>
      </c>
      <c r="AH64" t="s" s="0">
        <v>1881</v>
      </c>
      <c r="AI64" t="s" s="0">
        <v>1882</v>
      </c>
      <c r="AJ64" t="s" s="0">
        <v>1883</v>
      </c>
      <c r="AK64" t="s" s="0">
        <v>84</v>
      </c>
      <c r="AL64" t="s" s="0">
        <v>689</v>
      </c>
      <c r="AM64" t="s" s="0">
        <v>1884</v>
      </c>
      <c r="AN64" t="s" s="0">
        <v>1885</v>
      </c>
      <c r="AO64" t="s" s="0">
        <v>116</v>
      </c>
      <c r="AP64" t="s" s="0">
        <v>1886</v>
      </c>
      <c r="AQ64" t="s" s="0">
        <v>1297</v>
      </c>
      <c r="AR64" t="s" s="0">
        <v>1298</v>
      </c>
      <c r="AS64" t="s" s="0">
        <v>1299</v>
      </c>
      <c r="AT64" t="s" s="0">
        <v>1887</v>
      </c>
      <c r="AU64" t="s" s="0">
        <v>1888</v>
      </c>
      <c r="AV64" t="s" s="0">
        <v>84</v>
      </c>
      <c r="AW64" t="s" s="0">
        <v>1889</v>
      </c>
      <c r="AX64" t="s" s="0">
        <v>1890</v>
      </c>
      <c r="AY64" t="s" s="0">
        <v>1478</v>
      </c>
      <c r="AZ64" t="s" s="0">
        <v>273</v>
      </c>
      <c r="BA64" t="s" s="0">
        <v>979</v>
      </c>
      <c r="BB64" t="s" s="0">
        <v>549</v>
      </c>
      <c r="BC64" t="s" s="0">
        <v>84</v>
      </c>
      <c r="BD64" t="s" s="0">
        <v>84</v>
      </c>
      <c r="BE64" t="s" s="0">
        <v>84</v>
      </c>
      <c r="BF64" t="s" s="0">
        <v>84</v>
      </c>
      <c r="BG64" t="s" s="0">
        <v>1891</v>
      </c>
      <c r="BH64" t="s" s="0">
        <v>1892</v>
      </c>
      <c r="BI64" t="s" s="0">
        <v>84</v>
      </c>
      <c r="BJ64" t="s" s="0">
        <v>1893</v>
      </c>
      <c r="BK64" t="s" s="125">
        <f>HYPERLINK("http://dx.doi.org/10.1007/s11604-024-01552-0","http://dx.doi.org/10.1007/s11604-024-01552-0")</f>
        <v>1894</v>
      </c>
      <c r="BL64" t="s" s="0">
        <v>84</v>
      </c>
      <c r="BM64" t="s" s="0">
        <v>1112</v>
      </c>
      <c r="BN64" t="s" s="0">
        <v>201</v>
      </c>
      <c r="BO64" t="s" s="0">
        <v>605</v>
      </c>
      <c r="BP64" t="s" s="0">
        <v>605</v>
      </c>
      <c r="BQ64" t="s" s="0">
        <v>1895</v>
      </c>
      <c r="BR64" t="s" s="0">
        <v>1896</v>
      </c>
      <c r="BS64" t="s" s="0">
        <v>1897</v>
      </c>
      <c r="BT64" t="s" s="126">
        <f>HYPERLINK("https://www.webofscience.com/wos/woscc/full-record/WOS:001194855800001","View Record in Web of Science")</f>
        <v>128</v>
      </c>
      <c r="BU64" t="s" s="0">
        <v>1898</v>
      </c>
      <c r="BV64" t="s" s="0">
        <v>129</v>
      </c>
      <c r="BW64" t="s" s="0">
        <v>130</v>
      </c>
      <c r="BX64" t="s" s="0">
        <v>131</v>
      </c>
    </row>
    <row r="65">
      <c r="A65" t="s" s="0">
        <v>80</v>
      </c>
      <c r="B65" t="s" s="0">
        <v>78</v>
      </c>
      <c r="C65" t="s" s="0">
        <v>1192</v>
      </c>
      <c r="D65" t="s" s="0">
        <v>78</v>
      </c>
      <c r="E65" t="s" s="0">
        <v>1899</v>
      </c>
      <c r="F65" t="s" s="0">
        <v>1900</v>
      </c>
      <c r="G65" t="s" s="0">
        <v>1901</v>
      </c>
      <c r="H65" t="s" s="0">
        <v>84</v>
      </c>
      <c r="I65" t="s" s="0">
        <v>212</v>
      </c>
      <c r="J65" t="s" s="0">
        <v>1902</v>
      </c>
      <c r="K65" t="s" s="0">
        <v>1903</v>
      </c>
      <c r="L65" t="s" s="0">
        <v>84</v>
      </c>
      <c r="M65" t="s" s="0">
        <v>84</v>
      </c>
      <c r="N65" t="s" s="0">
        <v>84</v>
      </c>
      <c r="O65" t="s" s="0">
        <v>1904</v>
      </c>
      <c r="P65" t="s" s="0">
        <v>1905</v>
      </c>
      <c r="Q65" t="s" s="0">
        <v>93</v>
      </c>
      <c r="R65" t="s" s="0">
        <v>84</v>
      </c>
      <c r="S65" t="s" s="0">
        <v>1906</v>
      </c>
      <c r="T65" t="s" s="0">
        <v>84</v>
      </c>
      <c r="U65" t="s" s="0">
        <v>84</v>
      </c>
      <c r="V65" t="s" s="0">
        <v>1907</v>
      </c>
      <c r="W65" t="s" s="0">
        <v>1908</v>
      </c>
      <c r="X65" t="s" s="0">
        <v>84</v>
      </c>
      <c r="Y65" t="s" s="0">
        <v>84</v>
      </c>
      <c r="Z65" t="s" s="0">
        <v>96</v>
      </c>
      <c r="AA65" t="s" s="0">
        <v>97</v>
      </c>
      <c r="AB65" t="s" s="0">
        <v>84</v>
      </c>
      <c r="AC65" t="s" s="0">
        <v>84</v>
      </c>
      <c r="AD65" t="s" s="0">
        <v>84</v>
      </c>
      <c r="AE65" t="s" s="0">
        <v>84</v>
      </c>
      <c r="AF65" t="s" s="0">
        <v>84</v>
      </c>
      <c r="AG65" t="s" s="0">
        <v>84</v>
      </c>
      <c r="AH65" t="s" s="0">
        <v>1909</v>
      </c>
      <c r="AI65" t="s" s="0">
        <v>1910</v>
      </c>
      <c r="AJ65" t="s" s="0">
        <v>1911</v>
      </c>
      <c r="AK65" t="s" s="0">
        <v>84</v>
      </c>
      <c r="AL65" t="s" s="0">
        <v>562</v>
      </c>
      <c r="AM65" t="s" s="0">
        <v>1912</v>
      </c>
      <c r="AN65" t="s" s="0">
        <v>1748</v>
      </c>
      <c r="AO65" t="s" s="0">
        <v>283</v>
      </c>
      <c r="AP65" t="s" s="0">
        <v>247</v>
      </c>
      <c r="AQ65" t="s" s="0">
        <v>532</v>
      </c>
      <c r="AR65" t="s" s="0">
        <v>533</v>
      </c>
      <c r="AS65" t="s" s="0">
        <v>534</v>
      </c>
      <c r="AT65" t="s" s="0">
        <v>1913</v>
      </c>
      <c r="AU65" t="s" s="0">
        <v>84</v>
      </c>
      <c r="AV65" t="s" s="0">
        <v>84</v>
      </c>
      <c r="AW65" t="s" s="0">
        <v>1908</v>
      </c>
      <c r="AX65" t="s" s="0">
        <v>1914</v>
      </c>
      <c r="AY65" t="s" s="0">
        <v>1915</v>
      </c>
      <c r="AZ65" t="s" s="0">
        <v>273</v>
      </c>
      <c r="BA65" t="s" s="0">
        <v>80</v>
      </c>
      <c r="BB65" t="s" s="0">
        <v>116</v>
      </c>
      <c r="BC65" t="s" s="0">
        <v>84</v>
      </c>
      <c r="BD65" t="s" s="0">
        <v>84</v>
      </c>
      <c r="BE65" t="s" s="0">
        <v>84</v>
      </c>
      <c r="BF65" t="s" s="0">
        <v>84</v>
      </c>
      <c r="BG65" t="s" s="0">
        <v>84</v>
      </c>
      <c r="BH65" t="s" s="0">
        <v>84</v>
      </c>
      <c r="BI65" t="s" s="0">
        <v>1916</v>
      </c>
      <c r="BJ65" t="s" s="0">
        <v>1917</v>
      </c>
      <c r="BK65" t="s" s="127">
        <f>HYPERLINK("http://dx.doi.org/10.1016/j.patter.2024.101028","http://dx.doi.org/10.1016/j.patter.2024.101028")</f>
        <v>1918</v>
      </c>
      <c r="BL65" t="s" s="0">
        <v>84</v>
      </c>
      <c r="BM65" t="s" s="0">
        <v>1610</v>
      </c>
      <c r="BN65" t="s" s="0">
        <v>306</v>
      </c>
      <c r="BO65" t="s" s="0">
        <v>1919</v>
      </c>
      <c r="BP65" t="s" s="0">
        <v>574</v>
      </c>
      <c r="BQ65" t="s" s="0">
        <v>1920</v>
      </c>
      <c r="BR65" t="s" s="0">
        <v>1921</v>
      </c>
      <c r="BS65" t="s" s="0">
        <v>1922</v>
      </c>
      <c r="BT65" t="s" s="128">
        <f>HYPERLINK("https://www.webofscience.com/wos/woscc/full-record/WOS:001293303300001","View Record in Web of Science")</f>
        <v>128</v>
      </c>
      <c r="BU65" t="s" s="0">
        <v>171</v>
      </c>
      <c r="BV65" t="s" s="0">
        <v>84</v>
      </c>
      <c r="BW65" t="s" s="0">
        <v>84</v>
      </c>
      <c r="BX65" t="s" s="0">
        <v>131</v>
      </c>
    </row>
    <row r="66">
      <c r="A66" t="s" s="0">
        <v>237</v>
      </c>
      <c r="B66" t="s" s="0">
        <v>78</v>
      </c>
      <c r="C66" t="s" s="0">
        <v>283</v>
      </c>
      <c r="D66" t="s" s="0">
        <v>78</v>
      </c>
      <c r="E66" t="s" s="0">
        <v>1923</v>
      </c>
      <c r="F66" t="s" s="0">
        <v>1924</v>
      </c>
      <c r="G66" t="s" s="0">
        <v>1925</v>
      </c>
      <c r="H66" t="s" s="0">
        <v>84</v>
      </c>
      <c r="I66" t="s" s="0">
        <v>446</v>
      </c>
      <c r="J66" t="s" s="0">
        <v>1926</v>
      </c>
      <c r="K66" t="s" s="0">
        <v>1927</v>
      </c>
      <c r="L66" t="s" s="0">
        <v>84</v>
      </c>
      <c r="M66" t="s" s="0">
        <v>84</v>
      </c>
      <c r="N66" t="s" s="0">
        <v>84</v>
      </c>
      <c r="O66" t="s" s="0">
        <v>1928</v>
      </c>
      <c r="P66" t="s" s="0">
        <v>1929</v>
      </c>
      <c r="Q66" t="s" s="0">
        <v>93</v>
      </c>
      <c r="R66" t="s" s="0">
        <v>84</v>
      </c>
      <c r="S66" t="s" s="0">
        <v>84</v>
      </c>
      <c r="T66" t="s" s="0">
        <v>84</v>
      </c>
      <c r="U66" t="s" s="0">
        <v>84</v>
      </c>
      <c r="V66" t="s" s="0">
        <v>1930</v>
      </c>
      <c r="W66" t="s" s="0">
        <v>1931</v>
      </c>
      <c r="X66" t="s" s="0">
        <v>84</v>
      </c>
      <c r="Y66" t="s" s="0">
        <v>84</v>
      </c>
      <c r="Z66" t="s" s="0">
        <v>96</v>
      </c>
      <c r="AA66" t="s" s="0">
        <v>97</v>
      </c>
      <c r="AB66" t="s" s="0">
        <v>84</v>
      </c>
      <c r="AC66" t="s" s="0">
        <v>84</v>
      </c>
      <c r="AD66" t="s" s="0">
        <v>84</v>
      </c>
      <c r="AE66" t="s" s="0">
        <v>84</v>
      </c>
      <c r="AF66" t="s" s="0">
        <v>84</v>
      </c>
      <c r="AG66" t="s" s="0">
        <v>1932</v>
      </c>
      <c r="AH66" t="s" s="0">
        <v>1933</v>
      </c>
      <c r="AI66" t="s" s="0">
        <v>1934</v>
      </c>
      <c r="AJ66" t="s" s="0">
        <v>1935</v>
      </c>
      <c r="AK66" t="s" s="0">
        <v>84</v>
      </c>
      <c r="AL66" t="s" s="0">
        <v>1936</v>
      </c>
      <c r="AM66" t="s" s="0">
        <v>1912</v>
      </c>
      <c r="AN66" t="s" s="0">
        <v>1658</v>
      </c>
      <c r="AO66" t="s" s="0">
        <v>1687</v>
      </c>
      <c r="AP66" t="s" s="0">
        <v>1937</v>
      </c>
      <c r="AQ66" t="s" s="0">
        <v>1938</v>
      </c>
      <c r="AR66" t="s" s="0">
        <v>1939</v>
      </c>
      <c r="AS66" t="s" s="0">
        <v>1940</v>
      </c>
      <c r="AT66" t="s" s="0">
        <v>1941</v>
      </c>
      <c r="AU66" t="s" s="0">
        <v>1942</v>
      </c>
      <c r="AV66" t="s" s="0">
        <v>84</v>
      </c>
      <c r="AW66" t="s" s="0">
        <v>1943</v>
      </c>
      <c r="AX66" t="s" s="0">
        <v>1944</v>
      </c>
      <c r="AY66" t="s" s="0">
        <v>1945</v>
      </c>
      <c r="AZ66" t="s" s="0">
        <v>273</v>
      </c>
      <c r="BA66" t="s" s="0">
        <v>196</v>
      </c>
      <c r="BB66" t="s" s="0">
        <v>174</v>
      </c>
      <c r="BC66" t="s" s="0">
        <v>84</v>
      </c>
      <c r="BD66" t="s" s="0">
        <v>84</v>
      </c>
      <c r="BE66" t="s" s="0">
        <v>84</v>
      </c>
      <c r="BF66" t="s" s="0">
        <v>84</v>
      </c>
      <c r="BG66" t="s" s="0">
        <v>84</v>
      </c>
      <c r="BH66" t="s" s="0">
        <v>84</v>
      </c>
      <c r="BI66" t="s" s="0">
        <v>1946</v>
      </c>
      <c r="BJ66" t="s" s="0">
        <v>1947</v>
      </c>
      <c r="BK66" t="s" s="129">
        <f>HYPERLINK("http://dx.doi.org/10.1016/j.jik.2024.100517","http://dx.doi.org/10.1016/j.jik.2024.100517")</f>
        <v>1948</v>
      </c>
      <c r="BL66" t="s" s="0">
        <v>84</v>
      </c>
      <c r="BM66" t="s" s="0">
        <v>1478</v>
      </c>
      <c r="BN66" t="s" s="0">
        <v>132</v>
      </c>
      <c r="BO66" t="s" s="0">
        <v>1949</v>
      </c>
      <c r="BP66" t="s" s="0">
        <v>477</v>
      </c>
      <c r="BQ66" t="s" s="0">
        <v>1950</v>
      </c>
      <c r="BR66" t="s" s="0">
        <v>84</v>
      </c>
      <c r="BS66" t="s" s="0">
        <v>1951</v>
      </c>
      <c r="BT66" t="s" s="130">
        <f>HYPERLINK("https://www.webofscience.com/wos/woscc/full-record/WOS:001276066200001","View Record in Web of Science")</f>
        <v>128</v>
      </c>
      <c r="BU66" t="s" s="0">
        <v>171</v>
      </c>
      <c r="BV66" t="s" s="0">
        <v>129</v>
      </c>
      <c r="BW66" t="s" s="0">
        <v>130</v>
      </c>
      <c r="BX66" t="s" s="0">
        <v>131</v>
      </c>
    </row>
    <row r="67">
      <c r="A67" t="s" s="0">
        <v>208</v>
      </c>
      <c r="B67" t="s" s="0">
        <v>78</v>
      </c>
      <c r="C67" t="s" s="0">
        <v>80</v>
      </c>
      <c r="D67" t="s" s="0">
        <v>78</v>
      </c>
      <c r="E67" t="s" s="0">
        <v>1952</v>
      </c>
      <c r="F67" t="s" s="0">
        <v>1953</v>
      </c>
      <c r="G67" t="s" s="0">
        <v>1954</v>
      </c>
      <c r="H67" t="s" s="0">
        <v>84</v>
      </c>
      <c r="I67" t="s" s="0">
        <v>85</v>
      </c>
      <c r="J67" t="s" s="0">
        <v>1955</v>
      </c>
      <c r="K67" t="s" s="0">
        <v>1956</v>
      </c>
      <c r="L67" t="s" s="0">
        <v>84</v>
      </c>
      <c r="M67" t="s" s="0">
        <v>84</v>
      </c>
      <c r="N67" t="s" s="0">
        <v>84</v>
      </c>
      <c r="O67" t="s" s="0">
        <v>1957</v>
      </c>
      <c r="P67" t="s" s="0">
        <v>1958</v>
      </c>
      <c r="Q67" t="s" s="0">
        <v>93</v>
      </c>
      <c r="R67" t="s" s="0">
        <v>84</v>
      </c>
      <c r="S67" t="s" s="0">
        <v>84</v>
      </c>
      <c r="T67" t="s" s="0">
        <v>84</v>
      </c>
      <c r="U67" t="s" s="0">
        <v>84</v>
      </c>
      <c r="V67" t="s" s="0">
        <v>1959</v>
      </c>
      <c r="W67" t="s" s="0">
        <v>1960</v>
      </c>
      <c r="X67" t="s" s="0">
        <v>84</v>
      </c>
      <c r="Y67" t="s" s="0">
        <v>84</v>
      </c>
      <c r="Z67" t="s" s="0">
        <v>96</v>
      </c>
      <c r="AA67" t="s" s="0">
        <v>97</v>
      </c>
      <c r="AB67" t="s" s="0">
        <v>84</v>
      </c>
      <c r="AC67" t="s" s="0">
        <v>84</v>
      </c>
      <c r="AD67" t="s" s="0">
        <v>84</v>
      </c>
      <c r="AE67" t="s" s="0">
        <v>84</v>
      </c>
      <c r="AF67" t="s" s="0">
        <v>84</v>
      </c>
      <c r="AG67" t="s" s="0">
        <v>1961</v>
      </c>
      <c r="AH67" t="s" s="0">
        <v>1962</v>
      </c>
      <c r="AI67" t="s" s="0">
        <v>84</v>
      </c>
      <c r="AJ67" t="s" s="0">
        <v>1963</v>
      </c>
      <c r="AK67" t="s" s="0">
        <v>84</v>
      </c>
      <c r="AL67" t="s" s="0">
        <v>1473</v>
      </c>
      <c r="AM67" t="s" s="0">
        <v>1912</v>
      </c>
      <c r="AN67" t="s" s="0">
        <v>1716</v>
      </c>
      <c r="AO67" t="s" s="0">
        <v>565</v>
      </c>
      <c r="AP67" t="s" s="0">
        <v>1964</v>
      </c>
      <c r="AQ67" t="s" s="0">
        <v>154</v>
      </c>
      <c r="AR67" t="s" s="0">
        <v>155</v>
      </c>
      <c r="AS67" t="s" s="0">
        <v>156</v>
      </c>
      <c r="AT67" t="s" s="0">
        <v>84</v>
      </c>
      <c r="AU67" t="s" s="0">
        <v>1965</v>
      </c>
      <c r="AV67" t="s" s="0">
        <v>84</v>
      </c>
      <c r="AW67" t="s" s="0">
        <v>1966</v>
      </c>
      <c r="AX67" t="s" s="0">
        <v>1967</v>
      </c>
      <c r="AY67" t="s" s="0">
        <v>542</v>
      </c>
      <c r="AZ67" t="s" s="0">
        <v>273</v>
      </c>
      <c r="BA67" t="s" s="0">
        <v>201</v>
      </c>
      <c r="BB67" t="s" s="0">
        <v>439</v>
      </c>
      <c r="BC67" t="s" s="0">
        <v>84</v>
      </c>
      <c r="BD67" t="s" s="0">
        <v>84</v>
      </c>
      <c r="BE67" t="s" s="0">
        <v>84</v>
      </c>
      <c r="BF67" t="s" s="0">
        <v>84</v>
      </c>
      <c r="BG67" t="s" s="0">
        <v>84</v>
      </c>
      <c r="BH67" t="s" s="0">
        <v>84</v>
      </c>
      <c r="BI67" t="s" s="0">
        <v>1968</v>
      </c>
      <c r="BJ67" t="s" s="0">
        <v>1969</v>
      </c>
      <c r="BK67" t="s" s="131">
        <f>HYPERLINK("http://dx.doi.org/10.3390/math12101504","http://dx.doi.org/10.3390/math12101504")</f>
        <v>1970</v>
      </c>
      <c r="BL67" t="s" s="0">
        <v>84</v>
      </c>
      <c r="BM67" t="s" s="0">
        <v>84</v>
      </c>
      <c r="BN67" t="s" s="0">
        <v>1179</v>
      </c>
      <c r="BO67" t="s" s="0">
        <v>1967</v>
      </c>
      <c r="BP67" t="s" s="0">
        <v>1967</v>
      </c>
      <c r="BQ67" t="s" s="0">
        <v>1971</v>
      </c>
      <c r="BR67" t="s" s="0">
        <v>84</v>
      </c>
      <c r="BS67" t="s" s="0">
        <v>1972</v>
      </c>
      <c r="BT67" t="s" s="132">
        <f>HYPERLINK("https://www.webofscience.com/wos/woscc/full-record/WOS:001231535600001","View Record in Web of Science")</f>
        <v>128</v>
      </c>
      <c r="BU67" t="s" s="0">
        <v>577</v>
      </c>
      <c r="BV67" t="s" s="0">
        <v>129</v>
      </c>
      <c r="BW67" t="s" s="0">
        <v>130</v>
      </c>
      <c r="BX67" t="s" s="0">
        <v>131</v>
      </c>
    </row>
    <row r="68">
      <c r="A68" t="s" s="0">
        <v>283</v>
      </c>
      <c r="B68" t="s" s="0">
        <v>78</v>
      </c>
      <c r="C68" t="s" s="0">
        <v>246</v>
      </c>
      <c r="D68" t="s" s="0">
        <v>78</v>
      </c>
      <c r="E68" t="s" s="0">
        <v>1973</v>
      </c>
      <c r="F68" t="s" s="0">
        <v>1974</v>
      </c>
      <c r="G68" t="s" s="0">
        <v>1975</v>
      </c>
      <c r="H68" t="s" s="0">
        <v>84</v>
      </c>
      <c r="I68" t="s" s="0">
        <v>85</v>
      </c>
      <c r="J68" t="s" s="0">
        <v>1976</v>
      </c>
      <c r="K68" t="s" s="0">
        <v>1977</v>
      </c>
      <c r="L68" t="s" s="0">
        <v>1978</v>
      </c>
      <c r="M68" t="s" s="0">
        <v>1979</v>
      </c>
      <c r="N68" t="s" s="0">
        <v>1980</v>
      </c>
      <c r="O68" t="s" s="0">
        <v>1981</v>
      </c>
      <c r="P68" t="s" s="0">
        <v>1982</v>
      </c>
      <c r="Q68" t="s" s="0">
        <v>93</v>
      </c>
      <c r="R68" t="s" s="0">
        <v>84</v>
      </c>
      <c r="S68" t="s" s="0">
        <v>84</v>
      </c>
      <c r="T68" t="s" s="0">
        <v>84</v>
      </c>
      <c r="U68" t="s" s="0">
        <v>84</v>
      </c>
      <c r="V68" t="s" s="0">
        <v>1983</v>
      </c>
      <c r="W68" t="s" s="0">
        <v>1543</v>
      </c>
      <c r="X68" t="s" s="0">
        <v>84</v>
      </c>
      <c r="Y68" t="s" s="0">
        <v>84</v>
      </c>
      <c r="Z68" t="s" s="0">
        <v>96</v>
      </c>
      <c r="AA68" t="s" s="0">
        <v>97</v>
      </c>
      <c r="AB68" t="s" s="0">
        <v>84</v>
      </c>
      <c r="AC68" t="s" s="0">
        <v>84</v>
      </c>
      <c r="AD68" t="s" s="0">
        <v>84</v>
      </c>
      <c r="AE68" t="s" s="0">
        <v>84</v>
      </c>
      <c r="AF68" t="s" s="0">
        <v>84</v>
      </c>
      <c r="AG68" t="s" s="0">
        <v>1984</v>
      </c>
      <c r="AH68" t="s" s="0">
        <v>1985</v>
      </c>
      <c r="AI68" t="s" s="0">
        <v>1986</v>
      </c>
      <c r="AJ68" t="s" s="0">
        <v>1987</v>
      </c>
      <c r="AK68" t="s" s="0">
        <v>84</v>
      </c>
      <c r="AL68" t="s" s="0">
        <v>1988</v>
      </c>
      <c r="AM68" t="s" s="0">
        <v>1912</v>
      </c>
      <c r="AN68" t="s" s="0">
        <v>624</v>
      </c>
      <c r="AO68" t="s" s="0">
        <v>750</v>
      </c>
      <c r="AP68" t="s" s="0">
        <v>425</v>
      </c>
      <c r="AQ68" t="s" s="0">
        <v>655</v>
      </c>
      <c r="AR68" t="s" s="0">
        <v>656</v>
      </c>
      <c r="AS68" t="s" s="0">
        <v>657</v>
      </c>
      <c r="AT68" t="s" s="0">
        <v>1549</v>
      </c>
      <c r="AU68" t="s" s="0">
        <v>1550</v>
      </c>
      <c r="AV68" t="s" s="0">
        <v>84</v>
      </c>
      <c r="AW68" t="s" s="0">
        <v>1551</v>
      </c>
      <c r="AX68" t="s" s="0">
        <v>1552</v>
      </c>
      <c r="AY68" t="s" s="0">
        <v>1989</v>
      </c>
      <c r="AZ68" t="s" s="0">
        <v>273</v>
      </c>
      <c r="BA68" t="s" s="0">
        <v>340</v>
      </c>
      <c r="BB68" t="s" s="0">
        <v>80</v>
      </c>
      <c r="BC68" t="s" s="0">
        <v>1990</v>
      </c>
      <c r="BD68" t="s" s="0">
        <v>84</v>
      </c>
      <c r="BE68" t="s" s="0">
        <v>84</v>
      </c>
      <c r="BF68" t="s" s="0">
        <v>84</v>
      </c>
      <c r="BG68" t="s" s="0">
        <v>1991</v>
      </c>
      <c r="BH68" t="s" s="0">
        <v>1992</v>
      </c>
      <c r="BI68" t="s" s="0">
        <v>84</v>
      </c>
      <c r="BJ68" t="s" s="0">
        <v>1993</v>
      </c>
      <c r="BK68" t="s" s="133">
        <f>HYPERLINK("http://dx.doi.org/10.1093/eurheartj/ehad838","http://dx.doi.org/10.1093/eurheartj/ehad838")</f>
        <v>1994</v>
      </c>
      <c r="BL68" t="s" s="0">
        <v>84</v>
      </c>
      <c r="BM68" t="s" s="0">
        <v>600</v>
      </c>
      <c r="BN68" t="s" s="0">
        <v>228</v>
      </c>
      <c r="BO68" t="s" s="0">
        <v>1558</v>
      </c>
      <c r="BP68" t="s" s="0">
        <v>1559</v>
      </c>
      <c r="BQ68" t="s" s="0">
        <v>1995</v>
      </c>
      <c r="BR68" t="s" s="0">
        <v>1996</v>
      </c>
      <c r="BS68" t="s" s="0">
        <v>1997</v>
      </c>
      <c r="BT68" t="s" s="134">
        <f>HYPERLINK("https://www.webofscience.com/wos/woscc/full-record/WOS:001135440400001","View Record in Web of Science")</f>
        <v>128</v>
      </c>
      <c r="BU68" t="s" s="0">
        <v>480</v>
      </c>
      <c r="BV68" t="s" s="0">
        <v>129</v>
      </c>
      <c r="BW68" t="s" s="0">
        <v>130</v>
      </c>
      <c r="BX68" t="s" s="0">
        <v>131</v>
      </c>
    </row>
    <row r="69">
      <c r="A69" t="s" s="0">
        <v>208</v>
      </c>
      <c r="B69" t="s" s="0">
        <v>78</v>
      </c>
      <c r="C69" t="s" s="0">
        <v>543</v>
      </c>
      <c r="D69" t="s" s="0">
        <v>78</v>
      </c>
      <c r="E69" t="s" s="0">
        <v>1998</v>
      </c>
      <c r="F69" t="s" s="0">
        <v>1999</v>
      </c>
      <c r="G69" t="s" s="0">
        <v>2000</v>
      </c>
      <c r="H69" t="s" s="0">
        <v>84</v>
      </c>
      <c r="I69" t="s" s="0">
        <v>85</v>
      </c>
      <c r="J69" t="s" s="0">
        <v>2001</v>
      </c>
      <c r="K69" t="s" s="0">
        <v>2002</v>
      </c>
      <c r="L69" t="s" s="0">
        <v>2003</v>
      </c>
      <c r="M69" t="s" s="0">
        <v>2003</v>
      </c>
      <c r="N69" t="s" s="0">
        <v>2004</v>
      </c>
      <c r="O69" t="s" s="0">
        <v>2005</v>
      </c>
      <c r="P69" t="s" s="0">
        <v>2006</v>
      </c>
      <c r="Q69" t="s" s="0">
        <v>93</v>
      </c>
      <c r="R69" t="s" s="0">
        <v>84</v>
      </c>
      <c r="S69" t="s" s="0">
        <v>84</v>
      </c>
      <c r="T69" t="s" s="0">
        <v>84</v>
      </c>
      <c r="U69" t="s" s="0">
        <v>84</v>
      </c>
      <c r="V69" t="s" s="0">
        <v>2007</v>
      </c>
      <c r="W69" t="s" s="0">
        <v>2008</v>
      </c>
      <c r="X69" t="s" s="0">
        <v>84</v>
      </c>
      <c r="Y69" t="s" s="0">
        <v>84</v>
      </c>
      <c r="Z69" t="s" s="0">
        <v>96</v>
      </c>
      <c r="AA69" t="s" s="0">
        <v>97</v>
      </c>
      <c r="AB69" t="s" s="0">
        <v>84</v>
      </c>
      <c r="AC69" t="s" s="0">
        <v>84</v>
      </c>
      <c r="AD69" t="s" s="0">
        <v>84</v>
      </c>
      <c r="AE69" t="s" s="0">
        <v>84</v>
      </c>
      <c r="AF69" t="s" s="0">
        <v>84</v>
      </c>
      <c r="AG69" t="s" s="0">
        <v>2009</v>
      </c>
      <c r="AH69" t="s" s="0">
        <v>2010</v>
      </c>
      <c r="AI69" t="s" s="0">
        <v>2011</v>
      </c>
      <c r="AJ69" t="s" s="0">
        <v>84</v>
      </c>
      <c r="AK69" t="s" s="0">
        <v>84</v>
      </c>
      <c r="AL69" t="s" s="0">
        <v>920</v>
      </c>
      <c r="AM69" t="s" s="0">
        <v>1912</v>
      </c>
      <c r="AN69" t="s" s="0">
        <v>624</v>
      </c>
      <c r="AO69" t="s" s="0">
        <v>237</v>
      </c>
      <c r="AP69" t="s" s="0">
        <v>421</v>
      </c>
      <c r="AQ69" t="s" s="0">
        <v>1055</v>
      </c>
      <c r="AR69" t="s" s="0">
        <v>1056</v>
      </c>
      <c r="AS69" t="s" s="0">
        <v>1057</v>
      </c>
      <c r="AT69" t="s" s="0">
        <v>2012</v>
      </c>
      <c r="AU69" t="s" s="0">
        <v>84</v>
      </c>
      <c r="AV69" t="s" s="0">
        <v>84</v>
      </c>
      <c r="AW69" t="s" s="0">
        <v>2013</v>
      </c>
      <c r="AX69" t="s" s="0">
        <v>2014</v>
      </c>
      <c r="AY69" t="s" s="0">
        <v>2015</v>
      </c>
      <c r="AZ69" t="s" s="0">
        <v>114</v>
      </c>
      <c r="BA69" t="s" s="0">
        <v>206</v>
      </c>
      <c r="BB69" t="s" s="0">
        <v>84</v>
      </c>
      <c r="BC69" t="s" s="0">
        <v>84</v>
      </c>
      <c r="BD69" t="s" s="0">
        <v>84</v>
      </c>
      <c r="BE69" t="s" s="0">
        <v>84</v>
      </c>
      <c r="BF69" t="s" s="0">
        <v>84</v>
      </c>
      <c r="BG69" t="s" s="0">
        <v>84</v>
      </c>
      <c r="BH69" t="s" s="0">
        <v>84</v>
      </c>
      <c r="BI69" t="s" s="0">
        <v>2016</v>
      </c>
      <c r="BJ69" t="s" s="0">
        <v>2017</v>
      </c>
      <c r="BK69" t="s" s="135">
        <f>HYPERLINK("http://dx.doi.org/10.3389/fonc.2023.1268915","http://dx.doi.org/10.3389/fonc.2023.1268915")</f>
        <v>2018</v>
      </c>
      <c r="BL69" t="s" s="0">
        <v>84</v>
      </c>
      <c r="BM69" t="s" s="0">
        <v>84</v>
      </c>
      <c r="BN69" t="s" s="0">
        <v>161</v>
      </c>
      <c r="BO69" t="s" s="0">
        <v>1013</v>
      </c>
      <c r="BP69" t="s" s="0">
        <v>1013</v>
      </c>
      <c r="BQ69" t="s" s="0">
        <v>2019</v>
      </c>
      <c r="BR69" t="s" s="0">
        <v>2020</v>
      </c>
      <c r="BS69" t="s" s="0">
        <v>2021</v>
      </c>
      <c r="BT69" t="s" s="136">
        <f>HYPERLINK("https://www.webofscience.com/wos/woscc/full-record/WOS:001066934300001","View Record in Web of Science")</f>
        <v>128</v>
      </c>
      <c r="BU69" t="s" s="0">
        <v>171</v>
      </c>
      <c r="BV69" t="s" s="0">
        <v>84</v>
      </c>
      <c r="BW69" t="s" s="0">
        <v>84</v>
      </c>
      <c r="BX69" t="s" s="0">
        <v>131</v>
      </c>
    </row>
    <row r="70">
      <c r="A70" t="s" s="0">
        <v>78</v>
      </c>
      <c r="B70" t="s" s="0">
        <v>78</v>
      </c>
      <c r="C70" t="s" s="0">
        <v>206</v>
      </c>
      <c r="D70" t="s" s="0">
        <v>237</v>
      </c>
      <c r="E70" t="s" s="0">
        <v>2022</v>
      </c>
      <c r="F70" t="s" s="0">
        <v>2023</v>
      </c>
      <c r="G70" t="s" s="0">
        <v>2024</v>
      </c>
      <c r="H70" t="s" s="0">
        <v>84</v>
      </c>
      <c r="I70" t="s" s="0">
        <v>212</v>
      </c>
      <c r="J70" t="s" s="0">
        <v>2025</v>
      </c>
      <c r="K70" t="s" s="0">
        <v>2026</v>
      </c>
      <c r="L70" t="s" s="0">
        <v>84</v>
      </c>
      <c r="M70" t="s" s="0">
        <v>84</v>
      </c>
      <c r="N70" t="s" s="0">
        <v>84</v>
      </c>
      <c r="O70" t="s" s="0">
        <v>2027</v>
      </c>
      <c r="P70" t="s" s="0">
        <v>2028</v>
      </c>
      <c r="Q70" t="s" s="0">
        <v>93</v>
      </c>
      <c r="R70" t="s" s="0">
        <v>84</v>
      </c>
      <c r="S70" t="s" s="0">
        <v>84</v>
      </c>
      <c r="T70" t="s" s="0">
        <v>84</v>
      </c>
      <c r="U70" t="s" s="0">
        <v>84</v>
      </c>
      <c r="V70" t="s" s="0">
        <v>2029</v>
      </c>
      <c r="W70" t="s" s="0">
        <v>2030</v>
      </c>
      <c r="X70" t="s" s="0">
        <v>84</v>
      </c>
      <c r="Y70" t="s" s="0">
        <v>84</v>
      </c>
      <c r="Z70" t="s" s="0">
        <v>96</v>
      </c>
      <c r="AA70" t="s" s="0">
        <v>97</v>
      </c>
      <c r="AB70" t="s" s="0">
        <v>84</v>
      </c>
      <c r="AC70" t="s" s="0">
        <v>84</v>
      </c>
      <c r="AD70" t="s" s="0">
        <v>84</v>
      </c>
      <c r="AE70" t="s" s="0">
        <v>84</v>
      </c>
      <c r="AF70" t="s" s="0">
        <v>84</v>
      </c>
      <c r="AG70" t="s" s="0">
        <v>2031</v>
      </c>
      <c r="AH70" t="s" s="0">
        <v>84</v>
      </c>
      <c r="AI70" t="s" s="0">
        <v>2032</v>
      </c>
      <c r="AJ70" t="s" s="0">
        <v>2033</v>
      </c>
      <c r="AK70" t="s" s="0">
        <v>84</v>
      </c>
      <c r="AL70" t="s" s="0">
        <v>315</v>
      </c>
      <c r="AM70" t="s" s="0">
        <v>627</v>
      </c>
      <c r="AN70" t="s" s="0">
        <v>624</v>
      </c>
      <c r="AO70" t="s" s="0">
        <v>80</v>
      </c>
      <c r="AP70" t="s" s="0">
        <v>2034</v>
      </c>
      <c r="AQ70" t="s" s="0">
        <v>230</v>
      </c>
      <c r="AR70" t="s" s="0">
        <v>231</v>
      </c>
      <c r="AS70" t="s" s="0">
        <v>1521</v>
      </c>
      <c r="AT70" t="s" s="0">
        <v>84</v>
      </c>
      <c r="AU70" t="s" s="0">
        <v>2035</v>
      </c>
      <c r="AV70" t="s" s="0">
        <v>84</v>
      </c>
      <c r="AW70" t="s" s="0">
        <v>2036</v>
      </c>
      <c r="AX70" t="s" s="0">
        <v>2037</v>
      </c>
      <c r="AY70" t="s" s="0">
        <v>2038</v>
      </c>
      <c r="AZ70" t="s" s="0">
        <v>114</v>
      </c>
      <c r="BA70" t="s" s="0">
        <v>306</v>
      </c>
      <c r="BB70" t="s" s="0">
        <v>549</v>
      </c>
      <c r="BC70" t="s" s="0">
        <v>84</v>
      </c>
      <c r="BD70" t="s" s="0">
        <v>84</v>
      </c>
      <c r="BE70" t="s" s="0">
        <v>84</v>
      </c>
      <c r="BF70" t="s" s="0">
        <v>84</v>
      </c>
      <c r="BG70" t="s" s="0">
        <v>84</v>
      </c>
      <c r="BH70" t="s" s="0">
        <v>84</v>
      </c>
      <c r="BI70" t="s" s="0">
        <v>2039</v>
      </c>
      <c r="BJ70" t="s" s="0">
        <v>2040</v>
      </c>
      <c r="BK70" t="s" s="137">
        <f>HYPERLINK("http://dx.doi.org/10.7759/cureus.41435","http://dx.doi.org/10.7759/cureus.41435")</f>
        <v>2041</v>
      </c>
      <c r="BL70" t="s" s="0">
        <v>84</v>
      </c>
      <c r="BM70" t="s" s="0">
        <v>84</v>
      </c>
      <c r="BN70" t="s" s="0">
        <v>116</v>
      </c>
      <c r="BO70" t="s" s="0">
        <v>84</v>
      </c>
      <c r="BP70" t="s" s="0">
        <v>84</v>
      </c>
      <c r="BQ70" t="s" s="0">
        <v>2042</v>
      </c>
      <c r="BR70" t="s" s="0">
        <v>2043</v>
      </c>
      <c r="BS70" t="s" s="0">
        <v>2044</v>
      </c>
      <c r="BT70" t="s" s="138">
        <f>HYPERLINK("https://www.webofscience.com/wos/woscc/full-record/WOS:001041300400005","View Record in Web of Science")</f>
        <v>128</v>
      </c>
      <c r="BU70" t="s" s="0">
        <v>171</v>
      </c>
      <c r="BV70" t="s" s="0">
        <v>84</v>
      </c>
      <c r="BW70" t="s" s="0">
        <v>84</v>
      </c>
      <c r="BX70" t="s" s="0">
        <v>131</v>
      </c>
    </row>
    <row r="71">
      <c r="A71" t="s" s="0">
        <v>116</v>
      </c>
      <c r="B71" t="s" s="0">
        <v>78</v>
      </c>
      <c r="C71" t="s" s="0">
        <v>122</v>
      </c>
      <c r="D71" t="s" s="0">
        <v>78</v>
      </c>
      <c r="E71" t="s" s="0">
        <v>2045</v>
      </c>
      <c r="F71" t="s" s="0">
        <v>2046</v>
      </c>
      <c r="G71" t="s" s="0">
        <v>2047</v>
      </c>
      <c r="H71" t="s" s="0">
        <v>84</v>
      </c>
      <c r="I71" t="s" s="0">
        <v>212</v>
      </c>
      <c r="J71" t="s" s="0">
        <v>2048</v>
      </c>
      <c r="K71" t="s" s="0">
        <v>2049</v>
      </c>
      <c r="L71" t="s" s="0">
        <v>2050</v>
      </c>
      <c r="M71" t="s" s="0">
        <v>2051</v>
      </c>
      <c r="N71" t="s" s="0">
        <v>2052</v>
      </c>
      <c r="O71" t="s" s="0">
        <v>2053</v>
      </c>
      <c r="P71" t="s" s="0">
        <v>2054</v>
      </c>
      <c r="Q71" t="s" s="0">
        <v>93</v>
      </c>
      <c r="R71" t="s" s="0">
        <v>84</v>
      </c>
      <c r="S71" t="s" s="0">
        <v>84</v>
      </c>
      <c r="T71" t="s" s="0">
        <v>84</v>
      </c>
      <c r="U71" t="s" s="0">
        <v>84</v>
      </c>
      <c r="V71" t="s" s="0">
        <v>2055</v>
      </c>
      <c r="W71" t="s" s="0">
        <v>2056</v>
      </c>
      <c r="X71" t="s" s="0">
        <v>84</v>
      </c>
      <c r="Y71" t="s" s="0">
        <v>84</v>
      </c>
      <c r="Z71" t="s" s="0">
        <v>96</v>
      </c>
      <c r="AA71" t="s" s="0">
        <v>97</v>
      </c>
      <c r="AB71" t="s" s="0">
        <v>84</v>
      </c>
      <c r="AC71" t="s" s="0">
        <v>84</v>
      </c>
      <c r="AD71" t="s" s="0">
        <v>84</v>
      </c>
      <c r="AE71" t="s" s="0">
        <v>84</v>
      </c>
      <c r="AF71" t="s" s="0">
        <v>84</v>
      </c>
      <c r="AG71" t="s" s="0">
        <v>84</v>
      </c>
      <c r="AH71" t="s" s="0">
        <v>84</v>
      </c>
      <c r="AI71" t="s" s="0">
        <v>2057</v>
      </c>
      <c r="AJ71" t="s" s="0">
        <v>2058</v>
      </c>
      <c r="AK71" t="s" s="0">
        <v>84</v>
      </c>
      <c r="AL71" t="s" s="0">
        <v>2059</v>
      </c>
      <c r="AM71" t="s" s="0">
        <v>1715</v>
      </c>
      <c r="AN71" t="s" s="0">
        <v>1240</v>
      </c>
      <c r="AO71" t="s" s="0">
        <v>122</v>
      </c>
      <c r="AP71" t="s" s="0">
        <v>569</v>
      </c>
      <c r="AQ71" t="s" s="0">
        <v>2060</v>
      </c>
      <c r="AR71" t="s" s="0">
        <v>2061</v>
      </c>
      <c r="AS71" t="s" s="0">
        <v>2062</v>
      </c>
      <c r="AT71" t="s" s="0">
        <v>84</v>
      </c>
      <c r="AU71" t="s" s="0">
        <v>2063</v>
      </c>
      <c r="AV71" t="s" s="0">
        <v>84</v>
      </c>
      <c r="AW71" t="s" s="0">
        <v>2064</v>
      </c>
      <c r="AX71" t="s" s="0">
        <v>2065</v>
      </c>
      <c r="AY71" t="s" s="0">
        <v>600</v>
      </c>
      <c r="AZ71" t="s" s="0">
        <v>273</v>
      </c>
      <c r="BA71" t="s" s="0">
        <v>174</v>
      </c>
      <c r="BB71" t="s" s="0">
        <v>237</v>
      </c>
      <c r="BC71" t="s" s="0">
        <v>84</v>
      </c>
      <c r="BD71" t="s" s="0">
        <v>84</v>
      </c>
      <c r="BE71" t="s" s="0">
        <v>84</v>
      </c>
      <c r="BF71" t="s" s="0">
        <v>84</v>
      </c>
      <c r="BG71" t="s" s="0">
        <v>84</v>
      </c>
      <c r="BH71" t="s" s="0">
        <v>84</v>
      </c>
      <c r="BI71" t="s" s="0">
        <v>2066</v>
      </c>
      <c r="BJ71" t="s" s="0">
        <v>2067</v>
      </c>
      <c r="BK71" t="s" s="139">
        <f>HYPERLINK("http://dx.doi.org/10.1371/journal.pdig.0000417","http://dx.doi.org/10.1371/journal.pdig.0000417")</f>
        <v>2068</v>
      </c>
      <c r="BL71" t="s" s="0">
        <v>84</v>
      </c>
      <c r="BM71" t="s" s="0">
        <v>84</v>
      </c>
      <c r="BN71" t="s" s="0">
        <v>306</v>
      </c>
      <c r="BO71" t="s" s="0">
        <v>374</v>
      </c>
      <c r="BP71" t="s" s="0">
        <v>374</v>
      </c>
      <c r="BQ71" t="s" s="0">
        <v>2069</v>
      </c>
      <c r="BR71" t="s" s="0">
        <v>2070</v>
      </c>
      <c r="BS71" t="s" s="0">
        <v>2071</v>
      </c>
      <c r="BT71" t="s" s="140">
        <f>HYPERLINK("https://www.webofscience.com/wos/woscc/full-record/WOS:001417857800001","View Record in Web of Science")</f>
        <v>128</v>
      </c>
      <c r="BU71" t="s" s="0">
        <v>171</v>
      </c>
      <c r="BV71" t="s" s="0">
        <v>84</v>
      </c>
      <c r="BW71" t="s" s="0">
        <v>84</v>
      </c>
      <c r="BX71" t="s" s="0">
        <v>131</v>
      </c>
    </row>
    <row r="72">
      <c r="A72" t="s" s="0">
        <v>208</v>
      </c>
      <c r="B72" t="s" s="0">
        <v>78</v>
      </c>
      <c r="C72" t="s" s="0">
        <v>206</v>
      </c>
      <c r="D72" t="s" s="0">
        <v>78</v>
      </c>
      <c r="E72" t="s" s="0">
        <v>2072</v>
      </c>
      <c r="F72" t="s" s="0">
        <v>2073</v>
      </c>
      <c r="G72" t="s" s="0">
        <v>2074</v>
      </c>
      <c r="H72" t="s" s="0">
        <v>84</v>
      </c>
      <c r="I72" t="s" s="0">
        <v>85</v>
      </c>
      <c r="J72" t="s" s="0">
        <v>2075</v>
      </c>
      <c r="K72" t="s" s="0">
        <v>2076</v>
      </c>
      <c r="L72" t="s" s="0">
        <v>84</v>
      </c>
      <c r="M72" t="s" s="0">
        <v>84</v>
      </c>
      <c r="N72" t="s" s="0">
        <v>2077</v>
      </c>
      <c r="O72" t="s" s="0">
        <v>2078</v>
      </c>
      <c r="P72" t="s" s="0">
        <v>2079</v>
      </c>
      <c r="Q72" t="s" s="0">
        <v>93</v>
      </c>
      <c r="R72" t="s" s="0">
        <v>84</v>
      </c>
      <c r="S72" t="s" s="0">
        <v>84</v>
      </c>
      <c r="T72" t="s" s="0">
        <v>84</v>
      </c>
      <c r="U72" t="s" s="0">
        <v>84</v>
      </c>
      <c r="V72" t="s" s="0">
        <v>2080</v>
      </c>
      <c r="W72" t="s" s="0">
        <v>1319</v>
      </c>
      <c r="X72" t="s" s="0">
        <v>84</v>
      </c>
      <c r="Y72" t="s" s="0">
        <v>84</v>
      </c>
      <c r="Z72" t="s" s="0">
        <v>96</v>
      </c>
      <c r="AA72" t="s" s="0">
        <v>97</v>
      </c>
      <c r="AB72" t="s" s="0">
        <v>84</v>
      </c>
      <c r="AC72" t="s" s="0">
        <v>84</v>
      </c>
      <c r="AD72" t="s" s="0">
        <v>84</v>
      </c>
      <c r="AE72" t="s" s="0">
        <v>84</v>
      </c>
      <c r="AF72" t="s" s="0">
        <v>84</v>
      </c>
      <c r="AG72" t="s" s="0">
        <v>2081</v>
      </c>
      <c r="AH72" t="s" s="0">
        <v>2082</v>
      </c>
      <c r="AI72" t="s" s="0">
        <v>2083</v>
      </c>
      <c r="AJ72" t="s" s="0">
        <v>2084</v>
      </c>
      <c r="AK72" t="s" s="0">
        <v>84</v>
      </c>
      <c r="AL72" t="s" s="0">
        <v>2085</v>
      </c>
      <c r="AM72" t="s" s="0">
        <v>2086</v>
      </c>
      <c r="AN72" t="s" s="0">
        <v>421</v>
      </c>
      <c r="AO72" t="s" s="0">
        <v>424</v>
      </c>
      <c r="AP72" t="s" s="0">
        <v>77</v>
      </c>
      <c r="AQ72" t="s" s="0">
        <v>498</v>
      </c>
      <c r="AR72" t="s" s="0">
        <v>499</v>
      </c>
      <c r="AS72" t="s" s="0">
        <v>500</v>
      </c>
      <c r="AT72" t="s" s="0">
        <v>2087</v>
      </c>
      <c r="AU72" t="s" s="0">
        <v>1324</v>
      </c>
      <c r="AV72" t="s" s="0">
        <v>84</v>
      </c>
      <c r="AW72" t="s" s="0">
        <v>1325</v>
      </c>
      <c r="AX72" t="s" s="0">
        <v>1326</v>
      </c>
      <c r="AY72" t="s" s="0">
        <v>2088</v>
      </c>
      <c r="AZ72" t="s" s="0">
        <v>273</v>
      </c>
      <c r="BA72" t="s" s="0">
        <v>1192</v>
      </c>
      <c r="BB72" t="s" s="0">
        <v>84</v>
      </c>
      <c r="BC72" t="s" s="0">
        <v>84</v>
      </c>
      <c r="BD72" t="s" s="0">
        <v>84</v>
      </c>
      <c r="BE72" t="s" s="0">
        <v>84</v>
      </c>
      <c r="BF72" t="s" s="0">
        <v>84</v>
      </c>
      <c r="BG72" t="s" s="0">
        <v>84</v>
      </c>
      <c r="BH72" t="s" s="0">
        <v>84</v>
      </c>
      <c r="BI72" t="s" s="0">
        <v>2089</v>
      </c>
      <c r="BJ72" t="s" s="0">
        <v>2090</v>
      </c>
      <c r="BK72" t="s" s="141">
        <f>HYPERLINK("http://dx.doi.org/10.2196/60501","http://dx.doi.org/10.2196/60501")</f>
        <v>2091</v>
      </c>
      <c r="BL72" t="s" s="0">
        <v>84</v>
      </c>
      <c r="BM72" t="s" s="0">
        <v>84</v>
      </c>
      <c r="BN72" t="s" s="0">
        <v>1305</v>
      </c>
      <c r="BO72" t="s" s="0">
        <v>374</v>
      </c>
      <c r="BP72" t="s" s="0">
        <v>374</v>
      </c>
      <c r="BQ72" t="s" s="0">
        <v>2092</v>
      </c>
      <c r="BR72" t="s" s="0">
        <v>2093</v>
      </c>
      <c r="BS72" t="s" s="0">
        <v>2094</v>
      </c>
      <c r="BT72" t="s" s="142">
        <f>HYPERLINK("https://www.webofscience.com/wos/woscc/full-record/WOS:001318826000005","View Record in Web of Science")</f>
        <v>128</v>
      </c>
      <c r="BU72" t="s" s="0">
        <v>171</v>
      </c>
      <c r="BV72" t="s" s="0">
        <v>129</v>
      </c>
      <c r="BW72" t="s" s="0">
        <v>130</v>
      </c>
      <c r="BX72" t="s" s="0">
        <v>131</v>
      </c>
    </row>
    <row r="73">
      <c r="A73" t="s" s="0">
        <v>237</v>
      </c>
      <c r="B73" t="s" s="0">
        <v>78</v>
      </c>
      <c r="C73" t="s" s="0">
        <v>439</v>
      </c>
      <c r="D73" t="s" s="0">
        <v>78</v>
      </c>
      <c r="E73" t="s" s="0">
        <v>2095</v>
      </c>
      <c r="F73" t="s" s="0">
        <v>2096</v>
      </c>
      <c r="G73" t="s" s="0">
        <v>2097</v>
      </c>
      <c r="H73" t="s" s="0">
        <v>84</v>
      </c>
      <c r="I73" t="s" s="0">
        <v>85</v>
      </c>
      <c r="J73" t="s" s="0">
        <v>2098</v>
      </c>
      <c r="K73" t="s" s="0">
        <v>2099</v>
      </c>
      <c r="L73" t="s" s="0">
        <v>2100</v>
      </c>
      <c r="M73" t="s" s="0">
        <v>2101</v>
      </c>
      <c r="N73" t="s" s="0">
        <v>2102</v>
      </c>
      <c r="O73" t="s" s="0">
        <v>2103</v>
      </c>
      <c r="P73" t="s" s="0">
        <v>2104</v>
      </c>
      <c r="Q73" t="s" s="0">
        <v>93</v>
      </c>
      <c r="R73" t="s" s="0">
        <v>84</v>
      </c>
      <c r="S73" t="s" s="0">
        <v>84</v>
      </c>
      <c r="T73" t="s" s="0">
        <v>84</v>
      </c>
      <c r="U73" t="s" s="0">
        <v>84</v>
      </c>
      <c r="V73" t="s" s="0">
        <v>2105</v>
      </c>
      <c r="W73" t="s" s="0">
        <v>2106</v>
      </c>
      <c r="X73" t="s" s="0">
        <v>84</v>
      </c>
      <c r="Y73" t="s" s="0">
        <v>84</v>
      </c>
      <c r="Z73" t="s" s="0">
        <v>96</v>
      </c>
      <c r="AA73" t="s" s="0">
        <v>97</v>
      </c>
      <c r="AB73" t="s" s="0">
        <v>84</v>
      </c>
      <c r="AC73" t="s" s="0">
        <v>84</v>
      </c>
      <c r="AD73" t="s" s="0">
        <v>84</v>
      </c>
      <c r="AE73" t="s" s="0">
        <v>84</v>
      </c>
      <c r="AF73" t="s" s="0">
        <v>84</v>
      </c>
      <c r="AG73" t="s" s="0">
        <v>2107</v>
      </c>
      <c r="AH73" t="s" s="0">
        <v>2108</v>
      </c>
      <c r="AI73" t="s" s="0">
        <v>2109</v>
      </c>
      <c r="AJ73" t="s" s="0">
        <v>84</v>
      </c>
      <c r="AK73" t="s" s="0">
        <v>84</v>
      </c>
      <c r="AL73" t="s" s="0">
        <v>1912</v>
      </c>
      <c r="AM73" t="s" s="0">
        <v>2034</v>
      </c>
      <c r="AN73" t="s" s="0">
        <v>1886</v>
      </c>
      <c r="AO73" t="s" s="0">
        <v>609</v>
      </c>
      <c r="AP73" t="s" s="0">
        <v>1191</v>
      </c>
      <c r="AQ73" t="s" s="0">
        <v>2110</v>
      </c>
      <c r="AR73" t="s" s="0">
        <v>2111</v>
      </c>
      <c r="AS73" t="s" s="0">
        <v>2112</v>
      </c>
      <c r="AT73" t="s" s="0">
        <v>2113</v>
      </c>
      <c r="AU73" t="s" s="0">
        <v>84</v>
      </c>
      <c r="AV73" t="s" s="0">
        <v>84</v>
      </c>
      <c r="AW73" t="s" s="0">
        <v>2114</v>
      </c>
      <c r="AX73" t="s" s="0">
        <v>2115</v>
      </c>
      <c r="AY73" t="s" s="0">
        <v>338</v>
      </c>
      <c r="AZ73" t="s" s="0">
        <v>338</v>
      </c>
      <c r="BA73" t="s" s="0">
        <v>1305</v>
      </c>
      <c r="BB73" t="s" s="0">
        <v>122</v>
      </c>
      <c r="BC73" t="s" s="0">
        <v>84</v>
      </c>
      <c r="BD73" t="s" s="0">
        <v>84</v>
      </c>
      <c r="BE73" t="s" s="0">
        <v>84</v>
      </c>
      <c r="BF73" t="s" s="0">
        <v>84</v>
      </c>
      <c r="BG73" t="s" s="0">
        <v>2116</v>
      </c>
      <c r="BH73" t="s" s="0">
        <v>2117</v>
      </c>
      <c r="BI73" t="s" s="0">
        <v>84</v>
      </c>
      <c r="BJ73" t="s" s="0">
        <v>2118</v>
      </c>
      <c r="BK73" t="s" s="143">
        <f>HYPERLINK("http://dx.doi.org/10.7150/ijms.111780","http://dx.doi.org/10.7150/ijms.111780")</f>
        <v>2119</v>
      </c>
      <c r="BL73" t="s" s="0">
        <v>84</v>
      </c>
      <c r="BM73" t="s" s="0">
        <v>84</v>
      </c>
      <c r="BN73" t="s" s="0">
        <v>439</v>
      </c>
      <c r="BO73" t="s" s="0">
        <v>404</v>
      </c>
      <c r="BP73" t="s" s="0">
        <v>405</v>
      </c>
      <c r="BQ73" t="s" s="0">
        <v>2120</v>
      </c>
      <c r="BR73" t="s" s="0">
        <v>2121</v>
      </c>
      <c r="BS73" t="s" s="0">
        <v>2122</v>
      </c>
      <c r="BT73" t="s" s="144">
        <f>HYPERLINK("https://www.webofscience.com/wos/woscc/full-record/WOS:001519288100020","View Record in Web of Science")</f>
        <v>128</v>
      </c>
      <c r="BU73" t="s" s="0">
        <v>171</v>
      </c>
      <c r="BV73" t="s" s="0">
        <v>129</v>
      </c>
      <c r="BW73" t="s" s="0">
        <v>130</v>
      </c>
      <c r="BX73" t="s" s="0">
        <v>131</v>
      </c>
    </row>
    <row r="74">
      <c r="A74" t="s" s="0">
        <v>161</v>
      </c>
      <c r="B74" t="s" s="0">
        <v>78</v>
      </c>
      <c r="C74" t="s" s="0">
        <v>704</v>
      </c>
      <c r="D74" t="s" s="0">
        <v>78</v>
      </c>
      <c r="E74" t="s" s="0">
        <v>2123</v>
      </c>
      <c r="F74" t="s" s="0">
        <v>2124</v>
      </c>
      <c r="G74" t="s" s="0">
        <v>2125</v>
      </c>
      <c r="H74" t="s" s="0">
        <v>84</v>
      </c>
      <c r="I74" t="s" s="0">
        <v>85</v>
      </c>
      <c r="J74" t="s" s="0">
        <v>2126</v>
      </c>
      <c r="K74" t="s" s="0">
        <v>2127</v>
      </c>
      <c r="L74" t="s" s="0">
        <v>2128</v>
      </c>
      <c r="M74" t="s" s="0">
        <v>2129</v>
      </c>
      <c r="N74" t="s" s="0">
        <v>2130</v>
      </c>
      <c r="O74" t="s" s="0">
        <v>2131</v>
      </c>
      <c r="P74" t="s" s="0">
        <v>2132</v>
      </c>
      <c r="Q74" t="s" s="0">
        <v>93</v>
      </c>
      <c r="R74" t="s" s="0">
        <v>84</v>
      </c>
      <c r="S74" t="s" s="0">
        <v>84</v>
      </c>
      <c r="T74" t="s" s="0">
        <v>84</v>
      </c>
      <c r="U74" t="s" s="0">
        <v>84</v>
      </c>
      <c r="V74" t="s" s="0">
        <v>2133</v>
      </c>
      <c r="W74" t="s" s="0">
        <v>2134</v>
      </c>
      <c r="X74" t="s" s="0">
        <v>84</v>
      </c>
      <c r="Y74" t="s" s="0">
        <v>84</v>
      </c>
      <c r="Z74" t="s" s="0">
        <v>96</v>
      </c>
      <c r="AA74" t="s" s="0">
        <v>97</v>
      </c>
      <c r="AB74" t="s" s="0">
        <v>84</v>
      </c>
      <c r="AC74" t="s" s="0">
        <v>84</v>
      </c>
      <c r="AD74" t="s" s="0">
        <v>84</v>
      </c>
      <c r="AE74" t="s" s="0">
        <v>84</v>
      </c>
      <c r="AF74" t="s" s="0">
        <v>84</v>
      </c>
      <c r="AG74" t="s" s="0">
        <v>2135</v>
      </c>
      <c r="AH74" t="s" s="0">
        <v>2136</v>
      </c>
      <c r="AI74" t="s" s="0">
        <v>2137</v>
      </c>
      <c r="AJ74" t="s" s="0">
        <v>84</v>
      </c>
      <c r="AK74" t="s" s="0">
        <v>84</v>
      </c>
      <c r="AL74" t="s" s="0">
        <v>316</v>
      </c>
      <c r="AM74" t="s" s="0">
        <v>2034</v>
      </c>
      <c r="AN74" t="s" s="0">
        <v>1716</v>
      </c>
      <c r="AO74" t="s" s="0">
        <v>161</v>
      </c>
      <c r="AP74" t="s" s="0">
        <v>1192</v>
      </c>
      <c r="AQ74" t="s" s="0">
        <v>2138</v>
      </c>
      <c r="AR74" t="s" s="0">
        <v>2139</v>
      </c>
      <c r="AS74" t="s" s="0">
        <v>2140</v>
      </c>
      <c r="AT74" t="s" s="0">
        <v>2141</v>
      </c>
      <c r="AU74" t="s" s="0">
        <v>84</v>
      </c>
      <c r="AV74" t="s" s="0">
        <v>84</v>
      </c>
      <c r="AW74" t="s" s="0">
        <v>2142</v>
      </c>
      <c r="AX74" t="s" s="0">
        <v>2143</v>
      </c>
      <c r="AY74" t="s" s="0">
        <v>273</v>
      </c>
      <c r="AZ74" t="s" s="0">
        <v>273</v>
      </c>
      <c r="BA74" t="s" s="0">
        <v>549</v>
      </c>
      <c r="BB74" t="s" s="0">
        <v>84</v>
      </c>
      <c r="BC74" t="s" s="0">
        <v>84</v>
      </c>
      <c r="BD74" t="s" s="0">
        <v>84</v>
      </c>
      <c r="BE74" t="s" s="0">
        <v>84</v>
      </c>
      <c r="BF74" t="s" s="0">
        <v>84</v>
      </c>
      <c r="BG74" t="s" s="0">
        <v>2144</v>
      </c>
      <c r="BH74" t="s" s="0">
        <v>2145</v>
      </c>
      <c r="BI74" t="s" s="0">
        <v>84</v>
      </c>
      <c r="BJ74" t="s" s="0">
        <v>2146</v>
      </c>
      <c r="BK74" t="s" s="145">
        <f>HYPERLINK("http://dx.doi.org/10.1146/annurev-biodatasci-102523-103801","http://dx.doi.org/10.1146/annurev-biodatasci-102523-103801")</f>
        <v>2147</v>
      </c>
      <c r="BL74" t="s" s="0">
        <v>84</v>
      </c>
      <c r="BM74" t="s" s="0">
        <v>84</v>
      </c>
      <c r="BN74" t="s" s="0">
        <v>1192</v>
      </c>
      <c r="BO74" t="s" s="0">
        <v>2148</v>
      </c>
      <c r="BP74" t="s" s="0">
        <v>2148</v>
      </c>
      <c r="BQ74" t="s" s="0">
        <v>2149</v>
      </c>
      <c r="BR74" t="s" s="0">
        <v>2150</v>
      </c>
      <c r="BS74" t="s" s="0">
        <v>2151</v>
      </c>
      <c r="BT74" t="s" s="146">
        <f>HYPERLINK("https://www.webofscience.com/wos/woscc/full-record/WOS:001301315300012","View Record in Web of Science")</f>
        <v>128</v>
      </c>
      <c r="BU74" t="s" s="0">
        <v>480</v>
      </c>
      <c r="BV74" t="s" s="0">
        <v>84</v>
      </c>
      <c r="BW74" t="s" s="0">
        <v>84</v>
      </c>
      <c r="BX74" t="s" s="0">
        <v>131</v>
      </c>
    </row>
    <row r="75">
      <c r="A75" t="s" s="0">
        <v>174</v>
      </c>
      <c r="B75" t="s" s="0">
        <v>78</v>
      </c>
      <c r="C75" t="s" s="0">
        <v>161</v>
      </c>
      <c r="D75" t="s" s="0">
        <v>78</v>
      </c>
      <c r="E75" t="s" s="0">
        <v>2152</v>
      </c>
      <c r="F75" t="s" s="0">
        <v>2153</v>
      </c>
      <c r="G75" t="s" s="0">
        <v>2154</v>
      </c>
      <c r="H75" t="s" s="0">
        <v>84</v>
      </c>
      <c r="I75" t="s" s="0">
        <v>85</v>
      </c>
      <c r="J75" t="s" s="0">
        <v>2155</v>
      </c>
      <c r="K75" t="s" s="0">
        <v>2156</v>
      </c>
      <c r="L75" t="s" s="0">
        <v>2157</v>
      </c>
      <c r="M75" t="s" s="0">
        <v>2158</v>
      </c>
      <c r="N75" t="s" s="0">
        <v>2159</v>
      </c>
      <c r="O75" t="s" s="0">
        <v>2160</v>
      </c>
      <c r="P75" t="s" s="0">
        <v>2161</v>
      </c>
      <c r="Q75" t="s" s="0">
        <v>93</v>
      </c>
      <c r="R75" t="s" s="0">
        <v>84</v>
      </c>
      <c r="S75" t="s" s="0">
        <v>84</v>
      </c>
      <c r="T75" t="s" s="0">
        <v>84</v>
      </c>
      <c r="U75" t="s" s="0">
        <v>84</v>
      </c>
      <c r="V75" t="s" s="0">
        <v>2162</v>
      </c>
      <c r="W75" t="s" s="0">
        <v>359</v>
      </c>
      <c r="X75" t="s" s="0">
        <v>84</v>
      </c>
      <c r="Y75" t="s" s="0">
        <v>84</v>
      </c>
      <c r="Z75" t="s" s="0">
        <v>96</v>
      </c>
      <c r="AA75" t="s" s="0">
        <v>97</v>
      </c>
      <c r="AB75" t="s" s="0">
        <v>84</v>
      </c>
      <c r="AC75" t="s" s="0">
        <v>84</v>
      </c>
      <c r="AD75" t="s" s="0">
        <v>84</v>
      </c>
      <c r="AE75" t="s" s="0">
        <v>84</v>
      </c>
      <c r="AF75" t="s" s="0">
        <v>84</v>
      </c>
      <c r="AG75" t="s" s="0">
        <v>84</v>
      </c>
      <c r="AH75" t="s" s="0">
        <v>2163</v>
      </c>
      <c r="AI75" t="s" s="0">
        <v>2164</v>
      </c>
      <c r="AJ75" t="s" s="0">
        <v>2165</v>
      </c>
      <c r="AK75" t="s" s="0">
        <v>84</v>
      </c>
      <c r="AL75" t="s" s="0">
        <v>101</v>
      </c>
      <c r="AM75" t="s" s="0">
        <v>2034</v>
      </c>
      <c r="AN75" t="s" s="0">
        <v>461</v>
      </c>
      <c r="AO75" t="s" s="0">
        <v>174</v>
      </c>
      <c r="AP75" t="s" s="0">
        <v>1113</v>
      </c>
      <c r="AQ75" t="s" s="0">
        <v>106</v>
      </c>
      <c r="AR75" t="s" s="0">
        <v>107</v>
      </c>
      <c r="AS75" t="s" s="0">
        <v>108</v>
      </c>
      <c r="AT75" t="s" s="0">
        <v>367</v>
      </c>
      <c r="AU75" t="s" s="0">
        <v>84</v>
      </c>
      <c r="AV75" t="s" s="0">
        <v>84</v>
      </c>
      <c r="AW75" t="s" s="0">
        <v>368</v>
      </c>
      <c r="AX75" t="s" s="0">
        <v>369</v>
      </c>
      <c r="AY75" t="s" s="0">
        <v>2166</v>
      </c>
      <c r="AZ75" t="s" s="0">
        <v>114</v>
      </c>
      <c r="BA75" t="s" s="0">
        <v>161</v>
      </c>
      <c r="BB75" t="s" s="0">
        <v>237</v>
      </c>
      <c r="BC75" t="s" s="0">
        <v>84</v>
      </c>
      <c r="BD75" t="s" s="0">
        <v>84</v>
      </c>
      <c r="BE75" t="s" s="0">
        <v>84</v>
      </c>
      <c r="BF75" t="s" s="0">
        <v>84</v>
      </c>
      <c r="BG75" t="s" s="0">
        <v>84</v>
      </c>
      <c r="BH75" t="s" s="0">
        <v>84</v>
      </c>
      <c r="BI75" t="s" s="0">
        <v>2144</v>
      </c>
      <c r="BJ75" t="s" s="0">
        <v>2167</v>
      </c>
      <c r="BK75" t="s" s="147">
        <f>HYPERLINK("http://dx.doi.org/10.1038/s41746-023-00965-x","http://dx.doi.org/10.1038/s41746-023-00965-x")</f>
        <v>2168</v>
      </c>
      <c r="BL75" t="s" s="0">
        <v>84</v>
      </c>
      <c r="BM75" t="s" s="0">
        <v>84</v>
      </c>
      <c r="BN75" t="s" s="0">
        <v>439</v>
      </c>
      <c r="BO75" t="s" s="0">
        <v>374</v>
      </c>
      <c r="BP75" t="s" s="0">
        <v>374</v>
      </c>
      <c r="BQ75" t="s" s="0">
        <v>2169</v>
      </c>
      <c r="BR75" t="s" s="0">
        <v>2170</v>
      </c>
      <c r="BS75" t="s" s="0">
        <v>2171</v>
      </c>
      <c r="BT75" t="s" s="148">
        <f>HYPERLINK("https://www.webofscience.com/wos/woscc/full-record/WOS:001112300500001","View Record in Web of Science")</f>
        <v>128</v>
      </c>
      <c r="BU75" t="s" s="0">
        <v>171</v>
      </c>
      <c r="BV75" t="s" s="0">
        <v>84</v>
      </c>
      <c r="BW75" t="s" s="0">
        <v>84</v>
      </c>
      <c r="BX75" t="s" s="0">
        <v>131</v>
      </c>
    </row>
    <row r="76">
      <c r="A76" t="s" s="0">
        <v>283</v>
      </c>
      <c r="B76" t="s" s="0">
        <v>78</v>
      </c>
      <c r="C76" t="s" s="0">
        <v>228</v>
      </c>
      <c r="D76" t="s" s="0">
        <v>237</v>
      </c>
      <c r="E76" t="s" s="0">
        <v>2172</v>
      </c>
      <c r="F76" t="s" s="0">
        <v>2173</v>
      </c>
      <c r="G76" t="s" s="0">
        <v>2174</v>
      </c>
      <c r="H76" t="s" s="0">
        <v>84</v>
      </c>
      <c r="I76" t="s" s="0">
        <v>85</v>
      </c>
      <c r="J76" t="s" s="0">
        <v>2175</v>
      </c>
      <c r="K76" t="s" s="0">
        <v>2176</v>
      </c>
      <c r="L76" t="s" s="0">
        <v>84</v>
      </c>
      <c r="M76" t="s" s="0">
        <v>84</v>
      </c>
      <c r="N76" t="s" s="0">
        <v>84</v>
      </c>
      <c r="O76" t="s" s="0">
        <v>2177</v>
      </c>
      <c r="P76" t="s" s="0">
        <v>2178</v>
      </c>
      <c r="Q76" t="s" s="0">
        <v>93</v>
      </c>
      <c r="R76" t="s" s="0">
        <v>84</v>
      </c>
      <c r="S76" t="s" s="0">
        <v>84</v>
      </c>
      <c r="T76" t="s" s="0">
        <v>84</v>
      </c>
      <c r="U76" t="s" s="0">
        <v>84</v>
      </c>
      <c r="V76" t="s" s="0">
        <v>2179</v>
      </c>
      <c r="W76" t="s" s="0">
        <v>2180</v>
      </c>
      <c r="X76" t="s" s="0">
        <v>84</v>
      </c>
      <c r="Y76" t="s" s="0">
        <v>84</v>
      </c>
      <c r="Z76" t="s" s="0">
        <v>96</v>
      </c>
      <c r="AA76" t="s" s="0">
        <v>97</v>
      </c>
      <c r="AB76" t="s" s="0">
        <v>84</v>
      </c>
      <c r="AC76" t="s" s="0">
        <v>84</v>
      </c>
      <c r="AD76" t="s" s="0">
        <v>84</v>
      </c>
      <c r="AE76" t="s" s="0">
        <v>84</v>
      </c>
      <c r="AF76" t="s" s="0">
        <v>84</v>
      </c>
      <c r="AG76" t="s" s="0">
        <v>2181</v>
      </c>
      <c r="AH76" t="s" s="0">
        <v>84</v>
      </c>
      <c r="AI76" t="s" s="0">
        <v>84</v>
      </c>
      <c r="AJ76" t="s" s="0">
        <v>2182</v>
      </c>
      <c r="AK76" t="s" s="0">
        <v>84</v>
      </c>
      <c r="AL76" t="s" s="0">
        <v>2183</v>
      </c>
      <c r="AM76" t="s" s="0">
        <v>2184</v>
      </c>
      <c r="AN76" t="s" s="0">
        <v>421</v>
      </c>
      <c r="AO76" t="s" s="0">
        <v>161</v>
      </c>
      <c r="AP76" t="s" s="0">
        <v>2185</v>
      </c>
      <c r="AQ76" t="s" s="0">
        <v>2186</v>
      </c>
      <c r="AR76" t="s" s="0">
        <v>2187</v>
      </c>
      <c r="AS76" t="s" s="0">
        <v>2188</v>
      </c>
      <c r="AT76" t="s" s="0">
        <v>2189</v>
      </c>
      <c r="AU76" t="s" s="0">
        <v>2190</v>
      </c>
      <c r="AV76" t="s" s="0">
        <v>84</v>
      </c>
      <c r="AW76" t="s" s="0">
        <v>2191</v>
      </c>
      <c r="AX76" t="s" s="0">
        <v>2192</v>
      </c>
      <c r="AY76" t="s" s="0">
        <v>2193</v>
      </c>
      <c r="AZ76" t="s" s="0">
        <v>114</v>
      </c>
      <c r="BA76" t="s" s="0">
        <v>2194</v>
      </c>
      <c r="BB76" t="s" s="0">
        <v>196</v>
      </c>
      <c r="BC76" t="s" s="0">
        <v>84</v>
      </c>
      <c r="BD76" t="s" s="0">
        <v>84</v>
      </c>
      <c r="BE76" t="s" s="0">
        <v>84</v>
      </c>
      <c r="BF76" t="s" s="0">
        <v>84</v>
      </c>
      <c r="BG76" t="s" s="0">
        <v>2195</v>
      </c>
      <c r="BH76" t="s" s="0">
        <v>2196</v>
      </c>
      <c r="BI76" t="s" s="0">
        <v>84</v>
      </c>
      <c r="BJ76" t="s" s="0">
        <v>2197</v>
      </c>
      <c r="BK76" t="s" s="149">
        <f>HYPERLINK("http://dx.doi.org/10.1093/cid/ciad407","http://dx.doi.org/10.1093/cid/ciad407")</f>
        <v>2198</v>
      </c>
      <c r="BL76" t="s" s="0">
        <v>84</v>
      </c>
      <c r="BM76" t="s" s="0">
        <v>113</v>
      </c>
      <c r="BN76" t="s" s="0">
        <v>549</v>
      </c>
      <c r="BO76" t="s" s="0">
        <v>2199</v>
      </c>
      <c r="BP76" t="s" s="0">
        <v>2199</v>
      </c>
      <c r="BQ76" t="s" s="0">
        <v>2200</v>
      </c>
      <c r="BR76" t="s" s="0">
        <v>2201</v>
      </c>
      <c r="BS76" t="s" s="0">
        <v>2202</v>
      </c>
      <c r="BT76" t="s" s="150">
        <f>HYPERLINK("https://www.webofscience.com/wos/woscc/full-record/WOS:001186676300003","View Record in Web of Science")</f>
        <v>128</v>
      </c>
      <c r="BU76" t="s" s="0">
        <v>2203</v>
      </c>
      <c r="BV76" t="s" s="0">
        <v>84</v>
      </c>
      <c r="BW76" t="s" s="0">
        <v>84</v>
      </c>
      <c r="BX76" t="s" s="0">
        <v>131</v>
      </c>
    </row>
    <row r="77">
      <c r="A77" t="s" s="0">
        <v>78</v>
      </c>
      <c r="B77" t="s" s="0">
        <v>78</v>
      </c>
      <c r="C77" t="s" s="0">
        <v>750</v>
      </c>
      <c r="D77" t="s" s="0">
        <v>237</v>
      </c>
      <c r="E77" t="s" s="0">
        <v>2204</v>
      </c>
      <c r="F77" t="s" s="0">
        <v>2205</v>
      </c>
      <c r="G77" t="s" s="0">
        <v>2206</v>
      </c>
      <c r="H77" t="s" s="0">
        <v>84</v>
      </c>
      <c r="I77" t="s" s="0">
        <v>85</v>
      </c>
      <c r="J77" t="s" s="0">
        <v>2207</v>
      </c>
      <c r="K77" t="s" s="0">
        <v>2208</v>
      </c>
      <c r="L77" t="s" s="0">
        <v>2209</v>
      </c>
      <c r="M77" t="s" s="0">
        <v>2210</v>
      </c>
      <c r="N77" t="s" s="0">
        <v>2211</v>
      </c>
      <c r="O77" t="s" s="0">
        <v>2212</v>
      </c>
      <c r="P77" t="s" s="0">
        <v>2213</v>
      </c>
      <c r="Q77" t="s" s="0">
        <v>93</v>
      </c>
      <c r="R77" t="s" s="0">
        <v>84</v>
      </c>
      <c r="S77" t="s" s="0">
        <v>84</v>
      </c>
      <c r="T77" t="s" s="0">
        <v>84</v>
      </c>
      <c r="U77" t="s" s="0">
        <v>84</v>
      </c>
      <c r="V77" t="s" s="0">
        <v>2214</v>
      </c>
      <c r="W77" t="s" s="0">
        <v>2215</v>
      </c>
      <c r="X77" t="s" s="0">
        <v>84</v>
      </c>
      <c r="Y77" t="s" s="0">
        <v>84</v>
      </c>
      <c r="Z77" t="s" s="0">
        <v>96</v>
      </c>
      <c r="AA77" t="s" s="0">
        <v>97</v>
      </c>
      <c r="AB77" t="s" s="0">
        <v>84</v>
      </c>
      <c r="AC77" t="s" s="0">
        <v>84</v>
      </c>
      <c r="AD77" t="s" s="0">
        <v>84</v>
      </c>
      <c r="AE77" t="s" s="0">
        <v>84</v>
      </c>
      <c r="AF77" t="s" s="0">
        <v>84</v>
      </c>
      <c r="AG77" t="s" s="0">
        <v>2216</v>
      </c>
      <c r="AH77" t="s" s="0">
        <v>84</v>
      </c>
      <c r="AI77" t="s" s="0">
        <v>2217</v>
      </c>
      <c r="AJ77" t="s" s="0">
        <v>2218</v>
      </c>
      <c r="AK77" t="s" s="0">
        <v>84</v>
      </c>
      <c r="AL77" t="s" s="0">
        <v>2059</v>
      </c>
      <c r="AM77" t="s" s="0">
        <v>1010</v>
      </c>
      <c r="AN77" t="s" s="0">
        <v>627</v>
      </c>
      <c r="AO77" t="s" s="0">
        <v>174</v>
      </c>
      <c r="AP77" t="s" s="0">
        <v>2219</v>
      </c>
      <c r="AQ77" t="s" s="0">
        <v>2220</v>
      </c>
      <c r="AR77" t="s" s="0">
        <v>2221</v>
      </c>
      <c r="AS77" t="s" s="0">
        <v>2222</v>
      </c>
      <c r="AT77" t="s" s="0">
        <v>2223</v>
      </c>
      <c r="AU77" t="s" s="0">
        <v>2224</v>
      </c>
      <c r="AV77" t="s" s="0">
        <v>84</v>
      </c>
      <c r="AW77" t="s" s="0">
        <v>2225</v>
      </c>
      <c r="AX77" t="s" s="0">
        <v>2226</v>
      </c>
      <c r="AY77" t="s" s="0">
        <v>600</v>
      </c>
      <c r="AZ77" t="s" s="0">
        <v>273</v>
      </c>
      <c r="BA77" t="s" s="0">
        <v>228</v>
      </c>
      <c r="BB77" t="s" s="0">
        <v>237</v>
      </c>
      <c r="BC77" t="s" s="0">
        <v>84</v>
      </c>
      <c r="BD77" t="s" s="0">
        <v>84</v>
      </c>
      <c r="BE77" t="s" s="0">
        <v>84</v>
      </c>
      <c r="BF77" t="s" s="0">
        <v>84</v>
      </c>
      <c r="BG77" t="s" s="0">
        <v>2227</v>
      </c>
      <c r="BH77" t="s" s="0">
        <v>2228</v>
      </c>
      <c r="BI77" t="s" s="0">
        <v>84</v>
      </c>
      <c r="BJ77" t="s" s="0">
        <v>2229</v>
      </c>
      <c r="BK77" t="s" s="151">
        <f>HYPERLINK("http://dx.doi.org/10.21037/qims-23-892","http://dx.doi.org/10.21037/qims-23-892")</f>
        <v>2230</v>
      </c>
      <c r="BL77" t="s" s="0">
        <v>84</v>
      </c>
      <c r="BM77" t="s" s="0">
        <v>2231</v>
      </c>
      <c r="BN77" t="s" s="0">
        <v>228</v>
      </c>
      <c r="BO77" t="s" s="0">
        <v>605</v>
      </c>
      <c r="BP77" t="s" s="0">
        <v>605</v>
      </c>
      <c r="BQ77" t="s" s="0">
        <v>2232</v>
      </c>
      <c r="BR77" t="s" s="0">
        <v>2233</v>
      </c>
      <c r="BS77" t="s" s="0">
        <v>2234</v>
      </c>
      <c r="BT77" t="s" s="152">
        <f>HYPERLINK("https://www.webofscience.com/wos/woscc/full-record/WOS:001110462900001","View Record in Web of Science")</f>
        <v>128</v>
      </c>
      <c r="BU77" t="s" s="0">
        <v>171</v>
      </c>
      <c r="BV77" t="s" s="0">
        <v>84</v>
      </c>
      <c r="BW77" t="s" s="0">
        <v>84</v>
      </c>
      <c r="BX77" t="s" s="0">
        <v>131</v>
      </c>
    </row>
    <row r="78">
      <c r="A78" t="s" s="0">
        <v>237</v>
      </c>
      <c r="B78" t="s" s="0">
        <v>78</v>
      </c>
      <c r="C78" t="s" s="0">
        <v>134</v>
      </c>
      <c r="D78" t="s" s="0">
        <v>78</v>
      </c>
      <c r="E78" t="s" s="0">
        <v>2235</v>
      </c>
      <c r="F78" t="s" s="0">
        <v>2236</v>
      </c>
      <c r="G78" t="s" s="0">
        <v>2237</v>
      </c>
      <c r="H78" t="s" s="0">
        <v>84</v>
      </c>
      <c r="I78" t="s" s="0">
        <v>85</v>
      </c>
      <c r="J78" t="s" s="0">
        <v>2238</v>
      </c>
      <c r="K78" t="s" s="0">
        <v>2239</v>
      </c>
      <c r="L78" t="s" s="0">
        <v>2240</v>
      </c>
      <c r="M78" t="s" s="0">
        <v>2241</v>
      </c>
      <c r="N78" t="s" s="0">
        <v>2242</v>
      </c>
      <c r="O78" t="s" s="0">
        <v>2243</v>
      </c>
      <c r="P78" t="s" s="0">
        <v>2244</v>
      </c>
      <c r="Q78" t="s" s="0">
        <v>93</v>
      </c>
      <c r="R78" t="s" s="0">
        <v>84</v>
      </c>
      <c r="S78" t="s" s="0">
        <v>84</v>
      </c>
      <c r="T78" t="s" s="0">
        <v>84</v>
      </c>
      <c r="U78" t="s" s="0">
        <v>84</v>
      </c>
      <c r="V78" t="s" s="0">
        <v>2245</v>
      </c>
      <c r="W78" t="s" s="0">
        <v>2246</v>
      </c>
      <c r="X78" t="s" s="0">
        <v>84</v>
      </c>
      <c r="Y78" t="s" s="0">
        <v>84</v>
      </c>
      <c r="Z78" t="s" s="0">
        <v>96</v>
      </c>
      <c r="AA78" t="s" s="0">
        <v>97</v>
      </c>
      <c r="AB78" t="s" s="0">
        <v>84</v>
      </c>
      <c r="AC78" t="s" s="0">
        <v>84</v>
      </c>
      <c r="AD78" t="s" s="0">
        <v>84</v>
      </c>
      <c r="AE78" t="s" s="0">
        <v>84</v>
      </c>
      <c r="AF78" t="s" s="0">
        <v>84</v>
      </c>
      <c r="AG78" t="s" s="0">
        <v>84</v>
      </c>
      <c r="AH78" t="s" s="0">
        <v>2247</v>
      </c>
      <c r="AI78" t="s" s="0">
        <v>84</v>
      </c>
      <c r="AJ78" t="s" s="0">
        <v>84</v>
      </c>
      <c r="AK78" t="s" s="0">
        <v>84</v>
      </c>
      <c r="AL78" t="s" s="0">
        <v>1084</v>
      </c>
      <c r="AM78" t="s" s="0">
        <v>1936</v>
      </c>
      <c r="AN78" t="s" s="0">
        <v>627</v>
      </c>
      <c r="AO78" t="s" s="0">
        <v>2059</v>
      </c>
      <c r="AP78" t="s" s="0">
        <v>2183</v>
      </c>
      <c r="AQ78" t="s" s="0">
        <v>532</v>
      </c>
      <c r="AR78" t="s" s="0">
        <v>533</v>
      </c>
      <c r="AS78" t="s" s="0">
        <v>534</v>
      </c>
      <c r="AT78" t="s" s="0">
        <v>2248</v>
      </c>
      <c r="AU78" t="s" s="0">
        <v>2249</v>
      </c>
      <c r="AV78" t="s" s="0">
        <v>84</v>
      </c>
      <c r="AW78" t="s" s="0">
        <v>2246</v>
      </c>
      <c r="AX78" t="s" s="0">
        <v>2250</v>
      </c>
      <c r="AY78" t="s" s="0">
        <v>2251</v>
      </c>
      <c r="AZ78" t="s" s="0">
        <v>2252</v>
      </c>
      <c r="BA78" t="s" s="0">
        <v>2059</v>
      </c>
      <c r="BB78" t="s" s="0">
        <v>237</v>
      </c>
      <c r="BC78" t="s" s="0">
        <v>84</v>
      </c>
      <c r="BD78" t="s" s="0">
        <v>84</v>
      </c>
      <c r="BE78" t="s" s="0">
        <v>84</v>
      </c>
      <c r="BF78" t="s" s="0">
        <v>84</v>
      </c>
      <c r="BG78" t="s" s="0">
        <v>671</v>
      </c>
      <c r="BH78" t="s" s="0">
        <v>512</v>
      </c>
      <c r="BI78" t="s" s="0">
        <v>84</v>
      </c>
      <c r="BJ78" t="s" s="0">
        <v>2253</v>
      </c>
      <c r="BK78" t="s" s="153">
        <f>HYPERLINK("http://dx.doi.org/10.1016/j.ccell.2025.12.009","http://dx.doi.org/10.1016/j.ccell.2025.12.009")</f>
        <v>2254</v>
      </c>
      <c r="BL78" t="s" s="0">
        <v>84</v>
      </c>
      <c r="BM78" t="s" s="0">
        <v>2255</v>
      </c>
      <c r="BN78" t="s" s="0">
        <v>1192</v>
      </c>
      <c r="BO78" t="s" s="0">
        <v>2256</v>
      </c>
      <c r="BP78" t="s" s="0">
        <v>2256</v>
      </c>
      <c r="BQ78" t="s" s="0">
        <v>2257</v>
      </c>
      <c r="BR78" t="s" s="0">
        <v>2258</v>
      </c>
      <c r="BS78" t="s" s="0">
        <v>2259</v>
      </c>
      <c r="BT78" t="s" s="154">
        <f>HYPERLINK("https://www.webofscience.com/wos/woscc/full-record/WOS:001668256400001","View Record in Web of Science")</f>
        <v>128</v>
      </c>
      <c r="BU78" t="s" s="0">
        <v>480</v>
      </c>
      <c r="BV78" t="s" s="0">
        <v>130</v>
      </c>
      <c r="BW78" t="s" s="0">
        <v>130</v>
      </c>
      <c r="BX78" t="s" s="0">
        <v>131</v>
      </c>
    </row>
    <row r="79">
      <c r="A79" t="s" s="0">
        <v>237</v>
      </c>
      <c r="B79" t="s" s="0">
        <v>78</v>
      </c>
      <c r="C79" t="s" s="0">
        <v>439</v>
      </c>
      <c r="D79" t="s" s="0">
        <v>78</v>
      </c>
      <c r="E79" t="s" s="0">
        <v>2260</v>
      </c>
      <c r="F79" t="s" s="0">
        <v>2261</v>
      </c>
      <c r="G79" t="s" s="0">
        <v>2262</v>
      </c>
      <c r="H79" t="s" s="0">
        <v>84</v>
      </c>
      <c r="I79" t="s" s="0">
        <v>85</v>
      </c>
      <c r="J79" t="s" s="0">
        <v>2263</v>
      </c>
      <c r="K79" t="s" s="0">
        <v>2264</v>
      </c>
      <c r="L79" t="s" s="0">
        <v>84</v>
      </c>
      <c r="M79" t="s" s="0">
        <v>84</v>
      </c>
      <c r="N79" t="s" s="0">
        <v>84</v>
      </c>
      <c r="O79" t="s" s="0">
        <v>2265</v>
      </c>
      <c r="P79" t="s" s="0">
        <v>2266</v>
      </c>
      <c r="Q79" t="s" s="0">
        <v>93</v>
      </c>
      <c r="R79" t="s" s="0">
        <v>84</v>
      </c>
      <c r="S79" t="s" s="0">
        <v>84</v>
      </c>
      <c r="T79" t="s" s="0">
        <v>84</v>
      </c>
      <c r="U79" t="s" s="0">
        <v>84</v>
      </c>
      <c r="V79" t="s" s="0">
        <v>2267</v>
      </c>
      <c r="W79" t="s" s="0">
        <v>1810</v>
      </c>
      <c r="X79" t="s" s="0">
        <v>84</v>
      </c>
      <c r="Y79" t="s" s="0">
        <v>84</v>
      </c>
      <c r="Z79" t="s" s="0">
        <v>96</v>
      </c>
      <c r="AA79" t="s" s="0">
        <v>97</v>
      </c>
      <c r="AB79" t="s" s="0">
        <v>84</v>
      </c>
      <c r="AC79" t="s" s="0">
        <v>84</v>
      </c>
      <c r="AD79" t="s" s="0">
        <v>84</v>
      </c>
      <c r="AE79" t="s" s="0">
        <v>84</v>
      </c>
      <c r="AF79" t="s" s="0">
        <v>84</v>
      </c>
      <c r="AG79" t="s" s="0">
        <v>2268</v>
      </c>
      <c r="AH79" t="s" s="0">
        <v>2269</v>
      </c>
      <c r="AI79" t="s" s="0">
        <v>84</v>
      </c>
      <c r="AJ79" t="s" s="0">
        <v>2270</v>
      </c>
      <c r="AK79" t="s" s="0">
        <v>84</v>
      </c>
      <c r="AL79" t="s" s="0">
        <v>1399</v>
      </c>
      <c r="AM79" t="s" s="0">
        <v>1936</v>
      </c>
      <c r="AN79" t="s" s="0">
        <v>1113</v>
      </c>
      <c r="AO79" t="s" s="0">
        <v>122</v>
      </c>
      <c r="AP79" t="s" s="0">
        <v>409</v>
      </c>
      <c r="AQ79" t="s" s="0">
        <v>498</v>
      </c>
      <c r="AR79" t="s" s="0">
        <v>499</v>
      </c>
      <c r="AS79" t="s" s="0">
        <v>500</v>
      </c>
      <c r="AT79" t="s" s="0">
        <v>84</v>
      </c>
      <c r="AU79" t="s" s="0">
        <v>1813</v>
      </c>
      <c r="AV79" t="s" s="0">
        <v>84</v>
      </c>
      <c r="AW79" t="s" s="0">
        <v>1814</v>
      </c>
      <c r="AX79" t="s" s="0">
        <v>1815</v>
      </c>
      <c r="AY79" t="s" s="0">
        <v>273</v>
      </c>
      <c r="AZ79" t="s" s="0">
        <v>273</v>
      </c>
      <c r="BA79" t="s" s="0">
        <v>201</v>
      </c>
      <c r="BB79" t="s" s="0">
        <v>84</v>
      </c>
      <c r="BC79" t="s" s="0">
        <v>84</v>
      </c>
      <c r="BD79" t="s" s="0">
        <v>84</v>
      </c>
      <c r="BE79" t="s" s="0">
        <v>84</v>
      </c>
      <c r="BF79" t="s" s="0">
        <v>84</v>
      </c>
      <c r="BG79" t="s" s="0">
        <v>84</v>
      </c>
      <c r="BH79" t="s" s="0">
        <v>84</v>
      </c>
      <c r="BI79" t="s" s="0">
        <v>2271</v>
      </c>
      <c r="BJ79" t="s" s="0">
        <v>2272</v>
      </c>
      <c r="BK79" t="s" s="155">
        <f>HYPERLINK("http://dx.doi.org/10.2196/52073","http://dx.doi.org/10.2196/52073")</f>
        <v>2273</v>
      </c>
      <c r="BL79" t="s" s="0">
        <v>84</v>
      </c>
      <c r="BM79" t="s" s="0">
        <v>84</v>
      </c>
      <c r="BN79" t="s" s="0">
        <v>750</v>
      </c>
      <c r="BO79" t="s" s="0">
        <v>786</v>
      </c>
      <c r="BP79" t="s" s="0">
        <v>786</v>
      </c>
      <c r="BQ79" t="s" s="0">
        <v>2274</v>
      </c>
      <c r="BR79" t="s" s="0">
        <v>2275</v>
      </c>
      <c r="BS79" t="s" s="0">
        <v>2276</v>
      </c>
      <c r="BT79" t="s" s="156">
        <f>HYPERLINK("https://www.webofscience.com/wos/woscc/full-record/WOS:001207177300001","View Record in Web of Science")</f>
        <v>128</v>
      </c>
      <c r="BU79" t="s" s="0">
        <v>171</v>
      </c>
      <c r="BV79" t="s" s="0">
        <v>129</v>
      </c>
      <c r="BW79" t="s" s="0">
        <v>130</v>
      </c>
      <c r="BX79" t="s" s="0">
        <v>131</v>
      </c>
    </row>
    <row r="80">
      <c r="A80" t="s" s="0">
        <v>237</v>
      </c>
      <c r="B80" t="s" s="0">
        <v>78</v>
      </c>
      <c r="C80" t="s" s="0">
        <v>116</v>
      </c>
      <c r="D80" t="s" s="0">
        <v>237</v>
      </c>
      <c r="E80" t="s" s="0">
        <v>2277</v>
      </c>
      <c r="F80" t="s" s="0">
        <v>2278</v>
      </c>
      <c r="G80" t="s" s="0">
        <v>2279</v>
      </c>
      <c r="H80" t="s" s="0">
        <v>84</v>
      </c>
      <c r="I80" t="s" s="0">
        <v>138</v>
      </c>
      <c r="J80" t="s" s="0">
        <v>2280</v>
      </c>
      <c r="K80" t="s" s="0">
        <v>2281</v>
      </c>
      <c r="L80" t="s" s="0">
        <v>2282</v>
      </c>
      <c r="M80" t="s" s="0">
        <v>2283</v>
      </c>
      <c r="N80" t="s" s="0">
        <v>84</v>
      </c>
      <c r="O80" t="s" s="0">
        <v>2284</v>
      </c>
      <c r="P80" t="s" s="0">
        <v>2285</v>
      </c>
      <c r="Q80" t="s" s="0">
        <v>93</v>
      </c>
      <c r="R80" t="s" s="0">
        <v>84</v>
      </c>
      <c r="S80" t="s" s="0">
        <v>84</v>
      </c>
      <c r="T80" t="s" s="0">
        <v>84</v>
      </c>
      <c r="U80" t="s" s="0">
        <v>84</v>
      </c>
      <c r="V80" t="s" s="0">
        <v>2286</v>
      </c>
      <c r="W80" t="s" s="0">
        <v>144</v>
      </c>
      <c r="X80" t="s" s="0">
        <v>84</v>
      </c>
      <c r="Y80" t="s" s="0">
        <v>84</v>
      </c>
      <c r="Z80" t="s" s="0">
        <v>96</v>
      </c>
      <c r="AA80" t="s" s="0">
        <v>97</v>
      </c>
      <c r="AB80" t="s" s="0">
        <v>84</v>
      </c>
      <c r="AC80" t="s" s="0">
        <v>84</v>
      </c>
      <c r="AD80" t="s" s="0">
        <v>84</v>
      </c>
      <c r="AE80" t="s" s="0">
        <v>84</v>
      </c>
      <c r="AF80" t="s" s="0">
        <v>84</v>
      </c>
      <c r="AG80" t="s" s="0">
        <v>2287</v>
      </c>
      <c r="AH80" t="s" s="0">
        <v>2288</v>
      </c>
      <c r="AI80" t="s" s="0">
        <v>2289</v>
      </c>
      <c r="AJ80" t="s" s="0">
        <v>2290</v>
      </c>
      <c r="AK80" t="s" s="0">
        <v>84</v>
      </c>
      <c r="AL80" t="s" s="0">
        <v>1113</v>
      </c>
      <c r="AM80" t="s" s="0">
        <v>1426</v>
      </c>
      <c r="AN80" t="s" s="0">
        <v>365</v>
      </c>
      <c r="AO80" t="s" s="0">
        <v>228</v>
      </c>
      <c r="AP80" t="s" s="0">
        <v>2291</v>
      </c>
      <c r="AQ80" t="s" s="0">
        <v>154</v>
      </c>
      <c r="AR80" t="s" s="0">
        <v>155</v>
      </c>
      <c r="AS80" t="s" s="0">
        <v>156</v>
      </c>
      <c r="AT80" t="s" s="0">
        <v>84</v>
      </c>
      <c r="AU80" t="s" s="0">
        <v>157</v>
      </c>
      <c r="AV80" t="s" s="0">
        <v>84</v>
      </c>
      <c r="AW80" t="s" s="0">
        <v>158</v>
      </c>
      <c r="AX80" t="s" s="0">
        <v>159</v>
      </c>
      <c r="AY80" t="s" s="0">
        <v>470</v>
      </c>
      <c r="AZ80" t="s" s="0">
        <v>273</v>
      </c>
      <c r="BA80" t="s" s="0">
        <v>201</v>
      </c>
      <c r="BB80" t="s" s="0">
        <v>116</v>
      </c>
      <c r="BC80" t="s" s="0">
        <v>84</v>
      </c>
      <c r="BD80" t="s" s="0">
        <v>84</v>
      </c>
      <c r="BE80" t="s" s="0">
        <v>84</v>
      </c>
      <c r="BF80" t="s" s="0">
        <v>84</v>
      </c>
      <c r="BG80" t="s" s="0">
        <v>84</v>
      </c>
      <c r="BH80" t="s" s="0">
        <v>84</v>
      </c>
      <c r="BI80" t="s" s="0">
        <v>2292</v>
      </c>
      <c r="BJ80" t="s" s="0">
        <v>2293</v>
      </c>
      <c r="BK80" t="s" s="157">
        <f>HYPERLINK("http://dx.doi.org/10.3390/healthcare12080825","http://dx.doi.org/10.3390/healthcare12080825")</f>
        <v>2294</v>
      </c>
      <c r="BL80" t="s" s="0">
        <v>84</v>
      </c>
      <c r="BM80" t="s" s="0">
        <v>84</v>
      </c>
      <c r="BN80" t="s" s="0">
        <v>424</v>
      </c>
      <c r="BO80" t="s" s="0">
        <v>166</v>
      </c>
      <c r="BP80" t="s" s="0">
        <v>167</v>
      </c>
      <c r="BQ80" t="s" s="0">
        <v>2295</v>
      </c>
      <c r="BR80" t="s" s="0">
        <v>2296</v>
      </c>
      <c r="BS80" t="s" s="0">
        <v>2297</v>
      </c>
      <c r="BT80" t="s" s="158">
        <f>HYPERLINK("https://www.webofscience.com/wos/woscc/full-record/WOS:001210559800001","View Record in Web of Science")</f>
        <v>128</v>
      </c>
      <c r="BU80" t="s" s="0">
        <v>171</v>
      </c>
      <c r="BV80" t="s" s="0">
        <v>129</v>
      </c>
      <c r="BW80" t="s" s="0">
        <v>130</v>
      </c>
      <c r="BX80" t="s" s="0">
        <v>131</v>
      </c>
    </row>
    <row r="81">
      <c r="A81" t="s" s="0">
        <v>283</v>
      </c>
      <c r="B81" t="s" s="0">
        <v>78</v>
      </c>
      <c r="C81" t="s" s="0">
        <v>439</v>
      </c>
      <c r="D81" t="s" s="0">
        <v>78</v>
      </c>
      <c r="E81" t="s" s="0">
        <v>2298</v>
      </c>
      <c r="F81" t="s" s="0">
        <v>2299</v>
      </c>
      <c r="G81" t="s" s="0">
        <v>2300</v>
      </c>
      <c r="H81" t="s" s="0">
        <v>84</v>
      </c>
      <c r="I81" t="s" s="0">
        <v>85</v>
      </c>
      <c r="J81" t="s" s="0">
        <v>2301</v>
      </c>
      <c r="K81" t="s" s="0">
        <v>2302</v>
      </c>
      <c r="L81" t="s" s="0">
        <v>84</v>
      </c>
      <c r="M81" t="s" s="0">
        <v>84</v>
      </c>
      <c r="N81" t="s" s="0">
        <v>84</v>
      </c>
      <c r="O81" t="s" s="0">
        <v>2303</v>
      </c>
      <c r="P81" t="s" s="0">
        <v>2304</v>
      </c>
      <c r="Q81" t="s" s="0">
        <v>93</v>
      </c>
      <c r="R81" t="s" s="0">
        <v>84</v>
      </c>
      <c r="S81" t="s" s="0">
        <v>84</v>
      </c>
      <c r="T81" t="s" s="0">
        <v>84</v>
      </c>
      <c r="U81" t="s" s="0">
        <v>84</v>
      </c>
      <c r="V81" t="s" s="0">
        <v>2305</v>
      </c>
      <c r="W81" t="s" s="0">
        <v>1572</v>
      </c>
      <c r="X81" t="s" s="0">
        <v>84</v>
      </c>
      <c r="Y81" t="s" s="0">
        <v>84</v>
      </c>
      <c r="Z81" t="s" s="0">
        <v>96</v>
      </c>
      <c r="AA81" t="s" s="0">
        <v>97</v>
      </c>
      <c r="AB81" t="s" s="0">
        <v>84</v>
      </c>
      <c r="AC81" t="s" s="0">
        <v>84</v>
      </c>
      <c r="AD81" t="s" s="0">
        <v>84</v>
      </c>
      <c r="AE81" t="s" s="0">
        <v>84</v>
      </c>
      <c r="AF81" t="s" s="0">
        <v>84</v>
      </c>
      <c r="AG81" t="s" s="0">
        <v>2306</v>
      </c>
      <c r="AH81" t="s" s="0">
        <v>2307</v>
      </c>
      <c r="AI81" t="s" s="0">
        <v>2308</v>
      </c>
      <c r="AJ81" t="s" s="0">
        <v>2309</v>
      </c>
      <c r="AK81" t="s" s="0">
        <v>84</v>
      </c>
      <c r="AL81" t="s" s="0">
        <v>1766</v>
      </c>
      <c r="AM81" t="s" s="0">
        <v>2194</v>
      </c>
      <c r="AN81" t="s" s="0">
        <v>1113</v>
      </c>
      <c r="AO81" t="s" s="0">
        <v>196</v>
      </c>
      <c r="AP81" t="s" s="0">
        <v>2310</v>
      </c>
      <c r="AQ81" t="s" s="0">
        <v>154</v>
      </c>
      <c r="AR81" t="s" s="0">
        <v>155</v>
      </c>
      <c r="AS81" t="s" s="0">
        <v>156</v>
      </c>
      <c r="AT81" t="s" s="0">
        <v>1579</v>
      </c>
      <c r="AU81" t="s" s="0">
        <v>1580</v>
      </c>
      <c r="AV81" t="s" s="0">
        <v>84</v>
      </c>
      <c r="AW81" t="s" s="0">
        <v>1572</v>
      </c>
      <c r="AX81" t="s" s="0">
        <v>1581</v>
      </c>
      <c r="AY81" t="s" s="0">
        <v>600</v>
      </c>
      <c r="AZ81" t="s" s="0">
        <v>273</v>
      </c>
      <c r="BA81" t="s" s="0">
        <v>1191</v>
      </c>
      <c r="BB81" t="s" s="0">
        <v>237</v>
      </c>
      <c r="BC81" t="s" s="0">
        <v>84</v>
      </c>
      <c r="BD81" t="s" s="0">
        <v>84</v>
      </c>
      <c r="BE81" t="s" s="0">
        <v>84</v>
      </c>
      <c r="BF81" t="s" s="0">
        <v>84</v>
      </c>
      <c r="BG81" t="s" s="0">
        <v>84</v>
      </c>
      <c r="BH81" t="s" s="0">
        <v>84</v>
      </c>
      <c r="BI81" t="s" s="0">
        <v>1375</v>
      </c>
      <c r="BJ81" t="s" s="0">
        <v>2311</v>
      </c>
      <c r="BK81" t="s" s="159">
        <f>HYPERLINK("http://dx.doi.org/10.3390/medicina60010148","http://dx.doi.org/10.3390/medicina60010148")</f>
        <v>2312</v>
      </c>
      <c r="BL81" t="s" s="0">
        <v>84</v>
      </c>
      <c r="BM81" t="s" s="0">
        <v>84</v>
      </c>
      <c r="BN81" t="s" s="0">
        <v>750</v>
      </c>
      <c r="BO81" t="s" s="0">
        <v>404</v>
      </c>
      <c r="BP81" t="s" s="0">
        <v>405</v>
      </c>
      <c r="BQ81" t="s" s="0">
        <v>2313</v>
      </c>
      <c r="BR81" t="s" s="0">
        <v>2314</v>
      </c>
      <c r="BS81" t="s" s="0">
        <v>2315</v>
      </c>
      <c r="BT81" t="s" s="160">
        <f>HYPERLINK("https://www.webofscience.com/wos/woscc/full-record/WOS:001151060000001","View Record in Web of Science")</f>
        <v>128</v>
      </c>
      <c r="BU81" t="s" s="0">
        <v>171</v>
      </c>
      <c r="BV81" t="s" s="0">
        <v>84</v>
      </c>
      <c r="BW81" t="s" s="0">
        <v>84</v>
      </c>
      <c r="BX81" t="s" s="0">
        <v>131</v>
      </c>
    </row>
    <row r="82">
      <c r="A82" t="s" s="0">
        <v>208</v>
      </c>
      <c r="B82" t="s" s="0">
        <v>78</v>
      </c>
      <c r="C82" t="s" s="0">
        <v>439</v>
      </c>
      <c r="D82" t="s" s="0">
        <v>78</v>
      </c>
      <c r="E82" t="s" s="0">
        <v>2316</v>
      </c>
      <c r="F82" t="s" s="0">
        <v>2317</v>
      </c>
      <c r="G82" t="s" s="0">
        <v>2318</v>
      </c>
      <c r="H82" t="s" s="0">
        <v>84</v>
      </c>
      <c r="I82" t="s" s="0">
        <v>212</v>
      </c>
      <c r="J82" t="s" s="0">
        <v>2319</v>
      </c>
      <c r="K82" t="s" s="0">
        <v>2320</v>
      </c>
      <c r="L82" t="s" s="0">
        <v>84</v>
      </c>
      <c r="M82" t="s" s="0">
        <v>84</v>
      </c>
      <c r="N82" t="s" s="0">
        <v>84</v>
      </c>
      <c r="O82" t="s" s="0">
        <v>2321</v>
      </c>
      <c r="P82" t="s" s="0">
        <v>2322</v>
      </c>
      <c r="Q82" t="s" s="0">
        <v>93</v>
      </c>
      <c r="R82" t="s" s="0">
        <v>84</v>
      </c>
      <c r="S82" t="s" s="0">
        <v>84</v>
      </c>
      <c r="T82" t="s" s="0">
        <v>84</v>
      </c>
      <c r="U82" t="s" s="0">
        <v>84</v>
      </c>
      <c r="V82" t="s" s="0">
        <v>2323</v>
      </c>
      <c r="W82" t="s" s="0">
        <v>2324</v>
      </c>
      <c r="X82" t="s" s="0">
        <v>84</v>
      </c>
      <c r="Y82" t="s" s="0">
        <v>84</v>
      </c>
      <c r="Z82" t="s" s="0">
        <v>96</v>
      </c>
      <c r="AA82" t="s" s="0">
        <v>97</v>
      </c>
      <c r="AB82" t="s" s="0">
        <v>84</v>
      </c>
      <c r="AC82" t="s" s="0">
        <v>84</v>
      </c>
      <c r="AD82" t="s" s="0">
        <v>84</v>
      </c>
      <c r="AE82" t="s" s="0">
        <v>84</v>
      </c>
      <c r="AF82" t="s" s="0">
        <v>84</v>
      </c>
      <c r="AG82" t="s" s="0">
        <v>2325</v>
      </c>
      <c r="AH82" t="s" s="0">
        <v>2326</v>
      </c>
      <c r="AI82" t="s" s="0">
        <v>2327</v>
      </c>
      <c r="AJ82" t="s" s="0">
        <v>2328</v>
      </c>
      <c r="AK82" t="s" s="0">
        <v>84</v>
      </c>
      <c r="AL82" t="s" s="0">
        <v>1240</v>
      </c>
      <c r="AM82" t="s" s="0">
        <v>363</v>
      </c>
      <c r="AN82" t="s" s="0">
        <v>378</v>
      </c>
      <c r="AO82" t="s" s="0">
        <v>208</v>
      </c>
      <c r="AP82" t="s" s="0">
        <v>439</v>
      </c>
      <c r="AQ82" t="s" s="0">
        <v>2329</v>
      </c>
      <c r="AR82" t="s" s="0">
        <v>2330</v>
      </c>
      <c r="AS82" t="s" s="0">
        <v>2331</v>
      </c>
      <c r="AT82" t="s" s="0">
        <v>84</v>
      </c>
      <c r="AU82" t="s" s="0">
        <v>2332</v>
      </c>
      <c r="AV82" t="s" s="0">
        <v>84</v>
      </c>
      <c r="AW82" t="s" s="0">
        <v>2333</v>
      </c>
      <c r="AX82" t="s" s="0">
        <v>2334</v>
      </c>
      <c r="AY82" t="s" s="0">
        <v>2335</v>
      </c>
      <c r="AZ82" t="s" s="0">
        <v>273</v>
      </c>
      <c r="BA82" t="s" s="0">
        <v>116</v>
      </c>
      <c r="BB82" t="s" s="0">
        <v>237</v>
      </c>
      <c r="BC82" t="s" s="0">
        <v>84</v>
      </c>
      <c r="BD82" t="s" s="0">
        <v>84</v>
      </c>
      <c r="BE82" t="s" s="0">
        <v>84</v>
      </c>
      <c r="BF82" t="s" s="0">
        <v>84</v>
      </c>
      <c r="BG82" t="s" s="0">
        <v>84</v>
      </c>
      <c r="BH82" t="s" s="0">
        <v>84</v>
      </c>
      <c r="BI82" t="s" s="0">
        <v>1425</v>
      </c>
      <c r="BJ82" t="s" s="0">
        <v>2336</v>
      </c>
      <c r="BK82" t="s" s="161">
        <f>HYPERLINK("http://dx.doi.org/10.1186/s41747-024-00529-y","http://dx.doi.org/10.1186/s41747-024-00529-y")</f>
        <v>2337</v>
      </c>
      <c r="BL82" t="s" s="0">
        <v>84</v>
      </c>
      <c r="BM82" t="s" s="0">
        <v>84</v>
      </c>
      <c r="BN82" t="s" s="0">
        <v>206</v>
      </c>
      <c r="BO82" t="s" s="0">
        <v>605</v>
      </c>
      <c r="BP82" t="s" s="0">
        <v>605</v>
      </c>
      <c r="BQ82" t="s" s="0">
        <v>2338</v>
      </c>
      <c r="BR82" t="s" s="0">
        <v>2339</v>
      </c>
      <c r="BS82" t="s" s="0">
        <v>2340</v>
      </c>
      <c r="BT82" t="s" s="162">
        <f>HYPERLINK("https://www.webofscience.com/wos/woscc/full-record/WOS:001358950200001","View Record in Web of Science")</f>
        <v>128</v>
      </c>
      <c r="BU82" t="s" s="0">
        <v>171</v>
      </c>
      <c r="BV82" t="s" s="0">
        <v>84</v>
      </c>
      <c r="BW82" t="s" s="0">
        <v>84</v>
      </c>
      <c r="BX82" t="s" s="0">
        <v>131</v>
      </c>
    </row>
    <row r="83">
      <c r="A83" t="s" s="0">
        <v>78</v>
      </c>
      <c r="B83" t="s" s="0">
        <v>78</v>
      </c>
      <c r="C83" t="s" s="0">
        <v>122</v>
      </c>
      <c r="D83" t="s" s="0">
        <v>78</v>
      </c>
      <c r="E83" t="s" s="0">
        <v>2341</v>
      </c>
      <c r="F83" t="s" s="0">
        <v>2342</v>
      </c>
      <c r="G83" t="s" s="0">
        <v>2343</v>
      </c>
      <c r="H83" t="s" s="0">
        <v>84</v>
      </c>
      <c r="I83" t="s" s="0">
        <v>85</v>
      </c>
      <c r="J83" t="s" s="0">
        <v>2344</v>
      </c>
      <c r="K83" t="s" s="0">
        <v>2281</v>
      </c>
      <c r="L83" t="s" s="0">
        <v>2282</v>
      </c>
      <c r="M83" t="s" s="0">
        <v>2283</v>
      </c>
      <c r="N83" t="s" s="0">
        <v>84</v>
      </c>
      <c r="O83" t="s" s="0">
        <v>2345</v>
      </c>
      <c r="P83" t="s" s="0">
        <v>2285</v>
      </c>
      <c r="Q83" t="s" s="0">
        <v>93</v>
      </c>
      <c r="R83" t="s" s="0">
        <v>84</v>
      </c>
      <c r="S83" t="s" s="0">
        <v>84</v>
      </c>
      <c r="T83" t="s" s="0">
        <v>84</v>
      </c>
      <c r="U83" t="s" s="0">
        <v>84</v>
      </c>
      <c r="V83" t="s" s="0">
        <v>2346</v>
      </c>
      <c r="W83" t="s" s="0">
        <v>2347</v>
      </c>
      <c r="X83" t="s" s="0">
        <v>84</v>
      </c>
      <c r="Y83" t="s" s="0">
        <v>84</v>
      </c>
      <c r="Z83" t="s" s="0">
        <v>96</v>
      </c>
      <c r="AA83" t="s" s="0">
        <v>97</v>
      </c>
      <c r="AB83" t="s" s="0">
        <v>84</v>
      </c>
      <c r="AC83" t="s" s="0">
        <v>84</v>
      </c>
      <c r="AD83" t="s" s="0">
        <v>84</v>
      </c>
      <c r="AE83" t="s" s="0">
        <v>84</v>
      </c>
      <c r="AF83" t="s" s="0">
        <v>84</v>
      </c>
      <c r="AG83" t="s" s="0">
        <v>2348</v>
      </c>
      <c r="AH83" t="s" s="0">
        <v>2349</v>
      </c>
      <c r="AI83" t="s" s="0">
        <v>2350</v>
      </c>
      <c r="AJ83" t="s" s="0">
        <v>2351</v>
      </c>
      <c r="AK83" t="s" s="0">
        <v>84</v>
      </c>
      <c r="AL83" t="s" s="0">
        <v>2352</v>
      </c>
      <c r="AM83" t="s" s="0">
        <v>363</v>
      </c>
      <c r="AN83" t="s" s="0">
        <v>378</v>
      </c>
      <c r="AO83" t="s" s="0">
        <v>80</v>
      </c>
      <c r="AP83" t="s" s="0">
        <v>134</v>
      </c>
      <c r="AQ83" t="s" s="0">
        <v>154</v>
      </c>
      <c r="AR83" t="s" s="0">
        <v>155</v>
      </c>
      <c r="AS83" t="s" s="0">
        <v>156</v>
      </c>
      <c r="AT83" t="s" s="0">
        <v>84</v>
      </c>
      <c r="AU83" t="s" s="0">
        <v>2353</v>
      </c>
      <c r="AV83" t="s" s="0">
        <v>84</v>
      </c>
      <c r="AW83" t="s" s="0">
        <v>2354</v>
      </c>
      <c r="AX83" t="s" s="0">
        <v>2355</v>
      </c>
      <c r="AY83" t="s" s="0">
        <v>894</v>
      </c>
      <c r="AZ83" t="s" s="0">
        <v>273</v>
      </c>
      <c r="BA83" t="s" s="0">
        <v>206</v>
      </c>
      <c r="BB83" t="s" s="0">
        <v>122</v>
      </c>
      <c r="BC83" t="s" s="0">
        <v>84</v>
      </c>
      <c r="BD83" t="s" s="0">
        <v>84</v>
      </c>
      <c r="BE83" t="s" s="0">
        <v>84</v>
      </c>
      <c r="BF83" t="s" s="0">
        <v>84</v>
      </c>
      <c r="BG83" t="s" s="0">
        <v>84</v>
      </c>
      <c r="BH83" t="s" s="0">
        <v>84</v>
      </c>
      <c r="BI83" t="s" s="0">
        <v>2356</v>
      </c>
      <c r="BJ83" t="s" s="0">
        <v>2357</v>
      </c>
      <c r="BK83" t="s" s="163">
        <f>HYPERLINK("http://dx.doi.org/10.3390/jcm13113041","http://dx.doi.org/10.3390/jcm13113041")</f>
        <v>2358</v>
      </c>
      <c r="BL83" t="s" s="0">
        <v>84</v>
      </c>
      <c r="BM83" t="s" s="0">
        <v>84</v>
      </c>
      <c r="BN83" t="s" s="0">
        <v>671</v>
      </c>
      <c r="BO83" t="s" s="0">
        <v>404</v>
      </c>
      <c r="BP83" t="s" s="0">
        <v>405</v>
      </c>
      <c r="BQ83" t="s" s="0">
        <v>2359</v>
      </c>
      <c r="BR83" t="s" s="0">
        <v>2360</v>
      </c>
      <c r="BS83" t="s" s="0">
        <v>2361</v>
      </c>
      <c r="BT83" t="s" s="164">
        <f>HYPERLINK("https://www.webofscience.com/wos/woscc/full-record/WOS:001245439000001","View Record in Web of Science")</f>
        <v>128</v>
      </c>
      <c r="BU83" t="s" s="0">
        <v>171</v>
      </c>
      <c r="BV83" t="s" s="0">
        <v>129</v>
      </c>
      <c r="BW83" t="s" s="0">
        <v>130</v>
      </c>
      <c r="BX83" t="s" s="0">
        <v>131</v>
      </c>
    </row>
    <row r="84">
      <c r="A84" t="s" s="0">
        <v>78</v>
      </c>
      <c r="B84" t="s" s="0">
        <v>78</v>
      </c>
      <c r="C84" t="s" s="0">
        <v>161</v>
      </c>
      <c r="D84" t="s" s="0">
        <v>78</v>
      </c>
      <c r="E84" t="s" s="0">
        <v>2362</v>
      </c>
      <c r="F84" t="s" s="0">
        <v>2363</v>
      </c>
      <c r="G84" t="s" s="0">
        <v>2364</v>
      </c>
      <c r="H84" t="s" s="0">
        <v>84</v>
      </c>
      <c r="I84" t="s" s="0">
        <v>212</v>
      </c>
      <c r="J84" t="s" s="0">
        <v>2365</v>
      </c>
      <c r="K84" t="s" s="0">
        <v>2366</v>
      </c>
      <c r="L84" t="s" s="0">
        <v>2367</v>
      </c>
      <c r="M84" t="s" s="0">
        <v>2368</v>
      </c>
      <c r="N84" t="s" s="0">
        <v>2369</v>
      </c>
      <c r="O84" t="s" s="0">
        <v>2370</v>
      </c>
      <c r="P84" t="s" s="0">
        <v>2371</v>
      </c>
      <c r="Q84" t="s" s="0">
        <v>93</v>
      </c>
      <c r="R84" t="s" s="0">
        <v>84</v>
      </c>
      <c r="S84" t="s" s="0">
        <v>84</v>
      </c>
      <c r="T84" t="s" s="0">
        <v>84</v>
      </c>
      <c r="U84" t="s" s="0">
        <v>84</v>
      </c>
      <c r="V84" t="s" s="0">
        <v>2372</v>
      </c>
      <c r="W84" t="s" s="0">
        <v>2056</v>
      </c>
      <c r="X84" t="s" s="0">
        <v>84</v>
      </c>
      <c r="Y84" t="s" s="0">
        <v>84</v>
      </c>
      <c r="Z84" t="s" s="0">
        <v>96</v>
      </c>
      <c r="AA84" t="s" s="0">
        <v>97</v>
      </c>
      <c r="AB84" t="s" s="0">
        <v>84</v>
      </c>
      <c r="AC84" t="s" s="0">
        <v>84</v>
      </c>
      <c r="AD84" t="s" s="0">
        <v>84</v>
      </c>
      <c r="AE84" t="s" s="0">
        <v>84</v>
      </c>
      <c r="AF84" t="s" s="0">
        <v>84</v>
      </c>
      <c r="AG84" t="s" s="0">
        <v>84</v>
      </c>
      <c r="AH84" t="s" s="0">
        <v>2373</v>
      </c>
      <c r="AI84" t="s" s="0">
        <v>84</v>
      </c>
      <c r="AJ84" t="s" s="0">
        <v>84</v>
      </c>
      <c r="AK84" t="s" s="0">
        <v>84</v>
      </c>
      <c r="AL84" t="s" s="0">
        <v>2374</v>
      </c>
      <c r="AM84" t="s" s="0">
        <v>363</v>
      </c>
      <c r="AN84" t="s" s="0">
        <v>627</v>
      </c>
      <c r="AO84" t="s" s="0">
        <v>201</v>
      </c>
      <c r="AP84" t="s" s="0">
        <v>569</v>
      </c>
      <c r="AQ84" t="s" s="0">
        <v>2060</v>
      </c>
      <c r="AR84" t="s" s="0">
        <v>2061</v>
      </c>
      <c r="AS84" t="s" s="0">
        <v>2062</v>
      </c>
      <c r="AT84" t="s" s="0">
        <v>84</v>
      </c>
      <c r="AU84" t="s" s="0">
        <v>2063</v>
      </c>
      <c r="AV84" t="s" s="0">
        <v>84</v>
      </c>
      <c r="AW84" t="s" s="0">
        <v>2064</v>
      </c>
      <c r="AX84" t="s" s="0">
        <v>2065</v>
      </c>
      <c r="AY84" t="s" s="0">
        <v>542</v>
      </c>
      <c r="AZ84" t="s" s="0">
        <v>273</v>
      </c>
      <c r="BA84" t="s" s="0">
        <v>174</v>
      </c>
      <c r="BB84" t="s" s="0">
        <v>80</v>
      </c>
      <c r="BC84" t="s" s="0">
        <v>84</v>
      </c>
      <c r="BD84" t="s" s="0">
        <v>84</v>
      </c>
      <c r="BE84" t="s" s="0">
        <v>84</v>
      </c>
      <c r="BF84" t="s" s="0">
        <v>84</v>
      </c>
      <c r="BG84" t="s" s="0">
        <v>84</v>
      </c>
      <c r="BH84" t="s" s="0">
        <v>84</v>
      </c>
      <c r="BI84" t="s" s="0">
        <v>2375</v>
      </c>
      <c r="BJ84" t="s" s="0">
        <v>2376</v>
      </c>
      <c r="BK84" t="s" s="165">
        <f>HYPERLINK("http://dx.doi.org/10.1371/journal.pdig.0000503","http://dx.doi.org/10.1371/journal.pdig.0000503")</f>
        <v>2377</v>
      </c>
      <c r="BL84" t="s" s="0">
        <v>84</v>
      </c>
      <c r="BM84" t="s" s="0">
        <v>84</v>
      </c>
      <c r="BN84" t="s" s="0">
        <v>228</v>
      </c>
      <c r="BO84" t="s" s="0">
        <v>374</v>
      </c>
      <c r="BP84" t="s" s="0">
        <v>374</v>
      </c>
      <c r="BQ84" t="s" s="0">
        <v>2378</v>
      </c>
      <c r="BR84" t="s" s="0">
        <v>2379</v>
      </c>
      <c r="BS84" t="s" s="0">
        <v>2380</v>
      </c>
      <c r="BT84" t="s" s="166">
        <f>HYPERLINK("https://www.webofscience.com/wos/woscc/full-record/WOS:001416901200001","View Record in Web of Science")</f>
        <v>128</v>
      </c>
      <c r="BU84" t="s" s="0">
        <v>171</v>
      </c>
      <c r="BV84" t="s" s="0">
        <v>84</v>
      </c>
      <c r="BW84" t="s" s="0">
        <v>84</v>
      </c>
      <c r="BX84" t="s" s="0">
        <v>131</v>
      </c>
    </row>
    <row r="85">
      <c r="A85" t="s" s="0">
        <v>78</v>
      </c>
      <c r="B85" t="s" s="0">
        <v>78</v>
      </c>
      <c r="C85" t="s" s="0">
        <v>424</v>
      </c>
      <c r="D85" t="s" s="0">
        <v>78</v>
      </c>
      <c r="E85" t="s" s="0">
        <v>2381</v>
      </c>
      <c r="F85" t="s" s="0">
        <v>2382</v>
      </c>
      <c r="G85" t="s" s="0">
        <v>2383</v>
      </c>
      <c r="H85" t="s" s="0">
        <v>84</v>
      </c>
      <c r="I85" t="s" s="0">
        <v>85</v>
      </c>
      <c r="J85" t="s" s="0">
        <v>2384</v>
      </c>
      <c r="K85" t="s" s="0">
        <v>2385</v>
      </c>
      <c r="L85" t="s" s="0">
        <v>2386</v>
      </c>
      <c r="M85" t="s" s="0">
        <v>2387</v>
      </c>
      <c r="N85" t="s" s="0">
        <v>2388</v>
      </c>
      <c r="O85" t="s" s="0">
        <v>2389</v>
      </c>
      <c r="P85" t="s" s="0">
        <v>2390</v>
      </c>
      <c r="Q85" t="s" s="0">
        <v>93</v>
      </c>
      <c r="R85" t="s" s="0">
        <v>84</v>
      </c>
      <c r="S85" t="s" s="0">
        <v>84</v>
      </c>
      <c r="T85" t="s" s="0">
        <v>84</v>
      </c>
      <c r="U85" t="s" s="0">
        <v>84</v>
      </c>
      <c r="V85" t="s" s="0">
        <v>2391</v>
      </c>
      <c r="W85" t="s" s="0">
        <v>999</v>
      </c>
      <c r="X85" t="s" s="0">
        <v>84</v>
      </c>
      <c r="Y85" t="s" s="0">
        <v>84</v>
      </c>
      <c r="Z85" t="s" s="0">
        <v>96</v>
      </c>
      <c r="AA85" t="s" s="0">
        <v>97</v>
      </c>
      <c r="AB85" t="s" s="0">
        <v>84</v>
      </c>
      <c r="AC85" t="s" s="0">
        <v>84</v>
      </c>
      <c r="AD85" t="s" s="0">
        <v>84</v>
      </c>
      <c r="AE85" t="s" s="0">
        <v>84</v>
      </c>
      <c r="AF85" t="s" s="0">
        <v>84</v>
      </c>
      <c r="AG85" t="s" s="0">
        <v>84</v>
      </c>
      <c r="AH85" t="s" s="0">
        <v>2392</v>
      </c>
      <c r="AI85" t="s" s="0">
        <v>2393</v>
      </c>
      <c r="AJ85" t="s" s="0">
        <v>2394</v>
      </c>
      <c r="AK85" t="s" s="0">
        <v>84</v>
      </c>
      <c r="AL85" t="s" s="0">
        <v>1446</v>
      </c>
      <c r="AM85" t="s" s="0">
        <v>718</v>
      </c>
      <c r="AN85" t="s" s="0">
        <v>1936</v>
      </c>
      <c r="AO85" t="s" s="0">
        <v>161</v>
      </c>
      <c r="AP85" t="s" s="0">
        <v>247</v>
      </c>
      <c r="AQ85" t="s" s="0">
        <v>106</v>
      </c>
      <c r="AR85" t="s" s="0">
        <v>107</v>
      </c>
      <c r="AS85" t="s" s="0">
        <v>108</v>
      </c>
      <c r="AT85" t="s" s="0">
        <v>84</v>
      </c>
      <c r="AU85" t="s" s="0">
        <v>1006</v>
      </c>
      <c r="AV85" t="s" s="0">
        <v>84</v>
      </c>
      <c r="AW85" t="s" s="0">
        <v>1007</v>
      </c>
      <c r="AX85" t="s" s="0">
        <v>1008</v>
      </c>
      <c r="AY85" t="s" s="0">
        <v>2395</v>
      </c>
      <c r="AZ85" t="s" s="0">
        <v>273</v>
      </c>
      <c r="BA85" t="s" s="0">
        <v>116</v>
      </c>
      <c r="BB85" t="s" s="0">
        <v>237</v>
      </c>
      <c r="BC85" t="s" s="0">
        <v>84</v>
      </c>
      <c r="BD85" t="s" s="0">
        <v>84</v>
      </c>
      <c r="BE85" t="s" s="0">
        <v>84</v>
      </c>
      <c r="BF85" t="s" s="0">
        <v>84</v>
      </c>
      <c r="BG85" t="s" s="0">
        <v>84</v>
      </c>
      <c r="BH85" t="s" s="0">
        <v>84</v>
      </c>
      <c r="BI85" t="s" s="0">
        <v>572</v>
      </c>
      <c r="BJ85" t="s" s="0">
        <v>2396</v>
      </c>
      <c r="BK85" t="s" s="167">
        <f>HYPERLINK("http://dx.doi.org/10.1038/s41698-024-00517-w","http://dx.doi.org/10.1038/s41698-024-00517-w")</f>
        <v>2397</v>
      </c>
      <c r="BL85" t="s" s="0">
        <v>84</v>
      </c>
      <c r="BM85" t="s" s="0">
        <v>84</v>
      </c>
      <c r="BN85" t="s" s="0">
        <v>122</v>
      </c>
      <c r="BO85" t="s" s="0">
        <v>1013</v>
      </c>
      <c r="BP85" t="s" s="0">
        <v>1013</v>
      </c>
      <c r="BQ85" t="s" s="0">
        <v>2398</v>
      </c>
      <c r="BR85" t="s" s="0">
        <v>2399</v>
      </c>
      <c r="BS85" t="s" s="0">
        <v>2400</v>
      </c>
      <c r="BT85" t="s" s="168">
        <f>HYPERLINK("https://www.webofscience.com/wos/woscc/full-record/WOS:001153275900001","View Record in Web of Science")</f>
        <v>128</v>
      </c>
      <c r="BU85" t="s" s="0">
        <v>171</v>
      </c>
      <c r="BV85" t="s" s="0">
        <v>129</v>
      </c>
      <c r="BW85" t="s" s="0">
        <v>130</v>
      </c>
      <c r="BX85" t="s" s="0">
        <v>131</v>
      </c>
    </row>
    <row r="86">
      <c r="A86" t="s" s="0">
        <v>208</v>
      </c>
      <c r="B86" t="s" s="0">
        <v>78</v>
      </c>
      <c r="C86" t="s" s="0">
        <v>208</v>
      </c>
      <c r="D86" t="s" s="0">
        <v>78</v>
      </c>
      <c r="E86" t="s" s="0">
        <v>2401</v>
      </c>
      <c r="F86" t="s" s="0">
        <v>2402</v>
      </c>
      <c r="G86" t="s" s="0">
        <v>2403</v>
      </c>
      <c r="H86" t="s" s="0">
        <v>84</v>
      </c>
      <c r="I86" t="s" s="0">
        <v>212</v>
      </c>
      <c r="J86" t="s" s="0">
        <v>2404</v>
      </c>
      <c r="K86" t="s" s="0">
        <v>2405</v>
      </c>
      <c r="L86" t="s" s="0">
        <v>84</v>
      </c>
      <c r="M86" t="s" s="0">
        <v>84</v>
      </c>
      <c r="N86" t="s" s="0">
        <v>84</v>
      </c>
      <c r="O86" t="s" s="0">
        <v>2406</v>
      </c>
      <c r="P86" t="s" s="0">
        <v>2407</v>
      </c>
      <c r="Q86" t="s" s="0">
        <v>93</v>
      </c>
      <c r="R86" t="s" s="0">
        <v>84</v>
      </c>
      <c r="S86" t="s" s="0">
        <v>84</v>
      </c>
      <c r="T86" t="s" s="0">
        <v>84</v>
      </c>
      <c r="U86" t="s" s="0">
        <v>84</v>
      </c>
      <c r="V86" t="s" s="0">
        <v>2408</v>
      </c>
      <c r="W86" t="s" s="0">
        <v>2030</v>
      </c>
      <c r="X86" t="s" s="0">
        <v>84</v>
      </c>
      <c r="Y86" t="s" s="0">
        <v>84</v>
      </c>
      <c r="Z86" t="s" s="0">
        <v>96</v>
      </c>
      <c r="AA86" t="s" s="0">
        <v>97</v>
      </c>
      <c r="AB86" t="s" s="0">
        <v>84</v>
      </c>
      <c r="AC86" t="s" s="0">
        <v>84</v>
      </c>
      <c r="AD86" t="s" s="0">
        <v>84</v>
      </c>
      <c r="AE86" t="s" s="0">
        <v>84</v>
      </c>
      <c r="AF86" t="s" s="0">
        <v>84</v>
      </c>
      <c r="AG86" t="s" s="0">
        <v>2409</v>
      </c>
      <c r="AH86" t="s" s="0">
        <v>2410</v>
      </c>
      <c r="AI86" t="s" s="0">
        <v>2411</v>
      </c>
      <c r="AJ86" t="s" s="0">
        <v>2412</v>
      </c>
      <c r="AK86" t="s" s="0">
        <v>84</v>
      </c>
      <c r="AL86" t="s" s="0">
        <v>1884</v>
      </c>
      <c r="AM86" t="s" s="0">
        <v>718</v>
      </c>
      <c r="AN86" t="s" s="0">
        <v>2374</v>
      </c>
      <c r="AO86" t="s" s="0">
        <v>237</v>
      </c>
      <c r="AP86" t="s" s="0">
        <v>192</v>
      </c>
      <c r="AQ86" t="s" s="0">
        <v>230</v>
      </c>
      <c r="AR86" t="s" s="0">
        <v>231</v>
      </c>
      <c r="AS86" t="s" s="0">
        <v>1521</v>
      </c>
      <c r="AT86" t="s" s="0">
        <v>84</v>
      </c>
      <c r="AU86" t="s" s="0">
        <v>2035</v>
      </c>
      <c r="AV86" t="s" s="0">
        <v>84</v>
      </c>
      <c r="AW86" t="s" s="0">
        <v>2036</v>
      </c>
      <c r="AX86" t="s" s="0">
        <v>2037</v>
      </c>
      <c r="AY86" t="s" s="0">
        <v>2193</v>
      </c>
      <c r="AZ86" t="s" s="0">
        <v>114</v>
      </c>
      <c r="BA86" t="s" s="0">
        <v>306</v>
      </c>
      <c r="BB86" t="s" s="0">
        <v>122</v>
      </c>
      <c r="BC86" t="s" s="0">
        <v>84</v>
      </c>
      <c r="BD86" t="s" s="0">
        <v>84</v>
      </c>
      <c r="BE86" t="s" s="0">
        <v>84</v>
      </c>
      <c r="BF86" t="s" s="0">
        <v>84</v>
      </c>
      <c r="BG86" t="s" s="0">
        <v>84</v>
      </c>
      <c r="BH86" t="s" s="0">
        <v>84</v>
      </c>
      <c r="BI86" t="s" s="0">
        <v>2413</v>
      </c>
      <c r="BJ86" t="s" s="0">
        <v>2414</v>
      </c>
      <c r="BK86" t="s" s="169">
        <f>HYPERLINK("http://dx.doi.org/10.7759/cureus.48643","http://dx.doi.org/10.7759/cureus.48643")</f>
        <v>2415</v>
      </c>
      <c r="BL86" t="s" s="0">
        <v>84</v>
      </c>
      <c r="BM86" t="s" s="0">
        <v>84</v>
      </c>
      <c r="BN86" t="s" s="0">
        <v>201</v>
      </c>
      <c r="BO86" t="s" s="0">
        <v>84</v>
      </c>
      <c r="BP86" t="s" s="0">
        <v>84</v>
      </c>
      <c r="BQ86" t="s" s="0">
        <v>2416</v>
      </c>
      <c r="BR86" t="s" s="0">
        <v>2417</v>
      </c>
      <c r="BS86" t="s" s="0">
        <v>2418</v>
      </c>
      <c r="BT86" t="s" s="170">
        <f>HYPERLINK("https://www.webofscience.com/wos/woscc/full-record/WOS:001106501800008","View Record in Web of Science")</f>
        <v>128</v>
      </c>
      <c r="BU86" t="s" s="0">
        <v>171</v>
      </c>
      <c r="BV86" t="s" s="0">
        <v>84</v>
      </c>
      <c r="BW86" t="s" s="0">
        <v>84</v>
      </c>
      <c r="BX86" t="s" s="0">
        <v>131</v>
      </c>
    </row>
    <row r="87">
      <c r="A87" t="s" s="0">
        <v>174</v>
      </c>
      <c r="B87" t="s" s="0">
        <v>78</v>
      </c>
      <c r="C87" t="s" s="0">
        <v>201</v>
      </c>
      <c r="D87" t="s" s="0">
        <v>78</v>
      </c>
      <c r="E87" t="s" s="0">
        <v>2419</v>
      </c>
      <c r="F87" t="s" s="0">
        <v>2420</v>
      </c>
      <c r="G87" t="s" s="0">
        <v>2421</v>
      </c>
      <c r="H87" t="s" s="0">
        <v>84</v>
      </c>
      <c r="I87" t="s" s="0">
        <v>85</v>
      </c>
      <c r="J87" t="s" s="0">
        <v>2422</v>
      </c>
      <c r="K87" t="s" s="0">
        <v>2423</v>
      </c>
      <c r="L87" t="s" s="0">
        <v>2424</v>
      </c>
      <c r="M87" t="s" s="0">
        <v>2425</v>
      </c>
      <c r="N87" t="s" s="0">
        <v>2426</v>
      </c>
      <c r="O87" t="s" s="0">
        <v>2427</v>
      </c>
      <c r="P87" t="s" s="0">
        <v>2428</v>
      </c>
      <c r="Q87" t="s" s="0">
        <v>93</v>
      </c>
      <c r="R87" t="s" s="0">
        <v>84</v>
      </c>
      <c r="S87" t="s" s="0">
        <v>84</v>
      </c>
      <c r="T87" t="s" s="0">
        <v>84</v>
      </c>
      <c r="U87" t="s" s="0">
        <v>84</v>
      </c>
      <c r="V87" t="s" s="0">
        <v>2429</v>
      </c>
      <c r="W87" t="s" s="0">
        <v>2430</v>
      </c>
      <c r="X87" t="s" s="0">
        <v>84</v>
      </c>
      <c r="Y87" t="s" s="0">
        <v>84</v>
      </c>
      <c r="Z87" t="s" s="0">
        <v>96</v>
      </c>
      <c r="AA87" t="s" s="0">
        <v>97</v>
      </c>
      <c r="AB87" t="s" s="0">
        <v>84</v>
      </c>
      <c r="AC87" t="s" s="0">
        <v>84</v>
      </c>
      <c r="AD87" t="s" s="0">
        <v>84</v>
      </c>
      <c r="AE87" t="s" s="0">
        <v>84</v>
      </c>
      <c r="AF87" t="s" s="0">
        <v>84</v>
      </c>
      <c r="AG87" t="s" s="0">
        <v>84</v>
      </c>
      <c r="AH87" t="s" s="0">
        <v>2431</v>
      </c>
      <c r="AI87" t="s" s="0">
        <v>2432</v>
      </c>
      <c r="AJ87" t="s" s="0">
        <v>2433</v>
      </c>
      <c r="AK87" t="s" s="0">
        <v>84</v>
      </c>
      <c r="AL87" t="s" s="0">
        <v>1031</v>
      </c>
      <c r="AM87" t="s" s="0">
        <v>565</v>
      </c>
      <c r="AN87" t="s" s="0">
        <v>409</v>
      </c>
      <c r="AO87" t="s" s="0">
        <v>735</v>
      </c>
      <c r="AP87" t="s" s="0">
        <v>689</v>
      </c>
      <c r="AQ87" t="s" s="0">
        <v>230</v>
      </c>
      <c r="AR87" t="s" s="0">
        <v>231</v>
      </c>
      <c r="AS87" t="s" s="0">
        <v>232</v>
      </c>
      <c r="AT87" t="s" s="0">
        <v>84</v>
      </c>
      <c r="AU87" t="s" s="0">
        <v>2434</v>
      </c>
      <c r="AV87" t="s" s="0">
        <v>84</v>
      </c>
      <c r="AW87" t="s" s="0">
        <v>2435</v>
      </c>
      <c r="AX87" t="s" s="0">
        <v>2436</v>
      </c>
      <c r="AY87" t="s" s="0">
        <v>2437</v>
      </c>
      <c r="AZ87" t="s" s="0">
        <v>338</v>
      </c>
      <c r="BA87" t="s" s="0">
        <v>174</v>
      </c>
      <c r="BB87" t="s" s="0">
        <v>161</v>
      </c>
      <c r="BC87" t="s" s="0">
        <v>84</v>
      </c>
      <c r="BD87" t="s" s="0">
        <v>84</v>
      </c>
      <c r="BE87" t="s" s="0">
        <v>84</v>
      </c>
      <c r="BF87" t="s" s="0">
        <v>84</v>
      </c>
      <c r="BG87" t="s" s="0">
        <v>1582</v>
      </c>
      <c r="BH87" t="s" s="0">
        <v>2438</v>
      </c>
      <c r="BI87" t="s" s="0">
        <v>84</v>
      </c>
      <c r="BJ87" t="s" s="0">
        <v>2439</v>
      </c>
      <c r="BK87" t="s" s="171">
        <f>HYPERLINK("http://dx.doi.org/10.1038/s44222-025-00279-5","http://dx.doi.org/10.1038/s44222-025-00279-5")</f>
        <v>2440</v>
      </c>
      <c r="BL87" t="s" s="0">
        <v>84</v>
      </c>
      <c r="BM87" t="s" s="0">
        <v>1171</v>
      </c>
      <c r="BN87" t="s" s="0">
        <v>165</v>
      </c>
      <c r="BO87" t="s" s="0">
        <v>2441</v>
      </c>
      <c r="BP87" t="s" s="0">
        <v>2442</v>
      </c>
      <c r="BQ87" t="s" s="0">
        <v>2443</v>
      </c>
      <c r="BR87" t="s" s="0">
        <v>84</v>
      </c>
      <c r="BS87" t="s" s="0">
        <v>2444</v>
      </c>
      <c r="BT87" t="s" s="172">
        <f>HYPERLINK("https://www.webofscience.com/wos/woscc/full-record/WOS:001461160700001","View Record in Web of Science")</f>
        <v>128</v>
      </c>
      <c r="BU87" t="s" s="0">
        <v>84</v>
      </c>
      <c r="BV87" t="s" s="0">
        <v>84</v>
      </c>
      <c r="BW87" t="s" s="0">
        <v>84</v>
      </c>
      <c r="BX87" t="s" s="0">
        <v>131</v>
      </c>
    </row>
    <row r="88">
      <c r="A88" t="s" s="0">
        <v>208</v>
      </c>
      <c r="B88" t="s" s="0">
        <v>78</v>
      </c>
      <c r="C88" t="s" s="0">
        <v>174</v>
      </c>
      <c r="D88" t="s" s="0">
        <v>78</v>
      </c>
      <c r="E88" t="s" s="0">
        <v>2445</v>
      </c>
      <c r="F88" t="s" s="0">
        <v>2446</v>
      </c>
      <c r="G88" t="s" s="0">
        <v>2447</v>
      </c>
      <c r="H88" t="s" s="0">
        <v>84</v>
      </c>
      <c r="I88" t="s" s="0">
        <v>85</v>
      </c>
      <c r="J88" t="s" s="0">
        <v>2448</v>
      </c>
      <c r="K88" t="s" s="0">
        <v>2449</v>
      </c>
      <c r="L88" t="s" s="0">
        <v>84</v>
      </c>
      <c r="M88" t="s" s="0">
        <v>84</v>
      </c>
      <c r="N88" t="s" s="0">
        <v>84</v>
      </c>
      <c r="O88" t="s" s="0">
        <v>2450</v>
      </c>
      <c r="P88" t="s" s="0">
        <v>2451</v>
      </c>
      <c r="Q88" t="s" s="0">
        <v>93</v>
      </c>
      <c r="R88" t="s" s="0">
        <v>84</v>
      </c>
      <c r="S88" t="s" s="0">
        <v>84</v>
      </c>
      <c r="T88" t="s" s="0">
        <v>84</v>
      </c>
      <c r="U88" t="s" s="0">
        <v>84</v>
      </c>
      <c r="V88" t="s" s="0">
        <v>2452</v>
      </c>
      <c r="W88" t="s" s="0">
        <v>2453</v>
      </c>
      <c r="X88" t="s" s="0">
        <v>84</v>
      </c>
      <c r="Y88" t="s" s="0">
        <v>84</v>
      </c>
      <c r="Z88" t="s" s="0">
        <v>96</v>
      </c>
      <c r="AA88" t="s" s="0">
        <v>97</v>
      </c>
      <c r="AB88" t="s" s="0">
        <v>84</v>
      </c>
      <c r="AC88" t="s" s="0">
        <v>84</v>
      </c>
      <c r="AD88" t="s" s="0">
        <v>84</v>
      </c>
      <c r="AE88" t="s" s="0">
        <v>84</v>
      </c>
      <c r="AF88" t="s" s="0">
        <v>84</v>
      </c>
      <c r="AG88" t="s" s="0">
        <v>2454</v>
      </c>
      <c r="AH88" t="s" s="0">
        <v>84</v>
      </c>
      <c r="AI88" t="s" s="0">
        <v>2455</v>
      </c>
      <c r="AJ88" t="s" s="0">
        <v>2456</v>
      </c>
      <c r="AK88" t="s" s="0">
        <v>84</v>
      </c>
      <c r="AL88" t="s" s="0">
        <v>1715</v>
      </c>
      <c r="AM88" t="s" s="0">
        <v>192</v>
      </c>
      <c r="AN88" t="s" s="0">
        <v>627</v>
      </c>
      <c r="AO88" t="s" s="0">
        <v>1885</v>
      </c>
      <c r="AP88" t="s" s="0">
        <v>914</v>
      </c>
      <c r="AQ88" t="s" s="0">
        <v>154</v>
      </c>
      <c r="AR88" t="s" s="0">
        <v>155</v>
      </c>
      <c r="AS88" t="s" s="0">
        <v>156</v>
      </c>
      <c r="AT88" t="s" s="0">
        <v>84</v>
      </c>
      <c r="AU88" t="s" s="0">
        <v>2457</v>
      </c>
      <c r="AV88" t="s" s="0">
        <v>84</v>
      </c>
      <c r="AW88" t="s" s="0">
        <v>2458</v>
      </c>
      <c r="AX88" t="s" s="0">
        <v>2459</v>
      </c>
      <c r="AY88" t="s" s="0">
        <v>2460</v>
      </c>
      <c r="AZ88" t="s" s="0">
        <v>338</v>
      </c>
      <c r="BA88" t="s" s="0">
        <v>306</v>
      </c>
      <c r="BB88" t="s" s="0">
        <v>161</v>
      </c>
      <c r="BC88" t="s" s="0">
        <v>84</v>
      </c>
      <c r="BD88" t="s" s="0">
        <v>84</v>
      </c>
      <c r="BE88" t="s" s="0">
        <v>84</v>
      </c>
      <c r="BF88" t="s" s="0">
        <v>84</v>
      </c>
      <c r="BG88" t="s" s="0">
        <v>84</v>
      </c>
      <c r="BH88" t="s" s="0">
        <v>84</v>
      </c>
      <c r="BI88" t="s" s="0">
        <v>2461</v>
      </c>
      <c r="BJ88" t="s" s="0">
        <v>2462</v>
      </c>
      <c r="BK88" t="s" s="173">
        <f>HYPERLINK("http://dx.doi.org/10.3390/app15063166","http://dx.doi.org/10.3390/app15063166")</f>
        <v>2463</v>
      </c>
      <c r="BL88" t="s" s="0">
        <v>84</v>
      </c>
      <c r="BM88" t="s" s="0">
        <v>84</v>
      </c>
      <c r="BN88" t="s" s="0">
        <v>1305</v>
      </c>
      <c r="BO88" t="s" s="0">
        <v>2464</v>
      </c>
      <c r="BP88" t="s" s="0">
        <v>2465</v>
      </c>
      <c r="BQ88" t="s" s="0">
        <v>2466</v>
      </c>
      <c r="BR88" t="s" s="0">
        <v>84</v>
      </c>
      <c r="BS88" t="s" s="0">
        <v>2467</v>
      </c>
      <c r="BT88" t="s" s="174">
        <f>HYPERLINK("https://www.webofscience.com/wos/woscc/full-record/WOS:001453395700001","View Record in Web of Science")</f>
        <v>128</v>
      </c>
      <c r="BU88" t="s" s="0">
        <v>171</v>
      </c>
      <c r="BV88" t="s" s="0">
        <v>129</v>
      </c>
      <c r="BW88" t="s" s="0">
        <v>130</v>
      </c>
      <c r="BX88" t="s" s="0">
        <v>131</v>
      </c>
    </row>
    <row r="89">
      <c r="A89" t="s" s="0">
        <v>174</v>
      </c>
      <c r="B89" t="s" s="0">
        <v>78</v>
      </c>
      <c r="C89" t="s" s="0">
        <v>132</v>
      </c>
      <c r="D89" t="s" s="0">
        <v>78</v>
      </c>
      <c r="E89" t="s" s="0">
        <v>2468</v>
      </c>
      <c r="F89" t="s" s="0">
        <v>2469</v>
      </c>
      <c r="G89" t="s" s="0">
        <v>2470</v>
      </c>
      <c r="H89" t="s" s="0">
        <v>84</v>
      </c>
      <c r="I89" t="s" s="0">
        <v>85</v>
      </c>
      <c r="J89" t="s" s="0">
        <v>2471</v>
      </c>
      <c r="K89" t="s" s="0">
        <v>87</v>
      </c>
      <c r="L89" t="s" s="0">
        <v>2472</v>
      </c>
      <c r="M89" t="s" s="0">
        <v>2473</v>
      </c>
      <c r="N89" t="s" s="0">
        <v>2474</v>
      </c>
      <c r="O89" t="s" s="0">
        <v>2475</v>
      </c>
      <c r="P89" t="s" s="0">
        <v>2476</v>
      </c>
      <c r="Q89" t="s" s="0">
        <v>93</v>
      </c>
      <c r="R89" t="s" s="0">
        <v>84</v>
      </c>
      <c r="S89" t="s" s="0">
        <v>84</v>
      </c>
      <c r="T89" t="s" s="0">
        <v>84</v>
      </c>
      <c r="U89" t="s" s="0">
        <v>84</v>
      </c>
      <c r="V89" t="s" s="0">
        <v>2477</v>
      </c>
      <c r="W89" t="s" s="0">
        <v>95</v>
      </c>
      <c r="X89" t="s" s="0">
        <v>84</v>
      </c>
      <c r="Y89" t="s" s="0">
        <v>84</v>
      </c>
      <c r="Z89" t="s" s="0">
        <v>96</v>
      </c>
      <c r="AA89" t="s" s="0">
        <v>97</v>
      </c>
      <c r="AB89" t="s" s="0">
        <v>84</v>
      </c>
      <c r="AC89" t="s" s="0">
        <v>84</v>
      </c>
      <c r="AD89" t="s" s="0">
        <v>84</v>
      </c>
      <c r="AE89" t="s" s="0">
        <v>84</v>
      </c>
      <c r="AF89" t="s" s="0">
        <v>84</v>
      </c>
      <c r="AG89" t="s" s="0">
        <v>84</v>
      </c>
      <c r="AH89" t="s" s="0">
        <v>2478</v>
      </c>
      <c r="AI89" t="s" s="0">
        <v>2479</v>
      </c>
      <c r="AJ89" t="s" s="0">
        <v>2480</v>
      </c>
      <c r="AK89" t="s" s="0">
        <v>84</v>
      </c>
      <c r="AL89" t="s" s="0">
        <v>2481</v>
      </c>
      <c r="AM89" t="s" s="0">
        <v>494</v>
      </c>
      <c r="AN89" t="s" s="0">
        <v>409</v>
      </c>
      <c r="AO89" t="s" s="0">
        <v>572</v>
      </c>
      <c r="AP89" t="s" s="0">
        <v>791</v>
      </c>
      <c r="AQ89" t="s" s="0">
        <v>106</v>
      </c>
      <c r="AR89" t="s" s="0">
        <v>107</v>
      </c>
      <c r="AS89" t="s" s="0">
        <v>108</v>
      </c>
      <c r="AT89" t="s" s="0">
        <v>109</v>
      </c>
      <c r="AU89" t="s" s="0">
        <v>110</v>
      </c>
      <c r="AV89" t="s" s="0">
        <v>84</v>
      </c>
      <c r="AW89" t="s" s="0">
        <v>111</v>
      </c>
      <c r="AX89" t="s" s="0">
        <v>112</v>
      </c>
      <c r="AY89" t="s" s="0">
        <v>2482</v>
      </c>
      <c r="AZ89" t="s" s="0">
        <v>338</v>
      </c>
      <c r="BA89" t="s" s="0">
        <v>339</v>
      </c>
      <c r="BB89" t="s" s="0">
        <v>439</v>
      </c>
      <c r="BC89" t="s" s="0">
        <v>84</v>
      </c>
      <c r="BD89" t="s" s="0">
        <v>84</v>
      </c>
      <c r="BE89" t="s" s="0">
        <v>84</v>
      </c>
      <c r="BF89" t="s" s="0">
        <v>84</v>
      </c>
      <c r="BG89" t="s" s="0">
        <v>2483</v>
      </c>
      <c r="BH89" t="s" s="0">
        <v>2484</v>
      </c>
      <c r="BI89" t="s" s="0">
        <v>84</v>
      </c>
      <c r="BJ89" t="s" s="0">
        <v>2485</v>
      </c>
      <c r="BK89" t="s" s="175">
        <f>HYPERLINK("http://dx.doi.org/10.1038/s41591-025-03983-2","http://dx.doi.org/10.1038/s41591-025-03983-2")</f>
        <v>2486</v>
      </c>
      <c r="BL89" t="s" s="0">
        <v>84</v>
      </c>
      <c r="BM89" t="s" s="0">
        <v>2482</v>
      </c>
      <c r="BN89" t="s" s="0">
        <v>206</v>
      </c>
      <c r="BO89" t="s" s="0">
        <v>123</v>
      </c>
      <c r="BP89" t="s" s="0">
        <v>124</v>
      </c>
      <c r="BQ89" t="s" s="0">
        <v>2487</v>
      </c>
      <c r="BR89" t="s" s="0">
        <v>2488</v>
      </c>
      <c r="BS89" t="s" s="0">
        <v>2489</v>
      </c>
      <c r="BT89" t="s" s="176">
        <f>HYPERLINK("https://www.webofscience.com/wos/woscc/full-record/WOS:001587423500001","View Record in Web of Science")</f>
        <v>128</v>
      </c>
      <c r="BU89" t="s" s="0">
        <v>84</v>
      </c>
      <c r="BV89" t="s" s="0">
        <v>84</v>
      </c>
      <c r="BW89" t="s" s="0">
        <v>84</v>
      </c>
      <c r="BX89" t="s" s="0">
        <v>131</v>
      </c>
    </row>
    <row r="90">
      <c r="A90" t="s" s="0">
        <v>80</v>
      </c>
      <c r="B90" t="s" s="0">
        <v>78</v>
      </c>
      <c r="C90" t="s" s="0">
        <v>572</v>
      </c>
      <c r="D90" t="s" s="0">
        <v>78</v>
      </c>
      <c r="E90" t="s" s="0">
        <v>2490</v>
      </c>
      <c r="F90" t="s" s="0">
        <v>2491</v>
      </c>
      <c r="G90" t="s" s="0">
        <v>2492</v>
      </c>
      <c r="H90" t="s" s="0">
        <v>84</v>
      </c>
      <c r="I90" t="s" s="0">
        <v>85</v>
      </c>
      <c r="J90" t="s" s="0">
        <v>2493</v>
      </c>
      <c r="K90" t="s" s="0">
        <v>2494</v>
      </c>
      <c r="L90" t="s" s="0">
        <v>2495</v>
      </c>
      <c r="M90" t="s" s="0">
        <v>2495</v>
      </c>
      <c r="N90" t="s" s="0">
        <v>2496</v>
      </c>
      <c r="O90" t="s" s="0">
        <v>2497</v>
      </c>
      <c r="P90" t="s" s="0">
        <v>2498</v>
      </c>
      <c r="Q90" t="s" s="0">
        <v>93</v>
      </c>
      <c r="R90" t="s" s="0">
        <v>84</v>
      </c>
      <c r="S90" t="s" s="0">
        <v>84</v>
      </c>
      <c r="T90" t="s" s="0">
        <v>84</v>
      </c>
      <c r="U90" t="s" s="0">
        <v>84</v>
      </c>
      <c r="V90" t="s" s="0">
        <v>2499</v>
      </c>
      <c r="W90" t="s" s="0">
        <v>2500</v>
      </c>
      <c r="X90" t="s" s="0">
        <v>84</v>
      </c>
      <c r="Y90" t="s" s="0">
        <v>84</v>
      </c>
      <c r="Z90" t="s" s="0">
        <v>96</v>
      </c>
      <c r="AA90" t="s" s="0">
        <v>97</v>
      </c>
      <c r="AB90" t="s" s="0">
        <v>84</v>
      </c>
      <c r="AC90" t="s" s="0">
        <v>84</v>
      </c>
      <c r="AD90" t="s" s="0">
        <v>84</v>
      </c>
      <c r="AE90" t="s" s="0">
        <v>84</v>
      </c>
      <c r="AF90" t="s" s="0">
        <v>84</v>
      </c>
      <c r="AG90" t="s" s="0">
        <v>2501</v>
      </c>
      <c r="AH90" t="s" s="0">
        <v>2502</v>
      </c>
      <c r="AI90" t="s" s="0">
        <v>2503</v>
      </c>
      <c r="AJ90" t="s" s="0">
        <v>2504</v>
      </c>
      <c r="AK90" t="s" s="0">
        <v>84</v>
      </c>
      <c r="AL90" t="s" s="0">
        <v>2505</v>
      </c>
      <c r="AM90" t="s" s="0">
        <v>689</v>
      </c>
      <c r="AN90" t="s" s="0">
        <v>409</v>
      </c>
      <c r="AO90" t="s" s="0">
        <v>306</v>
      </c>
      <c r="AP90" t="s" s="0">
        <v>704</v>
      </c>
      <c r="AQ90" t="s" s="0">
        <v>1164</v>
      </c>
      <c r="AR90" t="s" s="0">
        <v>1165</v>
      </c>
      <c r="AS90" t="s" s="0">
        <v>1166</v>
      </c>
      <c r="AT90" t="s" s="0">
        <v>2506</v>
      </c>
      <c r="AU90" t="s" s="0">
        <v>2507</v>
      </c>
      <c r="AV90" t="s" s="0">
        <v>84</v>
      </c>
      <c r="AW90" t="s" s="0">
        <v>2508</v>
      </c>
      <c r="AX90" t="s" s="0">
        <v>2509</v>
      </c>
      <c r="AY90" t="s" s="0">
        <v>1427</v>
      </c>
      <c r="AZ90" t="s" s="0">
        <v>338</v>
      </c>
      <c r="BA90" t="s" s="0">
        <v>278</v>
      </c>
      <c r="BB90" t="s" s="0">
        <v>549</v>
      </c>
      <c r="BC90" t="s" s="0">
        <v>84</v>
      </c>
      <c r="BD90" t="s" s="0">
        <v>84</v>
      </c>
      <c r="BE90" t="s" s="0">
        <v>84</v>
      </c>
      <c r="BF90" t="s" s="0">
        <v>84</v>
      </c>
      <c r="BG90" t="s" s="0">
        <v>2510</v>
      </c>
      <c r="BH90" t="s" s="0">
        <v>2511</v>
      </c>
      <c r="BI90" t="s" s="0">
        <v>84</v>
      </c>
      <c r="BJ90" t="s" s="0">
        <v>2512</v>
      </c>
      <c r="BK90" t="s" s="177">
        <f>HYPERLINK("http://dx.doi.org/10.1016/j.annonc.2025.03.006","http://dx.doi.org/10.1016/j.annonc.2025.03.006")</f>
        <v>2513</v>
      </c>
      <c r="BL90" t="s" s="0">
        <v>84</v>
      </c>
      <c r="BM90" t="s" s="0">
        <v>2437</v>
      </c>
      <c r="BN90" t="s" s="0">
        <v>228</v>
      </c>
      <c r="BO90" t="s" s="0">
        <v>1013</v>
      </c>
      <c r="BP90" t="s" s="0">
        <v>1013</v>
      </c>
      <c r="BQ90" t="s" s="0">
        <v>2514</v>
      </c>
      <c r="BR90" t="s" s="0">
        <v>2515</v>
      </c>
      <c r="BS90" t="s" s="0">
        <v>2516</v>
      </c>
      <c r="BT90" t="s" s="178">
        <f>HYPERLINK("https://www.webofscience.com/wos/woscc/full-record/WOS:001514003600002","View Record in Web of Science")</f>
        <v>128</v>
      </c>
      <c r="BU90" t="s" s="0">
        <v>480</v>
      </c>
      <c r="BV90" t="s" s="0">
        <v>129</v>
      </c>
      <c r="BW90" t="s" s="0">
        <v>130</v>
      </c>
      <c r="BX90" t="s" s="0">
        <v>131</v>
      </c>
    </row>
    <row r="91">
      <c r="A91" t="s" s="0">
        <v>237</v>
      </c>
      <c r="B91" t="s" s="0">
        <v>78</v>
      </c>
      <c r="C91" t="s" s="0">
        <v>80</v>
      </c>
      <c r="D91" t="s" s="0">
        <v>78</v>
      </c>
      <c r="E91" t="s" s="0">
        <v>2517</v>
      </c>
      <c r="F91" t="s" s="0">
        <v>2518</v>
      </c>
      <c r="G91" t="s" s="0">
        <v>2519</v>
      </c>
      <c r="H91" t="s" s="0">
        <v>84</v>
      </c>
      <c r="I91" t="s" s="0">
        <v>212</v>
      </c>
      <c r="J91" t="s" s="0">
        <v>2520</v>
      </c>
      <c r="K91" t="s" s="0">
        <v>2521</v>
      </c>
      <c r="L91" t="s" s="0">
        <v>2522</v>
      </c>
      <c r="M91" t="s" s="0">
        <v>2523</v>
      </c>
      <c r="N91" t="s" s="0">
        <v>2524</v>
      </c>
      <c r="O91" t="s" s="0">
        <v>2525</v>
      </c>
      <c r="P91" t="s" s="0">
        <v>2526</v>
      </c>
      <c r="Q91" t="s" s="0">
        <v>93</v>
      </c>
      <c r="R91" t="s" s="0">
        <v>84</v>
      </c>
      <c r="S91" t="s" s="0">
        <v>84</v>
      </c>
      <c r="T91" t="s" s="0">
        <v>84</v>
      </c>
      <c r="U91" t="s" s="0">
        <v>84</v>
      </c>
      <c r="V91" t="s" s="0">
        <v>2527</v>
      </c>
      <c r="W91" t="s" s="0">
        <v>2528</v>
      </c>
      <c r="X91" t="s" s="0">
        <v>84</v>
      </c>
      <c r="Y91" t="s" s="0">
        <v>84</v>
      </c>
      <c r="Z91" t="s" s="0">
        <v>96</v>
      </c>
      <c r="AA91" t="s" s="0">
        <v>97</v>
      </c>
      <c r="AB91" t="s" s="0">
        <v>84</v>
      </c>
      <c r="AC91" t="s" s="0">
        <v>84</v>
      </c>
      <c r="AD91" t="s" s="0">
        <v>84</v>
      </c>
      <c r="AE91" t="s" s="0">
        <v>84</v>
      </c>
      <c r="AF91" t="s" s="0">
        <v>84</v>
      </c>
      <c r="AG91" t="s" s="0">
        <v>2529</v>
      </c>
      <c r="AH91" t="s" s="0">
        <v>2530</v>
      </c>
      <c r="AI91" t="s" s="0">
        <v>2531</v>
      </c>
      <c r="AJ91" t="s" s="0">
        <v>2532</v>
      </c>
      <c r="AK91" t="s" s="0">
        <v>84</v>
      </c>
      <c r="AL91" t="s" s="0">
        <v>192</v>
      </c>
      <c r="AM91" t="s" s="0">
        <v>689</v>
      </c>
      <c r="AN91" t="s" s="0">
        <v>2194</v>
      </c>
      <c r="AO91" t="s" s="0">
        <v>237</v>
      </c>
      <c r="AP91" t="s" s="0">
        <v>2183</v>
      </c>
      <c r="AQ91" t="s" s="0">
        <v>690</v>
      </c>
      <c r="AR91" t="s" s="0">
        <v>691</v>
      </c>
      <c r="AS91" t="s" s="0">
        <v>692</v>
      </c>
      <c r="AT91" t="s" s="0">
        <v>84</v>
      </c>
      <c r="AU91" t="s" s="0">
        <v>2533</v>
      </c>
      <c r="AV91" t="s" s="0">
        <v>84</v>
      </c>
      <c r="AW91" t="s" s="0">
        <v>2534</v>
      </c>
      <c r="AX91" t="s" s="0">
        <v>2535</v>
      </c>
      <c r="AY91" t="s" s="0">
        <v>2536</v>
      </c>
      <c r="AZ91" t="s" s="0">
        <v>114</v>
      </c>
      <c r="BA91" t="s" s="0">
        <v>439</v>
      </c>
      <c r="BB91" t="s" s="0">
        <v>237</v>
      </c>
      <c r="BC91" t="s" s="0">
        <v>84</v>
      </c>
      <c r="BD91" t="s" s="0">
        <v>84</v>
      </c>
      <c r="BE91" t="s" s="0">
        <v>84</v>
      </c>
      <c r="BF91" t="s" s="0">
        <v>84</v>
      </c>
      <c r="BG91" t="s" s="0">
        <v>84</v>
      </c>
      <c r="BH91" t="s" s="0">
        <v>84</v>
      </c>
      <c r="BI91" t="s" s="0">
        <v>1687</v>
      </c>
      <c r="BJ91" t="s" s="0">
        <v>2537</v>
      </c>
      <c r="BK91" t="s" s="179">
        <f>HYPERLINK("http://dx.doi.org/10.1186/s40634-023-00700-1","http://dx.doi.org/10.1186/s40634-023-00700-1")</f>
        <v>2538</v>
      </c>
      <c r="BL91" t="s" s="0">
        <v>84</v>
      </c>
      <c r="BM91" t="s" s="0">
        <v>84</v>
      </c>
      <c r="BN91" t="s" s="0">
        <v>439</v>
      </c>
      <c r="BO91" t="s" s="0">
        <v>2539</v>
      </c>
      <c r="BP91" t="s" s="0">
        <v>2539</v>
      </c>
      <c r="BQ91" t="s" s="0">
        <v>2540</v>
      </c>
      <c r="BR91" t="s" s="0">
        <v>2541</v>
      </c>
      <c r="BS91" t="s" s="0">
        <v>2542</v>
      </c>
      <c r="BT91" t="s" s="180">
        <f>HYPERLINK("https://www.webofscience.com/wos/woscc/full-record/WOS:001112035900001","View Record in Web of Science")</f>
        <v>128</v>
      </c>
      <c r="BU91" t="s" s="0">
        <v>171</v>
      </c>
      <c r="BV91" t="s" s="0">
        <v>84</v>
      </c>
      <c r="BW91" t="s" s="0">
        <v>84</v>
      </c>
      <c r="BX91" t="s" s="0">
        <v>131</v>
      </c>
    </row>
    <row r="92">
      <c r="A92" t="s" s="0">
        <v>237</v>
      </c>
      <c r="B92" t="s" s="0">
        <v>78</v>
      </c>
      <c r="C92" t="s" s="0">
        <v>750</v>
      </c>
      <c r="D92" t="s" s="0">
        <v>78</v>
      </c>
      <c r="E92" t="s" s="0">
        <v>2543</v>
      </c>
      <c r="F92" t="s" s="0">
        <v>2544</v>
      </c>
      <c r="G92" t="s" s="0">
        <v>2545</v>
      </c>
      <c r="H92" t="s" s="0">
        <v>84</v>
      </c>
      <c r="I92" t="s" s="0">
        <v>85</v>
      </c>
      <c r="J92" t="s" s="0">
        <v>2546</v>
      </c>
      <c r="K92" t="s" s="0">
        <v>2547</v>
      </c>
      <c r="L92" t="s" s="0">
        <v>2548</v>
      </c>
      <c r="M92" t="s" s="0">
        <v>2549</v>
      </c>
      <c r="N92" t="s" s="0">
        <v>2550</v>
      </c>
      <c r="O92" t="s" s="0">
        <v>2551</v>
      </c>
      <c r="P92" t="s" s="0">
        <v>2552</v>
      </c>
      <c r="Q92" t="s" s="0">
        <v>93</v>
      </c>
      <c r="R92" t="s" s="0">
        <v>84</v>
      </c>
      <c r="S92" t="s" s="0">
        <v>84</v>
      </c>
      <c r="T92" t="s" s="0">
        <v>84</v>
      </c>
      <c r="U92" t="s" s="0">
        <v>84</v>
      </c>
      <c r="V92" t="s" s="0">
        <v>2553</v>
      </c>
      <c r="W92" t="s" s="0">
        <v>2554</v>
      </c>
      <c r="X92" t="s" s="0">
        <v>84</v>
      </c>
      <c r="Y92" t="s" s="0">
        <v>84</v>
      </c>
      <c r="Z92" t="s" s="0">
        <v>96</v>
      </c>
      <c r="AA92" t="s" s="0">
        <v>97</v>
      </c>
      <c r="AB92" t="s" s="0">
        <v>84</v>
      </c>
      <c r="AC92" t="s" s="0">
        <v>84</v>
      </c>
      <c r="AD92" t="s" s="0">
        <v>84</v>
      </c>
      <c r="AE92" t="s" s="0">
        <v>84</v>
      </c>
      <c r="AF92" t="s" s="0">
        <v>84</v>
      </c>
      <c r="AG92" t="s" s="0">
        <v>2555</v>
      </c>
      <c r="AH92" t="s" s="0">
        <v>2556</v>
      </c>
      <c r="AI92" t="s" s="0">
        <v>2557</v>
      </c>
      <c r="AJ92" t="s" s="0">
        <v>2558</v>
      </c>
      <c r="AK92" t="s" s="0">
        <v>84</v>
      </c>
      <c r="AL92" t="s" s="0">
        <v>2559</v>
      </c>
      <c r="AM92" t="s" s="0">
        <v>2560</v>
      </c>
      <c r="AN92" t="s" s="0">
        <v>1936</v>
      </c>
      <c r="AO92" t="s" s="0">
        <v>662</v>
      </c>
      <c r="AP92" t="s" s="0">
        <v>1082</v>
      </c>
      <c r="AQ92" t="s" s="0">
        <v>154</v>
      </c>
      <c r="AR92" t="s" s="0">
        <v>155</v>
      </c>
      <c r="AS92" t="s" s="0">
        <v>156</v>
      </c>
      <c r="AT92" t="s" s="0">
        <v>84</v>
      </c>
      <c r="AU92" t="s" s="0">
        <v>2561</v>
      </c>
      <c r="AV92" t="s" s="0">
        <v>84</v>
      </c>
      <c r="AW92" t="s" s="0">
        <v>2562</v>
      </c>
      <c r="AX92" t="s" s="0">
        <v>2563</v>
      </c>
      <c r="AY92" t="s" s="0">
        <v>2564</v>
      </c>
      <c r="AZ92" t="s" s="0">
        <v>338</v>
      </c>
      <c r="BA92" t="s" s="0">
        <v>306</v>
      </c>
      <c r="BB92" t="s" s="0">
        <v>201</v>
      </c>
      <c r="BC92" t="s" s="0">
        <v>84</v>
      </c>
      <c r="BD92" t="s" s="0">
        <v>84</v>
      </c>
      <c r="BE92" t="s" s="0">
        <v>84</v>
      </c>
      <c r="BF92" t="s" s="0">
        <v>84</v>
      </c>
      <c r="BG92" t="s" s="0">
        <v>84</v>
      </c>
      <c r="BH92" t="s" s="0">
        <v>84</v>
      </c>
      <c r="BI92" t="s" s="0">
        <v>2565</v>
      </c>
      <c r="BJ92" t="s" s="0">
        <v>2566</v>
      </c>
      <c r="BK92" t="s" s="181">
        <f>HYPERLINK("http://dx.doi.org/10.3390/nano15120895","http://dx.doi.org/10.3390/nano15120895")</f>
        <v>2567</v>
      </c>
      <c r="BL92" t="s" s="0">
        <v>84</v>
      </c>
      <c r="BM92" t="s" s="0">
        <v>84</v>
      </c>
      <c r="BN92" t="s" s="0">
        <v>512</v>
      </c>
      <c r="BO92" t="s" s="0">
        <v>2568</v>
      </c>
      <c r="BP92" t="s" s="0">
        <v>2569</v>
      </c>
      <c r="BQ92" t="s" s="0">
        <v>2570</v>
      </c>
      <c r="BR92" t="s" s="0">
        <v>2571</v>
      </c>
      <c r="BS92" t="s" s="0">
        <v>2572</v>
      </c>
      <c r="BT92" t="s" s="182">
        <f>HYPERLINK("https://www.webofscience.com/wos/woscc/full-record/WOS:001514845000001","View Record in Web of Science")</f>
        <v>128</v>
      </c>
      <c r="BU92" t="s" s="0">
        <v>171</v>
      </c>
      <c r="BV92" t="s" s="0">
        <v>129</v>
      </c>
      <c r="BW92" t="s" s="0">
        <v>130</v>
      </c>
      <c r="BX92" t="s" s="0">
        <v>131</v>
      </c>
    </row>
    <row r="93">
      <c r="A93" t="s" s="0">
        <v>237</v>
      </c>
      <c r="B93" t="s" s="0">
        <v>78</v>
      </c>
      <c r="C93" t="s" s="0">
        <v>228</v>
      </c>
      <c r="D93" t="s" s="0">
        <v>78</v>
      </c>
      <c r="E93" t="s" s="0">
        <v>2573</v>
      </c>
      <c r="F93" t="s" s="0">
        <v>2574</v>
      </c>
      <c r="G93" t="s" s="0">
        <v>2575</v>
      </c>
      <c r="H93" t="s" s="0">
        <v>84</v>
      </c>
      <c r="I93" t="s" s="0">
        <v>85</v>
      </c>
      <c r="J93" t="s" s="0">
        <v>2576</v>
      </c>
      <c r="K93" t="s" s="0">
        <v>2577</v>
      </c>
      <c r="L93" t="s" s="0">
        <v>84</v>
      </c>
      <c r="M93" t="s" s="0">
        <v>84</v>
      </c>
      <c r="N93" t="s" s="0">
        <v>84</v>
      </c>
      <c r="O93" t="s" s="0">
        <v>2578</v>
      </c>
      <c r="P93" t="s" s="0">
        <v>2579</v>
      </c>
      <c r="Q93" t="s" s="0">
        <v>93</v>
      </c>
      <c r="R93" t="s" s="0">
        <v>84</v>
      </c>
      <c r="S93" t="s" s="0">
        <v>84</v>
      </c>
      <c r="T93" t="s" s="0">
        <v>84</v>
      </c>
      <c r="U93" t="s" s="0">
        <v>84</v>
      </c>
      <c r="V93" t="s" s="0">
        <v>2580</v>
      </c>
      <c r="W93" t="s" s="0">
        <v>1101</v>
      </c>
      <c r="X93" t="s" s="0">
        <v>84</v>
      </c>
      <c r="Y93" t="s" s="0">
        <v>84</v>
      </c>
      <c r="Z93" t="s" s="0">
        <v>96</v>
      </c>
      <c r="AA93" t="s" s="0">
        <v>97</v>
      </c>
      <c r="AB93" t="s" s="0">
        <v>84</v>
      </c>
      <c r="AC93" t="s" s="0">
        <v>84</v>
      </c>
      <c r="AD93" t="s" s="0">
        <v>84</v>
      </c>
      <c r="AE93" t="s" s="0">
        <v>84</v>
      </c>
      <c r="AF93" t="s" s="0">
        <v>84</v>
      </c>
      <c r="AG93" t="s" s="0">
        <v>2581</v>
      </c>
      <c r="AH93" t="s" s="0">
        <v>2582</v>
      </c>
      <c r="AI93" t="s" s="0">
        <v>2583</v>
      </c>
      <c r="AJ93" t="s" s="0">
        <v>2584</v>
      </c>
      <c r="AK93" t="s" s="0">
        <v>84</v>
      </c>
      <c r="AL93" t="s" s="0">
        <v>1716</v>
      </c>
      <c r="AM93" t="s" s="0">
        <v>1349</v>
      </c>
      <c r="AN93" t="s" s="0">
        <v>2034</v>
      </c>
      <c r="AO93" t="s" s="0">
        <v>750</v>
      </c>
      <c r="AP93" t="s" s="0">
        <v>735</v>
      </c>
      <c r="AQ93" t="s" s="0">
        <v>1106</v>
      </c>
      <c r="AR93" t="s" s="0">
        <v>1107</v>
      </c>
      <c r="AS93" t="s" s="0">
        <v>1108</v>
      </c>
      <c r="AT93" t="s" s="0">
        <v>1109</v>
      </c>
      <c r="AU93" t="s" s="0">
        <v>84</v>
      </c>
      <c r="AV93" t="s" s="0">
        <v>84</v>
      </c>
      <c r="AW93" t="s" s="0">
        <v>1110</v>
      </c>
      <c r="AX93" t="s" s="0">
        <v>1111</v>
      </c>
      <c r="AY93" t="s" s="0">
        <v>1427</v>
      </c>
      <c r="AZ93" t="s" s="0">
        <v>338</v>
      </c>
      <c r="BA93" t="s" s="0">
        <v>339</v>
      </c>
      <c r="BB93" t="s" s="0">
        <v>283</v>
      </c>
      <c r="BC93" t="s" s="0">
        <v>84</v>
      </c>
      <c r="BD93" t="s" s="0">
        <v>84</v>
      </c>
      <c r="BE93" t="s" s="0">
        <v>84</v>
      </c>
      <c r="BF93" t="s" s="0">
        <v>84</v>
      </c>
      <c r="BG93" t="s" s="0">
        <v>653</v>
      </c>
      <c r="BH93" t="s" s="0">
        <v>2585</v>
      </c>
      <c r="BI93" t="s" s="0">
        <v>84</v>
      </c>
      <c r="BJ93" t="s" s="0">
        <v>2586</v>
      </c>
      <c r="BK93" t="s" s="183">
        <f>HYPERLINK("http://dx.doi.org/10.4274/dir.2024.242631","http://dx.doi.org/10.4274/dir.2024.242631")</f>
        <v>2587</v>
      </c>
      <c r="BL93" t="s" s="0">
        <v>84</v>
      </c>
      <c r="BM93" t="s" s="0">
        <v>84</v>
      </c>
      <c r="BN93" t="s" s="0">
        <v>439</v>
      </c>
      <c r="BO93" t="s" s="0">
        <v>605</v>
      </c>
      <c r="BP93" t="s" s="0">
        <v>605</v>
      </c>
      <c r="BQ93" t="s" s="0">
        <v>2588</v>
      </c>
      <c r="BR93" t="s" s="0">
        <v>2589</v>
      </c>
      <c r="BS93" t="s" s="0">
        <v>2590</v>
      </c>
      <c r="BT93" t="s" s="184">
        <f>HYPERLINK("https://www.webofscience.com/wos/woscc/full-record/WOS:001529623000001","View Record in Web of Science")</f>
        <v>128</v>
      </c>
      <c r="BU93" t="s" s="0">
        <v>171</v>
      </c>
      <c r="BV93" t="s" s="0">
        <v>129</v>
      </c>
      <c r="BW93" t="s" s="0">
        <v>130</v>
      </c>
      <c r="BX93" t="s" s="0">
        <v>131</v>
      </c>
    </row>
    <row r="94">
      <c r="A94" t="s" s="0">
        <v>174</v>
      </c>
      <c r="B94" t="s" s="0">
        <v>78</v>
      </c>
      <c r="C94" t="s" s="0">
        <v>201</v>
      </c>
      <c r="D94" t="s" s="0">
        <v>78</v>
      </c>
      <c r="E94" t="s" s="0">
        <v>2591</v>
      </c>
      <c r="F94" t="s" s="0">
        <v>2592</v>
      </c>
      <c r="G94" t="s" s="0">
        <v>2593</v>
      </c>
      <c r="H94" t="s" s="0">
        <v>84</v>
      </c>
      <c r="I94" t="s" s="0">
        <v>85</v>
      </c>
      <c r="J94" t="s" s="0">
        <v>2594</v>
      </c>
      <c r="K94" t="s" s="0">
        <v>2595</v>
      </c>
      <c r="L94" t="s" s="0">
        <v>2596</v>
      </c>
      <c r="M94" t="s" s="0">
        <v>2597</v>
      </c>
      <c r="N94" t="s" s="0">
        <v>2598</v>
      </c>
      <c r="O94" t="s" s="0">
        <v>2599</v>
      </c>
      <c r="P94" t="s" s="0">
        <v>2600</v>
      </c>
      <c r="Q94" t="s" s="0">
        <v>93</v>
      </c>
      <c r="R94" t="s" s="0">
        <v>84</v>
      </c>
      <c r="S94" t="s" s="0">
        <v>84</v>
      </c>
      <c r="T94" t="s" s="0">
        <v>84</v>
      </c>
      <c r="U94" t="s" s="0">
        <v>84</v>
      </c>
      <c r="V94" t="s" s="0">
        <v>2601</v>
      </c>
      <c r="W94" t="s" s="0">
        <v>2215</v>
      </c>
      <c r="X94" t="s" s="0">
        <v>84</v>
      </c>
      <c r="Y94" t="s" s="0">
        <v>84</v>
      </c>
      <c r="Z94" t="s" s="0">
        <v>96</v>
      </c>
      <c r="AA94" t="s" s="0">
        <v>97</v>
      </c>
      <c r="AB94" t="s" s="0">
        <v>84</v>
      </c>
      <c r="AC94" t="s" s="0">
        <v>84</v>
      </c>
      <c r="AD94" t="s" s="0">
        <v>84</v>
      </c>
      <c r="AE94" t="s" s="0">
        <v>84</v>
      </c>
      <c r="AF94" t="s" s="0">
        <v>84</v>
      </c>
      <c r="AG94" t="s" s="0">
        <v>2602</v>
      </c>
      <c r="AH94" t="s" s="0">
        <v>84</v>
      </c>
      <c r="AI94" t="s" s="0">
        <v>84</v>
      </c>
      <c r="AJ94" t="s" s="0">
        <v>2603</v>
      </c>
      <c r="AK94" t="s" s="0">
        <v>84</v>
      </c>
      <c r="AL94" t="s" s="0">
        <v>2086</v>
      </c>
      <c r="AM94" t="s" s="0">
        <v>2604</v>
      </c>
      <c r="AN94" t="s" s="0">
        <v>363</v>
      </c>
      <c r="AO94" t="s" s="0">
        <v>237</v>
      </c>
      <c r="AP94" t="s" s="0">
        <v>310</v>
      </c>
      <c r="AQ94" t="s" s="0">
        <v>2220</v>
      </c>
      <c r="AR94" t="s" s="0">
        <v>2221</v>
      </c>
      <c r="AS94" t="s" s="0">
        <v>2222</v>
      </c>
      <c r="AT94" t="s" s="0">
        <v>2223</v>
      </c>
      <c r="AU94" t="s" s="0">
        <v>2224</v>
      </c>
      <c r="AV94" t="s" s="0">
        <v>84</v>
      </c>
      <c r="AW94" t="s" s="0">
        <v>2225</v>
      </c>
      <c r="AX94" t="s" s="0">
        <v>2226</v>
      </c>
      <c r="AY94" t="s" s="0">
        <v>2536</v>
      </c>
      <c r="AZ94" t="s" s="0">
        <v>114</v>
      </c>
      <c r="BA94" t="s" s="0">
        <v>206</v>
      </c>
      <c r="BB94" t="s" s="0">
        <v>201</v>
      </c>
      <c r="BC94" t="s" s="0">
        <v>84</v>
      </c>
      <c r="BD94" t="s" s="0">
        <v>84</v>
      </c>
      <c r="BE94" t="s" s="0">
        <v>84</v>
      </c>
      <c r="BF94" t="s" s="0">
        <v>84</v>
      </c>
      <c r="BG94" t="s" s="0">
        <v>2605</v>
      </c>
      <c r="BH94" t="s" s="0">
        <v>2606</v>
      </c>
      <c r="BI94" t="s" s="0">
        <v>84</v>
      </c>
      <c r="BJ94" t="s" s="0">
        <v>2607</v>
      </c>
      <c r="BK94" t="s" s="185">
        <f>HYPERLINK("http://dx.doi.org/10.21037/qims-23-542","http://dx.doi.org/10.21037/qims-23-542")</f>
        <v>2608</v>
      </c>
      <c r="BL94" t="s" s="0">
        <v>84</v>
      </c>
      <c r="BM94" t="s" s="0">
        <v>84</v>
      </c>
      <c r="BN94" t="s" s="0">
        <v>424</v>
      </c>
      <c r="BO94" t="s" s="0">
        <v>605</v>
      </c>
      <c r="BP94" t="s" s="0">
        <v>605</v>
      </c>
      <c r="BQ94" t="s" s="0">
        <v>2609</v>
      </c>
      <c r="BR94" t="s" s="0">
        <v>2610</v>
      </c>
      <c r="BS94" t="s" s="0">
        <v>2611</v>
      </c>
      <c r="BT94" t="s" s="186">
        <f>HYPERLINK("https://www.webofscience.com/wos/woscc/full-record/WOS:001153319900085","View Record in Web of Science")</f>
        <v>128</v>
      </c>
      <c r="BU94" t="s" s="0">
        <v>171</v>
      </c>
      <c r="BV94" t="s" s="0">
        <v>84</v>
      </c>
      <c r="BW94" t="s" s="0">
        <v>84</v>
      </c>
      <c r="BX94" t="s" s="0">
        <v>131</v>
      </c>
    </row>
    <row r="95">
      <c r="A95" t="s" s="0">
        <v>237</v>
      </c>
      <c r="B95" t="s" s="0">
        <v>78</v>
      </c>
      <c r="C95" t="s" s="0">
        <v>549</v>
      </c>
      <c r="D95" t="s" s="0">
        <v>78</v>
      </c>
      <c r="E95" t="s" s="0">
        <v>2612</v>
      </c>
      <c r="F95" t="s" s="0">
        <v>2613</v>
      </c>
      <c r="G95" t="s" s="0">
        <v>2614</v>
      </c>
      <c r="H95" t="s" s="0">
        <v>84</v>
      </c>
      <c r="I95" t="s" s="0">
        <v>85</v>
      </c>
      <c r="J95" t="s" s="0">
        <v>2615</v>
      </c>
      <c r="K95" t="s" s="0">
        <v>2616</v>
      </c>
      <c r="L95" t="s" s="0">
        <v>84</v>
      </c>
      <c r="M95" t="s" s="0">
        <v>84</v>
      </c>
      <c r="N95" t="s" s="0">
        <v>84</v>
      </c>
      <c r="O95" t="s" s="0">
        <v>2617</v>
      </c>
      <c r="P95" t="s" s="0">
        <v>2618</v>
      </c>
      <c r="Q95" t="s" s="0">
        <v>93</v>
      </c>
      <c r="R95" t="s" s="0">
        <v>84</v>
      </c>
      <c r="S95" t="s" s="0">
        <v>84</v>
      </c>
      <c r="T95" t="s" s="0">
        <v>84</v>
      </c>
      <c r="U95" t="s" s="0">
        <v>84</v>
      </c>
      <c r="V95" t="s" s="0">
        <v>2619</v>
      </c>
      <c r="W95" t="s" s="0">
        <v>2620</v>
      </c>
      <c r="X95" t="s" s="0">
        <v>84</v>
      </c>
      <c r="Y95" t="s" s="0">
        <v>84</v>
      </c>
      <c r="Z95" t="s" s="0">
        <v>96</v>
      </c>
      <c r="AA95" t="s" s="0">
        <v>97</v>
      </c>
      <c r="AB95" t="s" s="0">
        <v>84</v>
      </c>
      <c r="AC95" t="s" s="0">
        <v>84</v>
      </c>
      <c r="AD95" t="s" s="0">
        <v>84</v>
      </c>
      <c r="AE95" t="s" s="0">
        <v>84</v>
      </c>
      <c r="AF95" t="s" s="0">
        <v>84</v>
      </c>
      <c r="AG95" t="s" s="0">
        <v>2621</v>
      </c>
      <c r="AH95" t="s" s="0">
        <v>2622</v>
      </c>
      <c r="AI95" t="s" s="0">
        <v>84</v>
      </c>
      <c r="AJ95" t="s" s="0">
        <v>2623</v>
      </c>
      <c r="AK95" t="s" s="0">
        <v>84</v>
      </c>
      <c r="AL95" t="s" s="0">
        <v>2183</v>
      </c>
      <c r="AM95" t="s" s="0">
        <v>2604</v>
      </c>
      <c r="AN95" t="s" s="0">
        <v>718</v>
      </c>
      <c r="AO95" t="s" s="0">
        <v>78</v>
      </c>
      <c r="AP95" t="s" s="0">
        <v>662</v>
      </c>
      <c r="AQ95" t="s" s="0">
        <v>2624</v>
      </c>
      <c r="AR95" t="s" s="0">
        <v>231</v>
      </c>
      <c r="AS95" t="s" s="0">
        <v>2625</v>
      </c>
      <c r="AT95" t="s" s="0">
        <v>2626</v>
      </c>
      <c r="AU95" t="s" s="0">
        <v>2627</v>
      </c>
      <c r="AV95" t="s" s="0">
        <v>84</v>
      </c>
      <c r="AW95" t="s" s="0">
        <v>2628</v>
      </c>
      <c r="AX95" t="s" s="0">
        <v>2629</v>
      </c>
      <c r="AY95" t="s" s="0">
        <v>470</v>
      </c>
      <c r="AZ95" t="s" s="0">
        <v>273</v>
      </c>
      <c r="BA95" t="s" s="0">
        <v>228</v>
      </c>
      <c r="BB95" t="s" s="0">
        <v>174</v>
      </c>
      <c r="BC95" t="s" s="0">
        <v>84</v>
      </c>
      <c r="BD95" t="s" s="0">
        <v>84</v>
      </c>
      <c r="BE95" t="s" s="0">
        <v>84</v>
      </c>
      <c r="BF95" t="s" s="0">
        <v>84</v>
      </c>
      <c r="BG95" t="s" s="0">
        <v>2630</v>
      </c>
      <c r="BH95" t="s" s="0">
        <v>2631</v>
      </c>
      <c r="BI95" t="s" s="0">
        <v>84</v>
      </c>
      <c r="BJ95" t="s" s="0">
        <v>2632</v>
      </c>
      <c r="BK95" t="s" s="187">
        <f>HYPERLINK("http://dx.doi.org/10.1177/21925682231195783","http://dx.doi.org/10.1177/21925682231195783")</f>
        <v>2633</v>
      </c>
      <c r="BL95" t="s" s="0">
        <v>84</v>
      </c>
      <c r="BM95" t="s" s="0">
        <v>113</v>
      </c>
      <c r="BN95" t="s" s="0">
        <v>165</v>
      </c>
      <c r="BO95" t="s" s="0">
        <v>2634</v>
      </c>
      <c r="BP95" t="s" s="0">
        <v>2635</v>
      </c>
      <c r="BQ95" t="s" s="0">
        <v>2636</v>
      </c>
      <c r="BR95" t="s" s="0">
        <v>2637</v>
      </c>
      <c r="BS95" t="s" s="0">
        <v>2638</v>
      </c>
      <c r="BT95" t="s" s="188">
        <f>HYPERLINK("https://www.webofscience.com/wos/woscc/full-record/WOS:001046514200001","View Record in Web of Science")</f>
        <v>128</v>
      </c>
      <c r="BU95" t="s" s="0">
        <v>171</v>
      </c>
      <c r="BV95" t="s" s="0">
        <v>84</v>
      </c>
      <c r="BW95" t="s" s="0">
        <v>84</v>
      </c>
      <c r="BX95" t="s" s="0">
        <v>131</v>
      </c>
    </row>
    <row r="96">
      <c r="A96" t="s" s="0">
        <v>122</v>
      </c>
      <c r="B96" t="s" s="0">
        <v>78</v>
      </c>
      <c r="C96" t="s" s="0">
        <v>228</v>
      </c>
      <c r="D96" t="s" s="0">
        <v>78</v>
      </c>
      <c r="E96" t="s" s="0">
        <v>2639</v>
      </c>
      <c r="F96" t="s" s="0">
        <v>2640</v>
      </c>
      <c r="G96" t="s" s="0">
        <v>2641</v>
      </c>
      <c r="H96" t="s" s="0">
        <v>84</v>
      </c>
      <c r="I96" t="s" s="0">
        <v>85</v>
      </c>
      <c r="J96" t="s" s="0">
        <v>2642</v>
      </c>
      <c r="K96" t="s" s="0">
        <v>414</v>
      </c>
      <c r="L96" t="s" s="0">
        <v>2643</v>
      </c>
      <c r="M96" t="s" s="0">
        <v>2129</v>
      </c>
      <c r="N96" t="s" s="0">
        <v>2644</v>
      </c>
      <c r="O96" t="s" s="0">
        <v>2645</v>
      </c>
      <c r="P96" t="s" s="0">
        <v>2646</v>
      </c>
      <c r="Q96" t="s" s="0">
        <v>93</v>
      </c>
      <c r="R96" t="s" s="0">
        <v>84</v>
      </c>
      <c r="S96" t="s" s="0">
        <v>84</v>
      </c>
      <c r="T96" t="s" s="0">
        <v>84</v>
      </c>
      <c r="U96" t="s" s="0">
        <v>84</v>
      </c>
      <c r="V96" t="s" s="0">
        <v>2647</v>
      </c>
      <c r="W96" t="s" s="0">
        <v>2648</v>
      </c>
      <c r="X96" t="s" s="0">
        <v>84</v>
      </c>
      <c r="Y96" t="s" s="0">
        <v>84</v>
      </c>
      <c r="Z96" t="s" s="0">
        <v>96</v>
      </c>
      <c r="AA96" t="s" s="0">
        <v>97</v>
      </c>
      <c r="AB96" t="s" s="0">
        <v>84</v>
      </c>
      <c r="AC96" t="s" s="0">
        <v>84</v>
      </c>
      <c r="AD96" t="s" s="0">
        <v>84</v>
      </c>
      <c r="AE96" t="s" s="0">
        <v>84</v>
      </c>
      <c r="AF96" t="s" s="0">
        <v>84</v>
      </c>
      <c r="AG96" t="s" s="0">
        <v>84</v>
      </c>
      <c r="AH96" t="s" s="0">
        <v>2649</v>
      </c>
      <c r="AI96" t="s" s="0">
        <v>2650</v>
      </c>
      <c r="AJ96" t="s" s="0">
        <v>2651</v>
      </c>
      <c r="AK96" t="s" s="0">
        <v>84</v>
      </c>
      <c r="AL96" t="s" s="0">
        <v>562</v>
      </c>
      <c r="AM96" t="s" s="0">
        <v>1520</v>
      </c>
      <c r="AN96" t="s" s="0">
        <v>2194</v>
      </c>
      <c r="AO96" t="s" s="0">
        <v>662</v>
      </c>
      <c r="AP96" t="s" s="0">
        <v>1113</v>
      </c>
      <c r="AQ96" t="s" s="0">
        <v>532</v>
      </c>
      <c r="AR96" t="s" s="0">
        <v>533</v>
      </c>
      <c r="AS96" t="s" s="0">
        <v>534</v>
      </c>
      <c r="AT96" t="s" s="0">
        <v>2652</v>
      </c>
      <c r="AU96" t="s" s="0">
        <v>2653</v>
      </c>
      <c r="AV96" t="s" s="0">
        <v>84</v>
      </c>
      <c r="AW96" t="s" s="0">
        <v>2648</v>
      </c>
      <c r="AX96" t="s" s="0">
        <v>2654</v>
      </c>
      <c r="AY96" t="s" s="0">
        <v>2655</v>
      </c>
      <c r="AZ96" t="s" s="0">
        <v>338</v>
      </c>
      <c r="BA96" t="s" s="0">
        <v>2656</v>
      </c>
      <c r="BB96" t="s" s="0">
        <v>228</v>
      </c>
      <c r="BC96" t="s" s="0">
        <v>84</v>
      </c>
      <c r="BD96" t="s" s="0">
        <v>84</v>
      </c>
      <c r="BE96" t="s" s="0">
        <v>84</v>
      </c>
      <c r="BF96" t="s" s="0">
        <v>84</v>
      </c>
      <c r="BG96" t="s" s="0">
        <v>2657</v>
      </c>
      <c r="BH96" t="s" s="0">
        <v>2658</v>
      </c>
      <c r="BI96" t="s" s="0">
        <v>84</v>
      </c>
      <c r="BJ96" t="s" s="0">
        <v>2659</v>
      </c>
      <c r="BK96" t="s" s="189">
        <f>HYPERLINK("http://dx.doi.org/10.1016/j.cell.2025.05.018","http://dx.doi.org/10.1016/j.cell.2025.05.018")</f>
        <v>2660</v>
      </c>
      <c r="BL96" t="s" s="0">
        <v>84</v>
      </c>
      <c r="BM96" t="s" s="0">
        <v>1427</v>
      </c>
      <c r="BN96" t="s" s="0">
        <v>206</v>
      </c>
      <c r="BO96" t="s" s="0">
        <v>2661</v>
      </c>
      <c r="BP96" t="s" s="0">
        <v>2661</v>
      </c>
      <c r="BQ96" t="s" s="0">
        <v>2662</v>
      </c>
      <c r="BR96" t="s" s="0">
        <v>2663</v>
      </c>
      <c r="BS96" t="s" s="0">
        <v>2664</v>
      </c>
      <c r="BT96" t="s" s="190">
        <f>HYPERLINK("https://www.webofscience.com/wos/woscc/full-record/WOS:001534977300001","View Record in Web of Science")</f>
        <v>128</v>
      </c>
      <c r="BU96" t="s" s="0">
        <v>2665</v>
      </c>
      <c r="BV96" t="s" s="0">
        <v>129</v>
      </c>
      <c r="BW96" t="s" s="0">
        <v>130</v>
      </c>
      <c r="BX96" t="s" s="0">
        <v>131</v>
      </c>
    </row>
    <row r="97">
      <c r="A97" t="s" s="0">
        <v>208</v>
      </c>
      <c r="B97" t="s" s="0">
        <v>78</v>
      </c>
      <c r="C97" t="s" s="0">
        <v>122</v>
      </c>
      <c r="D97" t="s" s="0">
        <v>78</v>
      </c>
      <c r="E97" t="s" s="0">
        <v>2666</v>
      </c>
      <c r="F97" t="s" s="0">
        <v>2667</v>
      </c>
      <c r="G97" t="s" s="0">
        <v>2668</v>
      </c>
      <c r="H97" t="s" s="0">
        <v>84</v>
      </c>
      <c r="I97" t="s" s="0">
        <v>85</v>
      </c>
      <c r="J97" t="s" s="0">
        <v>2669</v>
      </c>
      <c r="K97" t="s" s="0">
        <v>2670</v>
      </c>
      <c r="L97" t="s" s="0">
        <v>2671</v>
      </c>
      <c r="M97" t="s" s="0">
        <v>2671</v>
      </c>
      <c r="N97" t="s" s="0">
        <v>2672</v>
      </c>
      <c r="O97" t="s" s="0">
        <v>2673</v>
      </c>
      <c r="P97" t="s" s="0">
        <v>2674</v>
      </c>
      <c r="Q97" t="s" s="0">
        <v>93</v>
      </c>
      <c r="R97" t="s" s="0">
        <v>84</v>
      </c>
      <c r="S97" t="s" s="0">
        <v>84</v>
      </c>
      <c r="T97" t="s" s="0">
        <v>84</v>
      </c>
      <c r="U97" t="s" s="0">
        <v>84</v>
      </c>
      <c r="V97" t="s" s="0">
        <v>2675</v>
      </c>
      <c r="W97" t="s" s="0">
        <v>2676</v>
      </c>
      <c r="X97" t="s" s="0">
        <v>84</v>
      </c>
      <c r="Y97" t="s" s="0">
        <v>84</v>
      </c>
      <c r="Z97" t="s" s="0">
        <v>96</v>
      </c>
      <c r="AA97" t="s" s="0">
        <v>97</v>
      </c>
      <c r="AB97" t="s" s="0">
        <v>84</v>
      </c>
      <c r="AC97" t="s" s="0">
        <v>84</v>
      </c>
      <c r="AD97" t="s" s="0">
        <v>84</v>
      </c>
      <c r="AE97" t="s" s="0">
        <v>84</v>
      </c>
      <c r="AF97" t="s" s="0">
        <v>84</v>
      </c>
      <c r="AG97" t="s" s="0">
        <v>2677</v>
      </c>
      <c r="AH97" t="s" s="0">
        <v>2678</v>
      </c>
      <c r="AI97" t="s" s="0">
        <v>2679</v>
      </c>
      <c r="AJ97" t="s" s="0">
        <v>2680</v>
      </c>
      <c r="AK97" t="s" s="0">
        <v>84</v>
      </c>
      <c r="AL97" t="s" s="0">
        <v>1446</v>
      </c>
      <c r="AM97" t="s" s="0">
        <v>1520</v>
      </c>
      <c r="AN97" t="s" s="0">
        <v>1426</v>
      </c>
      <c r="AO97" t="s" s="0">
        <v>132</v>
      </c>
      <c r="AP97" t="s" s="0">
        <v>2604</v>
      </c>
      <c r="AQ97" t="s" s="0">
        <v>1164</v>
      </c>
      <c r="AR97" t="s" s="0">
        <v>1165</v>
      </c>
      <c r="AS97" t="s" s="0">
        <v>1166</v>
      </c>
      <c r="AT97" t="s" s="0">
        <v>2681</v>
      </c>
      <c r="AU97" t="s" s="0">
        <v>2682</v>
      </c>
      <c r="AV97" t="s" s="0">
        <v>84</v>
      </c>
      <c r="AW97" t="s" s="0">
        <v>2683</v>
      </c>
      <c r="AX97" t="s" s="0">
        <v>2684</v>
      </c>
      <c r="AY97" t="s" s="0">
        <v>2482</v>
      </c>
      <c r="AZ97" t="s" s="0">
        <v>338</v>
      </c>
      <c r="BA97" t="s" s="0">
        <v>1240</v>
      </c>
      <c r="BB97" t="s" s="0">
        <v>84</v>
      </c>
      <c r="BC97" t="s" s="0">
        <v>84</v>
      </c>
      <c r="BD97" t="s" s="0">
        <v>84</v>
      </c>
      <c r="BE97" t="s" s="0">
        <v>84</v>
      </c>
      <c r="BF97" t="s" s="0">
        <v>84</v>
      </c>
      <c r="BG97" t="s" s="0">
        <v>84</v>
      </c>
      <c r="BH97" t="s" s="0">
        <v>84</v>
      </c>
      <c r="BI97" t="s" s="0">
        <v>2685</v>
      </c>
      <c r="BJ97" t="s" s="0">
        <v>2686</v>
      </c>
      <c r="BK97" t="s" s="191">
        <f>HYPERLINK("http://dx.doi.org/10.1016/j.media.2025.103621","http://dx.doi.org/10.1016/j.media.2025.103621")</f>
        <v>2687</v>
      </c>
      <c r="BL97" t="s" s="0">
        <v>84</v>
      </c>
      <c r="BM97" t="s" s="0">
        <v>2437</v>
      </c>
      <c r="BN97" t="s" s="0">
        <v>246</v>
      </c>
      <c r="BO97" t="s" s="0">
        <v>2688</v>
      </c>
      <c r="BP97" t="s" s="0">
        <v>2689</v>
      </c>
      <c r="BQ97" t="s" s="0">
        <v>2690</v>
      </c>
      <c r="BR97" t="s" s="0">
        <v>2691</v>
      </c>
      <c r="BS97" t="s" s="0">
        <v>2692</v>
      </c>
      <c r="BT97" t="s" s="192">
        <f>HYPERLINK("https://www.webofscience.com/wos/woscc/full-record/WOS:001508206500001","View Record in Web of Science")</f>
        <v>128</v>
      </c>
      <c r="BU97" t="s" s="0">
        <v>480</v>
      </c>
      <c r="BV97" t="s" s="0">
        <v>129</v>
      </c>
      <c r="BW97" t="s" s="0">
        <v>130</v>
      </c>
      <c r="BX97" t="s" s="0">
        <v>131</v>
      </c>
    </row>
    <row r="98">
      <c r="A98" t="s" s="0">
        <v>237</v>
      </c>
      <c r="B98" t="s" s="0">
        <v>78</v>
      </c>
      <c r="C98" t="s" s="0">
        <v>80</v>
      </c>
      <c r="D98" t="s" s="0">
        <v>78</v>
      </c>
      <c r="E98" t="s" s="0">
        <v>2693</v>
      </c>
      <c r="F98" t="s" s="0">
        <v>2694</v>
      </c>
      <c r="G98" t="s" s="0">
        <v>2695</v>
      </c>
      <c r="H98" t="s" s="0">
        <v>84</v>
      </c>
      <c r="I98" t="s" s="0">
        <v>212</v>
      </c>
      <c r="J98" t="s" s="0">
        <v>2696</v>
      </c>
      <c r="K98" t="s" s="0">
        <v>2697</v>
      </c>
      <c r="L98" t="s" s="0">
        <v>2698</v>
      </c>
      <c r="M98" t="s" s="0">
        <v>2699</v>
      </c>
      <c r="N98" t="s" s="0">
        <v>2700</v>
      </c>
      <c r="O98" t="s" s="0">
        <v>2701</v>
      </c>
      <c r="P98" t="s" s="0">
        <v>2702</v>
      </c>
      <c r="Q98" t="s" s="0">
        <v>93</v>
      </c>
      <c r="R98" t="s" s="0">
        <v>84</v>
      </c>
      <c r="S98" t="s" s="0">
        <v>84</v>
      </c>
      <c r="T98" t="s" s="0">
        <v>84</v>
      </c>
      <c r="U98" t="s" s="0">
        <v>84</v>
      </c>
      <c r="V98" t="s" s="0">
        <v>2703</v>
      </c>
      <c r="W98" t="s" s="0">
        <v>2704</v>
      </c>
      <c r="X98" t="s" s="0">
        <v>84</v>
      </c>
      <c r="Y98" t="s" s="0">
        <v>84</v>
      </c>
      <c r="Z98" t="s" s="0">
        <v>96</v>
      </c>
      <c r="AA98" t="s" s="0">
        <v>97</v>
      </c>
      <c r="AB98" t="s" s="0">
        <v>84</v>
      </c>
      <c r="AC98" t="s" s="0">
        <v>84</v>
      </c>
      <c r="AD98" t="s" s="0">
        <v>84</v>
      </c>
      <c r="AE98" t="s" s="0">
        <v>84</v>
      </c>
      <c r="AF98" t="s" s="0">
        <v>84</v>
      </c>
      <c r="AG98" t="s" s="0">
        <v>84</v>
      </c>
      <c r="AH98" t="s" s="0">
        <v>2705</v>
      </c>
      <c r="AI98" t="s" s="0">
        <v>2706</v>
      </c>
      <c r="AJ98" t="s" s="0">
        <v>2707</v>
      </c>
      <c r="AK98" t="s" s="0">
        <v>84</v>
      </c>
      <c r="AL98" t="s" s="0">
        <v>2708</v>
      </c>
      <c r="AM98" t="s" s="0">
        <v>1520</v>
      </c>
      <c r="AN98" t="s" s="0">
        <v>494</v>
      </c>
      <c r="AO98" t="s" s="0">
        <v>979</v>
      </c>
      <c r="AP98" t="s" s="0">
        <v>2709</v>
      </c>
      <c r="AQ98" t="s" s="0">
        <v>532</v>
      </c>
      <c r="AR98" t="s" s="0">
        <v>533</v>
      </c>
      <c r="AS98" t="s" s="0">
        <v>534</v>
      </c>
      <c r="AT98" t="s" s="0">
        <v>2710</v>
      </c>
      <c r="AU98" t="s" s="0">
        <v>84</v>
      </c>
      <c r="AV98" t="s" s="0">
        <v>84</v>
      </c>
      <c r="AW98" t="s" s="0">
        <v>2711</v>
      </c>
      <c r="AX98" t="s" s="0">
        <v>2712</v>
      </c>
      <c r="AY98" t="s" s="0">
        <v>2713</v>
      </c>
      <c r="AZ98" t="s" s="0">
        <v>338</v>
      </c>
      <c r="BA98" t="s" s="0">
        <v>161</v>
      </c>
      <c r="BB98" t="s" s="0">
        <v>161</v>
      </c>
      <c r="BC98" t="s" s="0">
        <v>84</v>
      </c>
      <c r="BD98" t="s" s="0">
        <v>84</v>
      </c>
      <c r="BE98" t="s" s="0">
        <v>84</v>
      </c>
      <c r="BF98" t="s" s="0">
        <v>84</v>
      </c>
      <c r="BG98" t="s" s="0">
        <v>84</v>
      </c>
      <c r="BH98" t="s" s="0">
        <v>84</v>
      </c>
      <c r="BI98" t="s" s="0">
        <v>2714</v>
      </c>
      <c r="BJ98" t="s" s="0">
        <v>2715</v>
      </c>
      <c r="BK98" t="s" s="193">
        <f>HYPERLINK("http://dx.doi.org/10.1016/j.xinn.2025.100948","http://dx.doi.org/10.1016/j.xinn.2025.100948")</f>
        <v>2716</v>
      </c>
      <c r="BL98" t="s" s="0">
        <v>84</v>
      </c>
      <c r="BM98" t="s" s="0">
        <v>2437</v>
      </c>
      <c r="BN98" t="s" s="0">
        <v>704</v>
      </c>
      <c r="BO98" t="s" s="0">
        <v>544</v>
      </c>
      <c r="BP98" t="s" s="0">
        <v>545</v>
      </c>
      <c r="BQ98" t="s" s="0">
        <v>2717</v>
      </c>
      <c r="BR98" t="s" s="0">
        <v>2718</v>
      </c>
      <c r="BS98" t="s" s="0">
        <v>2719</v>
      </c>
      <c r="BT98" t="s" s="194">
        <f>HYPERLINK("https://www.webofscience.com/wos/woscc/full-record/WOS:001505560800001","View Record in Web of Science")</f>
        <v>128</v>
      </c>
      <c r="BU98" t="s" s="0">
        <v>171</v>
      </c>
      <c r="BV98" t="s" s="0">
        <v>84</v>
      </c>
      <c r="BW98" t="s" s="0">
        <v>84</v>
      </c>
      <c r="BX98" t="s" s="0">
        <v>131</v>
      </c>
    </row>
    <row r="99">
      <c r="A99" t="s" s="0">
        <v>174</v>
      </c>
      <c r="B99" t="s" s="0">
        <v>78</v>
      </c>
      <c r="C99" t="s" s="0">
        <v>237</v>
      </c>
      <c r="D99" t="s" s="0">
        <v>78</v>
      </c>
      <c r="E99" t="s" s="0">
        <v>2720</v>
      </c>
      <c r="F99" t="s" s="0">
        <v>2721</v>
      </c>
      <c r="G99" t="s" s="0">
        <v>2722</v>
      </c>
      <c r="H99" t="s" s="0">
        <v>84</v>
      </c>
      <c r="I99" t="s" s="0">
        <v>85</v>
      </c>
      <c r="J99" t="s" s="0">
        <v>2723</v>
      </c>
      <c r="K99" t="s" s="0">
        <v>2724</v>
      </c>
      <c r="L99" t="s" s="0">
        <v>2725</v>
      </c>
      <c r="M99" t="s" s="0">
        <v>2726</v>
      </c>
      <c r="N99" t="s" s="0">
        <v>2727</v>
      </c>
      <c r="O99" t="s" s="0">
        <v>2728</v>
      </c>
      <c r="P99" t="s" s="0">
        <v>2729</v>
      </c>
      <c r="Q99" t="s" s="0">
        <v>93</v>
      </c>
      <c r="R99" t="s" s="0">
        <v>84</v>
      </c>
      <c r="S99" t="s" s="0">
        <v>84</v>
      </c>
      <c r="T99" t="s" s="0">
        <v>84</v>
      </c>
      <c r="U99" t="s" s="0">
        <v>84</v>
      </c>
      <c r="V99" t="s" s="0">
        <v>2730</v>
      </c>
      <c r="W99" t="s" s="0">
        <v>2731</v>
      </c>
      <c r="X99" t="s" s="0">
        <v>84</v>
      </c>
      <c r="Y99" t="s" s="0">
        <v>84</v>
      </c>
      <c r="Z99" t="s" s="0">
        <v>96</v>
      </c>
      <c r="AA99" t="s" s="0">
        <v>97</v>
      </c>
      <c r="AB99" t="s" s="0">
        <v>84</v>
      </c>
      <c r="AC99" t="s" s="0">
        <v>84</v>
      </c>
      <c r="AD99" t="s" s="0">
        <v>84</v>
      </c>
      <c r="AE99" t="s" s="0">
        <v>84</v>
      </c>
      <c r="AF99" t="s" s="0">
        <v>84</v>
      </c>
      <c r="AG99" t="s" s="0">
        <v>2732</v>
      </c>
      <c r="AH99" t="s" s="0">
        <v>2530</v>
      </c>
      <c r="AI99" t="s" s="0">
        <v>2733</v>
      </c>
      <c r="AJ99" t="s" s="0">
        <v>2734</v>
      </c>
      <c r="AK99" t="s" s="0">
        <v>84</v>
      </c>
      <c r="AL99" t="s" s="0">
        <v>1323</v>
      </c>
      <c r="AM99" t="s" s="0">
        <v>1520</v>
      </c>
      <c r="AN99" t="s" s="0">
        <v>192</v>
      </c>
      <c r="AO99" t="s" s="0">
        <v>278</v>
      </c>
      <c r="AP99" t="s" s="0">
        <v>2735</v>
      </c>
      <c r="AQ99" t="s" s="0">
        <v>2736</v>
      </c>
      <c r="AR99" t="s" s="0">
        <v>656</v>
      </c>
      <c r="AS99" t="s" s="0">
        <v>2737</v>
      </c>
      <c r="AT99" t="s" s="0">
        <v>2738</v>
      </c>
      <c r="AU99" t="s" s="0">
        <v>2739</v>
      </c>
      <c r="AV99" t="s" s="0">
        <v>84</v>
      </c>
      <c r="AW99" t="s" s="0">
        <v>2740</v>
      </c>
      <c r="AX99" t="s" s="0">
        <v>2741</v>
      </c>
      <c r="AY99" t="s" s="0">
        <v>1171</v>
      </c>
      <c r="AZ99" t="s" s="0">
        <v>338</v>
      </c>
      <c r="BA99" t="s" s="0">
        <v>2742</v>
      </c>
      <c r="BB99" t="s" s="0">
        <v>84</v>
      </c>
      <c r="BC99" t="s" s="0">
        <v>84</v>
      </c>
      <c r="BD99" t="s" s="0">
        <v>84</v>
      </c>
      <c r="BE99" t="s" s="0">
        <v>84</v>
      </c>
      <c r="BF99" t="s" s="0">
        <v>84</v>
      </c>
      <c r="BG99" t="s" s="0">
        <v>84</v>
      </c>
      <c r="BH99" t="s" s="0">
        <v>84</v>
      </c>
      <c r="BI99" t="s" s="0">
        <v>2743</v>
      </c>
      <c r="BJ99" t="s" s="0">
        <v>2744</v>
      </c>
      <c r="BK99" t="s" s="195">
        <f>HYPERLINK("http://dx.doi.org/10.1016/j.rcim.2024.102883","http://dx.doi.org/10.1016/j.rcim.2024.102883")</f>
        <v>2745</v>
      </c>
      <c r="BL99" t="s" s="0">
        <v>84</v>
      </c>
      <c r="BM99" t="s" s="0">
        <v>568</v>
      </c>
      <c r="BN99" t="s" s="0">
        <v>165</v>
      </c>
      <c r="BO99" t="s" s="0">
        <v>2746</v>
      </c>
      <c r="BP99" t="s" s="0">
        <v>2747</v>
      </c>
      <c r="BQ99" t="s" s="0">
        <v>2748</v>
      </c>
      <c r="BR99" t="s" s="0">
        <v>84</v>
      </c>
      <c r="BS99" t="s" s="0">
        <v>2749</v>
      </c>
      <c r="BT99" t="s" s="196">
        <f>HYPERLINK("https://www.webofscience.com/wos/woscc/full-record/WOS:001328374700001","View Record in Web of Science")</f>
        <v>128</v>
      </c>
      <c r="BU99" t="s" s="0">
        <v>84</v>
      </c>
      <c r="BV99" t="s" s="0">
        <v>84</v>
      </c>
      <c r="BW99" t="s" s="0">
        <v>84</v>
      </c>
      <c r="BX99" t="s" s="0">
        <v>131</v>
      </c>
    </row>
    <row r="100">
      <c r="A100" t="s" s="0">
        <v>174</v>
      </c>
      <c r="B100" t="s" s="0">
        <v>78</v>
      </c>
      <c r="C100" t="s" s="0">
        <v>572</v>
      </c>
      <c r="D100" t="s" s="0">
        <v>78</v>
      </c>
      <c r="E100" t="s" s="0">
        <v>2750</v>
      </c>
      <c r="F100" t="s" s="0">
        <v>2751</v>
      </c>
      <c r="G100" t="s" s="0">
        <v>2752</v>
      </c>
      <c r="H100" t="s" s="0">
        <v>84</v>
      </c>
      <c r="I100" t="s" s="0">
        <v>85</v>
      </c>
      <c r="J100" t="s" s="0">
        <v>2753</v>
      </c>
      <c r="K100" t="s" s="0">
        <v>2754</v>
      </c>
      <c r="L100" t="s" s="0">
        <v>2755</v>
      </c>
      <c r="M100" t="s" s="0">
        <v>2756</v>
      </c>
      <c r="N100" t="s" s="0">
        <v>2757</v>
      </c>
      <c r="O100" t="s" s="0">
        <v>2758</v>
      </c>
      <c r="P100" t="s" s="0">
        <v>2759</v>
      </c>
      <c r="Q100" t="s" s="0">
        <v>93</v>
      </c>
      <c r="R100" t="s" s="0">
        <v>84</v>
      </c>
      <c r="S100" t="s" s="0">
        <v>84</v>
      </c>
      <c r="T100" t="s" s="0">
        <v>84</v>
      </c>
      <c r="U100" t="s" s="0">
        <v>84</v>
      </c>
      <c r="V100" t="s" s="0">
        <v>2760</v>
      </c>
      <c r="W100" t="s" s="0">
        <v>2761</v>
      </c>
      <c r="X100" t="s" s="0">
        <v>84</v>
      </c>
      <c r="Y100" t="s" s="0">
        <v>84</v>
      </c>
      <c r="Z100" t="s" s="0">
        <v>96</v>
      </c>
      <c r="AA100" t="s" s="0">
        <v>97</v>
      </c>
      <c r="AB100" t="s" s="0">
        <v>84</v>
      </c>
      <c r="AC100" t="s" s="0">
        <v>84</v>
      </c>
      <c r="AD100" t="s" s="0">
        <v>84</v>
      </c>
      <c r="AE100" t="s" s="0">
        <v>84</v>
      </c>
      <c r="AF100" t="s" s="0">
        <v>84</v>
      </c>
      <c r="AG100" t="s" s="0">
        <v>2762</v>
      </c>
      <c r="AH100" t="s" s="0">
        <v>84</v>
      </c>
      <c r="AI100" t="s" s="0">
        <v>2763</v>
      </c>
      <c r="AJ100" t="s" s="0">
        <v>2764</v>
      </c>
      <c r="AK100" t="s" s="0">
        <v>84</v>
      </c>
      <c r="AL100" t="s" s="0">
        <v>686</v>
      </c>
      <c r="AM100" t="s" s="0">
        <v>2765</v>
      </c>
      <c r="AN100" t="s" s="0">
        <v>192</v>
      </c>
      <c r="AO100" t="s" s="0">
        <v>116</v>
      </c>
      <c r="AP100" t="s" s="0">
        <v>1936</v>
      </c>
      <c r="AQ100" t="s" s="0">
        <v>1164</v>
      </c>
      <c r="AR100" t="s" s="0">
        <v>1165</v>
      </c>
      <c r="AS100" t="s" s="0">
        <v>1166</v>
      </c>
      <c r="AT100" t="s" s="0">
        <v>2766</v>
      </c>
      <c r="AU100" t="s" s="0">
        <v>84</v>
      </c>
      <c r="AV100" t="s" s="0">
        <v>84</v>
      </c>
      <c r="AW100" t="s" s="0">
        <v>2767</v>
      </c>
      <c r="AX100" t="s" s="0">
        <v>2768</v>
      </c>
      <c r="AY100" t="s" s="0">
        <v>2769</v>
      </c>
      <c r="AZ100" t="s" s="0">
        <v>273</v>
      </c>
      <c r="BA100" t="s" s="0">
        <v>572</v>
      </c>
      <c r="BB100" t="s" s="0">
        <v>84</v>
      </c>
      <c r="BC100" t="s" s="0">
        <v>84</v>
      </c>
      <c r="BD100" t="s" s="0">
        <v>84</v>
      </c>
      <c r="BE100" t="s" s="0">
        <v>84</v>
      </c>
      <c r="BF100" t="s" s="0">
        <v>84</v>
      </c>
      <c r="BG100" t="s" s="0">
        <v>2770</v>
      </c>
      <c r="BH100" t="s" s="0">
        <v>2771</v>
      </c>
      <c r="BI100" t="s" s="0">
        <v>84</v>
      </c>
      <c r="BJ100" t="s" s="0">
        <v>2772</v>
      </c>
      <c r="BK100" t="s" s="197">
        <f>HYPERLINK("http://dx.doi.org/10.1016/j.csbj.2024.09.031","http://dx.doi.org/10.1016/j.csbj.2024.09.031")</f>
        <v>2773</v>
      </c>
      <c r="BL100" t="s" s="0">
        <v>84</v>
      </c>
      <c r="BM100" t="s" s="0">
        <v>1726</v>
      </c>
      <c r="BN100" t="s" s="0">
        <v>116</v>
      </c>
      <c r="BO100" t="s" s="0">
        <v>2774</v>
      </c>
      <c r="BP100" t="s" s="0">
        <v>2774</v>
      </c>
      <c r="BQ100" t="s" s="0">
        <v>2775</v>
      </c>
      <c r="BR100" t="s" s="0">
        <v>2776</v>
      </c>
      <c r="BS100" t="s" s="0">
        <v>2777</v>
      </c>
      <c r="BT100" t="s" s="198">
        <f>HYPERLINK("https://www.webofscience.com/wos/woscc/full-record/WOS:001331904500001","View Record in Web of Science")</f>
        <v>128</v>
      </c>
      <c r="BU100" t="s" s="0">
        <v>171</v>
      </c>
      <c r="BV100" t="s" s="0">
        <v>84</v>
      </c>
      <c r="BW100" t="s" s="0">
        <v>84</v>
      </c>
      <c r="BX100" t="s" s="0">
        <v>131</v>
      </c>
    </row>
    <row r="101">
      <c r="A101" t="s" s="0">
        <v>78</v>
      </c>
      <c r="B101" t="s" s="0">
        <v>78</v>
      </c>
      <c r="C101" t="s" s="0">
        <v>116</v>
      </c>
      <c r="D101" t="s" s="0">
        <v>78</v>
      </c>
      <c r="E101" t="s" s="0">
        <v>2778</v>
      </c>
      <c r="F101" t="s" s="0">
        <v>2779</v>
      </c>
      <c r="G101" t="s" s="0">
        <v>2780</v>
      </c>
      <c r="H101" t="s" s="0">
        <v>84</v>
      </c>
      <c r="I101" t="s" s="0">
        <v>212</v>
      </c>
      <c r="J101" t="s" s="0">
        <v>2781</v>
      </c>
      <c r="K101" t="s" s="0">
        <v>2782</v>
      </c>
      <c r="L101" t="s" s="0">
        <v>84</v>
      </c>
      <c r="M101" t="s" s="0">
        <v>84</v>
      </c>
      <c r="N101" t="s" s="0">
        <v>84</v>
      </c>
      <c r="O101" t="s" s="0">
        <v>2783</v>
      </c>
      <c r="P101" t="s" s="0">
        <v>2784</v>
      </c>
      <c r="Q101" t="s" s="0">
        <v>93</v>
      </c>
      <c r="R101" t="s" s="0">
        <v>84</v>
      </c>
      <c r="S101" t="s" s="0">
        <v>84</v>
      </c>
      <c r="T101" t="s" s="0">
        <v>84</v>
      </c>
      <c r="U101" t="s" s="0">
        <v>84</v>
      </c>
      <c r="V101" t="s" s="0">
        <v>2785</v>
      </c>
      <c r="W101" t="s" s="0">
        <v>2786</v>
      </c>
      <c r="X101" t="s" s="0">
        <v>84</v>
      </c>
      <c r="Y101" t="s" s="0">
        <v>84</v>
      </c>
      <c r="Z101" t="s" s="0">
        <v>96</v>
      </c>
      <c r="AA101" t="s" s="0">
        <v>97</v>
      </c>
      <c r="AB101" t="s" s="0">
        <v>84</v>
      </c>
      <c r="AC101" t="s" s="0">
        <v>84</v>
      </c>
      <c r="AD101" t="s" s="0">
        <v>84</v>
      </c>
      <c r="AE101" t="s" s="0">
        <v>84</v>
      </c>
      <c r="AF101" t="s" s="0">
        <v>84</v>
      </c>
      <c r="AG101" t="s" s="0">
        <v>2787</v>
      </c>
      <c r="AH101" t="s" s="0">
        <v>2788</v>
      </c>
      <c r="AI101" t="s" s="0">
        <v>2789</v>
      </c>
      <c r="AJ101" t="s" s="0">
        <v>2790</v>
      </c>
      <c r="AK101" t="s" s="0">
        <v>84</v>
      </c>
      <c r="AL101" t="s" s="0">
        <v>2791</v>
      </c>
      <c r="AM101" t="s" s="0">
        <v>2352</v>
      </c>
      <c r="AN101" t="s" s="0">
        <v>225</v>
      </c>
      <c r="AO101" t="s" s="0">
        <v>122</v>
      </c>
      <c r="AP101" t="s" s="0">
        <v>920</v>
      </c>
      <c r="AQ101" t="s" s="0">
        <v>154</v>
      </c>
      <c r="AR101" t="s" s="0">
        <v>155</v>
      </c>
      <c r="AS101" t="s" s="0">
        <v>156</v>
      </c>
      <c r="AT101" t="s" s="0">
        <v>2792</v>
      </c>
      <c r="AU101" t="s" s="0">
        <v>84</v>
      </c>
      <c r="AV101" t="s" s="0">
        <v>84</v>
      </c>
      <c r="AW101" t="s" s="0">
        <v>2786</v>
      </c>
      <c r="AX101" t="s" s="0">
        <v>2793</v>
      </c>
      <c r="AY101" t="s" s="0">
        <v>2794</v>
      </c>
      <c r="AZ101" t="s" s="0">
        <v>338</v>
      </c>
      <c r="BA101" t="s" s="0">
        <v>228</v>
      </c>
      <c r="BB101" t="s" s="0">
        <v>174</v>
      </c>
      <c r="BC101" t="s" s="0">
        <v>84</v>
      </c>
      <c r="BD101" t="s" s="0">
        <v>84</v>
      </c>
      <c r="BE101" t="s" s="0">
        <v>84</v>
      </c>
      <c r="BF101" t="s" s="0">
        <v>84</v>
      </c>
      <c r="BG101" t="s" s="0">
        <v>84</v>
      </c>
      <c r="BH101" t="s" s="0">
        <v>84</v>
      </c>
      <c r="BI101" t="s" s="0">
        <v>857</v>
      </c>
      <c r="BJ101" t="s" s="0">
        <v>2795</v>
      </c>
      <c r="BK101" t="s" s="199">
        <f>HYPERLINK("http://dx.doi.org/10.3390/computers14030093","http://dx.doi.org/10.3390/computers14030093")</f>
        <v>2796</v>
      </c>
      <c r="BL101" t="s" s="0">
        <v>84</v>
      </c>
      <c r="BM101" t="s" s="0">
        <v>84</v>
      </c>
      <c r="BN101" t="s" s="0">
        <v>538</v>
      </c>
      <c r="BO101" t="s" s="0">
        <v>573</v>
      </c>
      <c r="BP101" t="s" s="0">
        <v>574</v>
      </c>
      <c r="BQ101" t="s" s="0">
        <v>2797</v>
      </c>
      <c r="BR101" t="s" s="0">
        <v>84</v>
      </c>
      <c r="BS101" t="s" s="0">
        <v>2798</v>
      </c>
      <c r="BT101" t="s" s="200">
        <f>HYPERLINK("https://www.webofscience.com/wos/woscc/full-record/WOS:001451972600001","View Record in Web of Science")</f>
        <v>128</v>
      </c>
      <c r="BU101" t="s" s="0">
        <v>171</v>
      </c>
      <c r="BV101" t="s" s="0">
        <v>84</v>
      </c>
      <c r="BW101" t="s" s="0">
        <v>84</v>
      </c>
      <c r="BX101" t="s" s="0">
        <v>131</v>
      </c>
    </row>
    <row r="10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2026-08-25T21:43:04Z</dcterms:created>
  <dc:creator>Apache POI</dc:creator>
</cp:coreProperties>
</file>